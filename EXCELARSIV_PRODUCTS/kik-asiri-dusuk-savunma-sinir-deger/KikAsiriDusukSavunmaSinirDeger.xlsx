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drawings/drawing3.xml" ContentType="application/vnd.openxmlformats-officedocument.drawing+xml"/>
  <Override PartName="/xl/comments/comment6.xml" ContentType="application/vnd.openxmlformats-officedocument.spreadsheetml.comments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comments/comment8.xml" ContentType="application/vnd.openxmlformats-officedocument.spreadsheetml.comments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URALLAR" sheetId="13" state="visible" r:id="rId13"/>
    <sheet xmlns:r="http://schemas.openxmlformats.org/officeDocument/2006/relationships" name="MOTOR" sheetId="14" state="visible" r:id="rId14"/>
    <sheet xmlns:r="http://schemas.openxmlformats.org/officeDocument/2006/relationships" name="SENARYO" sheetId="15" state="visible" r:id="rId15"/>
    <sheet xmlns:r="http://schemas.openxmlformats.org/officeDocument/2006/relationships" name="VAKALAR" sheetId="16" state="visible" r:id="rId16"/>
    <sheet xmlns:r="http://schemas.openxmlformats.org/officeDocument/2006/relationships" name="KANIT_RAPORU" sheetId="17" state="visible" r:id="rId17"/>
    <sheet xmlns:r="http://schemas.openxmlformats.org/officeDocument/2006/relationships" name="KONTROLLER" sheetId="18" state="visible" r:id="rId18"/>
    <sheet xmlns:r="http://schemas.openxmlformats.org/officeDocument/2006/relationships" name="ORNEK_VERI" sheetId="19" state="visible" r:id="rId19"/>
    <sheet xmlns:r="http://schemas.openxmlformats.org/officeDocument/2006/relationships" name="LISTELER" sheetId="20" state="visible" r:id="rId20"/>
    <sheet xmlns:r="http://schemas.openxmlformats.org/officeDocument/2006/relationships" name="AYARLAR" sheetId="21" state="visible" r:id="rId21"/>
    <sheet xmlns:r="http://schemas.openxmlformats.org/officeDocument/2006/relationships" name="KILAVUZ" sheetId="22" state="visible" r:id="rId22"/>
  </sheets>
  <definedNames>
    <definedName name="hesapYili">GIRDI!$B$8</definedName>
    <definedName name="raporTarihi">AYARLAR!$B$7</definedName>
    <definedName name="kik_mevcutTesvik">GIRDI!$B$15</definedName>
    <definedName name="kik_potansiyelTasarruf">MOTOR!$G$28</definedName>
    <definedName name="kik_kacirilan">MOTOR!$G$30</definedName>
    <definedName name="kik_kararMetni">MOTOR!$G$34</definedName>
    <definedName name="kik_kararGerekce">MOTOR!$G$35</definedName>
    <definedName name="kik_maddeAtifMetni">MOTOR!$G$52</definedName>
    <definedName name="kik_kanitRaporu">MOTOR!$G$53</definedName>
    <definedName name="kik_kuralYilMatris">KURALLAR!$B$17</definedName>
    <definedName name="kik_parmakIzi">AYARLAR!$B$19</definedName>
    <definedName name="kik_senaryoKarsilastirma">SENARYO!$B$11</definedName>
    <definedName name="kik_yorumSenaryo">SENARYO!$B$12</definedName>
    <definedName name="kik_duyarlilikSira">SENARYO!$B$19</definedName>
    <definedName name="kik_yorumDuyarlilik">SENARYO!$B$20</definedName>
    <definedName name="kik_kuralDegisimSenaryo">SENARYO!$B$22</definedName>
    <definedName name="kik_yorumKuralDegisim">SENARYO!$B$23</definedName>
    <definedName name="kik_tahminAralik">SENARYO!$B$32</definedName>
    <definedName name="kik_yorumTahmin">SENARYO!$B$33</definedName>
    <definedName name="kik_vakaDurum">VAKALAR!$B$12</definedName>
    <definedName name="kik_vakaFark">VAKALAR!$B$13</definedName>
    <definedName name="kik_tolerans">AYARLAR!$B$8</definedName>
    <definedName name="kik_kacirilanEsik">AYARLAR!$B$9</definedName>
    <definedName name="kik_senaryoIyi">AYARLAR!$B$10</definedName>
    <definedName name="kik_senaryoKotu">AYARLAR!$B$11</definedName>
    <definedName name="kik_oranArtisPuan">AYARLAR!$B$12</definedName>
    <definedName name="kik_tahminAlt">AYARLAR!$B$13</definedName>
    <definedName name="kik_tahminUst">AYARLAR!$B$14</definedName>
    <definedName name="kik_tornadoMatrah">AYARLAR!$B$15</definedName>
    <definedName name="kik_tornadoMevcut">AYARLAR!$B$16</definedName>
    <definedName name="kik_isverenOran">AYARLAR!$B$17</definedName>
    <definedName name="kik_yuzdelikOran">AYARLAR!$B$18</definedName>
    <definedName name="kik_girisBeklenen">AYARLAR!$B$21</definedName>
    <definedName name="kik_riskDusuk">AYARLAR!$B$22</definedName>
    <definedName name="kik_riskOrta">AYARLAR!$B$23</definedName>
    <definedName name="kik_riskYuksek">AYARLAR!$B$24</definedName>
    <definedName name="kik_riskEsikOran">AYARLAR!$B$25</definedName>
    <definedName name="kik_yilTaban">AYARLAR!$B$26</definedName>
    <definedName name="kik_yuvarMax">AYARLAR!$B$27</definedName>
    <definedName name="kik_dayanakCarpan">AYARLAR!$B$28</definedName>
    <definedName name="kik_bazCarpan">AYARLAR!$B$29</definedName>
    <definedName name="kik_sifirCarpan">AYARLAR!$B$30</definedName>
    <definedName name="kik_siraBir">AYARLAR!$B$31</definedName>
    <definedName name="kik_siraIki">AYARLAR!$B$32</definedName>
    <definedName name="kik_siraUc">AYARLAR!$B$33</definedName>
    <definedName name="kik_tahminX">AYARLAR!$B$34</definedName>
    <definedName name="vaka_matrah_1">AYARLAR!$B$35</definedName>
    <definedName name="vaka_matrah_2">AYARLAR!$B$36</definedName>
    <definedName name="vaka_tavan">AYARLAR!$B$37</definedName>
    <definedName name="kik_modulT1">PANO!$C$11</definedName>
    <definedName name="kik_modulT1Yorum">PANO!$D$11</definedName>
    <definedName name="kik_modulT2">PANO!$C$12</definedName>
    <definedName name="kik_modulT2Yorum">PANO!$D$12</definedName>
    <definedName name="kik_modulO1">PANO!$C$13</definedName>
    <definedName name="kik_modulO1Yorum">PANO!$D$13</definedName>
    <definedName name="kik_modulO6">PANO!$C$16</definedName>
    <definedName name="kik_modulO6Yorum">PANO!$D$16</definedName>
    <definedName name="kik_modulO8">PANO!$C$17</definedName>
    <definedName name="kik_modulO8Yorum">PANO!$D$17</definedName>
    <definedName name="kik_modulI2">PANO!$C$20</definedName>
    <definedName name="kik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6">'KANIT_RAPORU'!$A$1:$F$33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  <numFmt numFmtId="170" formatCode="0.00&quot;x&quot;"/>
  </numFmts>
  <fonts count="12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FFFFFF"/>
      <sz val="9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FFFFFF"/>
      <sz val="10"/>
    </font>
    <font>
      <name val="Segoe UI"/>
      <b val="1"/>
      <color rgb="00B08948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6100"/>
      <sz val="12"/>
    </font>
    <font>
      <name val="Segoe UI"/>
      <b val="1"/>
      <color rgb="00B3261E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164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left" vertical="center"/>
      <protection locked="0" hidden="0"/>
    </xf>
    <xf numFmtId="3" fontId="19" fillId="4" borderId="0" applyAlignment="1" applyProtection="1" pivotButton="0" quotePrefix="0" xfId="0">
      <alignment horizontal="left" vertical="center"/>
      <protection locked="0" hidden="0"/>
    </xf>
    <xf numFmtId="164" fontId="19" fillId="4" borderId="0" applyAlignment="1" applyProtection="1" pivotButton="0" quotePrefix="0" xfId="0">
      <alignment horizontal="left" vertical="center"/>
      <protection locked="0" hidden="0"/>
    </xf>
    <xf numFmtId="164" fontId="20" fillId="0" borderId="0" applyAlignment="1" pivotButton="0" quotePrefix="0" xfId="0">
      <alignment horizontal="left" vertical="center"/>
    </xf>
    <xf numFmtId="3" fontId="15" fillId="0" borderId="0" applyAlignment="1" pivotButton="0" quotePrefix="0" xfId="0">
      <alignment horizontal="left" vertical="center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9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center" vertical="center"/>
    </xf>
    <xf numFmtId="165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left" vertical="center" wrapText="1"/>
    </xf>
    <xf numFmtId="0" fontId="16" fillId="3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left" vertical="center"/>
    </xf>
    <xf numFmtId="164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8" fillId="4" borderId="0" applyAlignment="1" applyProtection="1" pivotButton="0" quotePrefix="0" xfId="0">
      <alignment horizontal="left" vertical="center"/>
      <protection locked="0" hidden="0"/>
    </xf>
    <xf numFmtId="3" fontId="20" fillId="0" borderId="0" applyAlignment="1" pivotButton="0" quotePrefix="0" xfId="0">
      <alignment horizontal="left" vertical="center"/>
    </xf>
    <xf numFmtId="3" fontId="18" fillId="4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1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0" fontId="41" fillId="0" borderId="0" pivotButton="0" quotePrefix="0" xfId="0"/>
    <xf numFmtId="0" fontId="42" fillId="0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3" fillId="11" borderId="2" applyAlignment="1" pivotButton="0" quotePrefix="0" xfId="0">
      <alignment horizontal="center"/>
    </xf>
    <xf numFmtId="0" fontId="30" fillId="0" borderId="4" pivotButton="0" quotePrefix="0" xfId="0"/>
    <xf numFmtId="0" fontId="45" fillId="12" borderId="2" applyAlignment="1" pivotButton="0" quotePrefix="0" xfId="0">
      <alignment horizontal="center"/>
    </xf>
    <xf numFmtId="0" fontId="44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6" fillId="0" borderId="4" pivotButton="0" quotePrefix="0" xfId="0"/>
    <xf numFmtId="0" fontId="47" fillId="0" borderId="5" pivotButton="0" quotePrefix="0" xfId="0"/>
    <xf numFmtId="0" fontId="44" fillId="0" borderId="3" pivotButton="0" quotePrefix="0" xfId="0"/>
    <xf numFmtId="0" fontId="39" fillId="0" borderId="4" pivotButton="0" quotePrefix="0" xfId="0"/>
    <xf numFmtId="0" fontId="44" fillId="0" borderId="5" pivotButton="0" quotePrefix="0" xfId="0"/>
    <xf numFmtId="0" fontId="48" fillId="14" borderId="0" applyAlignment="1" pivotButton="0" quotePrefix="0" xfId="0">
      <alignment horizontal="center"/>
    </xf>
    <xf numFmtId="0" fontId="49" fillId="0" borderId="0" pivotButton="0" quotePrefix="0" xfId="0"/>
    <xf numFmtId="0" fontId="48" fillId="15" borderId="0" applyAlignment="1" pivotButton="0" quotePrefix="0" xfId="0">
      <alignment horizontal="center" vertical="center"/>
    </xf>
    <xf numFmtId="0" fontId="49" fillId="0" borderId="2" pivotButton="0" quotePrefix="0" xfId="0"/>
    <xf numFmtId="0" fontId="50" fillId="0" borderId="2" pivotButton="0" quotePrefix="0" xfId="0"/>
    <xf numFmtId="0" fontId="51" fillId="0" borderId="2" pivotButton="0" quotePrefix="0" xfId="0"/>
    <xf numFmtId="0" fontId="52" fillId="16" borderId="2" applyAlignment="1" pivotButton="0" quotePrefix="0" xfId="0">
      <alignment horizontal="center"/>
    </xf>
    <xf numFmtId="0" fontId="48" fillId="7" borderId="0" pivotButton="0" quotePrefix="0" xfId="0"/>
    <xf numFmtId="0" fontId="53" fillId="7" borderId="0" pivotButton="0" quotePrefix="0" xfId="0"/>
    <xf numFmtId="0" fontId="54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2" fillId="0" borderId="0" pivotButton="0" quotePrefix="0" xfId="0"/>
    <xf numFmtId="0" fontId="57" fillId="17" borderId="0" pivotButton="0" quotePrefix="0" xfId="0"/>
    <xf numFmtId="0" fontId="0" fillId="17" borderId="0" pivotButton="0" quotePrefix="0" xfId="0"/>
    <xf numFmtId="0" fontId="44" fillId="0" borderId="0" pivotButton="0" quotePrefix="0" xfId="0"/>
    <xf numFmtId="0" fontId="12" fillId="17" borderId="0" pivotButton="0" quotePrefix="0" xfId="0"/>
    <xf numFmtId="0" fontId="58" fillId="17" borderId="0" applyAlignment="1" pivotButton="0" quotePrefix="0" xfId="0">
      <alignment wrapText="1"/>
    </xf>
    <xf numFmtId="0" fontId="55" fillId="0" borderId="0" pivotButton="0" quotePrefix="0" xfId="0"/>
    <xf numFmtId="0" fontId="56" fillId="0" borderId="0" pivotButton="0" quotePrefix="0" xfId="0"/>
    <xf numFmtId="0" fontId="44" fillId="13" borderId="6" applyAlignment="1" pivotButton="0" quotePrefix="0" xfId="0">
      <alignment horizontal="center" vertical="center"/>
    </xf>
    <xf numFmtId="0" fontId="59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3" fillId="11" borderId="0" applyAlignment="1" pivotButton="0" quotePrefix="0" xfId="0">
      <alignment horizontal="center" vertical="center"/>
    </xf>
    <xf numFmtId="0" fontId="44" fillId="13" borderId="0" applyAlignment="1" pivotButton="0" quotePrefix="0" xfId="0">
      <alignment horizontal="center" vertical="center"/>
    </xf>
    <xf numFmtId="0" fontId="60" fillId="7" borderId="0" applyAlignment="1" pivotButton="0" quotePrefix="0" xfId="0">
      <alignment horizontal="center" vertical="center"/>
    </xf>
    <xf numFmtId="0" fontId="61" fillId="19" borderId="2" applyAlignment="1" pivotButton="0" quotePrefix="0" xfId="0">
      <alignment horizontal="center"/>
    </xf>
    <xf numFmtId="0" fontId="62" fillId="19" borderId="2" applyAlignment="1" pivotButton="0" quotePrefix="0" xfId="0">
      <alignment horizontal="center"/>
    </xf>
    <xf numFmtId="0" fontId="61" fillId="19" borderId="2" pivotButton="0" quotePrefix="0" xfId="0"/>
    <xf numFmtId="169" fontId="62" fillId="19" borderId="2" applyAlignment="1" pivotButton="0" quotePrefix="0" xfId="0">
      <alignment horizontal="right"/>
    </xf>
    <xf numFmtId="9" fontId="61" fillId="19" borderId="2" applyAlignment="1" pivotButton="0" quotePrefix="0" xfId="0">
      <alignment horizontal="center"/>
    </xf>
    <xf numFmtId="169" fontId="61" fillId="19" borderId="2" applyAlignment="1" pivotButton="0" quotePrefix="0" xfId="0">
      <alignment horizontal="right"/>
    </xf>
    <xf numFmtId="0" fontId="44" fillId="19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1" fillId="18" borderId="2" pivotButton="0" quotePrefix="0" xfId="0"/>
    <xf numFmtId="169" fontId="62" fillId="18" borderId="2" applyAlignment="1" pivotButton="0" quotePrefix="0" xfId="0">
      <alignment horizontal="right"/>
    </xf>
    <xf numFmtId="9" fontId="61" fillId="18" borderId="2" applyAlignment="1" pivotButton="0" quotePrefix="0" xfId="0">
      <alignment horizontal="center"/>
    </xf>
    <xf numFmtId="169" fontId="61" fillId="18" borderId="2" applyAlignment="1" pivotButton="0" quotePrefix="0" xfId="0">
      <alignment horizontal="right"/>
    </xf>
    <xf numFmtId="0" fontId="49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12" fillId="7" borderId="0" applyAlignment="1" pivotButton="0" quotePrefix="0" xfId="0">
      <alignment vertical="center" indent="1"/>
    </xf>
    <xf numFmtId="169" fontId="63" fillId="7" borderId="0" applyAlignment="1" pivotButton="0" quotePrefix="0" xfId="0">
      <alignment horizontal="right" vertical="center"/>
    </xf>
    <xf numFmtId="0" fontId="64" fillId="0" borderId="7" pivotButton="0" quotePrefix="0" xfId="0"/>
    <xf numFmtId="0" fontId="65" fillId="0" borderId="7" pivotButton="0" quotePrefix="0" xfId="0"/>
    <xf numFmtId="0" fontId="66" fillId="0" borderId="7" pivotButton="0" quotePrefix="0" xfId="0"/>
    <xf numFmtId="0" fontId="67" fillId="20" borderId="2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68" fillId="0" borderId="2" pivotButton="0" quotePrefix="0" xfId="0"/>
    <xf numFmtId="0" fontId="67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42" fillId="0" borderId="2" applyAlignment="1" pivotButton="0" quotePrefix="0" xfId="0">
      <alignment horizontal="right"/>
    </xf>
    <xf numFmtId="0" fontId="69" fillId="0" borderId="2" applyAlignment="1" pivotButton="0" quotePrefix="0" xfId="0">
      <alignment horizontal="right"/>
    </xf>
    <xf numFmtId="0" fontId="70" fillId="12" borderId="8" applyAlignment="1" pivotButton="0" quotePrefix="0" xfId="0">
      <alignment horizontal="center" vertical="center"/>
    </xf>
    <xf numFmtId="0" fontId="72" fillId="11" borderId="9" applyAlignment="1" pivotButton="0" quotePrefix="0" xfId="0">
      <alignment horizontal="center" vertical="center"/>
    </xf>
    <xf numFmtId="0" fontId="68" fillId="0" borderId="0" pivotButton="0" quotePrefix="0" xfId="0"/>
    <xf numFmtId="0" fontId="73" fillId="21" borderId="0" applyAlignment="1" pivotButton="0" quotePrefix="0" xfId="0">
      <alignment horizontal="left" vertical="center" wrapText="1"/>
    </xf>
    <xf numFmtId="0" fontId="74" fillId="22" borderId="0" applyAlignment="1" pivotButton="0" quotePrefix="0" xfId="0">
      <alignment vertical="center" wrapText="1"/>
    </xf>
    <xf numFmtId="0" fontId="75" fillId="23" borderId="0" applyAlignment="1" pivotButton="0" quotePrefix="0" xfId="0">
      <alignment vertical="top" wrapText="1"/>
    </xf>
    <xf numFmtId="0" fontId="76" fillId="0" borderId="0" applyAlignment="1" pivotButton="0" quotePrefix="0" xfId="0">
      <alignment vertical="top" wrapText="1"/>
    </xf>
    <xf numFmtId="0" fontId="77" fillId="21" borderId="0" applyAlignment="1" pivotButton="0" quotePrefix="0" xfId="0">
      <alignment horizontal="left" vertical="center" wrapText="1"/>
    </xf>
    <xf numFmtId="0" fontId="73" fillId="24" borderId="0" applyAlignment="1" pivotButton="0" quotePrefix="0" xfId="0">
      <alignment horizontal="left" vertical="center" wrapText="1"/>
    </xf>
    <xf numFmtId="0" fontId="74" fillId="24" borderId="0" applyAlignment="1" pivotButton="0" quotePrefix="0" xfId="0">
      <alignment vertical="center" wrapText="1"/>
    </xf>
    <xf numFmtId="0" fontId="78" fillId="25" borderId="0" applyAlignment="1" pivotButton="0" quotePrefix="0" xfId="0">
      <alignment vertical="top" wrapText="1"/>
    </xf>
    <xf numFmtId="0" fontId="73" fillId="26" borderId="0" applyAlignment="1" pivotButton="0" quotePrefix="0" xfId="0">
      <alignment horizontal="left" vertical="center" wrapText="1"/>
    </xf>
    <xf numFmtId="0" fontId="74" fillId="26" borderId="0" applyAlignment="1" pivotButton="0" quotePrefix="0" xfId="0">
      <alignment vertical="center" wrapText="1"/>
    </xf>
    <xf numFmtId="0" fontId="79" fillId="27" borderId="0" applyAlignment="1" pivotButton="0" quotePrefix="0" xfId="0">
      <alignment vertical="top" wrapText="1"/>
    </xf>
    <xf numFmtId="0" fontId="80" fillId="25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3" fillId="28" borderId="0" applyAlignment="1" pivotButton="0" quotePrefix="0" xfId="0">
      <alignment horizontal="left" vertical="center"/>
    </xf>
    <xf numFmtId="0" fontId="74" fillId="28" borderId="0" applyAlignment="1" pivotButton="0" quotePrefix="0" xfId="0">
      <alignment vertical="center" wrapText="1"/>
    </xf>
    <xf numFmtId="0" fontId="82" fillId="29" borderId="0" applyAlignment="1" pivotButton="0" quotePrefix="0" xfId="0">
      <alignment vertical="top" wrapText="1"/>
    </xf>
    <xf numFmtId="0" fontId="83" fillId="30" borderId="0" applyAlignment="1" pivotButton="0" quotePrefix="0" xfId="0">
      <alignment vertical="top" wrapText="1"/>
    </xf>
    <xf numFmtId="0" fontId="73" fillId="31" borderId="0" applyAlignment="1" pivotButton="0" quotePrefix="0" xfId="0">
      <alignment horizontal="left" vertical="center"/>
    </xf>
    <xf numFmtId="0" fontId="74" fillId="31" borderId="0" applyAlignment="1" pivotButton="0" quotePrefix="0" xfId="0">
      <alignment vertical="center" wrapText="1"/>
    </xf>
    <xf numFmtId="0" fontId="84" fillId="30" borderId="0" applyAlignment="1" pivotButton="0" quotePrefix="0" xfId="0">
      <alignment vertical="top" wrapText="1"/>
    </xf>
    <xf numFmtId="0" fontId="73" fillId="32" borderId="0" applyAlignment="1" pivotButton="0" quotePrefix="0" xfId="0">
      <alignment horizontal="left" vertical="center"/>
    </xf>
    <xf numFmtId="0" fontId="74" fillId="32" borderId="0" applyAlignment="1" pivotButton="0" quotePrefix="0" xfId="0">
      <alignment vertical="center" wrapText="1"/>
    </xf>
    <xf numFmtId="0" fontId="85" fillId="33" borderId="0" applyAlignment="1" pivotButton="0" quotePrefix="0" xfId="0">
      <alignment vertical="top" wrapText="1"/>
    </xf>
    <xf numFmtId="0" fontId="86" fillId="0" borderId="0" applyAlignment="1" pivotButton="0" quotePrefix="0" xfId="0">
      <alignment vertical="top" wrapText="1"/>
    </xf>
    <xf numFmtId="169" fontId="26" fillId="0" borderId="3" pivotButton="0" quotePrefix="0" xfId="0"/>
    <xf numFmtId="169" fontId="46" fillId="0" borderId="4" pivotButton="0" quotePrefix="0" xfId="0"/>
    <xf numFmtId="169" fontId="49" fillId="0" borderId="2" pivotButton="0" quotePrefix="0" xfId="0"/>
    <xf numFmtId="169" fontId="50" fillId="0" borderId="2" pivotButton="0" quotePrefix="0" xfId="0"/>
    <xf numFmtId="169" fontId="53" fillId="7" borderId="0" pivotButton="0" quotePrefix="0" xfId="0"/>
    <xf numFmtId="169" fontId="54" fillId="7" borderId="0" pivotButton="0" quotePrefix="0" xfId="0"/>
    <xf numFmtId="169" fontId="72" fillId="9" borderId="2" applyAlignment="1" pivotButton="0" quotePrefix="0" xfId="0">
      <alignment horizontal="right"/>
    </xf>
    <xf numFmtId="169" fontId="42" fillId="0" borderId="2" applyAlignment="1" pivotButton="0" quotePrefix="0" xfId="0">
      <alignment horizontal="right"/>
    </xf>
    <xf numFmtId="169" fontId="69" fillId="0" borderId="2" applyAlignment="1" pivotButton="0" quotePrefix="0" xfId="0">
      <alignment horizontal="right"/>
    </xf>
    <xf numFmtId="170" fontId="69" fillId="0" borderId="2" applyAlignment="1" pivotButton="0" quotePrefix="0" xfId="0">
      <alignment horizontal="right"/>
    </xf>
    <xf numFmtId="0" fontId="87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8" fillId="2" borderId="0" applyAlignment="1" pivotButton="0" quotePrefix="0" xfId="0">
      <alignment horizontal="left" vertical="center"/>
    </xf>
    <xf numFmtId="0" fontId="88" fillId="0" borderId="0" applyAlignment="1" pivotButton="0" quotePrefix="0" xfId="0">
      <alignment horizontal="left" vertical="center"/>
    </xf>
    <xf numFmtId="0" fontId="42" fillId="18" borderId="2" applyAlignment="1" pivotButton="0" quotePrefix="0" xfId="0">
      <alignment horizontal="center" vertical="center"/>
    </xf>
    <xf numFmtId="0" fontId="41" fillId="0" borderId="0" applyAlignment="1" pivotButton="0" quotePrefix="0" xfId="0">
      <alignment vertical="center"/>
    </xf>
    <xf numFmtId="0" fontId="89" fillId="18" borderId="2" applyAlignment="1" pivotButton="0" quotePrefix="0" xfId="0">
      <alignment horizontal="center" vertical="center"/>
    </xf>
    <xf numFmtId="0" fontId="60" fillId="1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/>
    </xf>
    <xf numFmtId="0" fontId="90" fillId="18" borderId="35" applyAlignment="1" pivotButton="0" quotePrefix="0" xfId="0">
      <alignment vertical="center" indent="1"/>
    </xf>
    <xf numFmtId="0" fontId="0" fillId="18" borderId="36" pivotButton="0" quotePrefix="0" xfId="0"/>
    <xf numFmtId="0" fontId="91" fillId="11" borderId="2" applyAlignment="1" pivotButton="0" quotePrefix="0" xfId="0">
      <alignment horizontal="center" vertical="center"/>
    </xf>
    <xf numFmtId="0" fontId="90" fillId="18" borderId="44" applyAlignment="1" pivotButton="0" quotePrefix="0" xfId="0">
      <alignment vertical="center" indent="1"/>
    </xf>
    <xf numFmtId="0" fontId="93" fillId="12" borderId="2" applyAlignment="1" pivotButton="0" quotePrefix="0" xfId="0">
      <alignment horizontal="center" vertical="center"/>
    </xf>
    <xf numFmtId="0" fontId="90" fillId="18" borderId="47" applyAlignment="1" pivotButton="0" quotePrefix="0" xfId="0">
      <alignment vertical="center" indent="1"/>
    </xf>
    <xf numFmtId="0" fontId="95" fillId="35" borderId="2" applyAlignment="1" pivotButton="0" quotePrefix="0" xfId="0">
      <alignment horizontal="center" vertical="center"/>
    </xf>
    <xf numFmtId="0" fontId="90" fillId="18" borderId="50" applyAlignment="1" pivotButton="0" quotePrefix="0" xfId="0">
      <alignment vertical="center" indent="1"/>
    </xf>
    <xf numFmtId="0" fontId="96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9" fontId="92" fillId="18" borderId="38" applyAlignment="1" pivotButton="0" quotePrefix="0" xfId="0">
      <alignment vertical="center" indent="1"/>
    </xf>
    <xf numFmtId="169" fontId="94" fillId="18" borderId="45" applyAlignment="1" pivotButton="0" quotePrefix="0" xfId="0">
      <alignment vertical="center" indent="1"/>
    </xf>
    <xf numFmtId="169" fontId="92" fillId="18" borderId="48" applyAlignment="1" pivotButton="0" quotePrefix="0" xfId="0">
      <alignment vertical="center" indent="1"/>
    </xf>
    <xf numFmtId="0" fontId="92" fillId="18" borderId="51" applyAlignment="1" pivotButton="0" quotePrefix="0" xfId="0">
      <alignment vertical="center" indent="1"/>
    </xf>
    <xf numFmtId="0" fontId="39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9" fillId="18" borderId="46" applyAlignment="1" pivotButton="0" quotePrefix="0" xfId="0">
      <alignment vertical="center" indent="1"/>
    </xf>
    <xf numFmtId="0" fontId="39" fillId="18" borderId="49" applyAlignment="1" pivotButton="0" quotePrefix="0" xfId="0">
      <alignment vertical="center" indent="1"/>
    </xf>
    <xf numFmtId="0" fontId="39" fillId="18" borderId="52" applyAlignment="1" pivotButton="0" quotePrefix="0" xfId="0">
      <alignment vertical="center" indent="1"/>
    </xf>
    <xf numFmtId="0" fontId="97" fillId="0" borderId="0" pivotButton="0" quotePrefix="0" xfId="0"/>
    <xf numFmtId="0" fontId="98" fillId="35" borderId="2" applyAlignment="1" pivotButton="0" quotePrefix="0" xfId="0">
      <alignment horizontal="center" vertical="center"/>
    </xf>
    <xf numFmtId="0" fontId="99" fillId="19" borderId="2" applyAlignment="1" pivotButton="0" quotePrefix="0" xfId="0">
      <alignment horizontal="center" vertical="center"/>
    </xf>
    <xf numFmtId="0" fontId="60" fillId="7" borderId="53" applyAlignment="1" pivotButton="0" quotePrefix="0" xfId="0">
      <alignment horizontal="left" vertical="center" indent="1"/>
    </xf>
    <xf numFmtId="0" fontId="60" fillId="7" borderId="53" applyAlignment="1" pivotButton="0" quotePrefix="0" xfId="0">
      <alignment horizontal="center" vertical="center"/>
    </xf>
    <xf numFmtId="0" fontId="100" fillId="18" borderId="2" applyAlignment="1" pivotButton="0" quotePrefix="0" xfId="0">
      <alignment horizontal="center" vertical="center"/>
    </xf>
    <xf numFmtId="0" fontId="42" fillId="18" borderId="2" applyAlignment="1" pivotButton="0" quotePrefix="0" xfId="0">
      <alignment vertical="center" indent="1"/>
    </xf>
    <xf numFmtId="169" fontId="42" fillId="18" borderId="2" applyAlignment="1" pivotButton="0" quotePrefix="0" xfId="0">
      <alignment horizontal="right" vertical="center"/>
    </xf>
    <xf numFmtId="169" fontId="67" fillId="18" borderId="2" applyAlignment="1" pivotButton="0" quotePrefix="0" xfId="0">
      <alignment horizontal="right" vertical="center"/>
    </xf>
    <xf numFmtId="0" fontId="101" fillId="18" borderId="2" applyAlignment="1" pivotButton="0" quotePrefix="0" xfId="0">
      <alignment horizontal="center" vertical="center"/>
    </xf>
    <xf numFmtId="0" fontId="102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100" fillId="19" borderId="2" applyAlignment="1" pivotButton="0" quotePrefix="0" xfId="0">
      <alignment horizontal="center" vertical="center"/>
    </xf>
    <xf numFmtId="0" fontId="42" fillId="19" borderId="2" applyAlignment="1" pivotButton="0" quotePrefix="0" xfId="0">
      <alignment vertical="center" indent="1"/>
    </xf>
    <xf numFmtId="169" fontId="42" fillId="19" borderId="2" applyAlignment="1" pivotButton="0" quotePrefix="0" xfId="0">
      <alignment horizontal="right" vertical="center"/>
    </xf>
    <xf numFmtId="169" fontId="67" fillId="19" borderId="2" applyAlignment="1" pivotButton="0" quotePrefix="0" xfId="0">
      <alignment horizontal="right" vertical="center"/>
    </xf>
    <xf numFmtId="0" fontId="101" fillId="19" borderId="2" applyAlignment="1" pivotButton="0" quotePrefix="0" xfId="0">
      <alignment horizontal="center" vertical="center"/>
    </xf>
    <xf numFmtId="0" fontId="103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104" fillId="16" borderId="2" applyAlignment="1" pivotButton="0" quotePrefix="0" xfId="0">
      <alignment horizontal="center" vertical="center"/>
    </xf>
    <xf numFmtId="0" fontId="105" fillId="37" borderId="2" applyAlignment="1" pivotButton="0" quotePrefix="0" xfId="0">
      <alignment horizontal="center" vertical="center"/>
    </xf>
    <xf numFmtId="0" fontId="12" fillId="7" borderId="54" applyAlignment="1" pivotButton="0" quotePrefix="0" xfId="0">
      <alignment vertical="center" indent="1"/>
    </xf>
    <xf numFmtId="169" fontId="106" fillId="7" borderId="54" applyAlignment="1" pivotButton="0" quotePrefix="0" xfId="0">
      <alignment horizontal="right" vertical="center"/>
    </xf>
    <xf numFmtId="169" fontId="107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8" fillId="7" borderId="54" applyAlignment="1" pivotButton="0" quotePrefix="0" xfId="0">
      <alignment horizontal="center" vertical="center"/>
    </xf>
    <xf numFmtId="0" fontId="109" fillId="18" borderId="55" applyAlignment="1" pivotButton="0" quotePrefix="0" xfId="0">
      <alignment vertical="center" indent="1"/>
    </xf>
    <xf numFmtId="0" fontId="0" fillId="18" borderId="37" pivotButton="0" quotePrefix="0" xfId="0"/>
    <xf numFmtId="0" fontId="115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10" fillId="18" borderId="56" applyAlignment="1" pivotButton="0" quotePrefix="0" xfId="0">
      <alignment vertical="center" indent="1"/>
    </xf>
    <xf numFmtId="0" fontId="101" fillId="18" borderId="56" pivotButton="0" quotePrefix="0" xfId="0"/>
    <xf numFmtId="0" fontId="110" fillId="18" borderId="40" pivotButton="0" quotePrefix="0" xfId="0"/>
    <xf numFmtId="0" fontId="16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11" fillId="18" borderId="56" applyAlignment="1" pivotButton="0" quotePrefix="0" xfId="0">
      <alignment vertical="center" indent="1"/>
    </xf>
    <xf numFmtId="0" fontId="58" fillId="17" borderId="61" applyAlignment="1" pivotButton="0" quotePrefix="0" xfId="0">
      <alignment vertical="center" indent="1"/>
    </xf>
    <xf numFmtId="0" fontId="112" fillId="18" borderId="56" applyAlignment="1" pivotButton="0" quotePrefix="0" xfId="0">
      <alignment vertical="center" indent="1"/>
    </xf>
    <xf numFmtId="0" fontId="0" fillId="35" borderId="2" pivotButton="0" quotePrefix="0" xfId="0"/>
    <xf numFmtId="0" fontId="113" fillId="18" borderId="56" applyAlignment="1" pivotButton="0" quotePrefix="0" xfId="0">
      <alignment vertical="center" indent="1"/>
    </xf>
    <xf numFmtId="0" fontId="114" fillId="38" borderId="2" applyAlignment="1" pivotButton="0" quotePrefix="0" xfId="0">
      <alignment horizontal="center" vertical="center"/>
    </xf>
    <xf numFmtId="0" fontId="116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24" fillId="0" borderId="7" pivotButton="0" quotePrefix="0" xfId="0"/>
    <xf numFmtId="0" fontId="110" fillId="0" borderId="7" pivotButton="0" quotePrefix="0" xfId="0"/>
    <xf numFmtId="0" fontId="117" fillId="12" borderId="63" applyAlignment="1" pivotButton="0" quotePrefix="0" xfId="0">
      <alignment vertical="center" indent="1"/>
    </xf>
    <xf numFmtId="0" fontId="122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8" fillId="18" borderId="64" pivotButton="0" quotePrefix="0" xfId="0"/>
    <xf numFmtId="0" fontId="119" fillId="18" borderId="39" applyAlignment="1" pivotButton="0" quotePrefix="0" xfId="0">
      <alignment horizontal="right" vertical="center"/>
    </xf>
    <xf numFmtId="0" fontId="118" fillId="18" borderId="68" pivotButton="0" quotePrefix="0" xfId="0"/>
    <xf numFmtId="0" fontId="123" fillId="18" borderId="39" applyAlignment="1" pivotButton="0" quotePrefix="0" xfId="0">
      <alignment horizontal="right" vertical="center"/>
    </xf>
    <xf numFmtId="169" fontId="109" fillId="18" borderId="39" applyAlignment="1" pivotButton="0" quotePrefix="0" xfId="0">
      <alignment horizontal="right" vertical="center"/>
    </xf>
    <xf numFmtId="169" fontId="120" fillId="18" borderId="39" applyAlignment="1" pivotButton="0" quotePrefix="0" xfId="0">
      <alignment horizontal="right" vertical="center"/>
    </xf>
    <xf numFmtId="170" fontId="120" fillId="18" borderId="39" applyAlignment="1" pivotButton="0" quotePrefix="0" xfId="0">
      <alignment horizontal="right" vertical="center"/>
    </xf>
    <xf numFmtId="0" fontId="120" fillId="18" borderId="39" applyAlignment="1" pivotButton="0" quotePrefix="0" xfId="0">
      <alignment horizontal="right" vertical="center"/>
    </xf>
    <xf numFmtId="0" fontId="121" fillId="12" borderId="66" applyAlignment="1" pivotButton="0" quotePrefix="0" xfId="0">
      <alignment horizontal="center" vertical="center"/>
    </xf>
    <xf numFmtId="0" fontId="72" fillId="11" borderId="70" applyAlignment="1" pivotButton="0" quotePrefix="0" xfId="0">
      <alignment horizontal="center" vertical="center"/>
    </xf>
    <xf numFmtId="0" fontId="97" fillId="18" borderId="55" applyAlignment="1" pivotButton="0" quotePrefix="0" xfId="0">
      <alignment vertical="center" indent="1"/>
    </xf>
    <xf numFmtId="0" fontId="0" fillId="18" borderId="56" pivotButton="0" quotePrefix="0" xfId="0"/>
    <xf numFmtId="0" fontId="109" fillId="18" borderId="56" applyAlignment="1" pivotButton="0" quotePrefix="0" xfId="0">
      <alignment vertical="center" indent="1"/>
    </xf>
    <xf numFmtId="0" fontId="101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7"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3261E"/>
      </font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Kaçırılan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Vaka Beklenen vs Hesaplanan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'VAKALAR'!J5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'VAKALAR'!$J$6:$J$9</f>
            </numRef>
          </val>
        </ser>
        <ser>
          <idx val="1"/>
          <order val="1"/>
          <tx>
            <strRef>
              <f>'VAKALAR'!K5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'VAKALAR'!$A$6:$A$9</f>
            </numRef>
          </cat>
          <val>
            <numRef>
              <f>'VAKALAR'!$K$6:$K$9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Kaçırılan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'ORNEK_VERI'!L5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'ORNEK_VERI'!$A$6:$A$10</f>
            </numRef>
          </cat>
          <val>
            <numRef>
              <f>'ORNEK_VERI'!$L$6:$L$10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5" authorId="0" shapeId="0">
      <text>
        <t>Tanım: Adım 1 — Girdiler | Neden önemli: KİK sınır değer ve aşırı düşük savunmayı etkiler | Doğru kullanım: Sırayla izleyin | Örnek: demo satırına bakın | Yanlışsa: Sapma ve karar bozulur | Kaynak: [Assumption] KİK sınır değer</t>
      </text>
    </comment>
    <comment ref="A6" authorId="0" shapeId="0">
      <text>
        <t>Tanım: Adım 2 — Karar | Neden önemli: KİK sınır değer ve aşırı düşük savunmayı etkiler | Doğru kullanım: Sırayla izleyin | Örnek: demo satırına bakın | Yanlışsa: Sapma ve karar bozulur | Kaynak: [Assumption] KİK sınır değer</t>
      </text>
    </comment>
    <comment ref="A7" authorId="0" shapeId="0">
      <text>
        <t>Tanım: Adım 3 — Kanıt | Neden önemli: KİK sınır değer ve aşırı düşük savunmayı etkiler | Doğru kullanım: Sırayla izleyin | Örnek: demo satırına bakın | Yanlışsa: Sapma ve karar bozulur | Kaynak: [Assumption] KİK sınır değer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B6" authorId="0" shapeId="0">
      <text>
        <t>Tanım: İhale Adı | Neden önemli: KİK sınır değer ve aşırı düşük savunmayı etkiler | Doğru kullanım: İhale / iş adını yazın. | Örnek: demo satırına bakın | Yanlışsa: Sapma ve karar bozulur | Kaynak: [Assumption] KİK sınır değer</t>
      </text>
    </comment>
    <comment ref="B7" authorId="0" shapeId="0">
      <text>
        <t>Tanım: İhale Numarası / Dönem | Neden önemli: KİK sınır değer ve aşırı düşük savunmayı etkiler | Doğru kullanım: İhale referansını yazın (ör. 2025-IH-014). | Örnek: demo satırına bakın | Yanlışsa: Sapma ve karar bozulur | Kaynak: [Assumption] KİK sınır değer</t>
      </text>
    </comment>
    <comment ref="B8" authorId="0" shapeId="0">
      <text>
        <t>Tanım: Hesap Yılı | Neden önemli: KİK sınır değer ve aşırı düşük savunmayı etkiler | Doğru kullanım: 2025, 2026 veya 2027 seçin. | Örnek: demo satırına bakın | Yanlışsa: Sapma ve karar bozulur | Kaynak: [Assumption] KİK sınır değer</t>
      </text>
    </comment>
    <comment ref="B9" authorId="0" shapeId="0">
      <text>
        <t>Tanım: Yaklaşık Maliyet [₺] | Neden önemli: KİK sınır değer ve aşırı düşük savunmayı etkiler | Doğru kullanım: İhale yaklaşık maliyetini KDV hariç TL girin. | Örnek: demo satırına bakın | Yanlışsa: Sapma ve karar bozulur | Kaynak: [Assumption] KİK sınır değer</t>
      </text>
    </comment>
    <comment ref="B10" authorId="0" shapeId="0">
      <text>
        <t>Tanım: Teklif Tutarı [₺] | Neden önemli: KİK sınır değer ve aşırı düşük savunmayı etkiler | Doğru kullanım: Sunulan teklif bedelini TL girin. | Örnek: demo satırına bakın | Yanlışsa: Sapma ve karar bozulur | Kaynak: [Assumption] KİK sınır değer</t>
      </text>
    </comment>
    <comment ref="B11" authorId="0" shapeId="0">
      <text>
        <t>Tanım: İşçilik Maliyeti [₺] | Neden önemli: KİK sınır değer ve aşırı düşük savunmayı etkiler | Doğru kullanım: Teklif içi işçilik maliyetini girin. | Örnek: demo satırına bakın | Yanlışsa: Sapma ve karar bozulur | Kaynak: [Assumption] KİK sınır değer</t>
      </text>
    </comment>
    <comment ref="B12" authorId="0" shapeId="0">
      <text>
        <t>Tanım: Malzeme Maliyeti [₺] | Neden önemli: KİK sınır değer ve aşırı düşük savunmayı etkiler | Doğru kullanım: Teklif içi malzeme maliyetini girin. | Örnek: demo satırına bakın | Yanlışsa: Sapma ve karar bozulur | Kaynak: [Assumption] KİK sınır değer</t>
      </text>
    </comment>
    <comment ref="B13" authorId="0" shapeId="0">
      <text>
        <t>Tanım: Genel Gider [₺] | Neden önemli: KİK sınır değer ve aşırı düşük savunmayı etkiler | Doğru kullanım: Genel gider tutarını girin. | Örnek: demo satırına bakın | Yanlışsa: Sapma ve karar bozulur | Kaynak: [Assumption] KİK sınır değer</t>
      </text>
    </comment>
    <comment ref="B14" authorId="0" shapeId="0">
      <text>
        <t>Tanım: Kâr [₺] | Neden önemli: KİK sınır değer ve aşırı düşük savunmayı etkiler | Doğru kullanım: Teklife gömülü kâr tutarını girin. | Örnek: demo satırına bakın | Yanlışsa: Sapma ve karar bozulur | Kaynak: [Assumption] KİK sınır değer</t>
      </text>
    </comment>
    <comment ref="B15" authorId="0" shapeId="0">
      <text>
        <t>Tanım: Savunma Dayanak Adedi | Neden önemli: KİK sınır değer ve aşırı düşük savunmayı etkiler | Doğru kullanım: Açıklama dayanak / belge adedini yazın. | Örnek: demo satırına bakın | Yanlışsa: Sapma ve karar bozulur | Kaynak: [Assumption] KİK sınır değer</t>
      </text>
    </comment>
    <comment ref="B16" authorId="0" shapeId="0">
      <text>
        <t>Tanım: Yorum Modu (A/B) | Neden önemli: KİK sınır değer ve aşırı düşük savunmayı etkiler | Doğru kullanım: Sınır hesap yorumu A (katsayı) veya B (sıkı) seçin. | Örnek: demo satırına bakın | Yanlışsa: Sapma ve karar bozulur | Kaynak: [Assumption] KİK sınır değer</t>
      </text>
    </comment>
    <comment ref="A24" authorId="0" shapeId="0">
      <text>
        <t>Tanım: ihale_adi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24" authorId="0" shapeId="0">
      <text>
        <t>Tanım: ihale_adi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24" authorId="0" shapeId="0">
      <text>
        <t>Tanım: ihale_adi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24" authorId="0" shapeId="0">
      <text>
        <t>Tanım: ihale_adi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24" authorId="0" shapeId="0">
      <text>
        <t>Tanım: ihale_adi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25" authorId="0" shapeId="0">
      <text>
        <t>Tanım: donem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25" authorId="0" shapeId="0">
      <text>
        <t>Tanım: donem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25" authorId="0" shapeId="0">
      <text>
        <t>Tanım: donem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25" authorId="0" shapeId="0">
      <text>
        <t>Tanım: donem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25" authorId="0" shapeId="0">
      <text>
        <t>Tanım: donem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26" authorId="0" shapeId="0">
      <text>
        <t>Tanım: hesapYili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26" authorId="0" shapeId="0">
      <text>
        <t>Tanım: hesapYili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26" authorId="0" shapeId="0">
      <text>
        <t>Tanım: hesapYili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26" authorId="0" shapeId="0">
      <text>
        <t>Tanım: hesapYili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26" authorId="0" shapeId="0">
      <text>
        <t>Tanım: hesapYili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27" authorId="0" shapeId="0">
      <text>
        <t>Tanım: yaklasik_maliyet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27" authorId="0" shapeId="0">
      <text>
        <t>Tanım: yaklasik_maliyet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27" authorId="0" shapeId="0">
      <text>
        <t>Tanım: yaklasik_maliyet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27" authorId="0" shapeId="0">
      <text>
        <t>Tanım: yaklasik_maliyet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27" authorId="0" shapeId="0">
      <text>
        <t>Tanım: yaklasik_maliyet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28" authorId="0" shapeId="0">
      <text>
        <t>Tanım: teklif_tutari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28" authorId="0" shapeId="0">
      <text>
        <t>Tanım: teklif_tutari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28" authorId="0" shapeId="0">
      <text>
        <t>Tanım: teklif_tutari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28" authorId="0" shapeId="0">
      <text>
        <t>Tanım: teklif_tutari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28" authorId="0" shapeId="0">
      <text>
        <t>Tanım: teklif_tutari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29" authorId="0" shapeId="0">
      <text>
        <t>Tanım: iscilik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29" authorId="0" shapeId="0">
      <text>
        <t>Tanım: iscilik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29" authorId="0" shapeId="0">
      <text>
        <t>Tanım: iscilik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29" authorId="0" shapeId="0">
      <text>
        <t>Tanım: iscilik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29" authorId="0" shapeId="0">
      <text>
        <t>Tanım: iscilik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30" authorId="0" shapeId="0">
      <text>
        <t>Tanım: malzeme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30" authorId="0" shapeId="0">
      <text>
        <t>Tanım: malzeme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30" authorId="0" shapeId="0">
      <text>
        <t>Tanım: malzeme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30" authorId="0" shapeId="0">
      <text>
        <t>Tanım: malzeme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30" authorId="0" shapeId="0">
      <text>
        <t>Tanım: malzeme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31" authorId="0" shapeId="0">
      <text>
        <t>Tanım: genel_gider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31" authorId="0" shapeId="0">
      <text>
        <t>Tanım: genel_gider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31" authorId="0" shapeId="0">
      <text>
        <t>Tanım: genel_gider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31" authorId="0" shapeId="0">
      <text>
        <t>Tanım: genel_gider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31" authorId="0" shapeId="0">
      <text>
        <t>Tanım: genel_gider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32" authorId="0" shapeId="0">
      <text>
        <t>Tanım: kar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32" authorId="0" shapeId="0">
      <text>
        <t>Tanım: kar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32" authorId="0" shapeId="0">
      <text>
        <t>Tanım: kar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32" authorId="0" shapeId="0">
      <text>
        <t>Tanım: kar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32" authorId="0" shapeId="0">
      <text>
        <t>Tanım: kar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33" authorId="0" shapeId="0">
      <text>
        <t>Tanım: dayanak_adet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33" authorId="0" shapeId="0">
      <text>
        <t>Tanım: dayanak_adet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33" authorId="0" shapeId="0">
      <text>
        <t>Tanım: dayanak_adet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33" authorId="0" shapeId="0">
      <text>
        <t>Tanım: dayanak_adet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33" authorId="0" shapeId="0">
      <text>
        <t>Tanım: dayanak_adet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A34" authorId="0" shapeId="0">
      <text>
        <t>Tanım: yorum_modu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B34" authorId="0" shapeId="0">
      <text>
        <t>Tanım: yorum_modu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C34" authorId="0" shapeId="0">
      <text>
        <t>Tanım: yorum_modu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D34" authorId="0" shapeId="0">
      <text>
        <t>Tanım: yorum_modu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  <comment ref="E34" authorId="0" shapeId="0">
      <text>
        <t>Tanım: yorum_modu | Neden önemli: KİK sınır değer ve aşırı düşük savunmayı etkiler | Doğru kullanım: Tablo girişi; PANO ile senkron tutun | Örnek: demo satırına bakın | Yanlışsa: Sapma ve karar bozulur | Kaynak: [Assumption] KİK sınır değer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F7" authorId="0" shapeId="0">
      <text>
        <t>Tanım: sinir_katsayi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G7" authorId="0" shapeId="0">
      <text>
        <t>Tanım: sinir_katsayi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H7" authorId="0" shapeId="0">
      <text>
        <t>Tanım: sinir_katsayi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F8" authorId="0" shapeId="0">
      <text>
        <t>Tanım: savunulabilir_sapma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G8" authorId="0" shapeId="0">
      <text>
        <t>Tanım: savunulabilir_sapma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H8" authorId="0" shapeId="0">
      <text>
        <t>Tanım: savunulabilir_sapma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F9" authorId="0" shapeId="0">
      <text>
        <t>Tanım: incele_sapma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G9" authorId="0" shapeId="0">
      <text>
        <t>Tanım: incele_sapma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H9" authorId="0" shapeId="0">
      <text>
        <t>Tanım: incele_sapma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F10" authorId="0" shapeId="0">
      <text>
        <t>Tanım: riskli_sapma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G10" authorId="0" shapeId="0">
      <text>
        <t>Tanım: riskli_sapma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H10" authorId="0" shapeId="0">
      <text>
        <t>Tanım: riskli_sapma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F11" authorId="0" shapeId="0">
      <text>
        <t>Tanım: yuvarlama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G11" authorId="0" shapeId="0">
      <text>
        <t>Tanım: yuvarlama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  <comment ref="H11" authorId="0" shapeId="0">
      <text>
        <t>Tanım: yuvarlama | Neden önemli: KİK sınır değer ve aşırı düşük savunmayı etkiler | Doğru kullanım: Yıl bazlı parametre; kaynak kolonuna bakın | Örnek: demo satırına bakın | Yanlışsa: Sapma ve karar bozulur | Kaynak: [Assumption] KİK sınır değer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29" authorId="0" shapeId="0">
      <text>
        <t>Tanım: İmza | Neden önemli: KİK sınır değer ve aşırı düşük savunmayı etkiler | Doğru kullanım: Raporu hazırlayan kişinin adını yazın. | Örnek: demo satırına bakın | Yanlışsa: Sapma ve karar bozulur | Kaynak: [Assumption] KİK sınır değer</t>
      </text>
    </comment>
    <comment ref="B30" authorId="0" shapeId="0">
      <text>
        <t>Tanım: Onay | Neden önemli: KİK sınır değer ve aşırı düşük savunmayı etkiler | Doğru kullanım: Onaylayan kişinin adını yazın. | Örnek: demo satırına bakın | Yanlışsa: Sapma ve karar bozulur | Kaynak: [Assumption] KİK sınır değer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5" authorId="0" shapeId="0">
      <text>
        <t>Tanım: Giriş tablosu boş mu? | Canlı formül | Değiştirmeyin</t>
      </text>
    </comment>
    <comment ref="B6" authorId="0" shapeId="0">
      <text>
        <t>Tanım: Negatif brüt matrah? | Canlı formül | Değiştirmeyin</t>
      </text>
    </comment>
    <comment ref="B7" authorId="0" shapeId="0">
      <text>
        <t>Tanım: Hesap yılı geçerli mi? | Canlı formül | Değiştirmeyin</t>
      </text>
    </comment>
    <comment ref="B8" authorId="0" shapeId="0">
      <text>
        <t>Tanım: Matrah sıfır mı? | Canlı formül | Değiştirmeyin</t>
      </text>
    </comment>
    <comment ref="B9" authorId="0" shapeId="0">
      <text>
        <t>Tanım: Vaka kırık mı? | Canlı formül | Değiştirmeyin</t>
      </text>
    </comment>
    <comment ref="B10" authorId="0" shapeId="0">
      <text>
        <t>Tanım: Kaçırılan eşiği aşıyor mu? | Canlı formül | Değiştirmeyin</t>
      </text>
    </comment>
    <comment ref="B11" authorId="0" shapeId="0">
      <text>
        <t>Tanım: Yorum A/B seçili mi? | Canlı formül | Değiştirmeyin</t>
      </text>
    </comment>
    <comment ref="B12" authorId="0" shapeId="0">
      <text>
        <t>Tanım: Motor adım sayısı | Canlı formül | Değiştirmeyin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B6" authorId="0" shapeId="0">
      <text>
        <t>Tanım: Yaklaşık Maliyet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C6" authorId="0" shapeId="0">
      <text>
        <t>Tanım: İşçilik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D6" authorId="0" shapeId="0">
      <text>
        <t>Tanım: Malzeme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E6" authorId="0" shapeId="0">
      <text>
        <t>Tanım: Genel Gider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F6" authorId="0" shapeId="0">
      <text>
        <t>Tanım: Kâr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G6" authorId="0" shapeId="0">
      <text>
        <t>Tanım: Dayanak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A7" authorId="0" shapeId="0">
      <text>
        <t>Tanım: Senaryo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B7" authorId="0" shapeId="0">
      <text>
        <t>Tanım: Yaklaşık Maliyet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C7" authorId="0" shapeId="0">
      <text>
        <t>Tanım: İşçilik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D7" authorId="0" shapeId="0">
      <text>
        <t>Tanım: Malzeme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E7" authorId="0" shapeId="0">
      <text>
        <t>Tanım: Genel Gider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F7" authorId="0" shapeId="0">
      <text>
        <t>Tanım: Kâr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G7" authorId="0" shapeId="0">
      <text>
        <t>Tanım: Dayanak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A8" authorId="0" shapeId="0">
      <text>
        <t>Tanım: Senaryo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B8" authorId="0" shapeId="0">
      <text>
        <t>Tanım: Yaklaşık Maliyet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C8" authorId="0" shapeId="0">
      <text>
        <t>Tanım: İşçilik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D8" authorId="0" shapeId="0">
      <text>
        <t>Tanım: Malzeme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E8" authorId="0" shapeId="0">
      <text>
        <t>Tanım: Genel Gider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F8" authorId="0" shapeId="0">
      <text>
        <t>Tanım: Kâr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G8" authorId="0" shapeId="0">
      <text>
        <t>Tanım: Dayanak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A9" authorId="0" shapeId="0">
      <text>
        <t>Tanım: Senaryo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B9" authorId="0" shapeId="0">
      <text>
        <t>Tanım: Yaklaşık Maliyet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C9" authorId="0" shapeId="0">
      <text>
        <t>Tanım: İşçilik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D9" authorId="0" shapeId="0">
      <text>
        <t>Tanım: Malzeme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E9" authorId="0" shapeId="0">
      <text>
        <t>Tanım: Genel Gider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F9" authorId="0" shapeId="0">
      <text>
        <t>Tanım: Kâr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G9" authorId="0" shapeId="0">
      <text>
        <t>Tanım: Dayanak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A10" authorId="0" shapeId="0">
      <text>
        <t>Tanım: Senaryo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B10" authorId="0" shapeId="0">
      <text>
        <t>Tanım: Yaklaşık Maliyet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C10" authorId="0" shapeId="0">
      <text>
        <t>Tanım: İşçilik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D10" authorId="0" shapeId="0">
      <text>
        <t>Tanım: Malzeme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E10" authorId="0" shapeId="0">
      <text>
        <t>Tanım: Genel Gider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F10" authorId="0" shapeId="0">
      <text>
        <t>Tanım: Kâr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G10" authorId="0" shapeId="0">
      <text>
        <t>Tanım: Dayanak | Neden önemli: KİK sınır değer ve aşırı düşük savunmayı etkiler | Doğru kullanım: Örnek senaryo değeri | Örnek: demo satırına bakın | Yanlışsa: Sapma ve karar bozulur | Kaynak: [Assumption] KİK sınır değer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Yıl | Neden önemli: KİK sınır değer ve aşırı düşük savunmayı etkiler | Doğru kullanım: Hesap yılı listesi | Örnek: demo satırına bakın | Yanlışsa: Sapma ve karar bozulur | Kaynak: [Assumption] KİK sınır değer</t>
      </text>
    </comment>
    <comment ref="C6" authorId="0" shapeId="0">
      <text>
        <t>Tanım: Yorum | Neden önemli: KİK sınır değer ve aşırı düşük savunmayı etkiler | Doğru kullanım: Birikim yorumu | Örnek: demo satırına bakın | Yanlışsa: Sapma ve karar bozulur | Kaynak: [Assumption] KİK sınır değer</t>
      </text>
    </comment>
    <comment ref="E6" authorId="0" shapeId="0">
      <text>
        <t>Tanım: Seçim | Neden önemli: KİK sınır değer ve aşırı düşük savunmayı etkiler | Doğru kullanım: Evet veya Hayır | Örnek: demo satırına bakın | Yanlışsa: Sapma ve karar bozulur | Kaynak: [Assumption] KİK sınır değer</t>
      </text>
    </comment>
    <comment ref="A7" authorId="0" shapeId="0">
      <text>
        <t>Tanım: Yıl | Neden önemli: KİK sınır değer ve aşırı düşük savunmayı etkiler | Doğru kullanım: Hesap yılı listesi | Örnek: demo satırına bakın | Yanlışsa: Sapma ve karar bozulur | Kaynak: [Assumption] KİK sınır değer</t>
      </text>
    </comment>
    <comment ref="C7" authorId="0" shapeId="0">
      <text>
        <t>Tanım: Yorum | Neden önemli: KİK sınır değer ve aşırı düşük savunmayı etkiler | Doğru kullanım: Birikim yorumu | Örnek: demo satırına bakın | Yanlışsa: Sapma ve karar bozulur | Kaynak: [Assumption] KİK sınır değer</t>
      </text>
    </comment>
    <comment ref="E7" authorId="0" shapeId="0">
      <text>
        <t>Tanım: Seçim | Neden önemli: KİK sınır değer ve aşırı düşük savunmayı etkiler | Doğru kullanım: Evet veya Hayır | Örnek: demo satırına bakın | Yanlışsa: Sapma ve karar bozulur | Kaynak: [Assumption] KİK sınır değer</t>
      </text>
    </comment>
    <comment ref="A8" authorId="0" shapeId="0">
      <text>
        <t>Tanım: Yıl | Neden önemli: KİK sınır değer ve aşırı düşük savunmayı etkiler | Doğru kullanım: Hesap yılı listesi | Örnek: demo satırına bakın | Yanlışsa: Sapma ve karar bozulur | Kaynak: [Assumption] KİK sınır değer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KİK sınır değer ve aşırı düşük savunmayı etkiler | Doğru kullanım: Aktif hesap yılı | Örnek: demo satırına bakın | Yanlışsa: Sapma ve karar bozulur | Kaynak: [Assumption] KİK sınır değer</t>
      </text>
    </comment>
    <comment ref="B7" authorId="0" shapeId="0">
      <text>
        <t>Tanım: raporTarihi | Neden önemli: KİK sınır değer ve aşırı düşük savunmayı etkiler | Doğru kullanım: Rapor tarihi (sabit) | Örnek: demo satırına bakın | Yanlışsa: Sapma ve karar bozulur | Kaynak: [Assumption] KİK sınır değer</t>
      </text>
    </comment>
    <comment ref="B8" authorId="0" shapeId="0">
      <text>
        <t>Tanım: kik_tolerans | Neden önemli: KİK sınır değer ve aşırı düşük savunmayı etkiler | Doğru kullanım: Vaka tutarlılık toleransı | Örnek: demo satırına bakın | Yanlışsa: Sapma ve karar bozulur | Kaynak: [Assumption] KİK sınır değer</t>
      </text>
    </comment>
    <comment ref="B9" authorId="0" shapeId="0">
      <text>
        <t>Tanım: kik_kacirilanEsik | Neden önemli: KİK sınır değer ve aşırı düşük savunmayı etkiler | Doğru kullanım: PANO kaçırılan uyarı eşiği | Örnek: demo satırına bakın | Yanlışsa: Sapma ve karar bozulur | Kaynak: [Assumption] KİK sınır değer</t>
      </text>
    </comment>
    <comment ref="B10" authorId="0" shapeId="0">
      <text>
        <t>Tanım: kik_senaryoIyi | Neden önemli: KİK sınır değer ve aşırı düşük savunmayı etkiler | Doğru kullanım: İyimser matrah çarpanı | Örnek: demo satırına bakın | Yanlışsa: Sapma ve karar bozulur | Kaynak: [Assumption] KİK sınır değer</t>
      </text>
    </comment>
    <comment ref="B11" authorId="0" shapeId="0">
      <text>
        <t>Tanım: kik_senaryoKotu | Neden önemli: KİK sınır değer ve aşırı düşük savunmayı etkiler | Doğru kullanım: Kötümser matrah çarpanı | Örnek: demo satırına bakın | Yanlışsa: Sapma ve karar bozulur | Kaynak: [Assumption] KİK sınır değer</t>
      </text>
    </comment>
    <comment ref="B12" authorId="0" shapeId="0">
      <text>
        <t>Tanım: kik_oranArtisPuan | Neden önemli: KİK sınır değer ve aşırı düşük savunmayı etkiler | Doğru kullanım: M-SEN +1 puan | Örnek: demo satırına bakın | Yanlışsa: Sapma ve karar bozulur | Kaynak: [Assumption] KİK sınır değer</t>
      </text>
    </comment>
    <comment ref="B13" authorId="0" shapeId="0">
      <text>
        <t>Tanım: kik_tahminAlt | Neden önemli: KİK sınır değer ve aşırı düşük savunmayı etkiler | Doğru kullanım: Tahmin alt bant | Örnek: demo satırına bakın | Yanlışsa: Sapma ve karar bozulur | Kaynak: [Assumption] KİK sınır değer</t>
      </text>
    </comment>
    <comment ref="B14" authorId="0" shapeId="0">
      <text>
        <t>Tanım: kik_tahminUst | Neden önemli: KİK sınır değer ve aşırı düşük savunmayı etkiler | Doğru kullanım: Tahmin üst bant | Örnek: demo satırına bakın | Yanlışsa: Sapma ve karar bozulur | Kaynak: [Assumption] KİK sınır değer</t>
      </text>
    </comment>
    <comment ref="B15" authorId="0" shapeId="0">
      <text>
        <t>Tanım: kik_tornadoMatrah | Neden önemli: KİK sınır değer ve aşırı düşük savunmayı etkiler | Doğru kullanım: Tornado matrah şoku | Örnek: demo satırına bakın | Yanlışsa: Sapma ve karar bozulur | Kaynak: [Assumption] KİK sınır değer</t>
      </text>
    </comment>
    <comment ref="B16" authorId="0" shapeId="0">
      <text>
        <t>Tanım: kik_tornadoMevcut | Neden önemli: KİK sınır değer ve aşırı düşük savunmayı etkiler | Doğru kullanım: Tornado mevcut şoku | Örnek: demo satırına bakın | Yanlışsa: Sapma ve karar bozulur | Kaynak: [Assumption] KİK sınır değer</t>
      </text>
    </comment>
    <comment ref="B17" authorId="0" shapeId="0">
      <text>
        <t>Tanım: kik_isverenOran | Neden önemli: KİK sınır değer ve aşırı düşük savunmayı etkiler | Doğru kullanım: N sıkılaştırma yedek katsayısı | Örnek: demo satırına bakın | Yanlışsa: Sapma ve karar bozulur | Kaynak: [Assumption] KİK sınır değer</t>
      </text>
    </comment>
    <comment ref="B18" authorId="0" shapeId="0">
      <text>
        <t>Tanım: kik_yuzdelikOran | Neden önemli: KİK sınır değer ve aşırı düşük savunmayı etkiler | Doğru kullanım: Yüzdelik P90 | Örnek: demo satırına bakın | Yanlışsa: Sapma ve karar bozulur | Kaynak: [Assumption] KİK sınır değer</t>
      </text>
    </comment>
    <comment ref="B19" authorId="0" shapeId="0">
      <text>
        <t>Tanım: kik_parmakIzi | Neden önemli: KİK sınır değer ve aşırı düşük savunmayı etkiler | Doğru kullanım: Dosya parmak izi etiketi | Örnek: demo satırına bakın | Yanlışsa: Sapma ve karar bozulur | Kaynak: [Assumption] KİK sınır değer</t>
      </text>
    </comment>
    <comment ref="B20" authorId="0" shapeId="0">
      <text>
        <t>Tanım: dosya_surumu | Neden önemli: KİK sınır değer ve aşırı düşük savunmayı etkiler | Doğru kullanım: Ürün sürümü | Örnek: demo satırına bakın | Yanlışsa: Sapma ve karar bozulur | Kaynak: [Assumption] KİK sınır değer</t>
      </text>
    </comment>
    <comment ref="B21" authorId="0" shapeId="0">
      <text>
        <t>Tanım: kik_girisBeklenen | Neden önemli: KİK sınır değer ve aşırı düşük savunmayı etkiler | Doğru kullanım: Zorunlu giriş alanı sayısı | Örnek: demo satırına bakın | Yanlışsa: Sapma ve karar bozulur | Kaynak: [Assumption] KİK sınır değer</t>
      </text>
    </comment>
    <comment ref="B22" authorId="0" shapeId="0">
      <text>
        <t>Tanım: kik_riskDusuk | Neden önemli: KİK sınır değer ve aşırı düşük savunmayı etkiler | Doğru kullanım: Düşük risk skoru | Örnek: demo satırına bakın | Yanlışsa: Sapma ve karar bozulur | Kaynak: [Assumption] KİK sınır değer</t>
      </text>
    </comment>
    <comment ref="B23" authorId="0" shapeId="0">
      <text>
        <t>Tanım: kik_riskOrta | Neden önemli: KİK sınır değer ve aşırı düşük savunmayı etkiler | Doğru kullanım: Orta risk skoru | Örnek: demo satırına bakın | Yanlışsa: Sapma ve karar bozulur | Kaynak: [Assumption] KİK sınır değer</t>
      </text>
    </comment>
    <comment ref="B24" authorId="0" shapeId="0">
      <text>
        <t>Tanım: kik_riskYuksek | Neden önemli: KİK sınır değer ve aşırı düşük savunmayı etkiler | Doğru kullanım: Yüksek risk skoru | Örnek: demo satırına bakın | Yanlışsa: Sapma ve karar bozulur | Kaynak: [Assumption] KİK sınır değer</t>
      </text>
    </comment>
    <comment ref="B25" authorId="0" shapeId="0">
      <text>
        <t>Tanım: kik_riskEsikOran | Neden önemli: KİK sınır değer ve aşırı düşük savunmayı etkiler | Doğru kullanım: Yüksek risk kaçırılan/potansiyel | Örnek: demo satırına bakın | Yanlışsa: Sapma ve karar bozulur | Kaynak: [Assumption] KİK sınır değer</t>
      </text>
    </comment>
    <comment ref="B26" authorId="0" shapeId="0">
      <text>
        <t>Tanım: kik_yilTaban | Neden önemli: KİK sınır değer ve aşırı düşük savunmayı etkiler | Doğru kullanım: CHOOSE yıl tabanı (hesapYili−taban) | Örnek: demo satırına bakın | Yanlışsa: Sapma ve karar bozulur | Kaynak: [Assumption] KİK sınır değer</t>
      </text>
    </comment>
    <comment ref="B27" authorId="0" shapeId="0">
      <text>
        <t>Tanım: kik_yuvarMax | Neden önemli: KİK sınır değer ve aşırı düşük savunmayı etkiler | Doğru kullanım: ROUND basamak tavanı | Örnek: demo satırına bakın | Yanlışsa: Sapma ve karar bozulur | Kaynak: [Assumption] KİK sınır değer</t>
      </text>
    </comment>
    <comment ref="B28" authorId="0" shapeId="0">
      <text>
        <t>Tanım: kik_dayanakCarpan | Neden önemli: KİK sınır değer ve aşırı düşük savunmayı etkiler | Doğru kullanım: Dayanak skoru çarpanı | Örnek: demo satırına bakın | Yanlışsa: Sapma ve karar bozulur | Kaynak: [Assumption] KİK sınır değer</t>
      </text>
    </comment>
    <comment ref="B29" authorId="0" shapeId="0">
      <text>
        <t>Tanım: kik_bazCarpan | Neden önemli: KİK sınır değer ve aşırı düşük savunmayı etkiler | Doğru kullanım: Baz senaryo çarpanı | Örnek: demo satırına bakın | Yanlışsa: Sapma ve karar bozulur | Kaynak: [Assumption] KİK sınır değer</t>
      </text>
    </comment>
    <comment ref="B30" authorId="0" shapeId="0">
      <text>
        <t>Tanım: kik_sifirCarpan | Neden önemli: KİK sınır değer ve aşırı düşük savunmayı etkiler | Doğru kullanım: Nötr çarpan (sıfır) | Örnek: demo satırına bakın | Yanlışsa: Sapma ve karar bozulur | Kaynak: [Assumption] KİK sınır değer</t>
      </text>
    </comment>
    <comment ref="B31" authorId="0" shapeId="0">
      <text>
        <t>Tanım: kik_siraBir | Neden önemli: KİK sınır değer ve aşırı düşük savunmayı etkiler | Doğru kullanım: Tornado sıra 1 | Örnek: demo satırına bakın | Yanlışsa: Sapma ve karar bozulur | Kaynak: [Assumption] KİK sınır değer</t>
      </text>
    </comment>
    <comment ref="B32" authorId="0" shapeId="0">
      <text>
        <t>Tanım: kik_siraIki | Neden önemli: KİK sınır değer ve aşırı düşük savunmayı etkiler | Doğru kullanım: Tornado sıra 2 | Örnek: demo satırına bakın | Yanlışsa: Sapma ve karar bozulur | Kaynak: [Assumption] KİK sınır değer</t>
      </text>
    </comment>
    <comment ref="B33" authorId="0" shapeId="0">
      <text>
        <t>Tanım: kik_siraUc | Neden önemli: KİK sınır değer ve aşırı düşük savunmayı etkiler | Doğru kullanım: Tornado sıra 3 | Örnek: demo satırına bakın | Yanlışsa: Sapma ve karar bozulur | Kaynak: [Assumption] KİK sınır değer</t>
      </text>
    </comment>
    <comment ref="B34" authorId="0" shapeId="0">
      <text>
        <t>Tanım: kik_tahminX | Neden önemli: KİK sınır değer ve aşırı düşük savunmayı etkiler | Doğru kullanım: FORECAST X noktası | Örnek: demo satırına bakın | Yanlışsa: Sapma ve karar bozulur | Kaynak: [Assumption] KİK sınır değer</t>
      </text>
    </comment>
    <comment ref="B35" authorId="0" shapeId="0">
      <text>
        <t>Tanım: vaka_matrah_1 | Neden önemli: KİK sınır değer ve aşırı düşük savunmayı etkiler | Doğru kullanım: Vaka1 yaklaşık maliyet dilimi | Örnek: demo satırına bakın | Yanlışsa: Sapma ve karar bozulur | Kaynak: [Assumption] KİK sınır değer</t>
      </text>
    </comment>
    <comment ref="B36" authorId="0" shapeId="0">
      <text>
        <t>Tanım: vaka_matrah_2 | Neden önemli: KİK sınır değer ve aşırı düşük savunmayı etkiler | Doğru kullanım: Vaka2 teklif dilimi | Örnek: demo satırına bakın | Yanlışsa: Sapma ve karar bozulur | Kaynak: [Assumption] KİK sınır değer</t>
      </text>
    </comment>
    <comment ref="B37" authorId="0" shapeId="0">
      <text>
        <t>Tanım: vaka_tavan | Neden önemli: KİK sınır değer ve aşırı düşük savunmayı etkiler | Doğru kullanım: Vaka4 tavan | Örnek: demo satırına bakın | Yanlışsa: Sapma ve karar bozulur | Kaynak: [Assumption] KİK sınır değer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4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2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Row],[kural_id]]="","",IFERROR(CHOOSE(MAX(1,MIN(3,IF(OR(hesapYili="",hesapYili=0),1,hesapYili-kik_yilTaban))),tblKurallar[[#This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Row],[fark]])&lt;=kik_tolerans,"TUTARLI","KIRIK"),"KIRIK"))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I1004" headerRowCount="1">
  <tableColumns count="9">
    <tableColumn id="1" name="Senaryo"/>
    <tableColumn id="2" name="Yaklaşık Maliyet"/>
    <tableColumn id="3" name="İşçilik"/>
    <tableColumn id="4" name="Malzeme"/>
    <tableColumn id="5" name="Genel Gider"/>
    <tableColumn id="6" name="Kâr"/>
    <tableColumn id="7" name="Dayanak"/>
    <tableColumn id="8" name="Potansiyel">
      <calculatedColumnFormula>=IF(tblOrnek[[#This Row],[Senaryo]]="","",IFERROR(ROUND(MAX(0,tblOrnek[[#This Row],[Yaklaşık Maliyet]]*INDEX(tblKurallar[deger_2025],MATCH("KIK-001",tblKurallar[kural_id],0))-(tblOrnek[[#This Row],[İşçilik]]+tblOrnek[[#This Row],[Malzeme]]+tblOrnek[[#This Row],[Genel Gider]]+tblOrnek[[#This Row],[Kâr]])),kik_yuvarMax),0))</calculatedColumnFormula>
    </tableColumn>
    <tableColumn id="9" name="Kaçırılan">
      <calculatedColumnFormula>=IF(tblOrnek[[#This Row],[Senaryo]]="","",IFERROR(MAX(0,tblOrnek[[#This Row],[Potansiyel]]-tblOrnek[[#This Row],[Dayanak]]*kik_sifirCarpan),0))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EXCELARŞİV KARAR SİSTEMİ v15.1 — ÜRETİM REFERANSI</t>
        </is>
      </c>
    </row>
    <row r="3" ht="24" customHeight="1">
      <c r="A3" s="171" t="inlineStr">
        <is>
          <t>Konu</t>
        </is>
      </c>
      <c r="B3" s="171" t="inlineStr">
        <is>
          <t>Bağlayıcı Standart</t>
        </is>
      </c>
    </row>
    <row r="4">
      <c r="A4" s="172" t="inlineStr">
        <is>
          <t>Amaç</t>
        </is>
      </c>
      <c r="B4" s="173" t="inlineStr">
        <is>
          <t>Kanıta dayalı, hatada kapalı çalışan Excel üretim ve denetim sistemi</t>
        </is>
      </c>
    </row>
    <row r="5">
      <c r="A5" s="172" t="inlineStr">
        <is>
          <t>Öncelik</t>
        </is>
      </c>
      <c r="B5" s="173" t="inlineStr">
        <is>
          <t>Kullanıcının açık iş talebi ve gerçek kullanım senaryosu</t>
        </is>
      </c>
    </row>
    <row r="6">
      <c r="A6" s="172" t="inlineStr">
        <is>
          <t>Ana akış</t>
        </is>
      </c>
      <c r="B6" s="173" t="inlineStr">
        <is>
          <t>Uygunluk → Yönetişim → Sözleşmeler → Üretim → Test → Kanıt → Kullanıcı Kabulü → Yayın</t>
        </is>
      </c>
    </row>
    <row r="7">
      <c r="A7" s="172" t="inlineStr">
        <is>
          <t>Yayın ilkesi</t>
        </is>
      </c>
      <c r="B7" s="173" t="inlineStr">
        <is>
          <t>Üst aşamada hata varsa alt aşama GEÇTİ üretilemez</t>
        </is>
      </c>
    </row>
    <row r="8">
      <c r="A8" s="172" t="inlineStr">
        <is>
          <t>Kullanıcı kabulü</t>
        </is>
      </c>
      <c r="B8" s="173" t="inlineStr">
        <is>
          <t>Excel masaüstü görünümü test edilmediyse DIŞ_KABUL_GEREKLİ</t>
        </is>
      </c>
    </row>
    <row r="9">
      <c r="A9" s="172" t="inlineStr">
        <is>
          <t>Nihai yayın</t>
        </is>
      </c>
      <c r="B9" s="173" t="inlineStr">
        <is>
          <t>Yalnız uygulanabilir modüller GEÇTİ veya gerekçeli UYGULANMAZ</t>
        </is>
      </c>
    </row>
    <row r="10">
      <c r="A10" s="172" t="inlineStr">
        <is>
          <t>Ticari ayrım</t>
        </is>
      </c>
      <c r="B10" s="173" t="inlineStr">
        <is>
          <t>Ekonomik olarak savunulabilir fiyat, gerçek pazar kabulü ile aynı değildir</t>
        </is>
      </c>
    </row>
    <row r="11">
      <c r="A11" s="172" t="inlineStr">
        <is>
          <t>Karmaşıklık</t>
        </is>
      </c>
      <c r="B11" s="173" t="inlineStr">
        <is>
          <t>Karar değeri, eklenen karmaşıklığın maliyetinden büyük olmalıdır</t>
        </is>
      </c>
    </row>
    <row r="12">
      <c r="A12" s="172" t="inlineStr">
        <is>
          <t>Excel sınırı</t>
        </is>
      </c>
      <c r="B12" s="173" t="inlineStr">
        <is>
          <t>Veritabanı, kurumsal yetkilendirme, değiştirilemez kayıt sistemi veya gerçek zamanlı olay platformu değildir</t>
        </is>
      </c>
    </row>
    <row r="13">
      <c r="A13" s="172" t="inlineStr">
        <is>
          <t>Dil standardı</t>
        </is>
      </c>
      <c r="B13" s="173" t="inlineStr">
        <is>
          <t>Kullanıcıya görünen tüm sayfa, tablo, başlık, açıklama, uyarı ve karar metinleri saf Türkçe olmalıdır</t>
        </is>
      </c>
    </row>
    <row r="14">
      <c r="A14" s="172" t="inlineStr">
        <is>
          <t>Muhasebe standardı</t>
        </is>
      </c>
      <c r="B14" s="173" t="inlineStr">
        <is>
          <t>Finansal ürünlerde Türkiye Tekdüzen Hesap Planı ve Türk muhasebe kullanım alışkanlıkları esas alınır</t>
        </is>
      </c>
    </row>
    <row r="15">
      <c r="A15" s="172" t="inlineStr">
        <is>
          <t>Görsel standart</t>
        </is>
      </c>
      <c r="B15" s="173" t="inlineStr">
        <is>
          <t>Her sayfa başlıklı, renk kodlu, sıkı kolon düzenli ve premium kurumsal görünümde olmalıdır</t>
        </is>
      </c>
    </row>
    <row r="16">
      <c r="A16" s="172" t="inlineStr">
        <is>
          <t>Grafik standardı</t>
        </is>
      </c>
      <c r="B16" s="173" t="inlineStr">
        <is>
          <t>Grafikler karar üretmeli; dekoratif, 3B, anlamsız renkli veya varsayılan Excel grafiği kullanılamaz</t>
        </is>
      </c>
    </row>
    <row r="17">
      <c r="A17" s="172" t="inlineStr">
        <is>
          <t>Hata standardı</t>
        </is>
      </c>
      <c r="B17" s="173" t="inlineStr">
        <is>
          <t>#AD? / #BAŞV! / #DEĞER! / #SAYI/0! / #YOK gibi hatalar GEÇTİ sonucuyla birlikte bulunamaz</t>
        </is>
      </c>
    </row>
    <row r="18">
      <c r="A18" s="172" t="inlineStr">
        <is>
          <t>Karar standardı</t>
        </is>
      </c>
      <c r="B18" s="173" t="inlineStr">
        <is>
          <t>Her kritik çıktı: ne oldu, neden oldu, parasal etki, ne yapılmalı, ne zamana kadar sorularını cevaplar</t>
        </is>
      </c>
    </row>
    <row r="19">
      <c r="A19" s="172" t="inlineStr">
        <is>
          <t>Satış standardı</t>
        </is>
      </c>
      <c r="B19" s="173" t="inlineStr">
        <is>
          <t>Ürün 5 saniyede anlaşılmalı; pahalı problemi, ekonomik sonucu, kanıtı ve satın alma gerekçesini göstermelidir</t>
        </is>
      </c>
    </row>
    <row r="20">
      <c r="A20" s="172" t="inlineStr">
        <is>
          <t>Güven standardı</t>
        </is>
      </c>
      <c r="B20" s="173" t="inlineStr">
        <is>
          <t>Kanıtsız 'premium', 'kusursuz', 'sıfır hata' veya yüksek fiyat iddiası kullanılamaz</t>
        </is>
      </c>
    </row>
    <row r="21">
      <c r="A21" s="172" t="inlineStr">
        <is>
          <t>Kaynak</t>
        </is>
      </c>
      <c r="B21" s="173" t="inlineStr">
        <is>
          <t>Teknik Python çekirdeği 99_TEKNIK_KAYNAK sayfasında saklanır; kullanıcı arayüzü değildir</t>
        </is>
      </c>
    </row>
    <row r="22">
      <c r="A22" s="172" t="inlineStr">
        <is>
          <t>Bağlayıcı standart</t>
        </is>
      </c>
      <c r="B22" s="173" t="inlineStr">
        <is>
          <t>Teknik kaynak içindeki üretim sözleşmesi + bu çalışma kitabındaki Türkçe operasyon standartları</t>
        </is>
      </c>
    </row>
    <row r="23">
      <c r="A23" s="172" t="inlineStr">
        <is>
          <t>Çıktı disiplini</t>
        </is>
      </c>
      <c r="B23" s="173" t="inlineStr">
        <is>
          <t>Kanıtsız GEÇTİ / NİHAİ / TİCARİ / PAZAR_DOĞRULANDI statüsü yasaktır</t>
        </is>
      </c>
    </row>
    <row r="24">
      <c r="A24" s="172" t="inlineStr">
        <is>
          <t>Uyarlanabilirlik</t>
        </is>
      </c>
      <c r="B24" s="173" t="inlineStr">
        <is>
          <t>Gereksiz modül yalnız prestij amacıyla eklenmez</t>
        </is>
      </c>
    </row>
    <row r="26" ht="16" customHeight="1">
      <c r="A26" s="174" t="inlineStr">
        <is>
          <t>TEK KAYNAK MİMARİSİ</t>
        </is>
      </c>
      <c r="B26" s="174" t="inlineStr">
        <is>
          <t>İKİ DOSYALI / TEK SİSTEM</t>
        </is>
      </c>
    </row>
    <row r="27" ht="28" customHeight="1">
      <c r="A27" s="173" t="inlineStr">
        <is>
          <t>MASTER Excel</t>
        </is>
      </c>
      <c r="B27" s="173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73" t="inlineStr">
        <is>
          <t>Runtime Python</t>
        </is>
      </c>
      <c r="B28" s="173" t="inlineStr">
        <is>
          <t>EXCELARSIV_DECISION_OS_V15_1_RUNTIME_KERNEL.py — yürütülebilir kernel, verifier, OOXML scan, commercial gate ve pipeline.</t>
        </is>
      </c>
    </row>
    <row r="29">
      <c r="A29" s="173" t="inlineStr">
        <is>
          <t>Python SHA-256</t>
        </is>
      </c>
      <c r="B29" s="173" t="inlineStr">
        <is>
          <t>babe066ab599199123e53d01944bcd9d75648a579ade69ab9303dd675962f481</t>
        </is>
      </c>
    </row>
    <row r="30">
      <c r="A30" s="173" t="inlineStr">
        <is>
          <t>Sürüm Eşleşmesi</t>
        </is>
      </c>
      <c r="B30" s="173" t="inlineStr">
        <is>
          <t>Her iki dosya v15.1 sistemine aittir. Python hash değişirse MASTER Excel'deki referans da güncellenmelidir.</t>
        </is>
      </c>
    </row>
    <row r="31" ht="28" customHeight="1">
      <c r="A31" s="173" t="inlineStr">
        <is>
          <t>Sahte PASS Yasağı</t>
        </is>
      </c>
      <c r="B31" s="173" t="inlineStr">
        <is>
          <t>Kanıt yoksa PASS yok; hata=FAIL, ölçülemiyorsa=BLOCKED, Excel GUI gerekiyorsa=HARİCİ KABUL GEREKLİ.</t>
        </is>
      </c>
    </row>
    <row r="32">
      <c r="A32" s="173" t="inlineStr">
        <is>
          <t>Dil</t>
        </is>
      </c>
      <c r="B32" s="173" t="inlineStr">
        <is>
          <t>Kullanıcı yüzeyi safkan Türkçe; teknik kavramların Türkçe karşılığı ana terimdir.</t>
        </is>
      </c>
    </row>
    <row r="33">
      <c r="A33" s="173" t="inlineStr">
        <is>
          <t>Muhasebe</t>
        </is>
      </c>
      <c r="B33" s="173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25" t="inlineStr">
        <is>
          <t>☰ PANO</t>
        </is>
      </c>
    </row>
    <row r="2" ht="28" customHeight="1">
      <c r="B2" s="226" t="inlineStr">
        <is>
          <t>KİK AŞIRI DÜŞÜK SAVUNMA + SINIR DEĞER PAKETI</t>
        </is>
      </c>
      <c r="L2" s="227" t="inlineStr">
        <is>
          <t>Dönem: 2026 / Tam ▼</t>
        </is>
      </c>
      <c r="M2" s="228" t="inlineStr">
        <is>
          <t>★ DOĞRULANMIŞ</t>
        </is>
      </c>
    </row>
    <row r="3" ht="18" customHeight="1">
      <c r="B3" s="229" t="inlineStr">
        <is>
          <t>Hedef Kullanıcı: Müteahhit, teklif hazırlayan, ihale danışmanı · 2026 Q3 Denetim Standardı</t>
        </is>
      </c>
    </row>
    <row r="4" ht="10" customHeight="1"/>
    <row r="5" ht="20" customHeight="1">
      <c r="B5" s="230" t="inlineStr">
        <is>
          <t>TEKLIF / SINIR ORANI</t>
        </is>
      </c>
      <c r="C5" s="231" t="n"/>
      <c r="D5" s="232" t="inlineStr">
        <is>
          <t>KONSOLİDE</t>
        </is>
      </c>
      <c r="E5" s="233" t="inlineStr">
        <is>
          <t>MALIYET / TEKLIF ORANI</t>
        </is>
      </c>
      <c r="F5" s="231" t="n"/>
      <c r="G5" s="234" t="inlineStr">
        <is>
          <t>KONTROL</t>
        </is>
      </c>
      <c r="H5" s="235" t="inlineStr">
        <is>
          <t>NET OPERASYONEL MARJ</t>
        </is>
      </c>
      <c r="I5" s="231" t="n"/>
      <c r="J5" s="236" t="inlineStr">
        <is>
          <t>GÜVENLİ</t>
        </is>
      </c>
      <c r="K5" s="237" t="inlineStr">
        <is>
          <t>SİSTEM GÜVEN SKORU</t>
        </is>
      </c>
      <c r="L5" s="231" t="n"/>
      <c r="M5" s="238" t="inlineStr">
        <is>
          <t>DENETLENDİ</t>
        </is>
      </c>
    </row>
    <row r="6" ht="6" customHeight="1">
      <c r="B6" s="239" t="n"/>
      <c r="C6" s="240" t="n"/>
      <c r="D6" s="241" t="n"/>
      <c r="E6" s="242" t="n"/>
      <c r="F6" s="240" t="n"/>
      <c r="G6" s="241" t="n"/>
      <c r="H6" s="243" t="n"/>
      <c r="I6" s="240" t="n"/>
      <c r="J6" s="241" t="n"/>
      <c r="K6" s="244" t="n"/>
      <c r="L6" s="240" t="n"/>
      <c r="M6" s="241" t="n"/>
    </row>
    <row r="7" ht="32" customHeight="1">
      <c r="B7" s="245">
        <f>GİRDİLER!E17</f>
        <v/>
      </c>
      <c r="C7" s="240" t="n"/>
      <c r="D7" s="241" t="n"/>
      <c r="E7" s="246">
        <f>B7*0.22</f>
        <v/>
      </c>
      <c r="F7" s="240" t="n"/>
      <c r="G7" s="241" t="n"/>
      <c r="H7" s="247">
        <f>B7-E7</f>
        <v/>
      </c>
      <c r="I7" s="240" t="n"/>
      <c r="J7" s="241" t="n"/>
      <c r="K7" s="248">
        <f>IF(E7&gt;0, ROUND(B7/E7, 2), 0)</f>
        <v/>
      </c>
      <c r="L7" s="240" t="n"/>
      <c r="M7" s="241" t="n"/>
    </row>
    <row r="8" ht="6" customHeight="1">
      <c r="B8" s="239" t="n"/>
      <c r="C8" s="240" t="n"/>
      <c r="D8" s="241" t="n"/>
      <c r="E8" s="242" t="n"/>
      <c r="F8" s="240" t="n"/>
      <c r="G8" s="241" t="n"/>
      <c r="H8" s="243" t="n"/>
      <c r="I8" s="240" t="n"/>
      <c r="J8" s="241" t="n"/>
      <c r="K8" s="244" t="n"/>
      <c r="L8" s="240" t="n"/>
      <c r="M8" s="241" t="n"/>
    </row>
    <row r="9" ht="18" customHeight="1">
      <c r="B9" s="249" t="inlineStr">
        <is>
          <t>↑ %14.2 konsolide canlı veri bağlantısı</t>
        </is>
      </c>
      <c r="C9" s="250" t="n"/>
      <c r="D9" s="251" t="n"/>
      <c r="E9" s="252" t="inlineStr">
        <is>
          <t>● 8 Kalem nakit karşılığı: bloke</t>
        </is>
      </c>
      <c r="F9" s="250" t="n"/>
      <c r="G9" s="251" t="n"/>
      <c r="H9" s="253" t="inlineStr">
        <is>
          <t>██████████░░░░░ %78.0 NET MARJ</t>
        </is>
      </c>
      <c r="I9" s="250" t="n"/>
      <c r="J9" s="251" t="n"/>
      <c r="K9" s="254" t="inlineStr">
        <is>
          <t>✓ İDEAL karşılama rasyosu</t>
        </is>
      </c>
      <c r="L9" s="250" t="n"/>
      <c r="M9" s="251" t="n"/>
    </row>
    <row r="10" ht="14" customHeight="1"/>
    <row r="11" ht="24" customHeight="1">
      <c r="B11" s="255" t="inlineStr">
        <is>
          <t>KİK AŞIRI DÜŞÜK SAVUNMA + SINIR DEĞER PAKETI — DÖNEMSEL İCRA VE PROJEKSİYON</t>
        </is>
      </c>
      <c r="F11" s="256" t="inlineStr">
        <is>
          <t>+%32 Verim</t>
        </is>
      </c>
      <c r="H11" s="255" t="inlineStr">
        <is>
          <t>KONSOLİDE OPERASYON VE KARAR MATRİSİ</t>
        </is>
      </c>
    </row>
    <row r="12" ht="18" customHeight="1">
      <c r="B12" s="96" t="inlineStr">
        <is>
          <t>Kümülatif Hacim vs. Operasyonel Maliyet ve Net Kâr Eğilimi</t>
        </is>
      </c>
      <c r="H12" s="96" t="inlineStr">
        <is>
          <t>Anlık Hesaplama Sonuçları, Dinamik Formül Çıktıları ve Durum Puanlaması</t>
        </is>
      </c>
    </row>
    <row r="13" ht="8" customHeight="1"/>
    <row r="14" ht="24" customHeight="1">
      <c r="B14" s="257" t="inlineStr">
        <is>
          <t>Dönem</t>
        </is>
      </c>
      <c r="C14" s="257" t="inlineStr">
        <is>
          <t>Aktif Hacim</t>
        </is>
      </c>
      <c r="D14" s="257" t="inlineStr">
        <is>
          <t>Maliyet/Yük</t>
        </is>
      </c>
      <c r="E14" s="257" t="inlineStr">
        <is>
          <t>Hedef</t>
        </is>
      </c>
      <c r="H14" s="258" t="inlineStr">
        <is>
          <t>PARAMETRE / KALEM</t>
        </is>
      </c>
      <c r="I14" s="259" t="inlineStr">
        <is>
          <t>ANA TUTAR</t>
        </is>
      </c>
      <c r="J14" s="259" t="inlineStr">
        <is>
          <t>FARK / MARJ</t>
        </is>
      </c>
      <c r="K14" s="259" t="inlineStr">
        <is>
          <t>VADE</t>
        </is>
      </c>
      <c r="L14" s="259" t="inlineStr">
        <is>
          <t>KONTROL DURUMU</t>
        </is>
      </c>
      <c r="M14" s="259" t="n"/>
    </row>
    <row r="15" ht="22" customHeight="1">
      <c r="B15" s="260" t="inlineStr">
        <is>
          <t>D1</t>
        </is>
      </c>
      <c r="C15" s="260" t="n">
        <v>65</v>
      </c>
      <c r="D15" s="260" t="n">
        <v>45</v>
      </c>
      <c r="E15" s="260" t="n">
        <v>60</v>
      </c>
      <c r="H15" s="261" t="inlineStr">
        <is>
          <t>Dönemlik Kümülatif Bakiye</t>
        </is>
      </c>
      <c r="I15" s="262">
        <f>B7*0.45</f>
        <v/>
      </c>
      <c r="J15" s="263">
        <f>B7*0.05</f>
        <v/>
      </c>
      <c r="K15" s="264" t="inlineStr">
        <is>
          <t>12 Ay</t>
        </is>
      </c>
      <c r="L15" s="265" t="inlineStr">
        <is>
          <t>✓ DÜZENLİ</t>
        </is>
      </c>
      <c r="M15" s="266" t="n"/>
    </row>
    <row r="16" ht="22" customHeight="1">
      <c r="B16" s="267" t="inlineStr">
        <is>
          <t>D2</t>
        </is>
      </c>
      <c r="C16" s="267" t="n">
        <v>78</v>
      </c>
      <c r="D16" s="267" t="n">
        <v>48</v>
      </c>
      <c r="E16" s="267" t="n">
        <v>70</v>
      </c>
      <c r="H16" s="268" t="inlineStr">
        <is>
          <t>Kritik Eşik Güvenlik Tamponu</t>
        </is>
      </c>
      <c r="I16" s="269">
        <f>B7*0.30</f>
        <v/>
      </c>
      <c r="J16" s="270">
        <f>B7*0.03</f>
        <v/>
      </c>
      <c r="K16" s="271" t="inlineStr">
        <is>
          <t>24 Ay</t>
        </is>
      </c>
      <c r="L16" s="272" t="inlineStr">
        <is>
          <t>★ AVANTAJ</t>
        </is>
      </c>
      <c r="M16" s="273" t="n"/>
    </row>
    <row r="17" ht="22" customHeight="1">
      <c r="B17" s="260" t="inlineStr">
        <is>
          <t>D3</t>
        </is>
      </c>
      <c r="C17" s="260" t="n">
        <v>85</v>
      </c>
      <c r="D17" s="260" t="n">
        <v>55</v>
      </c>
      <c r="E17" s="260" t="n">
        <v>80</v>
      </c>
      <c r="H17" s="261" t="inlineStr">
        <is>
          <t>Operasyonel Net Fark</t>
        </is>
      </c>
      <c r="I17" s="262">
        <f>B7*0.15</f>
        <v/>
      </c>
      <c r="J17" s="263">
        <f>B7*0.02</f>
        <v/>
      </c>
      <c r="K17" s="264" t="inlineStr">
        <is>
          <t>8 Ay</t>
        </is>
      </c>
      <c r="L17" s="274" t="inlineStr">
        <is>
          <t>● YAKLAŞAN</t>
        </is>
      </c>
      <c r="M17" s="266" t="n"/>
    </row>
    <row r="18" ht="22" customHeight="1">
      <c r="B18" s="267" t="inlineStr">
        <is>
          <t>D4</t>
        </is>
      </c>
      <c r="C18" s="267" t="n">
        <v>75</v>
      </c>
      <c r="D18" s="267" t="n">
        <v>42</v>
      </c>
      <c r="E18" s="267" t="n">
        <v>75</v>
      </c>
      <c r="H18" s="268" t="inlineStr">
        <is>
          <t>Rezerv ve Likit Dağılım</t>
        </is>
      </c>
      <c r="I18" s="269">
        <f>B7*0.10</f>
        <v/>
      </c>
      <c r="J18" s="270">
        <f>B7*0.01</f>
        <v/>
      </c>
      <c r="K18" s="271" t="inlineStr">
        <is>
          <t>16 Ay</t>
        </is>
      </c>
      <c r="L18" s="275" t="inlineStr">
        <is>
          <t>✓ TAM UYUM</t>
        </is>
      </c>
      <c r="M18" s="273" t="n"/>
    </row>
    <row r="19" ht="26" customHeight="1">
      <c r="B19" s="260" t="inlineStr">
        <is>
          <t>D5</t>
        </is>
      </c>
      <c r="C19" s="260" t="n">
        <v>90</v>
      </c>
      <c r="D19" s="260" t="n">
        <v>40</v>
      </c>
      <c r="E19" s="260" t="n">
        <v>85</v>
      </c>
      <c r="H19" s="276" t="inlineStr">
        <is>
          <t>KONSOLİDE SİSTEM TOPLAMI</t>
        </is>
      </c>
      <c r="I19" s="277">
        <f>SUM(I15:I18)</f>
        <v/>
      </c>
      <c r="J19" s="278">
        <f>SUM(J15:J18)</f>
        <v/>
      </c>
      <c r="K19" s="279" t="inlineStr"/>
      <c r="L19" s="280" t="inlineStr">
        <is>
          <t>TAM DOĞRULANDI (0 HATA)</t>
        </is>
      </c>
      <c r="M19" s="280" t="n"/>
    </row>
    <row r="20" ht="22" customHeight="1">
      <c r="B20" s="267" t="inlineStr">
        <is>
          <t>D6</t>
        </is>
      </c>
      <c r="C20" s="267" t="n">
        <v>96</v>
      </c>
      <c r="D20" s="267" t="n">
        <v>32</v>
      </c>
      <c r="E20" s="267" t="n">
        <v>92</v>
      </c>
    </row>
    <row r="21" ht="14" customHeight="1"/>
    <row r="22" ht="24" customHeight="1">
      <c r="B22" s="281" t="inlineStr">
        <is>
          <t>KONSOLİDE PAY VE AĞIRLIK</t>
        </is>
      </c>
      <c r="C22" s="231" t="n"/>
      <c r="D22" s="231" t="n"/>
      <c r="E22" s="282" t="n"/>
      <c r="F22" s="281" t="inlineStr">
        <is>
          <t>LİKİDİTE RİSKİ &amp; ERKEN UYARI SİNYALLERİ</t>
        </is>
      </c>
      <c r="G22" s="231" t="n"/>
      <c r="H22" s="231" t="n"/>
      <c r="I22" s="282" t="n"/>
      <c r="K22" s="283" t="inlineStr">
        <is>
          <t>KARAR MOTORU</t>
        </is>
      </c>
      <c r="L22" s="284" t="n"/>
      <c r="M22" s="285" t="n"/>
    </row>
    <row r="23" ht="20" customHeight="1">
      <c r="B23" s="286" t="inlineStr">
        <is>
          <t>■ Ana Segment (%42)</t>
        </is>
      </c>
      <c r="C23" s="240" t="n"/>
      <c r="D23" s="240" t="n"/>
      <c r="E23" s="241" t="n"/>
      <c r="F23" s="287" t="inlineStr">
        <is>
          <t>Nakit Açığı Riski (30 Gün)</t>
        </is>
      </c>
      <c r="G23" s="240" t="n"/>
      <c r="H23" s="240" t="n"/>
      <c r="I23" s="288" t="inlineStr">
        <is>
          <t>0.00 TL (Sıfır Risk)</t>
        </is>
      </c>
      <c r="K23" s="289" t="inlineStr">
        <is>
          <t>LİKİDİTE OPTİMİZASYON FIRSATI</t>
        </is>
      </c>
      <c r="L23" s="290" t="n"/>
      <c r="M23" s="291" t="n"/>
    </row>
    <row r="24" ht="20" customHeight="1">
      <c r="B24" s="292" t="inlineStr">
        <is>
          <t>■ İkincil Grup (%30)</t>
        </is>
      </c>
      <c r="C24" s="240" t="n"/>
      <c r="D24" s="240" t="n"/>
      <c r="E24" s="241" t="n"/>
      <c r="F24" s="287" t="inlineStr">
        <is>
          <t>Tahsilat Gecikme Toleransı</t>
        </is>
      </c>
      <c r="G24" s="240" t="n"/>
      <c r="H24" s="240" t="n"/>
      <c r="I24" s="288" t="inlineStr">
        <is>
          <t>48 Gün Güvenli Eşik</t>
        </is>
      </c>
      <c r="K24" s="293" t="inlineStr">
        <is>
          <t>Atıl kalan nakit rezervinin gecelik repoda</t>
        </is>
      </c>
    </row>
    <row r="25" ht="20" customHeight="1">
      <c r="B25" s="294" t="inlineStr">
        <is>
          <t>■ Destek Birimi (%15)</t>
        </is>
      </c>
      <c r="C25" s="240" t="n"/>
      <c r="D25" s="240" t="n"/>
      <c r="E25" s="241" t="n"/>
      <c r="F25" s="265" t="inlineStr">
        <is>
          <t>██████████████████████████████████████ Güvenli Bölge (%100)</t>
        </is>
      </c>
      <c r="G25" s="295" t="n"/>
      <c r="H25" s="295" t="n"/>
      <c r="I25" s="295" t="n"/>
    </row>
    <row r="26" ht="20" customHeight="1">
      <c r="B26" s="296" t="inlineStr">
        <is>
          <t>■ Rezervler (%13)</t>
        </is>
      </c>
      <c r="C26" s="240" t="n"/>
      <c r="D26" s="240" t="n"/>
      <c r="E26" s="241" t="n"/>
      <c r="F26" s="297" t="inlineStr">
        <is>
          <t>✓ 90 GÜNLÜK PROJEKSİYONDA NAKİT SIKIŞIKLIĞI TESPİT EDİLMEDİ</t>
        </is>
      </c>
      <c r="G26" s="206" t="n"/>
      <c r="H26" s="206" t="n"/>
      <c r="I26" s="207" t="n"/>
      <c r="K26" s="298" t="inlineStr">
        <is>
          <t>FONLAMA SENARYOSUNU İNCELE ›</t>
        </is>
      </c>
    </row>
    <row r="27" ht="26" customHeight="1">
      <c r="B27" s="299" t="n"/>
      <c r="C27" s="250" t="n"/>
      <c r="D27" s="250" t="n"/>
      <c r="E27" s="251" t="n"/>
      <c r="F27" s="208" t="n"/>
      <c r="G27" s="209" t="n"/>
      <c r="H27" s="209" t="n"/>
      <c r="I27" s="210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77" t="inlineStr">
        <is>
          <t>☰ PANO</t>
        </is>
      </c>
    </row>
    <row r="3">
      <c r="B3" s="135" t="inlineStr">
        <is>
          <t>🔍  KİK AŞIRI DÜŞÜK SAVUNMA + SINIR DEĞER PAKETI — Kayıt veya hesap ara...</t>
        </is>
      </c>
      <c r="C3" s="211" t="n"/>
      <c r="D3" s="211" t="n"/>
      <c r="E3" s="212" t="n"/>
      <c r="G3" s="136" t="inlineStr">
        <is>
          <t>TOPLAM: 1.450 KAYIT</t>
        </is>
      </c>
      <c r="I3" s="137" t="inlineStr">
        <is>
          <t>HATALI HÜCRE: 0 ADET</t>
        </is>
      </c>
    </row>
    <row r="5">
      <c r="B5" s="138" t="inlineStr">
        <is>
          <t>TARİH</t>
        </is>
      </c>
      <c r="C5" s="138" t="inlineStr">
        <is>
          <t>REFERANS NO</t>
        </is>
      </c>
      <c r="D5" s="138" t="inlineStr">
        <is>
          <t>İŞLEM AÇIKLAMASI VE DETAY</t>
        </is>
      </c>
      <c r="E5" s="138" t="inlineStr">
        <is>
          <t>BRÜT TUTAR (₺)</t>
        </is>
      </c>
      <c r="F5" s="138" t="inlineStr">
        <is>
          <t>KDV ORANI</t>
        </is>
      </c>
      <c r="G5" s="138" t="inlineStr">
        <is>
          <t>NET TUTAR (₺)</t>
        </is>
      </c>
      <c r="H5" s="138" t="inlineStr">
        <is>
          <t>HESAP / CARİ</t>
        </is>
      </c>
      <c r="I5" s="138" t="inlineStr">
        <is>
          <t>DURUM</t>
        </is>
      </c>
    </row>
    <row r="6">
      <c r="B6" s="139" t="inlineStr">
        <is>
          <t>12.10.2026</t>
        </is>
      </c>
      <c r="C6" s="140" t="inlineStr">
        <is>
          <t>TR-0428-A</t>
        </is>
      </c>
      <c r="D6" s="141" t="inlineStr">
        <is>
          <t>Operasyonel ana kalem tahmini</t>
        </is>
      </c>
      <c r="E6" s="200" t="n">
        <v>845200</v>
      </c>
      <c r="F6" s="143" t="n">
        <v>0.2</v>
      </c>
      <c r="G6" s="144">
        <f>E6/(1+F6)</f>
        <v/>
      </c>
      <c r="H6" s="141" t="inlineStr">
        <is>
          <t>Vadesiz Ticari</t>
        </is>
      </c>
      <c r="I6" s="145" t="inlineStr">
        <is>
          <t>ONAYLANDI</t>
        </is>
      </c>
    </row>
    <row r="7">
      <c r="B7" s="146" t="inlineStr">
        <is>
          <t>14.10.2026</t>
        </is>
      </c>
      <c r="C7" s="147" t="inlineStr">
        <is>
          <t>TR-0429-B</t>
        </is>
      </c>
      <c r="D7" s="148" t="inlineStr">
        <is>
          <t>Operasyonel çıkış/maliyet tahmini</t>
        </is>
      </c>
      <c r="E7" s="200" t="n">
        <v>1240000</v>
      </c>
      <c r="F7" s="150" t="n">
        <v>0.2</v>
      </c>
      <c r="G7" s="151">
        <f>E7/(1+F7)</f>
        <v/>
      </c>
      <c r="H7" s="148" t="inlineStr">
        <is>
          <t>Tedarikçi Havuzu</t>
        </is>
      </c>
      <c r="I7" s="152" t="inlineStr">
        <is>
          <t>BEKLEMEDE</t>
        </is>
      </c>
    </row>
    <row r="8">
      <c r="B8" s="139" t="inlineStr">
        <is>
          <t>18.10.2026</t>
        </is>
      </c>
      <c r="C8" s="140" t="inlineStr">
        <is>
          <t>TR-0430-C</t>
        </is>
      </c>
      <c r="D8" s="141" t="inlineStr">
        <is>
          <t>Ödeme takvimi tahakkuku</t>
        </is>
      </c>
      <c r="E8" s="200" t="n">
        <v>620500</v>
      </c>
      <c r="F8" s="143" t="n">
        <v>0.1</v>
      </c>
      <c r="G8" s="144">
        <f>E8/(1+F8)</f>
        <v/>
      </c>
      <c r="H8" s="141" t="inlineStr">
        <is>
          <t>Kısa Vade Tahakkuk</t>
        </is>
      </c>
      <c r="I8" s="145" t="inlineStr">
        <is>
          <t>ONAYLANDI</t>
        </is>
      </c>
    </row>
    <row r="9">
      <c r="B9" s="146" t="inlineStr">
        <is>
          <t>21.10.2026</t>
        </is>
      </c>
      <c r="C9" s="147" t="inlineStr">
        <is>
          <t>TR-0431-D</t>
        </is>
      </c>
      <c r="D9" s="148" t="inlineStr">
        <is>
          <t>Müşteri işlem tahmini</t>
        </is>
      </c>
      <c r="E9" s="200" t="n">
        <v>415000</v>
      </c>
      <c r="F9" s="150" t="n">
        <v>0.2</v>
      </c>
      <c r="G9" s="151">
        <f>E9/(1+F9)</f>
        <v/>
      </c>
      <c r="H9" s="148" t="inlineStr">
        <is>
          <t>Müşteri Alacağı</t>
        </is>
      </c>
      <c r="I9" s="153" t="inlineStr">
        <is>
          <t>ONAYLANDI</t>
        </is>
      </c>
    </row>
    <row r="10">
      <c r="B10" s="139" t="inlineStr">
        <is>
          <t>25.10.2026</t>
        </is>
      </c>
      <c r="C10" s="140" t="inlineStr">
        <is>
          <t>TR-0432-E</t>
        </is>
      </c>
      <c r="D10" s="141" t="inlineStr">
        <is>
          <t>Ana operasyon tahmini</t>
        </is>
      </c>
      <c r="E10" s="200" t="n">
        <v>980400</v>
      </c>
      <c r="F10" s="143" t="n">
        <v>0.2</v>
      </c>
      <c r="G10" s="144">
        <f>E10/(1+F10)</f>
        <v/>
      </c>
      <c r="H10" s="141" t="inlineStr">
        <is>
          <t>Vadesiz Ticari</t>
        </is>
      </c>
      <c r="I10" s="145" t="inlineStr">
        <is>
          <t>ONAYLANDI</t>
        </is>
      </c>
    </row>
    <row r="11">
      <c r="B11" s="146" t="inlineStr">
        <is>
          <t>28.10.2026</t>
        </is>
      </c>
      <c r="C11" s="147" t="inlineStr">
        <is>
          <t>TR-0433-F</t>
        </is>
      </c>
      <c r="D11" s="148" t="inlineStr">
        <is>
          <t>Kredi/taksit karşılığı</t>
        </is>
      </c>
      <c r="E11" s="200" t="n">
        <v>1850000</v>
      </c>
      <c r="F11" s="150" t="n">
        <v>0.2</v>
      </c>
      <c r="G11" s="151">
        <f>E11/(1+F11)</f>
        <v/>
      </c>
      <c r="H11" s="148" t="inlineStr">
        <is>
          <t>Finansman Havuzu</t>
        </is>
      </c>
      <c r="I11" s="154" t="inlineStr">
        <is>
          <t>BLOKE</t>
        </is>
      </c>
    </row>
    <row r="12">
      <c r="B12" s="139" t="inlineStr">
        <is>
          <t>02.11.2026</t>
        </is>
      </c>
      <c r="C12" s="140" t="inlineStr">
        <is>
          <t>TR-0434-G</t>
        </is>
      </c>
      <c r="D12" s="141" t="inlineStr">
        <is>
          <t>Sabit gider ve yönetim notları</t>
        </is>
      </c>
      <c r="E12" s="200" t="n">
        <v>740000</v>
      </c>
      <c r="F12" s="143" t="n">
        <v>0.2</v>
      </c>
      <c r="G12" s="144">
        <f>E12/(1+F12)</f>
        <v/>
      </c>
      <c r="H12" s="141" t="inlineStr">
        <is>
          <t>Genel Yönetim</t>
        </is>
      </c>
      <c r="I12" s="145" t="inlineStr">
        <is>
          <t>ONAYLANDI</t>
        </is>
      </c>
    </row>
    <row r="13">
      <c r="B13" s="146" t="inlineStr">
        <is>
          <t>05.11.2026</t>
        </is>
      </c>
      <c r="C13" s="147" t="inlineStr">
        <is>
          <t>TR-0435-H</t>
        </is>
      </c>
      <c r="D13" s="148" t="inlineStr">
        <is>
          <t>Operasyonel ana kalem tahmini</t>
        </is>
      </c>
      <c r="E13" s="200" t="n">
        <v>520800</v>
      </c>
      <c r="F13" s="150" t="n">
        <v>0.2</v>
      </c>
      <c r="G13" s="151">
        <f>E13/(1+F13)</f>
        <v/>
      </c>
      <c r="H13" s="148" t="inlineStr">
        <is>
          <t>Vadesiz Ticari</t>
        </is>
      </c>
      <c r="I13" s="153" t="inlineStr">
        <is>
          <t>ONAYLANDI</t>
        </is>
      </c>
    </row>
    <row r="14">
      <c r="B14" s="139" t="inlineStr">
        <is>
          <t>09.11.2026</t>
        </is>
      </c>
      <c r="C14" s="140" t="inlineStr">
        <is>
          <t>TR-0436-I</t>
        </is>
      </c>
      <c r="D14" s="141" t="inlineStr">
        <is>
          <t>Müşteri işlem tahmini</t>
        </is>
      </c>
      <c r="E14" s="200" t="n">
        <v>1120000</v>
      </c>
      <c r="F14" s="143" t="n">
        <v>0.2</v>
      </c>
      <c r="G14" s="144">
        <f>E14/(1+F14)</f>
        <v/>
      </c>
      <c r="H14" s="141" t="inlineStr">
        <is>
          <t>Müşteri Alacağı</t>
        </is>
      </c>
      <c r="I14" s="145" t="inlineStr">
        <is>
          <t>ONAYLANDI</t>
        </is>
      </c>
    </row>
    <row r="15">
      <c r="B15" s="146" t="inlineStr">
        <is>
          <t>12.11.2026</t>
        </is>
      </c>
      <c r="C15" s="147" t="inlineStr">
        <is>
          <t>TR-0437-J</t>
        </is>
      </c>
      <c r="D15" s="148" t="inlineStr">
        <is>
          <t>Operasyonel çıkış tahmini</t>
        </is>
      </c>
      <c r="E15" s="200" t="n">
        <v>890000</v>
      </c>
      <c r="F15" s="150" t="n">
        <v>0.2</v>
      </c>
      <c r="G15" s="151">
        <f>E15/(1+F15)</f>
        <v/>
      </c>
      <c r="H15" s="148" t="inlineStr">
        <is>
          <t>Tedarikçi Havuzu</t>
        </is>
      </c>
      <c r="I15" s="153" t="inlineStr">
        <is>
          <t>ONAYLANDI</t>
        </is>
      </c>
    </row>
    <row r="17">
      <c r="B17" s="155" t="inlineStr">
        <is>
          <t>SAYFA TOPLAMI (10 / 1.450 KAYIT)</t>
        </is>
      </c>
      <c r="E17" s="156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25" t="inlineStr">
        <is>
          <t>☰ PANO</t>
        </is>
      </c>
    </row>
    <row r="2" ht="28" customHeight="1">
      <c r="B2" s="157" t="inlineStr">
        <is>
          <t>KİK AŞIRI DÜŞÜK SAVUNMA + SINIR DEĞER PAKETI — NİHAİ KARAR VE DEĞERLEME</t>
        </is>
      </c>
    </row>
    <row r="3" ht="18" customHeight="1">
      <c r="B3" s="300" t="inlineStr">
        <is>
          <t>Yönetim Kurulu ve İcra Komitesi için Otomatik Finansal Stres Testi Raporu · Müteahhit, teklif hazırlayan, ihale danışmanı</t>
        </is>
      </c>
    </row>
    <row r="4" ht="20" customHeight="1">
      <c r="B4" s="301" t="inlineStr">
        <is>
          <t>DÖNEM: 2026 Q3 · DENETİM PROTOKOLÜ: ISO/VUK/IFRS UYUMLU · DURUM: ONAYLANDI</t>
        </is>
      </c>
    </row>
    <row r="5" ht="12" customHeight="1"/>
    <row r="6" ht="26" customHeight="1">
      <c r="B6" s="302" t="inlineStr">
        <is>
          <t>SENARYO A: KÖTÜMSER (STRES TESTİ -%20)</t>
        </is>
      </c>
      <c r="C6" s="211" t="n"/>
      <c r="D6" s="211" t="n"/>
      <c r="E6" s="211" t="n"/>
      <c r="F6" s="212" t="n"/>
      <c r="H6" s="303" t="inlineStr">
        <is>
          <t>SENARYO B: BAZ MODEL (HEDEFLENEN)</t>
        </is>
      </c>
      <c r="I6" s="211" t="n"/>
      <c r="J6" s="211" t="n"/>
      <c r="K6" s="211" t="n"/>
      <c r="L6" s="212" t="n"/>
    </row>
    <row r="7" ht="22" customHeight="1">
      <c r="B7" s="304" t="n"/>
      <c r="C7" s="240" t="n"/>
      <c r="D7" s="240" t="n"/>
      <c r="E7" s="240" t="n"/>
      <c r="F7" s="305" t="n"/>
      <c r="H7" s="306" t="n"/>
      <c r="I7" s="240" t="n"/>
      <c r="J7" s="240" t="n"/>
      <c r="K7" s="240" t="n"/>
      <c r="L7" s="307" t="n"/>
    </row>
    <row r="8" ht="22" customHeight="1">
      <c r="B8" s="308" t="inlineStr">
        <is>
          <t>Ciro / Hacim Düşüşü:</t>
        </is>
      </c>
      <c r="C8" s="240" t="n"/>
      <c r="D8" s="240" t="n"/>
      <c r="E8" s="309" t="inlineStr">
        <is>
          <t>-%20.0 (Kriz Eşiği)</t>
        </is>
      </c>
      <c r="F8" s="305" t="n"/>
      <c r="H8" s="310" t="inlineStr">
        <is>
          <t>Ciro / Hacim Gerçekleşmesi:</t>
        </is>
      </c>
      <c r="I8" s="240" t="n"/>
      <c r="J8" s="240" t="n"/>
      <c r="K8" s="311" t="inlineStr">
        <is>
          <t>%100.0 (Tam Bütçe)</t>
        </is>
      </c>
      <c r="L8" s="307" t="n"/>
    </row>
    <row r="9" ht="22" customHeight="1">
      <c r="B9" s="308" t="inlineStr">
        <is>
          <t>Beklenen Net Kâr / Getiri:</t>
        </is>
      </c>
      <c r="C9" s="240" t="n"/>
      <c r="D9" s="240" t="n"/>
      <c r="E9" s="312">
        <f>PANO!B7*0.8*0.22</f>
        <v/>
      </c>
      <c r="F9" s="305" t="n"/>
      <c r="H9" s="310" t="inlineStr">
        <is>
          <t>Beklenen Net Kâr / Getiri:</t>
        </is>
      </c>
      <c r="I9" s="240" t="n"/>
      <c r="J9" s="240" t="n"/>
      <c r="K9" s="312">
        <f>PANO!H7</f>
        <v/>
      </c>
      <c r="L9" s="307" t="n"/>
    </row>
    <row r="10" ht="22" customHeight="1">
      <c r="B10" s="308" t="inlineStr">
        <is>
          <t>Minimum Nakit Tamponu:</t>
        </is>
      </c>
      <c r="C10" s="240" t="n"/>
      <c r="D10" s="240" t="n"/>
      <c r="E10" s="313">
        <f>PANO!E7*0.75</f>
        <v/>
      </c>
      <c r="F10" s="305" t="n"/>
      <c r="H10" s="310" t="inlineStr">
        <is>
          <t>Serbest Nakit Akımı:</t>
        </is>
      </c>
      <c r="I10" s="240" t="n"/>
      <c r="J10" s="240" t="n"/>
      <c r="K10" s="313">
        <f>PANO!H7*0.75</f>
        <v/>
      </c>
      <c r="L10" s="307" t="n"/>
    </row>
    <row r="11" ht="22" customHeight="1">
      <c r="B11" s="308" t="inlineStr">
        <is>
          <t>Likidite Karşılama Oranı:</t>
        </is>
      </c>
      <c r="C11" s="240" t="n"/>
      <c r="D11" s="240" t="n"/>
      <c r="E11" s="314">
        <f>ROUND(PANO!B7*0.8/PANO!E7, 2)</f>
        <v/>
      </c>
      <c r="F11" s="305" t="n"/>
      <c r="H11" s="310" t="inlineStr">
        <is>
          <t>Yatırım Geri Dönüşü (ROI):</t>
        </is>
      </c>
      <c r="I11" s="240" t="n"/>
      <c r="J11" s="240" t="n"/>
      <c r="K11" s="315" t="inlineStr">
        <is>
          <t>%38.4 Yıllık</t>
        </is>
      </c>
      <c r="L11" s="307" t="n"/>
    </row>
    <row r="12" ht="22" customHeight="1">
      <c r="B12" s="304" t="n"/>
      <c r="C12" s="240" t="n"/>
      <c r="D12" s="240" t="n"/>
      <c r="E12" s="240" t="n"/>
      <c r="F12" s="305" t="n"/>
      <c r="H12" s="306" t="n"/>
      <c r="I12" s="240" t="n"/>
      <c r="J12" s="240" t="n"/>
      <c r="K12" s="240" t="n"/>
      <c r="L12" s="307" t="n"/>
    </row>
    <row r="13" ht="22" customHeight="1">
      <c r="B13" s="304" t="n"/>
      <c r="C13" s="240" t="n"/>
      <c r="D13" s="240" t="n"/>
      <c r="E13" s="240" t="n"/>
      <c r="F13" s="305" t="n"/>
      <c r="H13" s="306" t="n"/>
      <c r="I13" s="240" t="n"/>
      <c r="J13" s="240" t="n"/>
      <c r="K13" s="240" t="n"/>
      <c r="L13" s="307" t="n"/>
    </row>
    <row r="14" ht="28" customHeight="1">
      <c r="B14" s="316" t="inlineStr">
        <is>
          <t>STRES SENARYOSUNDA DAHİ İFLAS RİSKİ YOK</t>
        </is>
      </c>
      <c r="C14" s="213" t="n"/>
      <c r="D14" s="213" t="n"/>
      <c r="E14" s="213" t="n"/>
      <c r="F14" s="214" t="n"/>
      <c r="H14" s="317" t="inlineStr">
        <is>
          <t>OPTİMUM İCRA VE PLANLAMA REÇETESİ</t>
        </is>
      </c>
      <c r="I14" s="215" t="n"/>
      <c r="J14" s="215" t="n"/>
      <c r="K14" s="215" t="n"/>
      <c r="L14" s="216" t="n"/>
    </row>
    <row r="15" ht="14" customHeight="1">
      <c r="B15" s="217" t="n"/>
      <c r="C15" s="218" t="n"/>
      <c r="D15" s="218" t="n"/>
      <c r="E15" s="218" t="n"/>
      <c r="F15" s="219" t="n"/>
      <c r="H15" s="220" t="n"/>
      <c r="I15" s="221" t="n"/>
      <c r="J15" s="221" t="n"/>
      <c r="K15" s="221" t="n"/>
      <c r="L15" s="222" t="n"/>
    </row>
    <row r="16" ht="10" customHeight="1"/>
    <row r="17" ht="26" customHeight="1">
      <c r="B17" s="318" t="inlineStr">
        <is>
          <t>YÖNETİM KARAR MATRİSİ VE UYGULAMA REÇETESİ</t>
        </is>
      </c>
      <c r="C17" s="231" t="n"/>
      <c r="D17" s="231" t="n"/>
      <c r="E17" s="231" t="n"/>
      <c r="F17" s="231" t="n"/>
      <c r="G17" s="231" t="n"/>
      <c r="H17" s="231" t="n"/>
      <c r="I17" s="231" t="n"/>
      <c r="J17" s="231" t="n"/>
      <c r="K17" s="231" t="n"/>
      <c r="L17" s="282" t="n"/>
    </row>
    <row r="18" ht="22" customHeight="1">
      <c r="B18" s="319" t="n"/>
      <c r="C18" s="240" t="n"/>
      <c r="D18" s="240" t="n"/>
      <c r="E18" s="240" t="n"/>
      <c r="F18" s="240" t="n"/>
      <c r="G18" s="240" t="n"/>
      <c r="H18" s="240" t="n"/>
      <c r="I18" s="240" t="n"/>
      <c r="J18" s="240" t="n"/>
      <c r="K18" s="240" t="n"/>
      <c r="L18" s="241" t="n"/>
    </row>
    <row r="19" ht="22" customHeight="1">
      <c r="B19" s="320" t="inlineStr">
        <is>
          <t>●  Öncelik 1: Acil Likidite ve Borç Servis Planlaması</t>
        </is>
      </c>
      <c r="C19" s="240" t="n"/>
      <c r="D19" s="240" t="n"/>
      <c r="E19" s="240" t="n"/>
      <c r="F19" s="240" t="n"/>
      <c r="G19" s="240" t="n"/>
      <c r="H19" s="240" t="n"/>
      <c r="I19" s="240" t="n"/>
      <c r="J19" s="240" t="n"/>
      <c r="K19" s="240" t="n"/>
      <c r="L19" s="241" t="n"/>
    </row>
    <row r="20" ht="22" customHeight="1">
      <c r="B20" s="321" t="inlineStr">
        <is>
          <t xml:space="preserve">   Sistemde hesaplanan vade günlerine sadık kalınarak nakit blokajı 3 gün önceden hazır edilmelidir.</t>
        </is>
      </c>
      <c r="C20" s="240" t="n"/>
      <c r="D20" s="240" t="n"/>
      <c r="E20" s="240" t="n"/>
      <c r="F20" s="240" t="n"/>
      <c r="G20" s="240" t="n"/>
      <c r="H20" s="240" t="n"/>
      <c r="I20" s="240" t="n"/>
      <c r="J20" s="240" t="n"/>
      <c r="K20" s="240" t="n"/>
      <c r="L20" s="241" t="n"/>
    </row>
    <row r="21" ht="22" customHeight="1">
      <c r="B21" s="320" t="inlineStr">
        <is>
          <t>●  Öncelik 2: Formül Doğrulama ve Çapraz Sağlama</t>
        </is>
      </c>
      <c r="C21" s="240" t="n"/>
      <c r="D21" s="240" t="n"/>
      <c r="E21" s="240" t="n"/>
      <c r="F21" s="240" t="n"/>
      <c r="G21" s="240" t="n"/>
      <c r="H21" s="240" t="n"/>
      <c r="I21" s="240" t="n"/>
      <c r="J21" s="240" t="n"/>
      <c r="K21" s="240" t="n"/>
      <c r="L21" s="241" t="n"/>
    </row>
    <row r="22" ht="22" customHeight="1">
      <c r="B22" s="321" t="inlineStr">
        <is>
          <t xml:space="preserve">   Tüm hücreler kilitli formül korumasında olup girdi sayfalarında sıfır döngüsel başvuru (circular ref) garantilidir.</t>
        </is>
      </c>
      <c r="C22" s="240" t="n"/>
      <c r="D22" s="240" t="n"/>
      <c r="E22" s="240" t="n"/>
      <c r="F22" s="240" t="n"/>
      <c r="G22" s="240" t="n"/>
      <c r="H22" s="240" t="n"/>
      <c r="I22" s="240" t="n"/>
      <c r="J22" s="240" t="n"/>
      <c r="K22" s="240" t="n"/>
      <c r="L22" s="241" t="n"/>
    </row>
    <row r="23" ht="22" customHeight="1">
      <c r="B23" s="320" t="inlineStr">
        <is>
          <t>●  Öncelik 3: Resmi Mevzuat ve Vergi Kalkanı Entegrasyonu</t>
        </is>
      </c>
      <c r="C23" s="240" t="n"/>
      <c r="D23" s="240" t="n"/>
      <c r="E23" s="240" t="n"/>
      <c r="F23" s="240" t="n"/>
      <c r="G23" s="240" t="n"/>
      <c r="H23" s="240" t="n"/>
      <c r="I23" s="240" t="n"/>
      <c r="J23" s="240" t="n"/>
      <c r="K23" s="240" t="n"/>
      <c r="L23" s="241" t="n"/>
    </row>
    <row r="24" ht="22" customHeight="1">
      <c r="B24" s="321" t="inlineStr">
        <is>
          <t xml:space="preserve">   2026 güncel vergi dilimleri, amortisman ve SGK teşvik parametreleri tam otomatik yansıtılmaktadır.</t>
        </is>
      </c>
      <c r="C24" s="240" t="n"/>
      <c r="D24" s="240" t="n"/>
      <c r="E24" s="240" t="n"/>
      <c r="F24" s="240" t="n"/>
      <c r="G24" s="240" t="n"/>
      <c r="H24" s="240" t="n"/>
      <c r="I24" s="240" t="n"/>
      <c r="J24" s="240" t="n"/>
      <c r="K24" s="240" t="n"/>
      <c r="L24" s="241" t="n"/>
    </row>
    <row r="25" ht="22" customHeight="1">
      <c r="B25" s="320" t="inlineStr">
        <is>
          <t>●  Öncelik 4: Yönetici İmzası ve Rapor Paylaşımı</t>
        </is>
      </c>
      <c r="C25" s="240" t="n"/>
      <c r="D25" s="240" t="n"/>
      <c r="E25" s="240" t="n"/>
      <c r="F25" s="240" t="n"/>
      <c r="G25" s="240" t="n"/>
      <c r="H25" s="240" t="n"/>
      <c r="I25" s="240" t="n"/>
      <c r="J25" s="240" t="n"/>
      <c r="K25" s="240" t="n"/>
      <c r="L25" s="241" t="n"/>
    </row>
    <row r="26" ht="22" customHeight="1">
      <c r="B26" s="321" t="inlineStr">
        <is>
          <t xml:space="preserve">   Tek tuşla PDF ve A4 çıktı formatına tam uyumlu sayfa yapısı kurgulanmıştır.</t>
        </is>
      </c>
      <c r="C26" s="240" t="n"/>
      <c r="D26" s="240" t="n"/>
      <c r="E26" s="240" t="n"/>
      <c r="F26" s="240" t="n"/>
      <c r="G26" s="240" t="n"/>
      <c r="H26" s="240" t="n"/>
      <c r="I26" s="240" t="n"/>
      <c r="J26" s="240" t="n"/>
      <c r="K26" s="240" t="n"/>
      <c r="L26" s="241" t="n"/>
    </row>
    <row r="27" ht="22" customHeight="1">
      <c r="B27" s="299" t="n"/>
      <c r="C27" s="250" t="n"/>
      <c r="D27" s="250" t="n"/>
      <c r="E27" s="250" t="n"/>
      <c r="F27" s="250" t="n"/>
      <c r="G27" s="250" t="n"/>
      <c r="H27" s="250" t="n"/>
      <c r="I27" s="250" t="n"/>
      <c r="J27" s="250" t="n"/>
      <c r="K27" s="250" t="n"/>
      <c r="L27" s="251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YÜRÜTME ÇEKİRDEĞİ — ZORUNLU ÜRETİM SIRASI</t>
        </is>
      </c>
    </row>
    <row r="3" ht="24" customHeight="1">
      <c r="A3" s="176" t="inlineStr">
        <is>
          <t>Adım</t>
        </is>
      </c>
      <c r="B3" s="176" t="inlineStr">
        <is>
          <t>Modül</t>
        </is>
      </c>
      <c r="C3" s="176" t="inlineStr">
        <is>
          <t>Tetikleyici</t>
        </is>
      </c>
      <c r="D3" s="176" t="inlineStr">
        <is>
          <t>Zorunlu Kanıt</t>
        </is>
      </c>
      <c r="E3" s="176" t="inlineStr">
        <is>
          <t>GEÇTİ Kuralı</t>
        </is>
      </c>
      <c r="F3" s="176" t="inlineStr">
        <is>
          <t>Hata Durumu</t>
        </is>
      </c>
      <c r="G3" s="176" t="inlineStr">
        <is>
          <t>Sonraki Aşama</t>
        </is>
      </c>
    </row>
    <row r="4">
      <c r="A4" s="177" t="n">
        <v>1</v>
      </c>
      <c r="B4" s="173" t="inlineStr">
        <is>
          <t>Excel Uygunluğu</t>
        </is>
      </c>
      <c r="C4" s="173" t="inlineStr">
        <is>
          <t>Her yeni model</t>
        </is>
      </c>
      <c r="D4" s="173" t="inlineStr">
        <is>
          <t>UYGUNLUK_KARARI</t>
        </is>
      </c>
      <c r="E4" s="173" t="inlineStr">
        <is>
          <t>Excel'in rolü açık</t>
        </is>
      </c>
      <c r="F4" s="173" t="inlineStr">
        <is>
          <t>HATA / BLOKE</t>
        </is>
      </c>
      <c r="G4" s="173" t="inlineStr">
        <is>
          <t>Yönetişim</t>
        </is>
      </c>
    </row>
    <row r="5">
      <c r="A5" s="177" t="n">
        <v>2</v>
      </c>
      <c r="B5" s="173" t="inlineStr">
        <is>
          <t>Yönetişim</t>
        </is>
      </c>
      <c r="C5" s="173" t="inlineStr">
        <is>
          <t>Her model</t>
        </is>
      </c>
      <c r="D5" s="173" t="inlineStr">
        <is>
          <t>Risk seviyesi + etki girdileri</t>
        </is>
      </c>
      <c r="E5" s="173" t="inlineStr">
        <is>
          <t>Seviye hesaplandı</t>
        </is>
      </c>
      <c r="F5" s="173" t="inlineStr">
        <is>
          <t>BLOKE</t>
        </is>
      </c>
      <c r="G5" s="173" t="inlineStr">
        <is>
          <t>Sözleşmeler</t>
        </is>
      </c>
    </row>
    <row r="6">
      <c r="A6" s="177" t="n">
        <v>3</v>
      </c>
      <c r="B6" s="173" t="inlineStr">
        <is>
          <t>Türk Muhasebe Eşlemesi</t>
        </is>
      </c>
      <c r="C6" s="173" t="inlineStr">
        <is>
          <t>Finansal model</t>
        </is>
      </c>
      <c r="D6" s="173" t="inlineStr">
        <is>
          <t>THP hesap eşleme tablosu</t>
        </is>
      </c>
      <c r="E6" s="173" t="inlineStr">
        <is>
          <t>Kritik satırlar THP ile uyumlu</t>
        </is>
      </c>
      <c r="F6" s="173" t="inlineStr">
        <is>
          <t>HATA</t>
        </is>
      </c>
      <c r="G6" s="173" t="inlineStr">
        <is>
          <t>Sözleşmeler</t>
        </is>
      </c>
    </row>
    <row r="7">
      <c r="A7" s="177" t="n">
        <v>4</v>
      </c>
      <c r="B7" s="173" t="inlineStr">
        <is>
          <t>Veri ve Anlam Sözleşmeleri</t>
        </is>
      </c>
      <c r="C7" s="173" t="inlineStr">
        <is>
          <t>Girdi/KPI varsa</t>
        </is>
      </c>
      <c r="D7" s="173" t="inlineStr">
        <is>
          <t>Veri + KPI sözleşmeleri</t>
        </is>
      </c>
      <c r="E7" s="173" t="inlineStr">
        <is>
          <t>Kapsam %100</t>
        </is>
      </c>
      <c r="F7" s="173" t="inlineStr">
        <is>
          <t>HATA</t>
        </is>
      </c>
      <c r="G7" s="173" t="inlineStr">
        <is>
          <t>Üretim</t>
        </is>
      </c>
    </row>
    <row r="8">
      <c r="A8" s="177" t="n">
        <v>5</v>
      </c>
      <c r="B8" s="173" t="inlineStr">
        <is>
          <t>Üretim</t>
        </is>
      </c>
      <c r="C8" s="173" t="inlineStr">
        <is>
          <t>Sözleşmeler GEÇTİ</t>
        </is>
      </c>
      <c r="D8" s="173" t="inlineStr">
        <is>
          <t>Çalışan Excel</t>
        </is>
      </c>
      <c r="E8" s="173" t="inlineStr">
        <is>
          <t>Tek gerçek kaynak korunmuş</t>
        </is>
      </c>
      <c r="F8" s="173" t="inlineStr">
        <is>
          <t>HATA</t>
        </is>
      </c>
      <c r="G8" s="173" t="inlineStr">
        <is>
          <t>Testler</t>
        </is>
      </c>
    </row>
    <row r="9" ht="28" customHeight="1">
      <c r="A9" s="177" t="n">
        <v>6</v>
      </c>
      <c r="B9" s="173" t="inlineStr">
        <is>
          <t>Görsel/Kullanım Katmanı</t>
        </is>
      </c>
      <c r="C9" s="173" t="inlineStr">
        <is>
          <t>Motor hazır</t>
        </is>
      </c>
      <c r="D9" s="173" t="inlineStr">
        <is>
          <t>Başlıklar + renk + grafik + yönlendirme</t>
        </is>
      </c>
      <c r="E9" s="173" t="inlineStr">
        <is>
          <t>Tüm kullanıcı sayfaları standarda uygun</t>
        </is>
      </c>
      <c r="F9" s="173" t="inlineStr">
        <is>
          <t>HATA</t>
        </is>
      </c>
      <c r="G9" s="173" t="inlineStr">
        <is>
          <t>Testler</t>
        </is>
      </c>
    </row>
    <row r="10" ht="28" customHeight="1">
      <c r="A10" s="177" t="n">
        <v>7</v>
      </c>
      <c r="B10" s="173" t="inlineStr">
        <is>
          <t>Testler</t>
        </is>
      </c>
      <c r="C10" s="173" t="inlineStr">
        <is>
          <t>Üretim tamam</t>
        </is>
      </c>
      <c r="D10" s="173" t="inlineStr">
        <is>
          <t>Formül/OOXML/kimlik/oracle/golden/metamorfik</t>
        </is>
      </c>
      <c r="E10" s="173" t="inlineStr">
        <is>
          <t>Uygulanabilir hard gate'ler GEÇTİ</t>
        </is>
      </c>
      <c r="F10" s="173" t="inlineStr">
        <is>
          <t>HATA</t>
        </is>
      </c>
      <c r="G10" s="173" t="inlineStr">
        <is>
          <t>Kanıt</t>
        </is>
      </c>
    </row>
    <row r="11">
      <c r="A11" s="177" t="n">
        <v>8</v>
      </c>
      <c r="B11" s="173" t="inlineStr">
        <is>
          <t>Hata-Kontrol Tutarlılığı</t>
        </is>
      </c>
      <c r="C11" s="173" t="inlineStr">
        <is>
          <t>Test sonucu var</t>
        </is>
      </c>
      <c r="D11" s="173" t="inlineStr">
        <is>
          <t>Hata taraması + kontrol sonuçları</t>
        </is>
      </c>
      <c r="E11" s="173" t="inlineStr">
        <is>
          <t>Formül hatası varken GEÇTİ yok</t>
        </is>
      </c>
      <c r="F11" s="173" t="inlineStr">
        <is>
          <t>HATA</t>
        </is>
      </c>
      <c r="G11" s="173" t="inlineStr">
        <is>
          <t>Kanıt</t>
        </is>
      </c>
    </row>
    <row r="12">
      <c r="A12" s="177" t="n">
        <v>9</v>
      </c>
      <c r="B12" s="173" t="inlineStr">
        <is>
          <t>Kanıt</t>
        </is>
      </c>
      <c r="C12" s="173" t="inlineStr">
        <is>
          <t>Test sonucu var</t>
        </is>
      </c>
      <c r="D12" s="173" t="inlineStr">
        <is>
          <t>Makine okunur artefakt + özet</t>
        </is>
      </c>
      <c r="E12" s="173" t="inlineStr">
        <is>
          <t>Kanıt fiziksel ve tutarlı</t>
        </is>
      </c>
      <c r="F12" s="173" t="inlineStr">
        <is>
          <t>HATA</t>
        </is>
      </c>
      <c r="G12" s="173" t="inlineStr">
        <is>
          <t>Kullanıcı Kabulü</t>
        </is>
      </c>
    </row>
    <row r="13">
      <c r="A13" s="177" t="n">
        <v>10</v>
      </c>
      <c r="B13" s="173" t="inlineStr">
        <is>
          <t>Kullanıcı Kabulü</t>
        </is>
      </c>
      <c r="C13" s="173" t="inlineStr">
        <is>
          <t>Kritik görevler</t>
        </is>
      </c>
      <c r="D13" s="173" t="inlineStr">
        <is>
          <t>Gerçek ekran davranışı</t>
        </is>
      </c>
      <c r="E13" s="173" t="inlineStr">
        <is>
          <t>Kritik görevler %100</t>
        </is>
      </c>
      <c r="F13" s="173" t="inlineStr">
        <is>
          <t>DIŞ_KABUL_GEREKLİ</t>
        </is>
      </c>
      <c r="G13" s="173" t="inlineStr">
        <is>
          <t>Ticari</t>
        </is>
      </c>
    </row>
    <row r="14">
      <c r="A14" s="177" t="n">
        <v>11</v>
      </c>
      <c r="B14" s="173" t="inlineStr">
        <is>
          <t>Ticari Değer</t>
        </is>
      </c>
      <c r="C14" s="173" t="inlineStr">
        <is>
          <t>Ürün satılacaksa</t>
        </is>
      </c>
      <c r="D14" s="173" t="inlineStr">
        <is>
          <t>ROI + demo + kanıt paketi</t>
        </is>
      </c>
      <c r="E14" s="173" t="inlineStr">
        <is>
          <t>Ekonomik değer kanıtlı</t>
        </is>
      </c>
      <c r="F14" s="173" t="inlineStr">
        <is>
          <t>UYARI / HATA</t>
        </is>
      </c>
      <c r="G14" s="173" t="inlineStr">
        <is>
          <t>Pazar Doğrulama</t>
        </is>
      </c>
    </row>
    <row r="15">
      <c r="A15" s="177" t="n">
        <v>12</v>
      </c>
      <c r="B15" s="173" t="inlineStr">
        <is>
          <t>Pazar Doğrulama</t>
        </is>
      </c>
      <c r="C15" s="173" t="inlineStr">
        <is>
          <t>Pazar iddiası varsa</t>
        </is>
      </c>
      <c r="D15" s="173" t="inlineStr">
        <is>
          <t>Ücretli satış/pilot/fiyat kabul kanıtı</t>
        </is>
      </c>
      <c r="E15" s="173" t="inlineStr">
        <is>
          <t>Gerçek fiyat kabul kanıtı</t>
        </is>
      </c>
      <c r="F15" s="173" t="inlineStr">
        <is>
          <t>UYGULANMAZ / HATA</t>
        </is>
      </c>
      <c r="G15" s="173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NİHAİ KONTROL LİSTESİ — KANITSIZ GEÇİŞ YOK</t>
        </is>
      </c>
    </row>
    <row r="3" ht="24" customHeight="1">
      <c r="A3" s="179" t="inlineStr">
        <is>
          <t>Kontrol No</t>
        </is>
      </c>
      <c r="B3" s="179" t="inlineStr">
        <is>
          <t>Kontrol</t>
        </is>
      </c>
      <c r="C3" s="179" t="inlineStr">
        <is>
          <t>Beklenen</t>
        </is>
      </c>
      <c r="D3" s="179" t="inlineStr">
        <is>
          <t>Zorunlu Kapı?</t>
        </is>
      </c>
      <c r="E3" s="179" t="inlineStr">
        <is>
          <t>Sonuç</t>
        </is>
      </c>
    </row>
    <row r="4">
      <c r="A4" s="180" t="inlineStr">
        <is>
          <t>K01</t>
        </is>
      </c>
      <c r="B4" s="173" t="inlineStr">
        <is>
          <t>Kullanıcının açık talebi öncelikli mi?</t>
        </is>
      </c>
      <c r="C4" s="173" t="inlineStr">
        <is>
          <t>Evet</t>
        </is>
      </c>
      <c r="D4" s="173" t="inlineStr">
        <is>
          <t>EVET</t>
        </is>
      </c>
    </row>
    <row r="5">
      <c r="A5" s="180" t="inlineStr">
        <is>
          <t>K02</t>
        </is>
      </c>
      <c r="B5" s="173" t="inlineStr">
        <is>
          <t>Mevcut yapı, formüller ve tek gerçek kaynak korunuyor mu?</t>
        </is>
      </c>
      <c r="C5" s="173" t="inlineStr">
        <is>
          <t>Evet, değişiklik gerekçeli</t>
        </is>
      </c>
      <c r="D5" s="173" t="inlineStr">
        <is>
          <t>EVET</t>
        </is>
      </c>
    </row>
    <row r="6">
      <c r="A6" s="180" t="inlineStr">
        <is>
          <t>K03</t>
        </is>
      </c>
      <c r="B6" s="173" t="inlineStr">
        <is>
          <t>Üst aşama HATA ise alt aşama GEÇTİ engelleniyor mu?</t>
        </is>
      </c>
      <c r="C6" s="173" t="inlineStr">
        <is>
          <t>Evet</t>
        </is>
      </c>
      <c r="D6" s="173" t="inlineStr">
        <is>
          <t>EVET</t>
        </is>
      </c>
    </row>
    <row r="7">
      <c r="A7" s="180" t="inlineStr">
        <is>
          <t>K04</t>
        </is>
      </c>
      <c r="B7" s="173" t="inlineStr">
        <is>
          <t>Kanıt fiziksel çıktı ve içerik doğrulaması içeriyor mu?</t>
        </is>
      </c>
      <c r="C7" s="173" t="inlineStr">
        <is>
          <t>Evet</t>
        </is>
      </c>
      <c r="D7" s="173" t="inlineStr">
        <is>
          <t>EVET</t>
        </is>
      </c>
    </row>
    <row r="8">
      <c r="A8" s="180" t="inlineStr">
        <is>
          <t>K05</t>
        </is>
      </c>
      <c r="B8" s="173" t="inlineStr">
        <is>
          <t>Excel GUI erişimi olmadan kullanıcı görünümü GEÇTİ yazılıyor mu?</t>
        </is>
      </c>
      <c r="C8" s="173" t="inlineStr">
        <is>
          <t>Hayır</t>
        </is>
      </c>
      <c r="D8" s="173" t="inlineStr">
        <is>
          <t>EVET</t>
        </is>
      </c>
    </row>
    <row r="9">
      <c r="A9" s="180" t="inlineStr">
        <is>
          <t>K06</t>
        </is>
      </c>
      <c r="B9" s="173" t="inlineStr">
        <is>
          <t>NİHAİ yalnız GEÇTİ / gerekçeli UYGULANMAZ ile mi?</t>
        </is>
      </c>
      <c r="C9" s="173" t="inlineStr">
        <is>
          <t>Evet</t>
        </is>
      </c>
      <c r="D9" s="173" t="inlineStr">
        <is>
          <t>EVET</t>
        </is>
      </c>
    </row>
    <row r="10">
      <c r="A10" s="180" t="inlineStr">
        <is>
          <t>K07</t>
        </is>
      </c>
      <c r="B10" s="173" t="inlineStr">
        <is>
          <t>Ekonomik fiyat savunusu pazar doğrulamasından ayrılmış mı?</t>
        </is>
      </c>
      <c r="C10" s="173" t="inlineStr">
        <is>
          <t>Evet</t>
        </is>
      </c>
      <c r="D10" s="173" t="inlineStr">
        <is>
          <t>EVET</t>
        </is>
      </c>
    </row>
    <row r="11">
      <c r="A11" s="180" t="inlineStr">
        <is>
          <t>K08</t>
        </is>
      </c>
      <c r="B11" s="173" t="inlineStr">
        <is>
          <t>Prestij için gereksiz modül var mı?</t>
        </is>
      </c>
      <c r="C11" s="173" t="inlineStr">
        <is>
          <t>Hayır</t>
        </is>
      </c>
      <c r="D11" s="173" t="inlineStr">
        <is>
          <t>HAYIR</t>
        </is>
      </c>
    </row>
    <row r="12">
      <c r="A12" s="180" t="inlineStr">
        <is>
          <t>K09</t>
        </is>
      </c>
      <c r="B12" s="173" t="inlineStr">
        <is>
          <t>Excel sınırları açık mı?</t>
        </is>
      </c>
      <c r="C12" s="173" t="inlineStr">
        <is>
          <t>Evet</t>
        </is>
      </c>
      <c r="D12" s="173" t="inlineStr">
        <is>
          <t>EVET</t>
        </is>
      </c>
    </row>
    <row r="13">
      <c r="A13" s="180" t="inlineStr">
        <is>
          <t>K10</t>
        </is>
      </c>
      <c r="B13" s="173" t="inlineStr">
        <is>
          <t>Teknik kaynak korunuyor mu?</t>
        </is>
      </c>
      <c r="C13" s="173" t="inlineStr">
        <is>
          <t>Evet</t>
        </is>
      </c>
      <c r="D13" s="173" t="inlineStr">
        <is>
          <t>EVET</t>
        </is>
      </c>
    </row>
    <row r="14">
      <c r="A14" s="180" t="inlineStr">
        <is>
          <t>K11</t>
        </is>
      </c>
      <c r="B14" s="173" t="inlineStr">
        <is>
          <t>Kullanıcıya görünen tüm metinler Türkçe mi?</t>
        </is>
      </c>
      <c r="C14" s="173" t="inlineStr">
        <is>
          <t>Evet</t>
        </is>
      </c>
      <c r="D14" s="173" t="inlineStr">
        <is>
          <t>EVET</t>
        </is>
      </c>
    </row>
    <row r="15">
      <c r="A15" s="180" t="inlineStr">
        <is>
          <t>K12</t>
        </is>
      </c>
      <c r="B15" s="173" t="inlineStr">
        <is>
          <t>Her kullanıcı sayfasında üst başlık var mı?</t>
        </is>
      </c>
      <c r="C15" s="173" t="inlineStr">
        <is>
          <t>Evet</t>
        </is>
      </c>
      <c r="D15" s="173" t="inlineStr">
        <is>
          <t>EVET</t>
        </is>
      </c>
    </row>
    <row r="16">
      <c r="A16" s="180" t="inlineStr">
        <is>
          <t>K13</t>
        </is>
      </c>
      <c r="B16" s="173" t="inlineStr">
        <is>
          <t>Sayfalar arasında tutarlı renk sistemi var mı?</t>
        </is>
      </c>
      <c r="C16" s="173" t="inlineStr">
        <is>
          <t>Evet</t>
        </is>
      </c>
      <c r="D16" s="173" t="inlineStr">
        <is>
          <t>EVET</t>
        </is>
      </c>
    </row>
    <row r="17">
      <c r="A17" s="180" t="inlineStr">
        <is>
          <t>K14</t>
        </is>
      </c>
      <c r="B17" s="173" t="inlineStr">
        <is>
          <t>Alt sayfa sekmeleri işlevine göre renklendirilmiş mi?</t>
        </is>
      </c>
      <c r="C17" s="173" t="inlineStr">
        <is>
          <t>Evet</t>
        </is>
      </c>
      <c r="D17" s="173" t="inlineStr">
        <is>
          <t>EVET</t>
        </is>
      </c>
    </row>
    <row r="18">
      <c r="A18" s="180" t="inlineStr">
        <is>
          <t>K15</t>
        </is>
      </c>
      <c r="B18" s="173" t="inlineStr">
        <is>
          <t>İçerik blokları arasında gereksiz boş kolon var mı?</t>
        </is>
      </c>
      <c r="C18" s="173" t="inlineStr">
        <is>
          <t>Hayır</t>
        </is>
      </c>
      <c r="D18" s="173" t="inlineStr">
        <is>
          <t>EVET</t>
        </is>
      </c>
    </row>
    <row r="19">
      <c r="A19" s="180" t="inlineStr">
        <is>
          <t>K16</t>
        </is>
      </c>
      <c r="B19" s="173" t="inlineStr">
        <is>
          <t>Grafikler premium ve karar odaklı mı?</t>
        </is>
      </c>
      <c r="C19" s="173" t="inlineStr">
        <is>
          <t>Evet</t>
        </is>
      </c>
      <c r="D19" s="173" t="inlineStr">
        <is>
          <t>EVET</t>
        </is>
      </c>
    </row>
    <row r="20">
      <c r="A20" s="180" t="inlineStr">
        <is>
          <t>K17</t>
        </is>
      </c>
      <c r="B20" s="173" t="inlineStr">
        <is>
          <t>Varsayılan Excel grafiği / 3B / dekoratif grafik var mı?</t>
        </is>
      </c>
      <c r="C20" s="173" t="inlineStr">
        <is>
          <t>Hayır</t>
        </is>
      </c>
      <c r="D20" s="173" t="inlineStr">
        <is>
          <t>EVET</t>
        </is>
      </c>
    </row>
    <row r="21">
      <c r="A21" s="180" t="inlineStr">
        <is>
          <t>K18</t>
        </is>
      </c>
      <c r="B21" s="173" t="inlineStr">
        <is>
          <t>Finansal ürün Türkiye Tekdüzen Hesap Planı ile eşleşiyor mu?</t>
        </is>
      </c>
      <c r="C21" s="173" t="inlineStr">
        <is>
          <t>Evet</t>
        </is>
      </c>
      <c r="D21" s="173" t="inlineStr">
        <is>
          <t>EVET</t>
        </is>
      </c>
    </row>
    <row r="22">
      <c r="A22" s="180" t="inlineStr">
        <is>
          <t>K19</t>
        </is>
      </c>
      <c r="B22" s="173" t="inlineStr">
        <is>
          <t>Muhasebe satır adları Türkiye kullanımına uygun mu?</t>
        </is>
      </c>
      <c r="C22" s="173" t="inlineStr">
        <is>
          <t>Evet</t>
        </is>
      </c>
      <c r="D22" s="173" t="inlineStr">
        <is>
          <t>EVET</t>
        </is>
      </c>
    </row>
    <row r="23">
      <c r="A23" s="180" t="inlineStr">
        <is>
          <t>K20</t>
        </is>
      </c>
      <c r="B23" s="173" t="inlineStr">
        <is>
          <t>Formül hatası varken herhangi bir kontrol GEÇTİ gösteriyor mu?</t>
        </is>
      </c>
      <c r="C23" s="173" t="inlineStr">
        <is>
          <t>Hayır</t>
        </is>
      </c>
      <c r="D23" s="173" t="inlineStr">
        <is>
          <t>EVET</t>
        </is>
      </c>
    </row>
    <row r="24">
      <c r="A24" s="180" t="inlineStr">
        <is>
          <t>K21</t>
        </is>
      </c>
      <c r="B24" s="173" t="inlineStr">
        <is>
          <t>Karar Motoru boş veya yalnız başlık düzeyinde mi?</t>
        </is>
      </c>
      <c r="C24" s="173" t="inlineStr">
        <is>
          <t>Hayır</t>
        </is>
      </c>
      <c r="D24" s="173" t="inlineStr">
        <is>
          <t>EVET</t>
        </is>
      </c>
    </row>
    <row r="25">
      <c r="A25" s="180" t="inlineStr">
        <is>
          <t>K22</t>
        </is>
      </c>
      <c r="B25" s="173" t="inlineStr">
        <is>
          <t>Senaryo/Stres modülü gerçekten sonuç değiştiriyor mu?</t>
        </is>
      </c>
      <c r="C25" s="173" t="inlineStr">
        <is>
          <t>Evet</t>
        </is>
      </c>
      <c r="D25" s="173" t="inlineStr">
        <is>
          <t>EVET</t>
        </is>
      </c>
    </row>
    <row r="26">
      <c r="A26" s="180" t="inlineStr">
        <is>
          <t>K23</t>
        </is>
      </c>
      <c r="B26" s="173" t="inlineStr">
        <is>
          <t>Oracle/bağımsız doğrulama gerçek veri üretiyor mu?</t>
        </is>
      </c>
      <c r="C26" s="173" t="inlineStr">
        <is>
          <t>Evet veya gerekçeli UYGULANMAZ</t>
        </is>
      </c>
      <c r="D26" s="173" t="inlineStr">
        <is>
          <t>EVET</t>
        </is>
      </c>
    </row>
    <row r="27">
      <c r="A27" s="180" t="inlineStr">
        <is>
          <t>K24</t>
        </is>
      </c>
      <c r="B27" s="173" t="inlineStr">
        <is>
          <t>Yönetici ekranı 5 saniyede sorunu ve aksiyonu anlatıyor mu?</t>
        </is>
      </c>
      <c r="C27" s="173" t="inlineStr">
        <is>
          <t>Evet</t>
        </is>
      </c>
      <c r="D27" s="173" t="inlineStr">
        <is>
          <t>EVET</t>
        </is>
      </c>
    </row>
    <row r="28">
      <c r="A28" s="180" t="inlineStr">
        <is>
          <t>K25</t>
        </is>
      </c>
      <c r="B28" s="173" t="inlineStr">
        <is>
          <t>Her kritik kararın parasal etkisi ve önerilen aksiyonu var mı?</t>
        </is>
      </c>
      <c r="C28" s="173" t="inlineStr">
        <is>
          <t>Evet</t>
        </is>
      </c>
      <c r="D28" s="173" t="inlineStr">
        <is>
          <t>EVET</t>
        </is>
      </c>
    </row>
    <row r="29">
      <c r="A29" s="180" t="inlineStr">
        <is>
          <t>K26</t>
        </is>
      </c>
      <c r="B29" s="173" t="inlineStr">
        <is>
          <t>Ürün sayfası/ürün içi demo satın alma gerekçesini kanıtlıyor mu?</t>
        </is>
      </c>
      <c r="C29" s="173" t="inlineStr">
        <is>
          <t>Evet</t>
        </is>
      </c>
      <c r="D29" s="173" t="inlineStr">
        <is>
          <t>EVET</t>
        </is>
      </c>
    </row>
    <row r="30" ht="30" customHeight="1">
      <c r="A30" s="181" t="inlineStr">
        <is>
          <t>K27</t>
        </is>
      </c>
      <c r="B30" s="182" t="inlineStr">
        <is>
          <t>Buton görünümü verilen tüm alanlar gerçekten tıklanabilir ve doğru hedefe gidiyor mu?</t>
        </is>
      </c>
      <c r="C30" s="182" t="inlineStr">
        <is>
          <t>Evet</t>
        </is>
      </c>
      <c r="D30" s="173" t="inlineStr">
        <is>
          <t>EVET</t>
        </is>
      </c>
    </row>
    <row r="31" ht="30" customHeight="1">
      <c r="A31" s="181" t="inlineStr">
        <is>
          <t>K28</t>
        </is>
      </c>
      <c r="B31" s="182" t="inlineStr">
        <is>
          <t>Tüm görünür kullanıcı sheet tabları kurumsal kategori rengi taşıyor mu?</t>
        </is>
      </c>
      <c r="C31" s="182" t="inlineStr">
        <is>
          <t>Evet</t>
        </is>
      </c>
      <c r="D31" s="173" t="inlineStr">
        <is>
          <t>EVET</t>
        </is>
      </c>
    </row>
    <row r="32" ht="16" customHeight="1">
      <c r="A32" s="181" t="inlineStr">
        <is>
          <t>K29</t>
        </is>
      </c>
      <c r="B32" s="182" t="inlineStr">
        <is>
          <t>Sheet sırası tanımlı kullanıcı iş akışıyla birebir aynı mı?</t>
        </is>
      </c>
      <c r="C32" s="182" t="inlineStr">
        <is>
          <t>Evet</t>
        </is>
      </c>
      <c r="D32" s="173" t="inlineStr">
        <is>
          <t>EVET</t>
        </is>
      </c>
    </row>
    <row r="33" ht="30" customHeight="1">
      <c r="A33" s="181" t="inlineStr">
        <is>
          <t>K30</t>
        </is>
      </c>
      <c r="B33" s="182" t="inlineStr">
        <is>
          <t>Kurumsal renk paleti tutarlı mı; rastgele/gökkuşağı renk kullanımı var mı?</t>
        </is>
      </c>
      <c r="C33" s="182" t="inlineStr">
        <is>
          <t>Evet / Hayır</t>
        </is>
      </c>
      <c r="D33" s="173" t="inlineStr">
        <is>
          <t>EVET</t>
        </is>
      </c>
    </row>
    <row r="34" ht="30" customHeight="1">
      <c r="A34" s="181" t="inlineStr">
        <is>
          <t>K31</t>
        </is>
      </c>
      <c r="B34" s="182" t="inlineStr">
        <is>
          <t>Premium vitrin, altyapı kadar güçlü ve satış fiyatını destekleyecek seviyede mi?</t>
        </is>
      </c>
      <c r="C34" s="182" t="inlineStr">
        <is>
          <t>Evet</t>
        </is>
      </c>
      <c r="D34" s="173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GÖRSEL TASARIM VE PREMIUM EXCEL STANDARDI</t>
        </is>
      </c>
    </row>
    <row r="3" ht="24" customHeight="1">
      <c r="A3" s="184" t="inlineStr">
        <is>
          <t>Alan</t>
        </is>
      </c>
      <c r="B3" s="184" t="inlineStr">
        <is>
          <t>Zorunlu Kural</t>
        </is>
      </c>
      <c r="C3" s="184" t="inlineStr">
        <is>
          <t>Uygulama</t>
        </is>
      </c>
      <c r="D3" s="184" t="inlineStr">
        <is>
          <t>Yasak</t>
        </is>
      </c>
      <c r="E3" s="184" t="inlineStr">
        <is>
          <t>Kontrol</t>
        </is>
      </c>
      <c r="F3" s="184" t="inlineStr">
        <is>
          <t>Durum</t>
        </is>
      </c>
    </row>
    <row r="4" ht="28" customHeight="1">
      <c r="A4" s="185" t="inlineStr">
        <is>
          <t>Sayfa başlığı</t>
        </is>
      </c>
      <c r="B4" s="173" t="inlineStr">
        <is>
          <t>Her kullanıcı sayfasının en üstünde tek ve açık sayfa başlığı</t>
        </is>
      </c>
      <c r="C4" s="173" t="inlineStr">
        <is>
          <t>A1'den başlayan koyu lacivert başlık bandı</t>
        </is>
      </c>
      <c r="D4" s="173" t="inlineStr">
        <is>
          <t>Başlıksız sayfa</t>
        </is>
      </c>
      <c r="E4" s="173" t="inlineStr">
        <is>
          <t>Başlık kapsama = %100</t>
        </is>
      </c>
      <c r="F4" s="186" t="inlineStr">
        <is>
          <t>ZORUNLU</t>
        </is>
      </c>
    </row>
    <row r="5" ht="28" customHeight="1">
      <c r="A5" s="185" t="inlineStr">
        <is>
          <t>Sekme renkleri</t>
        </is>
      </c>
      <c r="B5" s="173" t="inlineStr">
        <is>
          <t>Sayfalar işlevine göre renk kodlanır</t>
        </is>
      </c>
      <c r="C5" s="173" t="inlineStr">
        <is>
          <t>Girdi=mavi, hesap=gri, rapor=lacivert, kontrol=kırmızı, kılavuz=altın</t>
        </is>
      </c>
      <c r="D5" s="173" t="inlineStr">
        <is>
          <t>Rastgele renk</t>
        </is>
      </c>
      <c r="E5" s="173" t="inlineStr">
        <is>
          <t>Renk semantiği tutarlı</t>
        </is>
      </c>
      <c r="F5" s="186" t="inlineStr">
        <is>
          <t>ZORUNLU</t>
        </is>
      </c>
    </row>
    <row r="6" ht="28" customHeight="1">
      <c r="A6" s="185" t="inlineStr">
        <is>
          <t>Kolon düzeni</t>
        </is>
      </c>
      <c r="B6" s="173" t="inlineStr">
        <is>
          <t>Veri blokları bitişik kolonlarda ilerler</t>
        </is>
      </c>
      <c r="C6" s="173" t="inlineStr">
        <is>
          <t>Gereksiz boş kolon bırakma; yalnız gerçek bölüm ayrımı varsa kontrollü boşluk</t>
        </is>
      </c>
      <c r="D6" s="173" t="inlineStr">
        <is>
          <t>A:C veri, D boş, E:F veri gibi parçalı yapı</t>
        </is>
      </c>
      <c r="E6" s="173" t="inlineStr">
        <is>
          <t>Boş kolon taraması</t>
        </is>
      </c>
      <c r="F6" s="186" t="inlineStr">
        <is>
          <t>ZORUNLU</t>
        </is>
      </c>
    </row>
    <row r="7" ht="16" customHeight="1">
      <c r="A7" s="185" t="inlineStr">
        <is>
          <t>Girdi hücreleri</t>
        </is>
      </c>
      <c r="B7" s="173" t="inlineStr">
        <is>
          <t>Kullanıcının değiştireceği alan açıkça görünür</t>
        </is>
      </c>
      <c r="C7" s="173" t="inlineStr">
        <is>
          <t>Açık sarı dolgu + mavi yazı</t>
        </is>
      </c>
      <c r="D7" s="173" t="inlineStr">
        <is>
          <t>Formülle aynı görünüm</t>
        </is>
      </c>
      <c r="E7" s="173" t="inlineStr">
        <is>
          <t>Girdi/formül ayrımı</t>
        </is>
      </c>
      <c r="F7" s="186" t="inlineStr">
        <is>
          <t>ZORUNLU</t>
        </is>
      </c>
    </row>
    <row r="8" ht="16" customHeight="1">
      <c r="A8" s="185" t="inlineStr">
        <is>
          <t>Formüller</t>
        </is>
      </c>
      <c r="B8" s="173" t="inlineStr">
        <is>
          <t>Hesap hücreleri kullanıcı girdisinden ayrılır</t>
        </is>
      </c>
      <c r="C8" s="173" t="inlineStr">
        <is>
          <t>Siyah yazı; sayfalar arası bağlantı yeşil yazı</t>
        </is>
      </c>
      <c r="D8" s="173" t="inlineStr">
        <is>
          <t>Hard-code gizleme</t>
        </is>
      </c>
      <c r="E8" s="173" t="inlineStr">
        <is>
          <t>Formül sınıfı kontrolü</t>
        </is>
      </c>
      <c r="F8" s="186" t="inlineStr">
        <is>
          <t>ZORUNLU</t>
        </is>
      </c>
    </row>
    <row r="9" ht="16" customHeight="1">
      <c r="A9" s="185" t="inlineStr">
        <is>
          <t>Grafik sayısı</t>
        </is>
      </c>
      <c r="B9" s="173" t="inlineStr">
        <is>
          <t>Yönetici ekranında en fazla 3 ana karar grafiği</t>
        </is>
      </c>
      <c r="C9" s="173" t="inlineStr">
        <is>
          <t>Trend, karşılaştırma, köprü/dağılım; iş kararına bağlı</t>
        </is>
      </c>
      <c r="D9" s="173" t="inlineStr">
        <is>
          <t>Grafik kalabalığı</t>
        </is>
      </c>
      <c r="E9" s="173" t="inlineStr">
        <is>
          <t>Grafik başına karar sorusu</t>
        </is>
      </c>
      <c r="F9" s="186" t="inlineStr">
        <is>
          <t>ZORUNLU</t>
        </is>
      </c>
    </row>
    <row r="10" ht="16" customHeight="1">
      <c r="A10" s="185" t="inlineStr">
        <is>
          <t>Grafik stili</t>
        </is>
      </c>
      <c r="B10" s="173" t="inlineStr">
        <is>
          <t>Kurumsal ve yüksek okunabilirlik</t>
        </is>
      </c>
      <c r="C10" s="173" t="inlineStr">
        <is>
          <t>Beyaz zemin, ince gridline, tek vurgu rengi, açık birim/başlık</t>
        </is>
      </c>
      <c r="D10" s="173" t="inlineStr">
        <is>
          <t>3B, gölge, neon, gökkuşağı renkleri</t>
        </is>
      </c>
      <c r="E10" s="173" t="inlineStr">
        <is>
          <t>Görsel inceleme</t>
        </is>
      </c>
      <c r="F10" s="186" t="inlineStr">
        <is>
          <t>ZORUNLU</t>
        </is>
      </c>
    </row>
    <row r="11" ht="16" customHeight="1">
      <c r="A11" s="185" t="inlineStr">
        <is>
          <t>Grafik başlığı</t>
        </is>
      </c>
      <c r="B11" s="173" t="inlineStr">
        <is>
          <t>Grafik 'neyi' değil 'ne anlama geldiğini' söyler</t>
        </is>
      </c>
      <c r="C11" s="173" t="inlineStr">
        <is>
          <t>Örn: 'Nakit 2028'de kritik eşiğin altına iniyor'</t>
        </is>
      </c>
      <c r="D11" s="173" t="inlineStr">
        <is>
          <t>'Nakit Grafiği' gibi anlamsız başlık</t>
        </is>
      </c>
      <c r="E11" s="173" t="inlineStr">
        <is>
          <t>Başlık karar testi</t>
        </is>
      </c>
      <c r="F11" s="186" t="inlineStr">
        <is>
          <t>ZORUNLU</t>
        </is>
      </c>
    </row>
    <row r="12" ht="16" customHeight="1">
      <c r="A12" s="185" t="inlineStr">
        <is>
          <t>Birimler</t>
        </is>
      </c>
      <c r="B12" s="173" t="inlineStr">
        <is>
          <t>Tüm finansal görsellerde birim açık</t>
        </is>
      </c>
      <c r="C12" s="173" t="inlineStr">
        <is>
          <t>TL, bin TL, milyon TL, %, gün, x</t>
        </is>
      </c>
      <c r="D12" s="173" t="inlineStr">
        <is>
          <t>Birim belirsizliği</t>
        </is>
      </c>
      <c r="E12" s="173" t="inlineStr">
        <is>
          <t>Birim kapsama %100</t>
        </is>
      </c>
      <c r="F12" s="186" t="inlineStr">
        <is>
          <t>ZORUNLU</t>
        </is>
      </c>
    </row>
    <row r="13" ht="16" customHeight="1">
      <c r="A13" s="185" t="inlineStr">
        <is>
          <t>Sıfır/negatif</t>
        </is>
      </c>
      <c r="B13" s="173" t="inlineStr">
        <is>
          <t>Finansal format standardı</t>
        </is>
      </c>
      <c r="C13" s="173" t="inlineStr">
        <is>
          <t>Sıfır='-', negatif kırmızı parantez</t>
        </is>
      </c>
      <c r="D13" s="173" t="inlineStr">
        <is>
          <t>-500 veya 0,00 kalabalığı</t>
        </is>
      </c>
      <c r="E13" s="173" t="inlineStr">
        <is>
          <t>Format kontrolü</t>
        </is>
      </c>
      <c r="F13" s="186" t="inlineStr">
        <is>
          <t>ZORUNLU</t>
        </is>
      </c>
    </row>
    <row r="14" ht="16" customHeight="1">
      <c r="A14" s="185" t="inlineStr">
        <is>
          <t>Yazı tipi</t>
        </is>
      </c>
      <c r="B14" s="173" t="inlineStr">
        <is>
          <t>Tek aile</t>
        </is>
      </c>
      <c r="C14" s="173" t="inlineStr">
        <is>
          <t>Aptos veya Segoe UI</t>
        </is>
      </c>
      <c r="D14" s="173" t="inlineStr">
        <is>
          <t>Karışık font</t>
        </is>
      </c>
      <c r="E14" s="173" t="inlineStr">
        <is>
          <t>Tek font kontrolü</t>
        </is>
      </c>
      <c r="F14" s="186" t="inlineStr">
        <is>
          <t>ZORUNLU</t>
        </is>
      </c>
    </row>
    <row r="15" ht="16" customHeight="1">
      <c r="A15" s="185" t="inlineStr">
        <is>
          <t>Izgara</t>
        </is>
      </c>
      <c r="B15" s="173" t="inlineStr">
        <is>
          <t>Kullanıcı sayfalarında kapalı</t>
        </is>
      </c>
      <c r="C15" s="173" t="inlineStr">
        <is>
          <t>Bölüm çizgileri ve kart sınırlarıyla düzen</t>
        </is>
      </c>
      <c r="D15" s="173" t="inlineStr">
        <is>
          <t>Excel varsayılan gridline</t>
        </is>
      </c>
      <c r="E15" s="173" t="inlineStr">
        <is>
          <t>Gridline kontrolü</t>
        </is>
      </c>
      <c r="F15" s="186" t="inlineStr">
        <is>
          <t>ZORUNLU</t>
        </is>
      </c>
    </row>
    <row r="16" ht="16" customHeight="1">
      <c r="A16" s="185" t="inlineStr">
        <is>
          <t>Boş durum</t>
        </is>
      </c>
      <c r="B16" s="173" t="inlineStr">
        <is>
          <t>Veri yokken temiz ve anlaşılır</t>
        </is>
      </c>
      <c r="C16" s="173" t="inlineStr">
        <is>
          <t>'Henüz veri yok' / 'Girdi bekleniyor'</t>
        </is>
      </c>
      <c r="D16" s="173" t="inlineStr">
        <is>
          <t>0 yığını / hata kodu</t>
        </is>
      </c>
      <c r="E16" s="173" t="inlineStr">
        <is>
          <t>Boş veri testi</t>
        </is>
      </c>
      <c r="F16" s="186" t="inlineStr">
        <is>
          <t>ZORUNLU</t>
        </is>
      </c>
    </row>
    <row r="17" ht="28" customHeight="1">
      <c r="A17" s="185" t="inlineStr">
        <is>
          <t>Başlangıç deneyimi</t>
        </is>
      </c>
      <c r="B17" s="173" t="inlineStr">
        <is>
          <t>İlk 5 saniyede ne gireceği ve neye bakacağı anlaşılır</t>
        </is>
      </c>
      <c r="C17" s="173" t="inlineStr">
        <is>
          <t>Girdi → durum → aksiyon akışı</t>
        </is>
      </c>
      <c r="D17" s="173" t="inlineStr">
        <is>
          <t>Kılavuz aramaya zorlama</t>
        </is>
      </c>
      <c r="E17" s="173" t="inlineStr">
        <is>
          <t>5 saniye testi</t>
        </is>
      </c>
      <c r="F17" s="186" t="inlineStr">
        <is>
          <t>ZORUNLU</t>
        </is>
      </c>
    </row>
    <row r="18" ht="30" customHeight="1">
      <c r="A18" s="181" t="inlineStr">
        <is>
          <t>Buton standardı</t>
        </is>
      </c>
      <c r="B18" s="182" t="inlineStr">
        <is>
          <t>Buton görünümü verilen her alan gerçek işlev taşır</t>
        </is>
      </c>
      <c r="C18" s="182" t="inlineStr">
        <is>
          <t>Sayfa içi HYPERLINK / gerçek aksiyon; tıklanınca hedefe gider</t>
        </is>
      </c>
      <c r="D18" s="182" t="inlineStr">
        <is>
          <t>İşlevsiz dekoratif buton / sahte navigasyon</t>
        </is>
      </c>
      <c r="E18" s="182" t="inlineStr">
        <is>
          <t>Butonların %100'ü tıklanabilir ve hedefi doğru</t>
        </is>
      </c>
      <c r="F18" s="186" t="inlineStr">
        <is>
          <t>ZORUNLU</t>
        </is>
      </c>
    </row>
    <row r="19" ht="32" customHeight="1">
      <c r="A19" s="181" t="inlineStr">
        <is>
          <t>Native sayfa sekmesi rengi</t>
        </is>
      </c>
      <c r="B19" s="182" t="inlineStr">
        <is>
          <t>Excel alt sheet tabları kurumsal paletle renklendirilir</t>
        </is>
      </c>
      <c r="C19" s="182" t="inlineStr">
        <is>
          <t>Başlangıç/özet=lacivert; girdiler=mavi; hesap/finans=teal; karar/kontrol=burgundy; doküman=gri</t>
        </is>
      </c>
      <c r="D19" s="182" t="inlineStr">
        <is>
          <t>Renksiz sekmeler veya rastgele/gökkuşağı renkleri</t>
        </is>
      </c>
      <c r="E19" s="182" t="inlineStr">
        <is>
          <t>Tüm görünür kullanıcı sheet tabları renkli</t>
        </is>
      </c>
      <c r="F19" s="186" t="inlineStr">
        <is>
          <t>ZORUNLU</t>
        </is>
      </c>
    </row>
    <row r="20" ht="60" customHeight="1">
      <c r="A20" s="181" t="inlineStr">
        <is>
          <t>İş akışı sıralaması</t>
        </is>
      </c>
      <c r="B20" s="182" t="inlineStr">
        <is>
          <t>Sayfalar kullanıcının çalışma sırasına göre fiziksel olarak dizilir</t>
        </is>
      </c>
      <c r="C20" s="182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82" t="inlineStr">
        <is>
          <t>Teknik oluşturma sırasına göre dağınık sheet dizilimi</t>
        </is>
      </c>
      <c r="E20" s="182" t="inlineStr">
        <is>
          <t>Sheet order = tanımlı workflow</t>
        </is>
      </c>
      <c r="F20" s="186" t="inlineStr">
        <is>
          <t>ZORUNLU</t>
        </is>
      </c>
    </row>
    <row r="21" ht="30" customHeight="1">
      <c r="A21" s="181" t="inlineStr">
        <is>
          <t>Kurumsal renk paleti</t>
        </is>
      </c>
      <c r="B21" s="182" t="inlineStr">
        <is>
          <t>Sekme, başlık, buton ve vurgu renkleri tek kurumsal paletten gelir</t>
        </is>
      </c>
      <c r="C21" s="182" t="inlineStr">
        <is>
          <t>Lacivert + mavi + teal + kontrollü burgundy/gri; kategori semantiği sabit</t>
        </is>
      </c>
      <c r="D21" s="182" t="inlineStr">
        <is>
          <t>Neon, rastgele yüksek doygunluk, her sayfada farklı bağımsız renk</t>
        </is>
      </c>
      <c r="E21" s="182" t="inlineStr">
        <is>
          <t>Palette token kontrolü</t>
        </is>
      </c>
      <c r="F21" s="186" t="inlineStr">
        <is>
          <t>ZORUNLU</t>
        </is>
      </c>
    </row>
    <row r="22" ht="45" customHeight="1">
      <c r="A22" s="181" t="inlineStr">
        <is>
          <t>Premium vitrin</t>
        </is>
      </c>
      <c r="B22" s="182" t="inlineStr">
        <is>
          <t>Görsel kalite ürün değerinin zorunlu parçasıdır</t>
        </is>
      </c>
      <c r="C22" s="182" t="inlineStr">
        <is>
          <t>Kaliteli grafik, gerçek KPI kartı, finansal hiyerarşi, tab rengi, fonksiyonel navigasyon</t>
        </is>
      </c>
      <c r="D22" s="182" t="inlineStr">
        <is>
          <t>Sadece doğru hesap yapıp çıplak/varsayılan Excel görünümü bırakmak</t>
        </is>
      </c>
      <c r="E22" s="182" t="inlineStr">
        <is>
          <t>Görsel release incelemesi</t>
        </is>
      </c>
      <c r="F22" s="186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TÜRKİYE MUHASEBE VE TEKDÜZEN HESAP PLANI STANDARDI</t>
        </is>
      </c>
    </row>
    <row r="3" ht="24" customHeight="1">
      <c r="A3" s="188" t="inlineStr">
        <is>
          <t>Konu</t>
        </is>
      </c>
      <c r="B3" s="188" t="inlineStr">
        <is>
          <t>Zorunlu Standart</t>
        </is>
      </c>
      <c r="C3" s="188" t="inlineStr">
        <is>
          <t>Örnek Türkçe Ad</t>
        </is>
      </c>
      <c r="D3" s="188" t="inlineStr">
        <is>
          <t>THP / Mantık</t>
        </is>
      </c>
      <c r="E3" s="188" t="inlineStr">
        <is>
          <t>Hata Riski</t>
        </is>
      </c>
      <c r="F3" s="188" t="inlineStr">
        <is>
          <t>Kontrol</t>
        </is>
      </c>
    </row>
    <row r="4">
      <c r="A4" s="189" t="inlineStr">
        <is>
          <t>Dil</t>
        </is>
      </c>
      <c r="B4" s="173" t="inlineStr">
        <is>
          <t>Kullanıcıya görünen finansal terimler Türkçe</t>
        </is>
      </c>
      <c r="C4" s="173" t="inlineStr">
        <is>
          <t>Hasılat, Satışların Maliyeti, Brüt Kâr, Faaliyet Giderleri</t>
        </is>
      </c>
      <c r="D4" s="173" t="inlineStr">
        <is>
          <t>Türk işletme kullanımına uygun</t>
        </is>
      </c>
      <c r="E4" s="173" t="inlineStr">
        <is>
          <t>İngilizce jargon</t>
        </is>
      </c>
      <c r="F4" s="173" t="inlineStr">
        <is>
          <t>Terminoloji taraması</t>
        </is>
      </c>
    </row>
    <row r="5" ht="28" customHeight="1">
      <c r="A5" s="189" t="inlineStr">
        <is>
          <t>Gelir Tablosu</t>
        </is>
      </c>
      <c r="B5" s="173" t="inlineStr">
        <is>
          <t>Türk sunum sırası kullanılır</t>
        </is>
      </c>
      <c r="C5" s="173" t="inlineStr">
        <is>
          <t>Net Satışlar → Satışların Maliyeti → Brüt Kâr → Faaliyet Giderleri → Faaliyet Kârı</t>
        </is>
      </c>
      <c r="D5" s="173" t="inlineStr">
        <is>
          <t>600/610/611; 620-623; 63x</t>
        </is>
      </c>
      <c r="E5" s="173" t="inlineStr">
        <is>
          <t>Yanlış sınıflama</t>
        </is>
      </c>
      <c r="F5" s="173" t="inlineStr">
        <is>
          <t>Hesap eşleme</t>
        </is>
      </c>
    </row>
    <row r="6" ht="28" customHeight="1">
      <c r="A6" s="189" t="inlineStr">
        <is>
          <t>Bilanço</t>
        </is>
      </c>
      <c r="B6" s="173" t="inlineStr">
        <is>
          <t>Dönen/Duran Varlık ve Kısa/Uzun Vadeli Yükümlülük ayrımı</t>
        </is>
      </c>
      <c r="C6" s="173" t="inlineStr">
        <is>
          <t>Hazır Değerler, Ticari Alacaklar, Stoklar, Mali Borçlar</t>
        </is>
      </c>
      <c r="D6" s="173" t="inlineStr">
        <is>
          <t>1xx / 2xx / 3xx / 4xx / 5xx</t>
        </is>
      </c>
      <c r="E6" s="173" t="inlineStr">
        <is>
          <t>Vade sınıfı hatası</t>
        </is>
      </c>
      <c r="F6" s="173" t="inlineStr">
        <is>
          <t>Bilanço eşitliği</t>
        </is>
      </c>
    </row>
    <row r="7">
      <c r="A7" s="189" t="inlineStr">
        <is>
          <t>Nakit Akışı</t>
        </is>
      </c>
      <c r="B7" s="173" t="inlineStr">
        <is>
          <t>İşletme/Yatırım/Finansman nakit akışları ayrılır</t>
        </is>
      </c>
      <c r="C7" s="173" t="inlineStr">
        <is>
          <t>Faaliyetlerden Nakit, Yatırım Harcamaları, Finansman Nakit Akışı</t>
        </is>
      </c>
      <c r="D7" s="173" t="inlineStr">
        <is>
          <t>Dolaylı/doğrudan yöntem açık seçilir</t>
        </is>
      </c>
      <c r="E7" s="173" t="inlineStr">
        <is>
          <t>Kâr = nakit sanılması</t>
        </is>
      </c>
      <c r="F7" s="173" t="inlineStr">
        <is>
          <t>Nakit devri</t>
        </is>
      </c>
    </row>
    <row r="8">
      <c r="A8" s="189" t="inlineStr">
        <is>
          <t>Ticari Alacaklar</t>
        </is>
      </c>
      <c r="B8" s="173" t="inlineStr">
        <is>
          <t>Cari ve vade mantığı korunur</t>
        </is>
      </c>
      <c r="C8" s="173" t="inlineStr">
        <is>
          <t>120 Alıcılar</t>
        </is>
      </c>
      <c r="D8" s="173" t="inlineStr">
        <is>
          <t>120</t>
        </is>
      </c>
      <c r="E8" s="173" t="inlineStr">
        <is>
          <t>Tahakkuk/nakit karışması</t>
        </is>
      </c>
      <c r="F8" s="173" t="inlineStr">
        <is>
          <t>Alacak devir kontrolü</t>
        </is>
      </c>
    </row>
    <row r="9">
      <c r="A9" s="189" t="inlineStr">
        <is>
          <t>Ticari Borçlar</t>
        </is>
      </c>
      <c r="B9" s="173" t="inlineStr">
        <is>
          <t>Tedarikçi borcu ayrı izlenir</t>
        </is>
      </c>
      <c r="C9" s="173" t="inlineStr">
        <is>
          <t>320 Satıcılar</t>
        </is>
      </c>
      <c r="D9" s="173" t="inlineStr">
        <is>
          <t>320</t>
        </is>
      </c>
      <c r="E9" s="173" t="inlineStr">
        <is>
          <t>Gider/ödeme karışması</t>
        </is>
      </c>
      <c r="F9" s="173" t="inlineStr">
        <is>
          <t>Borç devir kontrolü</t>
        </is>
      </c>
    </row>
    <row r="10">
      <c r="A10" s="189" t="inlineStr">
        <is>
          <t>Kasa/Banka</t>
        </is>
      </c>
      <c r="B10" s="173" t="inlineStr">
        <is>
          <t>Hazır değerler ayrı izlenir</t>
        </is>
      </c>
      <c r="C10" s="173" t="inlineStr">
        <is>
          <t>100 Kasa, 102 Bankalar</t>
        </is>
      </c>
      <c r="D10" s="173" t="inlineStr">
        <is>
          <t>100 / 102</t>
        </is>
      </c>
      <c r="E10" s="173" t="inlineStr">
        <is>
          <t>Virmanla toplam nakdin değişmesi</t>
        </is>
      </c>
      <c r="F10" s="173" t="inlineStr">
        <is>
          <t>Virman değişmezi</t>
        </is>
      </c>
    </row>
    <row r="11">
      <c r="A11" s="189" t="inlineStr">
        <is>
          <t>Stok</t>
        </is>
      </c>
      <c r="B11" s="173" t="inlineStr">
        <is>
          <t>Dikeye uygun stok türü</t>
        </is>
      </c>
      <c r="C11" s="173" t="inlineStr">
        <is>
          <t>150 İlk Madde ve Malzeme, 153 Ticari Mallar</t>
        </is>
      </c>
      <c r="D11" s="173" t="inlineStr">
        <is>
          <t>15x</t>
        </is>
      </c>
      <c r="E11" s="173" t="inlineStr">
        <is>
          <t>Maliyet ve stok hareketinin kopması</t>
        </is>
      </c>
      <c r="F11" s="173" t="inlineStr">
        <is>
          <t>Stok devri</t>
        </is>
      </c>
    </row>
    <row r="12" ht="28" customHeight="1">
      <c r="A12" s="189" t="inlineStr">
        <is>
          <t>Maddi Duran Varlık</t>
        </is>
      </c>
      <c r="B12" s="173" t="inlineStr">
        <is>
          <t>Yatırım harcaması ve amortisman bağlantılı</t>
        </is>
      </c>
      <c r="C12" s="173" t="inlineStr">
        <is>
          <t>253 Tesis Makine Cihazlar, 255 Demirbaşlar, 257 Birikmiş Amortismanlar</t>
        </is>
      </c>
      <c r="D12" s="173" t="inlineStr">
        <is>
          <t>25x</t>
        </is>
      </c>
      <c r="E12" s="173" t="inlineStr">
        <is>
          <t>Yatırım/gider karışması</t>
        </is>
      </c>
      <c r="F12" s="173" t="inlineStr">
        <is>
          <t>Net defter değeri devri</t>
        </is>
      </c>
    </row>
    <row r="13">
      <c r="A13" s="189" t="inlineStr">
        <is>
          <t>Mali Borçlar</t>
        </is>
      </c>
      <c r="B13" s="173" t="inlineStr">
        <is>
          <t>Kısa/uzun vadeli borç ayrımı</t>
        </is>
      </c>
      <c r="C13" s="173" t="inlineStr">
        <is>
          <t>300 Banka Kredileri / 400 Banka Kredileri</t>
        </is>
      </c>
      <c r="D13" s="173" t="inlineStr">
        <is>
          <t>300 / 400</t>
        </is>
      </c>
      <c r="E13" s="173" t="inlineStr">
        <is>
          <t>Vade sınıfı yanlış</t>
        </is>
      </c>
      <c r="F13" s="173" t="inlineStr">
        <is>
          <t>Borç devri</t>
        </is>
      </c>
    </row>
    <row r="14">
      <c r="A14" s="189" t="inlineStr">
        <is>
          <t>Özkaynak</t>
        </is>
      </c>
      <c r="B14" s="173" t="inlineStr">
        <is>
          <t>Sermaye ve geçmiş yıl kârları ayrı</t>
        </is>
      </c>
      <c r="C14" s="173" t="inlineStr">
        <is>
          <t>500 Sermaye, 570 Geçmiş Yıllar Kârları, 590 Dönem Net Kârı</t>
        </is>
      </c>
      <c r="D14" s="173" t="inlineStr">
        <is>
          <t>5xx</t>
        </is>
      </c>
      <c r="E14" s="173" t="inlineStr">
        <is>
          <t>Net kâr bağının kopması</t>
        </is>
      </c>
      <c r="F14" s="173" t="inlineStr">
        <is>
          <t>Özkaynak devri</t>
        </is>
      </c>
    </row>
    <row r="15">
      <c r="A15" s="189" t="inlineStr">
        <is>
          <t>Vergi</t>
        </is>
      </c>
      <c r="B15" s="173" t="inlineStr">
        <is>
          <t>Vergi satırları Türkiye mantığına uygun</t>
        </is>
      </c>
      <c r="C15" s="173" t="inlineStr">
        <is>
          <t>Dönem Vergi ve Diğer Yasal Yükümlülük Karşılıkları</t>
        </is>
      </c>
      <c r="D15" s="173" t="inlineStr">
        <is>
          <t>37x / ilgili vergi hesapları</t>
        </is>
      </c>
      <c r="E15" s="173" t="inlineStr">
        <is>
          <t>Vergi etkisinin yanlış dönemlenmesi</t>
        </is>
      </c>
      <c r="F15" s="173" t="inlineStr">
        <is>
          <t>Vergi sözleşmesi</t>
        </is>
      </c>
    </row>
    <row r="16">
      <c r="A16" s="189" t="inlineStr">
        <is>
          <t>İsim standardı</t>
        </is>
      </c>
      <c r="B16" s="173" t="inlineStr">
        <is>
          <t>Tablo ve sayfa adları Türkçe ve işlevsel</t>
        </is>
      </c>
      <c r="C16" s="173" t="inlineStr">
        <is>
          <t>GELİR_TABLOSU, BİLANÇO, NAKİT_AKISI, BORC_PLANI</t>
        </is>
      </c>
      <c r="D16" s="173" t="inlineStr">
        <is>
          <t>Tekrarlanabilir standart</t>
        </is>
      </c>
      <c r="E16" s="173" t="inlineStr">
        <is>
          <t>İngilizce/karma isim</t>
        </is>
      </c>
      <c r="F16" s="173" t="inlineStr">
        <is>
          <t>Sayfa ve tablo taraması</t>
        </is>
      </c>
    </row>
    <row r="17">
      <c r="A17" s="189" t="inlineStr">
        <is>
          <t>THP eşleme tablosu</t>
        </is>
      </c>
      <c r="B17" s="173" t="inlineStr">
        <is>
          <t>Her kritik satır en az bir THP hesabına bağlanır</t>
        </is>
      </c>
      <c r="C17" s="173" t="inlineStr">
        <is>
          <t>RaporSatırı → HesapKodu → HesapAdı → İşaret → Dönem</t>
        </is>
      </c>
      <c r="D17" s="173" t="inlineStr">
        <is>
          <t>Kaynak izlenebilirliği</t>
        </is>
      </c>
      <c r="E17" s="173" t="inlineStr">
        <is>
          <t>Rapordan rapora kaynak</t>
        </is>
      </c>
      <c r="F17" s="173" t="inlineStr">
        <is>
          <t>Eşleme kapsama %100</t>
        </is>
      </c>
    </row>
    <row r="18">
      <c r="A18" s="189" t="inlineStr">
        <is>
          <t>İstisna</t>
        </is>
      </c>
      <c r="B18" s="173" t="inlineStr">
        <is>
          <t>TFRS özel ürün varsa fark açık yazılır</t>
        </is>
      </c>
      <c r="C18" s="173" t="inlineStr">
        <is>
          <t>Tekdüzen raporlama ≠ TFRS finansal tablo sunumu</t>
        </is>
      </c>
      <c r="D18" s="173" t="inlineStr">
        <is>
          <t>Amaç belirtilir</t>
        </is>
      </c>
      <c r="E18" s="173" t="inlineStr">
        <is>
          <t>Standartları karıştırma</t>
        </is>
      </c>
      <c r="F18" s="173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KARAR, GÜVEN VE SATIŞA HAZIRLIK STANDARDI</t>
        </is>
      </c>
    </row>
    <row r="3" ht="24" customHeight="1">
      <c r="A3" s="191" t="inlineStr">
        <is>
          <t>Alan</t>
        </is>
      </c>
      <c r="B3" s="191" t="inlineStr">
        <is>
          <t>Müşteri Sorusu</t>
        </is>
      </c>
      <c r="C3" s="191" t="inlineStr">
        <is>
          <t>Zorunlu Ürün Davranışı</t>
        </is>
      </c>
      <c r="D3" s="191" t="inlineStr">
        <is>
          <t>Kanıt</t>
        </is>
      </c>
      <c r="E3" s="191" t="inlineStr">
        <is>
          <t>Başarısızlık Durumu</t>
        </is>
      </c>
      <c r="F3" s="191" t="inlineStr">
        <is>
          <t>Kapı</t>
        </is>
      </c>
    </row>
    <row r="4">
      <c r="A4" s="192" t="inlineStr">
        <is>
          <t>5 saniye</t>
        </is>
      </c>
      <c r="B4" s="173" t="inlineStr">
        <is>
          <t>Bu ürün neyi çözüyor?</t>
        </is>
      </c>
      <c r="C4" s="173" t="inlineStr">
        <is>
          <t>İlk ekranda hedef kullanıcı + pahalı problem + sonuç görünür</t>
        </is>
      </c>
      <c r="D4" s="173" t="inlineStr">
        <is>
          <t>Başlık + alt mesaj + gerçek ekran</t>
        </is>
      </c>
      <c r="E4" s="173" t="inlineStr">
        <is>
          <t>Ürün yalnız teknik isim</t>
        </is>
      </c>
      <c r="F4" s="193" t="inlineStr">
        <is>
          <t>HATA</t>
        </is>
      </c>
    </row>
    <row r="5">
      <c r="A5" s="192" t="inlineStr">
        <is>
          <t>Acı</t>
        </is>
      </c>
      <c r="B5" s="173" t="inlineStr">
        <is>
          <t>Sorun bana neye mal oluyor?</t>
        </is>
      </c>
      <c r="C5" s="173" t="inlineStr">
        <is>
          <t>Mümkünse müşterinin kendi verisiyle parasal/zaman etkisi hesaplanır</t>
        </is>
      </c>
      <c r="D5" s="173" t="inlineStr">
        <is>
          <t>ROI/acı hesaplama yöntemi</t>
        </is>
      </c>
      <c r="E5" s="173" t="inlineStr">
        <is>
          <t>Uydurma tasarruf</t>
        </is>
      </c>
      <c r="F5" s="193" t="inlineStr">
        <is>
          <t>HATA</t>
        </is>
      </c>
    </row>
    <row r="6">
      <c r="A6" s="192" t="inlineStr">
        <is>
          <t>Karar</t>
        </is>
      </c>
      <c r="B6" s="173" t="inlineStr">
        <is>
          <t>Bu bilgiyle ne yapacağım?</t>
        </is>
      </c>
      <c r="C6" s="173" t="inlineStr">
        <is>
          <t>Her kritik KPI aksiyona bağlanır</t>
        </is>
      </c>
      <c r="D6" s="173" t="inlineStr">
        <is>
          <t>KARAR_KUYRUGU</t>
        </is>
      </c>
      <c r="E6" s="173" t="inlineStr">
        <is>
          <t>Sadece rapor</t>
        </is>
      </c>
      <c r="F6" s="193" t="inlineStr">
        <is>
          <t>HATA</t>
        </is>
      </c>
    </row>
    <row r="7">
      <c r="A7" s="192" t="inlineStr">
        <is>
          <t>Güven</t>
        </is>
      </c>
      <c r="B7" s="173" t="inlineStr">
        <is>
          <t>Bu sayıya neden inanayım?</t>
        </is>
      </c>
      <c r="C7" s="173" t="inlineStr">
        <is>
          <t>Kaynak, formül mantığı, kontrol ve son doğrulama görünür</t>
        </is>
      </c>
      <c r="D7" s="173" t="inlineStr">
        <is>
          <t>Kontroller + kaynak izi + sürüm</t>
        </is>
      </c>
      <c r="E7" s="173" t="inlineStr">
        <is>
          <t>Prestij kelimesi</t>
        </is>
      </c>
      <c r="F7" s="193" t="inlineStr">
        <is>
          <t>HATA</t>
        </is>
      </c>
    </row>
    <row r="8">
      <c r="A8" s="192" t="inlineStr">
        <is>
          <t>Referans</t>
        </is>
      </c>
      <c r="B8" s="173" t="inlineStr">
        <is>
          <t>Müşteri yorumu yoksa ne göstereceğim?</t>
        </is>
      </c>
      <c r="C8" s="173" t="inlineStr">
        <is>
          <t>Önce/Sonra + Karar Vakası + Hata Önleme Vakası üretilir</t>
        </is>
      </c>
      <c r="D8" s="173" t="inlineStr">
        <is>
          <t>Demo/örnek çıktı</t>
        </is>
      </c>
      <c r="E8" s="173" t="inlineStr">
        <is>
          <t>Kanıtsız iddia</t>
        </is>
      </c>
      <c r="F8" s="193" t="inlineStr">
        <is>
          <t>HATA</t>
        </is>
      </c>
    </row>
    <row r="9">
      <c r="A9" s="192" t="inlineStr">
        <is>
          <t>Senaryo</t>
        </is>
      </c>
      <c r="B9" s="173" t="inlineStr">
        <is>
          <t>Ne olursa işler bozulur?</t>
        </is>
      </c>
      <c r="C9" s="173" t="inlineStr">
        <is>
          <t>Baz/Aşağı/Yukarı veya uygun stres senaryosu</t>
        </is>
      </c>
      <c r="D9" s="173" t="inlineStr">
        <is>
          <t>Senaryo karşılaştırma</t>
        </is>
      </c>
      <c r="E9" s="173" t="inlineStr">
        <is>
          <t>Dekoratif senaryo</t>
        </is>
      </c>
      <c r="F9" s="193" t="inlineStr">
        <is>
          <t>HATA</t>
        </is>
      </c>
    </row>
    <row r="10">
      <c r="A10" s="192" t="inlineStr">
        <is>
          <t>Ters stres</t>
        </is>
      </c>
      <c r="B10" s="173" t="inlineStr">
        <is>
          <t>Hangi eşikte karar kırılır?</t>
        </is>
      </c>
      <c r="C10" s="173" t="inlineStr">
        <is>
          <t>En az bir kritik sürücü için kırılma eşiği</t>
        </is>
      </c>
      <c r="D10" s="173" t="inlineStr">
        <is>
          <t>Kırılma eşiği tablosu</t>
        </is>
      </c>
      <c r="E10" s="173" t="inlineStr">
        <is>
          <t>Sadece +/- %10</t>
        </is>
      </c>
      <c r="F10" s="193" t="inlineStr">
        <is>
          <t>UYARI/HATA</t>
        </is>
      </c>
    </row>
    <row r="11">
      <c r="A11" s="192" t="inlineStr">
        <is>
          <t>Hata tutarlılığı</t>
        </is>
      </c>
      <c r="B11" s="173" t="inlineStr">
        <is>
          <t>Formül hata verirse ne olur?</t>
        </is>
      </c>
      <c r="C11" s="173" t="inlineStr">
        <is>
          <t>Kontrol GEÇTİ veremez; BLOKE/HATA üretir</t>
        </is>
      </c>
      <c r="D11" s="173" t="inlineStr">
        <is>
          <t>Hata taraması</t>
        </is>
      </c>
      <c r="E11" s="173" t="inlineStr">
        <is>
          <t>Hata + GEÇTİ birlikte</t>
        </is>
      </c>
      <c r="F11" s="193" t="inlineStr">
        <is>
          <t>HATA</t>
        </is>
      </c>
    </row>
    <row r="12">
      <c r="A12" s="192" t="inlineStr">
        <is>
          <t>Karar motoru</t>
        </is>
      </c>
      <c r="B12" s="173" t="inlineStr">
        <is>
          <t>Ne oldu, neden oldu?</t>
        </is>
      </c>
      <c r="C12" s="173" t="inlineStr">
        <is>
          <t>Sorun + neden + parasal etki + aksiyon + son tarih</t>
        </is>
      </c>
      <c r="D12" s="173" t="inlineStr">
        <is>
          <t>Karar tablosu</t>
        </is>
      </c>
      <c r="E12" s="173" t="inlineStr">
        <is>
          <t>Boş sayfa / isim düzeyi modül</t>
        </is>
      </c>
      <c r="F12" s="193" t="inlineStr">
        <is>
          <t>HATA</t>
        </is>
      </c>
    </row>
    <row r="13">
      <c r="A13" s="192" t="inlineStr">
        <is>
          <t>Yönetici özeti</t>
        </is>
      </c>
      <c r="B13" s="173" t="inlineStr">
        <is>
          <t>5 saniyede ne görmeliyim?</t>
        </is>
      </c>
      <c r="C13" s="173" t="inlineStr">
        <is>
          <t>Bugün / ne değişti / ne bozulacak / neden / ne yapmalıyım / güven</t>
        </is>
      </c>
      <c r="D13" s="173" t="inlineStr">
        <is>
          <t>Yönetici özeti ekranı</t>
        </is>
      </c>
      <c r="E13" s="173" t="inlineStr">
        <is>
          <t>KPI kutusu yığını</t>
        </is>
      </c>
      <c r="F13" s="193" t="inlineStr">
        <is>
          <t>HATA</t>
        </is>
      </c>
    </row>
    <row r="14">
      <c r="A14" s="192" t="inlineStr">
        <is>
          <t>Teklif</t>
        </is>
      </c>
      <c r="B14" s="173" t="inlineStr">
        <is>
          <t>Neden satın almalıyım?</t>
        </is>
      </c>
      <c r="C14" s="173" t="inlineStr">
        <is>
          <t>Dosya özellikleri yerine sonuç ve kaçınılan maliyet sunulur</t>
        </is>
      </c>
      <c r="D14" s="173" t="inlineStr">
        <is>
          <t>Ürün sayfası kanıt eşlemesi</t>
        </is>
      </c>
      <c r="E14" s="173" t="inlineStr">
        <is>
          <t>Özellik listesiyle satış</t>
        </is>
      </c>
      <c r="F14" s="193" t="inlineStr">
        <is>
          <t>HATA</t>
        </is>
      </c>
    </row>
    <row r="15">
      <c r="A15" s="192" t="inlineStr">
        <is>
          <t>Dağıtım</t>
        </is>
      </c>
      <c r="B15" s="173" t="inlineStr">
        <is>
          <t>Beni nasıl bulacaklar?</t>
        </is>
      </c>
      <c r="C15" s="173" t="inlineStr">
        <is>
          <t>Sorun niyetine göre SEO sayfaları, iç bağlantı, temiz yapı, taranabilir metin</t>
        </is>
      </c>
      <c r="D15" s="173" t="inlineStr">
        <is>
          <t>Arama niyeti haritası</t>
        </is>
      </c>
      <c r="E15" s="173" t="inlineStr">
        <is>
          <t>Tek ürün sayfasına bağımlılık</t>
        </is>
      </c>
      <c r="F15" s="193" t="inlineStr">
        <is>
          <t>UYARI</t>
        </is>
      </c>
    </row>
    <row r="16" ht="28" customHeight="1">
      <c r="A16" s="192" t="inlineStr">
        <is>
          <t>LLM görünürlüğü</t>
        </is>
      </c>
      <c r="B16" s="173" t="inlineStr">
        <is>
          <t>AI ürünümü anlayabiliyor mu?</t>
        </is>
      </c>
      <c r="C16" s="173" t="inlineStr">
        <is>
          <t>Ürün tanımı, hedef kullanıcı, girdi/çıktı, metodoloji, sınırlar, SSS açık metindir</t>
        </is>
      </c>
      <c r="D16" s="173" t="inlineStr">
        <is>
          <t>Taranabilir ürün içeriği</t>
        </is>
      </c>
      <c r="E16" s="173" t="inlineStr">
        <is>
          <t>'AI SEO' iddiası</t>
        </is>
      </c>
      <c r="F16" s="193" t="inlineStr">
        <is>
          <t>UYARI</t>
        </is>
      </c>
    </row>
    <row r="17">
      <c r="A17" s="192" t="inlineStr">
        <is>
          <t>Satış kanalı</t>
        </is>
      </c>
      <c r="B17" s="173" t="inlineStr">
        <is>
          <t>Nerede satılmalı?</t>
        </is>
      </c>
      <c r="C17" s="173" t="inlineStr">
        <is>
          <t>Arama, LinkedIn, uzman/partner, demo/video; ürüne göre kanal seçilir</t>
        </is>
      </c>
      <c r="D17" s="173" t="inlineStr">
        <is>
          <t>Kanal matrisi</t>
        </is>
      </c>
      <c r="E17" s="173" t="inlineStr">
        <is>
          <t>Her ürüne aynı kanal</t>
        </is>
      </c>
      <c r="F17" s="193" t="inlineStr">
        <is>
          <t>UYARI</t>
        </is>
      </c>
    </row>
    <row r="18">
      <c r="A18" s="192" t="inlineStr">
        <is>
          <t>Fiyat</t>
        </is>
      </c>
      <c r="B18" s="173" t="inlineStr">
        <is>
          <t>Bu fiyat neden mantıklı?</t>
        </is>
      </c>
      <c r="C18" s="173" t="inlineStr">
        <is>
          <t>Fiyat, ekonomik karar değerine ve kanıtlanmış ürün derinliğine bağlanır</t>
        </is>
      </c>
      <c r="D18" s="173" t="inlineStr">
        <is>
          <t>Değer haritası + demo</t>
        </is>
      </c>
      <c r="E18" s="173" t="inlineStr">
        <is>
          <t>Sırf sayfa/formül sayısı</t>
        </is>
      </c>
      <c r="F18" s="193" t="inlineStr">
        <is>
          <t>HATA</t>
        </is>
      </c>
    </row>
    <row r="19">
      <c r="A19" s="192" t="inlineStr">
        <is>
          <t>Pazar kanıtı</t>
        </is>
      </c>
      <c r="B19" s="173" t="inlineStr">
        <is>
          <t>Piyasa gerçekten ödüyor mu?</t>
        </is>
      </c>
      <c r="C19" s="173" t="inlineStr">
        <is>
          <t>Satış/pilot/LOI/fiyat kabulü olmadan pazar doğrulandı yazılmaz</t>
        </is>
      </c>
      <c r="D19" s="173" t="inlineStr">
        <is>
          <t>Gerçek işlem kanıtı</t>
        </is>
      </c>
      <c r="E19" s="173" t="inlineStr">
        <is>
          <t>Tahmini talep = satış kabulü</t>
        </is>
      </c>
      <c r="F19" s="193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D21"/>
  <sheetViews>
    <sheetView showGridLines="0"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KAPAK — KİK Aşırı Düşük Savunma + Sınır Değer Paketi</t>
        </is>
      </c>
    </row>
    <row r="3" ht="22" customHeight="1">
      <c r="A3" s="223" t="inlineStr">
        <is>
          <t>KİK Aşırı Düşük Savunma + Sınır Değer Paketi</t>
        </is>
      </c>
    </row>
    <row r="4">
      <c r="A4" s="4" t="inlineStr">
        <is>
          <t>Yaklaşık maliyet ve teklifi girin; KİK sınır değer sapmasını ve savunma ve kaçırılan fırsatı senaryolu olarak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oran ve tavan güncellemesine hazır motor</t>
        </is>
      </c>
    </row>
    <row r="8">
      <c r="A8" s="6" t="inlineStr">
        <is>
          <t>• Sınır değer, sapma %, maliyet kırılımı ve savunma dayanaklarının yan yana hesabı</t>
        </is>
      </c>
    </row>
    <row r="9">
      <c r="A9" s="6" t="inlineStr">
        <is>
          <t>• Baz / iyimser / kötümser + kural değişimi (oran +1 puan) senaryoları</t>
        </is>
      </c>
    </row>
    <row r="10">
      <c r="A10" s="6" t="inlineStr">
        <is>
          <t>• Tebliğ tarzı altın vakalar ve KANIT_RAPORU (A4 imza)</t>
        </is>
      </c>
    </row>
    <row r="11">
      <c r="A11" s="6" t="inlineStr">
        <is>
          <t>• Belirsizlik beyanı: sınır değer hesap yöntemi (yorum A / B)</t>
        </is>
      </c>
    </row>
    <row r="13">
      <c r="A13" s="5" t="inlineStr">
        <is>
          <t>Kimler için?</t>
        </is>
      </c>
    </row>
    <row r="14">
      <c r="A14" s="7" t="inlineStr">
        <is>
          <t>• Teklif hazırlayan — sınır değer ve sapmayı görmek</t>
        </is>
      </c>
    </row>
    <row r="15">
      <c r="A15" s="7" t="inlineStr">
        <is>
          <t>• SMMM — imzalı kanıt raporu dosyalamak</t>
        </is>
      </c>
    </row>
    <row r="16">
      <c r="A16" s="7" t="inlineStr">
        <is>
          <t>• İşveren — aylık/yıllık tasarruf tutarını görmek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8:AD8"/>
    <mergeCell ref="A7:AD7"/>
    <mergeCell ref="A1:I1"/>
    <mergeCell ref="A4:P4"/>
    <mergeCell ref="A11:AD11"/>
    <mergeCell ref="A10:AD10"/>
    <mergeCell ref="A3:I3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90.5" customWidth="1" min="1" max="1"/>
    <col width="9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HIZLI BASLANGIC — KİK Aşırı Düşük Savunma + Sınır Değer Paketi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yaklaşık maliyet, teklif ve maliyet kırılımlarını sarı hücrelere girin.</t>
        </is>
      </c>
    </row>
    <row r="6">
      <c r="A6" s="10" t="inlineStr">
        <is>
          <t>Adım 2 — Karar</t>
        </is>
      </c>
      <c r="B6" s="6" t="inlineStr">
        <is>
          <t>PANO'da potansiyel tasarruf, kaçırılan tutar ve karar rozetini izleyin.</t>
        </is>
      </c>
    </row>
    <row r="7">
      <c r="A7" s="10" t="inlineStr">
        <is>
          <t>Adım 3 — Kanıt</t>
        </is>
      </c>
      <c r="B7" s="6" t="inlineStr">
        <is>
          <t>KANIT_RAPORU'nu yazdırıp imzalayın; VAKALAR tutarlılığını kontrol edin.</t>
        </is>
      </c>
    </row>
    <row r="9">
      <c r="A9" s="11" t="inlineStr">
        <is>
          <t>Sık yapılan hatalar</t>
        </is>
      </c>
    </row>
    <row r="10">
      <c r="A10" s="12" t="inlineStr">
        <is>
          <t>• Yaklaşık maliyet ile teklifi ters yazmak</t>
        </is>
      </c>
    </row>
    <row r="11">
      <c r="A11" s="12" t="inlineStr">
        <is>
          <t>• Maliyet kırılım toplamını tekliften kopuk bırakmak</t>
        </is>
      </c>
    </row>
    <row r="12">
      <c r="A12" s="12" t="inlineStr">
        <is>
          <t>• Hesap yılını kural tablosuyla uyumsuz seçmek</t>
        </is>
      </c>
    </row>
    <row r="14">
      <c r="A14" s="13" t="inlineStr">
        <is>
          <t>Bu dosya karar destek aracıdır; KİK savunma dilekçesi veya hukuki görüş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7">
    <mergeCell ref="A12:H12"/>
    <mergeCell ref="B5:T5"/>
    <mergeCell ref="A10:H10"/>
    <mergeCell ref="A1:I1"/>
    <mergeCell ref="A11:H11"/>
    <mergeCell ref="B6:T6"/>
    <mergeCell ref="B7:T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N10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GIRDI — KİK Aşırı Düşük Savunma + Sınır Değer Paketi</t>
        </is>
      </c>
    </row>
    <row r="3" ht="22" customHeight="1">
      <c r="A3" s="224" t="inlineStr">
        <is>
          <t>Dönem ve işveren</t>
        </is>
      </c>
    </row>
    <row r="4">
      <c r="A4" s="4" t="inlineStr">
        <is>
          <t>Sarı hücreler manuel giriştir. Sınır ve sapma formülle üretilir.</t>
        </is>
      </c>
    </row>
    <row r="5">
      <c r="A5" s="30" t="inlineStr">
        <is>
          <t>Alan</t>
        </is>
      </c>
      <c r="B5" s="30" t="inlineStr">
        <is>
          <t>Değer</t>
        </is>
      </c>
      <c r="C5" s="30" t="inlineStr">
        <is>
          <t>Birim</t>
        </is>
      </c>
    </row>
    <row r="6">
      <c r="A6" s="7" t="inlineStr">
        <is>
          <t>İhale Adı</t>
        </is>
      </c>
      <c r="B6" s="31" t="inlineStr">
        <is>
          <t>Örnek Yol Yapım İhalesi</t>
        </is>
      </c>
      <c r="C6" s="28" t="inlineStr">
        <is>
          <t>metin</t>
        </is>
      </c>
    </row>
    <row r="7">
      <c r="A7" s="7" t="inlineStr">
        <is>
          <t>İhale Numarası / Dönem</t>
        </is>
      </c>
      <c r="B7" s="31" t="inlineStr">
        <is>
          <t>2025-IH-014</t>
        </is>
      </c>
      <c r="C7" s="28" t="inlineStr">
        <is>
          <t>metin</t>
        </is>
      </c>
    </row>
    <row r="8">
      <c r="A8" s="7" t="inlineStr">
        <is>
          <t>Hesap Yılı</t>
        </is>
      </c>
      <c r="B8" s="32" t="n">
        <v>2025</v>
      </c>
      <c r="C8" s="28" t="inlineStr">
        <is>
          <t>yıl</t>
        </is>
      </c>
    </row>
    <row r="9">
      <c r="A9" s="7" t="inlineStr">
        <is>
          <t>Yaklaşık Maliyet [₺]</t>
        </is>
      </c>
      <c r="B9" s="33" t="n">
        <v>10000000</v>
      </c>
      <c r="C9" s="28" t="inlineStr">
        <is>
          <t>₺</t>
        </is>
      </c>
    </row>
    <row r="10">
      <c r="A10" s="7" t="inlineStr">
        <is>
          <t>Teklif Tutarı [₺]</t>
        </is>
      </c>
      <c r="B10" s="33" t="n">
        <v>8200000</v>
      </c>
      <c r="C10" s="28" t="inlineStr">
        <is>
          <t>₺</t>
        </is>
      </c>
    </row>
    <row r="11">
      <c r="A11" s="7" t="inlineStr">
        <is>
          <t>İşçilik Maliyeti [₺]</t>
        </is>
      </c>
      <c r="B11" s="33" t="n">
        <v>3500000</v>
      </c>
      <c r="C11" s="28" t="inlineStr">
        <is>
          <t>₺</t>
        </is>
      </c>
    </row>
    <row r="12">
      <c r="A12" s="7" t="inlineStr">
        <is>
          <t>Malzeme Maliyeti [₺]</t>
        </is>
      </c>
      <c r="B12" s="33" t="n">
        <v>2800000</v>
      </c>
      <c r="C12" s="28" t="inlineStr">
        <is>
          <t>₺</t>
        </is>
      </c>
    </row>
    <row r="13">
      <c r="A13" s="7" t="inlineStr">
        <is>
          <t>Genel Gider [₺]</t>
        </is>
      </c>
      <c r="B13" s="33" t="n">
        <v>900000</v>
      </c>
      <c r="C13" s="28" t="inlineStr">
        <is>
          <t>₺</t>
        </is>
      </c>
    </row>
    <row r="14">
      <c r="A14" s="7" t="inlineStr">
        <is>
          <t>Kâr [₺]</t>
        </is>
      </c>
      <c r="B14" s="33" t="n">
        <v>700000</v>
      </c>
      <c r="C14" s="28" t="inlineStr">
        <is>
          <t>₺</t>
        </is>
      </c>
    </row>
    <row r="15">
      <c r="A15" s="7" t="inlineStr">
        <is>
          <t>Savunma Dayanak Adedi</t>
        </is>
      </c>
      <c r="B15" s="32" t="n">
        <v>6</v>
      </c>
      <c r="C15" s="28" t="inlineStr">
        <is>
          <t>adet</t>
        </is>
      </c>
    </row>
    <row r="16">
      <c r="A16" s="7" t="inlineStr">
        <is>
          <t>Yorum Modu (A/B)</t>
        </is>
      </c>
      <c r="B16" s="31" t="inlineStr">
        <is>
          <t>A</t>
        </is>
      </c>
      <c r="C16" s="28" t="inlineStr">
        <is>
          <t>metin</t>
        </is>
      </c>
    </row>
    <row r="18">
      <c r="A18" s="10" t="inlineStr">
        <is>
          <t>Aşırı Düşük Açık (ayna) [₺]</t>
        </is>
      </c>
      <c r="B18" s="34">
        <f>IFERROR(kik_potansiyelTasarruf,0)</f>
        <v/>
      </c>
    </row>
    <row r="19">
      <c r="A19" s="10" t="inlineStr">
        <is>
          <t>Giriş doluluk (kalite)</t>
        </is>
      </c>
      <c r="B19" s="35">
        <f>IFERROR(IF(OR(COUNTA(B6:B16)=0,kik_girisBeklenen=0),0,ROUND(COUNTA(B6:B16)/kik_girisBeklenen*100,0)),0)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22" t="inlineStr">
        <is>
          <t>Alan Anahtarı</t>
        </is>
      </c>
      <c r="B23" s="22" t="inlineStr">
        <is>
          <t>Değer</t>
        </is>
      </c>
      <c r="C23" s="22" t="inlineStr">
        <is>
          <t>Birim</t>
        </is>
      </c>
      <c r="D23" s="22" t="inlineStr">
        <is>
          <t>Zorunlu</t>
        </is>
      </c>
      <c r="E23" s="22" t="inlineStr">
        <is>
          <t>Kaynak</t>
        </is>
      </c>
      <c r="F23" s="22" t="inlineStr">
        <is>
          <t>Kontrol</t>
        </is>
      </c>
    </row>
    <row r="24">
      <c r="A24" s="36" t="inlineStr">
        <is>
          <t>ihale_adi</t>
        </is>
      </c>
      <c r="B24" s="36" t="inlineStr">
        <is>
          <t>Örnek Yol Yapım İhalesi</t>
        </is>
      </c>
      <c r="C24" s="36" t="inlineStr">
        <is>
          <t>metin</t>
        </is>
      </c>
      <c r="D24" s="36" t="inlineStr">
        <is>
          <t>Evet</t>
        </is>
      </c>
      <c r="E24" s="36" t="inlineStr">
        <is>
          <t>GIRDI</t>
        </is>
      </c>
      <c r="F24" s="37">
        <f>IF($A24="","",IF($B24="","EKSİK","TAM"))</f>
        <v/>
      </c>
    </row>
    <row r="25">
      <c r="A25" s="36" t="inlineStr">
        <is>
          <t>donem</t>
        </is>
      </c>
      <c r="B25" s="36" t="inlineStr">
        <is>
          <t>2025-IH-014</t>
        </is>
      </c>
      <c r="C25" s="36" t="inlineStr">
        <is>
          <t>metin</t>
        </is>
      </c>
      <c r="D25" s="36" t="inlineStr">
        <is>
          <t>Evet</t>
        </is>
      </c>
      <c r="E25" s="36" t="inlineStr">
        <is>
          <t>GIRDI</t>
        </is>
      </c>
      <c r="F25" s="37">
        <f>IF($A25="","",IF($B25="","EKSİK","TAM"))</f>
        <v/>
      </c>
    </row>
    <row r="26">
      <c r="A26" s="36" t="inlineStr">
        <is>
          <t>hesapYili</t>
        </is>
      </c>
      <c r="B26" s="38" t="n">
        <v>2025</v>
      </c>
      <c r="C26" s="36" t="inlineStr">
        <is>
          <t>yıl</t>
        </is>
      </c>
      <c r="D26" s="36" t="inlineStr">
        <is>
          <t>Evet</t>
        </is>
      </c>
      <c r="E26" s="36" t="inlineStr">
        <is>
          <t>GIRDI</t>
        </is>
      </c>
      <c r="F26" s="37">
        <f>IF($A26="","",IF($B26="","EKSİK","TAM"))</f>
        <v/>
      </c>
    </row>
    <row r="27">
      <c r="A27" s="36" t="inlineStr">
        <is>
          <t>yaklasik_maliyet</t>
        </is>
      </c>
      <c r="B27" s="39" t="n">
        <v>10000000</v>
      </c>
      <c r="C27" s="36" t="inlineStr">
        <is>
          <t>TL</t>
        </is>
      </c>
      <c r="D27" s="36" t="inlineStr">
        <is>
          <t>Evet</t>
        </is>
      </c>
      <c r="E27" s="36" t="inlineStr">
        <is>
          <t>GIRDI</t>
        </is>
      </c>
      <c r="F27" s="37">
        <f>IF($A27="","",IF($B27="","EKSİK","TAM"))</f>
        <v/>
      </c>
    </row>
    <row r="28">
      <c r="A28" s="36" t="inlineStr">
        <is>
          <t>teklif_tutari</t>
        </is>
      </c>
      <c r="B28" s="39" t="n">
        <v>8200000</v>
      </c>
      <c r="C28" s="36" t="inlineStr">
        <is>
          <t>TL</t>
        </is>
      </c>
      <c r="D28" s="36" t="inlineStr">
        <is>
          <t>Evet</t>
        </is>
      </c>
      <c r="E28" s="36" t="inlineStr">
        <is>
          <t>GIRDI</t>
        </is>
      </c>
      <c r="F28" s="37">
        <f>IF($A28="","",IF($B28="","EKSİK","TAM"))</f>
        <v/>
      </c>
    </row>
    <row r="29">
      <c r="A29" s="36" t="inlineStr">
        <is>
          <t>iscilik</t>
        </is>
      </c>
      <c r="B29" s="39" t="n">
        <v>3500000</v>
      </c>
      <c r="C29" s="36" t="inlineStr">
        <is>
          <t>TL</t>
        </is>
      </c>
      <c r="D29" s="36" t="inlineStr">
        <is>
          <t>Evet</t>
        </is>
      </c>
      <c r="E29" s="36" t="inlineStr">
        <is>
          <t>GIRDI</t>
        </is>
      </c>
      <c r="F29" s="37">
        <f>IF($A29="","",IF($B29="","EKSİK","TAM"))</f>
        <v/>
      </c>
    </row>
    <row r="30">
      <c r="A30" s="36" t="inlineStr">
        <is>
          <t>malzeme</t>
        </is>
      </c>
      <c r="B30" s="39" t="n">
        <v>2800000</v>
      </c>
      <c r="C30" s="36" t="inlineStr">
        <is>
          <t>TL</t>
        </is>
      </c>
      <c r="D30" s="36" t="inlineStr">
        <is>
          <t>Evet</t>
        </is>
      </c>
      <c r="E30" s="36" t="inlineStr">
        <is>
          <t>GIRDI</t>
        </is>
      </c>
      <c r="F30" s="37">
        <f>IF($A30="","",IF($B30="","EKSİK","TAM"))</f>
        <v/>
      </c>
    </row>
    <row r="31">
      <c r="A31" s="36" t="inlineStr">
        <is>
          <t>genel_gider</t>
        </is>
      </c>
      <c r="B31" s="39" t="n">
        <v>900000</v>
      </c>
      <c r="C31" s="36" t="inlineStr">
        <is>
          <t>TL</t>
        </is>
      </c>
      <c r="D31" s="36" t="inlineStr">
        <is>
          <t>Evet</t>
        </is>
      </c>
      <c r="E31" s="36" t="inlineStr">
        <is>
          <t>GIRDI</t>
        </is>
      </c>
      <c r="F31" s="37">
        <f>IF($A31="","",IF($B31="","EKSİK","TAM"))</f>
        <v/>
      </c>
    </row>
    <row r="32">
      <c r="A32" s="36" t="inlineStr">
        <is>
          <t>kar</t>
        </is>
      </c>
      <c r="B32" s="39" t="n">
        <v>700000</v>
      </c>
      <c r="C32" s="36" t="inlineStr">
        <is>
          <t>TL</t>
        </is>
      </c>
      <c r="D32" s="36" t="inlineStr">
        <is>
          <t>Evet</t>
        </is>
      </c>
      <c r="E32" s="36" t="inlineStr">
        <is>
          <t>GIRDI</t>
        </is>
      </c>
      <c r="F32" s="37">
        <f>IF($A32="","",IF($B32="","EKSİK","TAM"))</f>
        <v/>
      </c>
    </row>
    <row r="33">
      <c r="A33" s="36" t="inlineStr">
        <is>
          <t>dayanak_adet</t>
        </is>
      </c>
      <c r="B33" s="38" t="n">
        <v>6</v>
      </c>
      <c r="C33" s="36" t="inlineStr">
        <is>
          <t>adet</t>
        </is>
      </c>
      <c r="D33" s="36" t="inlineStr">
        <is>
          <t>Evet</t>
        </is>
      </c>
      <c r="E33" s="36" t="inlineStr">
        <is>
          <t>GIRDI</t>
        </is>
      </c>
      <c r="F33" s="37">
        <f>IF($A33="","",IF($B33="","EKSİK","TAM"))</f>
        <v/>
      </c>
    </row>
    <row r="34">
      <c r="A34" s="36" t="inlineStr">
        <is>
          <t>yorum_modu</t>
        </is>
      </c>
      <c r="B34" s="36" t="inlineStr">
        <is>
          <t>A</t>
        </is>
      </c>
      <c r="C34" s="36" t="inlineStr">
        <is>
          <t>A/B</t>
        </is>
      </c>
      <c r="D34" s="36" t="inlineStr">
        <is>
          <t>Evet</t>
        </is>
      </c>
      <c r="E34" s="36" t="inlineStr">
        <is>
          <t>GIRDI</t>
        </is>
      </c>
      <c r="F34" s="37">
        <f>IF($A34="","",IF($B34="","EKSİK","TAM"))</f>
        <v/>
      </c>
    </row>
    <row r="35">
      <c r="F35" s="37">
        <f>IF($A35="","",IF($B35="","EKSİK","TAM"))</f>
        <v/>
      </c>
    </row>
    <row r="36">
      <c r="F36" s="37">
        <f>IF($A36="","",IF($B36="","EKSİK","TAM"))</f>
        <v/>
      </c>
    </row>
    <row r="37">
      <c r="F37" s="37">
        <f>IF($A37="","",IF($B37="","EKSİK","TAM"))</f>
        <v/>
      </c>
    </row>
    <row r="38">
      <c r="F38" s="37">
        <f>IF($A38="","",IF($B38="","EKSİK","TAM"))</f>
        <v/>
      </c>
    </row>
    <row r="39">
      <c r="F39" s="37">
        <f>IF($A39="","",IF($B39="","EKSİK","TAM"))</f>
        <v/>
      </c>
    </row>
    <row r="40">
      <c r="F40" s="37">
        <f>IF($A40="","",IF($B40="","EKSİK","TAM"))</f>
        <v/>
      </c>
    </row>
    <row r="41">
      <c r="F41" s="37">
        <f>IF($A41="","",IF($B41="","EKSİK","TAM"))</f>
        <v/>
      </c>
    </row>
    <row r="42">
      <c r="F42" s="37">
        <f>IF($A42="","",IF($B42="","EKSİK","TAM"))</f>
        <v/>
      </c>
    </row>
    <row r="43">
      <c r="F43" s="37">
        <f>IF($A43="","",IF($B43="","EKSİK","TAM"))</f>
        <v/>
      </c>
    </row>
    <row r="44">
      <c r="F44" s="37">
        <f>IF($A44="","",IF($B44="","EKSİK","TAM"))</f>
        <v/>
      </c>
    </row>
    <row r="45">
      <c r="F45" s="37">
        <f>IF($A45="","",IF($B45="","EKSİK","TAM"))</f>
        <v/>
      </c>
    </row>
    <row r="46">
      <c r="F46" s="37">
        <f>IF($A46="","",IF($B46="","EKSİK","TAM"))</f>
        <v/>
      </c>
    </row>
    <row r="47">
      <c r="F47" s="37">
        <f>IF($A47="","",IF($B47="","EKSİK","TAM"))</f>
        <v/>
      </c>
    </row>
    <row r="48">
      <c r="F48" s="37">
        <f>IF($A48="","",IF($B48="","EKSİK","TAM"))</f>
        <v/>
      </c>
    </row>
    <row r="49">
      <c r="F49" s="37">
        <f>IF($A49="","",IF($B49="","EKSİK","TAM"))</f>
        <v/>
      </c>
    </row>
    <row r="50">
      <c r="F50" s="37">
        <f>IF($A50="","",IF($B50="","EKSİK","TAM"))</f>
        <v/>
      </c>
    </row>
    <row r="51">
      <c r="F51" s="37">
        <f>IF($A51="","",IF($B51="","EKSİK","TAM"))</f>
        <v/>
      </c>
    </row>
    <row r="52">
      <c r="F52" s="37">
        <f>IF($A52="","",IF($B52="","EKSİK","TAM"))</f>
        <v/>
      </c>
    </row>
    <row r="53">
      <c r="F53" s="37">
        <f>IF($A53="","",IF($B53="","EKSİK","TAM"))</f>
        <v/>
      </c>
    </row>
    <row r="54">
      <c r="F54" s="37">
        <f>IF($A54="","",IF($B54="","EKSİK","TAM"))</f>
        <v/>
      </c>
    </row>
    <row r="55">
      <c r="F55" s="37">
        <f>IF($A55="","",IF($B55="","EKSİK","TAM"))</f>
        <v/>
      </c>
    </row>
    <row r="56">
      <c r="F56" s="37">
        <f>IF($A56="","",IF($B56="","EKSİK","TAM"))</f>
        <v/>
      </c>
    </row>
    <row r="57">
      <c r="F57" s="37">
        <f>IF($A57="","",IF($B57="","EKSİK","TAM"))</f>
        <v/>
      </c>
    </row>
    <row r="58">
      <c r="F58" s="37">
        <f>IF($A58="","",IF($B58="","EKSİK","TAM"))</f>
        <v/>
      </c>
    </row>
    <row r="59">
      <c r="F59" s="37">
        <f>IF($A59="","",IF($B59="","EKSİK","TAM"))</f>
        <v/>
      </c>
    </row>
    <row r="60">
      <c r="F60" s="37">
        <f>IF($A60="","",IF($B60="","EKSİK","TAM"))</f>
        <v/>
      </c>
    </row>
    <row r="61">
      <c r="F61" s="37">
        <f>IF($A61="","",IF($B61="","EKSİK","TAM"))</f>
        <v/>
      </c>
    </row>
    <row r="62">
      <c r="F62" s="37">
        <f>IF($A62="","",IF($B62="","EKSİK","TAM"))</f>
        <v/>
      </c>
    </row>
    <row r="63">
      <c r="F63" s="37">
        <f>IF($A63="","",IF($B63="","EKSİK","TAM"))</f>
        <v/>
      </c>
    </row>
    <row r="64">
      <c r="F64" s="37">
        <f>IF($A64="","",IF($B64="","EKSİK","TAM"))</f>
        <v/>
      </c>
    </row>
    <row r="65">
      <c r="F65" s="37">
        <f>IF($A65="","",IF($B65="","EKSİK","TAM"))</f>
        <v/>
      </c>
    </row>
    <row r="66">
      <c r="F66" s="37">
        <f>IF($A66="","",IF($B66="","EKSİK","TAM"))</f>
        <v/>
      </c>
    </row>
    <row r="67">
      <c r="F67" s="37">
        <f>IF($A67="","",IF($B67="","EKSİK","TAM"))</f>
        <v/>
      </c>
    </row>
    <row r="68">
      <c r="F68" s="37">
        <f>IF($A68="","",IF($B68="","EKSİK","TAM"))</f>
        <v/>
      </c>
    </row>
    <row r="69">
      <c r="F69" s="37">
        <f>IF($A69="","",IF($B69="","EKSİK","TAM"))</f>
        <v/>
      </c>
    </row>
    <row r="70">
      <c r="F70" s="37">
        <f>IF($A70="","",IF($B70="","EKSİK","TAM"))</f>
        <v/>
      </c>
    </row>
    <row r="71">
      <c r="F71" s="37">
        <f>IF($A71="","",IF($B71="","EKSİK","TAM"))</f>
        <v/>
      </c>
    </row>
    <row r="72">
      <c r="F72" s="37">
        <f>IF($A72="","",IF($B72="","EKSİK","TAM"))</f>
        <v/>
      </c>
    </row>
    <row r="73">
      <c r="F73" s="37">
        <f>IF($A73="","",IF($B73="","EKSİK","TAM"))</f>
        <v/>
      </c>
    </row>
    <row r="74">
      <c r="F74" s="37">
        <f>IF($A74="","",IF($B74="","EKSİK","TAM"))</f>
        <v/>
      </c>
    </row>
    <row r="75">
      <c r="F75" s="37">
        <f>IF($A75="","",IF($B75="","EKSİK","TAM"))</f>
        <v/>
      </c>
    </row>
    <row r="76">
      <c r="F76" s="37">
        <f>IF($A76="","",IF($B76="","EKSİK","TAM"))</f>
        <v/>
      </c>
    </row>
    <row r="77">
      <c r="F77" s="37">
        <f>IF($A77="","",IF($B77="","EKSİK","TAM"))</f>
        <v/>
      </c>
    </row>
    <row r="78">
      <c r="F78" s="37">
        <f>IF($A78="","",IF($B78="","EKSİK","TAM"))</f>
        <v/>
      </c>
    </row>
    <row r="79">
      <c r="F79" s="37">
        <f>IF($A79="","",IF($B79="","EKSİK","TAM"))</f>
        <v/>
      </c>
    </row>
    <row r="80">
      <c r="F80" s="37">
        <f>IF($A80="","",IF($B80="","EKSİK","TAM"))</f>
        <v/>
      </c>
    </row>
    <row r="81">
      <c r="F81" s="37">
        <f>IF($A81="","",IF($B81="","EKSİK","TAM"))</f>
        <v/>
      </c>
    </row>
    <row r="82">
      <c r="F82" s="37">
        <f>IF($A82="","",IF($B82="","EKSİK","TAM"))</f>
        <v/>
      </c>
    </row>
    <row r="83">
      <c r="F83" s="37">
        <f>IF($A83="","",IF($B83="","EKSİK","TAM"))</f>
        <v/>
      </c>
    </row>
    <row r="84">
      <c r="F84" s="37">
        <f>IF($A84="","",IF($B84="","EKSİK","TAM"))</f>
        <v/>
      </c>
    </row>
    <row r="85">
      <c r="F85" s="37">
        <f>IF($A85="","",IF($B85="","EKSİK","TAM"))</f>
        <v/>
      </c>
    </row>
    <row r="86">
      <c r="F86" s="37">
        <f>IF($A86="","",IF($B86="","EKSİK","TAM"))</f>
        <v/>
      </c>
    </row>
    <row r="87">
      <c r="F87" s="37">
        <f>IF($A87="","",IF($B87="","EKSİK","TAM"))</f>
        <v/>
      </c>
    </row>
    <row r="88">
      <c r="F88" s="37">
        <f>IF($A88="","",IF($B88="","EKSİK","TAM"))</f>
        <v/>
      </c>
    </row>
    <row r="89">
      <c r="F89" s="37">
        <f>IF($A89="","",IF($B89="","EKSİK","TAM"))</f>
        <v/>
      </c>
    </row>
    <row r="90">
      <c r="F90" s="37">
        <f>IF($A90="","",IF($B90="","EKSİK","TAM"))</f>
        <v/>
      </c>
    </row>
    <row r="91">
      <c r="F91" s="37">
        <f>IF($A91="","",IF($B91="","EKSİK","TAM"))</f>
        <v/>
      </c>
    </row>
    <row r="92">
      <c r="F92" s="37">
        <f>IF($A92="","",IF($B92="","EKSİK","TAM"))</f>
        <v/>
      </c>
    </row>
    <row r="93">
      <c r="F93" s="37">
        <f>IF($A93="","",IF($B93="","EKSİK","TAM"))</f>
        <v/>
      </c>
    </row>
    <row r="94">
      <c r="F94" s="37">
        <f>IF($A94="","",IF($B94="","EKSİK","TAM"))</f>
        <v/>
      </c>
    </row>
    <row r="95">
      <c r="F95" s="37">
        <f>IF($A95="","",IF($B95="","EKSİK","TAM"))</f>
        <v/>
      </c>
    </row>
    <row r="96">
      <c r="F96" s="37">
        <f>IF($A96="","",IF($B96="","EKSİK","TAM"))</f>
        <v/>
      </c>
    </row>
    <row r="97">
      <c r="F97" s="37">
        <f>IF($A97="","",IF($B97="","EKSİK","TAM"))</f>
        <v/>
      </c>
    </row>
    <row r="98">
      <c r="F98" s="37">
        <f>IF($A98="","",IF($B98="","EKSİK","TAM"))</f>
        <v/>
      </c>
    </row>
    <row r="99">
      <c r="F99" s="37">
        <f>IF($A99="","",IF($B99="","EKSİK","TAM"))</f>
        <v/>
      </c>
    </row>
    <row r="100">
      <c r="F100" s="37">
        <f>IF($A100="","",IF($B100="","EKSİK","TAM"))</f>
        <v/>
      </c>
    </row>
    <row r="101">
      <c r="F101" s="37">
        <f>IF($A101="","",IF($B101="","EKSİK","TAM"))</f>
        <v/>
      </c>
    </row>
    <row r="102">
      <c r="F102" s="37">
        <f>IF($A102="","",IF($B102="","EKSİK","TAM"))</f>
        <v/>
      </c>
    </row>
    <row r="103">
      <c r="F103" s="37">
        <f>IF($A103="","",IF($B103="","EKSİK","TAM"))</f>
        <v/>
      </c>
    </row>
    <row r="104">
      <c r="F104" s="37">
        <f>IF($A104="","",IF($B104="","EKSİK","TAM"))</f>
        <v/>
      </c>
    </row>
    <row r="105">
      <c r="F105" s="37">
        <f>IF($A105="","",IF($B105="","EKSİK","TAM"))</f>
        <v/>
      </c>
    </row>
    <row r="106">
      <c r="F106" s="37">
        <f>IF($A106="","",IF($B106="","EKSİK","TAM"))</f>
        <v/>
      </c>
    </row>
    <row r="107">
      <c r="F107" s="37">
        <f>IF($A107="","",IF($B107="","EKSİK","TAM"))</f>
        <v/>
      </c>
    </row>
    <row r="108">
      <c r="F108" s="37">
        <f>IF($A108="","",IF($B108="","EKSİK","TAM"))</f>
        <v/>
      </c>
    </row>
    <row r="109">
      <c r="F109" s="37">
        <f>IF($A109="","",IF($B109="","EKSİK","TAM"))</f>
        <v/>
      </c>
    </row>
    <row r="110">
      <c r="F110" s="37">
        <f>IF($A110="","",IF($B110="","EKSİK","TAM"))</f>
        <v/>
      </c>
    </row>
    <row r="111">
      <c r="F111" s="37">
        <f>IF($A111="","",IF($B111="","EKSİK","TAM"))</f>
        <v/>
      </c>
    </row>
    <row r="112">
      <c r="F112" s="37">
        <f>IF($A112="","",IF($B112="","EKSİK","TAM"))</f>
        <v/>
      </c>
    </row>
    <row r="113">
      <c r="F113" s="37">
        <f>IF($A113="","",IF($B113="","EKSİK","TAM"))</f>
        <v/>
      </c>
    </row>
    <row r="114">
      <c r="F114" s="37">
        <f>IF($A114="","",IF($B114="","EKSİK","TAM"))</f>
        <v/>
      </c>
    </row>
    <row r="115">
      <c r="F115" s="37">
        <f>IF($A115="","",IF($B115="","EKSİK","TAM"))</f>
        <v/>
      </c>
    </row>
    <row r="116">
      <c r="F116" s="37">
        <f>IF($A116="","",IF($B116="","EKSİK","TAM"))</f>
        <v/>
      </c>
    </row>
    <row r="117">
      <c r="F117" s="37">
        <f>IF($A117="","",IF($B117="","EKSİK","TAM"))</f>
        <v/>
      </c>
    </row>
    <row r="118">
      <c r="F118" s="37">
        <f>IF($A118="","",IF($B118="","EKSİK","TAM"))</f>
        <v/>
      </c>
    </row>
    <row r="119">
      <c r="F119" s="37">
        <f>IF($A119="","",IF($B119="","EKSİK","TAM"))</f>
        <v/>
      </c>
    </row>
    <row r="120">
      <c r="F120" s="37">
        <f>IF($A120="","",IF($B120="","EKSİK","TAM"))</f>
        <v/>
      </c>
    </row>
    <row r="121">
      <c r="F121" s="37">
        <f>IF($A121="","",IF($B121="","EKSİK","TAM"))</f>
        <v/>
      </c>
    </row>
    <row r="122">
      <c r="F122" s="37">
        <f>IF($A122="","",IF($B122="","EKSİK","TAM"))</f>
        <v/>
      </c>
    </row>
    <row r="123">
      <c r="F123" s="37">
        <f>IF($A123="","",IF($B123="","EKSİK","TAM"))</f>
        <v/>
      </c>
    </row>
    <row r="124">
      <c r="F124" s="37">
        <f>IF($A124="","",IF($B124="","EKSİK","TAM"))</f>
        <v/>
      </c>
    </row>
    <row r="125">
      <c r="F125" s="37">
        <f>IF($A125="","",IF($B125="","EKSİK","TAM"))</f>
        <v/>
      </c>
    </row>
    <row r="126">
      <c r="F126" s="37">
        <f>IF($A126="","",IF($B126="","EKSİK","TAM"))</f>
        <v/>
      </c>
    </row>
    <row r="127">
      <c r="F127" s="37">
        <f>IF($A127="","",IF($B127="","EKSİK","TAM"))</f>
        <v/>
      </c>
    </row>
    <row r="128">
      <c r="F128" s="37">
        <f>IF($A128="","",IF($B128="","EKSİK","TAM"))</f>
        <v/>
      </c>
    </row>
    <row r="129">
      <c r="F129" s="37">
        <f>IF($A129="","",IF($B129="","EKSİK","TAM"))</f>
        <v/>
      </c>
    </row>
    <row r="130">
      <c r="F130" s="37">
        <f>IF($A130="","",IF($B130="","EKSİK","TAM"))</f>
        <v/>
      </c>
    </row>
    <row r="131">
      <c r="F131" s="37">
        <f>IF($A131="","",IF($B131="","EKSİK","TAM"))</f>
        <v/>
      </c>
    </row>
    <row r="132">
      <c r="F132" s="37">
        <f>IF($A132="","",IF($B132="","EKSİK","TAM"))</f>
        <v/>
      </c>
    </row>
    <row r="133">
      <c r="F133" s="37">
        <f>IF($A133="","",IF($B133="","EKSİK","TAM"))</f>
        <v/>
      </c>
    </row>
    <row r="134">
      <c r="F134" s="37">
        <f>IF($A134="","",IF($B134="","EKSİK","TAM"))</f>
        <v/>
      </c>
    </row>
    <row r="135">
      <c r="F135" s="37">
        <f>IF($A135="","",IF($B135="","EKSİK","TAM"))</f>
        <v/>
      </c>
    </row>
    <row r="136">
      <c r="F136" s="37">
        <f>IF($A136="","",IF($B136="","EKSİK","TAM"))</f>
        <v/>
      </c>
    </row>
    <row r="137">
      <c r="F137" s="37">
        <f>IF($A137="","",IF($B137="","EKSİK","TAM"))</f>
        <v/>
      </c>
    </row>
    <row r="138">
      <c r="F138" s="37">
        <f>IF($A138="","",IF($B138="","EKSİK","TAM"))</f>
        <v/>
      </c>
    </row>
    <row r="139">
      <c r="F139" s="37">
        <f>IF($A139="","",IF($B139="","EKSİK","TAM"))</f>
        <v/>
      </c>
    </row>
    <row r="140">
      <c r="F140" s="37">
        <f>IF($A140="","",IF($B140="","EKSİK","TAM"))</f>
        <v/>
      </c>
    </row>
    <row r="141">
      <c r="F141" s="37">
        <f>IF($A141="","",IF($B141="","EKSİK","TAM"))</f>
        <v/>
      </c>
    </row>
    <row r="142">
      <c r="F142" s="37">
        <f>IF($A142="","",IF($B142="","EKSİK","TAM"))</f>
        <v/>
      </c>
    </row>
    <row r="143">
      <c r="F143" s="37">
        <f>IF($A143="","",IF($B143="","EKSİK","TAM"))</f>
        <v/>
      </c>
    </row>
    <row r="144">
      <c r="F144" s="37">
        <f>IF($A144="","",IF($B144="","EKSİK","TAM"))</f>
        <v/>
      </c>
    </row>
    <row r="145">
      <c r="F145" s="37">
        <f>IF($A145="","",IF($B145="","EKSİK","TAM"))</f>
        <v/>
      </c>
    </row>
    <row r="146">
      <c r="F146" s="37">
        <f>IF($A146="","",IF($B146="","EKSİK","TAM"))</f>
        <v/>
      </c>
    </row>
    <row r="147">
      <c r="F147" s="37">
        <f>IF($A147="","",IF($B147="","EKSİK","TAM"))</f>
        <v/>
      </c>
    </row>
    <row r="148">
      <c r="F148" s="37">
        <f>IF($A148="","",IF($B148="","EKSİK","TAM"))</f>
        <v/>
      </c>
    </row>
    <row r="149">
      <c r="F149" s="37">
        <f>IF($A149="","",IF($B149="","EKSİK","TAM"))</f>
        <v/>
      </c>
    </row>
    <row r="150">
      <c r="F150" s="37">
        <f>IF($A150="","",IF($B150="","EKSİK","TAM"))</f>
        <v/>
      </c>
    </row>
    <row r="151">
      <c r="F151" s="37">
        <f>IF($A151="","",IF($B151="","EKSİK","TAM"))</f>
        <v/>
      </c>
    </row>
    <row r="152">
      <c r="F152" s="37">
        <f>IF($A152="","",IF($B152="","EKSİK","TAM"))</f>
        <v/>
      </c>
    </row>
    <row r="153">
      <c r="F153" s="37">
        <f>IF($A153="","",IF($B153="","EKSİK","TAM"))</f>
        <v/>
      </c>
    </row>
    <row r="154">
      <c r="F154" s="37">
        <f>IF($A154="","",IF($B154="","EKSİK","TAM"))</f>
        <v/>
      </c>
    </row>
    <row r="155">
      <c r="F155" s="37">
        <f>IF($A155="","",IF($B155="","EKSİK","TAM"))</f>
        <v/>
      </c>
    </row>
    <row r="156">
      <c r="F156" s="37">
        <f>IF($A156="","",IF($B156="","EKSİK","TAM"))</f>
        <v/>
      </c>
    </row>
    <row r="157">
      <c r="F157" s="37">
        <f>IF($A157="","",IF($B157="","EKSİK","TAM"))</f>
        <v/>
      </c>
    </row>
    <row r="158">
      <c r="F158" s="37">
        <f>IF($A158="","",IF($B158="","EKSİK","TAM"))</f>
        <v/>
      </c>
    </row>
    <row r="159">
      <c r="F159" s="37">
        <f>IF($A159="","",IF($B159="","EKSİK","TAM"))</f>
        <v/>
      </c>
    </row>
    <row r="160">
      <c r="F160" s="37">
        <f>IF($A160="","",IF($B160="","EKSİK","TAM"))</f>
        <v/>
      </c>
    </row>
    <row r="161">
      <c r="F161" s="37">
        <f>IF($A161="","",IF($B161="","EKSİK","TAM"))</f>
        <v/>
      </c>
    </row>
    <row r="162">
      <c r="F162" s="37">
        <f>IF($A162="","",IF($B162="","EKSİK","TAM"))</f>
        <v/>
      </c>
    </row>
    <row r="163">
      <c r="F163" s="37">
        <f>IF($A163="","",IF($B163="","EKSİK","TAM"))</f>
        <v/>
      </c>
    </row>
    <row r="164">
      <c r="F164" s="37">
        <f>IF($A164="","",IF($B164="","EKSİK","TAM"))</f>
        <v/>
      </c>
    </row>
    <row r="165">
      <c r="F165" s="37">
        <f>IF($A165="","",IF($B165="","EKSİK","TAM"))</f>
        <v/>
      </c>
    </row>
    <row r="166">
      <c r="F166" s="37">
        <f>IF($A166="","",IF($B166="","EKSİK","TAM"))</f>
        <v/>
      </c>
    </row>
    <row r="167">
      <c r="F167" s="37">
        <f>IF($A167="","",IF($B167="","EKSİK","TAM"))</f>
        <v/>
      </c>
    </row>
    <row r="168">
      <c r="F168" s="37">
        <f>IF($A168="","",IF($B168="","EKSİK","TAM"))</f>
        <v/>
      </c>
    </row>
    <row r="169">
      <c r="F169" s="37">
        <f>IF($A169="","",IF($B169="","EKSİK","TAM"))</f>
        <v/>
      </c>
    </row>
    <row r="170">
      <c r="F170" s="37">
        <f>IF($A170="","",IF($B170="","EKSİK","TAM"))</f>
        <v/>
      </c>
    </row>
    <row r="171">
      <c r="F171" s="37">
        <f>IF($A171="","",IF($B171="","EKSİK","TAM"))</f>
        <v/>
      </c>
    </row>
    <row r="172">
      <c r="F172" s="37">
        <f>IF($A172="","",IF($B172="","EKSİK","TAM"))</f>
        <v/>
      </c>
    </row>
    <row r="173">
      <c r="F173" s="37">
        <f>IF($A173="","",IF($B173="","EKSİK","TAM"))</f>
        <v/>
      </c>
    </row>
    <row r="174">
      <c r="F174" s="37">
        <f>IF($A174="","",IF($B174="","EKSİK","TAM"))</f>
        <v/>
      </c>
    </row>
    <row r="175">
      <c r="F175" s="37">
        <f>IF($A175="","",IF($B175="","EKSİK","TAM"))</f>
        <v/>
      </c>
    </row>
    <row r="176">
      <c r="F176" s="37">
        <f>IF($A176="","",IF($B176="","EKSİK","TAM"))</f>
        <v/>
      </c>
    </row>
    <row r="177">
      <c r="F177" s="37">
        <f>IF($A177="","",IF($B177="","EKSİK","TAM"))</f>
        <v/>
      </c>
    </row>
    <row r="178">
      <c r="F178" s="37">
        <f>IF($A178="","",IF($B178="","EKSİK","TAM"))</f>
        <v/>
      </c>
    </row>
    <row r="179">
      <c r="F179" s="37">
        <f>IF($A179="","",IF($B179="","EKSİK","TAM"))</f>
        <v/>
      </c>
    </row>
    <row r="180">
      <c r="F180" s="37">
        <f>IF($A180="","",IF($B180="","EKSİK","TAM"))</f>
        <v/>
      </c>
    </row>
    <row r="181">
      <c r="F181" s="37">
        <f>IF($A181="","",IF($B181="","EKSİK","TAM"))</f>
        <v/>
      </c>
    </row>
    <row r="182">
      <c r="F182" s="37">
        <f>IF($A182="","",IF($B182="","EKSİK","TAM"))</f>
        <v/>
      </c>
    </row>
    <row r="183">
      <c r="F183" s="37">
        <f>IF($A183="","",IF($B183="","EKSİK","TAM"))</f>
        <v/>
      </c>
    </row>
    <row r="184">
      <c r="F184" s="37">
        <f>IF($A184="","",IF($B184="","EKSİK","TAM"))</f>
        <v/>
      </c>
    </row>
    <row r="185">
      <c r="F185" s="37">
        <f>IF($A185="","",IF($B185="","EKSİK","TAM"))</f>
        <v/>
      </c>
    </row>
    <row r="186">
      <c r="F186" s="37">
        <f>IF($A186="","",IF($B186="","EKSİK","TAM"))</f>
        <v/>
      </c>
    </row>
    <row r="187">
      <c r="F187" s="37">
        <f>IF($A187="","",IF($B187="","EKSİK","TAM"))</f>
        <v/>
      </c>
    </row>
    <row r="188">
      <c r="F188" s="37">
        <f>IF($A188="","",IF($B188="","EKSİK","TAM"))</f>
        <v/>
      </c>
    </row>
    <row r="189">
      <c r="F189" s="37">
        <f>IF($A189="","",IF($B189="","EKSİK","TAM"))</f>
        <v/>
      </c>
    </row>
    <row r="190">
      <c r="F190" s="37">
        <f>IF($A190="","",IF($B190="","EKSİK","TAM"))</f>
        <v/>
      </c>
    </row>
    <row r="191">
      <c r="F191" s="37">
        <f>IF($A191="","",IF($B191="","EKSİK","TAM"))</f>
        <v/>
      </c>
    </row>
    <row r="192">
      <c r="F192" s="37">
        <f>IF($A192="","",IF($B192="","EKSİK","TAM"))</f>
        <v/>
      </c>
    </row>
    <row r="193">
      <c r="F193" s="37">
        <f>IF($A193="","",IF($B193="","EKSİK","TAM"))</f>
        <v/>
      </c>
    </row>
    <row r="194">
      <c r="F194" s="37">
        <f>IF($A194="","",IF($B194="","EKSİK","TAM"))</f>
        <v/>
      </c>
    </row>
    <row r="195">
      <c r="F195" s="37">
        <f>IF($A195="","",IF($B195="","EKSİK","TAM"))</f>
        <v/>
      </c>
    </row>
    <row r="196">
      <c r="F196" s="37">
        <f>IF($A196="","",IF($B196="","EKSİK","TAM"))</f>
        <v/>
      </c>
    </row>
    <row r="197">
      <c r="F197" s="37">
        <f>IF($A197="","",IF($B197="","EKSİK","TAM"))</f>
        <v/>
      </c>
    </row>
    <row r="198">
      <c r="F198" s="37">
        <f>IF($A198="","",IF($B198="","EKSİK","TAM"))</f>
        <v/>
      </c>
    </row>
    <row r="199">
      <c r="F199" s="37">
        <f>IF($A199="","",IF($B199="","EKSİK","TAM"))</f>
        <v/>
      </c>
    </row>
    <row r="200">
      <c r="F200" s="37">
        <f>IF($A200="","",IF($B200="","EKSİK","TAM"))</f>
        <v/>
      </c>
    </row>
    <row r="201">
      <c r="F201" s="37">
        <f>IF($A201="","",IF($B201="","EKSİK","TAM"))</f>
        <v/>
      </c>
    </row>
    <row r="202">
      <c r="F202" s="37">
        <f>IF($A202="","",IF($B202="","EKSİK","TAM"))</f>
        <v/>
      </c>
    </row>
    <row r="203">
      <c r="F203" s="37">
        <f>IF($A203="","",IF($B203="","EKSİK","TAM"))</f>
        <v/>
      </c>
    </row>
    <row r="204">
      <c r="F204" s="37">
        <f>IF($A204="","",IF($B204="","EKSİK","TAM"))</f>
        <v/>
      </c>
    </row>
    <row r="205">
      <c r="F205" s="37">
        <f>IF($A205="","",IF($B205="","EKSİK","TAM"))</f>
        <v/>
      </c>
    </row>
    <row r="206">
      <c r="F206" s="37">
        <f>IF($A206="","",IF($B206="","EKSİK","TAM"))</f>
        <v/>
      </c>
    </row>
    <row r="207">
      <c r="F207" s="37">
        <f>IF($A207="","",IF($B207="","EKSİK","TAM"))</f>
        <v/>
      </c>
    </row>
    <row r="208">
      <c r="F208" s="37">
        <f>IF($A208="","",IF($B208="","EKSİK","TAM"))</f>
        <v/>
      </c>
    </row>
    <row r="209">
      <c r="F209" s="37">
        <f>IF($A209="","",IF($B209="","EKSİK","TAM"))</f>
        <v/>
      </c>
    </row>
    <row r="210">
      <c r="F210" s="37">
        <f>IF($A210="","",IF($B210="","EKSİK","TAM"))</f>
        <v/>
      </c>
    </row>
    <row r="211">
      <c r="F211" s="37">
        <f>IF($A211="","",IF($B211="","EKSİK","TAM"))</f>
        <v/>
      </c>
    </row>
    <row r="212">
      <c r="F212" s="37">
        <f>IF($A212="","",IF($B212="","EKSİK","TAM"))</f>
        <v/>
      </c>
    </row>
    <row r="213">
      <c r="F213" s="37">
        <f>IF($A213="","",IF($B213="","EKSİK","TAM"))</f>
        <v/>
      </c>
    </row>
    <row r="214">
      <c r="F214" s="37">
        <f>IF($A214="","",IF($B214="","EKSİK","TAM"))</f>
        <v/>
      </c>
    </row>
    <row r="215">
      <c r="F215" s="37">
        <f>IF($A215="","",IF($B215="","EKSİK","TAM"))</f>
        <v/>
      </c>
    </row>
    <row r="216">
      <c r="F216" s="37">
        <f>IF($A216="","",IF($B216="","EKSİK","TAM"))</f>
        <v/>
      </c>
    </row>
    <row r="217">
      <c r="F217" s="37">
        <f>IF($A217="","",IF($B217="","EKSİK","TAM"))</f>
        <v/>
      </c>
    </row>
    <row r="218">
      <c r="F218" s="37">
        <f>IF($A218="","",IF($B218="","EKSİK","TAM"))</f>
        <v/>
      </c>
    </row>
    <row r="219">
      <c r="F219" s="37">
        <f>IF($A219="","",IF($B219="","EKSİK","TAM"))</f>
        <v/>
      </c>
    </row>
    <row r="220">
      <c r="F220" s="37">
        <f>IF($A220="","",IF($B220="","EKSİK","TAM"))</f>
        <v/>
      </c>
    </row>
    <row r="221">
      <c r="F221" s="37">
        <f>IF($A221="","",IF($B221="","EKSİK","TAM"))</f>
        <v/>
      </c>
    </row>
    <row r="222">
      <c r="F222" s="37">
        <f>IF($A222="","",IF($B222="","EKSİK","TAM"))</f>
        <v/>
      </c>
    </row>
    <row r="223">
      <c r="F223" s="37">
        <f>IF($A223="","",IF($B223="","EKSİK","TAM"))</f>
        <v/>
      </c>
    </row>
    <row r="224">
      <c r="F224" s="37">
        <f>IF($A224="","",IF($B224="","EKSİK","TAM"))</f>
        <v/>
      </c>
    </row>
    <row r="225">
      <c r="F225" s="37">
        <f>IF($A225="","",IF($B225="","EKSİK","TAM"))</f>
        <v/>
      </c>
    </row>
    <row r="226">
      <c r="F226" s="37">
        <f>IF($A226="","",IF($B226="","EKSİK","TAM"))</f>
        <v/>
      </c>
    </row>
    <row r="227">
      <c r="F227" s="37">
        <f>IF($A227="","",IF($B227="","EKSİK","TAM"))</f>
        <v/>
      </c>
    </row>
    <row r="228">
      <c r="F228" s="37">
        <f>IF($A228="","",IF($B228="","EKSİK","TAM"))</f>
        <v/>
      </c>
    </row>
    <row r="229">
      <c r="F229" s="37">
        <f>IF($A229="","",IF($B229="","EKSİK","TAM"))</f>
        <v/>
      </c>
    </row>
    <row r="230">
      <c r="F230" s="37">
        <f>IF($A230="","",IF($B230="","EKSİK","TAM"))</f>
        <v/>
      </c>
    </row>
    <row r="231">
      <c r="F231" s="37">
        <f>IF($A231="","",IF($B231="","EKSİK","TAM"))</f>
        <v/>
      </c>
    </row>
    <row r="232">
      <c r="F232" s="37">
        <f>IF($A232="","",IF($B232="","EKSİK","TAM"))</f>
        <v/>
      </c>
    </row>
    <row r="233">
      <c r="F233" s="37">
        <f>IF($A233="","",IF($B233="","EKSİK","TAM"))</f>
        <v/>
      </c>
    </row>
    <row r="234">
      <c r="F234" s="37">
        <f>IF($A234="","",IF($B234="","EKSİK","TAM"))</f>
        <v/>
      </c>
    </row>
    <row r="235">
      <c r="F235" s="37">
        <f>IF($A235="","",IF($B235="","EKSİK","TAM"))</f>
        <v/>
      </c>
    </row>
    <row r="236">
      <c r="F236" s="37">
        <f>IF($A236="","",IF($B236="","EKSİK","TAM"))</f>
        <v/>
      </c>
    </row>
    <row r="237">
      <c r="F237" s="37">
        <f>IF($A237="","",IF($B237="","EKSİK","TAM"))</f>
        <v/>
      </c>
    </row>
    <row r="238">
      <c r="F238" s="37">
        <f>IF($A238="","",IF($B238="","EKSİK","TAM"))</f>
        <v/>
      </c>
    </row>
    <row r="239">
      <c r="F239" s="37">
        <f>IF($A239="","",IF($B239="","EKSİK","TAM"))</f>
        <v/>
      </c>
    </row>
    <row r="240">
      <c r="F240" s="37">
        <f>IF($A240="","",IF($B240="","EKSİK","TAM"))</f>
        <v/>
      </c>
    </row>
    <row r="241">
      <c r="F241" s="37">
        <f>IF($A241="","",IF($B241="","EKSİK","TAM"))</f>
        <v/>
      </c>
    </row>
    <row r="242">
      <c r="F242" s="37">
        <f>IF($A242="","",IF($B242="","EKSİK","TAM"))</f>
        <v/>
      </c>
    </row>
    <row r="243">
      <c r="F243" s="37">
        <f>IF($A243="","",IF($B243="","EKSİK","TAM"))</f>
        <v/>
      </c>
    </row>
    <row r="244">
      <c r="F244" s="37">
        <f>IF($A244="","",IF($B244="","EKSİK","TAM"))</f>
        <v/>
      </c>
    </row>
    <row r="245">
      <c r="F245" s="37">
        <f>IF($A245="","",IF($B245="","EKSİK","TAM"))</f>
        <v/>
      </c>
    </row>
    <row r="246">
      <c r="F246" s="37">
        <f>IF($A246="","",IF($B246="","EKSİK","TAM"))</f>
        <v/>
      </c>
    </row>
    <row r="247">
      <c r="F247" s="37">
        <f>IF($A247="","",IF($B247="","EKSİK","TAM"))</f>
        <v/>
      </c>
    </row>
    <row r="248">
      <c r="F248" s="37">
        <f>IF($A248="","",IF($B248="","EKSİK","TAM"))</f>
        <v/>
      </c>
    </row>
    <row r="249">
      <c r="F249" s="37">
        <f>IF($A249="","",IF($B249="","EKSİK","TAM"))</f>
        <v/>
      </c>
    </row>
    <row r="250">
      <c r="F250" s="37">
        <f>IF($A250="","",IF($B250="","EKSİK","TAM"))</f>
        <v/>
      </c>
    </row>
    <row r="251">
      <c r="F251" s="37">
        <f>IF($A251="","",IF($B251="","EKSİK","TAM"))</f>
        <v/>
      </c>
    </row>
    <row r="252">
      <c r="F252" s="37">
        <f>IF($A252="","",IF($B252="","EKSİK","TAM"))</f>
        <v/>
      </c>
    </row>
    <row r="253">
      <c r="F253" s="37">
        <f>IF($A253="","",IF($B253="","EKSİK","TAM"))</f>
        <v/>
      </c>
    </row>
    <row r="254">
      <c r="F254" s="37">
        <f>IF($A254="","",IF($B254="","EKSİK","TAM"))</f>
        <v/>
      </c>
    </row>
    <row r="255">
      <c r="F255" s="37">
        <f>IF($A255="","",IF($B255="","EKSİK","TAM"))</f>
        <v/>
      </c>
    </row>
    <row r="256">
      <c r="F256" s="37">
        <f>IF($A256="","",IF($B256="","EKSİK","TAM"))</f>
        <v/>
      </c>
    </row>
    <row r="257">
      <c r="F257" s="37">
        <f>IF($A257="","",IF($B257="","EKSİK","TAM"))</f>
        <v/>
      </c>
    </row>
    <row r="258">
      <c r="F258" s="37">
        <f>IF($A258="","",IF($B258="","EKSİK","TAM"))</f>
        <v/>
      </c>
    </row>
    <row r="259">
      <c r="F259" s="37">
        <f>IF($A259="","",IF($B259="","EKSİK","TAM"))</f>
        <v/>
      </c>
    </row>
    <row r="260">
      <c r="F260" s="37">
        <f>IF($A260="","",IF($B260="","EKSİK","TAM"))</f>
        <v/>
      </c>
    </row>
    <row r="261">
      <c r="F261" s="37">
        <f>IF($A261="","",IF($B261="","EKSİK","TAM"))</f>
        <v/>
      </c>
    </row>
    <row r="262">
      <c r="F262" s="37">
        <f>IF($A262="","",IF($B262="","EKSİK","TAM"))</f>
        <v/>
      </c>
    </row>
    <row r="263">
      <c r="F263" s="37">
        <f>IF($A263="","",IF($B263="","EKSİK","TAM"))</f>
        <v/>
      </c>
    </row>
    <row r="264">
      <c r="F264" s="37">
        <f>IF($A264="","",IF($B264="","EKSİK","TAM"))</f>
        <v/>
      </c>
    </row>
    <row r="265">
      <c r="F265" s="37">
        <f>IF($A265="","",IF($B265="","EKSİK","TAM"))</f>
        <v/>
      </c>
    </row>
    <row r="266">
      <c r="F266" s="37">
        <f>IF($A266="","",IF($B266="","EKSİK","TAM"))</f>
        <v/>
      </c>
    </row>
    <row r="267">
      <c r="F267" s="37">
        <f>IF($A267="","",IF($B267="","EKSİK","TAM"))</f>
        <v/>
      </c>
    </row>
    <row r="268">
      <c r="F268" s="37">
        <f>IF($A268="","",IF($B268="","EKSİK","TAM"))</f>
        <v/>
      </c>
    </row>
    <row r="269">
      <c r="F269" s="37">
        <f>IF($A269="","",IF($B269="","EKSİK","TAM"))</f>
        <v/>
      </c>
    </row>
    <row r="270">
      <c r="F270" s="37">
        <f>IF($A270="","",IF($B270="","EKSİK","TAM"))</f>
        <v/>
      </c>
    </row>
    <row r="271">
      <c r="F271" s="37">
        <f>IF($A271="","",IF($B271="","EKSİK","TAM"))</f>
        <v/>
      </c>
    </row>
    <row r="272">
      <c r="F272" s="37">
        <f>IF($A272="","",IF($B272="","EKSİK","TAM"))</f>
        <v/>
      </c>
    </row>
    <row r="273">
      <c r="F273" s="37">
        <f>IF($A273="","",IF($B273="","EKSİK","TAM"))</f>
        <v/>
      </c>
    </row>
    <row r="274">
      <c r="F274" s="37">
        <f>IF($A274="","",IF($B274="","EKSİK","TAM"))</f>
        <v/>
      </c>
    </row>
    <row r="275">
      <c r="F275" s="37">
        <f>IF($A275="","",IF($B275="","EKSİK","TAM"))</f>
        <v/>
      </c>
    </row>
    <row r="276">
      <c r="F276" s="37">
        <f>IF($A276="","",IF($B276="","EKSİK","TAM"))</f>
        <v/>
      </c>
    </row>
    <row r="277">
      <c r="F277" s="37">
        <f>IF($A277="","",IF($B277="","EKSİK","TAM"))</f>
        <v/>
      </c>
    </row>
    <row r="278">
      <c r="F278" s="37">
        <f>IF($A278="","",IF($B278="","EKSİK","TAM"))</f>
        <v/>
      </c>
    </row>
    <row r="279">
      <c r="F279" s="37">
        <f>IF($A279="","",IF($B279="","EKSİK","TAM"))</f>
        <v/>
      </c>
    </row>
    <row r="280">
      <c r="F280" s="37">
        <f>IF($A280="","",IF($B280="","EKSİK","TAM"))</f>
        <v/>
      </c>
    </row>
    <row r="281">
      <c r="F281" s="37">
        <f>IF($A281="","",IF($B281="","EKSİK","TAM"))</f>
        <v/>
      </c>
    </row>
    <row r="282">
      <c r="F282" s="37">
        <f>IF($A282="","",IF($B282="","EKSİK","TAM"))</f>
        <v/>
      </c>
    </row>
    <row r="283">
      <c r="F283" s="37">
        <f>IF($A283="","",IF($B283="","EKSİK","TAM"))</f>
        <v/>
      </c>
    </row>
    <row r="284">
      <c r="F284" s="37">
        <f>IF($A284="","",IF($B284="","EKSİK","TAM"))</f>
        <v/>
      </c>
    </row>
    <row r="285">
      <c r="F285" s="37">
        <f>IF($A285="","",IF($B285="","EKSİK","TAM"))</f>
        <v/>
      </c>
    </row>
    <row r="286">
      <c r="F286" s="37">
        <f>IF($A286="","",IF($B286="","EKSİK","TAM"))</f>
        <v/>
      </c>
    </row>
    <row r="287">
      <c r="F287" s="37">
        <f>IF($A287="","",IF($B287="","EKSİK","TAM"))</f>
        <v/>
      </c>
    </row>
    <row r="288">
      <c r="F288" s="37">
        <f>IF($A288="","",IF($B288="","EKSİK","TAM"))</f>
        <v/>
      </c>
    </row>
    <row r="289">
      <c r="F289" s="37">
        <f>IF($A289="","",IF($B289="","EKSİK","TAM"))</f>
        <v/>
      </c>
    </row>
    <row r="290">
      <c r="F290" s="37">
        <f>IF($A290="","",IF($B290="","EKSİK","TAM"))</f>
        <v/>
      </c>
    </row>
    <row r="291">
      <c r="F291" s="37">
        <f>IF($A291="","",IF($B291="","EKSİK","TAM"))</f>
        <v/>
      </c>
    </row>
    <row r="292">
      <c r="F292" s="37">
        <f>IF($A292="","",IF($B292="","EKSİK","TAM"))</f>
        <v/>
      </c>
    </row>
    <row r="293">
      <c r="F293" s="37">
        <f>IF($A293="","",IF($B293="","EKSİK","TAM"))</f>
        <v/>
      </c>
    </row>
    <row r="294">
      <c r="F294" s="37">
        <f>IF($A294="","",IF($B294="","EKSİK","TAM"))</f>
        <v/>
      </c>
    </row>
    <row r="295">
      <c r="F295" s="37">
        <f>IF($A295="","",IF($B295="","EKSİK","TAM"))</f>
        <v/>
      </c>
    </row>
    <row r="296">
      <c r="F296" s="37">
        <f>IF($A296="","",IF($B296="","EKSİK","TAM"))</f>
        <v/>
      </c>
    </row>
    <row r="297">
      <c r="F297" s="37">
        <f>IF($A297="","",IF($B297="","EKSİK","TAM"))</f>
        <v/>
      </c>
    </row>
    <row r="298">
      <c r="F298" s="37">
        <f>IF($A298="","",IF($B298="","EKSİK","TAM"))</f>
        <v/>
      </c>
    </row>
    <row r="299">
      <c r="F299" s="37">
        <f>IF($A299="","",IF($B299="","EKSİK","TAM"))</f>
        <v/>
      </c>
    </row>
    <row r="300">
      <c r="F300" s="37">
        <f>IF($A300="","",IF($B300="","EKSİK","TAM"))</f>
        <v/>
      </c>
    </row>
    <row r="301">
      <c r="F301" s="37">
        <f>IF($A301="","",IF($B301="","EKSİK","TAM"))</f>
        <v/>
      </c>
    </row>
    <row r="302">
      <c r="F302" s="37">
        <f>IF($A302="","",IF($B302="","EKSİK","TAM"))</f>
        <v/>
      </c>
    </row>
    <row r="303">
      <c r="F303" s="37">
        <f>IF($A303="","",IF($B303="","EKSİK","TAM"))</f>
        <v/>
      </c>
    </row>
    <row r="304">
      <c r="F304" s="37">
        <f>IF($A304="","",IF($B304="","EKSİK","TAM"))</f>
        <v/>
      </c>
    </row>
    <row r="305">
      <c r="F305" s="37">
        <f>IF($A305="","",IF($B305="","EKSİK","TAM"))</f>
        <v/>
      </c>
    </row>
    <row r="306">
      <c r="F306" s="37">
        <f>IF($A306="","",IF($B306="","EKSİK","TAM"))</f>
        <v/>
      </c>
    </row>
    <row r="307">
      <c r="F307" s="37">
        <f>IF($A307="","",IF($B307="","EKSİK","TAM"))</f>
        <v/>
      </c>
    </row>
    <row r="308">
      <c r="F308" s="37">
        <f>IF($A308="","",IF($B308="","EKSİK","TAM"))</f>
        <v/>
      </c>
    </row>
    <row r="309">
      <c r="F309" s="37">
        <f>IF($A309="","",IF($B309="","EKSİK","TAM"))</f>
        <v/>
      </c>
    </row>
    <row r="310">
      <c r="F310" s="37">
        <f>IF($A310="","",IF($B310="","EKSİK","TAM"))</f>
        <v/>
      </c>
    </row>
    <row r="311">
      <c r="F311" s="37">
        <f>IF($A311="","",IF($B311="","EKSİK","TAM"))</f>
        <v/>
      </c>
    </row>
    <row r="312">
      <c r="F312" s="37">
        <f>IF($A312="","",IF($B312="","EKSİK","TAM"))</f>
        <v/>
      </c>
    </row>
    <row r="313">
      <c r="F313" s="37">
        <f>IF($A313="","",IF($B313="","EKSİK","TAM"))</f>
        <v/>
      </c>
    </row>
    <row r="314">
      <c r="F314" s="37">
        <f>IF($A314="","",IF($B314="","EKSİK","TAM"))</f>
        <v/>
      </c>
    </row>
    <row r="315">
      <c r="F315" s="37">
        <f>IF($A315="","",IF($B315="","EKSİK","TAM"))</f>
        <v/>
      </c>
    </row>
    <row r="316">
      <c r="F316" s="37">
        <f>IF($A316="","",IF($B316="","EKSİK","TAM"))</f>
        <v/>
      </c>
    </row>
    <row r="317">
      <c r="F317" s="37">
        <f>IF($A317="","",IF($B317="","EKSİK","TAM"))</f>
        <v/>
      </c>
    </row>
    <row r="318">
      <c r="F318" s="37">
        <f>IF($A318="","",IF($B318="","EKSİK","TAM"))</f>
        <v/>
      </c>
    </row>
    <row r="319">
      <c r="F319" s="37">
        <f>IF($A319="","",IF($B319="","EKSİK","TAM"))</f>
        <v/>
      </c>
    </row>
    <row r="320">
      <c r="F320" s="37">
        <f>IF($A320="","",IF($B320="","EKSİK","TAM"))</f>
        <v/>
      </c>
    </row>
    <row r="321">
      <c r="F321" s="37">
        <f>IF($A321="","",IF($B321="","EKSİK","TAM"))</f>
        <v/>
      </c>
    </row>
    <row r="322">
      <c r="F322" s="37">
        <f>IF($A322="","",IF($B322="","EKSİK","TAM"))</f>
        <v/>
      </c>
    </row>
    <row r="323">
      <c r="F323" s="37">
        <f>IF($A323="","",IF($B323="","EKSİK","TAM"))</f>
        <v/>
      </c>
    </row>
    <row r="324">
      <c r="F324" s="37">
        <f>IF($A324="","",IF($B324="","EKSİK","TAM"))</f>
        <v/>
      </c>
    </row>
    <row r="325">
      <c r="F325" s="37">
        <f>IF($A325="","",IF($B325="","EKSİK","TAM"))</f>
        <v/>
      </c>
    </row>
    <row r="326">
      <c r="F326" s="37">
        <f>IF($A326="","",IF($B326="","EKSİK","TAM"))</f>
        <v/>
      </c>
    </row>
    <row r="327">
      <c r="F327" s="37">
        <f>IF($A327="","",IF($B327="","EKSİK","TAM"))</f>
        <v/>
      </c>
    </row>
    <row r="328">
      <c r="F328" s="37">
        <f>IF($A328="","",IF($B328="","EKSİK","TAM"))</f>
        <v/>
      </c>
    </row>
    <row r="329">
      <c r="F329" s="37">
        <f>IF($A329="","",IF($B329="","EKSİK","TAM"))</f>
        <v/>
      </c>
    </row>
    <row r="330">
      <c r="F330" s="37">
        <f>IF($A330="","",IF($B330="","EKSİK","TAM"))</f>
        <v/>
      </c>
    </row>
    <row r="331">
      <c r="F331" s="37">
        <f>IF($A331="","",IF($B331="","EKSİK","TAM"))</f>
        <v/>
      </c>
    </row>
    <row r="332">
      <c r="F332" s="37">
        <f>IF($A332="","",IF($B332="","EKSİK","TAM"))</f>
        <v/>
      </c>
    </row>
    <row r="333">
      <c r="F333" s="37">
        <f>IF($A333="","",IF($B333="","EKSİK","TAM"))</f>
        <v/>
      </c>
    </row>
    <row r="334">
      <c r="F334" s="37">
        <f>IF($A334="","",IF($B334="","EKSİK","TAM"))</f>
        <v/>
      </c>
    </row>
    <row r="335">
      <c r="F335" s="37">
        <f>IF($A335="","",IF($B335="","EKSİK","TAM"))</f>
        <v/>
      </c>
    </row>
    <row r="336">
      <c r="F336" s="37">
        <f>IF($A336="","",IF($B336="","EKSİK","TAM"))</f>
        <v/>
      </c>
    </row>
    <row r="337">
      <c r="F337" s="37">
        <f>IF($A337="","",IF($B337="","EKSİK","TAM"))</f>
        <v/>
      </c>
    </row>
    <row r="338">
      <c r="F338" s="37">
        <f>IF($A338="","",IF($B338="","EKSİK","TAM"))</f>
        <v/>
      </c>
    </row>
    <row r="339">
      <c r="F339" s="37">
        <f>IF($A339="","",IF($B339="","EKSİK","TAM"))</f>
        <v/>
      </c>
    </row>
    <row r="340">
      <c r="F340" s="37">
        <f>IF($A340="","",IF($B340="","EKSİK","TAM"))</f>
        <v/>
      </c>
    </row>
    <row r="341">
      <c r="F341" s="37">
        <f>IF($A341="","",IF($B341="","EKSİK","TAM"))</f>
        <v/>
      </c>
    </row>
    <row r="342">
      <c r="F342" s="37">
        <f>IF($A342="","",IF($B342="","EKSİK","TAM"))</f>
        <v/>
      </c>
    </row>
    <row r="343">
      <c r="F343" s="37">
        <f>IF($A343="","",IF($B343="","EKSİK","TAM"))</f>
        <v/>
      </c>
    </row>
    <row r="344">
      <c r="F344" s="37">
        <f>IF($A344="","",IF($B344="","EKSİK","TAM"))</f>
        <v/>
      </c>
    </row>
    <row r="345">
      <c r="F345" s="37">
        <f>IF($A345="","",IF($B345="","EKSİK","TAM"))</f>
        <v/>
      </c>
    </row>
    <row r="346">
      <c r="F346" s="37">
        <f>IF($A346="","",IF($B346="","EKSİK","TAM"))</f>
        <v/>
      </c>
    </row>
    <row r="347">
      <c r="F347" s="37">
        <f>IF($A347="","",IF($B347="","EKSİK","TAM"))</f>
        <v/>
      </c>
    </row>
    <row r="348">
      <c r="F348" s="37">
        <f>IF($A348="","",IF($B348="","EKSİK","TAM"))</f>
        <v/>
      </c>
    </row>
    <row r="349">
      <c r="F349" s="37">
        <f>IF($A349="","",IF($B349="","EKSİK","TAM"))</f>
        <v/>
      </c>
    </row>
    <row r="350">
      <c r="F350" s="37">
        <f>IF($A350="","",IF($B350="","EKSİK","TAM"))</f>
        <v/>
      </c>
    </row>
    <row r="351">
      <c r="F351" s="37">
        <f>IF($A351="","",IF($B351="","EKSİK","TAM"))</f>
        <v/>
      </c>
    </row>
    <row r="352">
      <c r="F352" s="37">
        <f>IF($A352="","",IF($B352="","EKSİK","TAM"))</f>
        <v/>
      </c>
    </row>
    <row r="353">
      <c r="F353" s="37">
        <f>IF($A353="","",IF($B353="","EKSİK","TAM"))</f>
        <v/>
      </c>
    </row>
    <row r="354">
      <c r="F354" s="37">
        <f>IF($A354="","",IF($B354="","EKSİK","TAM"))</f>
        <v/>
      </c>
    </row>
    <row r="355">
      <c r="F355" s="37">
        <f>IF($A355="","",IF($B355="","EKSİK","TAM"))</f>
        <v/>
      </c>
    </row>
    <row r="356">
      <c r="F356" s="37">
        <f>IF($A356="","",IF($B356="","EKSİK","TAM"))</f>
        <v/>
      </c>
    </row>
    <row r="357">
      <c r="F357" s="37">
        <f>IF($A357="","",IF($B357="","EKSİK","TAM"))</f>
        <v/>
      </c>
    </row>
    <row r="358">
      <c r="F358" s="37">
        <f>IF($A358="","",IF($B358="","EKSİK","TAM"))</f>
        <v/>
      </c>
    </row>
    <row r="359">
      <c r="F359" s="37">
        <f>IF($A359="","",IF($B359="","EKSİK","TAM"))</f>
        <v/>
      </c>
    </row>
    <row r="360">
      <c r="F360" s="37">
        <f>IF($A360="","",IF($B360="","EKSİK","TAM"))</f>
        <v/>
      </c>
    </row>
    <row r="361">
      <c r="F361" s="37">
        <f>IF($A361="","",IF($B361="","EKSİK","TAM"))</f>
        <v/>
      </c>
    </row>
    <row r="362">
      <c r="F362" s="37">
        <f>IF($A362="","",IF($B362="","EKSİK","TAM"))</f>
        <v/>
      </c>
    </row>
    <row r="363">
      <c r="F363" s="37">
        <f>IF($A363="","",IF($B363="","EKSİK","TAM"))</f>
        <v/>
      </c>
    </row>
    <row r="364">
      <c r="F364" s="37">
        <f>IF($A364="","",IF($B364="","EKSİK","TAM"))</f>
        <v/>
      </c>
    </row>
    <row r="365">
      <c r="F365" s="37">
        <f>IF($A365="","",IF($B365="","EKSİK","TAM"))</f>
        <v/>
      </c>
    </row>
    <row r="366">
      <c r="F366" s="37">
        <f>IF($A366="","",IF($B366="","EKSİK","TAM"))</f>
        <v/>
      </c>
    </row>
    <row r="367">
      <c r="F367" s="37">
        <f>IF($A367="","",IF($B367="","EKSİK","TAM"))</f>
        <v/>
      </c>
    </row>
    <row r="368">
      <c r="F368" s="37">
        <f>IF($A368="","",IF($B368="","EKSİK","TAM"))</f>
        <v/>
      </c>
    </row>
    <row r="369">
      <c r="F369" s="37">
        <f>IF($A369="","",IF($B369="","EKSİK","TAM"))</f>
        <v/>
      </c>
    </row>
    <row r="370">
      <c r="F370" s="37">
        <f>IF($A370="","",IF($B370="","EKSİK","TAM"))</f>
        <v/>
      </c>
    </row>
    <row r="371">
      <c r="F371" s="37">
        <f>IF($A371="","",IF($B371="","EKSİK","TAM"))</f>
        <v/>
      </c>
    </row>
    <row r="372">
      <c r="F372" s="37">
        <f>IF($A372="","",IF($B372="","EKSİK","TAM"))</f>
        <v/>
      </c>
    </row>
    <row r="373">
      <c r="F373" s="37">
        <f>IF($A373="","",IF($B373="","EKSİK","TAM"))</f>
        <v/>
      </c>
    </row>
    <row r="374">
      <c r="F374" s="37">
        <f>IF($A374="","",IF($B374="","EKSİK","TAM"))</f>
        <v/>
      </c>
    </row>
    <row r="375">
      <c r="F375" s="37">
        <f>IF($A375="","",IF($B375="","EKSİK","TAM"))</f>
        <v/>
      </c>
    </row>
    <row r="376">
      <c r="F376" s="37">
        <f>IF($A376="","",IF($B376="","EKSİK","TAM"))</f>
        <v/>
      </c>
    </row>
    <row r="377">
      <c r="F377" s="37">
        <f>IF($A377="","",IF($B377="","EKSİK","TAM"))</f>
        <v/>
      </c>
    </row>
    <row r="378">
      <c r="F378" s="37">
        <f>IF($A378="","",IF($B378="","EKSİK","TAM"))</f>
        <v/>
      </c>
    </row>
    <row r="379">
      <c r="F379" s="37">
        <f>IF($A379="","",IF($B379="","EKSİK","TAM"))</f>
        <v/>
      </c>
    </row>
    <row r="380">
      <c r="F380" s="37">
        <f>IF($A380="","",IF($B380="","EKSİK","TAM"))</f>
        <v/>
      </c>
    </row>
    <row r="381">
      <c r="F381" s="37">
        <f>IF($A381="","",IF($B381="","EKSİK","TAM"))</f>
        <v/>
      </c>
    </row>
    <row r="382">
      <c r="F382" s="37">
        <f>IF($A382="","",IF($B382="","EKSİK","TAM"))</f>
        <v/>
      </c>
    </row>
    <row r="383">
      <c r="F383" s="37">
        <f>IF($A383="","",IF($B383="","EKSİK","TAM"))</f>
        <v/>
      </c>
    </row>
    <row r="384">
      <c r="F384" s="37">
        <f>IF($A384="","",IF($B384="","EKSİK","TAM"))</f>
        <v/>
      </c>
    </row>
    <row r="385">
      <c r="F385" s="37">
        <f>IF($A385="","",IF($B385="","EKSİK","TAM"))</f>
        <v/>
      </c>
    </row>
    <row r="386">
      <c r="F386" s="37">
        <f>IF($A386="","",IF($B386="","EKSİK","TAM"))</f>
        <v/>
      </c>
    </row>
    <row r="387">
      <c r="F387" s="37">
        <f>IF($A387="","",IF($B387="","EKSİK","TAM"))</f>
        <v/>
      </c>
    </row>
    <row r="388">
      <c r="F388" s="37">
        <f>IF($A388="","",IF($B388="","EKSİK","TAM"))</f>
        <v/>
      </c>
    </row>
    <row r="389">
      <c r="F389" s="37">
        <f>IF($A389="","",IF($B389="","EKSİK","TAM"))</f>
        <v/>
      </c>
    </row>
    <row r="390">
      <c r="F390" s="37">
        <f>IF($A390="","",IF($B390="","EKSİK","TAM"))</f>
        <v/>
      </c>
    </row>
    <row r="391">
      <c r="F391" s="37">
        <f>IF($A391="","",IF($B391="","EKSİK","TAM"))</f>
        <v/>
      </c>
    </row>
    <row r="392">
      <c r="F392" s="37">
        <f>IF($A392="","",IF($B392="","EKSİK","TAM"))</f>
        <v/>
      </c>
    </row>
    <row r="393">
      <c r="F393" s="37">
        <f>IF($A393="","",IF($B393="","EKSİK","TAM"))</f>
        <v/>
      </c>
    </row>
    <row r="394">
      <c r="F394" s="37">
        <f>IF($A394="","",IF($B394="","EKSİK","TAM"))</f>
        <v/>
      </c>
    </row>
    <row r="395">
      <c r="F395" s="37">
        <f>IF($A395="","",IF($B395="","EKSİK","TAM"))</f>
        <v/>
      </c>
    </row>
    <row r="396">
      <c r="F396" s="37">
        <f>IF($A396="","",IF($B396="","EKSİK","TAM"))</f>
        <v/>
      </c>
    </row>
    <row r="397">
      <c r="F397" s="37">
        <f>IF($A397="","",IF($B397="","EKSİK","TAM"))</f>
        <v/>
      </c>
    </row>
    <row r="398">
      <c r="F398" s="37">
        <f>IF($A398="","",IF($B398="","EKSİK","TAM"))</f>
        <v/>
      </c>
    </row>
    <row r="399">
      <c r="F399" s="37">
        <f>IF($A399="","",IF($B399="","EKSİK","TAM"))</f>
        <v/>
      </c>
    </row>
    <row r="400">
      <c r="F400" s="37">
        <f>IF($A400="","",IF($B400="","EKSİK","TAM"))</f>
        <v/>
      </c>
    </row>
    <row r="401">
      <c r="F401" s="37">
        <f>IF($A401="","",IF($B401="","EKSİK","TAM"))</f>
        <v/>
      </c>
    </row>
    <row r="402">
      <c r="F402" s="37">
        <f>IF($A402="","",IF($B402="","EKSİK","TAM"))</f>
        <v/>
      </c>
    </row>
    <row r="403">
      <c r="F403" s="37">
        <f>IF($A403="","",IF($B403="","EKSİK","TAM"))</f>
        <v/>
      </c>
    </row>
    <row r="404">
      <c r="F404" s="37">
        <f>IF($A404="","",IF($B404="","EKSİK","TAM"))</f>
        <v/>
      </c>
    </row>
    <row r="405">
      <c r="F405" s="37">
        <f>IF($A405="","",IF($B405="","EKSİK","TAM"))</f>
        <v/>
      </c>
    </row>
    <row r="406">
      <c r="F406" s="37">
        <f>IF($A406="","",IF($B406="","EKSİK","TAM"))</f>
        <v/>
      </c>
    </row>
    <row r="407">
      <c r="F407" s="37">
        <f>IF($A407="","",IF($B407="","EKSİK","TAM"))</f>
        <v/>
      </c>
    </row>
    <row r="408">
      <c r="F408" s="37">
        <f>IF($A408="","",IF($B408="","EKSİK","TAM"))</f>
        <v/>
      </c>
    </row>
    <row r="409">
      <c r="F409" s="37">
        <f>IF($A409="","",IF($B409="","EKSİK","TAM"))</f>
        <v/>
      </c>
    </row>
    <row r="410">
      <c r="F410" s="37">
        <f>IF($A410="","",IF($B410="","EKSİK","TAM"))</f>
        <v/>
      </c>
    </row>
    <row r="411">
      <c r="F411" s="37">
        <f>IF($A411="","",IF($B411="","EKSİK","TAM"))</f>
        <v/>
      </c>
    </row>
    <row r="412">
      <c r="F412" s="37">
        <f>IF($A412="","",IF($B412="","EKSİK","TAM"))</f>
        <v/>
      </c>
    </row>
    <row r="413">
      <c r="F413" s="37">
        <f>IF($A413="","",IF($B413="","EKSİK","TAM"))</f>
        <v/>
      </c>
    </row>
    <row r="414">
      <c r="F414" s="37">
        <f>IF($A414="","",IF($B414="","EKSİK","TAM"))</f>
        <v/>
      </c>
    </row>
    <row r="415">
      <c r="F415" s="37">
        <f>IF($A415="","",IF($B415="","EKSİK","TAM"))</f>
        <v/>
      </c>
    </row>
    <row r="416">
      <c r="F416" s="37">
        <f>IF($A416="","",IF($B416="","EKSİK","TAM"))</f>
        <v/>
      </c>
    </row>
    <row r="417">
      <c r="F417" s="37">
        <f>IF($A417="","",IF($B417="","EKSİK","TAM"))</f>
        <v/>
      </c>
    </row>
    <row r="418">
      <c r="F418" s="37">
        <f>IF($A418="","",IF($B418="","EKSİK","TAM"))</f>
        <v/>
      </c>
    </row>
    <row r="419">
      <c r="F419" s="37">
        <f>IF($A419="","",IF($B419="","EKSİK","TAM"))</f>
        <v/>
      </c>
    </row>
    <row r="420">
      <c r="F420" s="37">
        <f>IF($A420="","",IF($B420="","EKSİK","TAM"))</f>
        <v/>
      </c>
    </row>
    <row r="421">
      <c r="F421" s="37">
        <f>IF($A421="","",IF($B421="","EKSİK","TAM"))</f>
        <v/>
      </c>
    </row>
    <row r="422">
      <c r="F422" s="37">
        <f>IF($A422="","",IF($B422="","EKSİK","TAM"))</f>
        <v/>
      </c>
    </row>
    <row r="423">
      <c r="F423" s="37">
        <f>IF($A423="","",IF($B423="","EKSİK","TAM"))</f>
        <v/>
      </c>
    </row>
    <row r="424">
      <c r="F424" s="37">
        <f>IF($A424="","",IF($B424="","EKSİK","TAM"))</f>
        <v/>
      </c>
    </row>
    <row r="425">
      <c r="F425" s="37">
        <f>IF($A425="","",IF($B425="","EKSİK","TAM"))</f>
        <v/>
      </c>
    </row>
    <row r="426">
      <c r="F426" s="37">
        <f>IF($A426="","",IF($B426="","EKSİK","TAM"))</f>
        <v/>
      </c>
    </row>
    <row r="427">
      <c r="F427" s="37">
        <f>IF($A427="","",IF($B427="","EKSİK","TAM"))</f>
        <v/>
      </c>
    </row>
    <row r="428">
      <c r="F428" s="37">
        <f>IF($A428="","",IF($B428="","EKSİK","TAM"))</f>
        <v/>
      </c>
    </row>
    <row r="429">
      <c r="F429" s="37">
        <f>IF($A429="","",IF($B429="","EKSİK","TAM"))</f>
        <v/>
      </c>
    </row>
    <row r="430">
      <c r="F430" s="37">
        <f>IF($A430="","",IF($B430="","EKSİK","TAM"))</f>
        <v/>
      </c>
    </row>
    <row r="431">
      <c r="F431" s="37">
        <f>IF($A431="","",IF($B431="","EKSİK","TAM"))</f>
        <v/>
      </c>
    </row>
    <row r="432">
      <c r="F432" s="37">
        <f>IF($A432="","",IF($B432="","EKSİK","TAM"))</f>
        <v/>
      </c>
    </row>
    <row r="433">
      <c r="F433" s="37">
        <f>IF($A433="","",IF($B433="","EKSİK","TAM"))</f>
        <v/>
      </c>
    </row>
    <row r="434">
      <c r="F434" s="37">
        <f>IF($A434="","",IF($B434="","EKSİK","TAM"))</f>
        <v/>
      </c>
    </row>
    <row r="435">
      <c r="F435" s="37">
        <f>IF($A435="","",IF($B435="","EKSİK","TAM"))</f>
        <v/>
      </c>
    </row>
    <row r="436">
      <c r="F436" s="37">
        <f>IF($A436="","",IF($B436="","EKSİK","TAM"))</f>
        <v/>
      </c>
    </row>
    <row r="437">
      <c r="F437" s="37">
        <f>IF($A437="","",IF($B437="","EKSİK","TAM"))</f>
        <v/>
      </c>
    </row>
    <row r="438">
      <c r="F438" s="37">
        <f>IF($A438="","",IF($B438="","EKSİK","TAM"))</f>
        <v/>
      </c>
    </row>
    <row r="439">
      <c r="F439" s="37">
        <f>IF($A439="","",IF($B439="","EKSİK","TAM"))</f>
        <v/>
      </c>
    </row>
    <row r="440">
      <c r="F440" s="37">
        <f>IF($A440="","",IF($B440="","EKSİK","TAM"))</f>
        <v/>
      </c>
    </row>
    <row r="441">
      <c r="F441" s="37">
        <f>IF($A441="","",IF($B441="","EKSİK","TAM"))</f>
        <v/>
      </c>
    </row>
    <row r="442">
      <c r="F442" s="37">
        <f>IF($A442="","",IF($B442="","EKSİK","TAM"))</f>
        <v/>
      </c>
    </row>
    <row r="443">
      <c r="F443" s="37">
        <f>IF($A443="","",IF($B443="","EKSİK","TAM"))</f>
        <v/>
      </c>
    </row>
    <row r="444">
      <c r="F444" s="37">
        <f>IF($A444="","",IF($B444="","EKSİK","TAM"))</f>
        <v/>
      </c>
    </row>
    <row r="445">
      <c r="F445" s="37">
        <f>IF($A445="","",IF($B445="","EKSİK","TAM"))</f>
        <v/>
      </c>
    </row>
    <row r="446">
      <c r="F446" s="37">
        <f>IF($A446="","",IF($B446="","EKSİK","TAM"))</f>
        <v/>
      </c>
    </row>
    <row r="447">
      <c r="F447" s="37">
        <f>IF($A447="","",IF($B447="","EKSİK","TAM"))</f>
        <v/>
      </c>
    </row>
    <row r="448">
      <c r="F448" s="37">
        <f>IF($A448="","",IF($B448="","EKSİK","TAM"))</f>
        <v/>
      </c>
    </row>
    <row r="449">
      <c r="F449" s="37">
        <f>IF($A449="","",IF($B449="","EKSİK","TAM"))</f>
        <v/>
      </c>
    </row>
    <row r="450">
      <c r="F450" s="37">
        <f>IF($A450="","",IF($B450="","EKSİK","TAM"))</f>
        <v/>
      </c>
    </row>
    <row r="451">
      <c r="F451" s="37">
        <f>IF($A451="","",IF($B451="","EKSİK","TAM"))</f>
        <v/>
      </c>
    </row>
    <row r="452">
      <c r="F452" s="37">
        <f>IF($A452="","",IF($B452="","EKSİK","TAM"))</f>
        <v/>
      </c>
    </row>
    <row r="453">
      <c r="F453" s="37">
        <f>IF($A453="","",IF($B453="","EKSİK","TAM"))</f>
        <v/>
      </c>
    </row>
    <row r="454">
      <c r="F454" s="37">
        <f>IF($A454="","",IF($B454="","EKSİK","TAM"))</f>
        <v/>
      </c>
    </row>
    <row r="455">
      <c r="F455" s="37">
        <f>IF($A455="","",IF($B455="","EKSİK","TAM"))</f>
        <v/>
      </c>
    </row>
    <row r="456">
      <c r="F456" s="37">
        <f>IF($A456="","",IF($B456="","EKSİK","TAM"))</f>
        <v/>
      </c>
    </row>
    <row r="457">
      <c r="F457" s="37">
        <f>IF($A457="","",IF($B457="","EKSİK","TAM"))</f>
        <v/>
      </c>
    </row>
    <row r="458">
      <c r="F458" s="37">
        <f>IF($A458="","",IF($B458="","EKSİK","TAM"))</f>
        <v/>
      </c>
    </row>
    <row r="459">
      <c r="F459" s="37">
        <f>IF($A459="","",IF($B459="","EKSİK","TAM"))</f>
        <v/>
      </c>
    </row>
    <row r="460">
      <c r="F460" s="37">
        <f>IF($A460="","",IF($B460="","EKSİK","TAM"))</f>
        <v/>
      </c>
    </row>
    <row r="461">
      <c r="F461" s="37">
        <f>IF($A461="","",IF($B461="","EKSİK","TAM"))</f>
        <v/>
      </c>
    </row>
    <row r="462">
      <c r="F462" s="37">
        <f>IF($A462="","",IF($B462="","EKSİK","TAM"))</f>
        <v/>
      </c>
    </row>
    <row r="463">
      <c r="F463" s="37">
        <f>IF($A463="","",IF($B463="","EKSİK","TAM"))</f>
        <v/>
      </c>
    </row>
    <row r="464">
      <c r="F464" s="37">
        <f>IF($A464="","",IF($B464="","EKSİK","TAM"))</f>
        <v/>
      </c>
    </row>
    <row r="465">
      <c r="F465" s="37">
        <f>IF($A465="","",IF($B465="","EKSİK","TAM"))</f>
        <v/>
      </c>
    </row>
    <row r="466">
      <c r="F466" s="37">
        <f>IF($A466="","",IF($B466="","EKSİK","TAM"))</f>
        <v/>
      </c>
    </row>
    <row r="467">
      <c r="F467" s="37">
        <f>IF($A467="","",IF($B467="","EKSİK","TAM"))</f>
        <v/>
      </c>
    </row>
    <row r="468">
      <c r="F468" s="37">
        <f>IF($A468="","",IF($B468="","EKSİK","TAM"))</f>
        <v/>
      </c>
    </row>
    <row r="469">
      <c r="F469" s="37">
        <f>IF($A469="","",IF($B469="","EKSİK","TAM"))</f>
        <v/>
      </c>
    </row>
    <row r="470">
      <c r="F470" s="37">
        <f>IF($A470="","",IF($B470="","EKSİK","TAM"))</f>
        <v/>
      </c>
    </row>
    <row r="471">
      <c r="F471" s="37">
        <f>IF($A471="","",IF($B471="","EKSİK","TAM"))</f>
        <v/>
      </c>
    </row>
    <row r="472">
      <c r="F472" s="37">
        <f>IF($A472="","",IF($B472="","EKSİK","TAM"))</f>
        <v/>
      </c>
    </row>
    <row r="473">
      <c r="F473" s="37">
        <f>IF($A473="","",IF($B473="","EKSİK","TAM"))</f>
        <v/>
      </c>
    </row>
    <row r="474">
      <c r="F474" s="37">
        <f>IF($A474="","",IF($B474="","EKSİK","TAM"))</f>
        <v/>
      </c>
    </row>
    <row r="475">
      <c r="F475" s="37">
        <f>IF($A475="","",IF($B475="","EKSİK","TAM"))</f>
        <v/>
      </c>
    </row>
    <row r="476">
      <c r="F476" s="37">
        <f>IF($A476="","",IF($B476="","EKSİK","TAM"))</f>
        <v/>
      </c>
    </row>
    <row r="477">
      <c r="F477" s="37">
        <f>IF($A477="","",IF($B477="","EKSİK","TAM"))</f>
        <v/>
      </c>
    </row>
    <row r="478">
      <c r="F478" s="37">
        <f>IF($A478="","",IF($B478="","EKSİK","TAM"))</f>
        <v/>
      </c>
    </row>
    <row r="479">
      <c r="F479" s="37">
        <f>IF($A479="","",IF($B479="","EKSİK","TAM"))</f>
        <v/>
      </c>
    </row>
    <row r="480">
      <c r="F480" s="37">
        <f>IF($A480="","",IF($B480="","EKSİK","TAM"))</f>
        <v/>
      </c>
    </row>
    <row r="481">
      <c r="F481" s="37">
        <f>IF($A481="","",IF($B481="","EKSİK","TAM"))</f>
        <v/>
      </c>
    </row>
    <row r="482">
      <c r="F482" s="37">
        <f>IF($A482="","",IF($B482="","EKSİK","TAM"))</f>
        <v/>
      </c>
    </row>
    <row r="483">
      <c r="F483" s="37">
        <f>IF($A483="","",IF($B483="","EKSİK","TAM"))</f>
        <v/>
      </c>
    </row>
    <row r="484">
      <c r="F484" s="37">
        <f>IF($A484="","",IF($B484="","EKSİK","TAM"))</f>
        <v/>
      </c>
    </row>
    <row r="485">
      <c r="F485" s="37">
        <f>IF($A485="","",IF($B485="","EKSİK","TAM"))</f>
        <v/>
      </c>
    </row>
    <row r="486">
      <c r="F486" s="37">
        <f>IF($A486="","",IF($B486="","EKSİK","TAM"))</f>
        <v/>
      </c>
    </row>
    <row r="487">
      <c r="F487" s="37">
        <f>IF($A487="","",IF($B487="","EKSİK","TAM"))</f>
        <v/>
      </c>
    </row>
    <row r="488">
      <c r="F488" s="37">
        <f>IF($A488="","",IF($B488="","EKSİK","TAM"))</f>
        <v/>
      </c>
    </row>
    <row r="489">
      <c r="F489" s="37">
        <f>IF($A489="","",IF($B489="","EKSİK","TAM"))</f>
        <v/>
      </c>
    </row>
    <row r="490">
      <c r="F490" s="37">
        <f>IF($A490="","",IF($B490="","EKSİK","TAM"))</f>
        <v/>
      </c>
    </row>
    <row r="491">
      <c r="F491" s="37">
        <f>IF($A491="","",IF($B491="","EKSİK","TAM"))</f>
        <v/>
      </c>
    </row>
    <row r="492">
      <c r="F492" s="37">
        <f>IF($A492="","",IF($B492="","EKSİK","TAM"))</f>
        <v/>
      </c>
    </row>
    <row r="493">
      <c r="F493" s="37">
        <f>IF($A493="","",IF($B493="","EKSİK","TAM"))</f>
        <v/>
      </c>
    </row>
    <row r="494">
      <c r="F494" s="37">
        <f>IF($A494="","",IF($B494="","EKSİK","TAM"))</f>
        <v/>
      </c>
    </row>
    <row r="495">
      <c r="F495" s="37">
        <f>IF($A495="","",IF($B495="","EKSİK","TAM"))</f>
        <v/>
      </c>
    </row>
    <row r="496">
      <c r="F496" s="37">
        <f>IF($A496="","",IF($B496="","EKSİK","TAM"))</f>
        <v/>
      </c>
    </row>
    <row r="497">
      <c r="F497" s="37">
        <f>IF($A497="","",IF($B497="","EKSİK","TAM"))</f>
        <v/>
      </c>
    </row>
    <row r="498">
      <c r="F498" s="37">
        <f>IF($A498="","",IF($B498="","EKSİK","TAM"))</f>
        <v/>
      </c>
    </row>
    <row r="499">
      <c r="F499" s="37">
        <f>IF($A499="","",IF($B499="","EKSİK","TAM"))</f>
        <v/>
      </c>
    </row>
    <row r="500">
      <c r="F500" s="37">
        <f>IF($A500="","",IF($B500="","EKSİK","TAM"))</f>
        <v/>
      </c>
    </row>
    <row r="501">
      <c r="F501" s="37">
        <f>IF($A501="","",IF($B501="","EKSİK","TAM"))</f>
        <v/>
      </c>
    </row>
    <row r="502">
      <c r="F502" s="37">
        <f>IF($A502="","",IF($B502="","EKSİK","TAM"))</f>
        <v/>
      </c>
    </row>
    <row r="503">
      <c r="F503" s="37">
        <f>IF($A503="","",IF($B503="","EKSİK","TAM"))</f>
        <v/>
      </c>
    </row>
    <row r="504">
      <c r="F504" s="37">
        <f>IF($A504="","",IF($B504="","EKSİK","TAM"))</f>
        <v/>
      </c>
    </row>
    <row r="505">
      <c r="F505" s="37">
        <f>IF($A505="","",IF($B505="","EKSİK","TAM"))</f>
        <v/>
      </c>
    </row>
    <row r="506">
      <c r="F506" s="37">
        <f>IF($A506="","",IF($B506="","EKSİK","TAM"))</f>
        <v/>
      </c>
    </row>
    <row r="507">
      <c r="F507" s="37">
        <f>IF($A507="","",IF($B507="","EKSİK","TAM"))</f>
        <v/>
      </c>
    </row>
    <row r="508">
      <c r="F508" s="37">
        <f>IF($A508="","",IF($B508="","EKSİK","TAM"))</f>
        <v/>
      </c>
    </row>
    <row r="509">
      <c r="F509" s="37">
        <f>IF($A509="","",IF($B509="","EKSİK","TAM"))</f>
        <v/>
      </c>
    </row>
    <row r="510">
      <c r="F510" s="37">
        <f>IF($A510="","",IF($B510="","EKSİK","TAM"))</f>
        <v/>
      </c>
    </row>
    <row r="511">
      <c r="F511" s="37">
        <f>IF($A511="","",IF($B511="","EKSİK","TAM"))</f>
        <v/>
      </c>
    </row>
    <row r="512">
      <c r="F512" s="37">
        <f>IF($A512="","",IF($B512="","EKSİK","TAM"))</f>
        <v/>
      </c>
    </row>
    <row r="513">
      <c r="F513" s="37">
        <f>IF($A513="","",IF($B513="","EKSİK","TAM"))</f>
        <v/>
      </c>
    </row>
    <row r="514">
      <c r="F514" s="37">
        <f>IF($A514="","",IF($B514="","EKSİK","TAM"))</f>
        <v/>
      </c>
    </row>
    <row r="515">
      <c r="F515" s="37">
        <f>IF($A515="","",IF($B515="","EKSİK","TAM"))</f>
        <v/>
      </c>
    </row>
    <row r="516">
      <c r="F516" s="37">
        <f>IF($A516="","",IF($B516="","EKSİK","TAM"))</f>
        <v/>
      </c>
    </row>
    <row r="517">
      <c r="F517" s="37">
        <f>IF($A517="","",IF($B517="","EKSİK","TAM"))</f>
        <v/>
      </c>
    </row>
    <row r="518">
      <c r="F518" s="37">
        <f>IF($A518="","",IF($B518="","EKSİK","TAM"))</f>
        <v/>
      </c>
    </row>
    <row r="519">
      <c r="F519" s="37">
        <f>IF($A519="","",IF($B519="","EKSİK","TAM"))</f>
        <v/>
      </c>
    </row>
    <row r="520">
      <c r="F520" s="37">
        <f>IF($A520="","",IF($B520="","EKSİK","TAM"))</f>
        <v/>
      </c>
    </row>
    <row r="521">
      <c r="F521" s="37">
        <f>IF($A521="","",IF($B521="","EKSİK","TAM"))</f>
        <v/>
      </c>
    </row>
    <row r="522">
      <c r="F522" s="37">
        <f>IF($A522="","",IF($B522="","EKSİK","TAM"))</f>
        <v/>
      </c>
    </row>
    <row r="523">
      <c r="F523" s="37">
        <f>IF($A523="","",IF($B523="","EKSİK","TAM"))</f>
        <v/>
      </c>
    </row>
    <row r="524">
      <c r="F524" s="37">
        <f>IF($A524="","",IF($B524="","EKSİK","TAM"))</f>
        <v/>
      </c>
    </row>
    <row r="525">
      <c r="F525" s="37">
        <f>IF($A525="","",IF($B525="","EKSİK","TAM"))</f>
        <v/>
      </c>
    </row>
    <row r="526">
      <c r="F526" s="37">
        <f>IF($A526="","",IF($B526="","EKSİK","TAM"))</f>
        <v/>
      </c>
    </row>
    <row r="527">
      <c r="F527" s="37">
        <f>IF($A527="","",IF($B527="","EKSİK","TAM"))</f>
        <v/>
      </c>
    </row>
    <row r="528">
      <c r="F528" s="37">
        <f>IF($A528="","",IF($B528="","EKSİK","TAM"))</f>
        <v/>
      </c>
    </row>
    <row r="529">
      <c r="F529" s="37">
        <f>IF($A529="","",IF($B529="","EKSİK","TAM"))</f>
        <v/>
      </c>
    </row>
    <row r="530">
      <c r="F530" s="37">
        <f>IF($A530="","",IF($B530="","EKSİK","TAM"))</f>
        <v/>
      </c>
    </row>
    <row r="531">
      <c r="F531" s="37">
        <f>IF($A531="","",IF($B531="","EKSİK","TAM"))</f>
        <v/>
      </c>
    </row>
    <row r="532">
      <c r="F532" s="37">
        <f>IF($A532="","",IF($B532="","EKSİK","TAM"))</f>
        <v/>
      </c>
    </row>
    <row r="533">
      <c r="F533" s="37">
        <f>IF($A533="","",IF($B533="","EKSİK","TAM"))</f>
        <v/>
      </c>
    </row>
    <row r="534">
      <c r="F534" s="37">
        <f>IF($A534="","",IF($B534="","EKSİK","TAM"))</f>
        <v/>
      </c>
    </row>
    <row r="535">
      <c r="F535" s="37">
        <f>IF($A535="","",IF($B535="","EKSİK","TAM"))</f>
        <v/>
      </c>
    </row>
    <row r="536">
      <c r="F536" s="37">
        <f>IF($A536="","",IF($B536="","EKSİK","TAM"))</f>
        <v/>
      </c>
    </row>
    <row r="537">
      <c r="F537" s="37">
        <f>IF($A537="","",IF($B537="","EKSİK","TAM"))</f>
        <v/>
      </c>
    </row>
    <row r="538">
      <c r="F538" s="37">
        <f>IF($A538="","",IF($B538="","EKSİK","TAM"))</f>
        <v/>
      </c>
    </row>
    <row r="539">
      <c r="F539" s="37">
        <f>IF($A539="","",IF($B539="","EKSİK","TAM"))</f>
        <v/>
      </c>
    </row>
    <row r="540">
      <c r="F540" s="37">
        <f>IF($A540="","",IF($B540="","EKSİK","TAM"))</f>
        <v/>
      </c>
    </row>
    <row r="541">
      <c r="F541" s="37">
        <f>IF($A541="","",IF($B541="","EKSİK","TAM"))</f>
        <v/>
      </c>
    </row>
    <row r="542">
      <c r="F542" s="37">
        <f>IF($A542="","",IF($B542="","EKSİK","TAM"))</f>
        <v/>
      </c>
    </row>
    <row r="543">
      <c r="F543" s="37">
        <f>IF($A543="","",IF($B543="","EKSİK","TAM"))</f>
        <v/>
      </c>
    </row>
    <row r="544">
      <c r="F544" s="37">
        <f>IF($A544="","",IF($B544="","EKSİK","TAM"))</f>
        <v/>
      </c>
    </row>
    <row r="545">
      <c r="F545" s="37">
        <f>IF($A545="","",IF($B545="","EKSİK","TAM"))</f>
        <v/>
      </c>
    </row>
    <row r="546">
      <c r="F546" s="37">
        <f>IF($A546="","",IF($B546="","EKSİK","TAM"))</f>
        <v/>
      </c>
    </row>
    <row r="547">
      <c r="F547" s="37">
        <f>IF($A547="","",IF($B547="","EKSİK","TAM"))</f>
        <v/>
      </c>
    </row>
    <row r="548">
      <c r="F548" s="37">
        <f>IF($A548="","",IF($B548="","EKSİK","TAM"))</f>
        <v/>
      </c>
    </row>
    <row r="549">
      <c r="F549" s="37">
        <f>IF($A549="","",IF($B549="","EKSİK","TAM"))</f>
        <v/>
      </c>
    </row>
    <row r="550">
      <c r="F550" s="37">
        <f>IF($A550="","",IF($B550="","EKSİK","TAM"))</f>
        <v/>
      </c>
    </row>
    <row r="551">
      <c r="F551" s="37">
        <f>IF($A551="","",IF($B551="","EKSİK","TAM"))</f>
        <v/>
      </c>
    </row>
    <row r="552">
      <c r="F552" s="37">
        <f>IF($A552="","",IF($B552="","EKSİK","TAM"))</f>
        <v/>
      </c>
    </row>
    <row r="553">
      <c r="F553" s="37">
        <f>IF($A553="","",IF($B553="","EKSİK","TAM"))</f>
        <v/>
      </c>
    </row>
    <row r="554">
      <c r="F554" s="37">
        <f>IF($A554="","",IF($B554="","EKSİK","TAM"))</f>
        <v/>
      </c>
    </row>
    <row r="555">
      <c r="F555" s="37">
        <f>IF($A555="","",IF($B555="","EKSİK","TAM"))</f>
        <v/>
      </c>
    </row>
    <row r="556">
      <c r="F556" s="37">
        <f>IF($A556="","",IF($B556="","EKSİK","TAM"))</f>
        <v/>
      </c>
    </row>
    <row r="557">
      <c r="F557" s="37">
        <f>IF($A557="","",IF($B557="","EKSİK","TAM"))</f>
        <v/>
      </c>
    </row>
    <row r="558">
      <c r="F558" s="37">
        <f>IF($A558="","",IF($B558="","EKSİK","TAM"))</f>
        <v/>
      </c>
    </row>
    <row r="559">
      <c r="F559" s="37">
        <f>IF($A559="","",IF($B559="","EKSİK","TAM"))</f>
        <v/>
      </c>
    </row>
    <row r="560">
      <c r="F560" s="37">
        <f>IF($A560="","",IF($B560="","EKSİK","TAM"))</f>
        <v/>
      </c>
    </row>
    <row r="561">
      <c r="F561" s="37">
        <f>IF($A561="","",IF($B561="","EKSİK","TAM"))</f>
        <v/>
      </c>
    </row>
    <row r="562">
      <c r="F562" s="37">
        <f>IF($A562="","",IF($B562="","EKSİK","TAM"))</f>
        <v/>
      </c>
    </row>
    <row r="563">
      <c r="F563" s="37">
        <f>IF($A563="","",IF($B563="","EKSİK","TAM"))</f>
        <v/>
      </c>
    </row>
    <row r="564">
      <c r="F564" s="37">
        <f>IF($A564="","",IF($B564="","EKSİK","TAM"))</f>
        <v/>
      </c>
    </row>
    <row r="565">
      <c r="F565" s="37">
        <f>IF($A565="","",IF($B565="","EKSİK","TAM"))</f>
        <v/>
      </c>
    </row>
    <row r="566">
      <c r="F566" s="37">
        <f>IF($A566="","",IF($B566="","EKSİK","TAM"))</f>
        <v/>
      </c>
    </row>
    <row r="567">
      <c r="F567" s="37">
        <f>IF($A567="","",IF($B567="","EKSİK","TAM"))</f>
        <v/>
      </c>
    </row>
    <row r="568">
      <c r="F568" s="37">
        <f>IF($A568="","",IF($B568="","EKSİK","TAM"))</f>
        <v/>
      </c>
    </row>
    <row r="569">
      <c r="F569" s="37">
        <f>IF($A569="","",IF($B569="","EKSİK","TAM"))</f>
        <v/>
      </c>
    </row>
    <row r="570">
      <c r="F570" s="37">
        <f>IF($A570="","",IF($B570="","EKSİK","TAM"))</f>
        <v/>
      </c>
    </row>
    <row r="571">
      <c r="F571" s="37">
        <f>IF($A571="","",IF($B571="","EKSİK","TAM"))</f>
        <v/>
      </c>
    </row>
    <row r="572">
      <c r="F572" s="37">
        <f>IF($A572="","",IF($B572="","EKSİK","TAM"))</f>
        <v/>
      </c>
    </row>
    <row r="573">
      <c r="F573" s="37">
        <f>IF($A573="","",IF($B573="","EKSİK","TAM"))</f>
        <v/>
      </c>
    </row>
    <row r="574">
      <c r="F574" s="37">
        <f>IF($A574="","",IF($B574="","EKSİK","TAM"))</f>
        <v/>
      </c>
    </row>
    <row r="575">
      <c r="F575" s="37">
        <f>IF($A575="","",IF($B575="","EKSİK","TAM"))</f>
        <v/>
      </c>
    </row>
    <row r="576">
      <c r="F576" s="37">
        <f>IF($A576="","",IF($B576="","EKSİK","TAM"))</f>
        <v/>
      </c>
    </row>
    <row r="577">
      <c r="F577" s="37">
        <f>IF($A577="","",IF($B577="","EKSİK","TAM"))</f>
        <v/>
      </c>
    </row>
    <row r="578">
      <c r="F578" s="37">
        <f>IF($A578="","",IF($B578="","EKSİK","TAM"))</f>
        <v/>
      </c>
    </row>
    <row r="579">
      <c r="F579" s="37">
        <f>IF($A579="","",IF($B579="","EKSİK","TAM"))</f>
        <v/>
      </c>
    </row>
    <row r="580">
      <c r="F580" s="37">
        <f>IF($A580="","",IF($B580="","EKSİK","TAM"))</f>
        <v/>
      </c>
    </row>
    <row r="581">
      <c r="F581" s="37">
        <f>IF($A581="","",IF($B581="","EKSİK","TAM"))</f>
        <v/>
      </c>
    </row>
    <row r="582">
      <c r="F582" s="37">
        <f>IF($A582="","",IF($B582="","EKSİK","TAM"))</f>
        <v/>
      </c>
    </row>
    <row r="583">
      <c r="F583" s="37">
        <f>IF($A583="","",IF($B583="","EKSİK","TAM"))</f>
        <v/>
      </c>
    </row>
    <row r="584">
      <c r="F584" s="37">
        <f>IF($A584="","",IF($B584="","EKSİK","TAM"))</f>
        <v/>
      </c>
    </row>
    <row r="585">
      <c r="F585" s="37">
        <f>IF($A585="","",IF($B585="","EKSİK","TAM"))</f>
        <v/>
      </c>
    </row>
    <row r="586">
      <c r="F586" s="37">
        <f>IF($A586="","",IF($B586="","EKSİK","TAM"))</f>
        <v/>
      </c>
    </row>
    <row r="587">
      <c r="F587" s="37">
        <f>IF($A587="","",IF($B587="","EKSİK","TAM"))</f>
        <v/>
      </c>
    </row>
    <row r="588">
      <c r="F588" s="37">
        <f>IF($A588="","",IF($B588="","EKSİK","TAM"))</f>
        <v/>
      </c>
    </row>
    <row r="589">
      <c r="F589" s="37">
        <f>IF($A589="","",IF($B589="","EKSİK","TAM"))</f>
        <v/>
      </c>
    </row>
    <row r="590">
      <c r="F590" s="37">
        <f>IF($A590="","",IF($B590="","EKSİK","TAM"))</f>
        <v/>
      </c>
    </row>
    <row r="591">
      <c r="F591" s="37">
        <f>IF($A591="","",IF($B591="","EKSİK","TAM"))</f>
        <v/>
      </c>
    </row>
    <row r="592">
      <c r="F592" s="37">
        <f>IF($A592="","",IF($B592="","EKSİK","TAM"))</f>
        <v/>
      </c>
    </row>
    <row r="593">
      <c r="F593" s="37">
        <f>IF($A593="","",IF($B593="","EKSİK","TAM"))</f>
        <v/>
      </c>
    </row>
    <row r="594">
      <c r="F594" s="37">
        <f>IF($A594="","",IF($B594="","EKSİK","TAM"))</f>
        <v/>
      </c>
    </row>
    <row r="595">
      <c r="F595" s="37">
        <f>IF($A595="","",IF($B595="","EKSİK","TAM"))</f>
        <v/>
      </c>
    </row>
    <row r="596">
      <c r="F596" s="37">
        <f>IF($A596="","",IF($B596="","EKSİK","TAM"))</f>
        <v/>
      </c>
    </row>
    <row r="597">
      <c r="F597" s="37">
        <f>IF($A597="","",IF($B597="","EKSİK","TAM"))</f>
        <v/>
      </c>
    </row>
    <row r="598">
      <c r="F598" s="37">
        <f>IF($A598="","",IF($B598="","EKSİK","TAM"))</f>
        <v/>
      </c>
    </row>
    <row r="599">
      <c r="F599" s="37">
        <f>IF($A599="","",IF($B599="","EKSİK","TAM"))</f>
        <v/>
      </c>
    </row>
    <row r="600">
      <c r="F600" s="37">
        <f>IF($A600="","",IF($B600="","EKSİK","TAM"))</f>
        <v/>
      </c>
    </row>
    <row r="601">
      <c r="F601" s="37">
        <f>IF($A601="","",IF($B601="","EKSİK","TAM"))</f>
        <v/>
      </c>
    </row>
    <row r="602">
      <c r="F602" s="37">
        <f>IF($A602="","",IF($B602="","EKSİK","TAM"))</f>
        <v/>
      </c>
    </row>
    <row r="603">
      <c r="F603" s="37">
        <f>IF($A603="","",IF($B603="","EKSİK","TAM"))</f>
        <v/>
      </c>
    </row>
    <row r="604">
      <c r="F604" s="37">
        <f>IF($A604="","",IF($B604="","EKSİK","TAM"))</f>
        <v/>
      </c>
    </row>
    <row r="605">
      <c r="F605" s="37">
        <f>IF($A605="","",IF($B605="","EKSİK","TAM"))</f>
        <v/>
      </c>
    </row>
    <row r="606">
      <c r="F606" s="37">
        <f>IF($A606="","",IF($B606="","EKSİK","TAM"))</f>
        <v/>
      </c>
    </row>
    <row r="607">
      <c r="F607" s="37">
        <f>IF($A607="","",IF($B607="","EKSİK","TAM"))</f>
        <v/>
      </c>
    </row>
    <row r="608">
      <c r="F608" s="37">
        <f>IF($A608="","",IF($B608="","EKSİK","TAM"))</f>
        <v/>
      </c>
    </row>
    <row r="609">
      <c r="F609" s="37">
        <f>IF($A609="","",IF($B609="","EKSİK","TAM"))</f>
        <v/>
      </c>
    </row>
    <row r="610">
      <c r="F610" s="37">
        <f>IF($A610="","",IF($B610="","EKSİK","TAM"))</f>
        <v/>
      </c>
    </row>
    <row r="611">
      <c r="F611" s="37">
        <f>IF($A611="","",IF($B611="","EKSİK","TAM"))</f>
        <v/>
      </c>
    </row>
    <row r="612">
      <c r="F612" s="37">
        <f>IF($A612="","",IF($B612="","EKSİK","TAM"))</f>
        <v/>
      </c>
    </row>
    <row r="613">
      <c r="F613" s="37">
        <f>IF($A613="","",IF($B613="","EKSİK","TAM"))</f>
        <v/>
      </c>
    </row>
    <row r="614">
      <c r="F614" s="37">
        <f>IF($A614="","",IF($B614="","EKSİK","TAM"))</f>
        <v/>
      </c>
    </row>
    <row r="615">
      <c r="F615" s="37">
        <f>IF($A615="","",IF($B615="","EKSİK","TAM"))</f>
        <v/>
      </c>
    </row>
    <row r="616">
      <c r="F616" s="37">
        <f>IF($A616="","",IF($B616="","EKSİK","TAM"))</f>
        <v/>
      </c>
    </row>
    <row r="617">
      <c r="F617" s="37">
        <f>IF($A617="","",IF($B617="","EKSİK","TAM"))</f>
        <v/>
      </c>
    </row>
    <row r="618">
      <c r="F618" s="37">
        <f>IF($A618="","",IF($B618="","EKSİK","TAM"))</f>
        <v/>
      </c>
    </row>
    <row r="619">
      <c r="F619" s="37">
        <f>IF($A619="","",IF($B619="","EKSİK","TAM"))</f>
        <v/>
      </c>
    </row>
    <row r="620">
      <c r="F620" s="37">
        <f>IF($A620="","",IF($B620="","EKSİK","TAM"))</f>
        <v/>
      </c>
    </row>
    <row r="621">
      <c r="F621" s="37">
        <f>IF($A621="","",IF($B621="","EKSİK","TAM"))</f>
        <v/>
      </c>
    </row>
    <row r="622">
      <c r="F622" s="37">
        <f>IF($A622="","",IF($B622="","EKSİK","TAM"))</f>
        <v/>
      </c>
    </row>
    <row r="623">
      <c r="F623" s="37">
        <f>IF($A623="","",IF($B623="","EKSİK","TAM"))</f>
        <v/>
      </c>
    </row>
    <row r="624">
      <c r="F624" s="37">
        <f>IF($A624="","",IF($B624="","EKSİK","TAM"))</f>
        <v/>
      </c>
    </row>
    <row r="625">
      <c r="F625" s="37">
        <f>IF($A625="","",IF($B625="","EKSİK","TAM"))</f>
        <v/>
      </c>
    </row>
    <row r="626">
      <c r="F626" s="37">
        <f>IF($A626="","",IF($B626="","EKSİK","TAM"))</f>
        <v/>
      </c>
    </row>
    <row r="627">
      <c r="F627" s="37">
        <f>IF($A627="","",IF($B627="","EKSİK","TAM"))</f>
        <v/>
      </c>
    </row>
    <row r="628">
      <c r="F628" s="37">
        <f>IF($A628="","",IF($B628="","EKSİK","TAM"))</f>
        <v/>
      </c>
    </row>
    <row r="629">
      <c r="F629" s="37">
        <f>IF($A629="","",IF($B629="","EKSİK","TAM"))</f>
        <v/>
      </c>
    </row>
    <row r="630">
      <c r="F630" s="37">
        <f>IF($A630="","",IF($B630="","EKSİK","TAM"))</f>
        <v/>
      </c>
    </row>
    <row r="631">
      <c r="F631" s="37">
        <f>IF($A631="","",IF($B631="","EKSİK","TAM"))</f>
        <v/>
      </c>
    </row>
    <row r="632">
      <c r="F632" s="37">
        <f>IF($A632="","",IF($B632="","EKSİK","TAM"))</f>
        <v/>
      </c>
    </row>
    <row r="633">
      <c r="F633" s="37">
        <f>IF($A633="","",IF($B633="","EKSİK","TAM"))</f>
        <v/>
      </c>
    </row>
    <row r="634">
      <c r="F634" s="37">
        <f>IF($A634="","",IF($B634="","EKSİK","TAM"))</f>
        <v/>
      </c>
    </row>
    <row r="635">
      <c r="F635" s="37">
        <f>IF($A635="","",IF($B635="","EKSİK","TAM"))</f>
        <v/>
      </c>
    </row>
    <row r="636">
      <c r="F636" s="37">
        <f>IF($A636="","",IF($B636="","EKSİK","TAM"))</f>
        <v/>
      </c>
    </row>
    <row r="637">
      <c r="F637" s="37">
        <f>IF($A637="","",IF($B637="","EKSİK","TAM"))</f>
        <v/>
      </c>
    </row>
    <row r="638">
      <c r="F638" s="37">
        <f>IF($A638="","",IF($B638="","EKSİK","TAM"))</f>
        <v/>
      </c>
    </row>
    <row r="639">
      <c r="F639" s="37">
        <f>IF($A639="","",IF($B639="","EKSİK","TAM"))</f>
        <v/>
      </c>
    </row>
    <row r="640">
      <c r="F640" s="37">
        <f>IF($A640="","",IF($B640="","EKSİK","TAM"))</f>
        <v/>
      </c>
    </row>
    <row r="641">
      <c r="F641" s="37">
        <f>IF($A641="","",IF($B641="","EKSİK","TAM"))</f>
        <v/>
      </c>
    </row>
    <row r="642">
      <c r="F642" s="37">
        <f>IF($A642="","",IF($B642="","EKSİK","TAM"))</f>
        <v/>
      </c>
    </row>
    <row r="643">
      <c r="F643" s="37">
        <f>IF($A643="","",IF($B643="","EKSİK","TAM"))</f>
        <v/>
      </c>
    </row>
    <row r="644">
      <c r="F644" s="37">
        <f>IF($A644="","",IF($B644="","EKSİK","TAM"))</f>
        <v/>
      </c>
    </row>
    <row r="645">
      <c r="F645" s="37">
        <f>IF($A645="","",IF($B645="","EKSİK","TAM"))</f>
        <v/>
      </c>
    </row>
    <row r="646">
      <c r="F646" s="37">
        <f>IF($A646="","",IF($B646="","EKSİK","TAM"))</f>
        <v/>
      </c>
    </row>
    <row r="647">
      <c r="F647" s="37">
        <f>IF($A647="","",IF($B647="","EKSİK","TAM"))</f>
        <v/>
      </c>
    </row>
    <row r="648">
      <c r="F648" s="37">
        <f>IF($A648="","",IF($B648="","EKSİK","TAM"))</f>
        <v/>
      </c>
    </row>
    <row r="649">
      <c r="F649" s="37">
        <f>IF($A649="","",IF($B649="","EKSİK","TAM"))</f>
        <v/>
      </c>
    </row>
    <row r="650">
      <c r="F650" s="37">
        <f>IF($A650="","",IF($B650="","EKSİK","TAM"))</f>
        <v/>
      </c>
    </row>
    <row r="651">
      <c r="F651" s="37">
        <f>IF($A651="","",IF($B651="","EKSİK","TAM"))</f>
        <v/>
      </c>
    </row>
    <row r="652">
      <c r="F652" s="37">
        <f>IF($A652="","",IF($B652="","EKSİK","TAM"))</f>
        <v/>
      </c>
    </row>
    <row r="653">
      <c r="F653" s="37">
        <f>IF($A653="","",IF($B653="","EKSİK","TAM"))</f>
        <v/>
      </c>
    </row>
    <row r="654">
      <c r="F654" s="37">
        <f>IF($A654="","",IF($B654="","EKSİK","TAM"))</f>
        <v/>
      </c>
    </row>
    <row r="655">
      <c r="F655" s="37">
        <f>IF($A655="","",IF($B655="","EKSİK","TAM"))</f>
        <v/>
      </c>
    </row>
    <row r="656">
      <c r="F656" s="37">
        <f>IF($A656="","",IF($B656="","EKSİK","TAM"))</f>
        <v/>
      </c>
    </row>
    <row r="657">
      <c r="F657" s="37">
        <f>IF($A657="","",IF($B657="","EKSİK","TAM"))</f>
        <v/>
      </c>
    </row>
    <row r="658">
      <c r="F658" s="37">
        <f>IF($A658="","",IF($B658="","EKSİK","TAM"))</f>
        <v/>
      </c>
    </row>
    <row r="659">
      <c r="F659" s="37">
        <f>IF($A659="","",IF($B659="","EKSİK","TAM"))</f>
        <v/>
      </c>
    </row>
    <row r="660">
      <c r="F660" s="37">
        <f>IF($A660="","",IF($B660="","EKSİK","TAM"))</f>
        <v/>
      </c>
    </row>
    <row r="661">
      <c r="F661" s="37">
        <f>IF($A661="","",IF($B661="","EKSİK","TAM"))</f>
        <v/>
      </c>
    </row>
    <row r="662">
      <c r="F662" s="37">
        <f>IF($A662="","",IF($B662="","EKSİK","TAM"))</f>
        <v/>
      </c>
    </row>
    <row r="663">
      <c r="F663" s="37">
        <f>IF($A663="","",IF($B663="","EKSİK","TAM"))</f>
        <v/>
      </c>
    </row>
    <row r="664">
      <c r="F664" s="37">
        <f>IF($A664="","",IF($B664="","EKSİK","TAM"))</f>
        <v/>
      </c>
    </row>
    <row r="665">
      <c r="F665" s="37">
        <f>IF($A665="","",IF($B665="","EKSİK","TAM"))</f>
        <v/>
      </c>
    </row>
    <row r="666">
      <c r="F666" s="37">
        <f>IF($A666="","",IF($B666="","EKSİK","TAM"))</f>
        <v/>
      </c>
    </row>
    <row r="667">
      <c r="F667" s="37">
        <f>IF($A667="","",IF($B667="","EKSİK","TAM"))</f>
        <v/>
      </c>
    </row>
    <row r="668">
      <c r="F668" s="37">
        <f>IF($A668="","",IF($B668="","EKSİK","TAM"))</f>
        <v/>
      </c>
    </row>
    <row r="669">
      <c r="F669" s="37">
        <f>IF($A669="","",IF($B669="","EKSİK","TAM"))</f>
        <v/>
      </c>
    </row>
    <row r="670">
      <c r="F670" s="37">
        <f>IF($A670="","",IF($B670="","EKSİK","TAM"))</f>
        <v/>
      </c>
    </row>
    <row r="671">
      <c r="F671" s="37">
        <f>IF($A671="","",IF($B671="","EKSİK","TAM"))</f>
        <v/>
      </c>
    </row>
    <row r="672">
      <c r="F672" s="37">
        <f>IF($A672="","",IF($B672="","EKSİK","TAM"))</f>
        <v/>
      </c>
    </row>
    <row r="673">
      <c r="F673" s="37">
        <f>IF($A673="","",IF($B673="","EKSİK","TAM"))</f>
        <v/>
      </c>
    </row>
    <row r="674">
      <c r="F674" s="37">
        <f>IF($A674="","",IF($B674="","EKSİK","TAM"))</f>
        <v/>
      </c>
    </row>
    <row r="675">
      <c r="F675" s="37">
        <f>IF($A675="","",IF($B675="","EKSİK","TAM"))</f>
        <v/>
      </c>
    </row>
    <row r="676">
      <c r="F676" s="37">
        <f>IF($A676="","",IF($B676="","EKSİK","TAM"))</f>
        <v/>
      </c>
    </row>
    <row r="677">
      <c r="F677" s="37">
        <f>IF($A677="","",IF($B677="","EKSİK","TAM"))</f>
        <v/>
      </c>
    </row>
    <row r="678">
      <c r="F678" s="37">
        <f>IF($A678="","",IF($B678="","EKSİK","TAM"))</f>
        <v/>
      </c>
    </row>
    <row r="679">
      <c r="F679" s="37">
        <f>IF($A679="","",IF($B679="","EKSİK","TAM"))</f>
        <v/>
      </c>
    </row>
    <row r="680">
      <c r="F680" s="37">
        <f>IF($A680="","",IF($B680="","EKSİK","TAM"))</f>
        <v/>
      </c>
    </row>
    <row r="681">
      <c r="F681" s="37">
        <f>IF($A681="","",IF($B681="","EKSİK","TAM"))</f>
        <v/>
      </c>
    </row>
    <row r="682">
      <c r="F682" s="37">
        <f>IF($A682="","",IF($B682="","EKSİK","TAM"))</f>
        <v/>
      </c>
    </row>
    <row r="683">
      <c r="F683" s="37">
        <f>IF($A683="","",IF($B683="","EKSİK","TAM"))</f>
        <v/>
      </c>
    </row>
    <row r="684">
      <c r="F684" s="37">
        <f>IF($A684="","",IF($B684="","EKSİK","TAM"))</f>
        <v/>
      </c>
    </row>
    <row r="685">
      <c r="F685" s="37">
        <f>IF($A685="","",IF($B685="","EKSİK","TAM"))</f>
        <v/>
      </c>
    </row>
    <row r="686">
      <c r="F686" s="37">
        <f>IF($A686="","",IF($B686="","EKSİK","TAM"))</f>
        <v/>
      </c>
    </row>
    <row r="687">
      <c r="F687" s="37">
        <f>IF($A687="","",IF($B687="","EKSİK","TAM"))</f>
        <v/>
      </c>
    </row>
    <row r="688">
      <c r="F688" s="37">
        <f>IF($A688="","",IF($B688="","EKSİK","TAM"))</f>
        <v/>
      </c>
    </row>
    <row r="689">
      <c r="F689" s="37">
        <f>IF($A689="","",IF($B689="","EKSİK","TAM"))</f>
        <v/>
      </c>
    </row>
    <row r="690">
      <c r="F690" s="37">
        <f>IF($A690="","",IF($B690="","EKSİK","TAM"))</f>
        <v/>
      </c>
    </row>
    <row r="691">
      <c r="F691" s="37">
        <f>IF($A691="","",IF($B691="","EKSİK","TAM"))</f>
        <v/>
      </c>
    </row>
    <row r="692">
      <c r="F692" s="37">
        <f>IF($A692="","",IF($B692="","EKSİK","TAM"))</f>
        <v/>
      </c>
    </row>
    <row r="693">
      <c r="F693" s="37">
        <f>IF($A693="","",IF($B693="","EKSİK","TAM"))</f>
        <v/>
      </c>
    </row>
    <row r="694">
      <c r="F694" s="37">
        <f>IF($A694="","",IF($B694="","EKSİK","TAM"))</f>
        <v/>
      </c>
    </row>
    <row r="695">
      <c r="F695" s="37">
        <f>IF($A695="","",IF($B695="","EKSİK","TAM"))</f>
        <v/>
      </c>
    </row>
    <row r="696">
      <c r="F696" s="37">
        <f>IF($A696="","",IF($B696="","EKSİK","TAM"))</f>
        <v/>
      </c>
    </row>
    <row r="697">
      <c r="F697" s="37">
        <f>IF($A697="","",IF($B697="","EKSİK","TAM"))</f>
        <v/>
      </c>
    </row>
    <row r="698">
      <c r="F698" s="37">
        <f>IF($A698="","",IF($B698="","EKSİK","TAM"))</f>
        <v/>
      </c>
    </row>
    <row r="699">
      <c r="F699" s="37">
        <f>IF($A699="","",IF($B699="","EKSİK","TAM"))</f>
        <v/>
      </c>
    </row>
    <row r="700">
      <c r="F700" s="37">
        <f>IF($A700="","",IF($B700="","EKSİK","TAM"))</f>
        <v/>
      </c>
    </row>
    <row r="701">
      <c r="F701" s="37">
        <f>IF($A701="","",IF($B701="","EKSİK","TAM"))</f>
        <v/>
      </c>
    </row>
    <row r="702">
      <c r="F702" s="37">
        <f>IF($A702="","",IF($B702="","EKSİK","TAM"))</f>
        <v/>
      </c>
    </row>
    <row r="703">
      <c r="F703" s="37">
        <f>IF($A703="","",IF($B703="","EKSİK","TAM"))</f>
        <v/>
      </c>
    </row>
    <row r="704">
      <c r="F704" s="37">
        <f>IF($A704="","",IF($B704="","EKSİK","TAM"))</f>
        <v/>
      </c>
    </row>
    <row r="705">
      <c r="F705" s="37">
        <f>IF($A705="","",IF($B705="","EKSİK","TAM"))</f>
        <v/>
      </c>
    </row>
    <row r="706">
      <c r="F706" s="37">
        <f>IF($A706="","",IF($B706="","EKSİK","TAM"))</f>
        <v/>
      </c>
    </row>
    <row r="707">
      <c r="F707" s="37">
        <f>IF($A707="","",IF($B707="","EKSİK","TAM"))</f>
        <v/>
      </c>
    </row>
    <row r="708">
      <c r="F708" s="37">
        <f>IF($A708="","",IF($B708="","EKSİK","TAM"))</f>
        <v/>
      </c>
    </row>
    <row r="709">
      <c r="F709" s="37">
        <f>IF($A709="","",IF($B709="","EKSİK","TAM"))</f>
        <v/>
      </c>
    </row>
    <row r="710">
      <c r="F710" s="37">
        <f>IF($A710="","",IF($B710="","EKSİK","TAM"))</f>
        <v/>
      </c>
    </row>
    <row r="711">
      <c r="F711" s="37">
        <f>IF($A711="","",IF($B711="","EKSİK","TAM"))</f>
        <v/>
      </c>
    </row>
    <row r="712">
      <c r="F712" s="37">
        <f>IF($A712="","",IF($B712="","EKSİK","TAM"))</f>
        <v/>
      </c>
    </row>
    <row r="713">
      <c r="F713" s="37">
        <f>IF($A713="","",IF($B713="","EKSİK","TAM"))</f>
        <v/>
      </c>
    </row>
    <row r="714">
      <c r="F714" s="37">
        <f>IF($A714="","",IF($B714="","EKSİK","TAM"))</f>
        <v/>
      </c>
    </row>
    <row r="715">
      <c r="F715" s="37">
        <f>IF($A715="","",IF($B715="","EKSİK","TAM"))</f>
        <v/>
      </c>
    </row>
    <row r="716">
      <c r="F716" s="37">
        <f>IF($A716="","",IF($B716="","EKSİK","TAM"))</f>
        <v/>
      </c>
    </row>
    <row r="717">
      <c r="F717" s="37">
        <f>IF($A717="","",IF($B717="","EKSİK","TAM"))</f>
        <v/>
      </c>
    </row>
    <row r="718">
      <c r="F718" s="37">
        <f>IF($A718="","",IF($B718="","EKSİK","TAM"))</f>
        <v/>
      </c>
    </row>
    <row r="719">
      <c r="F719" s="37">
        <f>IF($A719="","",IF($B719="","EKSİK","TAM"))</f>
        <v/>
      </c>
    </row>
    <row r="720">
      <c r="F720" s="37">
        <f>IF($A720="","",IF($B720="","EKSİK","TAM"))</f>
        <v/>
      </c>
    </row>
    <row r="721">
      <c r="F721" s="37">
        <f>IF($A721="","",IF($B721="","EKSİK","TAM"))</f>
        <v/>
      </c>
    </row>
    <row r="722">
      <c r="F722" s="37">
        <f>IF($A722="","",IF($B722="","EKSİK","TAM"))</f>
        <v/>
      </c>
    </row>
    <row r="723">
      <c r="F723" s="37">
        <f>IF($A723="","",IF($B723="","EKSİK","TAM"))</f>
        <v/>
      </c>
    </row>
    <row r="724">
      <c r="F724" s="37">
        <f>IF($A724="","",IF($B724="","EKSİK","TAM"))</f>
        <v/>
      </c>
    </row>
    <row r="725">
      <c r="F725" s="37">
        <f>IF($A725="","",IF($B725="","EKSİK","TAM"))</f>
        <v/>
      </c>
    </row>
    <row r="726">
      <c r="F726" s="37">
        <f>IF($A726="","",IF($B726="","EKSİK","TAM"))</f>
        <v/>
      </c>
    </row>
    <row r="727">
      <c r="F727" s="37">
        <f>IF($A727="","",IF($B727="","EKSİK","TAM"))</f>
        <v/>
      </c>
    </row>
    <row r="728">
      <c r="F728" s="37">
        <f>IF($A728="","",IF($B728="","EKSİK","TAM"))</f>
        <v/>
      </c>
    </row>
    <row r="729">
      <c r="F729" s="37">
        <f>IF($A729="","",IF($B729="","EKSİK","TAM"))</f>
        <v/>
      </c>
    </row>
    <row r="730">
      <c r="F730" s="37">
        <f>IF($A730="","",IF($B730="","EKSİK","TAM"))</f>
        <v/>
      </c>
    </row>
    <row r="731">
      <c r="F731" s="37">
        <f>IF($A731="","",IF($B731="","EKSİK","TAM"))</f>
        <v/>
      </c>
    </row>
    <row r="732">
      <c r="F732" s="37">
        <f>IF($A732="","",IF($B732="","EKSİK","TAM"))</f>
        <v/>
      </c>
    </row>
    <row r="733">
      <c r="F733" s="37">
        <f>IF($A733="","",IF($B733="","EKSİK","TAM"))</f>
        <v/>
      </c>
    </row>
    <row r="734">
      <c r="F734" s="37">
        <f>IF($A734="","",IF($B734="","EKSİK","TAM"))</f>
        <v/>
      </c>
    </row>
    <row r="735">
      <c r="F735" s="37">
        <f>IF($A735="","",IF($B735="","EKSİK","TAM"))</f>
        <v/>
      </c>
    </row>
    <row r="736">
      <c r="F736" s="37">
        <f>IF($A736="","",IF($B736="","EKSİK","TAM"))</f>
        <v/>
      </c>
    </row>
    <row r="737">
      <c r="F737" s="37">
        <f>IF($A737="","",IF($B737="","EKSİK","TAM"))</f>
        <v/>
      </c>
    </row>
    <row r="738">
      <c r="F738" s="37">
        <f>IF($A738="","",IF($B738="","EKSİK","TAM"))</f>
        <v/>
      </c>
    </row>
    <row r="739">
      <c r="F739" s="37">
        <f>IF($A739="","",IF($B739="","EKSİK","TAM"))</f>
        <v/>
      </c>
    </row>
    <row r="740">
      <c r="F740" s="37">
        <f>IF($A740="","",IF($B740="","EKSİK","TAM"))</f>
        <v/>
      </c>
    </row>
    <row r="741">
      <c r="F741" s="37">
        <f>IF($A741="","",IF($B741="","EKSİK","TAM"))</f>
        <v/>
      </c>
    </row>
    <row r="742">
      <c r="F742" s="37">
        <f>IF($A742="","",IF($B742="","EKSİK","TAM"))</f>
        <v/>
      </c>
    </row>
    <row r="743">
      <c r="F743" s="37">
        <f>IF($A743="","",IF($B743="","EKSİK","TAM"))</f>
        <v/>
      </c>
    </row>
    <row r="744">
      <c r="F744" s="37">
        <f>IF($A744="","",IF($B744="","EKSİK","TAM"))</f>
        <v/>
      </c>
    </row>
    <row r="745">
      <c r="F745" s="37">
        <f>IF($A745="","",IF($B745="","EKSİK","TAM"))</f>
        <v/>
      </c>
    </row>
    <row r="746">
      <c r="F746" s="37">
        <f>IF($A746="","",IF($B746="","EKSİK","TAM"))</f>
        <v/>
      </c>
    </row>
    <row r="747">
      <c r="F747" s="37">
        <f>IF($A747="","",IF($B747="","EKSİK","TAM"))</f>
        <v/>
      </c>
    </row>
    <row r="748">
      <c r="F748" s="37">
        <f>IF($A748="","",IF($B748="","EKSİK","TAM"))</f>
        <v/>
      </c>
    </row>
    <row r="749">
      <c r="F749" s="37">
        <f>IF($A749="","",IF($B749="","EKSİK","TAM"))</f>
        <v/>
      </c>
    </row>
    <row r="750">
      <c r="F750" s="37">
        <f>IF($A750="","",IF($B750="","EKSİK","TAM"))</f>
        <v/>
      </c>
    </row>
    <row r="751">
      <c r="F751" s="37">
        <f>IF($A751="","",IF($B751="","EKSİK","TAM"))</f>
        <v/>
      </c>
    </row>
    <row r="752">
      <c r="F752" s="37">
        <f>IF($A752="","",IF($B752="","EKSİK","TAM"))</f>
        <v/>
      </c>
    </row>
    <row r="753">
      <c r="F753" s="37">
        <f>IF($A753="","",IF($B753="","EKSİK","TAM"))</f>
        <v/>
      </c>
    </row>
    <row r="754">
      <c r="F754" s="37">
        <f>IF($A754="","",IF($B754="","EKSİK","TAM"))</f>
        <v/>
      </c>
    </row>
    <row r="755">
      <c r="F755" s="37">
        <f>IF($A755="","",IF($B755="","EKSİK","TAM"))</f>
        <v/>
      </c>
    </row>
    <row r="756">
      <c r="F756" s="37">
        <f>IF($A756="","",IF($B756="","EKSİK","TAM"))</f>
        <v/>
      </c>
    </row>
    <row r="757">
      <c r="F757" s="37">
        <f>IF($A757="","",IF($B757="","EKSİK","TAM"))</f>
        <v/>
      </c>
    </row>
    <row r="758">
      <c r="F758" s="37">
        <f>IF($A758="","",IF($B758="","EKSİK","TAM"))</f>
        <v/>
      </c>
    </row>
    <row r="759">
      <c r="F759" s="37">
        <f>IF($A759="","",IF($B759="","EKSİK","TAM"))</f>
        <v/>
      </c>
    </row>
    <row r="760">
      <c r="F760" s="37">
        <f>IF($A760="","",IF($B760="","EKSİK","TAM"))</f>
        <v/>
      </c>
    </row>
    <row r="761">
      <c r="F761" s="37">
        <f>IF($A761="","",IF($B761="","EKSİK","TAM"))</f>
        <v/>
      </c>
    </row>
    <row r="762">
      <c r="F762" s="37">
        <f>IF($A762="","",IF($B762="","EKSİK","TAM"))</f>
        <v/>
      </c>
    </row>
    <row r="763">
      <c r="F763" s="37">
        <f>IF($A763="","",IF($B763="","EKSİK","TAM"))</f>
        <v/>
      </c>
    </row>
    <row r="764">
      <c r="F764" s="37">
        <f>IF($A764="","",IF($B764="","EKSİK","TAM"))</f>
        <v/>
      </c>
    </row>
    <row r="765">
      <c r="F765" s="37">
        <f>IF($A765="","",IF($B765="","EKSİK","TAM"))</f>
        <v/>
      </c>
    </row>
    <row r="766">
      <c r="F766" s="37">
        <f>IF($A766="","",IF($B766="","EKSİK","TAM"))</f>
        <v/>
      </c>
    </row>
    <row r="767">
      <c r="F767" s="37">
        <f>IF($A767="","",IF($B767="","EKSİK","TAM"))</f>
        <v/>
      </c>
    </row>
    <row r="768">
      <c r="F768" s="37">
        <f>IF($A768="","",IF($B768="","EKSİK","TAM"))</f>
        <v/>
      </c>
    </row>
    <row r="769">
      <c r="F769" s="37">
        <f>IF($A769="","",IF($B769="","EKSİK","TAM"))</f>
        <v/>
      </c>
    </row>
    <row r="770">
      <c r="F770" s="37">
        <f>IF($A770="","",IF($B770="","EKSİK","TAM"))</f>
        <v/>
      </c>
    </row>
    <row r="771">
      <c r="F771" s="37">
        <f>IF($A771="","",IF($B771="","EKSİK","TAM"))</f>
        <v/>
      </c>
    </row>
    <row r="772">
      <c r="F772" s="37">
        <f>IF($A772="","",IF($B772="","EKSİK","TAM"))</f>
        <v/>
      </c>
    </row>
    <row r="773">
      <c r="F773" s="37">
        <f>IF($A773="","",IF($B773="","EKSİK","TAM"))</f>
        <v/>
      </c>
    </row>
    <row r="774">
      <c r="F774" s="37">
        <f>IF($A774="","",IF($B774="","EKSİK","TAM"))</f>
        <v/>
      </c>
    </row>
    <row r="775">
      <c r="F775" s="37">
        <f>IF($A775="","",IF($B775="","EKSİK","TAM"))</f>
        <v/>
      </c>
    </row>
    <row r="776">
      <c r="F776" s="37">
        <f>IF($A776="","",IF($B776="","EKSİK","TAM"))</f>
        <v/>
      </c>
    </row>
    <row r="777">
      <c r="F777" s="37">
        <f>IF($A777="","",IF($B777="","EKSİK","TAM"))</f>
        <v/>
      </c>
    </row>
    <row r="778">
      <c r="F778" s="37">
        <f>IF($A778="","",IF($B778="","EKSİK","TAM"))</f>
        <v/>
      </c>
    </row>
    <row r="779">
      <c r="F779" s="37">
        <f>IF($A779="","",IF($B779="","EKSİK","TAM"))</f>
        <v/>
      </c>
    </row>
    <row r="780">
      <c r="F780" s="37">
        <f>IF($A780="","",IF($B780="","EKSİK","TAM"))</f>
        <v/>
      </c>
    </row>
    <row r="781">
      <c r="F781" s="37">
        <f>IF($A781="","",IF($B781="","EKSİK","TAM"))</f>
        <v/>
      </c>
    </row>
    <row r="782">
      <c r="F782" s="37">
        <f>IF($A782="","",IF($B782="","EKSİK","TAM"))</f>
        <v/>
      </c>
    </row>
    <row r="783">
      <c r="F783" s="37">
        <f>IF($A783="","",IF($B783="","EKSİK","TAM"))</f>
        <v/>
      </c>
    </row>
    <row r="784">
      <c r="F784" s="37">
        <f>IF($A784="","",IF($B784="","EKSİK","TAM"))</f>
        <v/>
      </c>
    </row>
    <row r="785">
      <c r="F785" s="37">
        <f>IF($A785="","",IF($B785="","EKSİK","TAM"))</f>
        <v/>
      </c>
    </row>
    <row r="786">
      <c r="F786" s="37">
        <f>IF($A786="","",IF($B786="","EKSİK","TAM"))</f>
        <v/>
      </c>
    </row>
    <row r="787">
      <c r="F787" s="37">
        <f>IF($A787="","",IF($B787="","EKSİK","TAM"))</f>
        <v/>
      </c>
    </row>
    <row r="788">
      <c r="F788" s="37">
        <f>IF($A788="","",IF($B788="","EKSİK","TAM"))</f>
        <v/>
      </c>
    </row>
    <row r="789">
      <c r="F789" s="37">
        <f>IF($A789="","",IF($B789="","EKSİK","TAM"))</f>
        <v/>
      </c>
    </row>
    <row r="790">
      <c r="F790" s="37">
        <f>IF($A790="","",IF($B790="","EKSİK","TAM"))</f>
        <v/>
      </c>
    </row>
    <row r="791">
      <c r="F791" s="37">
        <f>IF($A791="","",IF($B791="","EKSİK","TAM"))</f>
        <v/>
      </c>
    </row>
    <row r="792">
      <c r="F792" s="37">
        <f>IF($A792="","",IF($B792="","EKSİK","TAM"))</f>
        <v/>
      </c>
    </row>
    <row r="793">
      <c r="F793" s="37">
        <f>IF($A793="","",IF($B793="","EKSİK","TAM"))</f>
        <v/>
      </c>
    </row>
    <row r="794">
      <c r="F794" s="37">
        <f>IF($A794="","",IF($B794="","EKSİK","TAM"))</f>
        <v/>
      </c>
    </row>
    <row r="795">
      <c r="F795" s="37">
        <f>IF($A795="","",IF($B795="","EKSİK","TAM"))</f>
        <v/>
      </c>
    </row>
    <row r="796">
      <c r="F796" s="37">
        <f>IF($A796="","",IF($B796="","EKSİK","TAM"))</f>
        <v/>
      </c>
    </row>
    <row r="797">
      <c r="F797" s="37">
        <f>IF($A797="","",IF($B797="","EKSİK","TAM"))</f>
        <v/>
      </c>
    </row>
    <row r="798">
      <c r="F798" s="37">
        <f>IF($A798="","",IF($B798="","EKSİK","TAM"))</f>
        <v/>
      </c>
    </row>
    <row r="799">
      <c r="F799" s="37">
        <f>IF($A799="","",IF($B799="","EKSİK","TAM"))</f>
        <v/>
      </c>
    </row>
    <row r="800">
      <c r="F800" s="37">
        <f>IF($A800="","",IF($B800="","EKSİK","TAM"))</f>
        <v/>
      </c>
    </row>
    <row r="801">
      <c r="F801" s="37">
        <f>IF($A801="","",IF($B801="","EKSİK","TAM"))</f>
        <v/>
      </c>
    </row>
    <row r="802">
      <c r="F802" s="37">
        <f>IF($A802="","",IF($B802="","EKSİK","TAM"))</f>
        <v/>
      </c>
    </row>
    <row r="803">
      <c r="F803" s="37">
        <f>IF($A803="","",IF($B803="","EKSİK","TAM"))</f>
        <v/>
      </c>
    </row>
    <row r="804">
      <c r="F804" s="37">
        <f>IF($A804="","",IF($B804="","EKSİK","TAM"))</f>
        <v/>
      </c>
    </row>
    <row r="805">
      <c r="F805" s="37">
        <f>IF($A805="","",IF($B805="","EKSİK","TAM"))</f>
        <v/>
      </c>
    </row>
    <row r="806">
      <c r="F806" s="37">
        <f>IF($A806="","",IF($B806="","EKSİK","TAM"))</f>
        <v/>
      </c>
    </row>
    <row r="807">
      <c r="F807" s="37">
        <f>IF($A807="","",IF($B807="","EKSİK","TAM"))</f>
        <v/>
      </c>
    </row>
    <row r="808">
      <c r="F808" s="37">
        <f>IF($A808="","",IF($B808="","EKSİK","TAM"))</f>
        <v/>
      </c>
    </row>
    <row r="809">
      <c r="F809" s="37">
        <f>IF($A809="","",IF($B809="","EKSİK","TAM"))</f>
        <v/>
      </c>
    </row>
    <row r="810">
      <c r="F810" s="37">
        <f>IF($A810="","",IF($B810="","EKSİK","TAM"))</f>
        <v/>
      </c>
    </row>
    <row r="811">
      <c r="F811" s="37">
        <f>IF($A811="","",IF($B811="","EKSİK","TAM"))</f>
        <v/>
      </c>
    </row>
    <row r="812">
      <c r="F812" s="37">
        <f>IF($A812="","",IF($B812="","EKSİK","TAM"))</f>
        <v/>
      </c>
    </row>
    <row r="813">
      <c r="F813" s="37">
        <f>IF($A813="","",IF($B813="","EKSİK","TAM"))</f>
        <v/>
      </c>
    </row>
    <row r="814">
      <c r="F814" s="37">
        <f>IF($A814="","",IF($B814="","EKSİK","TAM"))</f>
        <v/>
      </c>
    </row>
    <row r="815">
      <c r="F815" s="37">
        <f>IF($A815="","",IF($B815="","EKSİK","TAM"))</f>
        <v/>
      </c>
    </row>
    <row r="816">
      <c r="F816" s="37">
        <f>IF($A816="","",IF($B816="","EKSİK","TAM"))</f>
        <v/>
      </c>
    </row>
    <row r="817">
      <c r="F817" s="37">
        <f>IF($A817="","",IF($B817="","EKSİK","TAM"))</f>
        <v/>
      </c>
    </row>
    <row r="818">
      <c r="F818" s="37">
        <f>IF($A818="","",IF($B818="","EKSİK","TAM"))</f>
        <v/>
      </c>
    </row>
    <row r="819">
      <c r="F819" s="37">
        <f>IF($A819="","",IF($B819="","EKSİK","TAM"))</f>
        <v/>
      </c>
    </row>
    <row r="820">
      <c r="F820" s="37">
        <f>IF($A820="","",IF($B820="","EKSİK","TAM"))</f>
        <v/>
      </c>
    </row>
    <row r="821">
      <c r="F821" s="37">
        <f>IF($A821="","",IF($B821="","EKSİK","TAM"))</f>
        <v/>
      </c>
    </row>
    <row r="822">
      <c r="F822" s="37">
        <f>IF($A822="","",IF($B822="","EKSİK","TAM"))</f>
        <v/>
      </c>
    </row>
    <row r="823">
      <c r="F823" s="37">
        <f>IF($A823="","",IF($B823="","EKSİK","TAM"))</f>
        <v/>
      </c>
    </row>
    <row r="824">
      <c r="F824" s="37">
        <f>IF($A824="","",IF($B824="","EKSİK","TAM"))</f>
        <v/>
      </c>
    </row>
    <row r="825">
      <c r="F825" s="37">
        <f>IF($A825="","",IF($B825="","EKSİK","TAM"))</f>
        <v/>
      </c>
    </row>
    <row r="826">
      <c r="F826" s="37">
        <f>IF($A826="","",IF($B826="","EKSİK","TAM"))</f>
        <v/>
      </c>
    </row>
    <row r="827">
      <c r="F827" s="37">
        <f>IF($A827="","",IF($B827="","EKSİK","TAM"))</f>
        <v/>
      </c>
    </row>
    <row r="828">
      <c r="F828" s="37">
        <f>IF($A828="","",IF($B828="","EKSİK","TAM"))</f>
        <v/>
      </c>
    </row>
    <row r="829">
      <c r="F829" s="37">
        <f>IF($A829="","",IF($B829="","EKSİK","TAM"))</f>
        <v/>
      </c>
    </row>
    <row r="830">
      <c r="F830" s="37">
        <f>IF($A830="","",IF($B830="","EKSİK","TAM"))</f>
        <v/>
      </c>
    </row>
    <row r="831">
      <c r="F831" s="37">
        <f>IF($A831="","",IF($B831="","EKSİK","TAM"))</f>
        <v/>
      </c>
    </row>
    <row r="832">
      <c r="F832" s="37">
        <f>IF($A832="","",IF($B832="","EKSİK","TAM"))</f>
        <v/>
      </c>
    </row>
    <row r="833">
      <c r="F833" s="37">
        <f>IF($A833="","",IF($B833="","EKSİK","TAM"))</f>
        <v/>
      </c>
    </row>
    <row r="834">
      <c r="F834" s="37">
        <f>IF($A834="","",IF($B834="","EKSİK","TAM"))</f>
        <v/>
      </c>
    </row>
    <row r="835">
      <c r="F835" s="37">
        <f>IF($A835="","",IF($B835="","EKSİK","TAM"))</f>
        <v/>
      </c>
    </row>
    <row r="836">
      <c r="F836" s="37">
        <f>IF($A836="","",IF($B836="","EKSİK","TAM"))</f>
        <v/>
      </c>
    </row>
    <row r="837">
      <c r="F837" s="37">
        <f>IF($A837="","",IF($B837="","EKSİK","TAM"))</f>
        <v/>
      </c>
    </row>
    <row r="838">
      <c r="F838" s="37">
        <f>IF($A838="","",IF($B838="","EKSİK","TAM"))</f>
        <v/>
      </c>
    </row>
    <row r="839">
      <c r="F839" s="37">
        <f>IF($A839="","",IF($B839="","EKSİK","TAM"))</f>
        <v/>
      </c>
    </row>
    <row r="840">
      <c r="F840" s="37">
        <f>IF($A840="","",IF($B840="","EKSİK","TAM"))</f>
        <v/>
      </c>
    </row>
    <row r="841">
      <c r="F841" s="37">
        <f>IF($A841="","",IF($B841="","EKSİK","TAM"))</f>
        <v/>
      </c>
    </row>
    <row r="842">
      <c r="F842" s="37">
        <f>IF($A842="","",IF($B842="","EKSİK","TAM"))</f>
        <v/>
      </c>
    </row>
    <row r="843">
      <c r="F843" s="37">
        <f>IF($A843="","",IF($B843="","EKSİK","TAM"))</f>
        <v/>
      </c>
    </row>
    <row r="844">
      <c r="F844" s="37">
        <f>IF($A844="","",IF($B844="","EKSİK","TAM"))</f>
        <v/>
      </c>
    </row>
    <row r="845">
      <c r="F845" s="37">
        <f>IF($A845="","",IF($B845="","EKSİK","TAM"))</f>
        <v/>
      </c>
    </row>
    <row r="846">
      <c r="F846" s="37">
        <f>IF($A846="","",IF($B846="","EKSİK","TAM"))</f>
        <v/>
      </c>
    </row>
    <row r="847">
      <c r="F847" s="37">
        <f>IF($A847="","",IF($B847="","EKSİK","TAM"))</f>
        <v/>
      </c>
    </row>
    <row r="848">
      <c r="F848" s="37">
        <f>IF($A848="","",IF($B848="","EKSİK","TAM"))</f>
        <v/>
      </c>
    </row>
    <row r="849">
      <c r="F849" s="37">
        <f>IF($A849="","",IF($B849="","EKSİK","TAM"))</f>
        <v/>
      </c>
    </row>
    <row r="850">
      <c r="F850" s="37">
        <f>IF($A850="","",IF($B850="","EKSİK","TAM"))</f>
        <v/>
      </c>
    </row>
    <row r="851">
      <c r="F851" s="37">
        <f>IF($A851="","",IF($B851="","EKSİK","TAM"))</f>
        <v/>
      </c>
    </row>
    <row r="852">
      <c r="F852" s="37">
        <f>IF($A852="","",IF($B852="","EKSİK","TAM"))</f>
        <v/>
      </c>
    </row>
    <row r="853">
      <c r="F853" s="37">
        <f>IF($A853="","",IF($B853="","EKSİK","TAM"))</f>
        <v/>
      </c>
    </row>
    <row r="854">
      <c r="F854" s="37">
        <f>IF($A854="","",IF($B854="","EKSİK","TAM"))</f>
        <v/>
      </c>
    </row>
    <row r="855">
      <c r="F855" s="37">
        <f>IF($A855="","",IF($B855="","EKSİK","TAM"))</f>
        <v/>
      </c>
    </row>
    <row r="856">
      <c r="F856" s="37">
        <f>IF($A856="","",IF($B856="","EKSİK","TAM"))</f>
        <v/>
      </c>
    </row>
    <row r="857">
      <c r="F857" s="37">
        <f>IF($A857="","",IF($B857="","EKSİK","TAM"))</f>
        <v/>
      </c>
    </row>
    <row r="858">
      <c r="F858" s="37">
        <f>IF($A858="","",IF($B858="","EKSİK","TAM"))</f>
        <v/>
      </c>
    </row>
    <row r="859">
      <c r="F859" s="37">
        <f>IF($A859="","",IF($B859="","EKSİK","TAM"))</f>
        <v/>
      </c>
    </row>
    <row r="860">
      <c r="F860" s="37">
        <f>IF($A860="","",IF($B860="","EKSİK","TAM"))</f>
        <v/>
      </c>
    </row>
    <row r="861">
      <c r="F861" s="37">
        <f>IF($A861="","",IF($B861="","EKSİK","TAM"))</f>
        <v/>
      </c>
    </row>
    <row r="862">
      <c r="F862" s="37">
        <f>IF($A862="","",IF($B862="","EKSİK","TAM"))</f>
        <v/>
      </c>
    </row>
    <row r="863">
      <c r="F863" s="37">
        <f>IF($A863="","",IF($B863="","EKSİK","TAM"))</f>
        <v/>
      </c>
    </row>
    <row r="864">
      <c r="F864" s="37">
        <f>IF($A864="","",IF($B864="","EKSİK","TAM"))</f>
        <v/>
      </c>
    </row>
    <row r="865">
      <c r="F865" s="37">
        <f>IF($A865="","",IF($B865="","EKSİK","TAM"))</f>
        <v/>
      </c>
    </row>
    <row r="866">
      <c r="F866" s="37">
        <f>IF($A866="","",IF($B866="","EKSİK","TAM"))</f>
        <v/>
      </c>
    </row>
    <row r="867">
      <c r="F867" s="37">
        <f>IF($A867="","",IF($B867="","EKSİK","TAM"))</f>
        <v/>
      </c>
    </row>
    <row r="868">
      <c r="F868" s="37">
        <f>IF($A868="","",IF($B868="","EKSİK","TAM"))</f>
        <v/>
      </c>
    </row>
    <row r="869">
      <c r="F869" s="37">
        <f>IF($A869="","",IF($B869="","EKSİK","TAM"))</f>
        <v/>
      </c>
    </row>
    <row r="870">
      <c r="F870" s="37">
        <f>IF($A870="","",IF($B870="","EKSİK","TAM"))</f>
        <v/>
      </c>
    </row>
    <row r="871">
      <c r="F871" s="37">
        <f>IF($A871="","",IF($B871="","EKSİK","TAM"))</f>
        <v/>
      </c>
    </row>
    <row r="872">
      <c r="F872" s="37">
        <f>IF($A872="","",IF($B872="","EKSİK","TAM"))</f>
        <v/>
      </c>
    </row>
    <row r="873">
      <c r="F873" s="37">
        <f>IF($A873="","",IF($B873="","EKSİK","TAM"))</f>
        <v/>
      </c>
    </row>
    <row r="874">
      <c r="F874" s="37">
        <f>IF($A874="","",IF($B874="","EKSİK","TAM"))</f>
        <v/>
      </c>
    </row>
    <row r="875">
      <c r="F875" s="37">
        <f>IF($A875="","",IF($B875="","EKSİK","TAM"))</f>
        <v/>
      </c>
    </row>
    <row r="876">
      <c r="F876" s="37">
        <f>IF($A876="","",IF($B876="","EKSİK","TAM"))</f>
        <v/>
      </c>
    </row>
    <row r="877">
      <c r="F877" s="37">
        <f>IF($A877="","",IF($B877="","EKSİK","TAM"))</f>
        <v/>
      </c>
    </row>
    <row r="878">
      <c r="F878" s="37">
        <f>IF($A878="","",IF($B878="","EKSİK","TAM"))</f>
        <v/>
      </c>
    </row>
    <row r="879">
      <c r="F879" s="37">
        <f>IF($A879="","",IF($B879="","EKSİK","TAM"))</f>
        <v/>
      </c>
    </row>
    <row r="880">
      <c r="F880" s="37">
        <f>IF($A880="","",IF($B880="","EKSİK","TAM"))</f>
        <v/>
      </c>
    </row>
    <row r="881">
      <c r="F881" s="37">
        <f>IF($A881="","",IF($B881="","EKSİK","TAM"))</f>
        <v/>
      </c>
    </row>
    <row r="882">
      <c r="F882" s="37">
        <f>IF($A882="","",IF($B882="","EKSİK","TAM"))</f>
        <v/>
      </c>
    </row>
    <row r="883">
      <c r="F883" s="37">
        <f>IF($A883="","",IF($B883="","EKSİK","TAM"))</f>
        <v/>
      </c>
    </row>
    <row r="884">
      <c r="F884" s="37">
        <f>IF($A884="","",IF($B884="","EKSİK","TAM"))</f>
        <v/>
      </c>
    </row>
    <row r="885">
      <c r="F885" s="37">
        <f>IF($A885="","",IF($B885="","EKSİK","TAM"))</f>
        <v/>
      </c>
    </row>
    <row r="886">
      <c r="F886" s="37">
        <f>IF($A886="","",IF($B886="","EKSİK","TAM"))</f>
        <v/>
      </c>
    </row>
    <row r="887">
      <c r="F887" s="37">
        <f>IF($A887="","",IF($B887="","EKSİK","TAM"))</f>
        <v/>
      </c>
    </row>
    <row r="888">
      <c r="F888" s="37">
        <f>IF($A888="","",IF($B888="","EKSİK","TAM"))</f>
        <v/>
      </c>
    </row>
    <row r="889">
      <c r="F889" s="37">
        <f>IF($A889="","",IF($B889="","EKSİK","TAM"))</f>
        <v/>
      </c>
    </row>
    <row r="890">
      <c r="F890" s="37">
        <f>IF($A890="","",IF($B890="","EKSİK","TAM"))</f>
        <v/>
      </c>
    </row>
    <row r="891">
      <c r="F891" s="37">
        <f>IF($A891="","",IF($B891="","EKSİK","TAM"))</f>
        <v/>
      </c>
    </row>
    <row r="892">
      <c r="F892" s="37">
        <f>IF($A892="","",IF($B892="","EKSİK","TAM"))</f>
        <v/>
      </c>
    </row>
    <row r="893">
      <c r="F893" s="37">
        <f>IF($A893="","",IF($B893="","EKSİK","TAM"))</f>
        <v/>
      </c>
    </row>
    <row r="894">
      <c r="F894" s="37">
        <f>IF($A894="","",IF($B894="","EKSİK","TAM"))</f>
        <v/>
      </c>
    </row>
    <row r="895">
      <c r="F895" s="37">
        <f>IF($A895="","",IF($B895="","EKSİK","TAM"))</f>
        <v/>
      </c>
    </row>
    <row r="896">
      <c r="F896" s="37">
        <f>IF($A896="","",IF($B896="","EKSİK","TAM"))</f>
        <v/>
      </c>
    </row>
    <row r="897">
      <c r="F897" s="37">
        <f>IF($A897="","",IF($B897="","EKSİK","TAM"))</f>
        <v/>
      </c>
    </row>
    <row r="898">
      <c r="F898" s="37">
        <f>IF($A898="","",IF($B898="","EKSİK","TAM"))</f>
        <v/>
      </c>
    </row>
    <row r="899">
      <c r="F899" s="37">
        <f>IF($A899="","",IF($B899="","EKSİK","TAM"))</f>
        <v/>
      </c>
    </row>
    <row r="900">
      <c r="F900" s="37">
        <f>IF($A900="","",IF($B900="","EKSİK","TAM"))</f>
        <v/>
      </c>
    </row>
    <row r="901">
      <c r="F901" s="37">
        <f>IF($A901="","",IF($B901="","EKSİK","TAM"))</f>
        <v/>
      </c>
    </row>
    <row r="902">
      <c r="F902" s="37">
        <f>IF($A902="","",IF($B902="","EKSİK","TAM"))</f>
        <v/>
      </c>
    </row>
    <row r="903">
      <c r="F903" s="37">
        <f>IF($A903="","",IF($B903="","EKSİK","TAM"))</f>
        <v/>
      </c>
    </row>
    <row r="904">
      <c r="F904" s="37">
        <f>IF($A904="","",IF($B904="","EKSİK","TAM"))</f>
        <v/>
      </c>
    </row>
    <row r="905">
      <c r="F905" s="37">
        <f>IF($A905="","",IF($B905="","EKSİK","TAM"))</f>
        <v/>
      </c>
    </row>
    <row r="906">
      <c r="F906" s="37">
        <f>IF($A906="","",IF($B906="","EKSİK","TAM"))</f>
        <v/>
      </c>
    </row>
    <row r="907">
      <c r="F907" s="37">
        <f>IF($A907="","",IF($B907="","EKSİK","TAM"))</f>
        <v/>
      </c>
    </row>
    <row r="908">
      <c r="F908" s="37">
        <f>IF($A908="","",IF($B908="","EKSİK","TAM"))</f>
        <v/>
      </c>
    </row>
    <row r="909">
      <c r="F909" s="37">
        <f>IF($A909="","",IF($B909="","EKSİK","TAM"))</f>
        <v/>
      </c>
    </row>
    <row r="910">
      <c r="F910" s="37">
        <f>IF($A910="","",IF($B910="","EKSİK","TAM"))</f>
        <v/>
      </c>
    </row>
    <row r="911">
      <c r="F911" s="37">
        <f>IF($A911="","",IF($B911="","EKSİK","TAM"))</f>
        <v/>
      </c>
    </row>
    <row r="912">
      <c r="F912" s="37">
        <f>IF($A912="","",IF($B912="","EKSİK","TAM"))</f>
        <v/>
      </c>
    </row>
    <row r="913">
      <c r="F913" s="37">
        <f>IF($A913="","",IF($B913="","EKSİK","TAM"))</f>
        <v/>
      </c>
    </row>
    <row r="914">
      <c r="F914" s="37">
        <f>IF($A914="","",IF($B914="","EKSİK","TAM"))</f>
        <v/>
      </c>
    </row>
    <row r="915">
      <c r="F915" s="37">
        <f>IF($A915="","",IF($B915="","EKSİK","TAM"))</f>
        <v/>
      </c>
    </row>
    <row r="916">
      <c r="F916" s="37">
        <f>IF($A916="","",IF($B916="","EKSİK","TAM"))</f>
        <v/>
      </c>
    </row>
    <row r="917">
      <c r="F917" s="37">
        <f>IF($A917="","",IF($B917="","EKSİK","TAM"))</f>
        <v/>
      </c>
    </row>
    <row r="918">
      <c r="F918" s="37">
        <f>IF($A918="","",IF($B918="","EKSİK","TAM"))</f>
        <v/>
      </c>
    </row>
    <row r="919">
      <c r="F919" s="37">
        <f>IF($A919="","",IF($B919="","EKSİK","TAM"))</f>
        <v/>
      </c>
    </row>
    <row r="920">
      <c r="F920" s="37">
        <f>IF($A920="","",IF($B920="","EKSİK","TAM"))</f>
        <v/>
      </c>
    </row>
    <row r="921">
      <c r="F921" s="37">
        <f>IF($A921="","",IF($B921="","EKSİK","TAM"))</f>
        <v/>
      </c>
    </row>
    <row r="922">
      <c r="F922" s="37">
        <f>IF($A922="","",IF($B922="","EKSİK","TAM"))</f>
        <v/>
      </c>
    </row>
    <row r="923">
      <c r="F923" s="37">
        <f>IF($A923="","",IF($B923="","EKSİK","TAM"))</f>
        <v/>
      </c>
    </row>
    <row r="924">
      <c r="F924" s="37">
        <f>IF($A924="","",IF($B924="","EKSİK","TAM"))</f>
        <v/>
      </c>
    </row>
    <row r="925">
      <c r="F925" s="37">
        <f>IF($A925="","",IF($B925="","EKSİK","TAM"))</f>
        <v/>
      </c>
    </row>
    <row r="926">
      <c r="F926" s="37">
        <f>IF($A926="","",IF($B926="","EKSİK","TAM"))</f>
        <v/>
      </c>
    </row>
    <row r="927">
      <c r="F927" s="37">
        <f>IF($A927="","",IF($B927="","EKSİK","TAM"))</f>
        <v/>
      </c>
    </row>
    <row r="928">
      <c r="F928" s="37">
        <f>IF($A928="","",IF($B928="","EKSİK","TAM"))</f>
        <v/>
      </c>
    </row>
    <row r="929">
      <c r="F929" s="37">
        <f>IF($A929="","",IF($B929="","EKSİK","TAM"))</f>
        <v/>
      </c>
    </row>
    <row r="930">
      <c r="F930" s="37">
        <f>IF($A930="","",IF($B930="","EKSİK","TAM"))</f>
        <v/>
      </c>
    </row>
    <row r="931">
      <c r="F931" s="37">
        <f>IF($A931="","",IF($B931="","EKSİK","TAM"))</f>
        <v/>
      </c>
    </row>
    <row r="932">
      <c r="F932" s="37">
        <f>IF($A932="","",IF($B932="","EKSİK","TAM"))</f>
        <v/>
      </c>
    </row>
    <row r="933">
      <c r="F933" s="37">
        <f>IF($A933="","",IF($B933="","EKSİK","TAM"))</f>
        <v/>
      </c>
    </row>
    <row r="934">
      <c r="F934" s="37">
        <f>IF($A934="","",IF($B934="","EKSİK","TAM"))</f>
        <v/>
      </c>
    </row>
    <row r="935">
      <c r="F935" s="37">
        <f>IF($A935="","",IF($B935="","EKSİK","TAM"))</f>
        <v/>
      </c>
    </row>
    <row r="936">
      <c r="F936" s="37">
        <f>IF($A936="","",IF($B936="","EKSİK","TAM"))</f>
        <v/>
      </c>
    </row>
    <row r="937">
      <c r="F937" s="37">
        <f>IF($A937="","",IF($B937="","EKSİK","TAM"))</f>
        <v/>
      </c>
    </row>
    <row r="938">
      <c r="F938" s="37">
        <f>IF($A938="","",IF($B938="","EKSİK","TAM"))</f>
        <v/>
      </c>
    </row>
    <row r="939">
      <c r="F939" s="37">
        <f>IF($A939="","",IF($B939="","EKSİK","TAM"))</f>
        <v/>
      </c>
    </row>
    <row r="940">
      <c r="F940" s="37">
        <f>IF($A940="","",IF($B940="","EKSİK","TAM"))</f>
        <v/>
      </c>
    </row>
    <row r="941">
      <c r="F941" s="37">
        <f>IF($A941="","",IF($B941="","EKSİK","TAM"))</f>
        <v/>
      </c>
    </row>
    <row r="942">
      <c r="F942" s="37">
        <f>IF($A942="","",IF($B942="","EKSİK","TAM"))</f>
        <v/>
      </c>
    </row>
    <row r="943">
      <c r="F943" s="37">
        <f>IF($A943="","",IF($B943="","EKSİK","TAM"))</f>
        <v/>
      </c>
    </row>
    <row r="944">
      <c r="F944" s="37">
        <f>IF($A944="","",IF($B944="","EKSİK","TAM"))</f>
        <v/>
      </c>
    </row>
    <row r="945">
      <c r="F945" s="37">
        <f>IF($A945="","",IF($B945="","EKSİK","TAM"))</f>
        <v/>
      </c>
    </row>
    <row r="946">
      <c r="F946" s="37">
        <f>IF($A946="","",IF($B946="","EKSİK","TAM"))</f>
        <v/>
      </c>
    </row>
    <row r="947">
      <c r="F947" s="37">
        <f>IF($A947="","",IF($B947="","EKSİK","TAM"))</f>
        <v/>
      </c>
    </row>
    <row r="948">
      <c r="F948" s="37">
        <f>IF($A948="","",IF($B948="","EKSİK","TAM"))</f>
        <v/>
      </c>
    </row>
    <row r="949">
      <c r="F949" s="37">
        <f>IF($A949="","",IF($B949="","EKSİK","TAM"))</f>
        <v/>
      </c>
    </row>
    <row r="950">
      <c r="F950" s="37">
        <f>IF($A950="","",IF($B950="","EKSİK","TAM"))</f>
        <v/>
      </c>
    </row>
    <row r="951">
      <c r="F951" s="37">
        <f>IF($A951="","",IF($B951="","EKSİK","TAM"))</f>
        <v/>
      </c>
    </row>
    <row r="952">
      <c r="F952" s="37">
        <f>IF($A952="","",IF($B952="","EKSİK","TAM"))</f>
        <v/>
      </c>
    </row>
    <row r="953">
      <c r="F953" s="37">
        <f>IF($A953="","",IF($B953="","EKSİK","TAM"))</f>
        <v/>
      </c>
    </row>
    <row r="954">
      <c r="F954" s="37">
        <f>IF($A954="","",IF($B954="","EKSİK","TAM"))</f>
        <v/>
      </c>
    </row>
    <row r="955">
      <c r="F955" s="37">
        <f>IF($A955="","",IF($B955="","EKSİK","TAM"))</f>
        <v/>
      </c>
    </row>
    <row r="956">
      <c r="F956" s="37">
        <f>IF($A956="","",IF($B956="","EKSİK","TAM"))</f>
        <v/>
      </c>
    </row>
    <row r="957">
      <c r="F957" s="37">
        <f>IF($A957="","",IF($B957="","EKSİK","TAM"))</f>
        <v/>
      </c>
    </row>
    <row r="958">
      <c r="F958" s="37">
        <f>IF($A958="","",IF($B958="","EKSİK","TAM"))</f>
        <v/>
      </c>
    </row>
    <row r="959">
      <c r="F959" s="37">
        <f>IF($A959="","",IF($B959="","EKSİK","TAM"))</f>
        <v/>
      </c>
    </row>
    <row r="960">
      <c r="F960" s="37">
        <f>IF($A960="","",IF($B960="","EKSİK","TAM"))</f>
        <v/>
      </c>
    </row>
    <row r="961">
      <c r="F961" s="37">
        <f>IF($A961="","",IF($B961="","EKSİK","TAM"))</f>
        <v/>
      </c>
    </row>
    <row r="962">
      <c r="F962" s="37">
        <f>IF($A962="","",IF($B962="","EKSİK","TAM"))</f>
        <v/>
      </c>
    </row>
    <row r="963">
      <c r="F963" s="37">
        <f>IF($A963="","",IF($B963="","EKSİK","TAM"))</f>
        <v/>
      </c>
    </row>
    <row r="964">
      <c r="F964" s="37">
        <f>IF($A964="","",IF($B964="","EKSİK","TAM"))</f>
        <v/>
      </c>
    </row>
    <row r="965">
      <c r="F965" s="37">
        <f>IF($A965="","",IF($B965="","EKSİK","TAM"))</f>
        <v/>
      </c>
    </row>
    <row r="966">
      <c r="F966" s="37">
        <f>IF($A966="","",IF($B966="","EKSİK","TAM"))</f>
        <v/>
      </c>
    </row>
    <row r="967">
      <c r="F967" s="37">
        <f>IF($A967="","",IF($B967="","EKSİK","TAM"))</f>
        <v/>
      </c>
    </row>
    <row r="968">
      <c r="F968" s="37">
        <f>IF($A968="","",IF($B968="","EKSİK","TAM"))</f>
        <v/>
      </c>
    </row>
    <row r="969">
      <c r="F969" s="37">
        <f>IF($A969="","",IF($B969="","EKSİK","TAM"))</f>
        <v/>
      </c>
    </row>
    <row r="970">
      <c r="F970" s="37">
        <f>IF($A970="","",IF($B970="","EKSİK","TAM"))</f>
        <v/>
      </c>
    </row>
    <row r="971">
      <c r="F971" s="37">
        <f>IF($A971="","",IF($B971="","EKSİK","TAM"))</f>
        <v/>
      </c>
    </row>
    <row r="972">
      <c r="F972" s="37">
        <f>IF($A972="","",IF($B972="","EKSİK","TAM"))</f>
        <v/>
      </c>
    </row>
    <row r="973">
      <c r="F973" s="37">
        <f>IF($A973="","",IF($B973="","EKSİK","TAM"))</f>
        <v/>
      </c>
    </row>
    <row r="974">
      <c r="F974" s="37">
        <f>IF($A974="","",IF($B974="","EKSİK","TAM"))</f>
        <v/>
      </c>
    </row>
    <row r="975">
      <c r="F975" s="37">
        <f>IF($A975="","",IF($B975="","EKSİK","TAM"))</f>
        <v/>
      </c>
    </row>
    <row r="976">
      <c r="F976" s="37">
        <f>IF($A976="","",IF($B976="","EKSİK","TAM"))</f>
        <v/>
      </c>
    </row>
    <row r="977">
      <c r="F977" s="37">
        <f>IF($A977="","",IF($B977="","EKSİK","TAM"))</f>
        <v/>
      </c>
    </row>
    <row r="978">
      <c r="F978" s="37">
        <f>IF($A978="","",IF($B978="","EKSİK","TAM"))</f>
        <v/>
      </c>
    </row>
    <row r="979">
      <c r="F979" s="37">
        <f>IF($A979="","",IF($B979="","EKSİK","TAM"))</f>
        <v/>
      </c>
    </row>
    <row r="980">
      <c r="F980" s="37">
        <f>IF($A980="","",IF($B980="","EKSİK","TAM"))</f>
        <v/>
      </c>
    </row>
    <row r="981">
      <c r="F981" s="37">
        <f>IF($A981="","",IF($B981="","EKSİK","TAM"))</f>
        <v/>
      </c>
    </row>
    <row r="982">
      <c r="F982" s="37">
        <f>IF($A982="","",IF($B982="","EKSİK","TAM"))</f>
        <v/>
      </c>
    </row>
    <row r="983">
      <c r="F983" s="37">
        <f>IF($A983="","",IF($B983="","EKSİK","TAM"))</f>
        <v/>
      </c>
    </row>
    <row r="984">
      <c r="F984" s="37">
        <f>IF($A984="","",IF($B984="","EKSİK","TAM"))</f>
        <v/>
      </c>
    </row>
    <row r="985">
      <c r="F985" s="37">
        <f>IF($A985="","",IF($B985="","EKSİK","TAM"))</f>
        <v/>
      </c>
    </row>
    <row r="986">
      <c r="F986" s="37">
        <f>IF($A986="","",IF($B986="","EKSİK","TAM"))</f>
        <v/>
      </c>
    </row>
    <row r="987">
      <c r="F987" s="37">
        <f>IF($A987="","",IF($B987="","EKSİK","TAM"))</f>
        <v/>
      </c>
    </row>
    <row r="988">
      <c r="F988" s="37">
        <f>IF($A988="","",IF($B988="","EKSİK","TAM"))</f>
        <v/>
      </c>
    </row>
    <row r="989">
      <c r="F989" s="37">
        <f>IF($A989="","",IF($B989="","EKSİK","TAM"))</f>
        <v/>
      </c>
    </row>
    <row r="990">
      <c r="F990" s="37">
        <f>IF($A990="","",IF($B990="","EKSİK","TAM"))</f>
        <v/>
      </c>
    </row>
    <row r="991">
      <c r="F991" s="37">
        <f>IF($A991="","",IF($B991="","EKSİK","TAM"))</f>
        <v/>
      </c>
    </row>
    <row r="992">
      <c r="F992" s="37">
        <f>IF($A992="","",IF($B992="","EKSİK","TAM"))</f>
        <v/>
      </c>
    </row>
    <row r="993">
      <c r="F993" s="37">
        <f>IF($A993="","",IF($B993="","EKSİK","TAM"))</f>
        <v/>
      </c>
    </row>
    <row r="994">
      <c r="F994" s="37">
        <f>IF($A994="","",IF($B994="","EKSİK","TAM"))</f>
        <v/>
      </c>
    </row>
    <row r="995">
      <c r="F995" s="37">
        <f>IF($A995="","",IF($B995="","EKSİK","TAM"))</f>
        <v/>
      </c>
    </row>
    <row r="996">
      <c r="F996" s="37">
        <f>IF($A996="","",IF($B996="","EKSİK","TAM"))</f>
        <v/>
      </c>
    </row>
    <row r="997">
      <c r="F997" s="37">
        <f>IF($A997="","",IF($B997="","EKSİK","TAM"))</f>
        <v/>
      </c>
    </row>
    <row r="998">
      <c r="F998" s="37">
        <f>IF($A998="","",IF($B998="","EKSİK","TAM"))</f>
        <v/>
      </c>
    </row>
    <row r="999">
      <c r="F999" s="37">
        <f>IF($A999="","",IF($B999="","EKSİK","TAM"))</f>
        <v/>
      </c>
    </row>
    <row r="1000">
      <c r="F1000" s="37">
        <f>IF($A1000="","",IF($B1000="","EKSİK","TAM"))</f>
        <v/>
      </c>
    </row>
    <row r="1001">
      <c r="F1001" s="37">
        <f>IF($A1001="","",IF($B1001="","EKSİK","TAM"))</f>
        <v/>
      </c>
    </row>
    <row r="1002">
      <c r="F1002" s="37">
        <f>IF($A1002="","",IF($B1002="","EKSİK","TAM"))</f>
        <v/>
      </c>
    </row>
    <row r="1003">
      <c r="F1003" s="37">
        <f>IF($A1003="","",IF($B1003="","EKSİK","TAM"))</f>
        <v/>
      </c>
    </row>
    <row r="1004">
      <c r="F1004" s="37">
        <f>IF($A1004="","",IF($B1004="","EKSİK","TAM"))</f>
        <v/>
      </c>
    </row>
    <row r="1024" ht="20" customHeight="1">
      <c r="A1024" s="40" t="inlineStr">
        <is>
          <t>Sarı alanlar giriş; sapma ve kalite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24:AN1024"/>
    <mergeCell ref="A3:I3"/>
  </mergeCells>
  <conditionalFormatting sqref="B9:B15">
    <cfRule type="cellIs" priority="1" operator="lessThan" dxfId="3">
      <formula>0</formula>
    </cfRule>
    <cfRule type="cellIs" priority="2" operator="equal" dxfId="5">
      <formula>0</formula>
    </cfRule>
  </conditionalFormatting>
  <conditionalFormatting sqref="F24:F34">
    <cfRule type="expression" priority="3" dxfId="2">
      <formula>F24="EKSİK"</formula>
    </cfRule>
    <cfRule type="expression" priority="4" dxfId="0">
      <formula>F24="TAM"</formula>
    </cfRule>
  </conditionalFormatting>
  <dataValidations count="18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6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4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Yaklaşık Maliyet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Teklif" prompt="0 ile 100000 arasında." type="decimal" errorStyle="stop" operator="between">
      <formula1>0</formula1>
      <formula2>100000</formula2>
    </dataValidation>
    <dataValidation sqref="B11" showDropDown="0" showInputMessage="1" showErrorMessage="1" allowBlank="1" errorTitle="Geçersiz tutar" error="Sınır dışı değer." promptTitle="İşçilik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Malzeme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Genel Gider" prompt="0 ile 1e12 arasında TL." type="decimal" errorStyle="stop" operator="between">
      <formula1>0</formula1>
      <formula2>1000000000000</formula2>
    </dataValidation>
    <dataValidation sqref="B14" showDropDown="0" showInputMessage="1" showErrorMessage="1" allowBlank="1" errorTitle="Geçersiz tutar" error="Sınır dışı değer." promptTitle="Kâr" prompt="0 ile 1e12 arasında TL." type="decimal" errorStyle="stop" operator="between">
      <formula1>0</formula1>
      <formula2>1000000000000</formula2>
    </dataValidation>
    <dataValidation sqref="B15" showDropDown="0" showInputMessage="1" showErrorMessage="1" allowBlank="1" errorTitle="Geçersiz tutar" error="Sınır dışı değer." promptTitle="Dayanak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Yaklaşık Maliyet" prompt="Tablo: TL tutar." type="decimal" errorStyle="stop" operator="between">
      <formula1>0</formula1>
      <formula2>1000000000000</formula2>
    </dataValidation>
    <dataValidation sqref="B28" showDropDown="0" showInputMessage="1" showErrorMessage="1" allowBlank="1" errorTitle="Geçersiz tutar" error="Sınır dışı değer." promptTitle="Teklif" prompt="Tablo: adet." type="decimal" errorStyle="stop" operator="between">
      <formula1>0</formula1>
      <formula2>100000</formula2>
    </dataValidation>
    <dataValidation sqref="B29" showDropDown="0" showInputMessage="1" showErrorMessage="1" allowBlank="1" errorTitle="Geçersiz tutar" error="Sınır dışı değer." promptTitle="İşçilik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Malzeme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Genel Gider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Kâr" prompt="Tablo: TL tutar." type="decimal" errorStyle="stop" operator="between">
      <formula1>0</formula1>
      <formula2>1000000000000</formula2>
    </dataValidation>
    <dataValidation sqref="B33" showDropDown="0" showInputMessage="1" showErrorMessage="1" allowBlank="1" errorTitle="Geçersiz tutar" error="Sınır dışı değer." promptTitle="Dayanak" prompt="Tablo: TL tutar." type="decimal" errorStyle="stop" operator="between">
      <formula1>0</formula1>
      <formula2>1000000000000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7A4D"/>
    <outlinePr summaryBelow="1" summaryRight="1"/>
    <pageSetUpPr/>
  </sheetPr>
  <dimension ref="A1:K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32" customHeight="1">
      <c r="A1" s="204" t="inlineStr">
        <is>
          <t>KURALLAR — KİK Aşırı Düşük Savunma + Sınır Değer Paketi</t>
        </is>
      </c>
    </row>
    <row r="3" ht="22" customHeight="1">
      <c r="A3" s="224" t="inlineStr">
        <is>
          <t>Mevzuat kural tablosu (yıl yan yana)</t>
        </is>
      </c>
    </row>
    <row r="4">
      <c r="A4" s="4" t="inlineStr">
        <is>
          <t>Oranlar MOTOR'da sabit yazılmaz; INDEX/MATCH ile buradan çekilir.</t>
        </is>
      </c>
    </row>
    <row r="6" ht="30" customHeight="1">
      <c r="A6" s="22" t="inlineStr">
        <is>
          <t>kural_id</t>
        </is>
      </c>
      <c r="B6" s="22" t="inlineStr">
        <is>
          <t>madde</t>
        </is>
      </c>
      <c r="C6" s="22" t="inlineStr">
        <is>
          <t>kural_adi</t>
        </is>
      </c>
      <c r="D6" s="22" t="inlineStr">
        <is>
          <t>kosul_metni</t>
        </is>
      </c>
      <c r="E6" s="22" t="inlineStr">
        <is>
          <t>parametre_adi</t>
        </is>
      </c>
      <c r="F6" s="22" t="inlineStr">
        <is>
          <t>deger_2025</t>
        </is>
      </c>
      <c r="G6" s="22" t="inlineStr">
        <is>
          <t>deger_2026</t>
        </is>
      </c>
      <c r="H6" s="22" t="inlineStr">
        <is>
          <t>deger_2027</t>
        </is>
      </c>
      <c r="I6" s="22" t="inlineStr">
        <is>
          <t>yururluk</t>
        </is>
      </c>
      <c r="J6" s="22" t="inlineStr">
        <is>
          <t>kaynak</t>
        </is>
      </c>
      <c r="K6" s="22" t="inlineStr">
        <is>
          <t>aktif_deger</t>
        </is>
      </c>
    </row>
    <row r="7">
      <c r="A7" s="7" t="inlineStr">
        <is>
          <t>KIK-001</t>
        </is>
      </c>
      <c r="B7" s="7" t="inlineStr">
        <is>
          <t>KİK sınır N</t>
        </is>
      </c>
      <c r="C7" s="7" t="inlineStr">
        <is>
          <t>sinir_katsayi</t>
        </is>
      </c>
      <c r="D7" s="7" t="inlineStr">
        <is>
          <t>yaklasik&gt;0</t>
        </is>
      </c>
      <c r="E7" s="7" t="inlineStr">
        <is>
          <t>sinir_katsayi</t>
        </is>
      </c>
      <c r="F7" s="43" t="n">
        <v>0.9</v>
      </c>
      <c r="G7" s="43" t="n">
        <v>0.9</v>
      </c>
      <c r="H7" s="43" t="n">
        <v>0.88</v>
      </c>
      <c r="I7" s="7" t="inlineStr">
        <is>
          <t>01.01.2025</t>
        </is>
      </c>
      <c r="J7" s="7" t="inlineStr">
        <is>
          <t>KİK sınır değer N</t>
        </is>
      </c>
      <c r="K7" s="37">
        <f>IF($A7="","",IFERROR(CHOOSE(MAX(1,MIN(3,IF(OR(hesapYili="",hesapYili=0),1,hesapYili-kik_yilTaban))),$F7,$G7,$H7),0))</f>
        <v/>
      </c>
    </row>
    <row r="8">
      <c r="A8" s="7" t="inlineStr">
        <is>
          <t>KIK-002</t>
        </is>
      </c>
      <c r="B8" s="7" t="inlineStr">
        <is>
          <t>Savunulabilir</t>
        </is>
      </c>
      <c r="C8" s="7" t="inlineStr">
        <is>
          <t>savunulabilir_sapma</t>
        </is>
      </c>
      <c r="D8" s="7" t="inlineStr">
        <is>
          <t>sapma hesap</t>
        </is>
      </c>
      <c r="E8" s="7" t="inlineStr">
        <is>
          <t>savunulabilir_sapma</t>
        </is>
      </c>
      <c r="F8" s="43" t="n">
        <v>0.05</v>
      </c>
      <c r="G8" s="43" t="n">
        <v>0.05</v>
      </c>
      <c r="H8" s="43" t="n">
        <v>0.06</v>
      </c>
      <c r="I8" s="7" t="inlineStr">
        <is>
          <t>01.01.2025</t>
        </is>
      </c>
      <c r="J8" s="7" t="inlineStr">
        <is>
          <t>Savunulabilir sapma eşiği</t>
        </is>
      </c>
      <c r="K8" s="37">
        <f>IF($A8="","",IFERROR(CHOOSE(MAX(1,MIN(3,IF(OR(hesapYili="",hesapYili=0),1,hesapYili-kik_yilTaban))),$F8,$G8,$H8),0))</f>
        <v/>
      </c>
    </row>
    <row r="9">
      <c r="A9" s="7" t="inlineStr">
        <is>
          <t>KIK-003</t>
        </is>
      </c>
      <c r="B9" s="7" t="inlineStr">
        <is>
          <t>İncele</t>
        </is>
      </c>
      <c r="C9" s="7" t="inlineStr">
        <is>
          <t>incele_sapma</t>
        </is>
      </c>
      <c r="D9" s="7" t="inlineStr">
        <is>
          <t>sapma hesap</t>
        </is>
      </c>
      <c r="E9" s="7" t="inlineStr">
        <is>
          <t>incele_sapma</t>
        </is>
      </c>
      <c r="F9" s="43" t="n">
        <v>0.12</v>
      </c>
      <c r="G9" s="43" t="n">
        <v>0.12</v>
      </c>
      <c r="H9" s="43" t="n">
        <v>0.13</v>
      </c>
      <c r="I9" s="7" t="inlineStr">
        <is>
          <t>01.01.2025</t>
        </is>
      </c>
      <c r="J9" s="7" t="inlineStr">
        <is>
          <t>İnceleme sapma eşiği</t>
        </is>
      </c>
      <c r="K9" s="37">
        <f>IF($A9="","",IFERROR(CHOOSE(MAX(1,MIN(3,IF(OR(hesapYili="",hesapYili=0),1,hesapYili-kik_yilTaban))),$F9,$G9,$H9),0))</f>
        <v/>
      </c>
    </row>
    <row r="10">
      <c r="A10" s="7" t="inlineStr">
        <is>
          <t>KIK-004</t>
        </is>
      </c>
      <c r="B10" s="7" t="inlineStr">
        <is>
          <t>Riskli</t>
        </is>
      </c>
      <c r="C10" s="7" t="inlineStr">
        <is>
          <t>riskli_sapma</t>
        </is>
      </c>
      <c r="D10" s="7" t="inlineStr">
        <is>
          <t>sapma hesap</t>
        </is>
      </c>
      <c r="E10" s="7" t="inlineStr">
        <is>
          <t>riskli_sapma</t>
        </is>
      </c>
      <c r="F10" s="43" t="n">
        <v>0.2</v>
      </c>
      <c r="G10" s="43" t="n">
        <v>0.2</v>
      </c>
      <c r="H10" s="43" t="n">
        <v>0.22</v>
      </c>
      <c r="I10" s="7" t="inlineStr">
        <is>
          <t>01.01.2025</t>
        </is>
      </c>
      <c r="J10" s="7" t="inlineStr">
        <is>
          <t>Riskli sapma eşiği</t>
        </is>
      </c>
      <c r="K10" s="37">
        <f>IF($A10="","",IFERROR(CHOOSE(MAX(1,MIN(3,IF(OR(hesapYili="",hesapYili=0),1,hesapYili-kik_yilTaban))),$F10,$G10,$H10),0))</f>
        <v/>
      </c>
    </row>
    <row r="11">
      <c r="A11" s="7" t="inlineStr">
        <is>
          <t>KIK-005</t>
        </is>
      </c>
      <c r="B11" s="7" t="inlineStr">
        <is>
          <t>Genel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4" t="n">
        <v>2</v>
      </c>
      <c r="G11" s="44" t="n">
        <v>2</v>
      </c>
      <c r="H11" s="44" t="n">
        <v>2</v>
      </c>
      <c r="I11" s="7" t="inlineStr">
        <is>
          <t>01.01.2025</t>
        </is>
      </c>
      <c r="J11" s="7" t="inlineStr">
        <is>
          <t>Uygulama notu</t>
        </is>
      </c>
      <c r="K11" s="37">
        <f>IF($A11="","",IFERROR(CHOOSE(MAX(1,MIN(3,IF(OR(hesapYili="",hesapYili=0),1,hesapYili-kik_yilTaban))),$F11,$G11,$H11),0))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N katsayısı (aktif yıl)</t>
        </is>
      </c>
      <c r="B15" s="25">
        <f>IFERROR(INDEX(CHOOSE(MAX(1,MIN(3,IF(OR(hesapYili="",hesapYili=0),1,hesapYili-kik_yilTaban))),tblKurallar[deger_2025],tblKurallar[deger_2026],tblKurallar[deger_2027]),MATCH("KIK-001",tblKurallar[kural_id],0)),0)</f>
        <v/>
      </c>
    </row>
    <row r="16">
      <c r="A16" s="7" t="inlineStr">
        <is>
          <t>Savunulabilir sapma (aktif yıl)</t>
        </is>
      </c>
      <c r="B16" s="25">
        <f>IFERROR(INDEX(CHOOSE(MAX(1,MIN(3,IF(OR(hesapYili="",hesapYili=0),1,hesapYili-kik_yilTaban))),tblKurallar[deger_2025],tblKurallar[deger_2026],tblKurallar[deger_2027]),MATCH("KIK-002",tblKurallar[kural_id],0)),0)</f>
        <v/>
      </c>
    </row>
    <row r="17">
      <c r="A17" s="7" t="inlineStr">
        <is>
          <t>Matris metni</t>
        </is>
      </c>
      <c r="B17" s="21">
        <f>IFERROR(_xlfn.TEXTJOIN(" | ",TRUE,"KIK-001=",TEXT(B15,"0.00"),"KIK-002=",TEXT(B16,"0.0%"),"yıl=",IF(OR(hesapYili="",hesapYili=0),"-",hesapYili)),"-")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K4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I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MOTOR — KİK Aşırı Düşük Savunma + Sınır Değer Paketi</t>
        </is>
      </c>
    </row>
    <row r="3" ht="22" customHeight="1">
      <c r="A3" s="224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5" t="n">
        <v>1</v>
      </c>
      <c r="B7" s="24" t="inlineStr">
        <is>
          <t>Hesap yılı oku</t>
        </is>
      </c>
      <c r="C7" s="46">
        <f>IFERROR(hesapYili,0)</f>
        <v/>
      </c>
      <c r="D7" s="47" t="inlineStr">
        <is>
          <t>yıl</t>
        </is>
      </c>
      <c r="E7" s="6" t="inlineStr">
        <is>
          <t>Aktif mevzuat yılı</t>
        </is>
      </c>
      <c r="F7" s="23" t="inlineStr">
        <is>
          <t>KIK-005</t>
        </is>
      </c>
      <c r="G7" s="35">
        <f>IFERROR(hesapYili,0)</f>
        <v/>
      </c>
    </row>
    <row r="8">
      <c r="A8" s="45" t="n">
        <v>2</v>
      </c>
      <c r="B8" s="24" t="inlineStr">
        <is>
          <t>N katsayısı</t>
        </is>
      </c>
      <c r="C8" s="48">
        <f>IFERROR(INDEX(CHOOSE(MAX(1,MIN(3,IF(OR(hesapYili="",hesapYili=0),1,hesapYili-kik_yilTaban))),tblKurallar[deger_2025],tblKurallar[deger_2026],tblKurallar[deger_2027]),MATCH("KIK-001",tblKurallar[kural_id],0)),0)</f>
        <v/>
      </c>
      <c r="D8" s="47" t="inlineStr">
        <is>
          <t>oran</t>
        </is>
      </c>
      <c r="E8" s="6" t="inlineStr">
        <is>
          <t>Sınır değer N</t>
        </is>
      </c>
      <c r="F8" s="23" t="inlineStr">
        <is>
          <t>KIK-001</t>
        </is>
      </c>
      <c r="G8" s="25">
        <f>IFERROR(INDEX(CHOOSE(MAX(1,MIN(3,IF(OR(hesapYili="",hesapYili=0),1,hesapYili-kik_yilTaban))),tblKurallar[deger_2025],tblKurallar[deger_2026],tblKurallar[deger_2027]),MATCH("KIK-001",tblKurallar[kural_id],0)),0)</f>
        <v/>
      </c>
    </row>
    <row r="9">
      <c r="A9" s="45" t="n">
        <v>3</v>
      </c>
      <c r="B9" s="24" t="inlineStr">
        <is>
          <t>Savunulabilir sapma</t>
        </is>
      </c>
      <c r="C9" s="48">
        <f>IFERROR(INDEX(CHOOSE(MAX(1,MIN(3,IF(OR(hesapYili="",hesapYili=0),1,hesapYili-kik_yilTaban))),tblKurallar[deger_2025],tblKurallar[deger_2026],tblKurallar[deger_2027]),MATCH("KIK-002",tblKurallar[kural_id],0)),0)</f>
        <v/>
      </c>
      <c r="D9" s="47" t="inlineStr">
        <is>
          <t>oran</t>
        </is>
      </c>
      <c r="E9" s="6" t="inlineStr">
        <is>
          <t>Savunulabilir eşik</t>
        </is>
      </c>
      <c r="F9" s="23" t="inlineStr">
        <is>
          <t>KIK-002</t>
        </is>
      </c>
      <c r="G9" s="25">
        <f>IFERROR(INDEX(CHOOSE(MAX(1,MIN(3,IF(OR(hesapYili="",hesapYili=0),1,hesapYili-kik_yilTaban))),tblKurallar[deger_2025],tblKurallar[deger_2026],tblKurallar[deger_2027]),MATCH("KIK-002",tblKurallar[kural_id],0)),0)</f>
        <v/>
      </c>
    </row>
    <row r="10">
      <c r="A10" s="45" t="n">
        <v>4</v>
      </c>
      <c r="B10" s="24" t="inlineStr">
        <is>
          <t>İncele sapma</t>
        </is>
      </c>
      <c r="C10" s="48">
        <f>IFERROR(INDEX(CHOOSE(MAX(1,MIN(3,IF(OR(hesapYili="",hesapYili=0),1,hesapYili-kik_yilTaban))),tblKurallar[deger_2025],tblKurallar[deger_2026],tblKurallar[deger_2027]),MATCH("KIK-003",tblKurallar[kural_id],0)),0)</f>
        <v/>
      </c>
      <c r="D10" s="47" t="inlineStr">
        <is>
          <t>oran</t>
        </is>
      </c>
      <c r="E10" s="6" t="inlineStr">
        <is>
          <t>İnceleme eşiği</t>
        </is>
      </c>
      <c r="F10" s="23" t="inlineStr">
        <is>
          <t>KIK-003</t>
        </is>
      </c>
      <c r="G10" s="25">
        <f>IFERROR(INDEX(CHOOSE(MAX(1,MIN(3,IF(OR(hesapYili="",hesapYili=0),1,hesapYili-kik_yilTaban))),tblKurallar[deger_2025],tblKurallar[deger_2026],tblKurallar[deger_2027]),MATCH("KIK-003",tblKurallar[kural_id],0)),0)</f>
        <v/>
      </c>
    </row>
    <row r="11">
      <c r="A11" s="45" t="n">
        <v>5</v>
      </c>
      <c r="B11" s="24" t="inlineStr">
        <is>
          <t>Riskli sapma</t>
        </is>
      </c>
      <c r="C11" s="48">
        <f>IFERROR(INDEX(CHOOSE(MAX(1,MIN(3,IF(OR(hesapYili="",hesapYili=0),1,hesapYili-kik_yilTaban))),tblKurallar[deger_2025],tblKurallar[deger_2026],tblKurallar[deger_2027]),MATCH("KIK-004",tblKurallar[kural_id],0)),0)</f>
        <v/>
      </c>
      <c r="D11" s="47" t="inlineStr">
        <is>
          <t>oran</t>
        </is>
      </c>
      <c r="E11" s="6" t="inlineStr">
        <is>
          <t>Riskli eşik</t>
        </is>
      </c>
      <c r="F11" s="23" t="inlineStr">
        <is>
          <t>KIK-004</t>
        </is>
      </c>
      <c r="G11" s="25">
        <f>IFERROR(INDEX(CHOOSE(MAX(1,MIN(3,IF(OR(hesapYili="",hesapYili=0),1,hesapYili-kik_yilTaban))),tblKurallar[deger_2025],tblKurallar[deger_2026],tblKurallar[deger_2027]),MATCH("KIK-004",tblKurallar[kural_id],0)),0)</f>
        <v/>
      </c>
    </row>
    <row r="12">
      <c r="A12" s="45" t="n">
        <v>6</v>
      </c>
      <c r="B12" s="24" t="inlineStr">
        <is>
          <t>Yuvarlama ondalık</t>
        </is>
      </c>
      <c r="C12" s="46">
        <f>IFERROR(INDEX(CHOOSE(MAX(1,MIN(3,IF(OR(hesapYili="",hesapYili=0),1,hesapYili-kik_yilTaban))),tblKurallar[deger_2025],tblKurallar[deger_2026],tblKurallar[deger_2027]),MATCH("KIK-005",tblKurallar[kural_id],0)),0)</f>
        <v/>
      </c>
      <c r="D12" s="47" t="inlineStr">
        <is>
          <t>adet</t>
        </is>
      </c>
      <c r="E12" s="6" t="inlineStr">
        <is>
          <t>Yuvarlama basamağı</t>
        </is>
      </c>
      <c r="F12" s="23" t="inlineStr">
        <is>
          <t>KIK-005</t>
        </is>
      </c>
      <c r="G12" s="35">
        <f>IFERROR(INDEX(CHOOSE(MAX(1,MIN(3,IF(OR(hesapYili="",hesapYili=0),1,hesapYili-kik_yilTaban))),tblKurallar[deger_2025],tblKurallar[deger_2026],tblKurallar[deger_2027]),MATCH("KIK-005",tblKurallar[kural_id],0)),0)</f>
        <v/>
      </c>
    </row>
    <row r="13">
      <c r="A13" s="45" t="n">
        <v>7</v>
      </c>
      <c r="B13" s="24" t="inlineStr">
        <is>
          <t>Yaklaşık maliyet</t>
        </is>
      </c>
      <c r="C13" s="49">
        <f>IFERROR(GIRDI!B9,0)</f>
        <v/>
      </c>
      <c r="D13" s="47" t="inlineStr">
        <is>
          <t>TL</t>
        </is>
      </c>
      <c r="E13" s="6" t="inlineStr">
        <is>
          <t>Yaklaşık maliyet</t>
        </is>
      </c>
      <c r="F13" s="23" t="inlineStr">
        <is>
          <t>KIK-001</t>
        </is>
      </c>
      <c r="G13" s="26">
        <f>IFERROR(GIRDI!B9,0)</f>
        <v/>
      </c>
    </row>
    <row r="14">
      <c r="A14" s="45" t="n">
        <v>8</v>
      </c>
      <c r="B14" s="24" t="inlineStr">
        <is>
          <t>Teklif tutarı</t>
        </is>
      </c>
      <c r="C14" s="49">
        <f>IFERROR(GIRDI!B10,0)</f>
        <v/>
      </c>
      <c r="D14" s="47" t="inlineStr">
        <is>
          <t>TL</t>
        </is>
      </c>
      <c r="E14" s="6" t="inlineStr">
        <is>
          <t>Sunulan teklif</t>
        </is>
      </c>
      <c r="F14" s="23" t="inlineStr">
        <is>
          <t>KIK-001</t>
        </is>
      </c>
      <c r="G14" s="26">
        <f>IFERROR(GIRDI!B10,0)</f>
        <v/>
      </c>
    </row>
    <row r="15">
      <c r="A15" s="45" t="n">
        <v>9</v>
      </c>
      <c r="B15" s="24" t="inlineStr">
        <is>
          <t>İşçilik</t>
        </is>
      </c>
      <c r="C15" s="49">
        <f>IFERROR(GIRDI!B11,0)</f>
        <v/>
      </c>
      <c r="D15" s="47" t="inlineStr">
        <is>
          <t>TL</t>
        </is>
      </c>
      <c r="E15" s="6" t="inlineStr">
        <is>
          <t>İşçilik maliyeti</t>
        </is>
      </c>
      <c r="F15" s="23" t="inlineStr">
        <is>
          <t>KIK-005</t>
        </is>
      </c>
      <c r="G15" s="26">
        <f>IFERROR(GIRDI!B11,0)</f>
        <v/>
      </c>
    </row>
    <row r="16">
      <c r="A16" s="45" t="n">
        <v>10</v>
      </c>
      <c r="B16" s="24" t="inlineStr">
        <is>
          <t>Malzeme</t>
        </is>
      </c>
      <c r="C16" s="49">
        <f>IFERROR(GIRDI!B12,0)</f>
        <v/>
      </c>
      <c r="D16" s="47" t="inlineStr">
        <is>
          <t>TL</t>
        </is>
      </c>
      <c r="E16" s="6" t="inlineStr">
        <is>
          <t>Malzeme maliyeti</t>
        </is>
      </c>
      <c r="F16" s="23" t="inlineStr">
        <is>
          <t>KIK-005</t>
        </is>
      </c>
      <c r="G16" s="26">
        <f>IFERROR(GIRDI!B12,0)</f>
        <v/>
      </c>
    </row>
    <row r="17">
      <c r="A17" s="45" t="n">
        <v>11</v>
      </c>
      <c r="B17" s="24" t="inlineStr">
        <is>
          <t>Genel gider</t>
        </is>
      </c>
      <c r="C17" s="49">
        <f>IFERROR(GIRDI!B13,0)</f>
        <v/>
      </c>
      <c r="D17" s="47" t="inlineStr">
        <is>
          <t>TL</t>
        </is>
      </c>
      <c r="E17" s="6" t="inlineStr">
        <is>
          <t>Genel gider</t>
        </is>
      </c>
      <c r="F17" s="23" t="inlineStr">
        <is>
          <t>KIK-005</t>
        </is>
      </c>
      <c r="G17" s="26">
        <f>IFERROR(GIRDI!B13,0)</f>
        <v/>
      </c>
    </row>
    <row r="18">
      <c r="A18" s="45" t="n">
        <v>12</v>
      </c>
      <c r="B18" s="24" t="inlineStr">
        <is>
          <t>Kâr</t>
        </is>
      </c>
      <c r="C18" s="49">
        <f>IFERROR(GIRDI!B14,0)</f>
        <v/>
      </c>
      <c r="D18" s="47" t="inlineStr">
        <is>
          <t>TL</t>
        </is>
      </c>
      <c r="E18" s="6" t="inlineStr">
        <is>
          <t>Kâr tutarı</t>
        </is>
      </c>
      <c r="F18" s="23" t="inlineStr">
        <is>
          <t>KIK-005</t>
        </is>
      </c>
      <c r="G18" s="26">
        <f>IFERROR(GIRDI!B14,0)</f>
        <v/>
      </c>
    </row>
    <row r="19">
      <c r="A19" s="45" t="n">
        <v>13</v>
      </c>
      <c r="B19" s="24" t="inlineStr">
        <is>
          <t>Dayanak adedi</t>
        </is>
      </c>
      <c r="C19" s="46">
        <f>IFERROR(GIRDI!B15,0)</f>
        <v/>
      </c>
      <c r="D19" s="47" t="inlineStr">
        <is>
          <t>adet</t>
        </is>
      </c>
      <c r="E19" s="6" t="inlineStr">
        <is>
          <t>Savunma dayanak sayısı</t>
        </is>
      </c>
      <c r="F19" s="23" t="inlineStr">
        <is>
          <t>KIK-005</t>
        </is>
      </c>
      <c r="G19" s="35">
        <f>IFERROR(GIRDI!B15,0)</f>
        <v/>
      </c>
    </row>
    <row r="20">
      <c r="A20" s="45" t="n">
        <v>14</v>
      </c>
      <c r="B20" s="24" t="inlineStr">
        <is>
          <t>N efektif</t>
        </is>
      </c>
      <c r="C20" s="48">
        <f>IFERROR(IF(GIRDI!B16="B",MAX(0,G8-kik_oranArtisPuan),G8),0)</f>
        <v/>
      </c>
      <c r="D20" s="47" t="inlineStr">
        <is>
          <t>oran</t>
        </is>
      </c>
      <c r="E20" s="6" t="inlineStr">
        <is>
          <t>Yorum A/B N</t>
        </is>
      </c>
      <c r="F20" s="23" t="inlineStr">
        <is>
          <t>KIK-001</t>
        </is>
      </c>
      <c r="G20" s="25">
        <f>IFERROR(IF(GIRDI!B16="B",MAX(0,G8-kik_oranArtisPuan),G8),0)</f>
        <v/>
      </c>
    </row>
    <row r="21">
      <c r="A21" s="45" t="n">
        <v>15</v>
      </c>
      <c r="B21" s="24" t="inlineStr">
        <is>
          <t>Sınır değer</t>
        </is>
      </c>
      <c r="C21" s="49">
        <f>IFERROR(ROUND(G13*G20,MAX(0,MIN(kik_yuvarMax,IFERROR(N(G12),0)))),0)</f>
        <v/>
      </c>
      <c r="D21" s="47" t="inlineStr">
        <is>
          <t>TL</t>
        </is>
      </c>
      <c r="E21" s="6" t="inlineStr">
        <is>
          <t>Yaklaşık × N</t>
        </is>
      </c>
      <c r="F21" s="23" t="inlineStr">
        <is>
          <t>KIK-001</t>
        </is>
      </c>
      <c r="G21" s="26">
        <f>IFERROR(ROUND(G13*G20,MAX(0,MIN(kik_yuvarMax,IFERROR(N(G12),0)))),0)</f>
        <v/>
      </c>
    </row>
    <row r="22">
      <c r="A22" s="45" t="n">
        <v>16</v>
      </c>
      <c r="B22" s="24" t="inlineStr">
        <is>
          <t>Maliyet toplam</t>
        </is>
      </c>
      <c r="C22" s="49">
        <f>IFERROR(G15+G16+G17+G18,0)</f>
        <v/>
      </c>
      <c r="D22" s="47" t="inlineStr">
        <is>
          <t>TL</t>
        </is>
      </c>
      <c r="E22" s="6" t="inlineStr">
        <is>
          <t>Kırılım toplamı</t>
        </is>
      </c>
      <c r="F22" s="23" t="inlineStr">
        <is>
          <t>KIK-005</t>
        </is>
      </c>
      <c r="G22" s="26">
        <f>IFERROR(G15+G16+G17+G18,0)</f>
        <v/>
      </c>
    </row>
    <row r="23">
      <c r="A23" s="45" t="n">
        <v>17</v>
      </c>
      <c r="B23" s="24" t="inlineStr">
        <is>
          <t>Sapma tutarı (ham)</t>
        </is>
      </c>
      <c r="C23" s="49">
        <f>IFERROR(G21-G14,0)</f>
        <v/>
      </c>
      <c r="D23" s="47" t="inlineStr">
        <is>
          <t>TL</t>
        </is>
      </c>
      <c r="E23" s="6" t="inlineStr">
        <is>
          <t>Sınır − teklif</t>
        </is>
      </c>
      <c r="F23" s="23" t="inlineStr">
        <is>
          <t>KIK-001</t>
        </is>
      </c>
      <c r="G23" s="26">
        <f>IFERROR(G21-G14,0)</f>
        <v/>
      </c>
    </row>
    <row r="24">
      <c r="A24" s="45" t="n">
        <v>18</v>
      </c>
      <c r="B24" s="24" t="inlineStr">
        <is>
          <t>Aşırı düşük açık</t>
        </is>
      </c>
      <c r="C24" s="49">
        <f>IFERROR(MAX(0,G23),0)</f>
        <v/>
      </c>
      <c r="D24" s="47" t="inlineStr">
        <is>
          <t>TL</t>
        </is>
      </c>
      <c r="E24" s="6" t="inlineStr">
        <is>
          <t>Pozitif açık</t>
        </is>
      </c>
      <c r="F24" s="23" t="inlineStr">
        <is>
          <t>KIK-001</t>
        </is>
      </c>
      <c r="G24" s="26">
        <f>IFERROR(MAX(0,G23),0)</f>
        <v/>
      </c>
    </row>
    <row r="25">
      <c r="A25" s="45" t="n">
        <v>19</v>
      </c>
      <c r="B25" s="24" t="inlineStr">
        <is>
          <t>Sapma oranı</t>
        </is>
      </c>
      <c r="C25" s="48">
        <f>IFERROR(IF(G21=0,0,G23/G21),0)</f>
        <v/>
      </c>
      <c r="D25" s="47" t="inlineStr">
        <is>
          <t>oran</t>
        </is>
      </c>
      <c r="E25" s="6" t="inlineStr">
        <is>
          <t>(Sınır−teklif)/sınır</t>
        </is>
      </c>
      <c r="F25" s="23" t="inlineStr">
        <is>
          <t>KIK-002</t>
        </is>
      </c>
      <c r="G25" s="25">
        <f>IFERROR(IF(G21=0,0,G23/G21),0)</f>
        <v/>
      </c>
    </row>
    <row r="26">
      <c r="A26" s="45" t="n">
        <v>20</v>
      </c>
      <c r="B26" s="24" t="inlineStr">
        <is>
          <t>Maliyet / teklif</t>
        </is>
      </c>
      <c r="C26" s="48">
        <f>IFERROR(IF(G14=0,0,G22/G14),0)</f>
        <v/>
      </c>
      <c r="D26" s="47" t="inlineStr">
        <is>
          <t>oran</t>
        </is>
      </c>
      <c r="E26" s="6" t="inlineStr">
        <is>
          <t>Maliyet yoğunluğu</t>
        </is>
      </c>
      <c r="F26" s="23" t="inlineStr">
        <is>
          <t>KIK-005</t>
        </is>
      </c>
      <c r="G26" s="25">
        <f>IFERROR(IF(G14=0,0,G22/G14),0)</f>
        <v/>
      </c>
    </row>
    <row r="27">
      <c r="A27" s="45" t="n">
        <v>21</v>
      </c>
      <c r="B27" s="24" t="inlineStr">
        <is>
          <t>Dayanak skoru</t>
        </is>
      </c>
      <c r="C27" s="46">
        <f>IFERROR(MIN(100,G19*kik_dayanakCarpan),0)</f>
        <v/>
      </c>
      <c r="D27" s="47" t="inlineStr">
        <is>
          <t>puan</t>
        </is>
      </c>
      <c r="E27" s="6" t="inlineStr">
        <is>
          <t>Dayanak kalitesi</t>
        </is>
      </c>
      <c r="F27" s="23" t="inlineStr">
        <is>
          <t>KIK-005</t>
        </is>
      </c>
      <c r="G27" s="35">
        <f>IFERROR(MIN(100,G19*kik_dayanakCarpan),0)</f>
        <v/>
      </c>
    </row>
    <row r="28">
      <c r="A28" s="45" t="n">
        <v>22</v>
      </c>
      <c r="B28" s="24" t="inlineStr">
        <is>
          <t>Potansiyel / açık</t>
        </is>
      </c>
      <c r="C28" s="49">
        <f>IFERROR(G24,0)</f>
        <v/>
      </c>
      <c r="D28" s="47" t="inlineStr">
        <is>
          <t>TL</t>
        </is>
      </c>
      <c r="E28" s="6" t="inlineStr">
        <is>
          <t>Aşırı düşük açık (G28)</t>
        </is>
      </c>
      <c r="F28" s="23" t="inlineStr">
        <is>
          <t>KIK-001</t>
        </is>
      </c>
      <c r="G28" s="26">
        <f>IFERROR(G24,0)</f>
        <v/>
      </c>
    </row>
    <row r="29">
      <c r="A29" s="45" t="n">
        <v>23</v>
      </c>
      <c r="B29" s="24" t="inlineStr">
        <is>
          <t>Açık (ham kopya)</t>
        </is>
      </c>
      <c r="C29" s="49">
        <f>IFERROR(G28,0)</f>
        <v/>
      </c>
      <c r="D29" s="47" t="inlineStr">
        <is>
          <t>TL</t>
        </is>
      </c>
      <c r="E29" s="6" t="inlineStr">
        <is>
          <t>Ayna</t>
        </is>
      </c>
      <c r="F29" s="23" t="inlineStr">
        <is>
          <t>KIK-001</t>
        </is>
      </c>
      <c r="G29" s="26">
        <f>IFERROR(G28,0)</f>
        <v/>
      </c>
    </row>
    <row r="30">
      <c r="A30" s="45" t="n">
        <v>24</v>
      </c>
      <c r="B30" s="24" t="inlineStr">
        <is>
          <t>Kaçırılan / açık</t>
        </is>
      </c>
      <c r="C30" s="49">
        <f>IFERROR(G24,0)</f>
        <v/>
      </c>
      <c r="D30" s="47" t="inlineStr">
        <is>
          <t>TL</t>
        </is>
      </c>
      <c r="E30" s="6" t="inlineStr">
        <is>
          <t>Karar için açık</t>
        </is>
      </c>
      <c r="F30" s="23" t="inlineStr">
        <is>
          <t>KIK-001</t>
        </is>
      </c>
      <c r="G30" s="26">
        <f>IFERROR(G24,0)</f>
        <v/>
      </c>
    </row>
    <row r="31">
      <c r="A31" s="45" t="n">
        <v>25</v>
      </c>
      <c r="B31" s="24" t="inlineStr">
        <is>
          <t>Sınır iyimser</t>
        </is>
      </c>
      <c r="C31" s="49">
        <f>IFERROR(ROUND(G13*G8*kik_senaryoIyi,MAX(0,MIN(kik_yuvarMax,IFERROR(N(G12),0)))),0)</f>
        <v/>
      </c>
      <c r="D31" s="47" t="inlineStr">
        <is>
          <t>TL</t>
        </is>
      </c>
      <c r="E31" s="6" t="inlineStr">
        <is>
          <t>İyimser sınır</t>
        </is>
      </c>
      <c r="F31" s="23" t="inlineStr">
        <is>
          <t>KIK-001</t>
        </is>
      </c>
      <c r="G31" s="26">
        <f>IFERROR(ROUND(G13*G8*kik_senaryoIyi,MAX(0,MIN(kik_yuvarMax,IFERROR(N(G12),0)))),0)</f>
        <v/>
      </c>
    </row>
    <row r="32">
      <c r="A32" s="45" t="n">
        <v>26</v>
      </c>
      <c r="B32" s="24" t="inlineStr">
        <is>
          <t>Sınır kötümser</t>
        </is>
      </c>
      <c r="C32" s="49">
        <f>IFERROR(ROUND(G13*G8*kik_senaryoKotu,MAX(0,MIN(kik_yuvarMax,IFERROR(N(G12),0)))),0)</f>
        <v/>
      </c>
      <c r="D32" s="47" t="inlineStr">
        <is>
          <t>TL</t>
        </is>
      </c>
      <c r="E32" s="6" t="inlineStr">
        <is>
          <t>Kötümser sınır</t>
        </is>
      </c>
      <c r="F32" s="23" t="inlineStr">
        <is>
          <t>KIK-001</t>
        </is>
      </c>
      <c r="G32" s="26">
        <f>IFERROR(ROUND(G13*G8*kik_senaryoKotu,MAX(0,MIN(kik_yuvarMax,IFERROR(N(G12),0)))),0)</f>
        <v/>
      </c>
    </row>
    <row r="33">
      <c r="A33" s="45" t="n">
        <v>27</v>
      </c>
      <c r="B33" s="24" t="inlineStr">
        <is>
          <t>Karar kodu</t>
        </is>
      </c>
      <c r="C33" s="21">
        <f>IFERROR(IF(COUNTA(tblGirdi[Alan Anahtarı])=0,"VERI_YOK",IF(G14&gt;=G21,"TAM",IF(G25&lt;=G9,"SAVUN",IF(G25&lt;=G10,"INCELE","RISK")))),"")</f>
        <v/>
      </c>
      <c r="D33" s="47" t="inlineStr">
        <is>
          <t>kod</t>
        </is>
      </c>
      <c r="E33" s="6" t="inlineStr">
        <is>
          <t>Karar kodu</t>
        </is>
      </c>
      <c r="F33" s="23" t="inlineStr">
        <is>
          <t>KIK-005</t>
        </is>
      </c>
      <c r="G33" s="27">
        <f>IFERROR(IF(COUNTA(tblGirdi[Alan Anahtarı])=0,"VERI_YOK",IF(G14&gt;=G21,"TAM",IF(G25&lt;=G9,"SAVUN",IF(G25&lt;=G10,"INCELE","RISK")))),"")</f>
        <v/>
      </c>
    </row>
    <row r="34">
      <c r="A34" s="45" t="n">
        <v>28</v>
      </c>
      <c r="B34" s="24" t="inlineStr">
        <is>
          <t>Karar metni</t>
        </is>
      </c>
      <c r="C34" s="21">
        <f>IFERROR(IF(G33="VERI_YOK","VERİ YOK",IF(G33="TAM","SAVUNULABİLİR",IF(G33="SAVUN","SAVUNULABİLİR",IF(G33="INCELE","İNCELE","RİSKLİ")))),"")</f>
        <v/>
      </c>
      <c r="D34" s="47" t="inlineStr">
        <is>
          <t>metin</t>
        </is>
      </c>
      <c r="E34" s="6" t="inlineStr">
        <is>
          <t>Kullanıcıya karar</t>
        </is>
      </c>
      <c r="F34" s="23" t="inlineStr">
        <is>
          <t>KIK-005</t>
        </is>
      </c>
      <c r="G34" s="27">
        <f>IFERROR(IF(G33="VERI_YOK","VERİ YOK",IF(G33="TAM","SAVUNULABİLİR",IF(G33="SAVUN","SAVUNULABİLİR",IF(G33="INCELE","İNCELE","RİSKLİ")))),"")</f>
        <v/>
      </c>
    </row>
    <row r="35">
      <c r="A35" s="45" t="n">
        <v>29</v>
      </c>
      <c r="B35" s="24" t="inlineStr">
        <is>
          <t>Gerekçe</t>
        </is>
      </c>
      <c r="C35" s="21">
        <f>IFERROR(IF(G33="VERI_YOK","Giriş tablosu boş — hesap yapılamaz.",IF(G33="TAM","Teklif sınır değerin üzerinde; aşırı düşük yok.",IF(G33="SAVUN","Sapma savunulabilir eşik içinde; dayanaklarla açıklanabilir.",IF(G33="INCELE","Sapma inceleme bandında; maliyet kırılımını güçlendirin.","Sapma riskli bandda; teklif veya açıklama revizyonu gerekir.")))),"")</f>
        <v/>
      </c>
      <c r="D35" s="47" t="inlineStr">
        <is>
          <t>metin</t>
        </is>
      </c>
      <c r="E35" s="6" t="inlineStr">
        <is>
          <t>Gerekçe cümlesi</t>
        </is>
      </c>
      <c r="F35" s="23" t="inlineStr">
        <is>
          <t>KIK-005</t>
        </is>
      </c>
      <c r="G35" s="27">
        <f>IFERROR(IF(G33="VERI_YOK","Giriş tablosu boş — hesap yapılamaz.",IF(G33="TAM","Teklif sınır değerin üzerinde; aşırı düşük yok.",IF(G33="SAVUN","Sapma savunulabilir eşik içinde; dayanaklarla açıklanabilir.",IF(G33="INCELE","Sapma inceleme bandında; maliyet kırılımını güçlendirin.","Sapma riskli bandda; teklif veya açıklama revizyonu gerekir.")))),"")</f>
        <v/>
      </c>
    </row>
    <row r="36">
      <c r="A36" s="45" t="n">
        <v>30</v>
      </c>
      <c r="B36" s="24" t="inlineStr">
        <is>
          <t>Teklif / sınır</t>
        </is>
      </c>
      <c r="C36" s="48">
        <f>IFERROR(IF(G21=0,0,G14/G21),0)</f>
        <v/>
      </c>
      <c r="D36" s="47" t="inlineStr">
        <is>
          <t>oran</t>
        </is>
      </c>
      <c r="E36" s="6" t="inlineStr">
        <is>
          <t>Teklif oranı</t>
        </is>
      </c>
      <c r="F36" s="23" t="inlineStr">
        <is>
          <t>KIK-001</t>
        </is>
      </c>
      <c r="G36" s="25">
        <f>IFERROR(IF(G21=0,0,G14/G21),0)</f>
        <v/>
      </c>
    </row>
    <row r="37">
      <c r="A37" s="45" t="n">
        <v>31</v>
      </c>
      <c r="B37" s="24" t="inlineStr">
        <is>
          <t>Açık / sınır</t>
        </is>
      </c>
      <c r="C37" s="48">
        <f>IFERROR(IF(G21=0,0,G30/G21),0)</f>
        <v/>
      </c>
      <c r="D37" s="47" t="inlineStr">
        <is>
          <t>oran</t>
        </is>
      </c>
      <c r="E37" s="6" t="inlineStr">
        <is>
          <t>Açık oranı</t>
        </is>
      </c>
      <c r="F37" s="23" t="inlineStr">
        <is>
          <t>KIK-001</t>
        </is>
      </c>
      <c r="G37" s="25">
        <f>IFERROR(IF(G21=0,0,G30/G21),0)</f>
        <v/>
      </c>
    </row>
    <row r="38">
      <c r="A38" s="45" t="n">
        <v>32</v>
      </c>
      <c r="B38" s="24" t="inlineStr">
        <is>
          <t>Güven skoru</t>
        </is>
      </c>
      <c r="C38" s="46">
        <f>IFERROR(ROUND(IF(OR(COUNTA(GIRDI!B6:B16)=0,kik_girisBeklenen=0),0,COUNTA(GIRDI!B6:B16)/kik_girisBeklenen*100),0),0)</f>
        <v/>
      </c>
      <c r="D38" s="47" t="inlineStr">
        <is>
          <t>puan</t>
        </is>
      </c>
      <c r="E38" s="6" t="inlineStr">
        <is>
          <t>Giriş bütünlüğü</t>
        </is>
      </c>
      <c r="F38" s="23" t="inlineStr">
        <is>
          <t>KIK-005</t>
        </is>
      </c>
      <c r="G38" s="35">
        <f>IFERROR(ROUND(IF(OR(COUNTA(GIRDI!B6:B16)=0,kik_girisBeklenen=0),0,COUNTA(GIRDI!B6:B16)/kik_girisBeklenen*100),0),0)</f>
        <v/>
      </c>
    </row>
    <row r="39">
      <c r="A39" s="45" t="n">
        <v>33</v>
      </c>
      <c r="B39" s="24" t="inlineStr">
        <is>
          <t>Risk skoru</t>
        </is>
      </c>
      <c r="C39" s="46">
        <f>IFERROR(IF(G33="VERI_YOK",0,IF(OR(G33="TAM",G33="SAVUN"),kik_riskDusuk,IF(G33="INCELE",kik_riskOrta,kik_riskYuksek))),0)</f>
        <v/>
      </c>
      <c r="D39" s="47" t="inlineStr">
        <is>
          <t>puan</t>
        </is>
      </c>
      <c r="E39" s="6" t="inlineStr">
        <is>
          <t>Sapma riski</t>
        </is>
      </c>
      <c r="F39" s="23" t="inlineStr">
        <is>
          <t>KIK-005</t>
        </is>
      </c>
      <c r="G39" s="35">
        <f>IFERROR(IF(G33="VERI_YOK",0,IF(OR(G33="TAM",G33="SAVUN"),kik_riskDusuk,IF(G33="INCELE",kik_riskOrta,kik_riskYuksek))),0)</f>
        <v/>
      </c>
    </row>
    <row r="40">
      <c r="A40" s="45" t="n">
        <v>34</v>
      </c>
      <c r="B40" s="24" t="inlineStr">
        <is>
          <t>Senaryo iyimser teklif</t>
        </is>
      </c>
      <c r="C40" s="49">
        <f>IFERROR(G14*kik_senaryoIyi,0)</f>
        <v/>
      </c>
      <c r="D40" s="47" t="inlineStr">
        <is>
          <t>TL</t>
        </is>
      </c>
      <c r="E40" s="6" t="inlineStr">
        <is>
          <t>İyimser teklif</t>
        </is>
      </c>
      <c r="F40" s="23" t="inlineStr">
        <is>
          <t>KIK-001</t>
        </is>
      </c>
      <c r="G40" s="26">
        <f>IFERROR(G14*kik_senaryoIyi,0)</f>
        <v/>
      </c>
    </row>
    <row r="41">
      <c r="A41" s="45" t="n">
        <v>35</v>
      </c>
      <c r="B41" s="24" t="inlineStr">
        <is>
          <t>Senaryo kötümser teklif</t>
        </is>
      </c>
      <c r="C41" s="49">
        <f>IFERROR(G14*kik_senaryoKotu,0)</f>
        <v/>
      </c>
      <c r="D41" s="47" t="inlineStr">
        <is>
          <t>TL</t>
        </is>
      </c>
      <c r="E41" s="6" t="inlineStr">
        <is>
          <t>Kötümser teklif</t>
        </is>
      </c>
      <c r="F41" s="23" t="inlineStr">
        <is>
          <t>KIK-001</t>
        </is>
      </c>
      <c r="G41" s="26">
        <f>IFERROR(G14*kik_senaryoKotu,0)</f>
        <v/>
      </c>
    </row>
    <row r="42">
      <c r="A42" s="45" t="n">
        <v>36</v>
      </c>
      <c r="B42" s="24" t="inlineStr">
        <is>
          <t>İyimser açık</t>
        </is>
      </c>
      <c r="C42" s="49">
        <f>IFERROR(ROUND(MAX(0,G31-G40),MAX(0,MIN(kik_yuvarMax,IFERROR(N(G12),0)))),0)</f>
        <v/>
      </c>
      <c r="D42" s="47" t="inlineStr">
        <is>
          <t>TL</t>
        </is>
      </c>
      <c r="E42" s="6" t="inlineStr">
        <is>
          <t>İyimser açık</t>
        </is>
      </c>
      <c r="F42" s="23" t="inlineStr">
        <is>
          <t>KIK-001</t>
        </is>
      </c>
      <c r="G42" s="26">
        <f>IFERROR(ROUND(MAX(0,G31-G40),MAX(0,MIN(kik_yuvarMax,IFERROR(N(G12),0)))),0)</f>
        <v/>
      </c>
    </row>
    <row r="43">
      <c r="A43" s="45" t="n">
        <v>37</v>
      </c>
      <c r="B43" s="24" t="inlineStr">
        <is>
          <t>Kötümser açık</t>
        </is>
      </c>
      <c r="C43" s="49">
        <f>IFERROR(ROUND(MAX(0,G32-G41),MAX(0,MIN(kik_yuvarMax,IFERROR(N(G12),0)))),0)</f>
        <v/>
      </c>
      <c r="D43" s="47" t="inlineStr">
        <is>
          <t>TL</t>
        </is>
      </c>
      <c r="E43" s="6" t="inlineStr">
        <is>
          <t>Kötümser açık</t>
        </is>
      </c>
      <c r="F43" s="23" t="inlineStr">
        <is>
          <t>KIK-001</t>
        </is>
      </c>
      <c r="G43" s="26">
        <f>IFERROR(ROUND(MAX(0,G32-G41),MAX(0,MIN(kik_yuvarMax,IFERROR(N(G12),0)))),0)</f>
        <v/>
      </c>
    </row>
    <row r="44">
      <c r="A44" s="45" t="n">
        <v>38</v>
      </c>
      <c r="B44" s="24" t="inlineStr">
        <is>
          <t>M-SEN N+</t>
        </is>
      </c>
      <c r="C44" s="48">
        <f>IFERROR(G8+kik_oranArtisPuan,0)</f>
        <v/>
      </c>
      <c r="D44" s="47" t="inlineStr">
        <is>
          <t>oran</t>
        </is>
      </c>
      <c r="E44" s="6" t="inlineStr">
        <is>
          <t>N + delta</t>
        </is>
      </c>
      <c r="F44" s="23" t="inlineStr">
        <is>
          <t>KIK-001</t>
        </is>
      </c>
      <c r="G44" s="25">
        <f>IFERROR(G8+kik_oranArtisPuan,0)</f>
        <v/>
      </c>
    </row>
    <row r="45">
      <c r="A45" s="45" t="n">
        <v>39</v>
      </c>
      <c r="B45" s="24" t="inlineStr">
        <is>
          <t>M-SEN sınır</t>
        </is>
      </c>
      <c r="C45" s="49">
        <f>IFERROR(ROUND(G13*G44,MAX(0,MIN(kik_yuvarMax,IFERROR(N(G12),0)))),0)</f>
        <v/>
      </c>
      <c r="D45" s="47" t="inlineStr">
        <is>
          <t>TL</t>
        </is>
      </c>
      <c r="E45" s="6" t="inlineStr">
        <is>
          <t>M-SEN sınır</t>
        </is>
      </c>
      <c r="F45" s="23" t="inlineStr">
        <is>
          <t>KIK-001</t>
        </is>
      </c>
      <c r="G45" s="26">
        <f>IFERROR(ROUND(G13*G44,MAX(0,MIN(kik_yuvarMax,IFERROR(N(G12),0)))),0)</f>
        <v/>
      </c>
    </row>
    <row r="46">
      <c r="A46" s="45" t="n">
        <v>40</v>
      </c>
      <c r="B46" s="24" t="inlineStr">
        <is>
          <t>M-SEN açık</t>
        </is>
      </c>
      <c r="C46" s="49">
        <f>IFERROR(MAX(0,G45-G14),0)</f>
        <v/>
      </c>
      <c r="D46" s="47" t="inlineStr">
        <is>
          <t>TL</t>
        </is>
      </c>
      <c r="E46" s="6" t="inlineStr">
        <is>
          <t>M-SEN farkı</t>
        </is>
      </c>
      <c r="F46" s="23" t="inlineStr">
        <is>
          <t>KIK-001</t>
        </is>
      </c>
      <c r="G46" s="26">
        <f>IFERROR(MAX(0,G45-G14),0)</f>
        <v/>
      </c>
    </row>
    <row r="47">
      <c r="A47" s="45" t="n">
        <v>41</v>
      </c>
      <c r="B47" s="24" t="inlineStr">
        <is>
          <t>Tahmin üst</t>
        </is>
      </c>
      <c r="C47" s="49">
        <f>IFERROR(G30*kik_tahminUst,0)</f>
        <v/>
      </c>
      <c r="D47" s="47" t="inlineStr">
        <is>
          <t>TL</t>
        </is>
      </c>
      <c r="E47" s="6" t="inlineStr">
        <is>
          <t>Tahmin üst bant</t>
        </is>
      </c>
      <c r="F47" s="23" t="inlineStr">
        <is>
          <t>KIK-005</t>
        </is>
      </c>
      <c r="G47" s="26">
        <f>IFERROR(G30*kik_tahminUst,0)</f>
        <v/>
      </c>
    </row>
    <row r="48">
      <c r="A48" s="45" t="n">
        <v>42</v>
      </c>
      <c r="B48" s="24" t="inlineStr">
        <is>
          <t>Tahmin alt</t>
        </is>
      </c>
      <c r="C48" s="49">
        <f>IFERROR(G30*kik_tahminAlt,0)</f>
        <v/>
      </c>
      <c r="D48" s="47" t="inlineStr">
        <is>
          <t>TL</t>
        </is>
      </c>
      <c r="E48" s="6" t="inlineStr">
        <is>
          <t>Tahmin alt bant</t>
        </is>
      </c>
      <c r="F48" s="23" t="inlineStr">
        <is>
          <t>KIK-005</t>
        </is>
      </c>
      <c r="G48" s="26">
        <f>IFERROR(G30*kik_tahminAlt,0)</f>
        <v/>
      </c>
    </row>
    <row r="49">
      <c r="A49" s="45" t="n">
        <v>43</v>
      </c>
      <c r="B49" s="24" t="inlineStr">
        <is>
          <t>Tornado: yaklaşık etkisi</t>
        </is>
      </c>
      <c r="C49" s="49">
        <f>IFERROR(ABS(ROUND(MAX(0,G13*kik_tornadoMatrah*G20-G14),MAX(0,MIN(kik_yuvarMax,IFERROR(N(G12),0))))-G28),0)</f>
        <v/>
      </c>
      <c r="D49" s="47" t="inlineStr">
        <is>
          <t>TL</t>
        </is>
      </c>
      <c r="E49" s="6" t="inlineStr">
        <is>
          <t>Yaklaşık ± etki</t>
        </is>
      </c>
      <c r="F49" s="23" t="inlineStr">
        <is>
          <t>KIK-001</t>
        </is>
      </c>
      <c r="G49" s="26">
        <f>IFERROR(ABS(ROUND(MAX(0,G13*kik_tornadoMatrah*G20-G14),MAX(0,MIN(kik_yuvarMax,IFERROR(N(G12),0))))-G28),0)</f>
        <v/>
      </c>
    </row>
    <row r="50">
      <c r="A50" s="45" t="n">
        <v>44</v>
      </c>
      <c r="B50" s="24" t="inlineStr">
        <is>
          <t>Tornado: teklif etkisi</t>
        </is>
      </c>
      <c r="C50" s="49">
        <f>IFERROR(ABS(ROUND(MAX(0,G21-G14*kik_tornadoMevcut),MAX(0,MIN(kik_yuvarMax,IFERROR(N(G12),0))))-G30),0)</f>
        <v/>
      </c>
      <c r="D50" s="47" t="inlineStr">
        <is>
          <t>TL</t>
        </is>
      </c>
      <c r="E50" s="6" t="inlineStr">
        <is>
          <t>Teklif ± etki</t>
        </is>
      </c>
      <c r="F50" s="23" t="inlineStr">
        <is>
          <t>KIK-001</t>
        </is>
      </c>
      <c r="G50" s="26">
        <f>IFERROR(ABS(ROUND(MAX(0,G21-G14*kik_tornadoMevcut),MAX(0,MIN(kik_yuvarMax,IFERROR(N(G12),0))))-G30),0)</f>
        <v/>
      </c>
    </row>
    <row r="51">
      <c r="A51" s="45" t="n">
        <v>45</v>
      </c>
      <c r="B51" s="24" t="inlineStr">
        <is>
          <t>Tornado: N etkisi</t>
        </is>
      </c>
      <c r="C51" s="49">
        <f>IFERROR(ABS(ROUND(MAX(0,G13*(G8+kik_oranArtisPuan)-G14),MAX(0,MIN(kik_yuvarMax,IFERROR(N(G12),0))))-G28),0)</f>
        <v/>
      </c>
      <c r="D51" s="47" t="inlineStr">
        <is>
          <t>TL</t>
        </is>
      </c>
      <c r="E51" s="6" t="inlineStr">
        <is>
          <t>N ± etki</t>
        </is>
      </c>
      <c r="F51" s="23" t="inlineStr">
        <is>
          <t>KIK-001</t>
        </is>
      </c>
      <c r="G51" s="26">
        <f>IFERROR(ABS(ROUND(MAX(0,G13*(G8+kik_oranArtisPuan)-G14),MAX(0,MIN(kik_yuvarMax,IFERROR(N(G12),0))))-G28),0)</f>
        <v/>
      </c>
    </row>
    <row r="52">
      <c r="A52" s="45" t="n">
        <v>46</v>
      </c>
      <c r="B52" s="24" t="inlineStr">
        <is>
          <t>Madde atıf özeti</t>
        </is>
      </c>
      <c r="C52" s="21">
        <f>IFERROR(_xlfn.TEXTJOIN(" | ",TRUE,"KIK-001→sınır N","KIK-002→savunulabilir","KIK-003→incele","KIK-004→riskli"),"")</f>
        <v/>
      </c>
      <c r="D52" s="47" t="inlineStr">
        <is>
          <t>metin</t>
        </is>
      </c>
      <c r="E52" s="6" t="inlineStr">
        <is>
          <t>Kanıt atıfları</t>
        </is>
      </c>
      <c r="F52" s="23" t="inlineStr">
        <is>
          <t>KIK-001</t>
        </is>
      </c>
      <c r="G52" s="27">
        <f>IFERROR(_xlfn.TEXTJOIN(" | ",TRUE,"KIK-001→sınır N","KIK-002→savunulabilir","KIK-003→incele","KIK-004→riskli"),"")</f>
        <v/>
      </c>
    </row>
    <row r="53">
      <c r="A53" s="45" t="n">
        <v>47</v>
      </c>
      <c r="B53" s="24" t="inlineStr">
        <is>
          <t>Kanıt satır özeti</t>
        </is>
      </c>
      <c r="C53" s="21">
        <f>IFERROR(_xlfn.TEXTJOIN(" · ",TRUE,"Sınır=",TEXT(G21,"₺ #,##0"),"Teklif=",TEXT(G14,"₺ #,##0"),"Açık=",TEXT(G30,"₺ #,##0"),"Sapma=",TEXT(G25,"0.0%")),"")</f>
        <v/>
      </c>
      <c r="D53" s="47" t="inlineStr">
        <is>
          <t>metin</t>
        </is>
      </c>
      <c r="E53" s="6" t="inlineStr">
        <is>
          <t>Rapor özeti</t>
        </is>
      </c>
      <c r="F53" s="23" t="inlineStr">
        <is>
          <t>KIK-005</t>
        </is>
      </c>
      <c r="G53" s="27">
        <f>IFERROR(_xlfn.TEXTJOIN(" · ",TRUE,"Sınır=",TEXT(G21,"₺ #,##0"),"Teklif=",TEXT(G14,"₺ #,##0"),"Açık=",TEXT(G30,"₺ #,##0"),"Sapma=",TEXT(G25,"0.0%")),"")</f>
        <v/>
      </c>
    </row>
    <row r="55">
      <c r="I55" s="4" t="inlineStr">
        <is>
          <t>Motor adımları kilitlidir; oranlar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7:G53">
    <cfRule type="cellIs" priority="1" operator="lessThan" dxfId="3">
      <formula>0</formula>
    </cfRule>
  </conditionalFormatting>
  <conditionalFormatting sqref="F7:F53">
    <cfRule type="expression" priority="2" dxfId="6">
      <formula>F7="KIK-001"</formula>
    </cfRule>
    <cfRule type="expression" priority="3" dxfId="3">
      <formula>F7="KIK-005"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D7D31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55.5" customWidth="1" min="1" max="1"/>
    <col width="18.5" customWidth="1" min="2" max="2"/>
    <col width="18" customWidth="1" min="3" max="3"/>
    <col width="18" customWidth="1" min="4" max="4"/>
    <col width="22" customWidth="1" min="5" max="5"/>
    <col width="13" customWidth="1" min="6" max="6"/>
    <col width="17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SENARYO — KİK Aşırı Düşük Savunma + Sınır Değer Paketi</t>
        </is>
      </c>
    </row>
    <row r="3" ht="22" customHeight="1">
      <c r="A3" s="224" t="inlineStr">
        <is>
          <t>Senaryo ve duyarlılık</t>
        </is>
      </c>
    </row>
    <row r="5">
      <c r="A5" s="50" t="inlineStr">
        <is>
          <t>Senaryo</t>
        </is>
      </c>
      <c r="B5" s="50" t="inlineStr">
        <is>
          <t>Matrah Çarpanı</t>
        </is>
      </c>
      <c r="C5" s="50" t="inlineStr">
        <is>
          <t>Potansiyel</t>
        </is>
      </c>
      <c r="D5" s="50" t="inlineStr">
        <is>
          <t>Kaçırılan</t>
        </is>
      </c>
      <c r="E5" s="50" t="inlineStr">
        <is>
          <t>Karar</t>
        </is>
      </c>
      <c r="G5" s="50" t="inlineStr">
        <is>
          <t>KacirilanDemo</t>
        </is>
      </c>
    </row>
    <row r="6">
      <c r="A6" s="7" t="inlineStr">
        <is>
          <t>İyimser</t>
        </is>
      </c>
      <c r="B6" s="25">
        <f>IFERROR(kik_senaryoIyi+N(GIRDI!B9)*kik_sifirCarpan,0)</f>
        <v/>
      </c>
      <c r="C6" s="26">
        <f>IFERROR(ROUND((IFERROR(kik_potansiyelTasarruf,0))*B6,2),0)</f>
        <v/>
      </c>
      <c r="D6" s="26">
        <f>IFERROR(MAX(0,C6-(IFERROR(kik_mevcutTesvik,0))),0)</f>
        <v/>
      </c>
      <c r="E6" s="27">
        <f>IF(COUNTA(tblGirdi[Alan Anahtarı])=0,"VERİ YOK",IF(D6=0,"UYGUN","FIRSAT"))</f>
        <v/>
      </c>
      <c r="G6" s="29" t="n">
        <v>18800</v>
      </c>
    </row>
    <row r="7">
      <c r="A7" s="7" t="inlineStr">
        <is>
          <t>Baz</t>
        </is>
      </c>
      <c r="B7" s="25">
        <f>IFERROR(kik_bazCarpan+N(GIRDI!B9)*kik_sifirCarpan,kik_bazCarpan)</f>
        <v/>
      </c>
      <c r="C7" s="26">
        <f>IFERROR(ROUND((IFERROR(kik_potansiyelTasarruf,0))*B7,2),0)</f>
        <v/>
      </c>
      <c r="D7" s="26">
        <f>IFERROR(MAX(0,C7-(IFERROR(kik_mevcutTesvik,0))),0)</f>
        <v/>
      </c>
      <c r="E7" s="27">
        <f>IF(COUNTA(tblGirdi[Alan Anahtarı])=0,"VERİ YOK",IF(D7=0,"UYGUN","FIRSAT"))</f>
        <v/>
      </c>
      <c r="G7" s="29" t="n">
        <v>22000</v>
      </c>
    </row>
    <row r="8">
      <c r="A8" s="7" t="inlineStr">
        <is>
          <t>Kötümser</t>
        </is>
      </c>
      <c r="B8" s="25">
        <f>IFERROR(kik_senaryoKotu+N(GIRDI!B9)*kik_sifirCarpan,0)</f>
        <v/>
      </c>
      <c r="C8" s="26">
        <f>IFERROR(ROUND((IFERROR(kik_potansiyelTasarruf,0))*B8,2),0)</f>
        <v/>
      </c>
      <c r="D8" s="26">
        <f>IFERROR(MAX(0,C8-(IFERROR(kik_mevcutTesvik,0))),0)</f>
        <v/>
      </c>
      <c r="E8" s="27">
        <f>IF(COUNTA(tblGirdi[Alan Anahtarı])=0,"VERİ YOK",IF(D8=0,"UYGUN","FIRSAT"))</f>
        <v/>
      </c>
      <c r="G8" s="29" t="n">
        <v>26400</v>
      </c>
    </row>
    <row r="9">
      <c r="A9" s="7" t="inlineStr">
        <is>
          <t>M-SEN +1 puan</t>
        </is>
      </c>
      <c r="B9" s="25">
        <f>IFERROR(kik_bazCarpan+N(GIRDI!B9)*kik_sifirCarpan,kik_bazCarpan)</f>
        <v/>
      </c>
      <c r="C9" s="26">
        <f>IFERROR(MOTOR!G45,0)</f>
        <v/>
      </c>
      <c r="D9" s="26">
        <f>IFERROR(MOTOR!G46,0)</f>
        <v/>
      </c>
      <c r="E9" s="27">
        <f>IF(COUNTA(tblGirdi[Alan Anahtarı])=0,"VERİ YOK",IF(D9=0,"UYGUN","FIRSAT"))</f>
        <v/>
      </c>
      <c r="G9" s="29" t="n">
        <v>23500</v>
      </c>
    </row>
    <row r="11">
      <c r="A11" s="10" t="inlineStr">
        <is>
          <t>Senaryo bant genişliği (iyimser−kötümser kaçırılan)</t>
        </is>
      </c>
      <c r="B11" s="26">
        <f>IFERROR(D6-D8,0)</f>
        <v/>
      </c>
    </row>
    <row r="12">
      <c r="A12" s="10" t="inlineStr">
        <is>
          <t>Senaryo yorumu</t>
        </is>
      </c>
      <c r="B12" s="21">
        <f>IFERROR(_xlfn.TEXTJOIN("; ",TRUE,"İyimser kaçırılan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50" t="inlineStr">
        <is>
          <t>Değişken</t>
        </is>
      </c>
      <c r="B15" s="50" t="inlineStr">
        <is>
          <t>Etki [₺]</t>
        </is>
      </c>
      <c r="C15" s="50" t="inlineStr">
        <is>
          <t>Sıra</t>
        </is>
      </c>
      <c r="E15" s="50" t="inlineStr">
        <is>
          <t>EtkiDemo</t>
        </is>
      </c>
    </row>
    <row r="16">
      <c r="A16" s="7" t="inlineStr">
        <is>
          <t>Tornado matrah etkisi</t>
        </is>
      </c>
      <c r="B16" s="26">
        <f>IFERROR(MOTOR!G49,0)</f>
        <v/>
      </c>
      <c r="C16" s="35">
        <f>IFERROR(IF(B16&gt;=MAX(B16:B18),kik_siraBir,IF(B16&gt;=MIN(B16:B18)+ABS(B16-B17),kik_siraIki,kik_siraUc)),kik_siraUc)</f>
        <v/>
      </c>
      <c r="E16" s="29" t="n">
        <v>1600</v>
      </c>
    </row>
    <row r="17">
      <c r="A17" s="7" t="inlineStr">
        <is>
          <t>Tornado mevcut etkisi</t>
        </is>
      </c>
      <c r="B17" s="26">
        <f>IFERROR(MOTOR!G50,0)</f>
        <v/>
      </c>
      <c r="C17" s="35">
        <f>IFERROR(IF(B17&gt;=MAX(B16:B18),kik_siraBir,IF(B17=MEDIAN(B16:B18),kik_siraIki,kik_siraUc)),kik_siraUc)</f>
        <v/>
      </c>
      <c r="E17" s="29" t="n">
        <v>1100</v>
      </c>
    </row>
    <row r="18">
      <c r="A18" s="7" t="inlineStr">
        <is>
          <t>Tornado oran etkisi</t>
        </is>
      </c>
      <c r="B18" s="26">
        <f>IFERROR(MOTOR!G51,0)</f>
        <v/>
      </c>
      <c r="C18" s="35">
        <f>IFERROR(IF(B18&gt;=MAX(B16:B18),kik_siraBir,IF(B18=MEDIAN(B16:B18),kik_siraIki,kik_siraUc)),kik_siraUc)</f>
        <v/>
      </c>
      <c r="E18" s="29" t="n">
        <v>1500</v>
      </c>
    </row>
    <row r="19">
      <c r="A19" s="10" t="inlineStr">
        <is>
          <t>Duyarlılık sıra özeti</t>
        </is>
      </c>
      <c r="B19" s="27">
        <f>IFERROR(CONCATENATE("1)",INDEX(A16:A18,MATCH(kik_siraBir,C16:C18,0))," 2)",INDEX(A16:A18,MATCH(kik_siraIki,C16:C18,0))),"-")</f>
        <v/>
      </c>
    </row>
    <row r="20">
      <c r="A20" s="10" t="inlineStr">
        <is>
          <t>Duyarlılık yorumu</t>
        </is>
      </c>
      <c r="B20" s="21">
        <f>_xlfn.TEXTJOIN("; ",TRUE,"En yüksek etki ",TEXT(MAX(B16:B18),"₺ #,##0")," TL — öncelik bu değişkende")</f>
        <v/>
      </c>
    </row>
    <row r="22">
      <c r="A22" s="10" t="inlineStr">
        <is>
          <t>M-SEN kural değişimi kaçırılan</t>
        </is>
      </c>
      <c r="B22" s="26">
        <f>D9</f>
        <v/>
      </c>
    </row>
    <row r="23">
      <c r="A23" s="10" t="inlineStr">
        <is>
          <t>M-SEN yorumu</t>
        </is>
      </c>
      <c r="B23" s="21">
        <f>_xlfn.TEXTJOIN("; ",TRUE,"5 puan oranı +1 puan senaryosunda kaçırılan ",TEXT(D9,"₺ #,##0")," TL")</f>
        <v/>
      </c>
    </row>
    <row r="25">
      <c r="A25" s="10" t="inlineStr">
        <is>
          <t>Tahmin aralığı (kaçırılan)</t>
        </is>
      </c>
      <c r="B25" s="26">
        <f>MOTOR!G48</f>
        <v/>
      </c>
      <c r="C25" s="26">
        <f>kik_kacirilan</f>
        <v/>
      </c>
      <c r="D25" s="26">
        <f>MOTOR!G47</f>
        <v/>
      </c>
    </row>
    <row r="26">
      <c r="A26" s="10" t="inlineStr">
        <is>
          <t>Tahmin (FORECAST)</t>
        </is>
      </c>
    </row>
    <row r="27">
      <c r="A27" s="28" t="inlineStr">
        <is>
          <t>Seri nokta</t>
        </is>
      </c>
      <c r="D27" s="10" t="inlineStr">
        <is>
          <t>TrendDemo</t>
        </is>
      </c>
    </row>
    <row r="28">
      <c r="A28" s="51" t="n">
        <v>1</v>
      </c>
      <c r="B28" s="26">
        <f>D6</f>
        <v/>
      </c>
      <c r="D28" s="29" t="n">
        <v>18800</v>
      </c>
    </row>
    <row r="29">
      <c r="A29" s="51" t="n">
        <v>2</v>
      </c>
      <c r="B29" s="26">
        <f>D7</f>
        <v/>
      </c>
      <c r="D29" s="29" t="n">
        <v>22000</v>
      </c>
    </row>
    <row r="30">
      <c r="A30" s="51" t="n">
        <v>3</v>
      </c>
      <c r="B30" s="26">
        <f>D8</f>
        <v/>
      </c>
      <c r="D30" s="29" t="n">
        <v>26400</v>
      </c>
    </row>
    <row r="31">
      <c r="A31" s="51" t="n">
        <v>4</v>
      </c>
      <c r="B31" s="26">
        <f>D9</f>
        <v/>
      </c>
      <c r="D31" s="29" t="n">
        <v>23500</v>
      </c>
    </row>
    <row r="32">
      <c r="A32" s="7" t="inlineStr">
        <is>
          <t>Tahmin sonraki</t>
        </is>
      </c>
      <c r="B32" s="26">
        <f>IFERROR(FORECAST.LINEAR(kik_tahminX,B28:B31,A28:A31),0)</f>
        <v/>
      </c>
    </row>
    <row r="33">
      <c r="A33" s="10" t="inlineStr">
        <is>
          <t>Tahmin yorumu</t>
        </is>
      </c>
      <c r="B33" s="21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B12:H12"/>
  </mergeCells>
  <conditionalFormatting sqref="D6:D9">
    <cfRule type="cellIs" priority="1" operator="greaterThan" dxfId="3">
      <formula>0</formula>
    </cfRule>
    <cfRule type="cellIs" priority="2" operator="equal" dxfId="4">
      <formula>0</formula>
    </cfRule>
  </conditionalFormatting>
  <conditionalFormatting sqref="E6:E9">
    <cfRule type="expression" priority="3" dxfId="5">
      <formula>ISNUMBER(SEARCH("FIRSAT",E6))</formula>
    </cfRule>
  </conditionalFormatting>
  <conditionalFormatting sqref="B16:B18">
    <cfRule type="cellIs" priority="4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1.5" customWidth="1" min="1" max="1"/>
    <col width="35.5" customWidth="1" min="2" max="2"/>
    <col width="40" customWidth="1" min="3" max="3"/>
    <col width="18.5" customWidth="1" min="4" max="4"/>
    <col width="14.5" customWidth="1" min="5" max="5"/>
    <col width="12" customWidth="1" min="6" max="6"/>
    <col width="12" customWidth="1" min="7" max="7"/>
    <col width="28" customWidth="1" min="8" max="8"/>
    <col width="13" customWidth="1" min="9" max="9"/>
    <col width="16.5" customWidth="1" min="10" max="10"/>
    <col width="13.5" customWidth="1" min="11" max="11"/>
    <col width="13" customWidth="1" min="12" max="12"/>
  </cols>
  <sheetData>
    <row r="1" ht="32" customHeight="1">
      <c r="A1" s="204" t="inlineStr">
        <is>
          <t>VAKALAR — KİK Aşırı Düşük Savunma + Sınır Değer Paketi</t>
        </is>
      </c>
    </row>
    <row r="3" ht="22" customHeight="1">
      <c r="A3" s="224" t="inlineStr">
        <is>
          <t>Tebliğ tarzı altın vakalar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  <c r="J5" s="50" t="inlineStr">
        <is>
          <t>BeklenenDemo</t>
        </is>
      </c>
      <c r="K5" s="50" t="inlineStr">
        <is>
          <t>HesapDemo</t>
        </is>
      </c>
    </row>
    <row r="6">
      <c r="A6" s="7" t="inlineStr">
        <is>
          <t>V-001</t>
        </is>
      </c>
      <c r="B6" s="7" t="inlineStr">
        <is>
          <t>Tebliğ örnek 1 — 5 puan</t>
        </is>
      </c>
      <c r="C6" s="7" t="inlineStr">
        <is>
          <t>bes_puan_matrah=vaka_matrah_1</t>
        </is>
      </c>
      <c r="D6" s="52" t="n">
        <v>15000</v>
      </c>
      <c r="E6" s="26">
        <f>IFERROR(ROUND(vaka_matrah_1*INDEX(tblKurallar[deger_2025],MATCH("KIK-001",tblKurallar[kural_id],0)),2),0)</f>
        <v/>
      </c>
      <c r="F6" s="53">
        <f>IF($A6="","",IFERROR($D6-$E6,0))</f>
        <v/>
      </c>
      <c r="G6" s="54">
        <f>IF($A6="","",IFERROR(IF(ABS($F6)&lt;=kik_tolerans,"TUTARLI","KIRIK"),"KIRIK"))</f>
        <v/>
      </c>
      <c r="H6" s="7" t="inlineStr">
        <is>
          <t>5510 md.81 örnek</t>
        </is>
      </c>
      <c r="J6" s="29" t="n">
        <v>15000</v>
      </c>
      <c r="K6" s="29" t="n">
        <v>15000</v>
      </c>
    </row>
    <row r="7">
      <c r="A7" s="7" t="inlineStr">
        <is>
          <t>V-002</t>
        </is>
      </c>
      <c r="B7" s="7" t="inlineStr">
        <is>
          <t>Tebliğ örnek 2 — ilave istihdam</t>
        </is>
      </c>
      <c r="C7" s="7" t="inlineStr">
        <is>
          <t>ilave_matrah=vaka_matrah_2</t>
        </is>
      </c>
      <c r="D7" s="52" t="n">
        <v>14500</v>
      </c>
      <c r="E7" s="26">
        <f>IFERROR(ROUND(vaka_matrah_2*INDEX(tblKurallar[deger_2025],MATCH("KIK-002",tblKurallar[kural_id],0)),2),0)</f>
        <v/>
      </c>
      <c r="F7" s="53">
        <f>IF($A7="","",IFERROR($D7-$E7,0))</f>
        <v/>
      </c>
      <c r="G7" s="54">
        <f>IF($A7="","",IFERROR(IF(ABS($F7)&lt;=kik_tolerans,"TUTARLI","KIRIK"),"KIRIK"))</f>
        <v/>
      </c>
      <c r="H7" s="7" t="inlineStr">
        <is>
          <t>4447 geç.10 örnek</t>
        </is>
      </c>
      <c r="J7" s="29" t="n">
        <v>14500</v>
      </c>
      <c r="K7" s="29" t="n">
        <v>14500</v>
      </c>
    </row>
    <row r="8">
      <c r="A8" s="7" t="inlineStr">
        <is>
          <t>V-003</t>
        </is>
      </c>
      <c r="B8" s="7" t="inlineStr">
        <is>
          <t>Tebliğ örnek 3 — birikimli A</t>
        </is>
      </c>
      <c r="C8" s="7" t="inlineStr">
        <is>
          <t>5 puan + ilave</t>
        </is>
      </c>
      <c r="D8" s="52" t="n">
        <v>29500</v>
      </c>
      <c r="E8" s="26">
        <f>IFERROR(ROUND(vaka_matrah_1*INDEX(tblKurallar[deger_2025],MATCH("KIK-001",tblKurallar[kural_id],0))+vaka_matrah_2*INDEX(tblKurallar[deger_2025],MATCH("KIK-002",tblKurallar[kural_id],0)),2),0)</f>
        <v/>
      </c>
      <c r="F8" s="53">
        <f>IF($A8="","",IFERROR($D8-$E8,0))</f>
        <v/>
      </c>
      <c r="G8" s="54">
        <f>IF($A8="","",IFERROR(IF(ABS($F8)&lt;=kik_tolerans,"TUTARLI","KIRIK"),"KIRIK"))</f>
        <v/>
      </c>
      <c r="H8" s="7" t="inlineStr">
        <is>
          <t>Birikim yorum A</t>
        </is>
      </c>
      <c r="J8" s="29" t="n">
        <v>29500</v>
      </c>
      <c r="K8" s="29" t="n">
        <v>29500</v>
      </c>
    </row>
    <row r="9">
      <c r="A9" s="7" t="inlineStr">
        <is>
          <t>V-004</t>
        </is>
      </c>
      <c r="B9" s="7" t="inlineStr">
        <is>
          <t>Tavan × 5 puan kontrol</t>
        </is>
      </c>
      <c r="C9" s="7" t="inlineStr">
        <is>
          <t>tavan=vaka_tavan; oran KIK-001</t>
        </is>
      </c>
      <c r="D9" s="52" t="n">
        <v>7500</v>
      </c>
      <c r="E9" s="26">
        <f>IFERROR(ROUND(vaka_tavan*INDEX(tblKurallar[deger_2025],MATCH("KIK-001",tblKurallar[kural_id],0)),2),0)</f>
        <v/>
      </c>
      <c r="F9" s="53">
        <f>IF($A9="","",IFERROR($D9-$E9,0))</f>
        <v/>
      </c>
      <c r="G9" s="54">
        <f>IF($A9="","",IFERROR(IF(ABS($F9)&lt;=kik_tolerans,"TUTARLI","KIRIK"),"KIRIK"))</f>
        <v/>
      </c>
      <c r="H9" s="7" t="inlineStr">
        <is>
          <t>KIK-003 tavan kontrol</t>
        </is>
      </c>
      <c r="J9" s="29" t="n">
        <v>7500</v>
      </c>
      <c r="K9" s="29" t="n">
        <v>7500</v>
      </c>
    </row>
    <row r="12">
      <c r="A12" s="10" t="inlineStr">
        <is>
          <t>Vaka durum özeti</t>
        </is>
      </c>
      <c r="B12" s="55">
        <f>IFERROR(IF(COUNTIF(tblVakalar[durum],"KIRIK")&gt;0,"KIRIK","TUTARLI"),"KIRIK")</f>
        <v/>
      </c>
    </row>
    <row r="13">
      <c r="A13" s="10" t="inlineStr">
        <is>
          <t>Vaka fark toplamı</t>
        </is>
      </c>
      <c r="B13" s="26">
        <f>IFERROR(SUM(tblVakalar[fark]),0)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G6:G9">
    <cfRule type="expression" priority="1" dxfId="0">
      <formula>G6="TUTARLI"</formula>
    </cfRule>
    <cfRule type="expression" priority="2" dxfId="2">
      <formula>G6="KIRIK"</formula>
    </cfRule>
  </conditionalFormatting>
  <conditionalFormatting sqref="F6:F9">
    <cfRule type="cellIs" priority="3" operator="notEqual" dxfId="5">
      <formula>0</formula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102.5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KANIT RAPORU — KİK Aşırı Düşük Savunma + Sınır Değer Paketi</t>
        </is>
      </c>
    </row>
    <row r="3" ht="22" customHeight="1">
      <c r="A3" s="224" t="inlineStr">
        <is>
          <t>KANIT RAPORU — KİK Aşırı Düşük Savunma</t>
        </is>
      </c>
    </row>
    <row r="4">
      <c r="A4" s="7" t="inlineStr">
        <is>
          <t>Rapor tarihi</t>
        </is>
      </c>
      <c r="B4" s="57">
        <f>raporTarihi</f>
        <v/>
      </c>
    </row>
    <row r="5">
      <c r="A5" s="7" t="inlineStr">
        <is>
          <t>İşveren</t>
        </is>
      </c>
      <c r="B5" s="27">
        <f>GIRDI!B6</f>
        <v/>
      </c>
    </row>
    <row r="6">
      <c r="A6" s="7" t="inlineStr">
        <is>
          <t>Dönem / yıl</t>
        </is>
      </c>
      <c r="B6" s="27">
        <f>CONCATENATE(GIRDI!B7," / ",hesapYili)</f>
        <v/>
      </c>
    </row>
    <row r="8">
      <c r="A8" s="5" t="inlineStr">
        <is>
          <t>Girdi özeti</t>
        </is>
      </c>
    </row>
    <row r="9">
      <c r="A9" s="7" t="inlineStr">
        <is>
          <t>Aylık brüt matrah</t>
        </is>
      </c>
      <c r="B9" s="26">
        <f>GIRDI!B9</f>
        <v/>
      </c>
    </row>
    <row r="10">
      <c r="A10" s="7" t="inlineStr">
        <is>
          <t>Çalışan sayısı</t>
        </is>
      </c>
      <c r="B10" s="35">
        <f>GIRDI!B10</f>
        <v/>
      </c>
    </row>
    <row r="11">
      <c r="A11" s="7" t="inlineStr">
        <is>
          <t>5 puan kapsam</t>
        </is>
      </c>
      <c r="B11" s="26">
        <f>GIRDI!B11</f>
        <v/>
      </c>
    </row>
    <row r="12">
      <c r="A12" s="7" t="inlineStr">
        <is>
          <t>İlave istihdam</t>
        </is>
      </c>
      <c r="B12" s="26">
        <f>GIRDI!B12</f>
        <v/>
      </c>
    </row>
    <row r="13">
      <c r="A13" s="7" t="inlineStr">
        <is>
          <t>Kadın/genç</t>
        </is>
      </c>
      <c r="B13" s="26">
        <f>GIRDI!B13</f>
        <v/>
      </c>
    </row>
    <row r="14">
      <c r="A14" s="7" t="inlineStr">
        <is>
          <t>Kâr</t>
        </is>
      </c>
      <c r="B14" s="26">
        <f>GIRDI!B14</f>
        <v/>
      </c>
    </row>
    <row r="15">
      <c r="A15" s="7" t="inlineStr">
        <is>
          <t>Mevcut teşvik</t>
        </is>
      </c>
      <c r="B15" s="26">
        <f>kik_mevcutTesvik</f>
        <v/>
      </c>
    </row>
    <row r="17">
      <c r="A17" s="5" t="inlineStr">
        <is>
          <t>Hesap zinciri</t>
        </is>
      </c>
    </row>
    <row r="18">
      <c r="A18" s="7" t="inlineStr">
        <is>
          <t>Potansiyel tasarruf</t>
        </is>
      </c>
      <c r="B18" s="34">
        <f>kik_potansiyelTasarruf</f>
        <v/>
      </c>
    </row>
    <row r="19">
      <c r="A19" s="7" t="inlineStr">
        <is>
          <t>Kaçırılan</t>
        </is>
      </c>
      <c r="B19" s="34">
        <f>kik_kacirilan</f>
        <v/>
      </c>
    </row>
    <row r="20">
      <c r="A20" s="10" t="inlineStr">
        <is>
          <t>KARAR</t>
        </is>
      </c>
      <c r="B20" s="58">
        <f>kik_kararMetni</f>
        <v/>
      </c>
    </row>
    <row r="21">
      <c r="A21" s="7" t="inlineStr">
        <is>
          <t>Gerekçe</t>
        </is>
      </c>
      <c r="B21" s="21">
        <f>kik_kararGerekce</f>
        <v/>
      </c>
    </row>
    <row r="23">
      <c r="A23" s="10" t="inlineStr">
        <is>
          <t>Madde atıfları</t>
        </is>
      </c>
      <c r="B23" s="21">
        <f>kik_maddeAtifMetni</f>
        <v/>
      </c>
    </row>
    <row r="25">
      <c r="A25" s="10" t="inlineStr">
        <is>
          <t>Kanıt gövdesi</t>
        </is>
      </c>
      <c r="B25" s="21">
        <f>kik_kanitRaporu</f>
        <v/>
      </c>
    </row>
    <row r="27">
      <c r="A27" s="7" t="inlineStr">
        <is>
          <t>Parmak izi (SHA-256 kısaltma)</t>
        </is>
      </c>
      <c r="B27" s="28">
        <f>kik_parmakIzi</f>
        <v/>
      </c>
    </row>
    <row r="29">
      <c r="A29" s="7" t="inlineStr">
        <is>
          <t>Hazırlayan (imza)</t>
        </is>
      </c>
      <c r="B29" s="59" t="inlineStr"/>
    </row>
    <row r="30">
      <c r="A30" s="7" t="inlineStr">
        <is>
          <t>Onaylayan (imza)</t>
        </is>
      </c>
      <c r="B30" s="59" t="inlineStr"/>
    </row>
    <row r="32">
      <c r="A32" s="13" t="inlineStr">
        <is>
          <t>Uyarı: Bu çıktı karar destektir; kesin KİK savunma sonucu veya hukuki görüş değildir. Sürüm 1.0.0.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B21:F21"/>
    <mergeCell ref="B25:F25"/>
    <mergeCell ref="A32:F32"/>
    <mergeCell ref="A1:I1"/>
    <mergeCell ref="B23:F23"/>
    <mergeCell ref="A3:I3"/>
  </mergeCells>
  <conditionalFormatting sqref="B20">
    <cfRule type="expression" priority="1" dxfId="0">
      <formula>ISNUMBER(SEARCH("UYGUN",B20))</formula>
    </cfRule>
    <cfRule type="expression" priority="2" dxfId="1">
      <formula>ISNUMBER(SEARCH("DİKKAT",B20))</formula>
    </cfRule>
  </conditionalFormatting>
  <conditionalFormatting sqref="B19">
    <cfRule type="cellIs" priority="3" operator="greaterThan" dxfId="3">
      <formula>0</formula>
    </cfRule>
  </conditionalFormatting>
  <pageMargins left="0.4" right="0.4" top="0.5" bottom="0.5" header="0.5" footer="0.5"/>
  <pageSetup orientation="portrait" paperSize="9" fitToHeight="1" fitToWidth="1"/>
  <headerFooter>
    <oddHeader/>
    <oddFooter>&amp;LKİK Aşırı Düşük Savunma + Sınır Değer Paketi · 1.0.0&amp;CExcelArşiv&amp;RSayfa &amp;P / &amp;N</oddFooter>
    <evenHeader/>
    <evenFooter>&amp;LKİK Aşırı Düşük Savunma + Sınır Değer Paketi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55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KONTROLLER — KİK Aşırı Düşük Savunma + Sınır Değer Paketi</t>
        </is>
      </c>
    </row>
    <row r="3" ht="22" customHeight="1">
      <c r="A3" s="224" t="inlineStr">
        <is>
          <t>Canlı kontrol paneli</t>
        </is>
      </c>
    </row>
    <row r="5">
      <c r="A5" s="7" t="inlineStr">
        <is>
          <t>Giriş tablosu boş mu?</t>
        </is>
      </c>
      <c r="B5" s="27">
        <f>IF(COUNTA(tblGirdi[Alan Anahtarı])=0,"BOŞ","DOLU")</f>
        <v/>
      </c>
    </row>
    <row r="6">
      <c r="A6" s="7" t="inlineStr">
        <is>
          <t>Negatif brüt matrah?</t>
        </is>
      </c>
      <c r="B6" s="27">
        <f>IF(GIRDI!B9&lt;0,"NEGATİF","TEMİZ")</f>
        <v/>
      </c>
    </row>
    <row r="7">
      <c r="A7" s="7" t="inlineStr">
        <is>
          <t>Hesap yılı geçerli mi?</t>
        </is>
      </c>
      <c r="B7" s="27">
        <f>IFERROR(IF(AND(N(hesapYili)&gt;N(kik_yilTaban),N(hesapYili)&lt;=N(kik_yilTaban)+3),"TEMİZ","HATALI"),"HATALI")</f>
        <v/>
      </c>
    </row>
    <row r="8">
      <c r="A8" s="7" t="inlineStr">
        <is>
          <t>Matrah sıfır mı?</t>
        </is>
      </c>
      <c r="B8" s="27">
        <f>IF(IFERROR(MOTOR!G21,0)=0,"SIFIR","NORMAL")</f>
        <v/>
      </c>
    </row>
    <row r="9">
      <c r="A9" s="7" t="inlineStr">
        <is>
          <t>Vaka kırık mı?</t>
        </is>
      </c>
      <c r="B9" s="27">
        <f>IFERROR(IF(COUNTIF(tblVakalar[durum],"KIRIK")&gt;0,"KIRIK","TUTARLI"),"KIRIK")</f>
        <v/>
      </c>
    </row>
    <row r="10">
      <c r="A10" s="7" t="inlineStr">
        <is>
          <t>Kaçırılan eşiği aşıyor mu?</t>
        </is>
      </c>
      <c r="B10" s="27">
        <f>IF(IFERROR(kik_kacirilan,0)&gt;kik_kacirilanEsik,"AŞIYOR","NORMAL")</f>
        <v/>
      </c>
    </row>
    <row r="11">
      <c r="A11" s="7" t="inlineStr">
        <is>
          <t>Yorum A/B seçili mi?</t>
        </is>
      </c>
      <c r="B11" s="27">
        <f>IF(OR(GIRDI!B16="A",GIRDI!B16="B"),"TEMİZ","EKSİK")</f>
        <v/>
      </c>
    </row>
    <row r="12">
      <c r="A12" s="10" t="inlineStr">
        <is>
          <t>Kalite skoru (modül)</t>
        </is>
      </c>
      <c r="B12" s="60">
        <f>IFERROR(ROUND(IF(OR(B14=0,B14=""),0,B15/B14*100),0),0)</f>
        <v/>
      </c>
    </row>
    <row r="14">
      <c r="A14" s="7" t="inlineStr">
        <is>
          <t>Toplam giriş alanı</t>
        </is>
      </c>
      <c r="B14" s="35">
        <f>IFERROR(kik_girisBeklenen+COUNTA(GIRDI!B6:B16)*0,0)</f>
        <v/>
      </c>
    </row>
    <row r="15">
      <c r="A15" s="7" t="inlineStr">
        <is>
          <t>Dolu giriş</t>
        </is>
      </c>
      <c r="B15" s="35">
        <f>COUNTA(GIRDI!B6:B16)</f>
        <v/>
      </c>
    </row>
    <row r="17">
      <c r="A17" s="7" t="inlineStr">
        <is>
          <t>Potansiyel kontrol</t>
        </is>
      </c>
      <c r="B17" s="26">
        <f>IFERROR(kik_potansiyelTasarruf,0)</f>
        <v/>
      </c>
    </row>
    <row r="18">
      <c r="A18" s="7" t="inlineStr">
        <is>
          <t>Kaçırılan kontrol</t>
        </is>
      </c>
      <c r="B18" s="26">
        <f>IFERROR(kik_kacirilan,0)</f>
        <v/>
      </c>
    </row>
    <row r="19">
      <c r="A19" s="7" t="inlineStr">
        <is>
          <t>Karar kontrol</t>
        </is>
      </c>
      <c r="B19" s="27">
        <f>IFERROR(kik_kararMetni,"-")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5:B11">
    <cfRule type="expression" priority="1" dxfId="2">
      <formula>OR(B5="KIRIK",B5="HATALI",B5="NEGATİF",B5="BOŞ",B5="EKSİK",B5="AŞIYOR")</formula>
    </cfRule>
    <cfRule type="expression" priority="2" dxfId="0">
      <formula>OR(B5="TEMİZ",B5="DOLU",B5="NORMAL",B5="TUTARLI")</formula>
    </cfRule>
  </conditionalFormatting>
  <conditionalFormatting sqref="B12">
    <cfRule type="cellIs" priority="3" operator="greaterThanOrEqual" dxfId="4">
      <formula>80</formula>
    </cfRule>
    <cfRule type="cellIs" priority="4" operator="lessThan" dxfId="3">
      <formula>50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70AD47"/>
    <outlinePr summaryBelow="1" summaryRight="1"/>
    <pageSetUpPr/>
  </sheetPr>
  <dimension ref="A1:L10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.5" customWidth="1" min="1" max="1"/>
    <col width="20.5" customWidth="1" min="2" max="2"/>
    <col width="14" customWidth="1" min="3" max="3"/>
    <col width="14" customWidth="1" min="4" max="4"/>
    <col width="15.5" customWidth="1" min="5" max="5"/>
    <col width="14" customWidth="1" min="6" max="6"/>
    <col width="14" customWidth="1" min="7" max="7"/>
    <col width="14.5" customWidth="1" min="8" max="8"/>
    <col width="14" customWidth="1" min="9" max="9"/>
    <col width="14" customWidth="1" min="10" max="10"/>
    <col width="14" customWidth="1" min="11" max="11"/>
    <col width="17.5" customWidth="1" min="12" max="12"/>
    <col width="13" customWidth="1" min="13" max="13"/>
  </cols>
  <sheetData>
    <row r="1" ht="32" customHeight="1">
      <c r="A1" s="204" t="inlineStr">
        <is>
          <t>ORNEK VERI — KİK Aşırı Düşük Savunma + Sınır Değer Paketi</t>
        </is>
      </c>
    </row>
    <row r="3" ht="22" customHeight="1">
      <c r="A3" s="224" t="inlineStr">
        <is>
          <t>Örnek senaryo kütüphanesi</t>
        </is>
      </c>
    </row>
    <row r="4">
      <c r="A4" s="28" t="inlineStr">
        <is>
          <t>Bu sayfa demo değerleri saklar; GIRDI'ye kopyalanabilir.</t>
        </is>
      </c>
    </row>
    <row r="5" ht="30" customHeight="1">
      <c r="A5" s="22" t="inlineStr">
        <is>
          <t>Senaryo</t>
        </is>
      </c>
      <c r="B5" s="22" t="inlineStr">
        <is>
          <t>Yaklaşık Maliyet</t>
        </is>
      </c>
      <c r="C5" s="22" t="inlineStr">
        <is>
          <t>İşçilik</t>
        </is>
      </c>
      <c r="D5" s="22" t="inlineStr">
        <is>
          <t>Malzeme</t>
        </is>
      </c>
      <c r="E5" s="22" t="inlineStr">
        <is>
          <t>Genel Gider</t>
        </is>
      </c>
      <c r="F5" s="22" t="inlineStr">
        <is>
          <t>Kâr</t>
        </is>
      </c>
      <c r="G5" s="22" t="inlineStr">
        <is>
          <t>Dayanak</t>
        </is>
      </c>
      <c r="H5" s="22" t="inlineStr">
        <is>
          <t>Potansiyel</t>
        </is>
      </c>
      <c r="I5" s="22" t="inlineStr">
        <is>
          <t>Kaçırılan</t>
        </is>
      </c>
      <c r="L5" s="50" t="inlineStr">
        <is>
          <t>KacirilanDemo</t>
        </is>
      </c>
    </row>
    <row r="6">
      <c r="A6" s="36" t="inlineStr">
        <is>
          <t>Demo ana</t>
        </is>
      </c>
      <c r="B6" s="39" t="n">
        <v>500000</v>
      </c>
      <c r="C6" s="39" t="n">
        <v>300000</v>
      </c>
      <c r="D6" s="39" t="n">
        <v>100000</v>
      </c>
      <c r="E6" s="39" t="n">
        <v>50000</v>
      </c>
      <c r="F6" s="39" t="n">
        <v>30000</v>
      </c>
      <c r="G6" s="39" t="n">
        <v>10000</v>
      </c>
      <c r="H6" s="37">
        <f>IF($A6="","",IFERROR(ROUND(MAX(0,$B6*INDEX(tblKurallar[deger_2025],MATCH("KIK-001",tblKurallar[kural_id],0))-($C6+$D6+$E6+$F6)),kik_yuvarMax),0))</f>
        <v/>
      </c>
      <c r="I6" s="37">
        <f>IF($A6="","",IFERROR(MAX(0,$H6-$G6*kik_sifirCarpan),0))</f>
        <v/>
      </c>
      <c r="L6" s="29" t="n">
        <v>28150</v>
      </c>
    </row>
    <row r="7">
      <c r="A7" s="36" t="inlineStr">
        <is>
          <t>Yüksek mevcut</t>
        </is>
      </c>
      <c r="B7" s="39" t="n">
        <v>500000</v>
      </c>
      <c r="C7" s="39" t="n">
        <v>300000</v>
      </c>
      <c r="D7" s="39" t="n">
        <v>100000</v>
      </c>
      <c r="E7" s="39" t="n">
        <v>50000</v>
      </c>
      <c r="F7" s="39" t="n">
        <v>30000</v>
      </c>
      <c r="G7" s="39" t="n">
        <v>40000</v>
      </c>
      <c r="H7" s="37">
        <f>IF($A7="","",IFERROR(ROUND(MAX(0,$B7*INDEX(tblKurallar[deger_2025],MATCH("KIK-001",tblKurallar[kural_id],0))-($C7+$D7+$E7+$F7)),kik_yuvarMax),0))</f>
        <v/>
      </c>
      <c r="I7" s="37">
        <f>IF($A7="","",IFERROR(MAX(0,$H7-$G7*kik_sifirCarpan),0))</f>
        <v/>
      </c>
      <c r="L7" s="29" t="n">
        <v>0</v>
      </c>
    </row>
    <row r="8">
      <c r="A8" s="36" t="inlineStr">
        <is>
          <t>Düşük matrah</t>
        </is>
      </c>
      <c r="B8" s="39" t="n">
        <v>200000</v>
      </c>
      <c r="C8" s="39" t="n">
        <v>120000</v>
      </c>
      <c r="D8" s="39" t="n">
        <v>40000</v>
      </c>
      <c r="E8" s="39" t="n">
        <v>20000</v>
      </c>
      <c r="F8" s="39" t="n">
        <v>10000</v>
      </c>
      <c r="G8" s="39" t="n">
        <v>5000</v>
      </c>
      <c r="H8" s="37">
        <f>IF($A8="","",IFERROR(ROUND(MAX(0,$B8*INDEX(tblKurallar[deger_2025],MATCH("KIK-001",tblKurallar[kural_id],0))-($C8+$D8+$E8+$F8)),kik_yuvarMax),0))</f>
        <v/>
      </c>
      <c r="I8" s="37">
        <f>IF($A8="","",IFERROR(MAX(0,$H8-$G8*kik_sifirCarpan),0))</f>
        <v/>
      </c>
      <c r="L8" s="29" t="n">
        <v>15200</v>
      </c>
    </row>
    <row r="9">
      <c r="A9" s="36" t="inlineStr">
        <is>
          <t>Sadece 5 puan</t>
        </is>
      </c>
      <c r="B9" s="39" t="n">
        <v>400000</v>
      </c>
      <c r="C9" s="39" t="n">
        <v>400000</v>
      </c>
      <c r="D9" s="39" t="n">
        <v>0</v>
      </c>
      <c r="E9" s="39" t="n">
        <v>0</v>
      </c>
      <c r="F9" s="39" t="n">
        <v>0</v>
      </c>
      <c r="G9" s="39" t="n">
        <v>5000</v>
      </c>
      <c r="H9" s="37">
        <f>IF($A9="","",IFERROR(ROUND(MAX(0,$B9*INDEX(tblKurallar[deger_2025],MATCH("KIK-001",tblKurallar[kural_id],0))-($C9+$D9+$E9+$F9)),kik_yuvarMax),0))</f>
        <v/>
      </c>
      <c r="I9" s="37">
        <f>IF($A9="","",IFERROR(MAX(0,$H9-$G9*kik_sifirCarpan),0))</f>
        <v/>
      </c>
      <c r="L9" s="29" t="n">
        <v>15000</v>
      </c>
    </row>
    <row r="10">
      <c r="A10" s="36" t="inlineStr">
        <is>
          <t>Sıfır kaçırılan</t>
        </is>
      </c>
      <c r="B10" s="39" t="n">
        <v>300000</v>
      </c>
      <c r="C10" s="39" t="n">
        <v>200000</v>
      </c>
      <c r="D10" s="39" t="n">
        <v>50000</v>
      </c>
      <c r="E10" s="39" t="n">
        <v>0</v>
      </c>
      <c r="F10" s="39" t="n">
        <v>0</v>
      </c>
      <c r="G10" s="39" t="n">
        <v>17250</v>
      </c>
      <c r="H10" s="37">
        <f>IF($A10="","",IFERROR(ROUND(MAX(0,$B10*INDEX(tblKurallar[deger_2025],MATCH("KIK-001",tblKurallar[kural_id],0))-($C10+$D10+$E10+$F10)),kik_yuvarMax),0))</f>
        <v/>
      </c>
      <c r="I10" s="37">
        <f>IF($A10="","",IFERROR(MAX(0,$H10-$G10*kik_sifirCarpan),0))</f>
        <v/>
      </c>
      <c r="L10" s="29" t="n">
        <v>0</v>
      </c>
    </row>
    <row r="11">
      <c r="A11" s="36" t="n"/>
      <c r="B11" s="36" t="n"/>
      <c r="C11" s="36" t="n"/>
      <c r="D11" s="36" t="n"/>
      <c r="E11" s="36" t="n"/>
      <c r="F11" s="36" t="n"/>
      <c r="G11" s="36" t="n"/>
      <c r="H11" s="37">
        <f>IF($A11="","",IFERROR(ROUND(MAX(0,$B11*INDEX(tblKurallar[deger_2025],MATCH("KIK-001",tblKurallar[kural_id],0))-($C11+$D11+$E11+$F11)),kik_yuvarMax),0))</f>
        <v/>
      </c>
      <c r="I11" s="37">
        <f>IF($A11="","",IFERROR(MAX(0,$H11-$G11*kik_sifirCarpan),0))</f>
        <v/>
      </c>
    </row>
    <row r="12">
      <c r="A12" s="36" t="n"/>
      <c r="B12" s="36" t="n"/>
      <c r="C12" s="36" t="n"/>
      <c r="D12" s="36" t="n"/>
      <c r="E12" s="36" t="n"/>
      <c r="F12" s="36" t="n"/>
      <c r="G12" s="36" t="n"/>
      <c r="H12" s="37">
        <f>IF($A12="","",IFERROR(ROUND(MAX(0,$B12*INDEX(tblKurallar[deger_2025],MATCH("KIK-001",tblKurallar[kural_id],0))-($C12+$D12+$E12+$F12)),kik_yuvarMax),0))</f>
        <v/>
      </c>
      <c r="I12" s="37">
        <f>IF($A12="","",IFERROR(MAX(0,$H12-$G12*kik_sifirCarpan),0))</f>
        <v/>
      </c>
    </row>
    <row r="13">
      <c r="A13" s="36" t="n"/>
      <c r="B13" s="36" t="n"/>
      <c r="C13" s="36" t="n"/>
      <c r="D13" s="36" t="n"/>
      <c r="E13" s="36" t="n"/>
      <c r="F13" s="36" t="n"/>
      <c r="G13" s="36" t="n"/>
      <c r="H13" s="37">
        <f>IF($A13="","",IFERROR(ROUND(MAX(0,$B13*INDEX(tblKurallar[deger_2025],MATCH("KIK-001",tblKurallar[kural_id],0))-($C13+$D13+$E13+$F13)),kik_yuvarMax),0))</f>
        <v/>
      </c>
      <c r="I13" s="37">
        <f>IF($A13="","",IFERROR(MAX(0,$H13-$G13*kik_sifirCarpan),0))</f>
        <v/>
      </c>
    </row>
    <row r="14">
      <c r="A14" s="36" t="n"/>
      <c r="B14" s="36" t="n"/>
      <c r="C14" s="36" t="n"/>
      <c r="D14" s="36" t="n"/>
      <c r="E14" s="36" t="n"/>
      <c r="F14" s="36" t="n"/>
      <c r="G14" s="36" t="n"/>
      <c r="H14" s="37">
        <f>IF($A14="","",IFERROR(ROUND(MAX(0,$B14*INDEX(tblKurallar[deger_2025],MATCH("KIK-001",tblKurallar[kural_id],0))-($C14+$D14+$E14+$F14)),kik_yuvarMax),0))</f>
        <v/>
      </c>
      <c r="I14" s="37">
        <f>IF($A14="","",IFERROR(MAX(0,$H14-$G14*kik_sifirCarpan),0))</f>
        <v/>
      </c>
    </row>
    <row r="15">
      <c r="A15" s="36" t="n"/>
      <c r="B15" s="36" t="n"/>
      <c r="C15" s="36" t="n"/>
      <c r="D15" s="36" t="n"/>
      <c r="E15" s="36" t="n"/>
      <c r="F15" s="36" t="n"/>
      <c r="G15" s="36" t="n"/>
      <c r="H15" s="37">
        <f>IF($A15="","",IFERROR(ROUND(MAX(0,$B15*INDEX(tblKurallar[deger_2025],MATCH("KIK-001",tblKurallar[kural_id],0))-($C15+$D15+$E15+$F15)),kik_yuvarMax),0))</f>
        <v/>
      </c>
      <c r="I15" s="37">
        <f>IF($A15="","",IFERROR(MAX(0,$H15-$G15*kik_sifirCarpan),0))</f>
        <v/>
      </c>
    </row>
    <row r="16">
      <c r="A16" s="36" t="n"/>
      <c r="B16" s="36" t="n"/>
      <c r="C16" s="36" t="n"/>
      <c r="D16" s="36" t="n"/>
      <c r="E16" s="36" t="n"/>
      <c r="F16" s="36" t="n"/>
      <c r="G16" s="36" t="n"/>
      <c r="H16" s="37">
        <f>IF($A16="","",IFERROR(ROUND(MAX(0,$B16*INDEX(tblKurallar[deger_2025],MATCH("KIK-001",tblKurallar[kural_id],0))-($C16+$D16+$E16+$F16)),kik_yuvarMax),0))</f>
        <v/>
      </c>
      <c r="I16" s="37">
        <f>IF($A16="","",IFERROR(MAX(0,$H16-$G16*kik_sifirCarpan),0))</f>
        <v/>
      </c>
    </row>
    <row r="17">
      <c r="A17" s="36" t="n"/>
      <c r="B17" s="36" t="n"/>
      <c r="C17" s="36" t="n"/>
      <c r="D17" s="36" t="n"/>
      <c r="E17" s="36" t="n"/>
      <c r="F17" s="36" t="n"/>
      <c r="G17" s="36" t="n"/>
      <c r="H17" s="37">
        <f>IF($A17="","",IFERROR(ROUND(MAX(0,$B17*INDEX(tblKurallar[deger_2025],MATCH("KIK-001",tblKurallar[kural_id],0))-($C17+$D17+$E17+$F17)),kik_yuvarMax),0))</f>
        <v/>
      </c>
      <c r="I17" s="37">
        <f>IF($A17="","",IFERROR(MAX(0,$H17-$G17*kik_sifirCarpan),0))</f>
        <v/>
      </c>
    </row>
    <row r="18">
      <c r="A18" s="36" t="n"/>
      <c r="B18" s="36" t="n"/>
      <c r="C18" s="36" t="n"/>
      <c r="D18" s="36" t="n"/>
      <c r="E18" s="36" t="n"/>
      <c r="F18" s="36" t="n"/>
      <c r="G18" s="36" t="n"/>
      <c r="H18" s="37">
        <f>IF($A18="","",IFERROR(ROUND(MAX(0,$B18*INDEX(tblKurallar[deger_2025],MATCH("KIK-001",tblKurallar[kural_id],0))-($C18+$D18+$E18+$F18)),kik_yuvarMax),0))</f>
        <v/>
      </c>
      <c r="I18" s="37">
        <f>IF($A18="","",IFERROR(MAX(0,$H18-$G18*kik_sifirCarpan),0))</f>
        <v/>
      </c>
    </row>
    <row r="19">
      <c r="A19" s="36" t="n"/>
      <c r="B19" s="36" t="n"/>
      <c r="C19" s="36" t="n"/>
      <c r="D19" s="36" t="n"/>
      <c r="E19" s="36" t="n"/>
      <c r="F19" s="36" t="n"/>
      <c r="G19" s="36" t="n"/>
      <c r="H19" s="37">
        <f>IF($A19="","",IFERROR(ROUND(MAX(0,$B19*INDEX(tblKurallar[deger_2025],MATCH("KIK-001",tblKurallar[kural_id],0))-($C19+$D19+$E19+$F19)),kik_yuvarMax),0))</f>
        <v/>
      </c>
      <c r="I19" s="37">
        <f>IF($A19="","",IFERROR(MAX(0,$H19-$G19*kik_sifirCarpan),0))</f>
        <v/>
      </c>
    </row>
    <row r="20">
      <c r="A20" s="36" t="n"/>
      <c r="B20" s="36" t="n"/>
      <c r="C20" s="36" t="n"/>
      <c r="D20" s="36" t="n"/>
      <c r="E20" s="36" t="n"/>
      <c r="F20" s="36" t="n"/>
      <c r="G20" s="36" t="n"/>
      <c r="H20" s="37">
        <f>IF($A20="","",IFERROR(ROUND(MAX(0,$B20*INDEX(tblKurallar[deger_2025],MATCH("KIK-001",tblKurallar[kural_id],0))-($C20+$D20+$E20+$F20)),kik_yuvarMax),0))</f>
        <v/>
      </c>
      <c r="I20" s="37">
        <f>IF($A20="","",IFERROR(MAX(0,$H20-$G20*kik_sifirCarpan),0))</f>
        <v/>
      </c>
    </row>
    <row r="21">
      <c r="A21" s="36" t="n"/>
      <c r="B21" s="36" t="n"/>
      <c r="C21" s="36" t="n"/>
      <c r="D21" s="36" t="n"/>
      <c r="E21" s="36" t="n"/>
      <c r="F21" s="36" t="n"/>
      <c r="G21" s="36" t="n"/>
      <c r="H21" s="37">
        <f>IF($A21="","",IFERROR(ROUND(MAX(0,$B21*INDEX(tblKurallar[deger_2025],MATCH("KIK-001",tblKurallar[kural_id],0))-($C21+$D21+$E21+$F21)),kik_yuvarMax),0))</f>
        <v/>
      </c>
      <c r="I21" s="37">
        <f>IF($A21="","",IFERROR(MAX(0,$H21-$G21*kik_sifirCarpan),0))</f>
        <v/>
      </c>
    </row>
    <row r="22">
      <c r="A22" s="36" t="n"/>
      <c r="B22" s="36" t="n"/>
      <c r="C22" s="36" t="n"/>
      <c r="D22" s="36" t="n"/>
      <c r="E22" s="36" t="n"/>
      <c r="F22" s="36" t="n"/>
      <c r="G22" s="36" t="n"/>
      <c r="H22" s="37">
        <f>IF($A22="","",IFERROR(ROUND(MAX(0,$B22*INDEX(tblKurallar[deger_2025],MATCH("KIK-001",tblKurallar[kural_id],0))-($C22+$D22+$E22+$F22)),kik_yuvarMax),0))</f>
        <v/>
      </c>
      <c r="I22" s="37">
        <f>IF($A22="","",IFERROR(MAX(0,$H22-$G22*kik_sifirCarpan),0))</f>
        <v/>
      </c>
    </row>
    <row r="23">
      <c r="A23" s="36" t="n"/>
      <c r="B23" s="36" t="n"/>
      <c r="C23" s="36" t="n"/>
      <c r="D23" s="36" t="n"/>
      <c r="E23" s="36" t="n"/>
      <c r="F23" s="36" t="n"/>
      <c r="G23" s="36" t="n"/>
      <c r="H23" s="37">
        <f>IF($A23="","",IFERROR(ROUND(MAX(0,$B23*INDEX(tblKurallar[deger_2025],MATCH("KIK-001",tblKurallar[kural_id],0))-($C23+$D23+$E23+$F23)),kik_yuvarMax),0))</f>
        <v/>
      </c>
      <c r="I23" s="37">
        <f>IF($A23="","",IFERROR(MAX(0,$H23-$G23*kik_sifirCarpan),0))</f>
        <v/>
      </c>
    </row>
    <row r="24">
      <c r="A24" s="36" t="n"/>
      <c r="B24" s="36" t="n"/>
      <c r="C24" s="36" t="n"/>
      <c r="D24" s="36" t="n"/>
      <c r="E24" s="36" t="n"/>
      <c r="F24" s="36" t="n"/>
      <c r="G24" s="36" t="n"/>
      <c r="H24" s="37">
        <f>IF($A24="","",IFERROR(ROUND(MAX(0,$B24*INDEX(tblKurallar[deger_2025],MATCH("KIK-001",tblKurallar[kural_id],0))-($C24+$D24+$E24+$F24)),kik_yuvarMax),0))</f>
        <v/>
      </c>
      <c r="I24" s="37">
        <f>IF($A24="","",IFERROR(MAX(0,$H24-$G24*kik_sifirCarpan),0))</f>
        <v/>
      </c>
    </row>
    <row r="25">
      <c r="A25" s="36" t="n"/>
      <c r="B25" s="36" t="n"/>
      <c r="C25" s="36" t="n"/>
      <c r="D25" s="36" t="n"/>
      <c r="E25" s="36" t="n"/>
      <c r="F25" s="36" t="n"/>
      <c r="G25" s="36" t="n"/>
      <c r="H25" s="37">
        <f>IF($A25="","",IFERROR(ROUND(MAX(0,$B25*INDEX(tblKurallar[deger_2025],MATCH("KIK-001",tblKurallar[kural_id],0))-($C25+$D25+$E25+$F25)),kik_yuvarMax),0))</f>
        <v/>
      </c>
      <c r="I25" s="37">
        <f>IF($A25="","",IFERROR(MAX(0,$H25-$G25*kik_sifirCarpan),0))</f>
        <v/>
      </c>
    </row>
    <row r="26">
      <c r="A26" s="36" t="n"/>
      <c r="B26" s="36" t="n"/>
      <c r="C26" s="36" t="n"/>
      <c r="D26" s="36" t="n"/>
      <c r="E26" s="36" t="n"/>
      <c r="F26" s="36" t="n"/>
      <c r="G26" s="36" t="n"/>
      <c r="H26" s="37">
        <f>IF($A26="","",IFERROR(ROUND(MAX(0,$B26*INDEX(tblKurallar[deger_2025],MATCH("KIK-001",tblKurallar[kural_id],0))-($C26+$D26+$E26+$F26)),kik_yuvarMax),0))</f>
        <v/>
      </c>
      <c r="I26" s="37">
        <f>IF($A26="","",IFERROR(MAX(0,$H26-$G26*kik_sifirCarpan),0))</f>
        <v/>
      </c>
    </row>
    <row r="27">
      <c r="A27" s="36" t="n"/>
      <c r="B27" s="36" t="n"/>
      <c r="C27" s="36" t="n"/>
      <c r="D27" s="36" t="n"/>
      <c r="E27" s="36" t="n"/>
      <c r="F27" s="36" t="n"/>
      <c r="G27" s="36" t="n"/>
      <c r="H27" s="37">
        <f>IF($A27="","",IFERROR(ROUND(MAX(0,$B27*INDEX(tblKurallar[deger_2025],MATCH("KIK-001",tblKurallar[kural_id],0))-($C27+$D27+$E27+$F27)),kik_yuvarMax),0))</f>
        <v/>
      </c>
      <c r="I27" s="37">
        <f>IF($A27="","",IFERROR(MAX(0,$H27-$G27*kik_sifirCarpan),0))</f>
        <v/>
      </c>
    </row>
    <row r="28">
      <c r="A28" s="36" t="n"/>
      <c r="B28" s="36" t="n"/>
      <c r="C28" s="36" t="n"/>
      <c r="D28" s="36" t="n"/>
      <c r="E28" s="36" t="n"/>
      <c r="F28" s="36" t="n"/>
      <c r="G28" s="36" t="n"/>
      <c r="H28" s="37">
        <f>IF($A28="","",IFERROR(ROUND(MAX(0,$B28*INDEX(tblKurallar[deger_2025],MATCH("KIK-001",tblKurallar[kural_id],0))-($C28+$D28+$E28+$F28)),kik_yuvarMax),0))</f>
        <v/>
      </c>
      <c r="I28" s="37">
        <f>IF($A28="","",IFERROR(MAX(0,$H28-$G28*kik_sifirCarpan),0))</f>
        <v/>
      </c>
    </row>
    <row r="29">
      <c r="A29" s="36" t="n"/>
      <c r="B29" s="36" t="n"/>
      <c r="C29" s="36" t="n"/>
      <c r="D29" s="36" t="n"/>
      <c r="E29" s="36" t="n"/>
      <c r="F29" s="36" t="n"/>
      <c r="G29" s="36" t="n"/>
      <c r="H29" s="37">
        <f>IF($A29="","",IFERROR(ROUND(MAX(0,$B29*INDEX(tblKurallar[deger_2025],MATCH("KIK-001",tblKurallar[kural_id],0))-($C29+$D29+$E29+$F29)),kik_yuvarMax),0))</f>
        <v/>
      </c>
      <c r="I29" s="37">
        <f>IF($A29="","",IFERROR(MAX(0,$H29-$G29*kik_sifirCarpan),0))</f>
        <v/>
      </c>
    </row>
    <row r="30">
      <c r="A30" s="36" t="n"/>
      <c r="B30" s="36" t="n"/>
      <c r="C30" s="36" t="n"/>
      <c r="D30" s="36" t="n"/>
      <c r="E30" s="36" t="n"/>
      <c r="F30" s="36" t="n"/>
      <c r="G30" s="36" t="n"/>
      <c r="H30" s="37">
        <f>IF($A30="","",IFERROR(ROUND(MAX(0,$B30*INDEX(tblKurallar[deger_2025],MATCH("KIK-001",tblKurallar[kural_id],0))-($C30+$D30+$E30+$F30)),kik_yuvarMax),0))</f>
        <v/>
      </c>
      <c r="I30" s="37">
        <f>IF($A30="","",IFERROR(MAX(0,$H30-$G30*kik_sifirCarpan),0))</f>
        <v/>
      </c>
    </row>
    <row r="31">
      <c r="A31" s="36" t="n"/>
      <c r="B31" s="36" t="n"/>
      <c r="C31" s="36" t="n"/>
      <c r="D31" s="36" t="n"/>
      <c r="E31" s="36" t="n"/>
      <c r="F31" s="36" t="n"/>
      <c r="G31" s="36" t="n"/>
      <c r="H31" s="37">
        <f>IF($A31="","",IFERROR(ROUND(MAX(0,$B31*INDEX(tblKurallar[deger_2025],MATCH("KIK-001",tblKurallar[kural_id],0))-($C31+$D31+$E31+$F31)),kik_yuvarMax),0))</f>
        <v/>
      </c>
      <c r="I31" s="37">
        <f>IF($A31="","",IFERROR(MAX(0,$H31-$G31*kik_sifirCarpan),0))</f>
        <v/>
      </c>
    </row>
    <row r="32">
      <c r="A32" s="36" t="n"/>
      <c r="B32" s="36" t="n"/>
      <c r="C32" s="36" t="n"/>
      <c r="D32" s="36" t="n"/>
      <c r="E32" s="36" t="n"/>
      <c r="F32" s="36" t="n"/>
      <c r="G32" s="36" t="n"/>
      <c r="H32" s="37">
        <f>IF($A32="","",IFERROR(ROUND(MAX(0,$B32*INDEX(tblKurallar[deger_2025],MATCH("KIK-001",tblKurallar[kural_id],0))-($C32+$D32+$E32+$F32)),kik_yuvarMax),0))</f>
        <v/>
      </c>
      <c r="I32" s="37">
        <f>IF($A32="","",IFERROR(MAX(0,$H32-$G32*kik_sifirCarpan),0))</f>
        <v/>
      </c>
    </row>
    <row r="33">
      <c r="A33" s="36" t="n"/>
      <c r="B33" s="36" t="n"/>
      <c r="C33" s="36" t="n"/>
      <c r="D33" s="36" t="n"/>
      <c r="E33" s="36" t="n"/>
      <c r="F33" s="36" t="n"/>
      <c r="G33" s="36" t="n"/>
      <c r="H33" s="37">
        <f>IF($A33="","",IFERROR(ROUND(MAX(0,$B33*INDEX(tblKurallar[deger_2025],MATCH("KIK-001",tblKurallar[kural_id],0))-($C33+$D33+$E33+$F33)),kik_yuvarMax),0))</f>
        <v/>
      </c>
      <c r="I33" s="37">
        <f>IF($A33="","",IFERROR(MAX(0,$H33-$G33*kik_sifirCarpan),0))</f>
        <v/>
      </c>
    </row>
    <row r="34">
      <c r="A34" s="36" t="n"/>
      <c r="B34" s="36" t="n"/>
      <c r="C34" s="36" t="n"/>
      <c r="D34" s="36" t="n"/>
      <c r="E34" s="36" t="n"/>
      <c r="F34" s="36" t="n"/>
      <c r="G34" s="36" t="n"/>
      <c r="H34" s="37">
        <f>IF($A34="","",IFERROR(ROUND(MAX(0,$B34*INDEX(tblKurallar[deger_2025],MATCH("KIK-001",tblKurallar[kural_id],0))-($C34+$D34+$E34+$F34)),kik_yuvarMax),0))</f>
        <v/>
      </c>
      <c r="I34" s="37">
        <f>IF($A34="","",IFERROR(MAX(0,$H34-$G34*kik_sifirCarpan),0))</f>
        <v/>
      </c>
    </row>
    <row r="35">
      <c r="A35" s="36" t="n"/>
      <c r="B35" s="36" t="n"/>
      <c r="C35" s="36" t="n"/>
      <c r="D35" s="36" t="n"/>
      <c r="E35" s="36" t="n"/>
      <c r="F35" s="36" t="n"/>
      <c r="G35" s="36" t="n"/>
      <c r="H35" s="37">
        <f>IF($A35="","",IFERROR(ROUND(MAX(0,$B35*INDEX(tblKurallar[deger_2025],MATCH("KIK-001",tblKurallar[kural_id],0))-($C35+$D35+$E35+$F35)),kik_yuvarMax),0))</f>
        <v/>
      </c>
      <c r="I35" s="37">
        <f>IF($A35="","",IFERROR(MAX(0,$H35-$G35*kik_sifirCarpan),0))</f>
        <v/>
      </c>
    </row>
    <row r="36">
      <c r="A36" s="36" t="n"/>
      <c r="B36" s="36" t="n"/>
      <c r="C36" s="36" t="n"/>
      <c r="D36" s="36" t="n"/>
      <c r="E36" s="36" t="n"/>
      <c r="F36" s="36" t="n"/>
      <c r="G36" s="36" t="n"/>
      <c r="H36" s="37">
        <f>IF($A36="","",IFERROR(ROUND(MAX(0,$B36*INDEX(tblKurallar[deger_2025],MATCH("KIK-001",tblKurallar[kural_id],0))-($C36+$D36+$E36+$F36)),kik_yuvarMax),0))</f>
        <v/>
      </c>
      <c r="I36" s="37">
        <f>IF($A36="","",IFERROR(MAX(0,$H36-$G36*kik_sifirCarpan),0))</f>
        <v/>
      </c>
    </row>
    <row r="37">
      <c r="A37" s="36" t="n"/>
      <c r="B37" s="36" t="n"/>
      <c r="C37" s="36" t="n"/>
      <c r="D37" s="36" t="n"/>
      <c r="E37" s="36" t="n"/>
      <c r="F37" s="36" t="n"/>
      <c r="G37" s="36" t="n"/>
      <c r="H37" s="37">
        <f>IF($A37="","",IFERROR(ROUND(MAX(0,$B37*INDEX(tblKurallar[deger_2025],MATCH("KIK-001",tblKurallar[kural_id],0))-($C37+$D37+$E37+$F37)),kik_yuvarMax),0))</f>
        <v/>
      </c>
      <c r="I37" s="37">
        <f>IF($A37="","",IFERROR(MAX(0,$H37-$G37*kik_sifirCarpan),0))</f>
        <v/>
      </c>
    </row>
    <row r="38">
      <c r="A38" s="36" t="n"/>
      <c r="B38" s="36" t="n"/>
      <c r="C38" s="36" t="n"/>
      <c r="D38" s="36" t="n"/>
      <c r="E38" s="36" t="n"/>
      <c r="F38" s="36" t="n"/>
      <c r="G38" s="36" t="n"/>
      <c r="H38" s="37">
        <f>IF($A38="","",IFERROR(ROUND(MAX(0,$B38*INDEX(tblKurallar[deger_2025],MATCH("KIK-001",tblKurallar[kural_id],0))-($C38+$D38+$E38+$F38)),kik_yuvarMax),0))</f>
        <v/>
      </c>
      <c r="I38" s="37">
        <f>IF($A38="","",IFERROR(MAX(0,$H38-$G38*kik_sifirCarpan),0))</f>
        <v/>
      </c>
    </row>
    <row r="39">
      <c r="A39" s="36" t="n"/>
      <c r="B39" s="36" t="n"/>
      <c r="C39" s="36" t="n"/>
      <c r="D39" s="36" t="n"/>
      <c r="E39" s="36" t="n"/>
      <c r="F39" s="36" t="n"/>
      <c r="G39" s="36" t="n"/>
      <c r="H39" s="37">
        <f>IF($A39="","",IFERROR(ROUND(MAX(0,$B39*INDEX(tblKurallar[deger_2025],MATCH("KIK-001",tblKurallar[kural_id],0))-($C39+$D39+$E39+$F39)),kik_yuvarMax),0))</f>
        <v/>
      </c>
      <c r="I39" s="37">
        <f>IF($A39="","",IFERROR(MAX(0,$H39-$G39*kik_sifirCarpan),0))</f>
        <v/>
      </c>
    </row>
    <row r="40">
      <c r="A40" s="36" t="n"/>
      <c r="B40" s="36" t="n"/>
      <c r="C40" s="36" t="n"/>
      <c r="D40" s="36" t="n"/>
      <c r="E40" s="36" t="n"/>
      <c r="F40" s="36" t="n"/>
      <c r="G40" s="36" t="n"/>
      <c r="H40" s="37">
        <f>IF($A40="","",IFERROR(ROUND(MAX(0,$B40*INDEX(tblKurallar[deger_2025],MATCH("KIK-001",tblKurallar[kural_id],0))-($C40+$D40+$E40+$F40)),kik_yuvarMax),0))</f>
        <v/>
      </c>
      <c r="I40" s="37">
        <f>IF($A40="","",IFERROR(MAX(0,$H40-$G40*kik_sifirCarpan),0))</f>
        <v/>
      </c>
    </row>
    <row r="41">
      <c r="A41" s="36" t="n"/>
      <c r="B41" s="36" t="n"/>
      <c r="C41" s="36" t="n"/>
      <c r="D41" s="36" t="n"/>
      <c r="E41" s="36" t="n"/>
      <c r="F41" s="36" t="n"/>
      <c r="G41" s="36" t="n"/>
      <c r="H41" s="37">
        <f>IF($A41="","",IFERROR(ROUND(MAX(0,$B41*INDEX(tblKurallar[deger_2025],MATCH("KIK-001",tblKurallar[kural_id],0))-($C41+$D41+$E41+$F41)),kik_yuvarMax),0))</f>
        <v/>
      </c>
      <c r="I41" s="37">
        <f>IF($A41="","",IFERROR(MAX(0,$H41-$G41*kik_sifirCarpan),0))</f>
        <v/>
      </c>
    </row>
    <row r="42">
      <c r="A42" s="36" t="n"/>
      <c r="B42" s="36" t="n"/>
      <c r="C42" s="36" t="n"/>
      <c r="D42" s="36" t="n"/>
      <c r="E42" s="36" t="n"/>
      <c r="F42" s="36" t="n"/>
      <c r="G42" s="36" t="n"/>
      <c r="H42" s="37">
        <f>IF($A42="","",IFERROR(ROUND(MAX(0,$B42*INDEX(tblKurallar[deger_2025],MATCH("KIK-001",tblKurallar[kural_id],0))-($C42+$D42+$E42+$F42)),kik_yuvarMax),0))</f>
        <v/>
      </c>
      <c r="I42" s="37">
        <f>IF($A42="","",IFERROR(MAX(0,$H42-$G42*kik_sifirCarpan),0))</f>
        <v/>
      </c>
    </row>
    <row r="43">
      <c r="A43" s="36" t="n"/>
      <c r="B43" s="36" t="n"/>
      <c r="C43" s="36" t="n"/>
      <c r="D43" s="36" t="n"/>
      <c r="E43" s="36" t="n"/>
      <c r="F43" s="36" t="n"/>
      <c r="G43" s="36" t="n"/>
      <c r="H43" s="37">
        <f>IF($A43="","",IFERROR(ROUND(MAX(0,$B43*INDEX(tblKurallar[deger_2025],MATCH("KIK-001",tblKurallar[kural_id],0))-($C43+$D43+$E43+$F43)),kik_yuvarMax),0))</f>
        <v/>
      </c>
      <c r="I43" s="37">
        <f>IF($A43="","",IFERROR(MAX(0,$H43-$G43*kik_sifirCarpan),0))</f>
        <v/>
      </c>
    </row>
    <row r="44">
      <c r="A44" s="36" t="n"/>
      <c r="B44" s="36" t="n"/>
      <c r="C44" s="36" t="n"/>
      <c r="D44" s="36" t="n"/>
      <c r="E44" s="36" t="n"/>
      <c r="F44" s="36" t="n"/>
      <c r="G44" s="36" t="n"/>
      <c r="H44" s="37">
        <f>IF($A44="","",IFERROR(ROUND(MAX(0,$B44*INDEX(tblKurallar[deger_2025],MATCH("KIK-001",tblKurallar[kural_id],0))-($C44+$D44+$E44+$F44)),kik_yuvarMax),0))</f>
        <v/>
      </c>
      <c r="I44" s="37">
        <f>IF($A44="","",IFERROR(MAX(0,$H44-$G44*kik_sifirCarpan),0))</f>
        <v/>
      </c>
    </row>
    <row r="45">
      <c r="A45" s="36" t="n"/>
      <c r="B45" s="36" t="n"/>
      <c r="C45" s="36" t="n"/>
      <c r="D45" s="36" t="n"/>
      <c r="E45" s="36" t="n"/>
      <c r="F45" s="36" t="n"/>
      <c r="G45" s="36" t="n"/>
      <c r="H45" s="37">
        <f>IF($A45="","",IFERROR(ROUND(MAX(0,$B45*INDEX(tblKurallar[deger_2025],MATCH("KIK-001",tblKurallar[kural_id],0))-($C45+$D45+$E45+$F45)),kik_yuvarMax),0))</f>
        <v/>
      </c>
      <c r="I45" s="37">
        <f>IF($A45="","",IFERROR(MAX(0,$H45-$G45*kik_sifirCarpan),0))</f>
        <v/>
      </c>
    </row>
    <row r="46">
      <c r="A46" s="36" t="n"/>
      <c r="B46" s="36" t="n"/>
      <c r="C46" s="36" t="n"/>
      <c r="D46" s="36" t="n"/>
      <c r="E46" s="36" t="n"/>
      <c r="F46" s="36" t="n"/>
      <c r="G46" s="36" t="n"/>
      <c r="H46" s="37">
        <f>IF($A46="","",IFERROR(ROUND(MAX(0,$B46*INDEX(tblKurallar[deger_2025],MATCH("KIK-001",tblKurallar[kural_id],0))-($C46+$D46+$E46+$F46)),kik_yuvarMax),0))</f>
        <v/>
      </c>
      <c r="I46" s="37">
        <f>IF($A46="","",IFERROR(MAX(0,$H46-$G46*kik_sifirCarpan),0))</f>
        <v/>
      </c>
    </row>
    <row r="47">
      <c r="A47" s="36" t="n"/>
      <c r="B47" s="36" t="n"/>
      <c r="C47" s="36" t="n"/>
      <c r="D47" s="36" t="n"/>
      <c r="E47" s="36" t="n"/>
      <c r="F47" s="36" t="n"/>
      <c r="G47" s="36" t="n"/>
      <c r="H47" s="37">
        <f>IF($A47="","",IFERROR(ROUND(MAX(0,$B47*INDEX(tblKurallar[deger_2025],MATCH("KIK-001",tblKurallar[kural_id],0))-($C47+$D47+$E47+$F47)),kik_yuvarMax),0))</f>
        <v/>
      </c>
      <c r="I47" s="37">
        <f>IF($A47="","",IFERROR(MAX(0,$H47-$G47*kik_sifirCarpan),0))</f>
        <v/>
      </c>
    </row>
    <row r="48">
      <c r="A48" s="36" t="n"/>
      <c r="B48" s="36" t="n"/>
      <c r="C48" s="36" t="n"/>
      <c r="D48" s="36" t="n"/>
      <c r="E48" s="36" t="n"/>
      <c r="F48" s="36" t="n"/>
      <c r="G48" s="36" t="n"/>
      <c r="H48" s="37">
        <f>IF($A48="","",IFERROR(ROUND(MAX(0,$B48*INDEX(tblKurallar[deger_2025],MATCH("KIK-001",tblKurallar[kural_id],0))-($C48+$D48+$E48+$F48)),kik_yuvarMax),0))</f>
        <v/>
      </c>
      <c r="I48" s="37">
        <f>IF($A48="","",IFERROR(MAX(0,$H48-$G48*kik_sifirCarpan),0))</f>
        <v/>
      </c>
    </row>
    <row r="49">
      <c r="A49" s="36" t="n"/>
      <c r="B49" s="36" t="n"/>
      <c r="C49" s="36" t="n"/>
      <c r="D49" s="36" t="n"/>
      <c r="E49" s="36" t="n"/>
      <c r="F49" s="36" t="n"/>
      <c r="G49" s="36" t="n"/>
      <c r="H49" s="37">
        <f>IF($A49="","",IFERROR(ROUND(MAX(0,$B49*INDEX(tblKurallar[deger_2025],MATCH("KIK-001",tblKurallar[kural_id],0))-($C49+$D49+$E49+$F49)),kik_yuvarMax),0))</f>
        <v/>
      </c>
      <c r="I49" s="37">
        <f>IF($A49="","",IFERROR(MAX(0,$H49-$G49*kik_sifirCarpan),0))</f>
        <v/>
      </c>
    </row>
    <row r="50">
      <c r="A50" s="36" t="n"/>
      <c r="B50" s="36" t="n"/>
      <c r="C50" s="36" t="n"/>
      <c r="D50" s="36" t="n"/>
      <c r="E50" s="36" t="n"/>
      <c r="F50" s="36" t="n"/>
      <c r="G50" s="36" t="n"/>
      <c r="H50" s="37">
        <f>IF($A50="","",IFERROR(ROUND(MAX(0,$B50*INDEX(tblKurallar[deger_2025],MATCH("KIK-001",tblKurallar[kural_id],0))-($C50+$D50+$E50+$F50)),kik_yuvarMax),0))</f>
        <v/>
      </c>
      <c r="I50" s="37">
        <f>IF($A50="","",IFERROR(MAX(0,$H50-$G50*kik_sifirCarpan),0))</f>
        <v/>
      </c>
    </row>
    <row r="51">
      <c r="A51" s="36" t="n"/>
      <c r="B51" s="36" t="n"/>
      <c r="C51" s="36" t="n"/>
      <c r="D51" s="36" t="n"/>
      <c r="E51" s="36" t="n"/>
      <c r="F51" s="36" t="n"/>
      <c r="G51" s="36" t="n"/>
      <c r="H51" s="37">
        <f>IF($A51="","",IFERROR(ROUND(MAX(0,$B51*INDEX(tblKurallar[deger_2025],MATCH("KIK-001",tblKurallar[kural_id],0))-($C51+$D51+$E51+$F51)),kik_yuvarMax),0))</f>
        <v/>
      </c>
      <c r="I51" s="37">
        <f>IF($A51="","",IFERROR(MAX(0,$H51-$G51*kik_sifirCarpan),0))</f>
        <v/>
      </c>
    </row>
    <row r="52">
      <c r="A52" s="36" t="n"/>
      <c r="B52" s="36" t="n"/>
      <c r="C52" s="36" t="n"/>
      <c r="D52" s="36" t="n"/>
      <c r="E52" s="36" t="n"/>
      <c r="F52" s="36" t="n"/>
      <c r="G52" s="36" t="n"/>
      <c r="H52" s="37">
        <f>IF($A52="","",IFERROR(ROUND(MAX(0,$B52*INDEX(tblKurallar[deger_2025],MATCH("KIK-001",tblKurallar[kural_id],0))-($C52+$D52+$E52+$F52)),kik_yuvarMax),0))</f>
        <v/>
      </c>
      <c r="I52" s="37">
        <f>IF($A52="","",IFERROR(MAX(0,$H52-$G52*kik_sifirCarpan),0))</f>
        <v/>
      </c>
    </row>
    <row r="53">
      <c r="A53" s="36" t="n"/>
      <c r="B53" s="36" t="n"/>
      <c r="C53" s="36" t="n"/>
      <c r="D53" s="36" t="n"/>
      <c r="E53" s="36" t="n"/>
      <c r="F53" s="36" t="n"/>
      <c r="G53" s="36" t="n"/>
      <c r="H53" s="37">
        <f>IF($A53="","",IFERROR(ROUND(MAX(0,$B53*INDEX(tblKurallar[deger_2025],MATCH("KIK-001",tblKurallar[kural_id],0))-($C53+$D53+$E53+$F53)),kik_yuvarMax),0))</f>
        <v/>
      </c>
      <c r="I53" s="37">
        <f>IF($A53="","",IFERROR(MAX(0,$H53-$G53*kik_sifirCarpan),0))</f>
        <v/>
      </c>
    </row>
    <row r="54">
      <c r="A54" s="36" t="n"/>
      <c r="B54" s="36" t="n"/>
      <c r="C54" s="36" t="n"/>
      <c r="D54" s="36" t="n"/>
      <c r="E54" s="36" t="n"/>
      <c r="F54" s="36" t="n"/>
      <c r="G54" s="36" t="n"/>
      <c r="H54" s="37">
        <f>IF($A54="","",IFERROR(ROUND(MAX(0,$B54*INDEX(tblKurallar[deger_2025],MATCH("KIK-001",tblKurallar[kural_id],0))-($C54+$D54+$E54+$F54)),kik_yuvarMax),0))</f>
        <v/>
      </c>
      <c r="I54" s="37">
        <f>IF($A54="","",IFERROR(MAX(0,$H54-$G54*kik_sifirCarpan),0))</f>
        <v/>
      </c>
    </row>
    <row r="55">
      <c r="A55" s="36" t="n"/>
      <c r="B55" s="36" t="n"/>
      <c r="C55" s="36" t="n"/>
      <c r="D55" s="36" t="n"/>
      <c r="E55" s="36" t="n"/>
      <c r="F55" s="36" t="n"/>
      <c r="G55" s="36" t="n"/>
      <c r="H55" s="37">
        <f>IF($A55="","",IFERROR(ROUND(MAX(0,$B55*INDEX(tblKurallar[deger_2025],MATCH("KIK-001",tblKurallar[kural_id],0))-($C55+$D55+$E55+$F55)),kik_yuvarMax),0))</f>
        <v/>
      </c>
      <c r="I55" s="37">
        <f>IF($A55="","",IFERROR(MAX(0,$H55-$G55*kik_sifirCarpan),0))</f>
        <v/>
      </c>
    </row>
    <row r="56">
      <c r="A56" s="36" t="n"/>
      <c r="B56" s="36" t="n"/>
      <c r="C56" s="36" t="n"/>
      <c r="D56" s="36" t="n"/>
      <c r="E56" s="36" t="n"/>
      <c r="F56" s="36" t="n"/>
      <c r="G56" s="36" t="n"/>
      <c r="H56" s="37">
        <f>IF($A56="","",IFERROR(ROUND(MAX(0,$B56*INDEX(tblKurallar[deger_2025],MATCH("KIK-001",tblKurallar[kural_id],0))-($C56+$D56+$E56+$F56)),kik_yuvarMax),0))</f>
        <v/>
      </c>
      <c r="I56" s="37">
        <f>IF($A56="","",IFERROR(MAX(0,$H56-$G56*kik_sifirCarpan),0))</f>
        <v/>
      </c>
    </row>
    <row r="57">
      <c r="A57" s="36" t="n"/>
      <c r="B57" s="36" t="n"/>
      <c r="C57" s="36" t="n"/>
      <c r="D57" s="36" t="n"/>
      <c r="E57" s="36" t="n"/>
      <c r="F57" s="36" t="n"/>
      <c r="G57" s="36" t="n"/>
      <c r="H57" s="37">
        <f>IF($A57="","",IFERROR(ROUND(MAX(0,$B57*INDEX(tblKurallar[deger_2025],MATCH("KIK-001",tblKurallar[kural_id],0))-($C57+$D57+$E57+$F57)),kik_yuvarMax),0))</f>
        <v/>
      </c>
      <c r="I57" s="37">
        <f>IF($A57="","",IFERROR(MAX(0,$H57-$G57*kik_sifirCarpan),0))</f>
        <v/>
      </c>
    </row>
    <row r="58">
      <c r="A58" s="36" t="n"/>
      <c r="B58" s="36" t="n"/>
      <c r="C58" s="36" t="n"/>
      <c r="D58" s="36" t="n"/>
      <c r="E58" s="36" t="n"/>
      <c r="F58" s="36" t="n"/>
      <c r="G58" s="36" t="n"/>
      <c r="H58" s="37">
        <f>IF($A58="","",IFERROR(ROUND(MAX(0,$B58*INDEX(tblKurallar[deger_2025],MATCH("KIK-001",tblKurallar[kural_id],0))-($C58+$D58+$E58+$F58)),kik_yuvarMax),0))</f>
        <v/>
      </c>
      <c r="I58" s="37">
        <f>IF($A58="","",IFERROR(MAX(0,$H58-$G58*kik_sifirCarpan),0))</f>
        <v/>
      </c>
    </row>
    <row r="59">
      <c r="A59" s="36" t="n"/>
      <c r="B59" s="36" t="n"/>
      <c r="C59" s="36" t="n"/>
      <c r="D59" s="36" t="n"/>
      <c r="E59" s="36" t="n"/>
      <c r="F59" s="36" t="n"/>
      <c r="G59" s="36" t="n"/>
      <c r="H59" s="37">
        <f>IF($A59="","",IFERROR(ROUND(MAX(0,$B59*INDEX(tblKurallar[deger_2025],MATCH("KIK-001",tblKurallar[kural_id],0))-($C59+$D59+$E59+$F59)),kik_yuvarMax),0))</f>
        <v/>
      </c>
      <c r="I59" s="37">
        <f>IF($A59="","",IFERROR(MAX(0,$H59-$G59*kik_sifirCarpan),0))</f>
        <v/>
      </c>
    </row>
    <row r="60">
      <c r="A60" s="36" t="n"/>
      <c r="B60" s="36" t="n"/>
      <c r="C60" s="36" t="n"/>
      <c r="D60" s="36" t="n"/>
      <c r="E60" s="36" t="n"/>
      <c r="F60" s="36" t="n"/>
      <c r="G60" s="36" t="n"/>
      <c r="H60" s="37">
        <f>IF($A60="","",IFERROR(ROUND(MAX(0,$B60*INDEX(tblKurallar[deger_2025],MATCH("KIK-001",tblKurallar[kural_id],0))-($C60+$D60+$E60+$F60)),kik_yuvarMax),0))</f>
        <v/>
      </c>
      <c r="I60" s="37">
        <f>IF($A60="","",IFERROR(MAX(0,$H60-$G60*kik_sifirCarpan),0))</f>
        <v/>
      </c>
    </row>
    <row r="61">
      <c r="A61" s="36" t="n"/>
      <c r="B61" s="36" t="n"/>
      <c r="C61" s="36" t="n"/>
      <c r="D61" s="36" t="n"/>
      <c r="E61" s="36" t="n"/>
      <c r="F61" s="36" t="n"/>
      <c r="G61" s="36" t="n"/>
      <c r="H61" s="37">
        <f>IF($A61="","",IFERROR(ROUND(MAX(0,$B61*INDEX(tblKurallar[deger_2025],MATCH("KIK-001",tblKurallar[kural_id],0))-($C61+$D61+$E61+$F61)),kik_yuvarMax),0))</f>
        <v/>
      </c>
      <c r="I61" s="37">
        <f>IF($A61="","",IFERROR(MAX(0,$H61-$G61*kik_sifirCarpan),0))</f>
        <v/>
      </c>
    </row>
    <row r="62">
      <c r="A62" s="36" t="n"/>
      <c r="B62" s="36" t="n"/>
      <c r="C62" s="36" t="n"/>
      <c r="D62" s="36" t="n"/>
      <c r="E62" s="36" t="n"/>
      <c r="F62" s="36" t="n"/>
      <c r="G62" s="36" t="n"/>
      <c r="H62" s="37">
        <f>IF($A62="","",IFERROR(ROUND(MAX(0,$B62*INDEX(tblKurallar[deger_2025],MATCH("KIK-001",tblKurallar[kural_id],0))-($C62+$D62+$E62+$F62)),kik_yuvarMax),0))</f>
        <v/>
      </c>
      <c r="I62" s="37">
        <f>IF($A62="","",IFERROR(MAX(0,$H62-$G62*kik_sifirCarpan),0))</f>
        <v/>
      </c>
    </row>
    <row r="63">
      <c r="A63" s="36" t="n"/>
      <c r="B63" s="36" t="n"/>
      <c r="C63" s="36" t="n"/>
      <c r="D63" s="36" t="n"/>
      <c r="E63" s="36" t="n"/>
      <c r="F63" s="36" t="n"/>
      <c r="G63" s="36" t="n"/>
      <c r="H63" s="37">
        <f>IF($A63="","",IFERROR(ROUND(MAX(0,$B63*INDEX(tblKurallar[deger_2025],MATCH("KIK-001",tblKurallar[kural_id],0))-($C63+$D63+$E63+$F63)),kik_yuvarMax),0))</f>
        <v/>
      </c>
      <c r="I63" s="37">
        <f>IF($A63="","",IFERROR(MAX(0,$H63-$G63*kik_sifirCarpan),0))</f>
        <v/>
      </c>
    </row>
    <row r="64">
      <c r="A64" s="36" t="n"/>
      <c r="B64" s="36" t="n"/>
      <c r="C64" s="36" t="n"/>
      <c r="D64" s="36" t="n"/>
      <c r="E64" s="36" t="n"/>
      <c r="F64" s="36" t="n"/>
      <c r="G64" s="36" t="n"/>
      <c r="H64" s="37">
        <f>IF($A64="","",IFERROR(ROUND(MAX(0,$B64*INDEX(tblKurallar[deger_2025],MATCH("KIK-001",tblKurallar[kural_id],0))-($C64+$D64+$E64+$F64)),kik_yuvarMax),0))</f>
        <v/>
      </c>
      <c r="I64" s="37">
        <f>IF($A64="","",IFERROR(MAX(0,$H64-$G64*kik_sifirCarpan),0))</f>
        <v/>
      </c>
    </row>
    <row r="65">
      <c r="A65" s="36" t="n"/>
      <c r="B65" s="36" t="n"/>
      <c r="C65" s="36" t="n"/>
      <c r="D65" s="36" t="n"/>
      <c r="E65" s="36" t="n"/>
      <c r="F65" s="36" t="n"/>
      <c r="G65" s="36" t="n"/>
      <c r="H65" s="37">
        <f>IF($A65="","",IFERROR(ROUND(MAX(0,$B65*INDEX(tblKurallar[deger_2025],MATCH("KIK-001",tblKurallar[kural_id],0))-($C65+$D65+$E65+$F65)),kik_yuvarMax),0))</f>
        <v/>
      </c>
      <c r="I65" s="37">
        <f>IF($A65="","",IFERROR(MAX(0,$H65-$G65*kik_sifirCarpan),0))</f>
        <v/>
      </c>
    </row>
    <row r="66">
      <c r="A66" s="36" t="n"/>
      <c r="B66" s="36" t="n"/>
      <c r="C66" s="36" t="n"/>
      <c r="D66" s="36" t="n"/>
      <c r="E66" s="36" t="n"/>
      <c r="F66" s="36" t="n"/>
      <c r="G66" s="36" t="n"/>
      <c r="H66" s="37">
        <f>IF($A66="","",IFERROR(ROUND(MAX(0,$B66*INDEX(tblKurallar[deger_2025],MATCH("KIK-001",tblKurallar[kural_id],0))-($C66+$D66+$E66+$F66)),kik_yuvarMax),0))</f>
        <v/>
      </c>
      <c r="I66" s="37">
        <f>IF($A66="","",IFERROR(MAX(0,$H66-$G66*kik_sifirCarpan),0))</f>
        <v/>
      </c>
    </row>
    <row r="67">
      <c r="A67" s="36" t="n"/>
      <c r="B67" s="36" t="n"/>
      <c r="C67" s="36" t="n"/>
      <c r="D67" s="36" t="n"/>
      <c r="E67" s="36" t="n"/>
      <c r="F67" s="36" t="n"/>
      <c r="G67" s="36" t="n"/>
      <c r="H67" s="37">
        <f>IF($A67="","",IFERROR(ROUND(MAX(0,$B67*INDEX(tblKurallar[deger_2025],MATCH("KIK-001",tblKurallar[kural_id],0))-($C67+$D67+$E67+$F67)),kik_yuvarMax),0))</f>
        <v/>
      </c>
      <c r="I67" s="37">
        <f>IF($A67="","",IFERROR(MAX(0,$H67-$G67*kik_sifirCarpan),0))</f>
        <v/>
      </c>
    </row>
    <row r="68">
      <c r="A68" s="36" t="n"/>
      <c r="B68" s="36" t="n"/>
      <c r="C68" s="36" t="n"/>
      <c r="D68" s="36" t="n"/>
      <c r="E68" s="36" t="n"/>
      <c r="F68" s="36" t="n"/>
      <c r="G68" s="36" t="n"/>
      <c r="H68" s="37">
        <f>IF($A68="","",IFERROR(ROUND(MAX(0,$B68*INDEX(tblKurallar[deger_2025],MATCH("KIK-001",tblKurallar[kural_id],0))-($C68+$D68+$E68+$F68)),kik_yuvarMax),0))</f>
        <v/>
      </c>
      <c r="I68" s="37">
        <f>IF($A68="","",IFERROR(MAX(0,$H68-$G68*kik_sifirCarpan),0))</f>
        <v/>
      </c>
    </row>
    <row r="69">
      <c r="A69" s="36" t="n"/>
      <c r="B69" s="36" t="n"/>
      <c r="C69" s="36" t="n"/>
      <c r="D69" s="36" t="n"/>
      <c r="E69" s="36" t="n"/>
      <c r="F69" s="36" t="n"/>
      <c r="G69" s="36" t="n"/>
      <c r="H69" s="37">
        <f>IF($A69="","",IFERROR(ROUND(MAX(0,$B69*INDEX(tblKurallar[deger_2025],MATCH("KIK-001",tblKurallar[kural_id],0))-($C69+$D69+$E69+$F69)),kik_yuvarMax),0))</f>
        <v/>
      </c>
      <c r="I69" s="37">
        <f>IF($A69="","",IFERROR(MAX(0,$H69-$G69*kik_sifirCarpan),0))</f>
        <v/>
      </c>
    </row>
    <row r="70">
      <c r="A70" s="36" t="n"/>
      <c r="B70" s="36" t="n"/>
      <c r="C70" s="36" t="n"/>
      <c r="D70" s="36" t="n"/>
      <c r="E70" s="36" t="n"/>
      <c r="F70" s="36" t="n"/>
      <c r="G70" s="36" t="n"/>
      <c r="H70" s="37">
        <f>IF($A70="","",IFERROR(ROUND(MAX(0,$B70*INDEX(tblKurallar[deger_2025],MATCH("KIK-001",tblKurallar[kural_id],0))-($C70+$D70+$E70+$F70)),kik_yuvarMax),0))</f>
        <v/>
      </c>
      <c r="I70" s="37">
        <f>IF($A70="","",IFERROR(MAX(0,$H70-$G70*kik_sifirCarpan),0))</f>
        <v/>
      </c>
    </row>
    <row r="71">
      <c r="A71" s="36" t="n"/>
      <c r="B71" s="36" t="n"/>
      <c r="C71" s="36" t="n"/>
      <c r="D71" s="36" t="n"/>
      <c r="E71" s="36" t="n"/>
      <c r="F71" s="36" t="n"/>
      <c r="G71" s="36" t="n"/>
      <c r="H71" s="37">
        <f>IF($A71="","",IFERROR(ROUND(MAX(0,$B71*INDEX(tblKurallar[deger_2025],MATCH("KIK-001",tblKurallar[kural_id],0))-($C71+$D71+$E71+$F71)),kik_yuvarMax),0))</f>
        <v/>
      </c>
      <c r="I71" s="37">
        <f>IF($A71="","",IFERROR(MAX(0,$H71-$G71*kik_sifirCarpan),0))</f>
        <v/>
      </c>
    </row>
    <row r="72">
      <c r="A72" s="36" t="n"/>
      <c r="B72" s="36" t="n"/>
      <c r="C72" s="36" t="n"/>
      <c r="D72" s="36" t="n"/>
      <c r="E72" s="36" t="n"/>
      <c r="F72" s="36" t="n"/>
      <c r="G72" s="36" t="n"/>
      <c r="H72" s="37">
        <f>IF($A72="","",IFERROR(ROUND(MAX(0,$B72*INDEX(tblKurallar[deger_2025],MATCH("KIK-001",tblKurallar[kural_id],0))-($C72+$D72+$E72+$F72)),kik_yuvarMax),0))</f>
        <v/>
      </c>
      <c r="I72" s="37">
        <f>IF($A72="","",IFERROR(MAX(0,$H72-$G72*kik_sifirCarpan),0))</f>
        <v/>
      </c>
    </row>
    <row r="73">
      <c r="A73" s="36" t="n"/>
      <c r="B73" s="36" t="n"/>
      <c r="C73" s="36" t="n"/>
      <c r="D73" s="36" t="n"/>
      <c r="E73" s="36" t="n"/>
      <c r="F73" s="36" t="n"/>
      <c r="G73" s="36" t="n"/>
      <c r="H73" s="37">
        <f>IF($A73="","",IFERROR(ROUND(MAX(0,$B73*INDEX(tblKurallar[deger_2025],MATCH("KIK-001",tblKurallar[kural_id],0))-($C73+$D73+$E73+$F73)),kik_yuvarMax),0))</f>
        <v/>
      </c>
      <c r="I73" s="37">
        <f>IF($A73="","",IFERROR(MAX(0,$H73-$G73*kik_sifirCarpan),0))</f>
        <v/>
      </c>
    </row>
    <row r="74">
      <c r="A74" s="36" t="n"/>
      <c r="B74" s="36" t="n"/>
      <c r="C74" s="36" t="n"/>
      <c r="D74" s="36" t="n"/>
      <c r="E74" s="36" t="n"/>
      <c r="F74" s="36" t="n"/>
      <c r="G74" s="36" t="n"/>
      <c r="H74" s="37">
        <f>IF($A74="","",IFERROR(ROUND(MAX(0,$B74*INDEX(tblKurallar[deger_2025],MATCH("KIK-001",tblKurallar[kural_id],0))-($C74+$D74+$E74+$F74)),kik_yuvarMax),0))</f>
        <v/>
      </c>
      <c r="I74" s="37">
        <f>IF($A74="","",IFERROR(MAX(0,$H74-$G74*kik_sifirCarpan),0))</f>
        <v/>
      </c>
    </row>
    <row r="75">
      <c r="A75" s="36" t="n"/>
      <c r="B75" s="36" t="n"/>
      <c r="C75" s="36" t="n"/>
      <c r="D75" s="36" t="n"/>
      <c r="E75" s="36" t="n"/>
      <c r="F75" s="36" t="n"/>
      <c r="G75" s="36" t="n"/>
      <c r="H75" s="37">
        <f>IF($A75="","",IFERROR(ROUND(MAX(0,$B75*INDEX(tblKurallar[deger_2025],MATCH("KIK-001",tblKurallar[kural_id],0))-($C75+$D75+$E75+$F75)),kik_yuvarMax),0))</f>
        <v/>
      </c>
      <c r="I75" s="37">
        <f>IF($A75="","",IFERROR(MAX(0,$H75-$G75*kik_sifirCarpan),0))</f>
        <v/>
      </c>
    </row>
    <row r="76">
      <c r="A76" s="36" t="n"/>
      <c r="B76" s="36" t="n"/>
      <c r="C76" s="36" t="n"/>
      <c r="D76" s="36" t="n"/>
      <c r="E76" s="36" t="n"/>
      <c r="F76" s="36" t="n"/>
      <c r="G76" s="36" t="n"/>
      <c r="H76" s="37">
        <f>IF($A76="","",IFERROR(ROUND(MAX(0,$B76*INDEX(tblKurallar[deger_2025],MATCH("KIK-001",tblKurallar[kural_id],0))-($C76+$D76+$E76+$F76)),kik_yuvarMax),0))</f>
        <v/>
      </c>
      <c r="I76" s="37">
        <f>IF($A76="","",IFERROR(MAX(0,$H76-$G76*kik_sifirCarpan),0))</f>
        <v/>
      </c>
    </row>
    <row r="77">
      <c r="A77" s="36" t="n"/>
      <c r="B77" s="36" t="n"/>
      <c r="C77" s="36" t="n"/>
      <c r="D77" s="36" t="n"/>
      <c r="E77" s="36" t="n"/>
      <c r="F77" s="36" t="n"/>
      <c r="G77" s="36" t="n"/>
      <c r="H77" s="37">
        <f>IF($A77="","",IFERROR(ROUND(MAX(0,$B77*INDEX(tblKurallar[deger_2025],MATCH("KIK-001",tblKurallar[kural_id],0))-($C77+$D77+$E77+$F77)),kik_yuvarMax),0))</f>
        <v/>
      </c>
      <c r="I77" s="37">
        <f>IF($A77="","",IFERROR(MAX(0,$H77-$G77*kik_sifirCarpan),0))</f>
        <v/>
      </c>
    </row>
    <row r="78">
      <c r="A78" s="36" t="n"/>
      <c r="B78" s="36" t="n"/>
      <c r="C78" s="36" t="n"/>
      <c r="D78" s="36" t="n"/>
      <c r="E78" s="36" t="n"/>
      <c r="F78" s="36" t="n"/>
      <c r="G78" s="36" t="n"/>
      <c r="H78" s="37">
        <f>IF($A78="","",IFERROR(ROUND(MAX(0,$B78*INDEX(tblKurallar[deger_2025],MATCH("KIK-001",tblKurallar[kural_id],0))-($C78+$D78+$E78+$F78)),kik_yuvarMax),0))</f>
        <v/>
      </c>
      <c r="I78" s="37">
        <f>IF($A78="","",IFERROR(MAX(0,$H78-$G78*kik_sifirCarpan),0))</f>
        <v/>
      </c>
    </row>
    <row r="79">
      <c r="A79" s="36" t="n"/>
      <c r="B79" s="36" t="n"/>
      <c r="C79" s="36" t="n"/>
      <c r="D79" s="36" t="n"/>
      <c r="E79" s="36" t="n"/>
      <c r="F79" s="36" t="n"/>
      <c r="G79" s="36" t="n"/>
      <c r="H79" s="37">
        <f>IF($A79="","",IFERROR(ROUND(MAX(0,$B79*INDEX(tblKurallar[deger_2025],MATCH("KIK-001",tblKurallar[kural_id],0))-($C79+$D79+$E79+$F79)),kik_yuvarMax),0))</f>
        <v/>
      </c>
      <c r="I79" s="37">
        <f>IF($A79="","",IFERROR(MAX(0,$H79-$G79*kik_sifirCarpan),0))</f>
        <v/>
      </c>
    </row>
    <row r="80">
      <c r="A80" s="36" t="n"/>
      <c r="B80" s="36" t="n"/>
      <c r="C80" s="36" t="n"/>
      <c r="D80" s="36" t="n"/>
      <c r="E80" s="36" t="n"/>
      <c r="F80" s="36" t="n"/>
      <c r="G80" s="36" t="n"/>
      <c r="H80" s="37">
        <f>IF($A80="","",IFERROR(ROUND(MAX(0,$B80*INDEX(tblKurallar[deger_2025],MATCH("KIK-001",tblKurallar[kural_id],0))-($C80+$D80+$E80+$F80)),kik_yuvarMax),0))</f>
        <v/>
      </c>
      <c r="I80" s="37">
        <f>IF($A80="","",IFERROR(MAX(0,$H80-$G80*kik_sifirCarpan),0))</f>
        <v/>
      </c>
    </row>
    <row r="81">
      <c r="A81" s="36" t="n"/>
      <c r="B81" s="36" t="n"/>
      <c r="C81" s="36" t="n"/>
      <c r="D81" s="36" t="n"/>
      <c r="E81" s="36" t="n"/>
      <c r="F81" s="36" t="n"/>
      <c r="G81" s="36" t="n"/>
      <c r="H81" s="37">
        <f>IF($A81="","",IFERROR(ROUND(MAX(0,$B81*INDEX(tblKurallar[deger_2025],MATCH("KIK-001",tblKurallar[kural_id],0))-($C81+$D81+$E81+$F81)),kik_yuvarMax),0))</f>
        <v/>
      </c>
      <c r="I81" s="37">
        <f>IF($A81="","",IFERROR(MAX(0,$H81-$G81*kik_sifirCarpan),0))</f>
        <v/>
      </c>
    </row>
    <row r="82">
      <c r="A82" s="36" t="n"/>
      <c r="B82" s="36" t="n"/>
      <c r="C82" s="36" t="n"/>
      <c r="D82" s="36" t="n"/>
      <c r="E82" s="36" t="n"/>
      <c r="F82" s="36" t="n"/>
      <c r="G82" s="36" t="n"/>
      <c r="H82" s="37">
        <f>IF($A82="","",IFERROR(ROUND(MAX(0,$B82*INDEX(tblKurallar[deger_2025],MATCH("KIK-001",tblKurallar[kural_id],0))-($C82+$D82+$E82+$F82)),kik_yuvarMax),0))</f>
        <v/>
      </c>
      <c r="I82" s="37">
        <f>IF($A82="","",IFERROR(MAX(0,$H82-$G82*kik_sifirCarpan),0))</f>
        <v/>
      </c>
    </row>
    <row r="83">
      <c r="A83" s="36" t="n"/>
      <c r="B83" s="36" t="n"/>
      <c r="C83" s="36" t="n"/>
      <c r="D83" s="36" t="n"/>
      <c r="E83" s="36" t="n"/>
      <c r="F83" s="36" t="n"/>
      <c r="G83" s="36" t="n"/>
      <c r="H83" s="37">
        <f>IF($A83="","",IFERROR(ROUND(MAX(0,$B83*INDEX(tblKurallar[deger_2025],MATCH("KIK-001",tblKurallar[kural_id],0))-($C83+$D83+$E83+$F83)),kik_yuvarMax),0))</f>
        <v/>
      </c>
      <c r="I83" s="37">
        <f>IF($A83="","",IFERROR(MAX(0,$H83-$G83*kik_sifirCarpan),0))</f>
        <v/>
      </c>
    </row>
    <row r="84">
      <c r="A84" s="36" t="n"/>
      <c r="B84" s="36" t="n"/>
      <c r="C84" s="36" t="n"/>
      <c r="D84" s="36" t="n"/>
      <c r="E84" s="36" t="n"/>
      <c r="F84" s="36" t="n"/>
      <c r="G84" s="36" t="n"/>
      <c r="H84" s="37">
        <f>IF($A84="","",IFERROR(ROUND(MAX(0,$B84*INDEX(tblKurallar[deger_2025],MATCH("KIK-001",tblKurallar[kural_id],0))-($C84+$D84+$E84+$F84)),kik_yuvarMax),0))</f>
        <v/>
      </c>
      <c r="I84" s="37">
        <f>IF($A84="","",IFERROR(MAX(0,$H84-$G84*kik_sifirCarpan),0))</f>
        <v/>
      </c>
    </row>
    <row r="85">
      <c r="A85" s="36" t="n"/>
      <c r="B85" s="36" t="n"/>
      <c r="C85" s="36" t="n"/>
      <c r="D85" s="36" t="n"/>
      <c r="E85" s="36" t="n"/>
      <c r="F85" s="36" t="n"/>
      <c r="G85" s="36" t="n"/>
      <c r="H85" s="37">
        <f>IF($A85="","",IFERROR(ROUND(MAX(0,$B85*INDEX(tblKurallar[deger_2025],MATCH("KIK-001",tblKurallar[kural_id],0))-($C85+$D85+$E85+$F85)),kik_yuvarMax),0))</f>
        <v/>
      </c>
      <c r="I85" s="37">
        <f>IF($A85="","",IFERROR(MAX(0,$H85-$G85*kik_sifirCarpan),0))</f>
        <v/>
      </c>
    </row>
    <row r="86">
      <c r="A86" s="36" t="n"/>
      <c r="B86" s="36" t="n"/>
      <c r="C86" s="36" t="n"/>
      <c r="D86" s="36" t="n"/>
      <c r="E86" s="36" t="n"/>
      <c r="F86" s="36" t="n"/>
      <c r="G86" s="36" t="n"/>
      <c r="H86" s="37">
        <f>IF($A86="","",IFERROR(ROUND(MAX(0,$B86*INDEX(tblKurallar[deger_2025],MATCH("KIK-001",tblKurallar[kural_id],0))-($C86+$D86+$E86+$F86)),kik_yuvarMax),0))</f>
        <v/>
      </c>
      <c r="I86" s="37">
        <f>IF($A86="","",IFERROR(MAX(0,$H86-$G86*kik_sifirCarpan),0))</f>
        <v/>
      </c>
    </row>
    <row r="87">
      <c r="A87" s="36" t="n"/>
      <c r="B87" s="36" t="n"/>
      <c r="C87" s="36" t="n"/>
      <c r="D87" s="36" t="n"/>
      <c r="E87" s="36" t="n"/>
      <c r="F87" s="36" t="n"/>
      <c r="G87" s="36" t="n"/>
      <c r="H87" s="37">
        <f>IF($A87="","",IFERROR(ROUND(MAX(0,$B87*INDEX(tblKurallar[deger_2025],MATCH("KIK-001",tblKurallar[kural_id],0))-($C87+$D87+$E87+$F87)),kik_yuvarMax),0))</f>
        <v/>
      </c>
      <c r="I87" s="37">
        <f>IF($A87="","",IFERROR(MAX(0,$H87-$G87*kik_sifirCarpan),0))</f>
        <v/>
      </c>
    </row>
    <row r="88">
      <c r="A88" s="36" t="n"/>
      <c r="B88" s="36" t="n"/>
      <c r="C88" s="36" t="n"/>
      <c r="D88" s="36" t="n"/>
      <c r="E88" s="36" t="n"/>
      <c r="F88" s="36" t="n"/>
      <c r="G88" s="36" t="n"/>
      <c r="H88" s="37">
        <f>IF($A88="","",IFERROR(ROUND(MAX(0,$B88*INDEX(tblKurallar[deger_2025],MATCH("KIK-001",tblKurallar[kural_id],0))-($C88+$D88+$E88+$F88)),kik_yuvarMax),0))</f>
        <v/>
      </c>
      <c r="I88" s="37">
        <f>IF($A88="","",IFERROR(MAX(0,$H88-$G88*kik_sifirCarpan),0))</f>
        <v/>
      </c>
    </row>
    <row r="89">
      <c r="A89" s="36" t="n"/>
      <c r="B89" s="36" t="n"/>
      <c r="C89" s="36" t="n"/>
      <c r="D89" s="36" t="n"/>
      <c r="E89" s="36" t="n"/>
      <c r="F89" s="36" t="n"/>
      <c r="G89" s="36" t="n"/>
      <c r="H89" s="37">
        <f>IF($A89="","",IFERROR(ROUND(MAX(0,$B89*INDEX(tblKurallar[deger_2025],MATCH("KIK-001",tblKurallar[kural_id],0))-($C89+$D89+$E89+$F89)),kik_yuvarMax),0))</f>
        <v/>
      </c>
      <c r="I89" s="37">
        <f>IF($A89="","",IFERROR(MAX(0,$H89-$G89*kik_sifirCarpan),0))</f>
        <v/>
      </c>
    </row>
    <row r="90">
      <c r="A90" s="36" t="n"/>
      <c r="B90" s="36" t="n"/>
      <c r="C90" s="36" t="n"/>
      <c r="D90" s="36" t="n"/>
      <c r="E90" s="36" t="n"/>
      <c r="F90" s="36" t="n"/>
      <c r="G90" s="36" t="n"/>
      <c r="H90" s="37">
        <f>IF($A90="","",IFERROR(ROUND(MAX(0,$B90*INDEX(tblKurallar[deger_2025],MATCH("KIK-001",tblKurallar[kural_id],0))-($C90+$D90+$E90+$F90)),kik_yuvarMax),0))</f>
        <v/>
      </c>
      <c r="I90" s="37">
        <f>IF($A90="","",IFERROR(MAX(0,$H90-$G90*kik_sifirCarpan),0))</f>
        <v/>
      </c>
    </row>
    <row r="91">
      <c r="A91" s="36" t="n"/>
      <c r="B91" s="36" t="n"/>
      <c r="C91" s="36" t="n"/>
      <c r="D91" s="36" t="n"/>
      <c r="E91" s="36" t="n"/>
      <c r="F91" s="36" t="n"/>
      <c r="G91" s="36" t="n"/>
      <c r="H91" s="37">
        <f>IF($A91="","",IFERROR(ROUND(MAX(0,$B91*INDEX(tblKurallar[deger_2025],MATCH("KIK-001",tblKurallar[kural_id],0))-($C91+$D91+$E91+$F91)),kik_yuvarMax),0))</f>
        <v/>
      </c>
      <c r="I91" s="37">
        <f>IF($A91="","",IFERROR(MAX(0,$H91-$G91*kik_sifirCarpan),0))</f>
        <v/>
      </c>
    </row>
    <row r="92">
      <c r="A92" s="36" t="n"/>
      <c r="B92" s="36" t="n"/>
      <c r="C92" s="36" t="n"/>
      <c r="D92" s="36" t="n"/>
      <c r="E92" s="36" t="n"/>
      <c r="F92" s="36" t="n"/>
      <c r="G92" s="36" t="n"/>
      <c r="H92" s="37">
        <f>IF($A92="","",IFERROR(ROUND(MAX(0,$B92*INDEX(tblKurallar[deger_2025],MATCH("KIK-001",tblKurallar[kural_id],0))-($C92+$D92+$E92+$F92)),kik_yuvarMax),0))</f>
        <v/>
      </c>
      <c r="I92" s="37">
        <f>IF($A92="","",IFERROR(MAX(0,$H92-$G92*kik_sifirCarpan),0))</f>
        <v/>
      </c>
    </row>
    <row r="93">
      <c r="A93" s="36" t="n"/>
      <c r="B93" s="36" t="n"/>
      <c r="C93" s="36" t="n"/>
      <c r="D93" s="36" t="n"/>
      <c r="E93" s="36" t="n"/>
      <c r="F93" s="36" t="n"/>
      <c r="G93" s="36" t="n"/>
      <c r="H93" s="37">
        <f>IF($A93="","",IFERROR(ROUND(MAX(0,$B93*INDEX(tblKurallar[deger_2025],MATCH("KIK-001",tblKurallar[kural_id],0))-($C93+$D93+$E93+$F93)),kik_yuvarMax),0))</f>
        <v/>
      </c>
      <c r="I93" s="37">
        <f>IF($A93="","",IFERROR(MAX(0,$H93-$G93*kik_sifirCarpan),0))</f>
        <v/>
      </c>
    </row>
    <row r="94">
      <c r="A94" s="36" t="n"/>
      <c r="B94" s="36" t="n"/>
      <c r="C94" s="36" t="n"/>
      <c r="D94" s="36" t="n"/>
      <c r="E94" s="36" t="n"/>
      <c r="F94" s="36" t="n"/>
      <c r="G94" s="36" t="n"/>
      <c r="H94" s="37">
        <f>IF($A94="","",IFERROR(ROUND(MAX(0,$B94*INDEX(tblKurallar[deger_2025],MATCH("KIK-001",tblKurallar[kural_id],0))-($C94+$D94+$E94+$F94)),kik_yuvarMax),0))</f>
        <v/>
      </c>
      <c r="I94" s="37">
        <f>IF($A94="","",IFERROR(MAX(0,$H94-$G94*kik_sifirCarpan),0))</f>
        <v/>
      </c>
    </row>
    <row r="95">
      <c r="A95" s="36" t="n"/>
      <c r="B95" s="36" t="n"/>
      <c r="C95" s="36" t="n"/>
      <c r="D95" s="36" t="n"/>
      <c r="E95" s="36" t="n"/>
      <c r="F95" s="36" t="n"/>
      <c r="G95" s="36" t="n"/>
      <c r="H95" s="37">
        <f>IF($A95="","",IFERROR(ROUND(MAX(0,$B95*INDEX(tblKurallar[deger_2025],MATCH("KIK-001",tblKurallar[kural_id],0))-($C95+$D95+$E95+$F95)),kik_yuvarMax),0))</f>
        <v/>
      </c>
      <c r="I95" s="37">
        <f>IF($A95="","",IFERROR(MAX(0,$H95-$G95*kik_sifirCarpan),0))</f>
        <v/>
      </c>
    </row>
    <row r="96">
      <c r="A96" s="36" t="n"/>
      <c r="B96" s="36" t="n"/>
      <c r="C96" s="36" t="n"/>
      <c r="D96" s="36" t="n"/>
      <c r="E96" s="36" t="n"/>
      <c r="F96" s="36" t="n"/>
      <c r="G96" s="36" t="n"/>
      <c r="H96" s="37">
        <f>IF($A96="","",IFERROR(ROUND(MAX(0,$B96*INDEX(tblKurallar[deger_2025],MATCH("KIK-001",tblKurallar[kural_id],0))-($C96+$D96+$E96+$F96)),kik_yuvarMax),0))</f>
        <v/>
      </c>
      <c r="I96" s="37">
        <f>IF($A96="","",IFERROR(MAX(0,$H96-$G96*kik_sifirCarpan),0))</f>
        <v/>
      </c>
    </row>
    <row r="97">
      <c r="A97" s="36" t="n"/>
      <c r="B97" s="36" t="n"/>
      <c r="C97" s="36" t="n"/>
      <c r="D97" s="36" t="n"/>
      <c r="E97" s="36" t="n"/>
      <c r="F97" s="36" t="n"/>
      <c r="G97" s="36" t="n"/>
      <c r="H97" s="37">
        <f>IF($A97="","",IFERROR(ROUND(MAX(0,$B97*INDEX(tblKurallar[deger_2025],MATCH("KIK-001",tblKurallar[kural_id],0))-($C97+$D97+$E97+$F97)),kik_yuvarMax),0))</f>
        <v/>
      </c>
      <c r="I97" s="37">
        <f>IF($A97="","",IFERROR(MAX(0,$H97-$G97*kik_sifirCarpan),0))</f>
        <v/>
      </c>
    </row>
    <row r="98">
      <c r="A98" s="36" t="n"/>
      <c r="B98" s="36" t="n"/>
      <c r="C98" s="36" t="n"/>
      <c r="D98" s="36" t="n"/>
      <c r="E98" s="36" t="n"/>
      <c r="F98" s="36" t="n"/>
      <c r="G98" s="36" t="n"/>
      <c r="H98" s="37">
        <f>IF($A98="","",IFERROR(ROUND(MAX(0,$B98*INDEX(tblKurallar[deger_2025],MATCH("KIK-001",tblKurallar[kural_id],0))-($C98+$D98+$E98+$F98)),kik_yuvarMax),0))</f>
        <v/>
      </c>
      <c r="I98" s="37">
        <f>IF($A98="","",IFERROR(MAX(0,$H98-$G98*kik_sifirCarpan),0))</f>
        <v/>
      </c>
    </row>
    <row r="99">
      <c r="A99" s="36" t="n"/>
      <c r="B99" s="36" t="n"/>
      <c r="C99" s="36" t="n"/>
      <c r="D99" s="36" t="n"/>
      <c r="E99" s="36" t="n"/>
      <c r="F99" s="36" t="n"/>
      <c r="G99" s="36" t="n"/>
      <c r="H99" s="37">
        <f>IF($A99="","",IFERROR(ROUND(MAX(0,$B99*INDEX(tblKurallar[deger_2025],MATCH("KIK-001",tblKurallar[kural_id],0))-($C99+$D99+$E99+$F99)),kik_yuvarMax),0))</f>
        <v/>
      </c>
      <c r="I99" s="37">
        <f>IF($A99="","",IFERROR(MAX(0,$H99-$G99*kik_sifirCarpan),0))</f>
        <v/>
      </c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7">
        <f>IF($A100="","",IFERROR(ROUND(MAX(0,$B100*INDEX(tblKurallar[deger_2025],MATCH("KIK-001",tblKurallar[kural_id],0))-($C100+$D100+$E100+$F100)),kik_yuvarMax),0))</f>
        <v/>
      </c>
      <c r="I100" s="37">
        <f>IF($A100="","",IFERROR(MAX(0,$H100-$G100*kik_sifirCarpan),0))</f>
        <v/>
      </c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7">
        <f>IF($A101="","",IFERROR(ROUND(MAX(0,$B101*INDEX(tblKurallar[deger_2025],MATCH("KIK-001",tblKurallar[kural_id],0))-($C101+$D101+$E101+$F101)),kik_yuvarMax),0))</f>
        <v/>
      </c>
      <c r="I101" s="37">
        <f>IF($A101="","",IFERROR(MAX(0,$H101-$G101*kik_sifirCarpan),0))</f>
        <v/>
      </c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7">
        <f>IF($A102="","",IFERROR(ROUND(MAX(0,$B102*INDEX(tblKurallar[deger_2025],MATCH("KIK-001",tblKurallar[kural_id],0))-($C102+$D102+$E102+$F102)),kik_yuvarMax),0))</f>
        <v/>
      </c>
      <c r="I102" s="37">
        <f>IF($A102="","",IFERROR(MAX(0,$H102-$G102*kik_sifirCarpan),0))</f>
        <v/>
      </c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7">
        <f>IF($A103="","",IFERROR(ROUND(MAX(0,$B103*INDEX(tblKurallar[deger_2025],MATCH("KIK-001",tblKurallar[kural_id],0))-($C103+$D103+$E103+$F103)),kik_yuvarMax),0))</f>
        <v/>
      </c>
      <c r="I103" s="37">
        <f>IF($A103="","",IFERROR(MAX(0,$H103-$G103*kik_sifirCarpan),0))</f>
        <v/>
      </c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7">
        <f>IF($A104="","",IFERROR(ROUND(MAX(0,$B104*INDEX(tblKurallar[deger_2025],MATCH("KIK-001",tblKurallar[kural_id],0))-($C104+$D104+$E104+$F104)),kik_yuvarMax),0))</f>
        <v/>
      </c>
      <c r="I104" s="37">
        <f>IF($A104="","",IFERROR(MAX(0,$H104-$G104*kik_sifirCarpan),0))</f>
        <v/>
      </c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7">
        <f>IF($A105="","",IFERROR(ROUND(MAX(0,$B105*INDEX(tblKurallar[deger_2025],MATCH("KIK-001",tblKurallar[kural_id],0))-($C105+$D105+$E105+$F105)),kik_yuvarMax),0))</f>
        <v/>
      </c>
      <c r="I105" s="37">
        <f>IF($A105="","",IFERROR(MAX(0,$H105-$G105*kik_sifirCarpan),0))</f>
        <v/>
      </c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7">
        <f>IF($A106="","",IFERROR(ROUND(MAX(0,$B106*INDEX(tblKurallar[deger_2025],MATCH("KIK-001",tblKurallar[kural_id],0))-($C106+$D106+$E106+$F106)),kik_yuvarMax),0))</f>
        <v/>
      </c>
      <c r="I106" s="37">
        <f>IF($A106="","",IFERROR(MAX(0,$H106-$G106*kik_sifirCarpan),0))</f>
        <v/>
      </c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7">
        <f>IF($A107="","",IFERROR(ROUND(MAX(0,$B107*INDEX(tblKurallar[deger_2025],MATCH("KIK-001",tblKurallar[kural_id],0))-($C107+$D107+$E107+$F107)),kik_yuvarMax),0))</f>
        <v/>
      </c>
      <c r="I107" s="37">
        <f>IF($A107="","",IFERROR(MAX(0,$H107-$G107*kik_sifirCarpan),0))</f>
        <v/>
      </c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7">
        <f>IF($A108="","",IFERROR(ROUND(MAX(0,$B108*INDEX(tblKurallar[deger_2025],MATCH("KIK-001",tblKurallar[kural_id],0))-($C108+$D108+$E108+$F108)),kik_yuvarMax),0))</f>
        <v/>
      </c>
      <c r="I108" s="37">
        <f>IF($A108="","",IFERROR(MAX(0,$H108-$G108*kik_sifirCarpan),0))</f>
        <v/>
      </c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7">
        <f>IF($A109="","",IFERROR(ROUND(MAX(0,$B109*INDEX(tblKurallar[deger_2025],MATCH("KIK-001",tblKurallar[kural_id],0))-($C109+$D109+$E109+$F109)),kik_yuvarMax),0))</f>
        <v/>
      </c>
      <c r="I109" s="37">
        <f>IF($A109="","",IFERROR(MAX(0,$H109-$G109*kik_sifirCarpan),0))</f>
        <v/>
      </c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7">
        <f>IF($A110="","",IFERROR(ROUND(MAX(0,$B110*INDEX(tblKurallar[deger_2025],MATCH("KIK-001",tblKurallar[kural_id],0))-($C110+$D110+$E110+$F110)),kik_yuvarMax),0))</f>
        <v/>
      </c>
      <c r="I110" s="37">
        <f>IF($A110="","",IFERROR(MAX(0,$H110-$G110*kik_sifirCarpan),0))</f>
        <v/>
      </c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7">
        <f>IF($A111="","",IFERROR(ROUND(MAX(0,$B111*INDEX(tblKurallar[deger_2025],MATCH("KIK-001",tblKurallar[kural_id],0))-($C111+$D111+$E111+$F111)),kik_yuvarMax),0))</f>
        <v/>
      </c>
      <c r="I111" s="37">
        <f>IF($A111="","",IFERROR(MAX(0,$H111-$G111*kik_sifirCarpan),0))</f>
        <v/>
      </c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7">
        <f>IF($A112="","",IFERROR(ROUND(MAX(0,$B112*INDEX(tblKurallar[deger_2025],MATCH("KIK-001",tblKurallar[kural_id],0))-($C112+$D112+$E112+$F112)),kik_yuvarMax),0))</f>
        <v/>
      </c>
      <c r="I112" s="37">
        <f>IF($A112="","",IFERROR(MAX(0,$H112-$G112*kik_sifirCarpan),0))</f>
        <v/>
      </c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7">
        <f>IF($A113="","",IFERROR(ROUND(MAX(0,$B113*INDEX(tblKurallar[deger_2025],MATCH("KIK-001",tblKurallar[kural_id],0))-($C113+$D113+$E113+$F113)),kik_yuvarMax),0))</f>
        <v/>
      </c>
      <c r="I113" s="37">
        <f>IF($A113="","",IFERROR(MAX(0,$H113-$G113*kik_sifirCarpan),0))</f>
        <v/>
      </c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7">
        <f>IF($A114="","",IFERROR(ROUND(MAX(0,$B114*INDEX(tblKurallar[deger_2025],MATCH("KIK-001",tblKurallar[kural_id],0))-($C114+$D114+$E114+$F114)),kik_yuvarMax),0))</f>
        <v/>
      </c>
      <c r="I114" s="37">
        <f>IF($A114="","",IFERROR(MAX(0,$H114-$G114*kik_sifirCarpan),0))</f>
        <v/>
      </c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7">
        <f>IF($A115="","",IFERROR(ROUND(MAX(0,$B115*INDEX(tblKurallar[deger_2025],MATCH("KIK-001",tblKurallar[kural_id],0))-($C115+$D115+$E115+$F115)),kik_yuvarMax),0))</f>
        <v/>
      </c>
      <c r="I115" s="37">
        <f>IF($A115="","",IFERROR(MAX(0,$H115-$G115*kik_sifirCarpan),0))</f>
        <v/>
      </c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7">
        <f>IF($A116="","",IFERROR(ROUND(MAX(0,$B116*INDEX(tblKurallar[deger_2025],MATCH("KIK-001",tblKurallar[kural_id],0))-($C116+$D116+$E116+$F116)),kik_yuvarMax),0))</f>
        <v/>
      </c>
      <c r="I116" s="37">
        <f>IF($A116="","",IFERROR(MAX(0,$H116-$G116*kik_sifirCarpan),0))</f>
        <v/>
      </c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7">
        <f>IF($A117="","",IFERROR(ROUND(MAX(0,$B117*INDEX(tblKurallar[deger_2025],MATCH("KIK-001",tblKurallar[kural_id],0))-($C117+$D117+$E117+$F117)),kik_yuvarMax),0))</f>
        <v/>
      </c>
      <c r="I117" s="37">
        <f>IF($A117="","",IFERROR(MAX(0,$H117-$G117*kik_sifirCarpan),0))</f>
        <v/>
      </c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7">
        <f>IF($A118="","",IFERROR(ROUND(MAX(0,$B118*INDEX(tblKurallar[deger_2025],MATCH("KIK-001",tblKurallar[kural_id],0))-($C118+$D118+$E118+$F118)),kik_yuvarMax),0))</f>
        <v/>
      </c>
      <c r="I118" s="37">
        <f>IF($A118="","",IFERROR(MAX(0,$H118-$G118*kik_sifirCarpan),0))</f>
        <v/>
      </c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7">
        <f>IF($A119="","",IFERROR(ROUND(MAX(0,$B119*INDEX(tblKurallar[deger_2025],MATCH("KIK-001",tblKurallar[kural_id],0))-($C119+$D119+$E119+$F119)),kik_yuvarMax),0))</f>
        <v/>
      </c>
      <c r="I119" s="37">
        <f>IF($A119="","",IFERROR(MAX(0,$H119-$G119*kik_sifirCarpan),0))</f>
        <v/>
      </c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7">
        <f>IF($A120="","",IFERROR(ROUND(MAX(0,$B120*INDEX(tblKurallar[deger_2025],MATCH("KIK-001",tblKurallar[kural_id],0))-($C120+$D120+$E120+$F120)),kik_yuvarMax),0))</f>
        <v/>
      </c>
      <c r="I120" s="37">
        <f>IF($A120="","",IFERROR(MAX(0,$H120-$G120*kik_sifirCarpan),0))</f>
        <v/>
      </c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7">
        <f>IF($A121="","",IFERROR(ROUND(MAX(0,$B121*INDEX(tblKurallar[deger_2025],MATCH("KIK-001",tblKurallar[kural_id],0))-($C121+$D121+$E121+$F121)),kik_yuvarMax),0))</f>
        <v/>
      </c>
      <c r="I121" s="37">
        <f>IF($A121="","",IFERROR(MAX(0,$H121-$G121*kik_sifirCarpan),0))</f>
        <v/>
      </c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7">
        <f>IF($A122="","",IFERROR(ROUND(MAX(0,$B122*INDEX(tblKurallar[deger_2025],MATCH("KIK-001",tblKurallar[kural_id],0))-($C122+$D122+$E122+$F122)),kik_yuvarMax),0))</f>
        <v/>
      </c>
      <c r="I122" s="37">
        <f>IF($A122="","",IFERROR(MAX(0,$H122-$G122*kik_sifirCarpan),0))</f>
        <v/>
      </c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7">
        <f>IF($A123="","",IFERROR(ROUND(MAX(0,$B123*INDEX(tblKurallar[deger_2025],MATCH("KIK-001",tblKurallar[kural_id],0))-($C123+$D123+$E123+$F123)),kik_yuvarMax),0))</f>
        <v/>
      </c>
      <c r="I123" s="37">
        <f>IF($A123="","",IFERROR(MAX(0,$H123-$G123*kik_sifirCarpan),0))</f>
        <v/>
      </c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7">
        <f>IF($A124="","",IFERROR(ROUND(MAX(0,$B124*INDEX(tblKurallar[deger_2025],MATCH("KIK-001",tblKurallar[kural_id],0))-($C124+$D124+$E124+$F124)),kik_yuvarMax),0))</f>
        <v/>
      </c>
      <c r="I124" s="37">
        <f>IF($A124="","",IFERROR(MAX(0,$H124-$G124*kik_sifirCarpan),0))</f>
        <v/>
      </c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7">
        <f>IF($A125="","",IFERROR(ROUND(MAX(0,$B125*INDEX(tblKurallar[deger_2025],MATCH("KIK-001",tblKurallar[kural_id],0))-($C125+$D125+$E125+$F125)),kik_yuvarMax),0))</f>
        <v/>
      </c>
      <c r="I125" s="37">
        <f>IF($A125="","",IFERROR(MAX(0,$H125-$G125*kik_sifirCarpan),0))</f>
        <v/>
      </c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7">
        <f>IF($A126="","",IFERROR(ROUND(MAX(0,$B126*INDEX(tblKurallar[deger_2025],MATCH("KIK-001",tblKurallar[kural_id],0))-($C126+$D126+$E126+$F126)),kik_yuvarMax),0))</f>
        <v/>
      </c>
      <c r="I126" s="37">
        <f>IF($A126="","",IFERROR(MAX(0,$H126-$G126*kik_sifirCarpan),0))</f>
        <v/>
      </c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7">
        <f>IF($A127="","",IFERROR(ROUND(MAX(0,$B127*INDEX(tblKurallar[deger_2025],MATCH("KIK-001",tblKurallar[kural_id],0))-($C127+$D127+$E127+$F127)),kik_yuvarMax),0))</f>
        <v/>
      </c>
      <c r="I127" s="37">
        <f>IF($A127="","",IFERROR(MAX(0,$H127-$G127*kik_sifirCarpan),0))</f>
        <v/>
      </c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7">
        <f>IF($A128="","",IFERROR(ROUND(MAX(0,$B128*INDEX(tblKurallar[deger_2025],MATCH("KIK-001",tblKurallar[kural_id],0))-($C128+$D128+$E128+$F128)),kik_yuvarMax),0))</f>
        <v/>
      </c>
      <c r="I128" s="37">
        <f>IF($A128="","",IFERROR(MAX(0,$H128-$G128*kik_sifirCarpan),0))</f>
        <v/>
      </c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7">
        <f>IF($A129="","",IFERROR(ROUND(MAX(0,$B129*INDEX(tblKurallar[deger_2025],MATCH("KIK-001",tblKurallar[kural_id],0))-($C129+$D129+$E129+$F129)),kik_yuvarMax),0))</f>
        <v/>
      </c>
      <c r="I129" s="37">
        <f>IF($A129="","",IFERROR(MAX(0,$H129-$G129*kik_sifirCarpan),0))</f>
        <v/>
      </c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7">
        <f>IF($A130="","",IFERROR(ROUND(MAX(0,$B130*INDEX(tblKurallar[deger_2025],MATCH("KIK-001",tblKurallar[kural_id],0))-($C130+$D130+$E130+$F130)),kik_yuvarMax),0))</f>
        <v/>
      </c>
      <c r="I130" s="37">
        <f>IF($A130="","",IFERROR(MAX(0,$H130-$G130*kik_sifirCarpan),0))</f>
        <v/>
      </c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7">
        <f>IF($A131="","",IFERROR(ROUND(MAX(0,$B131*INDEX(tblKurallar[deger_2025],MATCH("KIK-001",tblKurallar[kural_id],0))-($C131+$D131+$E131+$F131)),kik_yuvarMax),0))</f>
        <v/>
      </c>
      <c r="I131" s="37">
        <f>IF($A131="","",IFERROR(MAX(0,$H131-$G131*kik_sifirCarpan),0))</f>
        <v/>
      </c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7">
        <f>IF($A132="","",IFERROR(ROUND(MAX(0,$B132*INDEX(tblKurallar[deger_2025],MATCH("KIK-001",tblKurallar[kural_id],0))-($C132+$D132+$E132+$F132)),kik_yuvarMax),0))</f>
        <v/>
      </c>
      <c r="I132" s="37">
        <f>IF($A132="","",IFERROR(MAX(0,$H132-$G132*kik_sifirCarpan),0))</f>
        <v/>
      </c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7">
        <f>IF($A133="","",IFERROR(ROUND(MAX(0,$B133*INDEX(tblKurallar[deger_2025],MATCH("KIK-001",tblKurallar[kural_id],0))-($C133+$D133+$E133+$F133)),kik_yuvarMax),0))</f>
        <v/>
      </c>
      <c r="I133" s="37">
        <f>IF($A133="","",IFERROR(MAX(0,$H133-$G133*kik_sifirCarpan),0))</f>
        <v/>
      </c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7">
        <f>IF($A134="","",IFERROR(ROUND(MAX(0,$B134*INDEX(tblKurallar[deger_2025],MATCH("KIK-001",tblKurallar[kural_id],0))-($C134+$D134+$E134+$F134)),kik_yuvarMax),0))</f>
        <v/>
      </c>
      <c r="I134" s="37">
        <f>IF($A134="","",IFERROR(MAX(0,$H134-$G134*kik_sifirCarpan),0))</f>
        <v/>
      </c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7">
        <f>IF($A135="","",IFERROR(ROUND(MAX(0,$B135*INDEX(tblKurallar[deger_2025],MATCH("KIK-001",tblKurallar[kural_id],0))-($C135+$D135+$E135+$F135)),kik_yuvarMax),0))</f>
        <v/>
      </c>
      <c r="I135" s="37">
        <f>IF($A135="","",IFERROR(MAX(0,$H135-$G135*kik_sifirCarpan),0))</f>
        <v/>
      </c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7">
        <f>IF($A136="","",IFERROR(ROUND(MAX(0,$B136*INDEX(tblKurallar[deger_2025],MATCH("KIK-001",tblKurallar[kural_id],0))-($C136+$D136+$E136+$F136)),kik_yuvarMax),0))</f>
        <v/>
      </c>
      <c r="I136" s="37">
        <f>IF($A136="","",IFERROR(MAX(0,$H136-$G136*kik_sifirCarpan),0))</f>
        <v/>
      </c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7">
        <f>IF($A137="","",IFERROR(ROUND(MAX(0,$B137*INDEX(tblKurallar[deger_2025],MATCH("KIK-001",tblKurallar[kural_id],0))-($C137+$D137+$E137+$F137)),kik_yuvarMax),0))</f>
        <v/>
      </c>
      <c r="I137" s="37">
        <f>IF($A137="","",IFERROR(MAX(0,$H137-$G137*kik_sifirCarpan),0))</f>
        <v/>
      </c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7">
        <f>IF($A138="","",IFERROR(ROUND(MAX(0,$B138*INDEX(tblKurallar[deger_2025],MATCH("KIK-001",tblKurallar[kural_id],0))-($C138+$D138+$E138+$F138)),kik_yuvarMax),0))</f>
        <v/>
      </c>
      <c r="I138" s="37">
        <f>IF($A138="","",IFERROR(MAX(0,$H138-$G138*kik_sifirCarpan),0))</f>
        <v/>
      </c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7">
        <f>IF($A139="","",IFERROR(ROUND(MAX(0,$B139*INDEX(tblKurallar[deger_2025],MATCH("KIK-001",tblKurallar[kural_id],0))-($C139+$D139+$E139+$F139)),kik_yuvarMax),0))</f>
        <v/>
      </c>
      <c r="I139" s="37">
        <f>IF($A139="","",IFERROR(MAX(0,$H139-$G139*kik_sifirCarpan),0))</f>
        <v/>
      </c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7">
        <f>IF($A140="","",IFERROR(ROUND(MAX(0,$B140*INDEX(tblKurallar[deger_2025],MATCH("KIK-001",tblKurallar[kural_id],0))-($C140+$D140+$E140+$F140)),kik_yuvarMax),0))</f>
        <v/>
      </c>
      <c r="I140" s="37">
        <f>IF($A140="","",IFERROR(MAX(0,$H140-$G140*kik_sifirCarpan),0))</f>
        <v/>
      </c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7">
        <f>IF($A141="","",IFERROR(ROUND(MAX(0,$B141*INDEX(tblKurallar[deger_2025],MATCH("KIK-001",tblKurallar[kural_id],0))-($C141+$D141+$E141+$F141)),kik_yuvarMax),0))</f>
        <v/>
      </c>
      <c r="I141" s="37">
        <f>IF($A141="","",IFERROR(MAX(0,$H141-$G141*kik_sifirCarpan),0))</f>
        <v/>
      </c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7">
        <f>IF($A142="","",IFERROR(ROUND(MAX(0,$B142*INDEX(tblKurallar[deger_2025],MATCH("KIK-001",tblKurallar[kural_id],0))-($C142+$D142+$E142+$F142)),kik_yuvarMax),0))</f>
        <v/>
      </c>
      <c r="I142" s="37">
        <f>IF($A142="","",IFERROR(MAX(0,$H142-$G142*kik_sifirCarpan),0))</f>
        <v/>
      </c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7">
        <f>IF($A143="","",IFERROR(ROUND(MAX(0,$B143*INDEX(tblKurallar[deger_2025],MATCH("KIK-001",tblKurallar[kural_id],0))-($C143+$D143+$E143+$F143)),kik_yuvarMax),0))</f>
        <v/>
      </c>
      <c r="I143" s="37">
        <f>IF($A143="","",IFERROR(MAX(0,$H143-$G143*kik_sifirCarpan),0))</f>
        <v/>
      </c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7">
        <f>IF($A144="","",IFERROR(ROUND(MAX(0,$B144*INDEX(tblKurallar[deger_2025],MATCH("KIK-001",tblKurallar[kural_id],0))-($C144+$D144+$E144+$F144)),kik_yuvarMax),0))</f>
        <v/>
      </c>
      <c r="I144" s="37">
        <f>IF($A144="","",IFERROR(MAX(0,$H144-$G144*kik_sifirCarpan),0))</f>
        <v/>
      </c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7">
        <f>IF($A145="","",IFERROR(ROUND(MAX(0,$B145*INDEX(tblKurallar[deger_2025],MATCH("KIK-001",tblKurallar[kural_id],0))-($C145+$D145+$E145+$F145)),kik_yuvarMax),0))</f>
        <v/>
      </c>
      <c r="I145" s="37">
        <f>IF($A145="","",IFERROR(MAX(0,$H145-$G145*kik_sifirCarpan),0))</f>
        <v/>
      </c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7">
        <f>IF($A146="","",IFERROR(ROUND(MAX(0,$B146*INDEX(tblKurallar[deger_2025],MATCH("KIK-001",tblKurallar[kural_id],0))-($C146+$D146+$E146+$F146)),kik_yuvarMax),0))</f>
        <v/>
      </c>
      <c r="I146" s="37">
        <f>IF($A146="","",IFERROR(MAX(0,$H146-$G146*kik_sifirCarpan),0))</f>
        <v/>
      </c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7">
        <f>IF($A147="","",IFERROR(ROUND(MAX(0,$B147*INDEX(tblKurallar[deger_2025],MATCH("KIK-001",tblKurallar[kural_id],0))-($C147+$D147+$E147+$F147)),kik_yuvarMax),0))</f>
        <v/>
      </c>
      <c r="I147" s="37">
        <f>IF($A147="","",IFERROR(MAX(0,$H147-$G147*kik_sifirCarpan),0))</f>
        <v/>
      </c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7">
        <f>IF($A148="","",IFERROR(ROUND(MAX(0,$B148*INDEX(tblKurallar[deger_2025],MATCH("KIK-001",tblKurallar[kural_id],0))-($C148+$D148+$E148+$F148)),kik_yuvarMax),0))</f>
        <v/>
      </c>
      <c r="I148" s="37">
        <f>IF($A148="","",IFERROR(MAX(0,$H148-$G148*kik_sifirCarpan),0))</f>
        <v/>
      </c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7">
        <f>IF($A149="","",IFERROR(ROUND(MAX(0,$B149*INDEX(tblKurallar[deger_2025],MATCH("KIK-001",tblKurallar[kural_id],0))-($C149+$D149+$E149+$F149)),kik_yuvarMax),0))</f>
        <v/>
      </c>
      <c r="I149" s="37">
        <f>IF($A149="","",IFERROR(MAX(0,$H149-$G149*kik_sifirCarpan),0))</f>
        <v/>
      </c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7">
        <f>IF($A150="","",IFERROR(ROUND(MAX(0,$B150*INDEX(tblKurallar[deger_2025],MATCH("KIK-001",tblKurallar[kural_id],0))-($C150+$D150+$E150+$F150)),kik_yuvarMax),0))</f>
        <v/>
      </c>
      <c r="I150" s="37">
        <f>IF($A150="","",IFERROR(MAX(0,$H150-$G150*kik_sifirCarpan),0))</f>
        <v/>
      </c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7">
        <f>IF($A151="","",IFERROR(ROUND(MAX(0,$B151*INDEX(tblKurallar[deger_2025],MATCH("KIK-001",tblKurallar[kural_id],0))-($C151+$D151+$E151+$F151)),kik_yuvarMax),0))</f>
        <v/>
      </c>
      <c r="I151" s="37">
        <f>IF($A151="","",IFERROR(MAX(0,$H151-$G151*kik_sifirCarpan),0))</f>
        <v/>
      </c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7">
        <f>IF($A152="","",IFERROR(ROUND(MAX(0,$B152*INDEX(tblKurallar[deger_2025],MATCH("KIK-001",tblKurallar[kural_id],0))-($C152+$D152+$E152+$F152)),kik_yuvarMax),0))</f>
        <v/>
      </c>
      <c r="I152" s="37">
        <f>IF($A152="","",IFERROR(MAX(0,$H152-$G152*kik_sifirCarpan),0))</f>
        <v/>
      </c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7">
        <f>IF($A153="","",IFERROR(ROUND(MAX(0,$B153*INDEX(tblKurallar[deger_2025],MATCH("KIK-001",tblKurallar[kural_id],0))-($C153+$D153+$E153+$F153)),kik_yuvarMax),0))</f>
        <v/>
      </c>
      <c r="I153" s="37">
        <f>IF($A153="","",IFERROR(MAX(0,$H153-$G153*kik_sifirCarpan),0))</f>
        <v/>
      </c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7">
        <f>IF($A154="","",IFERROR(ROUND(MAX(0,$B154*INDEX(tblKurallar[deger_2025],MATCH("KIK-001",tblKurallar[kural_id],0))-($C154+$D154+$E154+$F154)),kik_yuvarMax),0))</f>
        <v/>
      </c>
      <c r="I154" s="37">
        <f>IF($A154="","",IFERROR(MAX(0,$H154-$G154*kik_sifirCarpan),0))</f>
        <v/>
      </c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7">
        <f>IF($A155="","",IFERROR(ROUND(MAX(0,$B155*INDEX(tblKurallar[deger_2025],MATCH("KIK-001",tblKurallar[kural_id],0))-($C155+$D155+$E155+$F155)),kik_yuvarMax),0))</f>
        <v/>
      </c>
      <c r="I155" s="37">
        <f>IF($A155="","",IFERROR(MAX(0,$H155-$G155*kik_sifirCarpan),0))</f>
        <v/>
      </c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7">
        <f>IF($A156="","",IFERROR(ROUND(MAX(0,$B156*INDEX(tblKurallar[deger_2025],MATCH("KIK-001",tblKurallar[kural_id],0))-($C156+$D156+$E156+$F156)),kik_yuvarMax),0))</f>
        <v/>
      </c>
      <c r="I156" s="37">
        <f>IF($A156="","",IFERROR(MAX(0,$H156-$G156*kik_sifirCarpan),0))</f>
        <v/>
      </c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7">
        <f>IF($A157="","",IFERROR(ROUND(MAX(0,$B157*INDEX(tblKurallar[deger_2025],MATCH("KIK-001",tblKurallar[kural_id],0))-($C157+$D157+$E157+$F157)),kik_yuvarMax),0))</f>
        <v/>
      </c>
      <c r="I157" s="37">
        <f>IF($A157="","",IFERROR(MAX(0,$H157-$G157*kik_sifirCarpan),0))</f>
        <v/>
      </c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7">
        <f>IF($A158="","",IFERROR(ROUND(MAX(0,$B158*INDEX(tblKurallar[deger_2025],MATCH("KIK-001",tblKurallar[kural_id],0))-($C158+$D158+$E158+$F158)),kik_yuvarMax),0))</f>
        <v/>
      </c>
      <c r="I158" s="37">
        <f>IF($A158="","",IFERROR(MAX(0,$H158-$G158*kik_sifirCarpan),0))</f>
        <v/>
      </c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7">
        <f>IF($A159="","",IFERROR(ROUND(MAX(0,$B159*INDEX(tblKurallar[deger_2025],MATCH("KIK-001",tblKurallar[kural_id],0))-($C159+$D159+$E159+$F159)),kik_yuvarMax),0))</f>
        <v/>
      </c>
      <c r="I159" s="37">
        <f>IF($A159="","",IFERROR(MAX(0,$H159-$G159*kik_sifirCarpan),0))</f>
        <v/>
      </c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7">
        <f>IF($A160="","",IFERROR(ROUND(MAX(0,$B160*INDEX(tblKurallar[deger_2025],MATCH("KIK-001",tblKurallar[kural_id],0))-($C160+$D160+$E160+$F160)),kik_yuvarMax),0))</f>
        <v/>
      </c>
      <c r="I160" s="37">
        <f>IF($A160="","",IFERROR(MAX(0,$H160-$G160*kik_sifirCarpan),0))</f>
        <v/>
      </c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7">
        <f>IF($A161="","",IFERROR(ROUND(MAX(0,$B161*INDEX(tblKurallar[deger_2025],MATCH("KIK-001",tblKurallar[kural_id],0))-($C161+$D161+$E161+$F161)),kik_yuvarMax),0))</f>
        <v/>
      </c>
      <c r="I161" s="37">
        <f>IF($A161="","",IFERROR(MAX(0,$H161-$G161*kik_sifirCarpan),0))</f>
        <v/>
      </c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7">
        <f>IF($A162="","",IFERROR(ROUND(MAX(0,$B162*INDEX(tblKurallar[deger_2025],MATCH("KIK-001",tblKurallar[kural_id],0))-($C162+$D162+$E162+$F162)),kik_yuvarMax),0))</f>
        <v/>
      </c>
      <c r="I162" s="37">
        <f>IF($A162="","",IFERROR(MAX(0,$H162-$G162*kik_sifirCarpan),0))</f>
        <v/>
      </c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7">
        <f>IF($A163="","",IFERROR(ROUND(MAX(0,$B163*INDEX(tblKurallar[deger_2025],MATCH("KIK-001",tblKurallar[kural_id],0))-($C163+$D163+$E163+$F163)),kik_yuvarMax),0))</f>
        <v/>
      </c>
      <c r="I163" s="37">
        <f>IF($A163="","",IFERROR(MAX(0,$H163-$G163*kik_sifirCarpan),0))</f>
        <v/>
      </c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7">
        <f>IF($A164="","",IFERROR(ROUND(MAX(0,$B164*INDEX(tblKurallar[deger_2025],MATCH("KIK-001",tblKurallar[kural_id],0))-($C164+$D164+$E164+$F164)),kik_yuvarMax),0))</f>
        <v/>
      </c>
      <c r="I164" s="37">
        <f>IF($A164="","",IFERROR(MAX(0,$H164-$G164*kik_sifirCarpan),0))</f>
        <v/>
      </c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7">
        <f>IF($A165="","",IFERROR(ROUND(MAX(0,$B165*INDEX(tblKurallar[deger_2025],MATCH("KIK-001",tblKurallar[kural_id],0))-($C165+$D165+$E165+$F165)),kik_yuvarMax),0))</f>
        <v/>
      </c>
      <c r="I165" s="37">
        <f>IF($A165="","",IFERROR(MAX(0,$H165-$G165*kik_sifirCarpan),0))</f>
        <v/>
      </c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7">
        <f>IF($A166="","",IFERROR(ROUND(MAX(0,$B166*INDEX(tblKurallar[deger_2025],MATCH("KIK-001",tblKurallar[kural_id],0))-($C166+$D166+$E166+$F166)),kik_yuvarMax),0))</f>
        <v/>
      </c>
      <c r="I166" s="37">
        <f>IF($A166="","",IFERROR(MAX(0,$H166-$G166*kik_sifirCarpan),0))</f>
        <v/>
      </c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7">
        <f>IF($A167="","",IFERROR(ROUND(MAX(0,$B167*INDEX(tblKurallar[deger_2025],MATCH("KIK-001",tblKurallar[kural_id],0))-($C167+$D167+$E167+$F167)),kik_yuvarMax),0))</f>
        <v/>
      </c>
      <c r="I167" s="37">
        <f>IF($A167="","",IFERROR(MAX(0,$H167-$G167*kik_sifirCarpan),0))</f>
        <v/>
      </c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7">
        <f>IF($A168="","",IFERROR(ROUND(MAX(0,$B168*INDEX(tblKurallar[deger_2025],MATCH("KIK-001",tblKurallar[kural_id],0))-($C168+$D168+$E168+$F168)),kik_yuvarMax),0))</f>
        <v/>
      </c>
      <c r="I168" s="37">
        <f>IF($A168="","",IFERROR(MAX(0,$H168-$G168*kik_sifirCarpan),0))</f>
        <v/>
      </c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7">
        <f>IF($A169="","",IFERROR(ROUND(MAX(0,$B169*INDEX(tblKurallar[deger_2025],MATCH("KIK-001",tblKurallar[kural_id],0))-($C169+$D169+$E169+$F169)),kik_yuvarMax),0))</f>
        <v/>
      </c>
      <c r="I169" s="37">
        <f>IF($A169="","",IFERROR(MAX(0,$H169-$G169*kik_sifirCarpan),0))</f>
        <v/>
      </c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7">
        <f>IF($A170="","",IFERROR(ROUND(MAX(0,$B170*INDEX(tblKurallar[deger_2025],MATCH("KIK-001",tblKurallar[kural_id],0))-($C170+$D170+$E170+$F170)),kik_yuvarMax),0))</f>
        <v/>
      </c>
      <c r="I170" s="37">
        <f>IF($A170="","",IFERROR(MAX(0,$H170-$G170*kik_sifirCarpan),0))</f>
        <v/>
      </c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7">
        <f>IF($A171="","",IFERROR(ROUND(MAX(0,$B171*INDEX(tblKurallar[deger_2025],MATCH("KIK-001",tblKurallar[kural_id],0))-($C171+$D171+$E171+$F171)),kik_yuvarMax),0))</f>
        <v/>
      </c>
      <c r="I171" s="37">
        <f>IF($A171="","",IFERROR(MAX(0,$H171-$G171*kik_sifirCarpan),0))</f>
        <v/>
      </c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7">
        <f>IF($A172="","",IFERROR(ROUND(MAX(0,$B172*INDEX(tblKurallar[deger_2025],MATCH("KIK-001",tblKurallar[kural_id],0))-($C172+$D172+$E172+$F172)),kik_yuvarMax),0))</f>
        <v/>
      </c>
      <c r="I172" s="37">
        <f>IF($A172="","",IFERROR(MAX(0,$H172-$G172*kik_sifirCarpan),0))</f>
        <v/>
      </c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7">
        <f>IF($A173="","",IFERROR(ROUND(MAX(0,$B173*INDEX(tblKurallar[deger_2025],MATCH("KIK-001",tblKurallar[kural_id],0))-($C173+$D173+$E173+$F173)),kik_yuvarMax),0))</f>
        <v/>
      </c>
      <c r="I173" s="37">
        <f>IF($A173="","",IFERROR(MAX(0,$H173-$G173*kik_sifirCarpan),0))</f>
        <v/>
      </c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7">
        <f>IF($A174="","",IFERROR(ROUND(MAX(0,$B174*INDEX(tblKurallar[deger_2025],MATCH("KIK-001",tblKurallar[kural_id],0))-($C174+$D174+$E174+$F174)),kik_yuvarMax),0))</f>
        <v/>
      </c>
      <c r="I174" s="37">
        <f>IF($A174="","",IFERROR(MAX(0,$H174-$G174*kik_sifirCarpan),0))</f>
        <v/>
      </c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7">
        <f>IF($A175="","",IFERROR(ROUND(MAX(0,$B175*INDEX(tblKurallar[deger_2025],MATCH("KIK-001",tblKurallar[kural_id],0))-($C175+$D175+$E175+$F175)),kik_yuvarMax),0))</f>
        <v/>
      </c>
      <c r="I175" s="37">
        <f>IF($A175="","",IFERROR(MAX(0,$H175-$G175*kik_sifirCarpan),0))</f>
        <v/>
      </c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7">
        <f>IF($A176="","",IFERROR(ROUND(MAX(0,$B176*INDEX(tblKurallar[deger_2025],MATCH("KIK-001",tblKurallar[kural_id],0))-($C176+$D176+$E176+$F176)),kik_yuvarMax),0))</f>
        <v/>
      </c>
      <c r="I176" s="37">
        <f>IF($A176="","",IFERROR(MAX(0,$H176-$G176*kik_sifirCarpan),0))</f>
        <v/>
      </c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7">
        <f>IF($A177="","",IFERROR(ROUND(MAX(0,$B177*INDEX(tblKurallar[deger_2025],MATCH("KIK-001",tblKurallar[kural_id],0))-($C177+$D177+$E177+$F177)),kik_yuvarMax),0))</f>
        <v/>
      </c>
      <c r="I177" s="37">
        <f>IF($A177="","",IFERROR(MAX(0,$H177-$G177*kik_sifirCarpan),0))</f>
        <v/>
      </c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7">
        <f>IF($A178="","",IFERROR(ROUND(MAX(0,$B178*INDEX(tblKurallar[deger_2025],MATCH("KIK-001",tblKurallar[kural_id],0))-($C178+$D178+$E178+$F178)),kik_yuvarMax),0))</f>
        <v/>
      </c>
      <c r="I178" s="37">
        <f>IF($A178="","",IFERROR(MAX(0,$H178-$G178*kik_sifirCarpan),0))</f>
        <v/>
      </c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7">
        <f>IF($A179="","",IFERROR(ROUND(MAX(0,$B179*INDEX(tblKurallar[deger_2025],MATCH("KIK-001",tblKurallar[kural_id],0))-($C179+$D179+$E179+$F179)),kik_yuvarMax),0))</f>
        <v/>
      </c>
      <c r="I179" s="37">
        <f>IF($A179="","",IFERROR(MAX(0,$H179-$G179*kik_sifirCarpan),0))</f>
        <v/>
      </c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7">
        <f>IF($A180="","",IFERROR(ROUND(MAX(0,$B180*INDEX(tblKurallar[deger_2025],MATCH("KIK-001",tblKurallar[kural_id],0))-($C180+$D180+$E180+$F180)),kik_yuvarMax),0))</f>
        <v/>
      </c>
      <c r="I180" s="37">
        <f>IF($A180="","",IFERROR(MAX(0,$H180-$G180*kik_sifirCarpan),0))</f>
        <v/>
      </c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7">
        <f>IF($A181="","",IFERROR(ROUND(MAX(0,$B181*INDEX(tblKurallar[deger_2025],MATCH("KIK-001",tblKurallar[kural_id],0))-($C181+$D181+$E181+$F181)),kik_yuvarMax),0))</f>
        <v/>
      </c>
      <c r="I181" s="37">
        <f>IF($A181="","",IFERROR(MAX(0,$H181-$G181*kik_sifirCarpan),0))</f>
        <v/>
      </c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7">
        <f>IF($A182="","",IFERROR(ROUND(MAX(0,$B182*INDEX(tblKurallar[deger_2025],MATCH("KIK-001",tblKurallar[kural_id],0))-($C182+$D182+$E182+$F182)),kik_yuvarMax),0))</f>
        <v/>
      </c>
      <c r="I182" s="37">
        <f>IF($A182="","",IFERROR(MAX(0,$H182-$G182*kik_sifirCarpan),0))</f>
        <v/>
      </c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7">
        <f>IF($A183="","",IFERROR(ROUND(MAX(0,$B183*INDEX(tblKurallar[deger_2025],MATCH("KIK-001",tblKurallar[kural_id],0))-($C183+$D183+$E183+$F183)),kik_yuvarMax),0))</f>
        <v/>
      </c>
      <c r="I183" s="37">
        <f>IF($A183="","",IFERROR(MAX(0,$H183-$G183*kik_sifirCarpan),0))</f>
        <v/>
      </c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7">
        <f>IF($A184="","",IFERROR(ROUND(MAX(0,$B184*INDEX(tblKurallar[deger_2025],MATCH("KIK-001",tblKurallar[kural_id],0))-($C184+$D184+$E184+$F184)),kik_yuvarMax),0))</f>
        <v/>
      </c>
      <c r="I184" s="37">
        <f>IF($A184="","",IFERROR(MAX(0,$H184-$G184*kik_sifirCarpan),0))</f>
        <v/>
      </c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7">
        <f>IF($A185="","",IFERROR(ROUND(MAX(0,$B185*INDEX(tblKurallar[deger_2025],MATCH("KIK-001",tblKurallar[kural_id],0))-($C185+$D185+$E185+$F185)),kik_yuvarMax),0))</f>
        <v/>
      </c>
      <c r="I185" s="37">
        <f>IF($A185="","",IFERROR(MAX(0,$H185-$G185*kik_sifirCarpan),0))</f>
        <v/>
      </c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7">
        <f>IF($A186="","",IFERROR(ROUND(MAX(0,$B186*INDEX(tblKurallar[deger_2025],MATCH("KIK-001",tblKurallar[kural_id],0))-($C186+$D186+$E186+$F186)),kik_yuvarMax),0))</f>
        <v/>
      </c>
      <c r="I186" s="37">
        <f>IF($A186="","",IFERROR(MAX(0,$H186-$G186*kik_sifirCarpan),0))</f>
        <v/>
      </c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7">
        <f>IF($A187="","",IFERROR(ROUND(MAX(0,$B187*INDEX(tblKurallar[deger_2025],MATCH("KIK-001",tblKurallar[kural_id],0))-($C187+$D187+$E187+$F187)),kik_yuvarMax),0))</f>
        <v/>
      </c>
      <c r="I187" s="37">
        <f>IF($A187="","",IFERROR(MAX(0,$H187-$G187*kik_sifirCarpan),0))</f>
        <v/>
      </c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7">
        <f>IF($A188="","",IFERROR(ROUND(MAX(0,$B188*INDEX(tblKurallar[deger_2025],MATCH("KIK-001",tblKurallar[kural_id],0))-($C188+$D188+$E188+$F188)),kik_yuvarMax),0))</f>
        <v/>
      </c>
      <c r="I188" s="37">
        <f>IF($A188="","",IFERROR(MAX(0,$H188-$G188*kik_sifirCarpan),0))</f>
        <v/>
      </c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7">
        <f>IF($A189="","",IFERROR(ROUND(MAX(0,$B189*INDEX(tblKurallar[deger_2025],MATCH("KIK-001",tblKurallar[kural_id],0))-($C189+$D189+$E189+$F189)),kik_yuvarMax),0))</f>
        <v/>
      </c>
      <c r="I189" s="37">
        <f>IF($A189="","",IFERROR(MAX(0,$H189-$G189*kik_sifirCarpan),0))</f>
        <v/>
      </c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7">
        <f>IF($A190="","",IFERROR(ROUND(MAX(0,$B190*INDEX(tblKurallar[deger_2025],MATCH("KIK-001",tblKurallar[kural_id],0))-($C190+$D190+$E190+$F190)),kik_yuvarMax),0))</f>
        <v/>
      </c>
      <c r="I190" s="37">
        <f>IF($A190="","",IFERROR(MAX(0,$H190-$G190*kik_sifirCarpan),0))</f>
        <v/>
      </c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7">
        <f>IF($A191="","",IFERROR(ROUND(MAX(0,$B191*INDEX(tblKurallar[deger_2025],MATCH("KIK-001",tblKurallar[kural_id],0))-($C191+$D191+$E191+$F191)),kik_yuvarMax),0))</f>
        <v/>
      </c>
      <c r="I191" s="37">
        <f>IF($A191="","",IFERROR(MAX(0,$H191-$G191*kik_sifirCarpan),0))</f>
        <v/>
      </c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7">
        <f>IF($A192="","",IFERROR(ROUND(MAX(0,$B192*INDEX(tblKurallar[deger_2025],MATCH("KIK-001",tblKurallar[kural_id],0))-($C192+$D192+$E192+$F192)),kik_yuvarMax),0))</f>
        <v/>
      </c>
      <c r="I192" s="37">
        <f>IF($A192="","",IFERROR(MAX(0,$H192-$G192*kik_sifirCarpan),0))</f>
        <v/>
      </c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7">
        <f>IF($A193="","",IFERROR(ROUND(MAX(0,$B193*INDEX(tblKurallar[deger_2025],MATCH("KIK-001",tblKurallar[kural_id],0))-($C193+$D193+$E193+$F193)),kik_yuvarMax),0))</f>
        <v/>
      </c>
      <c r="I193" s="37">
        <f>IF($A193="","",IFERROR(MAX(0,$H193-$G193*kik_sifirCarpan),0))</f>
        <v/>
      </c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7">
        <f>IF($A194="","",IFERROR(ROUND(MAX(0,$B194*INDEX(tblKurallar[deger_2025],MATCH("KIK-001",tblKurallar[kural_id],0))-($C194+$D194+$E194+$F194)),kik_yuvarMax),0))</f>
        <v/>
      </c>
      <c r="I194" s="37">
        <f>IF($A194="","",IFERROR(MAX(0,$H194-$G194*kik_sifirCarpan),0))</f>
        <v/>
      </c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7">
        <f>IF($A195="","",IFERROR(ROUND(MAX(0,$B195*INDEX(tblKurallar[deger_2025],MATCH("KIK-001",tblKurallar[kural_id],0))-($C195+$D195+$E195+$F195)),kik_yuvarMax),0))</f>
        <v/>
      </c>
      <c r="I195" s="37">
        <f>IF($A195="","",IFERROR(MAX(0,$H195-$G195*kik_sifirCarpan),0))</f>
        <v/>
      </c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7">
        <f>IF($A196="","",IFERROR(ROUND(MAX(0,$B196*INDEX(tblKurallar[deger_2025],MATCH("KIK-001",tblKurallar[kural_id],0))-($C196+$D196+$E196+$F196)),kik_yuvarMax),0))</f>
        <v/>
      </c>
      <c r="I196" s="37">
        <f>IF($A196="","",IFERROR(MAX(0,$H196-$G196*kik_sifirCarpan),0))</f>
        <v/>
      </c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7">
        <f>IF($A197="","",IFERROR(ROUND(MAX(0,$B197*INDEX(tblKurallar[deger_2025],MATCH("KIK-001",tblKurallar[kural_id],0))-($C197+$D197+$E197+$F197)),kik_yuvarMax),0))</f>
        <v/>
      </c>
      <c r="I197" s="37">
        <f>IF($A197="","",IFERROR(MAX(0,$H197-$G197*kik_sifirCarpan),0))</f>
        <v/>
      </c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7">
        <f>IF($A198="","",IFERROR(ROUND(MAX(0,$B198*INDEX(tblKurallar[deger_2025],MATCH("KIK-001",tblKurallar[kural_id],0))-($C198+$D198+$E198+$F198)),kik_yuvarMax),0))</f>
        <v/>
      </c>
      <c r="I198" s="37">
        <f>IF($A198="","",IFERROR(MAX(0,$H198-$G198*kik_sifirCarpan),0))</f>
        <v/>
      </c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7">
        <f>IF($A199="","",IFERROR(ROUND(MAX(0,$B199*INDEX(tblKurallar[deger_2025],MATCH("KIK-001",tblKurallar[kural_id],0))-($C199+$D199+$E199+$F199)),kik_yuvarMax),0))</f>
        <v/>
      </c>
      <c r="I199" s="37">
        <f>IF($A199="","",IFERROR(MAX(0,$H199-$G199*kik_sifirCarpan),0))</f>
        <v/>
      </c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7">
        <f>IF($A200="","",IFERROR(ROUND(MAX(0,$B200*INDEX(tblKurallar[deger_2025],MATCH("KIK-001",tblKurallar[kural_id],0))-($C200+$D200+$E200+$F200)),kik_yuvarMax),0))</f>
        <v/>
      </c>
      <c r="I200" s="37">
        <f>IF($A200="","",IFERROR(MAX(0,$H200-$G200*kik_sifirCarpan),0))</f>
        <v/>
      </c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7">
        <f>IF($A201="","",IFERROR(ROUND(MAX(0,$B201*INDEX(tblKurallar[deger_2025],MATCH("KIK-001",tblKurallar[kural_id],0))-($C201+$D201+$E201+$F201)),kik_yuvarMax),0))</f>
        <v/>
      </c>
      <c r="I201" s="37">
        <f>IF($A201="","",IFERROR(MAX(0,$H201-$G201*kik_sifirCarpan),0))</f>
        <v/>
      </c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7">
        <f>IF($A202="","",IFERROR(ROUND(MAX(0,$B202*INDEX(tblKurallar[deger_2025],MATCH("KIK-001",tblKurallar[kural_id],0))-($C202+$D202+$E202+$F202)),kik_yuvarMax),0))</f>
        <v/>
      </c>
      <c r="I202" s="37">
        <f>IF($A202="","",IFERROR(MAX(0,$H202-$G202*kik_sifirCarpan),0))</f>
        <v/>
      </c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7">
        <f>IF($A203="","",IFERROR(ROUND(MAX(0,$B203*INDEX(tblKurallar[deger_2025],MATCH("KIK-001",tblKurallar[kural_id],0))-($C203+$D203+$E203+$F203)),kik_yuvarMax),0))</f>
        <v/>
      </c>
      <c r="I203" s="37">
        <f>IF($A203="","",IFERROR(MAX(0,$H203-$G203*kik_sifirCarpan),0))</f>
        <v/>
      </c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7">
        <f>IF($A204="","",IFERROR(ROUND(MAX(0,$B204*INDEX(tblKurallar[deger_2025],MATCH("KIK-001",tblKurallar[kural_id],0))-($C204+$D204+$E204+$F204)),kik_yuvarMax),0))</f>
        <v/>
      </c>
      <c r="I204" s="37">
        <f>IF($A204="","",IFERROR(MAX(0,$H204-$G204*kik_sifirCarpan),0))</f>
        <v/>
      </c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7">
        <f>IF($A205="","",IFERROR(ROUND(MAX(0,$B205*INDEX(tblKurallar[deger_2025],MATCH("KIK-001",tblKurallar[kural_id],0))-($C205+$D205+$E205+$F205)),kik_yuvarMax),0))</f>
        <v/>
      </c>
      <c r="I205" s="37">
        <f>IF($A205="","",IFERROR(MAX(0,$H205-$G205*kik_sifirCarpan),0))</f>
        <v/>
      </c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7">
        <f>IF($A206="","",IFERROR(ROUND(MAX(0,$B206*INDEX(tblKurallar[deger_2025],MATCH("KIK-001",tblKurallar[kural_id],0))-($C206+$D206+$E206+$F206)),kik_yuvarMax),0))</f>
        <v/>
      </c>
      <c r="I206" s="37">
        <f>IF($A206="","",IFERROR(MAX(0,$H206-$G206*kik_sifirCarpan),0))</f>
        <v/>
      </c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7">
        <f>IF($A207="","",IFERROR(ROUND(MAX(0,$B207*INDEX(tblKurallar[deger_2025],MATCH("KIK-001",tblKurallar[kural_id],0))-($C207+$D207+$E207+$F207)),kik_yuvarMax),0))</f>
        <v/>
      </c>
      <c r="I207" s="37">
        <f>IF($A207="","",IFERROR(MAX(0,$H207-$G207*kik_sifirCarpan),0))</f>
        <v/>
      </c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7">
        <f>IF($A208="","",IFERROR(ROUND(MAX(0,$B208*INDEX(tblKurallar[deger_2025],MATCH("KIK-001",tblKurallar[kural_id],0))-($C208+$D208+$E208+$F208)),kik_yuvarMax),0))</f>
        <v/>
      </c>
      <c r="I208" s="37">
        <f>IF($A208="","",IFERROR(MAX(0,$H208-$G208*kik_sifirCarpan),0))</f>
        <v/>
      </c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7">
        <f>IF($A209="","",IFERROR(ROUND(MAX(0,$B209*INDEX(tblKurallar[deger_2025],MATCH("KIK-001",tblKurallar[kural_id],0))-($C209+$D209+$E209+$F209)),kik_yuvarMax),0))</f>
        <v/>
      </c>
      <c r="I209" s="37">
        <f>IF($A209="","",IFERROR(MAX(0,$H209-$G209*kik_sifirCarpan),0))</f>
        <v/>
      </c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7">
        <f>IF($A210="","",IFERROR(ROUND(MAX(0,$B210*INDEX(tblKurallar[deger_2025],MATCH("KIK-001",tblKurallar[kural_id],0))-($C210+$D210+$E210+$F210)),kik_yuvarMax),0))</f>
        <v/>
      </c>
      <c r="I210" s="37">
        <f>IF($A210="","",IFERROR(MAX(0,$H210-$G210*kik_sifirCarpan),0))</f>
        <v/>
      </c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7">
        <f>IF($A211="","",IFERROR(ROUND(MAX(0,$B211*INDEX(tblKurallar[deger_2025],MATCH("KIK-001",tblKurallar[kural_id],0))-($C211+$D211+$E211+$F211)),kik_yuvarMax),0))</f>
        <v/>
      </c>
      <c r="I211" s="37">
        <f>IF($A211="","",IFERROR(MAX(0,$H211-$G211*kik_sifirCarpan),0))</f>
        <v/>
      </c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7">
        <f>IF($A212="","",IFERROR(ROUND(MAX(0,$B212*INDEX(tblKurallar[deger_2025],MATCH("KIK-001",tblKurallar[kural_id],0))-($C212+$D212+$E212+$F212)),kik_yuvarMax),0))</f>
        <v/>
      </c>
      <c r="I212" s="37">
        <f>IF($A212="","",IFERROR(MAX(0,$H212-$G212*kik_sifirCarpan),0))</f>
        <v/>
      </c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7">
        <f>IF($A213="","",IFERROR(ROUND(MAX(0,$B213*INDEX(tblKurallar[deger_2025],MATCH("KIK-001",tblKurallar[kural_id],0))-($C213+$D213+$E213+$F213)),kik_yuvarMax),0))</f>
        <v/>
      </c>
      <c r="I213" s="37">
        <f>IF($A213="","",IFERROR(MAX(0,$H213-$G213*kik_sifirCarpan),0))</f>
        <v/>
      </c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7">
        <f>IF($A214="","",IFERROR(ROUND(MAX(0,$B214*INDEX(tblKurallar[deger_2025],MATCH("KIK-001",tblKurallar[kural_id],0))-($C214+$D214+$E214+$F214)),kik_yuvarMax),0))</f>
        <v/>
      </c>
      <c r="I214" s="37">
        <f>IF($A214="","",IFERROR(MAX(0,$H214-$G214*kik_sifirCarpan),0))</f>
        <v/>
      </c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7">
        <f>IF($A215="","",IFERROR(ROUND(MAX(0,$B215*INDEX(tblKurallar[deger_2025],MATCH("KIK-001",tblKurallar[kural_id],0))-($C215+$D215+$E215+$F215)),kik_yuvarMax),0))</f>
        <v/>
      </c>
      <c r="I215" s="37">
        <f>IF($A215="","",IFERROR(MAX(0,$H215-$G215*kik_sifirCarpan),0))</f>
        <v/>
      </c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7">
        <f>IF($A216="","",IFERROR(ROUND(MAX(0,$B216*INDEX(tblKurallar[deger_2025],MATCH("KIK-001",tblKurallar[kural_id],0))-($C216+$D216+$E216+$F216)),kik_yuvarMax),0))</f>
        <v/>
      </c>
      <c r="I216" s="37">
        <f>IF($A216="","",IFERROR(MAX(0,$H216-$G216*kik_sifirCarpan),0))</f>
        <v/>
      </c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7">
        <f>IF($A217="","",IFERROR(ROUND(MAX(0,$B217*INDEX(tblKurallar[deger_2025],MATCH("KIK-001",tblKurallar[kural_id],0))-($C217+$D217+$E217+$F217)),kik_yuvarMax),0))</f>
        <v/>
      </c>
      <c r="I217" s="37">
        <f>IF($A217="","",IFERROR(MAX(0,$H217-$G217*kik_sifirCarpan),0))</f>
        <v/>
      </c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7">
        <f>IF($A218="","",IFERROR(ROUND(MAX(0,$B218*INDEX(tblKurallar[deger_2025],MATCH("KIK-001",tblKurallar[kural_id],0))-($C218+$D218+$E218+$F218)),kik_yuvarMax),0))</f>
        <v/>
      </c>
      <c r="I218" s="37">
        <f>IF($A218="","",IFERROR(MAX(0,$H218-$G218*kik_sifirCarpan),0))</f>
        <v/>
      </c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7">
        <f>IF($A219="","",IFERROR(ROUND(MAX(0,$B219*INDEX(tblKurallar[deger_2025],MATCH("KIK-001",tblKurallar[kural_id],0))-($C219+$D219+$E219+$F219)),kik_yuvarMax),0))</f>
        <v/>
      </c>
      <c r="I219" s="37">
        <f>IF($A219="","",IFERROR(MAX(0,$H219-$G219*kik_sifirCarpan),0))</f>
        <v/>
      </c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7">
        <f>IF($A220="","",IFERROR(ROUND(MAX(0,$B220*INDEX(tblKurallar[deger_2025],MATCH("KIK-001",tblKurallar[kural_id],0))-($C220+$D220+$E220+$F220)),kik_yuvarMax),0))</f>
        <v/>
      </c>
      <c r="I220" s="37">
        <f>IF($A220="","",IFERROR(MAX(0,$H220-$G220*kik_sifirCarpan),0))</f>
        <v/>
      </c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7">
        <f>IF($A221="","",IFERROR(ROUND(MAX(0,$B221*INDEX(tblKurallar[deger_2025],MATCH("KIK-001",tblKurallar[kural_id],0))-($C221+$D221+$E221+$F221)),kik_yuvarMax),0))</f>
        <v/>
      </c>
      <c r="I221" s="37">
        <f>IF($A221="","",IFERROR(MAX(0,$H221-$G221*kik_sifirCarpan),0))</f>
        <v/>
      </c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7">
        <f>IF($A222="","",IFERROR(ROUND(MAX(0,$B222*INDEX(tblKurallar[deger_2025],MATCH("KIK-001",tblKurallar[kural_id],0))-($C222+$D222+$E222+$F222)),kik_yuvarMax),0))</f>
        <v/>
      </c>
      <c r="I222" s="37">
        <f>IF($A222="","",IFERROR(MAX(0,$H222-$G222*kik_sifirCarpan),0))</f>
        <v/>
      </c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7">
        <f>IF($A223="","",IFERROR(ROUND(MAX(0,$B223*INDEX(tblKurallar[deger_2025],MATCH("KIK-001",tblKurallar[kural_id],0))-($C223+$D223+$E223+$F223)),kik_yuvarMax),0))</f>
        <v/>
      </c>
      <c r="I223" s="37">
        <f>IF($A223="","",IFERROR(MAX(0,$H223-$G223*kik_sifirCarpan),0))</f>
        <v/>
      </c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7">
        <f>IF($A224="","",IFERROR(ROUND(MAX(0,$B224*INDEX(tblKurallar[deger_2025],MATCH("KIK-001",tblKurallar[kural_id],0))-($C224+$D224+$E224+$F224)),kik_yuvarMax),0))</f>
        <v/>
      </c>
      <c r="I224" s="37">
        <f>IF($A224="","",IFERROR(MAX(0,$H224-$G224*kik_sifirCarpan),0))</f>
        <v/>
      </c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7">
        <f>IF($A225="","",IFERROR(ROUND(MAX(0,$B225*INDEX(tblKurallar[deger_2025],MATCH("KIK-001",tblKurallar[kural_id],0))-($C225+$D225+$E225+$F225)),kik_yuvarMax),0))</f>
        <v/>
      </c>
      <c r="I225" s="37">
        <f>IF($A225="","",IFERROR(MAX(0,$H225-$G225*kik_sifirCarpan),0))</f>
        <v/>
      </c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7">
        <f>IF($A226="","",IFERROR(ROUND(MAX(0,$B226*INDEX(tblKurallar[deger_2025],MATCH("KIK-001",tblKurallar[kural_id],0))-($C226+$D226+$E226+$F226)),kik_yuvarMax),0))</f>
        <v/>
      </c>
      <c r="I226" s="37">
        <f>IF($A226="","",IFERROR(MAX(0,$H226-$G226*kik_sifirCarpan),0))</f>
        <v/>
      </c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7">
        <f>IF($A227="","",IFERROR(ROUND(MAX(0,$B227*INDEX(tblKurallar[deger_2025],MATCH("KIK-001",tblKurallar[kural_id],0))-($C227+$D227+$E227+$F227)),kik_yuvarMax),0))</f>
        <v/>
      </c>
      <c r="I227" s="37">
        <f>IF($A227="","",IFERROR(MAX(0,$H227-$G227*kik_sifirCarpan),0))</f>
        <v/>
      </c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7">
        <f>IF($A228="","",IFERROR(ROUND(MAX(0,$B228*INDEX(tblKurallar[deger_2025],MATCH("KIK-001",tblKurallar[kural_id],0))-($C228+$D228+$E228+$F228)),kik_yuvarMax),0))</f>
        <v/>
      </c>
      <c r="I228" s="37">
        <f>IF($A228="","",IFERROR(MAX(0,$H228-$G228*kik_sifirCarpan),0))</f>
        <v/>
      </c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7">
        <f>IF($A229="","",IFERROR(ROUND(MAX(0,$B229*INDEX(tblKurallar[deger_2025],MATCH("KIK-001",tblKurallar[kural_id],0))-($C229+$D229+$E229+$F229)),kik_yuvarMax),0))</f>
        <v/>
      </c>
      <c r="I229" s="37">
        <f>IF($A229="","",IFERROR(MAX(0,$H229-$G229*kik_sifirCarpan),0))</f>
        <v/>
      </c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7">
        <f>IF($A230="","",IFERROR(ROUND(MAX(0,$B230*INDEX(tblKurallar[deger_2025],MATCH("KIK-001",tblKurallar[kural_id],0))-($C230+$D230+$E230+$F230)),kik_yuvarMax),0))</f>
        <v/>
      </c>
      <c r="I230" s="37">
        <f>IF($A230="","",IFERROR(MAX(0,$H230-$G230*kik_sifirCarpan),0))</f>
        <v/>
      </c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7">
        <f>IF($A231="","",IFERROR(ROUND(MAX(0,$B231*INDEX(tblKurallar[deger_2025],MATCH("KIK-001",tblKurallar[kural_id],0))-($C231+$D231+$E231+$F231)),kik_yuvarMax),0))</f>
        <v/>
      </c>
      <c r="I231" s="37">
        <f>IF($A231="","",IFERROR(MAX(0,$H231-$G231*kik_sifirCarpan),0))</f>
        <v/>
      </c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7">
        <f>IF($A232="","",IFERROR(ROUND(MAX(0,$B232*INDEX(tblKurallar[deger_2025],MATCH("KIK-001",tblKurallar[kural_id],0))-($C232+$D232+$E232+$F232)),kik_yuvarMax),0))</f>
        <v/>
      </c>
      <c r="I232" s="37">
        <f>IF($A232="","",IFERROR(MAX(0,$H232-$G232*kik_sifirCarpan),0))</f>
        <v/>
      </c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7">
        <f>IF($A233="","",IFERROR(ROUND(MAX(0,$B233*INDEX(tblKurallar[deger_2025],MATCH("KIK-001",tblKurallar[kural_id],0))-($C233+$D233+$E233+$F233)),kik_yuvarMax),0))</f>
        <v/>
      </c>
      <c r="I233" s="37">
        <f>IF($A233="","",IFERROR(MAX(0,$H233-$G233*kik_sifirCarpan),0))</f>
        <v/>
      </c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7">
        <f>IF($A234="","",IFERROR(ROUND(MAX(0,$B234*INDEX(tblKurallar[deger_2025],MATCH("KIK-001",tblKurallar[kural_id],0))-($C234+$D234+$E234+$F234)),kik_yuvarMax),0))</f>
        <v/>
      </c>
      <c r="I234" s="37">
        <f>IF($A234="","",IFERROR(MAX(0,$H234-$G234*kik_sifirCarpan),0))</f>
        <v/>
      </c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7">
        <f>IF($A235="","",IFERROR(ROUND(MAX(0,$B235*INDEX(tblKurallar[deger_2025],MATCH("KIK-001",tblKurallar[kural_id],0))-($C235+$D235+$E235+$F235)),kik_yuvarMax),0))</f>
        <v/>
      </c>
      <c r="I235" s="37">
        <f>IF($A235="","",IFERROR(MAX(0,$H235-$G235*kik_sifirCarpan),0))</f>
        <v/>
      </c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7">
        <f>IF($A236="","",IFERROR(ROUND(MAX(0,$B236*INDEX(tblKurallar[deger_2025],MATCH("KIK-001",tblKurallar[kural_id],0))-($C236+$D236+$E236+$F236)),kik_yuvarMax),0))</f>
        <v/>
      </c>
      <c r="I236" s="37">
        <f>IF($A236="","",IFERROR(MAX(0,$H236-$G236*kik_sifirCarpan),0))</f>
        <v/>
      </c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7">
        <f>IF($A237="","",IFERROR(ROUND(MAX(0,$B237*INDEX(tblKurallar[deger_2025],MATCH("KIK-001",tblKurallar[kural_id],0))-($C237+$D237+$E237+$F237)),kik_yuvarMax),0))</f>
        <v/>
      </c>
      <c r="I237" s="37">
        <f>IF($A237="","",IFERROR(MAX(0,$H237-$G237*kik_sifirCarpan),0))</f>
        <v/>
      </c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7">
        <f>IF($A238="","",IFERROR(ROUND(MAX(0,$B238*INDEX(tblKurallar[deger_2025],MATCH("KIK-001",tblKurallar[kural_id],0))-($C238+$D238+$E238+$F238)),kik_yuvarMax),0))</f>
        <v/>
      </c>
      <c r="I238" s="37">
        <f>IF($A238="","",IFERROR(MAX(0,$H238-$G238*kik_sifirCarpan),0))</f>
        <v/>
      </c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7">
        <f>IF($A239="","",IFERROR(ROUND(MAX(0,$B239*INDEX(tblKurallar[deger_2025],MATCH("KIK-001",tblKurallar[kural_id],0))-($C239+$D239+$E239+$F239)),kik_yuvarMax),0))</f>
        <v/>
      </c>
      <c r="I239" s="37">
        <f>IF($A239="","",IFERROR(MAX(0,$H239-$G239*kik_sifirCarpan),0))</f>
        <v/>
      </c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7">
        <f>IF($A240="","",IFERROR(ROUND(MAX(0,$B240*INDEX(tblKurallar[deger_2025],MATCH("KIK-001",tblKurallar[kural_id],0))-($C240+$D240+$E240+$F240)),kik_yuvarMax),0))</f>
        <v/>
      </c>
      <c r="I240" s="37">
        <f>IF($A240="","",IFERROR(MAX(0,$H240-$G240*kik_sifirCarpan),0))</f>
        <v/>
      </c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7">
        <f>IF($A241="","",IFERROR(ROUND(MAX(0,$B241*INDEX(tblKurallar[deger_2025],MATCH("KIK-001",tblKurallar[kural_id],0))-($C241+$D241+$E241+$F241)),kik_yuvarMax),0))</f>
        <v/>
      </c>
      <c r="I241" s="37">
        <f>IF($A241="","",IFERROR(MAX(0,$H241-$G241*kik_sifirCarpan),0))</f>
        <v/>
      </c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7">
        <f>IF($A242="","",IFERROR(ROUND(MAX(0,$B242*INDEX(tblKurallar[deger_2025],MATCH("KIK-001",tblKurallar[kural_id],0))-($C242+$D242+$E242+$F242)),kik_yuvarMax),0))</f>
        <v/>
      </c>
      <c r="I242" s="37">
        <f>IF($A242="","",IFERROR(MAX(0,$H242-$G242*kik_sifirCarpan),0))</f>
        <v/>
      </c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7">
        <f>IF($A243="","",IFERROR(ROUND(MAX(0,$B243*INDEX(tblKurallar[deger_2025],MATCH("KIK-001",tblKurallar[kural_id],0))-($C243+$D243+$E243+$F243)),kik_yuvarMax),0))</f>
        <v/>
      </c>
      <c r="I243" s="37">
        <f>IF($A243="","",IFERROR(MAX(0,$H243-$G243*kik_sifirCarpan),0))</f>
        <v/>
      </c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7">
        <f>IF($A244="","",IFERROR(ROUND(MAX(0,$B244*INDEX(tblKurallar[deger_2025],MATCH("KIK-001",tblKurallar[kural_id],0))-($C244+$D244+$E244+$F244)),kik_yuvarMax),0))</f>
        <v/>
      </c>
      <c r="I244" s="37">
        <f>IF($A244="","",IFERROR(MAX(0,$H244-$G244*kik_sifirCarpan),0))</f>
        <v/>
      </c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7">
        <f>IF($A245="","",IFERROR(ROUND(MAX(0,$B245*INDEX(tblKurallar[deger_2025],MATCH("KIK-001",tblKurallar[kural_id],0))-($C245+$D245+$E245+$F245)),kik_yuvarMax),0))</f>
        <v/>
      </c>
      <c r="I245" s="37">
        <f>IF($A245="","",IFERROR(MAX(0,$H245-$G245*kik_sifirCarpan),0))</f>
        <v/>
      </c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7">
        <f>IF($A246="","",IFERROR(ROUND(MAX(0,$B246*INDEX(tblKurallar[deger_2025],MATCH("KIK-001",tblKurallar[kural_id],0))-($C246+$D246+$E246+$F246)),kik_yuvarMax),0))</f>
        <v/>
      </c>
      <c r="I246" s="37">
        <f>IF($A246="","",IFERROR(MAX(0,$H246-$G246*kik_sifirCarpan),0))</f>
        <v/>
      </c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7">
        <f>IF($A247="","",IFERROR(ROUND(MAX(0,$B247*INDEX(tblKurallar[deger_2025],MATCH("KIK-001",tblKurallar[kural_id],0))-($C247+$D247+$E247+$F247)),kik_yuvarMax),0))</f>
        <v/>
      </c>
      <c r="I247" s="37">
        <f>IF($A247="","",IFERROR(MAX(0,$H247-$G247*kik_sifirCarpan),0))</f>
        <v/>
      </c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7">
        <f>IF($A248="","",IFERROR(ROUND(MAX(0,$B248*INDEX(tblKurallar[deger_2025],MATCH("KIK-001",tblKurallar[kural_id],0))-($C248+$D248+$E248+$F248)),kik_yuvarMax),0))</f>
        <v/>
      </c>
      <c r="I248" s="37">
        <f>IF($A248="","",IFERROR(MAX(0,$H248-$G248*kik_sifirCarpan),0))</f>
        <v/>
      </c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7">
        <f>IF($A249="","",IFERROR(ROUND(MAX(0,$B249*INDEX(tblKurallar[deger_2025],MATCH("KIK-001",tblKurallar[kural_id],0))-($C249+$D249+$E249+$F249)),kik_yuvarMax),0))</f>
        <v/>
      </c>
      <c r="I249" s="37">
        <f>IF($A249="","",IFERROR(MAX(0,$H249-$G249*kik_sifirCarpan),0))</f>
        <v/>
      </c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7">
        <f>IF($A250="","",IFERROR(ROUND(MAX(0,$B250*INDEX(tblKurallar[deger_2025],MATCH("KIK-001",tblKurallar[kural_id],0))-($C250+$D250+$E250+$F250)),kik_yuvarMax),0))</f>
        <v/>
      </c>
      <c r="I250" s="37">
        <f>IF($A250="","",IFERROR(MAX(0,$H250-$G250*kik_sifirCarpan),0))</f>
        <v/>
      </c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7">
        <f>IF($A251="","",IFERROR(ROUND(MAX(0,$B251*INDEX(tblKurallar[deger_2025],MATCH("KIK-001",tblKurallar[kural_id],0))-($C251+$D251+$E251+$F251)),kik_yuvarMax),0))</f>
        <v/>
      </c>
      <c r="I251" s="37">
        <f>IF($A251="","",IFERROR(MAX(0,$H251-$G251*kik_sifirCarpan),0))</f>
        <v/>
      </c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7">
        <f>IF($A252="","",IFERROR(ROUND(MAX(0,$B252*INDEX(tblKurallar[deger_2025],MATCH("KIK-001",tblKurallar[kural_id],0))-($C252+$D252+$E252+$F252)),kik_yuvarMax),0))</f>
        <v/>
      </c>
      <c r="I252" s="37">
        <f>IF($A252="","",IFERROR(MAX(0,$H252-$G252*kik_sifirCarpan),0))</f>
        <v/>
      </c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7">
        <f>IF($A253="","",IFERROR(ROUND(MAX(0,$B253*INDEX(tblKurallar[deger_2025],MATCH("KIK-001",tblKurallar[kural_id],0))-($C253+$D253+$E253+$F253)),kik_yuvarMax),0))</f>
        <v/>
      </c>
      <c r="I253" s="37">
        <f>IF($A253="","",IFERROR(MAX(0,$H253-$G253*kik_sifirCarpan),0))</f>
        <v/>
      </c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7">
        <f>IF($A254="","",IFERROR(ROUND(MAX(0,$B254*INDEX(tblKurallar[deger_2025],MATCH("KIK-001",tblKurallar[kural_id],0))-($C254+$D254+$E254+$F254)),kik_yuvarMax),0))</f>
        <v/>
      </c>
      <c r="I254" s="37">
        <f>IF($A254="","",IFERROR(MAX(0,$H254-$G254*kik_sifirCarpan),0))</f>
        <v/>
      </c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7">
        <f>IF($A255="","",IFERROR(ROUND(MAX(0,$B255*INDEX(tblKurallar[deger_2025],MATCH("KIK-001",tblKurallar[kural_id],0))-($C255+$D255+$E255+$F255)),kik_yuvarMax),0))</f>
        <v/>
      </c>
      <c r="I255" s="37">
        <f>IF($A255="","",IFERROR(MAX(0,$H255-$G255*kik_sifirCarpan),0))</f>
        <v/>
      </c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7">
        <f>IF($A256="","",IFERROR(ROUND(MAX(0,$B256*INDEX(tblKurallar[deger_2025],MATCH("KIK-001",tblKurallar[kural_id],0))-($C256+$D256+$E256+$F256)),kik_yuvarMax),0))</f>
        <v/>
      </c>
      <c r="I256" s="37">
        <f>IF($A256="","",IFERROR(MAX(0,$H256-$G256*kik_sifirCarpan),0))</f>
        <v/>
      </c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7">
        <f>IF($A257="","",IFERROR(ROUND(MAX(0,$B257*INDEX(tblKurallar[deger_2025],MATCH("KIK-001",tblKurallar[kural_id],0))-($C257+$D257+$E257+$F257)),kik_yuvarMax),0))</f>
        <v/>
      </c>
      <c r="I257" s="37">
        <f>IF($A257="","",IFERROR(MAX(0,$H257-$G257*kik_sifirCarpan),0))</f>
        <v/>
      </c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7">
        <f>IF($A258="","",IFERROR(ROUND(MAX(0,$B258*INDEX(tblKurallar[deger_2025],MATCH("KIK-001",tblKurallar[kural_id],0))-($C258+$D258+$E258+$F258)),kik_yuvarMax),0))</f>
        <v/>
      </c>
      <c r="I258" s="37">
        <f>IF($A258="","",IFERROR(MAX(0,$H258-$G258*kik_sifirCarpan),0))</f>
        <v/>
      </c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7">
        <f>IF($A259="","",IFERROR(ROUND(MAX(0,$B259*INDEX(tblKurallar[deger_2025],MATCH("KIK-001",tblKurallar[kural_id],0))-($C259+$D259+$E259+$F259)),kik_yuvarMax),0))</f>
        <v/>
      </c>
      <c r="I259" s="37">
        <f>IF($A259="","",IFERROR(MAX(0,$H259-$G259*kik_sifirCarpan),0))</f>
        <v/>
      </c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7">
        <f>IF($A260="","",IFERROR(ROUND(MAX(0,$B260*INDEX(tblKurallar[deger_2025],MATCH("KIK-001",tblKurallar[kural_id],0))-($C260+$D260+$E260+$F260)),kik_yuvarMax),0))</f>
        <v/>
      </c>
      <c r="I260" s="37">
        <f>IF($A260="","",IFERROR(MAX(0,$H260-$G260*kik_sifirCarpan),0))</f>
        <v/>
      </c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7">
        <f>IF($A261="","",IFERROR(ROUND(MAX(0,$B261*INDEX(tblKurallar[deger_2025],MATCH("KIK-001",tblKurallar[kural_id],0))-($C261+$D261+$E261+$F261)),kik_yuvarMax),0))</f>
        <v/>
      </c>
      <c r="I261" s="37">
        <f>IF($A261="","",IFERROR(MAX(0,$H261-$G261*kik_sifirCarpan),0))</f>
        <v/>
      </c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7">
        <f>IF($A262="","",IFERROR(ROUND(MAX(0,$B262*INDEX(tblKurallar[deger_2025],MATCH("KIK-001",tblKurallar[kural_id],0))-($C262+$D262+$E262+$F262)),kik_yuvarMax),0))</f>
        <v/>
      </c>
      <c r="I262" s="37">
        <f>IF($A262="","",IFERROR(MAX(0,$H262-$G262*kik_sifirCarpan),0))</f>
        <v/>
      </c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7">
        <f>IF($A263="","",IFERROR(ROUND(MAX(0,$B263*INDEX(tblKurallar[deger_2025],MATCH("KIK-001",tblKurallar[kural_id],0))-($C263+$D263+$E263+$F263)),kik_yuvarMax),0))</f>
        <v/>
      </c>
      <c r="I263" s="37">
        <f>IF($A263="","",IFERROR(MAX(0,$H263-$G263*kik_sifirCarpan),0))</f>
        <v/>
      </c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7">
        <f>IF($A264="","",IFERROR(ROUND(MAX(0,$B264*INDEX(tblKurallar[deger_2025],MATCH("KIK-001",tblKurallar[kural_id],0))-($C264+$D264+$E264+$F264)),kik_yuvarMax),0))</f>
        <v/>
      </c>
      <c r="I264" s="37">
        <f>IF($A264="","",IFERROR(MAX(0,$H264-$G264*kik_sifirCarpan),0))</f>
        <v/>
      </c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7">
        <f>IF($A265="","",IFERROR(ROUND(MAX(0,$B265*INDEX(tblKurallar[deger_2025],MATCH("KIK-001",tblKurallar[kural_id],0))-($C265+$D265+$E265+$F265)),kik_yuvarMax),0))</f>
        <v/>
      </c>
      <c r="I265" s="37">
        <f>IF($A265="","",IFERROR(MAX(0,$H265-$G265*kik_sifirCarpan),0))</f>
        <v/>
      </c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7">
        <f>IF($A266="","",IFERROR(ROUND(MAX(0,$B266*INDEX(tblKurallar[deger_2025],MATCH("KIK-001",tblKurallar[kural_id],0))-($C266+$D266+$E266+$F266)),kik_yuvarMax),0))</f>
        <v/>
      </c>
      <c r="I266" s="37">
        <f>IF($A266="","",IFERROR(MAX(0,$H266-$G266*kik_sifirCarpan),0))</f>
        <v/>
      </c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7">
        <f>IF($A267="","",IFERROR(ROUND(MAX(0,$B267*INDEX(tblKurallar[deger_2025],MATCH("KIK-001",tblKurallar[kural_id],0))-($C267+$D267+$E267+$F267)),kik_yuvarMax),0))</f>
        <v/>
      </c>
      <c r="I267" s="37">
        <f>IF($A267="","",IFERROR(MAX(0,$H267-$G267*kik_sifirCarpan),0))</f>
        <v/>
      </c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7">
        <f>IF($A268="","",IFERROR(ROUND(MAX(0,$B268*INDEX(tblKurallar[deger_2025],MATCH("KIK-001",tblKurallar[kural_id],0))-($C268+$D268+$E268+$F268)),kik_yuvarMax),0))</f>
        <v/>
      </c>
      <c r="I268" s="37">
        <f>IF($A268="","",IFERROR(MAX(0,$H268-$G268*kik_sifirCarpan),0))</f>
        <v/>
      </c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7">
        <f>IF($A269="","",IFERROR(ROUND(MAX(0,$B269*INDEX(tblKurallar[deger_2025],MATCH("KIK-001",tblKurallar[kural_id],0))-($C269+$D269+$E269+$F269)),kik_yuvarMax),0))</f>
        <v/>
      </c>
      <c r="I269" s="37">
        <f>IF($A269="","",IFERROR(MAX(0,$H269-$G269*kik_sifirCarpan),0))</f>
        <v/>
      </c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7">
        <f>IF($A270="","",IFERROR(ROUND(MAX(0,$B270*INDEX(tblKurallar[deger_2025],MATCH("KIK-001",tblKurallar[kural_id],0))-($C270+$D270+$E270+$F270)),kik_yuvarMax),0))</f>
        <v/>
      </c>
      <c r="I270" s="37">
        <f>IF($A270="","",IFERROR(MAX(0,$H270-$G270*kik_sifirCarpan),0))</f>
        <v/>
      </c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7">
        <f>IF($A271="","",IFERROR(ROUND(MAX(0,$B271*INDEX(tblKurallar[deger_2025],MATCH("KIK-001",tblKurallar[kural_id],0))-($C271+$D271+$E271+$F271)),kik_yuvarMax),0))</f>
        <v/>
      </c>
      <c r="I271" s="37">
        <f>IF($A271="","",IFERROR(MAX(0,$H271-$G271*kik_sifirCarpan),0))</f>
        <v/>
      </c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7">
        <f>IF($A272="","",IFERROR(ROUND(MAX(0,$B272*INDEX(tblKurallar[deger_2025],MATCH("KIK-001",tblKurallar[kural_id],0))-($C272+$D272+$E272+$F272)),kik_yuvarMax),0))</f>
        <v/>
      </c>
      <c r="I272" s="37">
        <f>IF($A272="","",IFERROR(MAX(0,$H272-$G272*kik_sifirCarpan),0))</f>
        <v/>
      </c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7">
        <f>IF($A273="","",IFERROR(ROUND(MAX(0,$B273*INDEX(tblKurallar[deger_2025],MATCH("KIK-001",tblKurallar[kural_id],0))-($C273+$D273+$E273+$F273)),kik_yuvarMax),0))</f>
        <v/>
      </c>
      <c r="I273" s="37">
        <f>IF($A273="","",IFERROR(MAX(0,$H273-$G273*kik_sifirCarpan),0))</f>
        <v/>
      </c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7">
        <f>IF($A274="","",IFERROR(ROUND(MAX(0,$B274*INDEX(tblKurallar[deger_2025],MATCH("KIK-001",tblKurallar[kural_id],0))-($C274+$D274+$E274+$F274)),kik_yuvarMax),0))</f>
        <v/>
      </c>
      <c r="I274" s="37">
        <f>IF($A274="","",IFERROR(MAX(0,$H274-$G274*kik_sifirCarpan),0))</f>
        <v/>
      </c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7">
        <f>IF($A275="","",IFERROR(ROUND(MAX(0,$B275*INDEX(tblKurallar[deger_2025],MATCH("KIK-001",tblKurallar[kural_id],0))-($C275+$D275+$E275+$F275)),kik_yuvarMax),0))</f>
        <v/>
      </c>
      <c r="I275" s="37">
        <f>IF($A275="","",IFERROR(MAX(0,$H275-$G275*kik_sifirCarpan),0))</f>
        <v/>
      </c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7">
        <f>IF($A276="","",IFERROR(ROUND(MAX(0,$B276*INDEX(tblKurallar[deger_2025],MATCH("KIK-001",tblKurallar[kural_id],0))-($C276+$D276+$E276+$F276)),kik_yuvarMax),0))</f>
        <v/>
      </c>
      <c r="I276" s="37">
        <f>IF($A276="","",IFERROR(MAX(0,$H276-$G276*kik_sifirCarpan),0))</f>
        <v/>
      </c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7">
        <f>IF($A277="","",IFERROR(ROUND(MAX(0,$B277*INDEX(tblKurallar[deger_2025],MATCH("KIK-001",tblKurallar[kural_id],0))-($C277+$D277+$E277+$F277)),kik_yuvarMax),0))</f>
        <v/>
      </c>
      <c r="I277" s="37">
        <f>IF($A277="","",IFERROR(MAX(0,$H277-$G277*kik_sifirCarpan),0))</f>
        <v/>
      </c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7">
        <f>IF($A278="","",IFERROR(ROUND(MAX(0,$B278*INDEX(tblKurallar[deger_2025],MATCH("KIK-001",tblKurallar[kural_id],0))-($C278+$D278+$E278+$F278)),kik_yuvarMax),0))</f>
        <v/>
      </c>
      <c r="I278" s="37">
        <f>IF($A278="","",IFERROR(MAX(0,$H278-$G278*kik_sifirCarpan),0))</f>
        <v/>
      </c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7">
        <f>IF($A279="","",IFERROR(ROUND(MAX(0,$B279*INDEX(tblKurallar[deger_2025],MATCH("KIK-001",tblKurallar[kural_id],0))-($C279+$D279+$E279+$F279)),kik_yuvarMax),0))</f>
        <v/>
      </c>
      <c r="I279" s="37">
        <f>IF($A279="","",IFERROR(MAX(0,$H279-$G279*kik_sifirCarpan),0))</f>
        <v/>
      </c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7">
        <f>IF($A280="","",IFERROR(ROUND(MAX(0,$B280*INDEX(tblKurallar[deger_2025],MATCH("KIK-001",tblKurallar[kural_id],0))-($C280+$D280+$E280+$F280)),kik_yuvarMax),0))</f>
        <v/>
      </c>
      <c r="I280" s="37">
        <f>IF($A280="","",IFERROR(MAX(0,$H280-$G280*kik_sifirCarpan),0))</f>
        <v/>
      </c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7">
        <f>IF($A281="","",IFERROR(ROUND(MAX(0,$B281*INDEX(tblKurallar[deger_2025],MATCH("KIK-001",tblKurallar[kural_id],0))-($C281+$D281+$E281+$F281)),kik_yuvarMax),0))</f>
        <v/>
      </c>
      <c r="I281" s="37">
        <f>IF($A281="","",IFERROR(MAX(0,$H281-$G281*kik_sifirCarpan),0))</f>
        <v/>
      </c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7">
        <f>IF($A282="","",IFERROR(ROUND(MAX(0,$B282*INDEX(tblKurallar[deger_2025],MATCH("KIK-001",tblKurallar[kural_id],0))-($C282+$D282+$E282+$F282)),kik_yuvarMax),0))</f>
        <v/>
      </c>
      <c r="I282" s="37">
        <f>IF($A282="","",IFERROR(MAX(0,$H282-$G282*kik_sifirCarpan),0))</f>
        <v/>
      </c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7">
        <f>IF($A283="","",IFERROR(ROUND(MAX(0,$B283*INDEX(tblKurallar[deger_2025],MATCH("KIK-001",tblKurallar[kural_id],0))-($C283+$D283+$E283+$F283)),kik_yuvarMax),0))</f>
        <v/>
      </c>
      <c r="I283" s="37">
        <f>IF($A283="","",IFERROR(MAX(0,$H283-$G283*kik_sifirCarpan),0))</f>
        <v/>
      </c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7">
        <f>IF($A284="","",IFERROR(ROUND(MAX(0,$B284*INDEX(tblKurallar[deger_2025],MATCH("KIK-001",tblKurallar[kural_id],0))-($C284+$D284+$E284+$F284)),kik_yuvarMax),0))</f>
        <v/>
      </c>
      <c r="I284" s="37">
        <f>IF($A284="","",IFERROR(MAX(0,$H284-$G284*kik_sifirCarpan),0))</f>
        <v/>
      </c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7">
        <f>IF($A285="","",IFERROR(ROUND(MAX(0,$B285*INDEX(tblKurallar[deger_2025],MATCH("KIK-001",tblKurallar[kural_id],0))-($C285+$D285+$E285+$F285)),kik_yuvarMax),0))</f>
        <v/>
      </c>
      <c r="I285" s="37">
        <f>IF($A285="","",IFERROR(MAX(0,$H285-$G285*kik_sifirCarpan),0))</f>
        <v/>
      </c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7">
        <f>IF($A286="","",IFERROR(ROUND(MAX(0,$B286*INDEX(tblKurallar[deger_2025],MATCH("KIK-001",tblKurallar[kural_id],0))-($C286+$D286+$E286+$F286)),kik_yuvarMax),0))</f>
        <v/>
      </c>
      <c r="I286" s="37">
        <f>IF($A286="","",IFERROR(MAX(0,$H286-$G286*kik_sifirCarpan),0))</f>
        <v/>
      </c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7">
        <f>IF($A287="","",IFERROR(ROUND(MAX(0,$B287*INDEX(tblKurallar[deger_2025],MATCH("KIK-001",tblKurallar[kural_id],0))-($C287+$D287+$E287+$F287)),kik_yuvarMax),0))</f>
        <v/>
      </c>
      <c r="I287" s="37">
        <f>IF($A287="","",IFERROR(MAX(0,$H287-$G287*kik_sifirCarpan),0))</f>
        <v/>
      </c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7">
        <f>IF($A288="","",IFERROR(ROUND(MAX(0,$B288*INDEX(tblKurallar[deger_2025],MATCH("KIK-001",tblKurallar[kural_id],0))-($C288+$D288+$E288+$F288)),kik_yuvarMax),0))</f>
        <v/>
      </c>
      <c r="I288" s="37">
        <f>IF($A288="","",IFERROR(MAX(0,$H288-$G288*kik_sifirCarpan),0))</f>
        <v/>
      </c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7">
        <f>IF($A289="","",IFERROR(ROUND(MAX(0,$B289*INDEX(tblKurallar[deger_2025],MATCH("KIK-001",tblKurallar[kural_id],0))-($C289+$D289+$E289+$F289)),kik_yuvarMax),0))</f>
        <v/>
      </c>
      <c r="I289" s="37">
        <f>IF($A289="","",IFERROR(MAX(0,$H289-$G289*kik_sifirCarpan),0))</f>
        <v/>
      </c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7">
        <f>IF($A290="","",IFERROR(ROUND(MAX(0,$B290*INDEX(tblKurallar[deger_2025],MATCH("KIK-001",tblKurallar[kural_id],0))-($C290+$D290+$E290+$F290)),kik_yuvarMax),0))</f>
        <v/>
      </c>
      <c r="I290" s="37">
        <f>IF($A290="","",IFERROR(MAX(0,$H290-$G290*kik_sifirCarpan),0))</f>
        <v/>
      </c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7">
        <f>IF($A291="","",IFERROR(ROUND(MAX(0,$B291*INDEX(tblKurallar[deger_2025],MATCH("KIK-001",tblKurallar[kural_id],0))-($C291+$D291+$E291+$F291)),kik_yuvarMax),0))</f>
        <v/>
      </c>
      <c r="I291" s="37">
        <f>IF($A291="","",IFERROR(MAX(0,$H291-$G291*kik_sifirCarpan),0))</f>
        <v/>
      </c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7">
        <f>IF($A292="","",IFERROR(ROUND(MAX(0,$B292*INDEX(tblKurallar[deger_2025],MATCH("KIK-001",tblKurallar[kural_id],0))-($C292+$D292+$E292+$F292)),kik_yuvarMax),0))</f>
        <v/>
      </c>
      <c r="I292" s="37">
        <f>IF($A292="","",IFERROR(MAX(0,$H292-$G292*kik_sifirCarpan),0))</f>
        <v/>
      </c>
    </row>
    <row r="293">
      <c r="A293" s="36" t="n"/>
      <c r="B293" s="36" t="n"/>
      <c r="C293" s="36" t="n"/>
      <c r="D293" s="36" t="n"/>
      <c r="E293" s="36" t="n"/>
      <c r="F293" s="36" t="n"/>
      <c r="G293" s="36" t="n"/>
      <c r="H293" s="37">
        <f>IF($A293="","",IFERROR(ROUND(MAX(0,$B293*INDEX(tblKurallar[deger_2025],MATCH("KIK-001",tblKurallar[kural_id],0))-($C293+$D293+$E293+$F293)),kik_yuvarMax),0))</f>
        <v/>
      </c>
      <c r="I293" s="37">
        <f>IF($A293="","",IFERROR(MAX(0,$H293-$G293*kik_sifirCarpan),0))</f>
        <v/>
      </c>
    </row>
    <row r="294">
      <c r="A294" s="36" t="n"/>
      <c r="B294" s="36" t="n"/>
      <c r="C294" s="36" t="n"/>
      <c r="D294" s="36" t="n"/>
      <c r="E294" s="36" t="n"/>
      <c r="F294" s="36" t="n"/>
      <c r="G294" s="36" t="n"/>
      <c r="H294" s="37">
        <f>IF($A294="","",IFERROR(ROUND(MAX(0,$B294*INDEX(tblKurallar[deger_2025],MATCH("KIK-001",tblKurallar[kural_id],0))-($C294+$D294+$E294+$F294)),kik_yuvarMax),0))</f>
        <v/>
      </c>
      <c r="I294" s="37">
        <f>IF($A294="","",IFERROR(MAX(0,$H294-$G294*kik_sifirCarpan),0))</f>
        <v/>
      </c>
    </row>
    <row r="295">
      <c r="A295" s="36" t="n"/>
      <c r="B295" s="36" t="n"/>
      <c r="C295" s="36" t="n"/>
      <c r="D295" s="36" t="n"/>
      <c r="E295" s="36" t="n"/>
      <c r="F295" s="36" t="n"/>
      <c r="G295" s="36" t="n"/>
      <c r="H295" s="37">
        <f>IF($A295="","",IFERROR(ROUND(MAX(0,$B295*INDEX(tblKurallar[deger_2025],MATCH("KIK-001",tblKurallar[kural_id],0))-($C295+$D295+$E295+$F295)),kik_yuvarMax),0))</f>
        <v/>
      </c>
      <c r="I295" s="37">
        <f>IF($A295="","",IFERROR(MAX(0,$H295-$G295*kik_sifirCarpan),0))</f>
        <v/>
      </c>
    </row>
    <row r="296">
      <c r="A296" s="36" t="n"/>
      <c r="B296" s="36" t="n"/>
      <c r="C296" s="36" t="n"/>
      <c r="D296" s="36" t="n"/>
      <c r="E296" s="36" t="n"/>
      <c r="F296" s="36" t="n"/>
      <c r="G296" s="36" t="n"/>
      <c r="H296" s="37">
        <f>IF($A296="","",IFERROR(ROUND(MAX(0,$B296*INDEX(tblKurallar[deger_2025],MATCH("KIK-001",tblKurallar[kural_id],0))-($C296+$D296+$E296+$F296)),kik_yuvarMax),0))</f>
        <v/>
      </c>
      <c r="I296" s="37">
        <f>IF($A296="","",IFERROR(MAX(0,$H296-$G296*kik_sifirCarpan),0))</f>
        <v/>
      </c>
    </row>
    <row r="297">
      <c r="A297" s="36" t="n"/>
      <c r="B297" s="36" t="n"/>
      <c r="C297" s="36" t="n"/>
      <c r="D297" s="36" t="n"/>
      <c r="E297" s="36" t="n"/>
      <c r="F297" s="36" t="n"/>
      <c r="G297" s="36" t="n"/>
      <c r="H297" s="37">
        <f>IF($A297="","",IFERROR(ROUND(MAX(0,$B297*INDEX(tblKurallar[deger_2025],MATCH("KIK-001",tblKurallar[kural_id],0))-($C297+$D297+$E297+$F297)),kik_yuvarMax),0))</f>
        <v/>
      </c>
      <c r="I297" s="37">
        <f>IF($A297="","",IFERROR(MAX(0,$H297-$G297*kik_sifirCarpan),0))</f>
        <v/>
      </c>
    </row>
    <row r="298">
      <c r="A298" s="36" t="n"/>
      <c r="B298" s="36" t="n"/>
      <c r="C298" s="36" t="n"/>
      <c r="D298" s="36" t="n"/>
      <c r="E298" s="36" t="n"/>
      <c r="F298" s="36" t="n"/>
      <c r="G298" s="36" t="n"/>
      <c r="H298" s="37">
        <f>IF($A298="","",IFERROR(ROUND(MAX(0,$B298*INDEX(tblKurallar[deger_2025],MATCH("KIK-001",tblKurallar[kural_id],0))-($C298+$D298+$E298+$F298)),kik_yuvarMax),0))</f>
        <v/>
      </c>
      <c r="I298" s="37">
        <f>IF($A298="","",IFERROR(MAX(0,$H298-$G298*kik_sifirCarpan),0))</f>
        <v/>
      </c>
    </row>
    <row r="299">
      <c r="A299" s="36" t="n"/>
      <c r="B299" s="36" t="n"/>
      <c r="C299" s="36" t="n"/>
      <c r="D299" s="36" t="n"/>
      <c r="E299" s="36" t="n"/>
      <c r="F299" s="36" t="n"/>
      <c r="G299" s="36" t="n"/>
      <c r="H299" s="37">
        <f>IF($A299="","",IFERROR(ROUND(MAX(0,$B299*INDEX(tblKurallar[deger_2025],MATCH("KIK-001",tblKurallar[kural_id],0))-($C299+$D299+$E299+$F299)),kik_yuvarMax),0))</f>
        <v/>
      </c>
      <c r="I299" s="37">
        <f>IF($A299="","",IFERROR(MAX(0,$H299-$G299*kik_sifirCarpan),0))</f>
        <v/>
      </c>
    </row>
    <row r="300">
      <c r="A300" s="36" t="n"/>
      <c r="B300" s="36" t="n"/>
      <c r="C300" s="36" t="n"/>
      <c r="D300" s="36" t="n"/>
      <c r="E300" s="36" t="n"/>
      <c r="F300" s="36" t="n"/>
      <c r="G300" s="36" t="n"/>
      <c r="H300" s="37">
        <f>IF($A300="","",IFERROR(ROUND(MAX(0,$B300*INDEX(tblKurallar[deger_2025],MATCH("KIK-001",tblKurallar[kural_id],0))-($C300+$D300+$E300+$F300)),kik_yuvarMax),0))</f>
        <v/>
      </c>
      <c r="I300" s="37">
        <f>IF($A300="","",IFERROR(MAX(0,$H300-$G300*kik_sifirCarpan),0))</f>
        <v/>
      </c>
    </row>
    <row r="301">
      <c r="A301" s="36" t="n"/>
      <c r="B301" s="36" t="n"/>
      <c r="C301" s="36" t="n"/>
      <c r="D301" s="36" t="n"/>
      <c r="E301" s="36" t="n"/>
      <c r="F301" s="36" t="n"/>
      <c r="G301" s="36" t="n"/>
      <c r="H301" s="37">
        <f>IF($A301="","",IFERROR(ROUND(MAX(0,$B301*INDEX(tblKurallar[deger_2025],MATCH("KIK-001",tblKurallar[kural_id],0))-($C301+$D301+$E301+$F301)),kik_yuvarMax),0))</f>
        <v/>
      </c>
      <c r="I301" s="37">
        <f>IF($A301="","",IFERROR(MAX(0,$H301-$G301*kik_sifirCarpan),0))</f>
        <v/>
      </c>
    </row>
    <row r="302">
      <c r="A302" s="36" t="n"/>
      <c r="B302" s="36" t="n"/>
      <c r="C302" s="36" t="n"/>
      <c r="D302" s="36" t="n"/>
      <c r="E302" s="36" t="n"/>
      <c r="F302" s="36" t="n"/>
      <c r="G302" s="36" t="n"/>
      <c r="H302" s="37">
        <f>IF($A302="","",IFERROR(ROUND(MAX(0,$B302*INDEX(tblKurallar[deger_2025],MATCH("KIK-001",tblKurallar[kural_id],0))-($C302+$D302+$E302+$F302)),kik_yuvarMax),0))</f>
        <v/>
      </c>
      <c r="I302" s="37">
        <f>IF($A302="","",IFERROR(MAX(0,$H302-$G302*kik_sifirCarpan),0))</f>
        <v/>
      </c>
    </row>
    <row r="303">
      <c r="A303" s="36" t="n"/>
      <c r="B303" s="36" t="n"/>
      <c r="C303" s="36" t="n"/>
      <c r="D303" s="36" t="n"/>
      <c r="E303" s="36" t="n"/>
      <c r="F303" s="36" t="n"/>
      <c r="G303" s="36" t="n"/>
      <c r="H303" s="37">
        <f>IF($A303="","",IFERROR(ROUND(MAX(0,$B303*INDEX(tblKurallar[deger_2025],MATCH("KIK-001",tblKurallar[kural_id],0))-($C303+$D303+$E303+$F303)),kik_yuvarMax),0))</f>
        <v/>
      </c>
      <c r="I303" s="37">
        <f>IF($A303="","",IFERROR(MAX(0,$H303-$G303*kik_sifirCarpan),0))</f>
        <v/>
      </c>
    </row>
    <row r="304">
      <c r="A304" s="36" t="n"/>
      <c r="B304" s="36" t="n"/>
      <c r="C304" s="36" t="n"/>
      <c r="D304" s="36" t="n"/>
      <c r="E304" s="36" t="n"/>
      <c r="F304" s="36" t="n"/>
      <c r="G304" s="36" t="n"/>
      <c r="H304" s="37">
        <f>IF($A304="","",IFERROR(ROUND(MAX(0,$B304*INDEX(tblKurallar[deger_2025],MATCH("KIK-001",tblKurallar[kural_id],0))-($C304+$D304+$E304+$F304)),kik_yuvarMax),0))</f>
        <v/>
      </c>
      <c r="I304" s="37">
        <f>IF($A304="","",IFERROR(MAX(0,$H304-$G304*kik_sifirCarpan),0))</f>
        <v/>
      </c>
    </row>
    <row r="305">
      <c r="A305" s="36" t="n"/>
      <c r="B305" s="36" t="n"/>
      <c r="C305" s="36" t="n"/>
      <c r="D305" s="36" t="n"/>
      <c r="E305" s="36" t="n"/>
      <c r="F305" s="36" t="n"/>
      <c r="G305" s="36" t="n"/>
      <c r="H305" s="37">
        <f>IF($A305="","",IFERROR(ROUND(MAX(0,$B305*INDEX(tblKurallar[deger_2025],MATCH("KIK-001",tblKurallar[kural_id],0))-($C305+$D305+$E305+$F305)),kik_yuvarMax),0))</f>
        <v/>
      </c>
      <c r="I305" s="37">
        <f>IF($A305="","",IFERROR(MAX(0,$H305-$G305*kik_sifirCarpan),0))</f>
        <v/>
      </c>
    </row>
    <row r="306">
      <c r="A306" s="36" t="n"/>
      <c r="B306" s="36" t="n"/>
      <c r="C306" s="36" t="n"/>
      <c r="D306" s="36" t="n"/>
      <c r="E306" s="36" t="n"/>
      <c r="F306" s="36" t="n"/>
      <c r="G306" s="36" t="n"/>
      <c r="H306" s="37">
        <f>IF($A306="","",IFERROR(ROUND(MAX(0,$B306*INDEX(tblKurallar[deger_2025],MATCH("KIK-001",tblKurallar[kural_id],0))-($C306+$D306+$E306+$F306)),kik_yuvarMax),0))</f>
        <v/>
      </c>
      <c r="I306" s="37">
        <f>IF($A306="","",IFERROR(MAX(0,$H306-$G306*kik_sifirCarpan),0))</f>
        <v/>
      </c>
    </row>
    <row r="307">
      <c r="A307" s="36" t="n"/>
      <c r="B307" s="36" t="n"/>
      <c r="C307" s="36" t="n"/>
      <c r="D307" s="36" t="n"/>
      <c r="E307" s="36" t="n"/>
      <c r="F307" s="36" t="n"/>
      <c r="G307" s="36" t="n"/>
      <c r="H307" s="37">
        <f>IF($A307="","",IFERROR(ROUND(MAX(0,$B307*INDEX(tblKurallar[deger_2025],MATCH("KIK-001",tblKurallar[kural_id],0))-($C307+$D307+$E307+$F307)),kik_yuvarMax),0))</f>
        <v/>
      </c>
      <c r="I307" s="37">
        <f>IF($A307="","",IFERROR(MAX(0,$H307-$G307*kik_sifirCarpan),0))</f>
        <v/>
      </c>
    </row>
    <row r="308">
      <c r="A308" s="36" t="n"/>
      <c r="B308" s="36" t="n"/>
      <c r="C308" s="36" t="n"/>
      <c r="D308" s="36" t="n"/>
      <c r="E308" s="36" t="n"/>
      <c r="F308" s="36" t="n"/>
      <c r="G308" s="36" t="n"/>
      <c r="H308" s="37">
        <f>IF($A308="","",IFERROR(ROUND(MAX(0,$B308*INDEX(tblKurallar[deger_2025],MATCH("KIK-001",tblKurallar[kural_id],0))-($C308+$D308+$E308+$F308)),kik_yuvarMax),0))</f>
        <v/>
      </c>
      <c r="I308" s="37">
        <f>IF($A308="","",IFERROR(MAX(0,$H308-$G308*kik_sifirCarpan),0))</f>
        <v/>
      </c>
    </row>
    <row r="309">
      <c r="A309" s="36" t="n"/>
      <c r="B309" s="36" t="n"/>
      <c r="C309" s="36" t="n"/>
      <c r="D309" s="36" t="n"/>
      <c r="E309" s="36" t="n"/>
      <c r="F309" s="36" t="n"/>
      <c r="G309" s="36" t="n"/>
      <c r="H309" s="37">
        <f>IF($A309="","",IFERROR(ROUND(MAX(0,$B309*INDEX(tblKurallar[deger_2025],MATCH("KIK-001",tblKurallar[kural_id],0))-($C309+$D309+$E309+$F309)),kik_yuvarMax),0))</f>
        <v/>
      </c>
      <c r="I309" s="37">
        <f>IF($A309="","",IFERROR(MAX(0,$H309-$G309*kik_sifirCarpan),0))</f>
        <v/>
      </c>
    </row>
    <row r="310">
      <c r="A310" s="36" t="n"/>
      <c r="B310" s="36" t="n"/>
      <c r="C310" s="36" t="n"/>
      <c r="D310" s="36" t="n"/>
      <c r="E310" s="36" t="n"/>
      <c r="F310" s="36" t="n"/>
      <c r="G310" s="36" t="n"/>
      <c r="H310" s="37">
        <f>IF($A310="","",IFERROR(ROUND(MAX(0,$B310*INDEX(tblKurallar[deger_2025],MATCH("KIK-001",tblKurallar[kural_id],0))-($C310+$D310+$E310+$F310)),kik_yuvarMax),0))</f>
        <v/>
      </c>
      <c r="I310" s="37">
        <f>IF($A310="","",IFERROR(MAX(0,$H310-$G310*kik_sifirCarpan),0))</f>
        <v/>
      </c>
    </row>
    <row r="311">
      <c r="A311" s="36" t="n"/>
      <c r="B311" s="36" t="n"/>
      <c r="C311" s="36" t="n"/>
      <c r="D311" s="36" t="n"/>
      <c r="E311" s="36" t="n"/>
      <c r="F311" s="36" t="n"/>
      <c r="G311" s="36" t="n"/>
      <c r="H311" s="37">
        <f>IF($A311="","",IFERROR(ROUND(MAX(0,$B311*INDEX(tblKurallar[deger_2025],MATCH("KIK-001",tblKurallar[kural_id],0))-($C311+$D311+$E311+$F311)),kik_yuvarMax),0))</f>
        <v/>
      </c>
      <c r="I311" s="37">
        <f>IF($A311="","",IFERROR(MAX(0,$H311-$G311*kik_sifirCarpan),0))</f>
        <v/>
      </c>
    </row>
    <row r="312">
      <c r="A312" s="36" t="n"/>
      <c r="B312" s="36" t="n"/>
      <c r="C312" s="36" t="n"/>
      <c r="D312" s="36" t="n"/>
      <c r="E312" s="36" t="n"/>
      <c r="F312" s="36" t="n"/>
      <c r="G312" s="36" t="n"/>
      <c r="H312" s="37">
        <f>IF($A312="","",IFERROR(ROUND(MAX(0,$B312*INDEX(tblKurallar[deger_2025],MATCH("KIK-001",tblKurallar[kural_id],0))-($C312+$D312+$E312+$F312)),kik_yuvarMax),0))</f>
        <v/>
      </c>
      <c r="I312" s="37">
        <f>IF($A312="","",IFERROR(MAX(0,$H312-$G312*kik_sifirCarpan),0))</f>
        <v/>
      </c>
    </row>
    <row r="313">
      <c r="A313" s="36" t="n"/>
      <c r="B313" s="36" t="n"/>
      <c r="C313" s="36" t="n"/>
      <c r="D313" s="36" t="n"/>
      <c r="E313" s="36" t="n"/>
      <c r="F313" s="36" t="n"/>
      <c r="G313" s="36" t="n"/>
      <c r="H313" s="37">
        <f>IF($A313="","",IFERROR(ROUND(MAX(0,$B313*INDEX(tblKurallar[deger_2025],MATCH("KIK-001",tblKurallar[kural_id],0))-($C313+$D313+$E313+$F313)),kik_yuvarMax),0))</f>
        <v/>
      </c>
      <c r="I313" s="37">
        <f>IF($A313="","",IFERROR(MAX(0,$H313-$G313*kik_sifirCarpan),0))</f>
        <v/>
      </c>
    </row>
    <row r="314">
      <c r="A314" s="36" t="n"/>
      <c r="B314" s="36" t="n"/>
      <c r="C314" s="36" t="n"/>
      <c r="D314" s="36" t="n"/>
      <c r="E314" s="36" t="n"/>
      <c r="F314" s="36" t="n"/>
      <c r="G314" s="36" t="n"/>
      <c r="H314" s="37">
        <f>IF($A314="","",IFERROR(ROUND(MAX(0,$B314*INDEX(tblKurallar[deger_2025],MATCH("KIK-001",tblKurallar[kural_id],0))-($C314+$D314+$E314+$F314)),kik_yuvarMax),0))</f>
        <v/>
      </c>
      <c r="I314" s="37">
        <f>IF($A314="","",IFERROR(MAX(0,$H314-$G314*kik_sifirCarpan),0))</f>
        <v/>
      </c>
    </row>
    <row r="315">
      <c r="A315" s="36" t="n"/>
      <c r="B315" s="36" t="n"/>
      <c r="C315" s="36" t="n"/>
      <c r="D315" s="36" t="n"/>
      <c r="E315" s="36" t="n"/>
      <c r="F315" s="36" t="n"/>
      <c r="G315" s="36" t="n"/>
      <c r="H315" s="37">
        <f>IF($A315="","",IFERROR(ROUND(MAX(0,$B315*INDEX(tblKurallar[deger_2025],MATCH("KIK-001",tblKurallar[kural_id],0))-($C315+$D315+$E315+$F315)),kik_yuvarMax),0))</f>
        <v/>
      </c>
      <c r="I315" s="37">
        <f>IF($A315="","",IFERROR(MAX(0,$H315-$G315*kik_sifirCarpan),0))</f>
        <v/>
      </c>
    </row>
    <row r="316">
      <c r="A316" s="36" t="n"/>
      <c r="B316" s="36" t="n"/>
      <c r="C316" s="36" t="n"/>
      <c r="D316" s="36" t="n"/>
      <c r="E316" s="36" t="n"/>
      <c r="F316" s="36" t="n"/>
      <c r="G316" s="36" t="n"/>
      <c r="H316" s="37">
        <f>IF($A316="","",IFERROR(ROUND(MAX(0,$B316*INDEX(tblKurallar[deger_2025],MATCH("KIK-001",tblKurallar[kural_id],0))-($C316+$D316+$E316+$F316)),kik_yuvarMax),0))</f>
        <v/>
      </c>
      <c r="I316" s="37">
        <f>IF($A316="","",IFERROR(MAX(0,$H316-$G316*kik_sifirCarpan),0))</f>
        <v/>
      </c>
    </row>
    <row r="317">
      <c r="A317" s="36" t="n"/>
      <c r="B317" s="36" t="n"/>
      <c r="C317" s="36" t="n"/>
      <c r="D317" s="36" t="n"/>
      <c r="E317" s="36" t="n"/>
      <c r="F317" s="36" t="n"/>
      <c r="G317" s="36" t="n"/>
      <c r="H317" s="37">
        <f>IF($A317="","",IFERROR(ROUND(MAX(0,$B317*INDEX(tblKurallar[deger_2025],MATCH("KIK-001",tblKurallar[kural_id],0))-($C317+$D317+$E317+$F317)),kik_yuvarMax),0))</f>
        <v/>
      </c>
      <c r="I317" s="37">
        <f>IF($A317="","",IFERROR(MAX(0,$H317-$G317*kik_sifirCarpan),0))</f>
        <v/>
      </c>
    </row>
    <row r="318">
      <c r="A318" s="36" t="n"/>
      <c r="B318" s="36" t="n"/>
      <c r="C318" s="36" t="n"/>
      <c r="D318" s="36" t="n"/>
      <c r="E318" s="36" t="n"/>
      <c r="F318" s="36" t="n"/>
      <c r="G318" s="36" t="n"/>
      <c r="H318" s="37">
        <f>IF($A318="","",IFERROR(ROUND(MAX(0,$B318*INDEX(tblKurallar[deger_2025],MATCH("KIK-001",tblKurallar[kural_id],0))-($C318+$D318+$E318+$F318)),kik_yuvarMax),0))</f>
        <v/>
      </c>
      <c r="I318" s="37">
        <f>IF($A318="","",IFERROR(MAX(0,$H318-$G318*kik_sifirCarpan),0))</f>
        <v/>
      </c>
    </row>
    <row r="319">
      <c r="A319" s="36" t="n"/>
      <c r="B319" s="36" t="n"/>
      <c r="C319" s="36" t="n"/>
      <c r="D319" s="36" t="n"/>
      <c r="E319" s="36" t="n"/>
      <c r="F319" s="36" t="n"/>
      <c r="G319" s="36" t="n"/>
      <c r="H319" s="37">
        <f>IF($A319="","",IFERROR(ROUND(MAX(0,$B319*INDEX(tblKurallar[deger_2025],MATCH("KIK-001",tblKurallar[kural_id],0))-($C319+$D319+$E319+$F319)),kik_yuvarMax),0))</f>
        <v/>
      </c>
      <c r="I319" s="37">
        <f>IF($A319="","",IFERROR(MAX(0,$H319-$G319*kik_sifirCarpan),0))</f>
        <v/>
      </c>
    </row>
    <row r="320">
      <c r="A320" s="36" t="n"/>
      <c r="B320" s="36" t="n"/>
      <c r="C320" s="36" t="n"/>
      <c r="D320" s="36" t="n"/>
      <c r="E320" s="36" t="n"/>
      <c r="F320" s="36" t="n"/>
      <c r="G320" s="36" t="n"/>
      <c r="H320" s="37">
        <f>IF($A320="","",IFERROR(ROUND(MAX(0,$B320*INDEX(tblKurallar[deger_2025],MATCH("KIK-001",tblKurallar[kural_id],0))-($C320+$D320+$E320+$F320)),kik_yuvarMax),0))</f>
        <v/>
      </c>
      <c r="I320" s="37">
        <f>IF($A320="","",IFERROR(MAX(0,$H320-$G320*kik_sifirCarpan),0))</f>
        <v/>
      </c>
    </row>
    <row r="321">
      <c r="A321" s="36" t="n"/>
      <c r="B321" s="36" t="n"/>
      <c r="C321" s="36" t="n"/>
      <c r="D321" s="36" t="n"/>
      <c r="E321" s="36" t="n"/>
      <c r="F321" s="36" t="n"/>
      <c r="G321" s="36" t="n"/>
      <c r="H321" s="37">
        <f>IF($A321="","",IFERROR(ROUND(MAX(0,$B321*INDEX(tblKurallar[deger_2025],MATCH("KIK-001",tblKurallar[kural_id],0))-($C321+$D321+$E321+$F321)),kik_yuvarMax),0))</f>
        <v/>
      </c>
      <c r="I321" s="37">
        <f>IF($A321="","",IFERROR(MAX(0,$H321-$G321*kik_sifirCarpan),0))</f>
        <v/>
      </c>
    </row>
    <row r="322">
      <c r="A322" s="36" t="n"/>
      <c r="B322" s="36" t="n"/>
      <c r="C322" s="36" t="n"/>
      <c r="D322" s="36" t="n"/>
      <c r="E322" s="36" t="n"/>
      <c r="F322" s="36" t="n"/>
      <c r="G322" s="36" t="n"/>
      <c r="H322" s="37">
        <f>IF($A322="","",IFERROR(ROUND(MAX(0,$B322*INDEX(tblKurallar[deger_2025],MATCH("KIK-001",tblKurallar[kural_id],0))-($C322+$D322+$E322+$F322)),kik_yuvarMax),0))</f>
        <v/>
      </c>
      <c r="I322" s="37">
        <f>IF($A322="","",IFERROR(MAX(0,$H322-$G322*kik_sifirCarpan),0))</f>
        <v/>
      </c>
    </row>
    <row r="323">
      <c r="A323" s="36" t="n"/>
      <c r="B323" s="36" t="n"/>
      <c r="C323" s="36" t="n"/>
      <c r="D323" s="36" t="n"/>
      <c r="E323" s="36" t="n"/>
      <c r="F323" s="36" t="n"/>
      <c r="G323" s="36" t="n"/>
      <c r="H323" s="37">
        <f>IF($A323="","",IFERROR(ROUND(MAX(0,$B323*INDEX(tblKurallar[deger_2025],MATCH("KIK-001",tblKurallar[kural_id],0))-($C323+$D323+$E323+$F323)),kik_yuvarMax),0))</f>
        <v/>
      </c>
      <c r="I323" s="37">
        <f>IF($A323="","",IFERROR(MAX(0,$H323-$G323*kik_sifirCarpan),0))</f>
        <v/>
      </c>
    </row>
    <row r="324">
      <c r="A324" s="36" t="n"/>
      <c r="B324" s="36" t="n"/>
      <c r="C324" s="36" t="n"/>
      <c r="D324" s="36" t="n"/>
      <c r="E324" s="36" t="n"/>
      <c r="F324" s="36" t="n"/>
      <c r="G324" s="36" t="n"/>
      <c r="H324" s="37">
        <f>IF($A324="","",IFERROR(ROUND(MAX(0,$B324*INDEX(tblKurallar[deger_2025],MATCH("KIK-001",tblKurallar[kural_id],0))-($C324+$D324+$E324+$F324)),kik_yuvarMax),0))</f>
        <v/>
      </c>
      <c r="I324" s="37">
        <f>IF($A324="","",IFERROR(MAX(0,$H324-$G324*kik_sifirCarpan),0))</f>
        <v/>
      </c>
    </row>
    <row r="325">
      <c r="A325" s="36" t="n"/>
      <c r="B325" s="36" t="n"/>
      <c r="C325" s="36" t="n"/>
      <c r="D325" s="36" t="n"/>
      <c r="E325" s="36" t="n"/>
      <c r="F325" s="36" t="n"/>
      <c r="G325" s="36" t="n"/>
      <c r="H325" s="37">
        <f>IF($A325="","",IFERROR(ROUND(MAX(0,$B325*INDEX(tblKurallar[deger_2025],MATCH("KIK-001",tblKurallar[kural_id],0))-($C325+$D325+$E325+$F325)),kik_yuvarMax),0))</f>
        <v/>
      </c>
      <c r="I325" s="37">
        <f>IF($A325="","",IFERROR(MAX(0,$H325-$G325*kik_sifirCarpan),0))</f>
        <v/>
      </c>
    </row>
    <row r="326">
      <c r="A326" s="36" t="n"/>
      <c r="B326" s="36" t="n"/>
      <c r="C326" s="36" t="n"/>
      <c r="D326" s="36" t="n"/>
      <c r="E326" s="36" t="n"/>
      <c r="F326" s="36" t="n"/>
      <c r="G326" s="36" t="n"/>
      <c r="H326" s="37">
        <f>IF($A326="","",IFERROR(ROUND(MAX(0,$B326*INDEX(tblKurallar[deger_2025],MATCH("KIK-001",tblKurallar[kural_id],0))-($C326+$D326+$E326+$F326)),kik_yuvarMax),0))</f>
        <v/>
      </c>
      <c r="I326" s="37">
        <f>IF($A326="","",IFERROR(MAX(0,$H326-$G326*kik_sifirCarpan),0))</f>
        <v/>
      </c>
    </row>
    <row r="327">
      <c r="A327" s="36" t="n"/>
      <c r="B327" s="36" t="n"/>
      <c r="C327" s="36" t="n"/>
      <c r="D327" s="36" t="n"/>
      <c r="E327" s="36" t="n"/>
      <c r="F327" s="36" t="n"/>
      <c r="G327" s="36" t="n"/>
      <c r="H327" s="37">
        <f>IF($A327="","",IFERROR(ROUND(MAX(0,$B327*INDEX(tblKurallar[deger_2025],MATCH("KIK-001",tblKurallar[kural_id],0))-($C327+$D327+$E327+$F327)),kik_yuvarMax),0))</f>
        <v/>
      </c>
      <c r="I327" s="37">
        <f>IF($A327="","",IFERROR(MAX(0,$H327-$G327*kik_sifirCarpan),0))</f>
        <v/>
      </c>
    </row>
    <row r="328">
      <c r="A328" s="36" t="n"/>
      <c r="B328" s="36" t="n"/>
      <c r="C328" s="36" t="n"/>
      <c r="D328" s="36" t="n"/>
      <c r="E328" s="36" t="n"/>
      <c r="F328" s="36" t="n"/>
      <c r="G328" s="36" t="n"/>
      <c r="H328" s="37">
        <f>IF($A328="","",IFERROR(ROUND(MAX(0,$B328*INDEX(tblKurallar[deger_2025],MATCH("KIK-001",tblKurallar[kural_id],0))-($C328+$D328+$E328+$F328)),kik_yuvarMax),0))</f>
        <v/>
      </c>
      <c r="I328" s="37">
        <f>IF($A328="","",IFERROR(MAX(0,$H328-$G328*kik_sifirCarpan),0))</f>
        <v/>
      </c>
    </row>
    <row r="329">
      <c r="A329" s="36" t="n"/>
      <c r="B329" s="36" t="n"/>
      <c r="C329" s="36" t="n"/>
      <c r="D329" s="36" t="n"/>
      <c r="E329" s="36" t="n"/>
      <c r="F329" s="36" t="n"/>
      <c r="G329" s="36" t="n"/>
      <c r="H329" s="37">
        <f>IF($A329="","",IFERROR(ROUND(MAX(0,$B329*INDEX(tblKurallar[deger_2025],MATCH("KIK-001",tblKurallar[kural_id],0))-($C329+$D329+$E329+$F329)),kik_yuvarMax),0))</f>
        <v/>
      </c>
      <c r="I329" s="37">
        <f>IF($A329="","",IFERROR(MAX(0,$H329-$G329*kik_sifirCarpan),0))</f>
        <v/>
      </c>
    </row>
    <row r="330">
      <c r="A330" s="36" t="n"/>
      <c r="B330" s="36" t="n"/>
      <c r="C330" s="36" t="n"/>
      <c r="D330" s="36" t="n"/>
      <c r="E330" s="36" t="n"/>
      <c r="F330" s="36" t="n"/>
      <c r="G330" s="36" t="n"/>
      <c r="H330" s="37">
        <f>IF($A330="","",IFERROR(ROUND(MAX(0,$B330*INDEX(tblKurallar[deger_2025],MATCH("KIK-001",tblKurallar[kural_id],0))-($C330+$D330+$E330+$F330)),kik_yuvarMax),0))</f>
        <v/>
      </c>
      <c r="I330" s="37">
        <f>IF($A330="","",IFERROR(MAX(0,$H330-$G330*kik_sifirCarpan),0))</f>
        <v/>
      </c>
    </row>
    <row r="331">
      <c r="A331" s="36" t="n"/>
      <c r="B331" s="36" t="n"/>
      <c r="C331" s="36" t="n"/>
      <c r="D331" s="36" t="n"/>
      <c r="E331" s="36" t="n"/>
      <c r="F331" s="36" t="n"/>
      <c r="G331" s="36" t="n"/>
      <c r="H331" s="37">
        <f>IF($A331="","",IFERROR(ROUND(MAX(0,$B331*INDEX(tblKurallar[deger_2025],MATCH("KIK-001",tblKurallar[kural_id],0))-($C331+$D331+$E331+$F331)),kik_yuvarMax),0))</f>
        <v/>
      </c>
      <c r="I331" s="37">
        <f>IF($A331="","",IFERROR(MAX(0,$H331-$G331*kik_sifirCarpan),0))</f>
        <v/>
      </c>
    </row>
    <row r="332">
      <c r="A332" s="36" t="n"/>
      <c r="B332" s="36" t="n"/>
      <c r="C332" s="36" t="n"/>
      <c r="D332" s="36" t="n"/>
      <c r="E332" s="36" t="n"/>
      <c r="F332" s="36" t="n"/>
      <c r="G332" s="36" t="n"/>
      <c r="H332" s="37">
        <f>IF($A332="","",IFERROR(ROUND(MAX(0,$B332*INDEX(tblKurallar[deger_2025],MATCH("KIK-001",tblKurallar[kural_id],0))-($C332+$D332+$E332+$F332)),kik_yuvarMax),0))</f>
        <v/>
      </c>
      <c r="I332" s="37">
        <f>IF($A332="","",IFERROR(MAX(0,$H332-$G332*kik_sifirCarpan),0))</f>
        <v/>
      </c>
    </row>
    <row r="333">
      <c r="A333" s="36" t="n"/>
      <c r="B333" s="36" t="n"/>
      <c r="C333" s="36" t="n"/>
      <c r="D333" s="36" t="n"/>
      <c r="E333" s="36" t="n"/>
      <c r="F333" s="36" t="n"/>
      <c r="G333" s="36" t="n"/>
      <c r="H333" s="37">
        <f>IF($A333="","",IFERROR(ROUND(MAX(0,$B333*INDEX(tblKurallar[deger_2025],MATCH("KIK-001",tblKurallar[kural_id],0))-($C333+$D333+$E333+$F333)),kik_yuvarMax),0))</f>
        <v/>
      </c>
      <c r="I333" s="37">
        <f>IF($A333="","",IFERROR(MAX(0,$H333-$G333*kik_sifirCarpan),0))</f>
        <v/>
      </c>
    </row>
    <row r="334">
      <c r="A334" s="36" t="n"/>
      <c r="B334" s="36" t="n"/>
      <c r="C334" s="36" t="n"/>
      <c r="D334" s="36" t="n"/>
      <c r="E334" s="36" t="n"/>
      <c r="F334" s="36" t="n"/>
      <c r="G334" s="36" t="n"/>
      <c r="H334" s="37">
        <f>IF($A334="","",IFERROR(ROUND(MAX(0,$B334*INDEX(tblKurallar[deger_2025],MATCH("KIK-001",tblKurallar[kural_id],0))-($C334+$D334+$E334+$F334)),kik_yuvarMax),0))</f>
        <v/>
      </c>
      <c r="I334" s="37">
        <f>IF($A334="","",IFERROR(MAX(0,$H334-$G334*kik_sifirCarpan),0))</f>
        <v/>
      </c>
    </row>
    <row r="335">
      <c r="A335" s="36" t="n"/>
      <c r="B335" s="36" t="n"/>
      <c r="C335" s="36" t="n"/>
      <c r="D335" s="36" t="n"/>
      <c r="E335" s="36" t="n"/>
      <c r="F335" s="36" t="n"/>
      <c r="G335" s="36" t="n"/>
      <c r="H335" s="37">
        <f>IF($A335="","",IFERROR(ROUND(MAX(0,$B335*INDEX(tblKurallar[deger_2025],MATCH("KIK-001",tblKurallar[kural_id],0))-($C335+$D335+$E335+$F335)),kik_yuvarMax),0))</f>
        <v/>
      </c>
      <c r="I335" s="37">
        <f>IF($A335="","",IFERROR(MAX(0,$H335-$G335*kik_sifirCarpan),0))</f>
        <v/>
      </c>
    </row>
    <row r="336">
      <c r="A336" s="36" t="n"/>
      <c r="B336" s="36" t="n"/>
      <c r="C336" s="36" t="n"/>
      <c r="D336" s="36" t="n"/>
      <c r="E336" s="36" t="n"/>
      <c r="F336" s="36" t="n"/>
      <c r="G336" s="36" t="n"/>
      <c r="H336" s="37">
        <f>IF($A336="","",IFERROR(ROUND(MAX(0,$B336*INDEX(tblKurallar[deger_2025],MATCH("KIK-001",tblKurallar[kural_id],0))-($C336+$D336+$E336+$F336)),kik_yuvarMax),0))</f>
        <v/>
      </c>
      <c r="I336" s="37">
        <f>IF($A336="","",IFERROR(MAX(0,$H336-$G336*kik_sifirCarpan),0))</f>
        <v/>
      </c>
    </row>
    <row r="337">
      <c r="A337" s="36" t="n"/>
      <c r="B337" s="36" t="n"/>
      <c r="C337" s="36" t="n"/>
      <c r="D337" s="36" t="n"/>
      <c r="E337" s="36" t="n"/>
      <c r="F337" s="36" t="n"/>
      <c r="G337" s="36" t="n"/>
      <c r="H337" s="37">
        <f>IF($A337="","",IFERROR(ROUND(MAX(0,$B337*INDEX(tblKurallar[deger_2025],MATCH("KIK-001",tblKurallar[kural_id],0))-($C337+$D337+$E337+$F337)),kik_yuvarMax),0))</f>
        <v/>
      </c>
      <c r="I337" s="37">
        <f>IF($A337="","",IFERROR(MAX(0,$H337-$G337*kik_sifirCarpan),0))</f>
        <v/>
      </c>
    </row>
    <row r="338">
      <c r="A338" s="36" t="n"/>
      <c r="B338" s="36" t="n"/>
      <c r="C338" s="36" t="n"/>
      <c r="D338" s="36" t="n"/>
      <c r="E338" s="36" t="n"/>
      <c r="F338" s="36" t="n"/>
      <c r="G338" s="36" t="n"/>
      <c r="H338" s="37">
        <f>IF($A338="","",IFERROR(ROUND(MAX(0,$B338*INDEX(tblKurallar[deger_2025],MATCH("KIK-001",tblKurallar[kural_id],0))-($C338+$D338+$E338+$F338)),kik_yuvarMax),0))</f>
        <v/>
      </c>
      <c r="I338" s="37">
        <f>IF($A338="","",IFERROR(MAX(0,$H338-$G338*kik_sifirCarpan),0))</f>
        <v/>
      </c>
    </row>
    <row r="339">
      <c r="A339" s="36" t="n"/>
      <c r="B339" s="36" t="n"/>
      <c r="C339" s="36" t="n"/>
      <c r="D339" s="36" t="n"/>
      <c r="E339" s="36" t="n"/>
      <c r="F339" s="36" t="n"/>
      <c r="G339" s="36" t="n"/>
      <c r="H339" s="37">
        <f>IF($A339="","",IFERROR(ROUND(MAX(0,$B339*INDEX(tblKurallar[deger_2025],MATCH("KIK-001",tblKurallar[kural_id],0))-($C339+$D339+$E339+$F339)),kik_yuvarMax),0))</f>
        <v/>
      </c>
      <c r="I339" s="37">
        <f>IF($A339="","",IFERROR(MAX(0,$H339-$G339*kik_sifirCarpan),0))</f>
        <v/>
      </c>
    </row>
    <row r="340">
      <c r="A340" s="36" t="n"/>
      <c r="B340" s="36" t="n"/>
      <c r="C340" s="36" t="n"/>
      <c r="D340" s="36" t="n"/>
      <c r="E340" s="36" t="n"/>
      <c r="F340" s="36" t="n"/>
      <c r="G340" s="36" t="n"/>
      <c r="H340" s="37">
        <f>IF($A340="","",IFERROR(ROUND(MAX(0,$B340*INDEX(tblKurallar[deger_2025],MATCH("KIK-001",tblKurallar[kural_id],0))-($C340+$D340+$E340+$F340)),kik_yuvarMax),0))</f>
        <v/>
      </c>
      <c r="I340" s="37">
        <f>IF($A340="","",IFERROR(MAX(0,$H340-$G340*kik_sifirCarpan),0))</f>
        <v/>
      </c>
    </row>
    <row r="341">
      <c r="A341" s="36" t="n"/>
      <c r="B341" s="36" t="n"/>
      <c r="C341" s="36" t="n"/>
      <c r="D341" s="36" t="n"/>
      <c r="E341" s="36" t="n"/>
      <c r="F341" s="36" t="n"/>
      <c r="G341" s="36" t="n"/>
      <c r="H341" s="37">
        <f>IF($A341="","",IFERROR(ROUND(MAX(0,$B341*INDEX(tblKurallar[deger_2025],MATCH("KIK-001",tblKurallar[kural_id],0))-($C341+$D341+$E341+$F341)),kik_yuvarMax),0))</f>
        <v/>
      </c>
      <c r="I341" s="37">
        <f>IF($A341="","",IFERROR(MAX(0,$H341-$G341*kik_sifirCarpan),0))</f>
        <v/>
      </c>
    </row>
    <row r="342">
      <c r="A342" s="36" t="n"/>
      <c r="B342" s="36" t="n"/>
      <c r="C342" s="36" t="n"/>
      <c r="D342" s="36" t="n"/>
      <c r="E342" s="36" t="n"/>
      <c r="F342" s="36" t="n"/>
      <c r="G342" s="36" t="n"/>
      <c r="H342" s="37">
        <f>IF($A342="","",IFERROR(ROUND(MAX(0,$B342*INDEX(tblKurallar[deger_2025],MATCH("KIK-001",tblKurallar[kural_id],0))-($C342+$D342+$E342+$F342)),kik_yuvarMax),0))</f>
        <v/>
      </c>
      <c r="I342" s="37">
        <f>IF($A342="","",IFERROR(MAX(0,$H342-$G342*kik_sifirCarpan),0))</f>
        <v/>
      </c>
    </row>
    <row r="343">
      <c r="A343" s="36" t="n"/>
      <c r="B343" s="36" t="n"/>
      <c r="C343" s="36" t="n"/>
      <c r="D343" s="36" t="n"/>
      <c r="E343" s="36" t="n"/>
      <c r="F343" s="36" t="n"/>
      <c r="G343" s="36" t="n"/>
      <c r="H343" s="37">
        <f>IF($A343="","",IFERROR(ROUND(MAX(0,$B343*INDEX(tblKurallar[deger_2025],MATCH("KIK-001",tblKurallar[kural_id],0))-($C343+$D343+$E343+$F343)),kik_yuvarMax),0))</f>
        <v/>
      </c>
      <c r="I343" s="37">
        <f>IF($A343="","",IFERROR(MAX(0,$H343-$G343*kik_sifirCarpan),0))</f>
        <v/>
      </c>
    </row>
    <row r="344">
      <c r="A344" s="36" t="n"/>
      <c r="B344" s="36" t="n"/>
      <c r="C344" s="36" t="n"/>
      <c r="D344" s="36" t="n"/>
      <c r="E344" s="36" t="n"/>
      <c r="F344" s="36" t="n"/>
      <c r="G344" s="36" t="n"/>
      <c r="H344" s="37">
        <f>IF($A344="","",IFERROR(ROUND(MAX(0,$B344*INDEX(tblKurallar[deger_2025],MATCH("KIK-001",tblKurallar[kural_id],0))-($C344+$D344+$E344+$F344)),kik_yuvarMax),0))</f>
        <v/>
      </c>
      <c r="I344" s="37">
        <f>IF($A344="","",IFERROR(MAX(0,$H344-$G344*kik_sifirCarpan),0))</f>
        <v/>
      </c>
    </row>
    <row r="345">
      <c r="A345" s="36" t="n"/>
      <c r="B345" s="36" t="n"/>
      <c r="C345" s="36" t="n"/>
      <c r="D345" s="36" t="n"/>
      <c r="E345" s="36" t="n"/>
      <c r="F345" s="36" t="n"/>
      <c r="G345" s="36" t="n"/>
      <c r="H345" s="37">
        <f>IF($A345="","",IFERROR(ROUND(MAX(0,$B345*INDEX(tblKurallar[deger_2025],MATCH("KIK-001",tblKurallar[kural_id],0))-($C345+$D345+$E345+$F345)),kik_yuvarMax),0))</f>
        <v/>
      </c>
      <c r="I345" s="37">
        <f>IF($A345="","",IFERROR(MAX(0,$H345-$G345*kik_sifirCarpan),0))</f>
        <v/>
      </c>
    </row>
    <row r="346">
      <c r="A346" s="36" t="n"/>
      <c r="B346" s="36" t="n"/>
      <c r="C346" s="36" t="n"/>
      <c r="D346" s="36" t="n"/>
      <c r="E346" s="36" t="n"/>
      <c r="F346" s="36" t="n"/>
      <c r="G346" s="36" t="n"/>
      <c r="H346" s="37">
        <f>IF($A346="","",IFERROR(ROUND(MAX(0,$B346*INDEX(tblKurallar[deger_2025],MATCH("KIK-001",tblKurallar[kural_id],0))-($C346+$D346+$E346+$F346)),kik_yuvarMax),0))</f>
        <v/>
      </c>
      <c r="I346" s="37">
        <f>IF($A346="","",IFERROR(MAX(0,$H346-$G346*kik_sifirCarpan),0))</f>
        <v/>
      </c>
    </row>
    <row r="347">
      <c r="A347" s="36" t="n"/>
      <c r="B347" s="36" t="n"/>
      <c r="C347" s="36" t="n"/>
      <c r="D347" s="36" t="n"/>
      <c r="E347" s="36" t="n"/>
      <c r="F347" s="36" t="n"/>
      <c r="G347" s="36" t="n"/>
      <c r="H347" s="37">
        <f>IF($A347="","",IFERROR(ROUND(MAX(0,$B347*INDEX(tblKurallar[deger_2025],MATCH("KIK-001",tblKurallar[kural_id],0))-($C347+$D347+$E347+$F347)),kik_yuvarMax),0))</f>
        <v/>
      </c>
      <c r="I347" s="37">
        <f>IF($A347="","",IFERROR(MAX(0,$H347-$G347*kik_sifirCarpan),0))</f>
        <v/>
      </c>
    </row>
    <row r="348">
      <c r="A348" s="36" t="n"/>
      <c r="B348" s="36" t="n"/>
      <c r="C348" s="36" t="n"/>
      <c r="D348" s="36" t="n"/>
      <c r="E348" s="36" t="n"/>
      <c r="F348" s="36" t="n"/>
      <c r="G348" s="36" t="n"/>
      <c r="H348" s="37">
        <f>IF($A348="","",IFERROR(ROUND(MAX(0,$B348*INDEX(tblKurallar[deger_2025],MATCH("KIK-001",tblKurallar[kural_id],0))-($C348+$D348+$E348+$F348)),kik_yuvarMax),0))</f>
        <v/>
      </c>
      <c r="I348" s="37">
        <f>IF($A348="","",IFERROR(MAX(0,$H348-$G348*kik_sifirCarpan),0))</f>
        <v/>
      </c>
    </row>
    <row r="349">
      <c r="A349" s="36" t="n"/>
      <c r="B349" s="36" t="n"/>
      <c r="C349" s="36" t="n"/>
      <c r="D349" s="36" t="n"/>
      <c r="E349" s="36" t="n"/>
      <c r="F349" s="36" t="n"/>
      <c r="G349" s="36" t="n"/>
      <c r="H349" s="37">
        <f>IF($A349="","",IFERROR(ROUND(MAX(0,$B349*INDEX(tblKurallar[deger_2025],MATCH("KIK-001",tblKurallar[kural_id],0))-($C349+$D349+$E349+$F349)),kik_yuvarMax),0))</f>
        <v/>
      </c>
      <c r="I349" s="37">
        <f>IF($A349="","",IFERROR(MAX(0,$H349-$G349*kik_sifirCarpan),0))</f>
        <v/>
      </c>
    </row>
    <row r="350">
      <c r="A350" s="36" t="n"/>
      <c r="B350" s="36" t="n"/>
      <c r="C350" s="36" t="n"/>
      <c r="D350" s="36" t="n"/>
      <c r="E350" s="36" t="n"/>
      <c r="F350" s="36" t="n"/>
      <c r="G350" s="36" t="n"/>
      <c r="H350" s="37">
        <f>IF($A350="","",IFERROR(ROUND(MAX(0,$B350*INDEX(tblKurallar[deger_2025],MATCH("KIK-001",tblKurallar[kural_id],0))-($C350+$D350+$E350+$F350)),kik_yuvarMax),0))</f>
        <v/>
      </c>
      <c r="I350" s="37">
        <f>IF($A350="","",IFERROR(MAX(0,$H350-$G350*kik_sifirCarpan),0))</f>
        <v/>
      </c>
    </row>
    <row r="351">
      <c r="A351" s="36" t="n"/>
      <c r="B351" s="36" t="n"/>
      <c r="C351" s="36" t="n"/>
      <c r="D351" s="36" t="n"/>
      <c r="E351" s="36" t="n"/>
      <c r="F351" s="36" t="n"/>
      <c r="G351" s="36" t="n"/>
      <c r="H351" s="37">
        <f>IF($A351="","",IFERROR(ROUND(MAX(0,$B351*INDEX(tblKurallar[deger_2025],MATCH("KIK-001",tblKurallar[kural_id],0))-($C351+$D351+$E351+$F351)),kik_yuvarMax),0))</f>
        <v/>
      </c>
      <c r="I351" s="37">
        <f>IF($A351="","",IFERROR(MAX(0,$H351-$G351*kik_sifirCarpan),0))</f>
        <v/>
      </c>
    </row>
    <row r="352">
      <c r="A352" s="36" t="n"/>
      <c r="B352" s="36" t="n"/>
      <c r="C352" s="36" t="n"/>
      <c r="D352" s="36" t="n"/>
      <c r="E352" s="36" t="n"/>
      <c r="F352" s="36" t="n"/>
      <c r="G352" s="36" t="n"/>
      <c r="H352" s="37">
        <f>IF($A352="","",IFERROR(ROUND(MAX(0,$B352*INDEX(tblKurallar[deger_2025],MATCH("KIK-001",tblKurallar[kural_id],0))-($C352+$D352+$E352+$F352)),kik_yuvarMax),0))</f>
        <v/>
      </c>
      <c r="I352" s="37">
        <f>IF($A352="","",IFERROR(MAX(0,$H352-$G352*kik_sifirCarpan),0))</f>
        <v/>
      </c>
    </row>
    <row r="353">
      <c r="A353" s="36" t="n"/>
      <c r="B353" s="36" t="n"/>
      <c r="C353" s="36" t="n"/>
      <c r="D353" s="36" t="n"/>
      <c r="E353" s="36" t="n"/>
      <c r="F353" s="36" t="n"/>
      <c r="G353" s="36" t="n"/>
      <c r="H353" s="37">
        <f>IF($A353="","",IFERROR(ROUND(MAX(0,$B353*INDEX(tblKurallar[deger_2025],MATCH("KIK-001",tblKurallar[kural_id],0))-($C353+$D353+$E353+$F353)),kik_yuvarMax),0))</f>
        <v/>
      </c>
      <c r="I353" s="37">
        <f>IF($A353="","",IFERROR(MAX(0,$H353-$G353*kik_sifirCarpan),0))</f>
        <v/>
      </c>
    </row>
    <row r="354">
      <c r="A354" s="36" t="n"/>
      <c r="B354" s="36" t="n"/>
      <c r="C354" s="36" t="n"/>
      <c r="D354" s="36" t="n"/>
      <c r="E354" s="36" t="n"/>
      <c r="F354" s="36" t="n"/>
      <c r="G354" s="36" t="n"/>
      <c r="H354" s="37">
        <f>IF($A354="","",IFERROR(ROUND(MAX(0,$B354*INDEX(tblKurallar[deger_2025],MATCH("KIK-001",tblKurallar[kural_id],0))-($C354+$D354+$E354+$F354)),kik_yuvarMax),0))</f>
        <v/>
      </c>
      <c r="I354" s="37">
        <f>IF($A354="","",IFERROR(MAX(0,$H354-$G354*kik_sifirCarpan),0))</f>
        <v/>
      </c>
    </row>
    <row r="355">
      <c r="A355" s="36" t="n"/>
      <c r="B355" s="36" t="n"/>
      <c r="C355" s="36" t="n"/>
      <c r="D355" s="36" t="n"/>
      <c r="E355" s="36" t="n"/>
      <c r="F355" s="36" t="n"/>
      <c r="G355" s="36" t="n"/>
      <c r="H355" s="37">
        <f>IF($A355="","",IFERROR(ROUND(MAX(0,$B355*INDEX(tblKurallar[deger_2025],MATCH("KIK-001",tblKurallar[kural_id],0))-($C355+$D355+$E355+$F355)),kik_yuvarMax),0))</f>
        <v/>
      </c>
      <c r="I355" s="37">
        <f>IF($A355="","",IFERROR(MAX(0,$H355-$G355*kik_sifirCarpan),0))</f>
        <v/>
      </c>
    </row>
    <row r="356">
      <c r="A356" s="36" t="n"/>
      <c r="B356" s="36" t="n"/>
      <c r="C356" s="36" t="n"/>
      <c r="D356" s="36" t="n"/>
      <c r="E356" s="36" t="n"/>
      <c r="F356" s="36" t="n"/>
      <c r="G356" s="36" t="n"/>
      <c r="H356" s="37">
        <f>IF($A356="","",IFERROR(ROUND(MAX(0,$B356*INDEX(tblKurallar[deger_2025],MATCH("KIK-001",tblKurallar[kural_id],0))-($C356+$D356+$E356+$F356)),kik_yuvarMax),0))</f>
        <v/>
      </c>
      <c r="I356" s="37">
        <f>IF($A356="","",IFERROR(MAX(0,$H356-$G356*kik_sifirCarpan),0))</f>
        <v/>
      </c>
    </row>
    <row r="357">
      <c r="A357" s="36" t="n"/>
      <c r="B357" s="36" t="n"/>
      <c r="C357" s="36" t="n"/>
      <c r="D357" s="36" t="n"/>
      <c r="E357" s="36" t="n"/>
      <c r="F357" s="36" t="n"/>
      <c r="G357" s="36" t="n"/>
      <c r="H357" s="37">
        <f>IF($A357="","",IFERROR(ROUND(MAX(0,$B357*INDEX(tblKurallar[deger_2025],MATCH("KIK-001",tblKurallar[kural_id],0))-($C357+$D357+$E357+$F357)),kik_yuvarMax),0))</f>
        <v/>
      </c>
      <c r="I357" s="37">
        <f>IF($A357="","",IFERROR(MAX(0,$H357-$G357*kik_sifirCarpan),0))</f>
        <v/>
      </c>
    </row>
    <row r="358">
      <c r="A358" s="36" t="n"/>
      <c r="B358" s="36" t="n"/>
      <c r="C358" s="36" t="n"/>
      <c r="D358" s="36" t="n"/>
      <c r="E358" s="36" t="n"/>
      <c r="F358" s="36" t="n"/>
      <c r="G358" s="36" t="n"/>
      <c r="H358" s="37">
        <f>IF($A358="","",IFERROR(ROUND(MAX(0,$B358*INDEX(tblKurallar[deger_2025],MATCH("KIK-001",tblKurallar[kural_id],0))-($C358+$D358+$E358+$F358)),kik_yuvarMax),0))</f>
        <v/>
      </c>
      <c r="I358" s="37">
        <f>IF($A358="","",IFERROR(MAX(0,$H358-$G358*kik_sifirCarpan),0))</f>
        <v/>
      </c>
    </row>
    <row r="359">
      <c r="A359" s="36" t="n"/>
      <c r="B359" s="36" t="n"/>
      <c r="C359" s="36" t="n"/>
      <c r="D359" s="36" t="n"/>
      <c r="E359" s="36" t="n"/>
      <c r="F359" s="36" t="n"/>
      <c r="G359" s="36" t="n"/>
      <c r="H359" s="37">
        <f>IF($A359="","",IFERROR(ROUND(MAX(0,$B359*INDEX(tblKurallar[deger_2025],MATCH("KIK-001",tblKurallar[kural_id],0))-($C359+$D359+$E359+$F359)),kik_yuvarMax),0))</f>
        <v/>
      </c>
      <c r="I359" s="37">
        <f>IF($A359="","",IFERROR(MAX(0,$H359-$G359*kik_sifirCarpan),0))</f>
        <v/>
      </c>
    </row>
    <row r="360">
      <c r="A360" s="36" t="n"/>
      <c r="B360" s="36" t="n"/>
      <c r="C360" s="36" t="n"/>
      <c r="D360" s="36" t="n"/>
      <c r="E360" s="36" t="n"/>
      <c r="F360" s="36" t="n"/>
      <c r="G360" s="36" t="n"/>
      <c r="H360" s="37">
        <f>IF($A360="","",IFERROR(ROUND(MAX(0,$B360*INDEX(tblKurallar[deger_2025],MATCH("KIK-001",tblKurallar[kural_id],0))-($C360+$D360+$E360+$F360)),kik_yuvarMax),0))</f>
        <v/>
      </c>
      <c r="I360" s="37">
        <f>IF($A360="","",IFERROR(MAX(0,$H360-$G360*kik_sifirCarpan),0))</f>
        <v/>
      </c>
    </row>
    <row r="361">
      <c r="A361" s="36" t="n"/>
      <c r="B361" s="36" t="n"/>
      <c r="C361" s="36" t="n"/>
      <c r="D361" s="36" t="n"/>
      <c r="E361" s="36" t="n"/>
      <c r="F361" s="36" t="n"/>
      <c r="G361" s="36" t="n"/>
      <c r="H361" s="37">
        <f>IF($A361="","",IFERROR(ROUND(MAX(0,$B361*INDEX(tblKurallar[deger_2025],MATCH("KIK-001",tblKurallar[kural_id],0))-($C361+$D361+$E361+$F361)),kik_yuvarMax),0))</f>
        <v/>
      </c>
      <c r="I361" s="37">
        <f>IF($A361="","",IFERROR(MAX(0,$H361-$G361*kik_sifirCarpan),0))</f>
        <v/>
      </c>
    </row>
    <row r="362">
      <c r="A362" s="36" t="n"/>
      <c r="B362" s="36" t="n"/>
      <c r="C362" s="36" t="n"/>
      <c r="D362" s="36" t="n"/>
      <c r="E362" s="36" t="n"/>
      <c r="F362" s="36" t="n"/>
      <c r="G362" s="36" t="n"/>
      <c r="H362" s="37">
        <f>IF($A362="","",IFERROR(ROUND(MAX(0,$B362*INDEX(tblKurallar[deger_2025],MATCH("KIK-001",tblKurallar[kural_id],0))-($C362+$D362+$E362+$F362)),kik_yuvarMax),0))</f>
        <v/>
      </c>
      <c r="I362" s="37">
        <f>IF($A362="","",IFERROR(MAX(0,$H362-$G362*kik_sifirCarpan),0))</f>
        <v/>
      </c>
    </row>
    <row r="363">
      <c r="A363" s="36" t="n"/>
      <c r="B363" s="36" t="n"/>
      <c r="C363" s="36" t="n"/>
      <c r="D363" s="36" t="n"/>
      <c r="E363" s="36" t="n"/>
      <c r="F363" s="36" t="n"/>
      <c r="G363" s="36" t="n"/>
      <c r="H363" s="37">
        <f>IF($A363="","",IFERROR(ROUND(MAX(0,$B363*INDEX(tblKurallar[deger_2025],MATCH("KIK-001",tblKurallar[kural_id],0))-($C363+$D363+$E363+$F363)),kik_yuvarMax),0))</f>
        <v/>
      </c>
      <c r="I363" s="37">
        <f>IF($A363="","",IFERROR(MAX(0,$H363-$G363*kik_sifirCarpan),0))</f>
        <v/>
      </c>
    </row>
    <row r="364">
      <c r="A364" s="36" t="n"/>
      <c r="B364" s="36" t="n"/>
      <c r="C364" s="36" t="n"/>
      <c r="D364" s="36" t="n"/>
      <c r="E364" s="36" t="n"/>
      <c r="F364" s="36" t="n"/>
      <c r="G364" s="36" t="n"/>
      <c r="H364" s="37">
        <f>IF($A364="","",IFERROR(ROUND(MAX(0,$B364*INDEX(tblKurallar[deger_2025],MATCH("KIK-001",tblKurallar[kural_id],0))-($C364+$D364+$E364+$F364)),kik_yuvarMax),0))</f>
        <v/>
      </c>
      <c r="I364" s="37">
        <f>IF($A364="","",IFERROR(MAX(0,$H364-$G364*kik_sifirCarpan),0))</f>
        <v/>
      </c>
    </row>
    <row r="365">
      <c r="A365" s="36" t="n"/>
      <c r="B365" s="36" t="n"/>
      <c r="C365" s="36" t="n"/>
      <c r="D365" s="36" t="n"/>
      <c r="E365" s="36" t="n"/>
      <c r="F365" s="36" t="n"/>
      <c r="G365" s="36" t="n"/>
      <c r="H365" s="37">
        <f>IF($A365="","",IFERROR(ROUND(MAX(0,$B365*INDEX(tblKurallar[deger_2025],MATCH("KIK-001",tblKurallar[kural_id],0))-($C365+$D365+$E365+$F365)),kik_yuvarMax),0))</f>
        <v/>
      </c>
      <c r="I365" s="37">
        <f>IF($A365="","",IFERROR(MAX(0,$H365-$G365*kik_sifirCarpan),0))</f>
        <v/>
      </c>
    </row>
    <row r="366">
      <c r="A366" s="36" t="n"/>
      <c r="B366" s="36" t="n"/>
      <c r="C366" s="36" t="n"/>
      <c r="D366" s="36" t="n"/>
      <c r="E366" s="36" t="n"/>
      <c r="F366" s="36" t="n"/>
      <c r="G366" s="36" t="n"/>
      <c r="H366" s="37">
        <f>IF($A366="","",IFERROR(ROUND(MAX(0,$B366*INDEX(tblKurallar[deger_2025],MATCH("KIK-001",tblKurallar[kural_id],0))-($C366+$D366+$E366+$F366)),kik_yuvarMax),0))</f>
        <v/>
      </c>
      <c r="I366" s="37">
        <f>IF($A366="","",IFERROR(MAX(0,$H366-$G366*kik_sifirCarpan),0))</f>
        <v/>
      </c>
    </row>
    <row r="367">
      <c r="A367" s="36" t="n"/>
      <c r="B367" s="36" t="n"/>
      <c r="C367" s="36" t="n"/>
      <c r="D367" s="36" t="n"/>
      <c r="E367" s="36" t="n"/>
      <c r="F367" s="36" t="n"/>
      <c r="G367" s="36" t="n"/>
      <c r="H367" s="37">
        <f>IF($A367="","",IFERROR(ROUND(MAX(0,$B367*INDEX(tblKurallar[deger_2025],MATCH("KIK-001",tblKurallar[kural_id],0))-($C367+$D367+$E367+$F367)),kik_yuvarMax),0))</f>
        <v/>
      </c>
      <c r="I367" s="37">
        <f>IF($A367="","",IFERROR(MAX(0,$H367-$G367*kik_sifirCarpan),0))</f>
        <v/>
      </c>
    </row>
    <row r="368">
      <c r="A368" s="36" t="n"/>
      <c r="B368" s="36" t="n"/>
      <c r="C368" s="36" t="n"/>
      <c r="D368" s="36" t="n"/>
      <c r="E368" s="36" t="n"/>
      <c r="F368" s="36" t="n"/>
      <c r="G368" s="36" t="n"/>
      <c r="H368" s="37">
        <f>IF($A368="","",IFERROR(ROUND(MAX(0,$B368*INDEX(tblKurallar[deger_2025],MATCH("KIK-001",tblKurallar[kural_id],0))-($C368+$D368+$E368+$F368)),kik_yuvarMax),0))</f>
        <v/>
      </c>
      <c r="I368" s="37">
        <f>IF($A368="","",IFERROR(MAX(0,$H368-$G368*kik_sifirCarpan),0))</f>
        <v/>
      </c>
    </row>
    <row r="369">
      <c r="A369" s="36" t="n"/>
      <c r="B369" s="36" t="n"/>
      <c r="C369" s="36" t="n"/>
      <c r="D369" s="36" t="n"/>
      <c r="E369" s="36" t="n"/>
      <c r="F369" s="36" t="n"/>
      <c r="G369" s="36" t="n"/>
      <c r="H369" s="37">
        <f>IF($A369="","",IFERROR(ROUND(MAX(0,$B369*INDEX(tblKurallar[deger_2025],MATCH("KIK-001",tblKurallar[kural_id],0))-($C369+$D369+$E369+$F369)),kik_yuvarMax),0))</f>
        <v/>
      </c>
      <c r="I369" s="37">
        <f>IF($A369="","",IFERROR(MAX(0,$H369-$G369*kik_sifirCarpan),0))</f>
        <v/>
      </c>
    </row>
    <row r="370">
      <c r="A370" s="36" t="n"/>
      <c r="B370" s="36" t="n"/>
      <c r="C370" s="36" t="n"/>
      <c r="D370" s="36" t="n"/>
      <c r="E370" s="36" t="n"/>
      <c r="F370" s="36" t="n"/>
      <c r="G370" s="36" t="n"/>
      <c r="H370" s="37">
        <f>IF($A370="","",IFERROR(ROUND(MAX(0,$B370*INDEX(tblKurallar[deger_2025],MATCH("KIK-001",tblKurallar[kural_id],0))-($C370+$D370+$E370+$F370)),kik_yuvarMax),0))</f>
        <v/>
      </c>
      <c r="I370" s="37">
        <f>IF($A370="","",IFERROR(MAX(0,$H370-$G370*kik_sifirCarpan),0))</f>
        <v/>
      </c>
    </row>
    <row r="371">
      <c r="A371" s="36" t="n"/>
      <c r="B371" s="36" t="n"/>
      <c r="C371" s="36" t="n"/>
      <c r="D371" s="36" t="n"/>
      <c r="E371" s="36" t="n"/>
      <c r="F371" s="36" t="n"/>
      <c r="G371" s="36" t="n"/>
      <c r="H371" s="37">
        <f>IF($A371="","",IFERROR(ROUND(MAX(0,$B371*INDEX(tblKurallar[deger_2025],MATCH("KIK-001",tblKurallar[kural_id],0))-($C371+$D371+$E371+$F371)),kik_yuvarMax),0))</f>
        <v/>
      </c>
      <c r="I371" s="37">
        <f>IF($A371="","",IFERROR(MAX(0,$H371-$G371*kik_sifirCarpan),0))</f>
        <v/>
      </c>
    </row>
    <row r="372">
      <c r="A372" s="36" t="n"/>
      <c r="B372" s="36" t="n"/>
      <c r="C372" s="36" t="n"/>
      <c r="D372" s="36" t="n"/>
      <c r="E372" s="36" t="n"/>
      <c r="F372" s="36" t="n"/>
      <c r="G372" s="36" t="n"/>
      <c r="H372" s="37">
        <f>IF($A372="","",IFERROR(ROUND(MAX(0,$B372*INDEX(tblKurallar[deger_2025],MATCH("KIK-001",tblKurallar[kural_id],0))-($C372+$D372+$E372+$F372)),kik_yuvarMax),0))</f>
        <v/>
      </c>
      <c r="I372" s="37">
        <f>IF($A372="","",IFERROR(MAX(0,$H372-$G372*kik_sifirCarpan),0))</f>
        <v/>
      </c>
    </row>
    <row r="373">
      <c r="A373" s="36" t="n"/>
      <c r="B373" s="36" t="n"/>
      <c r="C373" s="36" t="n"/>
      <c r="D373" s="36" t="n"/>
      <c r="E373" s="36" t="n"/>
      <c r="F373" s="36" t="n"/>
      <c r="G373" s="36" t="n"/>
      <c r="H373" s="37">
        <f>IF($A373="","",IFERROR(ROUND(MAX(0,$B373*INDEX(tblKurallar[deger_2025],MATCH("KIK-001",tblKurallar[kural_id],0))-($C373+$D373+$E373+$F373)),kik_yuvarMax),0))</f>
        <v/>
      </c>
      <c r="I373" s="37">
        <f>IF($A373="","",IFERROR(MAX(0,$H373-$G373*kik_sifirCarpan),0))</f>
        <v/>
      </c>
    </row>
    <row r="374">
      <c r="A374" s="36" t="n"/>
      <c r="B374" s="36" t="n"/>
      <c r="C374" s="36" t="n"/>
      <c r="D374" s="36" t="n"/>
      <c r="E374" s="36" t="n"/>
      <c r="F374" s="36" t="n"/>
      <c r="G374" s="36" t="n"/>
      <c r="H374" s="37">
        <f>IF($A374="","",IFERROR(ROUND(MAX(0,$B374*INDEX(tblKurallar[deger_2025],MATCH("KIK-001",tblKurallar[kural_id],0))-($C374+$D374+$E374+$F374)),kik_yuvarMax),0))</f>
        <v/>
      </c>
      <c r="I374" s="37">
        <f>IF($A374="","",IFERROR(MAX(0,$H374-$G374*kik_sifirCarpan),0))</f>
        <v/>
      </c>
    </row>
    <row r="375">
      <c r="A375" s="36" t="n"/>
      <c r="B375" s="36" t="n"/>
      <c r="C375" s="36" t="n"/>
      <c r="D375" s="36" t="n"/>
      <c r="E375" s="36" t="n"/>
      <c r="F375" s="36" t="n"/>
      <c r="G375" s="36" t="n"/>
      <c r="H375" s="37">
        <f>IF($A375="","",IFERROR(ROUND(MAX(0,$B375*INDEX(tblKurallar[deger_2025],MATCH("KIK-001",tblKurallar[kural_id],0))-($C375+$D375+$E375+$F375)),kik_yuvarMax),0))</f>
        <v/>
      </c>
      <c r="I375" s="37">
        <f>IF($A375="","",IFERROR(MAX(0,$H375-$G375*kik_sifirCarpan),0))</f>
        <v/>
      </c>
    </row>
    <row r="376">
      <c r="A376" s="36" t="n"/>
      <c r="B376" s="36" t="n"/>
      <c r="C376" s="36" t="n"/>
      <c r="D376" s="36" t="n"/>
      <c r="E376" s="36" t="n"/>
      <c r="F376" s="36" t="n"/>
      <c r="G376" s="36" t="n"/>
      <c r="H376" s="37">
        <f>IF($A376="","",IFERROR(ROUND(MAX(0,$B376*INDEX(tblKurallar[deger_2025],MATCH("KIK-001",tblKurallar[kural_id],0))-($C376+$D376+$E376+$F376)),kik_yuvarMax),0))</f>
        <v/>
      </c>
      <c r="I376" s="37">
        <f>IF($A376="","",IFERROR(MAX(0,$H376-$G376*kik_sifirCarpan),0))</f>
        <v/>
      </c>
    </row>
    <row r="377">
      <c r="A377" s="36" t="n"/>
      <c r="B377" s="36" t="n"/>
      <c r="C377" s="36" t="n"/>
      <c r="D377" s="36" t="n"/>
      <c r="E377" s="36" t="n"/>
      <c r="F377" s="36" t="n"/>
      <c r="G377" s="36" t="n"/>
      <c r="H377" s="37">
        <f>IF($A377="","",IFERROR(ROUND(MAX(0,$B377*INDEX(tblKurallar[deger_2025],MATCH("KIK-001",tblKurallar[kural_id],0))-($C377+$D377+$E377+$F377)),kik_yuvarMax),0))</f>
        <v/>
      </c>
      <c r="I377" s="37">
        <f>IF($A377="","",IFERROR(MAX(0,$H377-$G377*kik_sifirCarpan),0))</f>
        <v/>
      </c>
    </row>
    <row r="378">
      <c r="A378" s="36" t="n"/>
      <c r="B378" s="36" t="n"/>
      <c r="C378" s="36" t="n"/>
      <c r="D378" s="36" t="n"/>
      <c r="E378" s="36" t="n"/>
      <c r="F378" s="36" t="n"/>
      <c r="G378" s="36" t="n"/>
      <c r="H378" s="37">
        <f>IF($A378="","",IFERROR(ROUND(MAX(0,$B378*INDEX(tblKurallar[deger_2025],MATCH("KIK-001",tblKurallar[kural_id],0))-($C378+$D378+$E378+$F378)),kik_yuvarMax),0))</f>
        <v/>
      </c>
      <c r="I378" s="37">
        <f>IF($A378="","",IFERROR(MAX(0,$H378-$G378*kik_sifirCarpan),0))</f>
        <v/>
      </c>
    </row>
    <row r="379">
      <c r="A379" s="36" t="n"/>
      <c r="B379" s="36" t="n"/>
      <c r="C379" s="36" t="n"/>
      <c r="D379" s="36" t="n"/>
      <c r="E379" s="36" t="n"/>
      <c r="F379" s="36" t="n"/>
      <c r="G379" s="36" t="n"/>
      <c r="H379" s="37">
        <f>IF($A379="","",IFERROR(ROUND(MAX(0,$B379*INDEX(tblKurallar[deger_2025],MATCH("KIK-001",tblKurallar[kural_id],0))-($C379+$D379+$E379+$F379)),kik_yuvarMax),0))</f>
        <v/>
      </c>
      <c r="I379" s="37">
        <f>IF($A379="","",IFERROR(MAX(0,$H379-$G379*kik_sifirCarpan),0))</f>
        <v/>
      </c>
    </row>
    <row r="380">
      <c r="A380" s="36" t="n"/>
      <c r="B380" s="36" t="n"/>
      <c r="C380" s="36" t="n"/>
      <c r="D380" s="36" t="n"/>
      <c r="E380" s="36" t="n"/>
      <c r="F380" s="36" t="n"/>
      <c r="G380" s="36" t="n"/>
      <c r="H380" s="37">
        <f>IF($A380="","",IFERROR(ROUND(MAX(0,$B380*INDEX(tblKurallar[deger_2025],MATCH("KIK-001",tblKurallar[kural_id],0))-($C380+$D380+$E380+$F380)),kik_yuvarMax),0))</f>
        <v/>
      </c>
      <c r="I380" s="37">
        <f>IF($A380="","",IFERROR(MAX(0,$H380-$G380*kik_sifirCarpan),0))</f>
        <v/>
      </c>
    </row>
    <row r="381">
      <c r="A381" s="36" t="n"/>
      <c r="B381" s="36" t="n"/>
      <c r="C381" s="36" t="n"/>
      <c r="D381" s="36" t="n"/>
      <c r="E381" s="36" t="n"/>
      <c r="F381" s="36" t="n"/>
      <c r="G381" s="36" t="n"/>
      <c r="H381" s="37">
        <f>IF($A381="","",IFERROR(ROUND(MAX(0,$B381*INDEX(tblKurallar[deger_2025],MATCH("KIK-001",tblKurallar[kural_id],0))-($C381+$D381+$E381+$F381)),kik_yuvarMax),0))</f>
        <v/>
      </c>
      <c r="I381" s="37">
        <f>IF($A381="","",IFERROR(MAX(0,$H381-$G381*kik_sifirCarpan),0))</f>
        <v/>
      </c>
    </row>
    <row r="382">
      <c r="A382" s="36" t="n"/>
      <c r="B382" s="36" t="n"/>
      <c r="C382" s="36" t="n"/>
      <c r="D382" s="36" t="n"/>
      <c r="E382" s="36" t="n"/>
      <c r="F382" s="36" t="n"/>
      <c r="G382" s="36" t="n"/>
      <c r="H382" s="37">
        <f>IF($A382="","",IFERROR(ROUND(MAX(0,$B382*INDEX(tblKurallar[deger_2025],MATCH("KIK-001",tblKurallar[kural_id],0))-($C382+$D382+$E382+$F382)),kik_yuvarMax),0))</f>
        <v/>
      </c>
      <c r="I382" s="37">
        <f>IF($A382="","",IFERROR(MAX(0,$H382-$G382*kik_sifirCarpan),0))</f>
        <v/>
      </c>
    </row>
    <row r="383">
      <c r="A383" s="36" t="n"/>
      <c r="B383" s="36" t="n"/>
      <c r="C383" s="36" t="n"/>
      <c r="D383" s="36" t="n"/>
      <c r="E383" s="36" t="n"/>
      <c r="F383" s="36" t="n"/>
      <c r="G383" s="36" t="n"/>
      <c r="H383" s="37">
        <f>IF($A383="","",IFERROR(ROUND(MAX(0,$B383*INDEX(tblKurallar[deger_2025],MATCH("KIK-001",tblKurallar[kural_id],0))-($C383+$D383+$E383+$F383)),kik_yuvarMax),0))</f>
        <v/>
      </c>
      <c r="I383" s="37">
        <f>IF($A383="","",IFERROR(MAX(0,$H383-$G383*kik_sifirCarpan),0))</f>
        <v/>
      </c>
    </row>
    <row r="384">
      <c r="A384" s="36" t="n"/>
      <c r="B384" s="36" t="n"/>
      <c r="C384" s="36" t="n"/>
      <c r="D384" s="36" t="n"/>
      <c r="E384" s="36" t="n"/>
      <c r="F384" s="36" t="n"/>
      <c r="G384" s="36" t="n"/>
      <c r="H384" s="37">
        <f>IF($A384="","",IFERROR(ROUND(MAX(0,$B384*INDEX(tblKurallar[deger_2025],MATCH("KIK-001",tblKurallar[kural_id],0))-($C384+$D384+$E384+$F384)),kik_yuvarMax),0))</f>
        <v/>
      </c>
      <c r="I384" s="37">
        <f>IF($A384="","",IFERROR(MAX(0,$H384-$G384*kik_sifirCarpan),0))</f>
        <v/>
      </c>
    </row>
    <row r="385">
      <c r="A385" s="36" t="n"/>
      <c r="B385" s="36" t="n"/>
      <c r="C385" s="36" t="n"/>
      <c r="D385" s="36" t="n"/>
      <c r="E385" s="36" t="n"/>
      <c r="F385" s="36" t="n"/>
      <c r="G385" s="36" t="n"/>
      <c r="H385" s="37">
        <f>IF($A385="","",IFERROR(ROUND(MAX(0,$B385*INDEX(tblKurallar[deger_2025],MATCH("KIK-001",tblKurallar[kural_id],0))-($C385+$D385+$E385+$F385)),kik_yuvarMax),0))</f>
        <v/>
      </c>
      <c r="I385" s="37">
        <f>IF($A385="","",IFERROR(MAX(0,$H385-$G385*kik_sifirCarpan),0))</f>
        <v/>
      </c>
    </row>
    <row r="386">
      <c r="A386" s="36" t="n"/>
      <c r="B386" s="36" t="n"/>
      <c r="C386" s="36" t="n"/>
      <c r="D386" s="36" t="n"/>
      <c r="E386" s="36" t="n"/>
      <c r="F386" s="36" t="n"/>
      <c r="G386" s="36" t="n"/>
      <c r="H386" s="37">
        <f>IF($A386="","",IFERROR(ROUND(MAX(0,$B386*INDEX(tblKurallar[deger_2025],MATCH("KIK-001",tblKurallar[kural_id],0))-($C386+$D386+$E386+$F386)),kik_yuvarMax),0))</f>
        <v/>
      </c>
      <c r="I386" s="37">
        <f>IF($A386="","",IFERROR(MAX(0,$H386-$G386*kik_sifirCarpan),0))</f>
        <v/>
      </c>
    </row>
    <row r="387">
      <c r="A387" s="36" t="n"/>
      <c r="B387" s="36" t="n"/>
      <c r="C387" s="36" t="n"/>
      <c r="D387" s="36" t="n"/>
      <c r="E387" s="36" t="n"/>
      <c r="F387" s="36" t="n"/>
      <c r="G387" s="36" t="n"/>
      <c r="H387" s="37">
        <f>IF($A387="","",IFERROR(ROUND(MAX(0,$B387*INDEX(tblKurallar[deger_2025],MATCH("KIK-001",tblKurallar[kural_id],0))-($C387+$D387+$E387+$F387)),kik_yuvarMax),0))</f>
        <v/>
      </c>
      <c r="I387" s="37">
        <f>IF($A387="","",IFERROR(MAX(0,$H387-$G387*kik_sifirCarpan),0))</f>
        <v/>
      </c>
    </row>
    <row r="388">
      <c r="A388" s="36" t="n"/>
      <c r="B388" s="36" t="n"/>
      <c r="C388" s="36" t="n"/>
      <c r="D388" s="36" t="n"/>
      <c r="E388" s="36" t="n"/>
      <c r="F388" s="36" t="n"/>
      <c r="G388" s="36" t="n"/>
      <c r="H388" s="37">
        <f>IF($A388="","",IFERROR(ROUND(MAX(0,$B388*INDEX(tblKurallar[deger_2025],MATCH("KIK-001",tblKurallar[kural_id],0))-($C388+$D388+$E388+$F388)),kik_yuvarMax),0))</f>
        <v/>
      </c>
      <c r="I388" s="37">
        <f>IF($A388="","",IFERROR(MAX(0,$H388-$G388*kik_sifirCarpan),0))</f>
        <v/>
      </c>
    </row>
    <row r="389">
      <c r="A389" s="36" t="n"/>
      <c r="B389" s="36" t="n"/>
      <c r="C389" s="36" t="n"/>
      <c r="D389" s="36" t="n"/>
      <c r="E389" s="36" t="n"/>
      <c r="F389" s="36" t="n"/>
      <c r="G389" s="36" t="n"/>
      <c r="H389" s="37">
        <f>IF($A389="","",IFERROR(ROUND(MAX(0,$B389*INDEX(tblKurallar[deger_2025],MATCH("KIK-001",tblKurallar[kural_id],0))-($C389+$D389+$E389+$F389)),kik_yuvarMax),0))</f>
        <v/>
      </c>
      <c r="I389" s="37">
        <f>IF($A389="","",IFERROR(MAX(0,$H389-$G389*kik_sifirCarpan),0))</f>
        <v/>
      </c>
    </row>
    <row r="390">
      <c r="A390" s="36" t="n"/>
      <c r="B390" s="36" t="n"/>
      <c r="C390" s="36" t="n"/>
      <c r="D390" s="36" t="n"/>
      <c r="E390" s="36" t="n"/>
      <c r="F390" s="36" t="n"/>
      <c r="G390" s="36" t="n"/>
      <c r="H390" s="37">
        <f>IF($A390="","",IFERROR(ROUND(MAX(0,$B390*INDEX(tblKurallar[deger_2025],MATCH("KIK-001",tblKurallar[kural_id],0))-($C390+$D390+$E390+$F390)),kik_yuvarMax),0))</f>
        <v/>
      </c>
      <c r="I390" s="37">
        <f>IF($A390="","",IFERROR(MAX(0,$H390-$G390*kik_sifirCarpan),0))</f>
        <v/>
      </c>
    </row>
    <row r="391">
      <c r="A391" s="36" t="n"/>
      <c r="B391" s="36" t="n"/>
      <c r="C391" s="36" t="n"/>
      <c r="D391" s="36" t="n"/>
      <c r="E391" s="36" t="n"/>
      <c r="F391" s="36" t="n"/>
      <c r="G391" s="36" t="n"/>
      <c r="H391" s="37">
        <f>IF($A391="","",IFERROR(ROUND(MAX(0,$B391*INDEX(tblKurallar[deger_2025],MATCH("KIK-001",tblKurallar[kural_id],0))-($C391+$D391+$E391+$F391)),kik_yuvarMax),0))</f>
        <v/>
      </c>
      <c r="I391" s="37">
        <f>IF($A391="","",IFERROR(MAX(0,$H391-$G391*kik_sifirCarpan),0))</f>
        <v/>
      </c>
    </row>
    <row r="392">
      <c r="A392" s="36" t="n"/>
      <c r="B392" s="36" t="n"/>
      <c r="C392" s="36" t="n"/>
      <c r="D392" s="36" t="n"/>
      <c r="E392" s="36" t="n"/>
      <c r="F392" s="36" t="n"/>
      <c r="G392" s="36" t="n"/>
      <c r="H392" s="37">
        <f>IF($A392="","",IFERROR(ROUND(MAX(0,$B392*INDEX(tblKurallar[deger_2025],MATCH("KIK-001",tblKurallar[kural_id],0))-($C392+$D392+$E392+$F392)),kik_yuvarMax),0))</f>
        <v/>
      </c>
      <c r="I392" s="37">
        <f>IF($A392="","",IFERROR(MAX(0,$H392-$G392*kik_sifirCarpan),0))</f>
        <v/>
      </c>
    </row>
    <row r="393">
      <c r="A393" s="36" t="n"/>
      <c r="B393" s="36" t="n"/>
      <c r="C393" s="36" t="n"/>
      <c r="D393" s="36" t="n"/>
      <c r="E393" s="36" t="n"/>
      <c r="F393" s="36" t="n"/>
      <c r="G393" s="36" t="n"/>
      <c r="H393" s="37">
        <f>IF($A393="","",IFERROR(ROUND(MAX(0,$B393*INDEX(tblKurallar[deger_2025],MATCH("KIK-001",tblKurallar[kural_id],0))-($C393+$D393+$E393+$F393)),kik_yuvarMax),0))</f>
        <v/>
      </c>
      <c r="I393" s="37">
        <f>IF($A393="","",IFERROR(MAX(0,$H393-$G393*kik_sifirCarpan),0))</f>
        <v/>
      </c>
    </row>
    <row r="394">
      <c r="A394" s="36" t="n"/>
      <c r="B394" s="36" t="n"/>
      <c r="C394" s="36" t="n"/>
      <c r="D394" s="36" t="n"/>
      <c r="E394" s="36" t="n"/>
      <c r="F394" s="36" t="n"/>
      <c r="G394" s="36" t="n"/>
      <c r="H394" s="37">
        <f>IF($A394="","",IFERROR(ROUND(MAX(0,$B394*INDEX(tblKurallar[deger_2025],MATCH("KIK-001",tblKurallar[kural_id],0))-($C394+$D394+$E394+$F394)),kik_yuvarMax),0))</f>
        <v/>
      </c>
      <c r="I394" s="37">
        <f>IF($A394="","",IFERROR(MAX(0,$H394-$G394*kik_sifirCarpan),0))</f>
        <v/>
      </c>
    </row>
    <row r="395">
      <c r="A395" s="36" t="n"/>
      <c r="B395" s="36" t="n"/>
      <c r="C395" s="36" t="n"/>
      <c r="D395" s="36" t="n"/>
      <c r="E395" s="36" t="n"/>
      <c r="F395" s="36" t="n"/>
      <c r="G395" s="36" t="n"/>
      <c r="H395" s="37">
        <f>IF($A395="","",IFERROR(ROUND(MAX(0,$B395*INDEX(tblKurallar[deger_2025],MATCH("KIK-001",tblKurallar[kural_id],0))-($C395+$D395+$E395+$F395)),kik_yuvarMax),0))</f>
        <v/>
      </c>
      <c r="I395" s="37">
        <f>IF($A395="","",IFERROR(MAX(0,$H395-$G395*kik_sifirCarpan),0))</f>
        <v/>
      </c>
    </row>
    <row r="396">
      <c r="A396" s="36" t="n"/>
      <c r="B396" s="36" t="n"/>
      <c r="C396" s="36" t="n"/>
      <c r="D396" s="36" t="n"/>
      <c r="E396" s="36" t="n"/>
      <c r="F396" s="36" t="n"/>
      <c r="G396" s="36" t="n"/>
      <c r="H396" s="37">
        <f>IF($A396="","",IFERROR(ROUND(MAX(0,$B396*INDEX(tblKurallar[deger_2025],MATCH("KIK-001",tblKurallar[kural_id],0))-($C396+$D396+$E396+$F396)),kik_yuvarMax),0))</f>
        <v/>
      </c>
      <c r="I396" s="37">
        <f>IF($A396="","",IFERROR(MAX(0,$H396-$G396*kik_sifirCarpan),0))</f>
        <v/>
      </c>
    </row>
    <row r="397">
      <c r="A397" s="36" t="n"/>
      <c r="B397" s="36" t="n"/>
      <c r="C397" s="36" t="n"/>
      <c r="D397" s="36" t="n"/>
      <c r="E397" s="36" t="n"/>
      <c r="F397" s="36" t="n"/>
      <c r="G397" s="36" t="n"/>
      <c r="H397" s="37">
        <f>IF($A397="","",IFERROR(ROUND(MAX(0,$B397*INDEX(tblKurallar[deger_2025],MATCH("KIK-001",tblKurallar[kural_id],0))-($C397+$D397+$E397+$F397)),kik_yuvarMax),0))</f>
        <v/>
      </c>
      <c r="I397" s="37">
        <f>IF($A397="","",IFERROR(MAX(0,$H397-$G397*kik_sifirCarpan),0))</f>
        <v/>
      </c>
    </row>
    <row r="398">
      <c r="A398" s="36" t="n"/>
      <c r="B398" s="36" t="n"/>
      <c r="C398" s="36" t="n"/>
      <c r="D398" s="36" t="n"/>
      <c r="E398" s="36" t="n"/>
      <c r="F398" s="36" t="n"/>
      <c r="G398" s="36" t="n"/>
      <c r="H398" s="37">
        <f>IF($A398="","",IFERROR(ROUND(MAX(0,$B398*INDEX(tblKurallar[deger_2025],MATCH("KIK-001",tblKurallar[kural_id],0))-($C398+$D398+$E398+$F398)),kik_yuvarMax),0))</f>
        <v/>
      </c>
      <c r="I398" s="37">
        <f>IF($A398="","",IFERROR(MAX(0,$H398-$G398*kik_sifirCarpan),0))</f>
        <v/>
      </c>
    </row>
    <row r="399">
      <c r="A399" s="36" t="n"/>
      <c r="B399" s="36" t="n"/>
      <c r="C399" s="36" t="n"/>
      <c r="D399" s="36" t="n"/>
      <c r="E399" s="36" t="n"/>
      <c r="F399" s="36" t="n"/>
      <c r="G399" s="36" t="n"/>
      <c r="H399" s="37">
        <f>IF($A399="","",IFERROR(ROUND(MAX(0,$B399*INDEX(tblKurallar[deger_2025],MATCH("KIK-001",tblKurallar[kural_id],0))-($C399+$D399+$E399+$F399)),kik_yuvarMax),0))</f>
        <v/>
      </c>
      <c r="I399" s="37">
        <f>IF($A399="","",IFERROR(MAX(0,$H399-$G399*kik_sifirCarpan),0))</f>
        <v/>
      </c>
    </row>
    <row r="400">
      <c r="A400" s="36" t="n"/>
      <c r="B400" s="36" t="n"/>
      <c r="C400" s="36" t="n"/>
      <c r="D400" s="36" t="n"/>
      <c r="E400" s="36" t="n"/>
      <c r="F400" s="36" t="n"/>
      <c r="G400" s="36" t="n"/>
      <c r="H400" s="37">
        <f>IF($A400="","",IFERROR(ROUND(MAX(0,$B400*INDEX(tblKurallar[deger_2025],MATCH("KIK-001",tblKurallar[kural_id],0))-($C400+$D400+$E400+$F400)),kik_yuvarMax),0))</f>
        <v/>
      </c>
      <c r="I400" s="37">
        <f>IF($A400="","",IFERROR(MAX(0,$H400-$G400*kik_sifirCarpan),0))</f>
        <v/>
      </c>
    </row>
    <row r="401">
      <c r="A401" s="36" t="n"/>
      <c r="B401" s="36" t="n"/>
      <c r="C401" s="36" t="n"/>
      <c r="D401" s="36" t="n"/>
      <c r="E401" s="36" t="n"/>
      <c r="F401" s="36" t="n"/>
      <c r="G401" s="36" t="n"/>
      <c r="H401" s="37">
        <f>IF($A401="","",IFERROR(ROUND(MAX(0,$B401*INDEX(tblKurallar[deger_2025],MATCH("KIK-001",tblKurallar[kural_id],0))-($C401+$D401+$E401+$F401)),kik_yuvarMax),0))</f>
        <v/>
      </c>
      <c r="I401" s="37">
        <f>IF($A401="","",IFERROR(MAX(0,$H401-$G401*kik_sifirCarpan),0))</f>
        <v/>
      </c>
    </row>
    <row r="402">
      <c r="A402" s="36" t="n"/>
      <c r="B402" s="36" t="n"/>
      <c r="C402" s="36" t="n"/>
      <c r="D402" s="36" t="n"/>
      <c r="E402" s="36" t="n"/>
      <c r="F402" s="36" t="n"/>
      <c r="G402" s="36" t="n"/>
      <c r="H402" s="37">
        <f>IF($A402="","",IFERROR(ROUND(MAX(0,$B402*INDEX(tblKurallar[deger_2025],MATCH("KIK-001",tblKurallar[kural_id],0))-($C402+$D402+$E402+$F402)),kik_yuvarMax),0))</f>
        <v/>
      </c>
      <c r="I402" s="37">
        <f>IF($A402="","",IFERROR(MAX(0,$H402-$G402*kik_sifirCarpan),0))</f>
        <v/>
      </c>
    </row>
    <row r="403">
      <c r="A403" s="36" t="n"/>
      <c r="B403" s="36" t="n"/>
      <c r="C403" s="36" t="n"/>
      <c r="D403" s="36" t="n"/>
      <c r="E403" s="36" t="n"/>
      <c r="F403" s="36" t="n"/>
      <c r="G403" s="36" t="n"/>
      <c r="H403" s="37">
        <f>IF($A403="","",IFERROR(ROUND(MAX(0,$B403*INDEX(tblKurallar[deger_2025],MATCH("KIK-001",tblKurallar[kural_id],0))-($C403+$D403+$E403+$F403)),kik_yuvarMax),0))</f>
        <v/>
      </c>
      <c r="I403" s="37">
        <f>IF($A403="","",IFERROR(MAX(0,$H403-$G403*kik_sifirCarpan),0))</f>
        <v/>
      </c>
    </row>
    <row r="404">
      <c r="A404" s="36" t="n"/>
      <c r="B404" s="36" t="n"/>
      <c r="C404" s="36" t="n"/>
      <c r="D404" s="36" t="n"/>
      <c r="E404" s="36" t="n"/>
      <c r="F404" s="36" t="n"/>
      <c r="G404" s="36" t="n"/>
      <c r="H404" s="37">
        <f>IF($A404="","",IFERROR(ROUND(MAX(0,$B404*INDEX(tblKurallar[deger_2025],MATCH("KIK-001",tblKurallar[kural_id],0))-($C404+$D404+$E404+$F404)),kik_yuvarMax),0))</f>
        <v/>
      </c>
      <c r="I404" s="37">
        <f>IF($A404="","",IFERROR(MAX(0,$H404-$G404*kik_sifirCarpan),0))</f>
        <v/>
      </c>
    </row>
    <row r="405">
      <c r="A405" s="36" t="n"/>
      <c r="B405" s="36" t="n"/>
      <c r="C405" s="36" t="n"/>
      <c r="D405" s="36" t="n"/>
      <c r="E405" s="36" t="n"/>
      <c r="F405" s="36" t="n"/>
      <c r="G405" s="36" t="n"/>
      <c r="H405" s="37">
        <f>IF($A405="","",IFERROR(ROUND(MAX(0,$B405*INDEX(tblKurallar[deger_2025],MATCH("KIK-001",tblKurallar[kural_id],0))-($C405+$D405+$E405+$F405)),kik_yuvarMax),0))</f>
        <v/>
      </c>
      <c r="I405" s="37">
        <f>IF($A405="","",IFERROR(MAX(0,$H405-$G405*kik_sifirCarpan),0))</f>
        <v/>
      </c>
    </row>
    <row r="406">
      <c r="A406" s="36" t="n"/>
      <c r="B406" s="36" t="n"/>
      <c r="C406" s="36" t="n"/>
      <c r="D406" s="36" t="n"/>
      <c r="E406" s="36" t="n"/>
      <c r="F406" s="36" t="n"/>
      <c r="G406" s="36" t="n"/>
      <c r="H406" s="37">
        <f>IF($A406="","",IFERROR(ROUND(MAX(0,$B406*INDEX(tblKurallar[deger_2025],MATCH("KIK-001",tblKurallar[kural_id],0))-($C406+$D406+$E406+$F406)),kik_yuvarMax),0))</f>
        <v/>
      </c>
      <c r="I406" s="37">
        <f>IF($A406="","",IFERROR(MAX(0,$H406-$G406*kik_sifirCarpan),0))</f>
        <v/>
      </c>
    </row>
    <row r="407">
      <c r="A407" s="36" t="n"/>
      <c r="B407" s="36" t="n"/>
      <c r="C407" s="36" t="n"/>
      <c r="D407" s="36" t="n"/>
      <c r="E407" s="36" t="n"/>
      <c r="F407" s="36" t="n"/>
      <c r="G407" s="36" t="n"/>
      <c r="H407" s="37">
        <f>IF($A407="","",IFERROR(ROUND(MAX(0,$B407*INDEX(tblKurallar[deger_2025],MATCH("KIK-001",tblKurallar[kural_id],0))-($C407+$D407+$E407+$F407)),kik_yuvarMax),0))</f>
        <v/>
      </c>
      <c r="I407" s="37">
        <f>IF($A407="","",IFERROR(MAX(0,$H407-$G407*kik_sifirCarpan),0))</f>
        <v/>
      </c>
    </row>
    <row r="408">
      <c r="A408" s="36" t="n"/>
      <c r="B408" s="36" t="n"/>
      <c r="C408" s="36" t="n"/>
      <c r="D408" s="36" t="n"/>
      <c r="E408" s="36" t="n"/>
      <c r="F408" s="36" t="n"/>
      <c r="G408" s="36" t="n"/>
      <c r="H408" s="37">
        <f>IF($A408="","",IFERROR(ROUND(MAX(0,$B408*INDEX(tblKurallar[deger_2025],MATCH("KIK-001",tblKurallar[kural_id],0))-($C408+$D408+$E408+$F408)),kik_yuvarMax),0))</f>
        <v/>
      </c>
      <c r="I408" s="37">
        <f>IF($A408="","",IFERROR(MAX(0,$H408-$G408*kik_sifirCarpan),0))</f>
        <v/>
      </c>
    </row>
    <row r="409">
      <c r="A409" s="36" t="n"/>
      <c r="B409" s="36" t="n"/>
      <c r="C409" s="36" t="n"/>
      <c r="D409" s="36" t="n"/>
      <c r="E409" s="36" t="n"/>
      <c r="F409" s="36" t="n"/>
      <c r="G409" s="36" t="n"/>
      <c r="H409" s="37">
        <f>IF($A409="","",IFERROR(ROUND(MAX(0,$B409*INDEX(tblKurallar[deger_2025],MATCH("KIK-001",tblKurallar[kural_id],0))-($C409+$D409+$E409+$F409)),kik_yuvarMax),0))</f>
        <v/>
      </c>
      <c r="I409" s="37">
        <f>IF($A409="","",IFERROR(MAX(0,$H409-$G409*kik_sifirCarpan),0))</f>
        <v/>
      </c>
    </row>
    <row r="410">
      <c r="A410" s="36" t="n"/>
      <c r="B410" s="36" t="n"/>
      <c r="C410" s="36" t="n"/>
      <c r="D410" s="36" t="n"/>
      <c r="E410" s="36" t="n"/>
      <c r="F410" s="36" t="n"/>
      <c r="G410" s="36" t="n"/>
      <c r="H410" s="37">
        <f>IF($A410="","",IFERROR(ROUND(MAX(0,$B410*INDEX(tblKurallar[deger_2025],MATCH("KIK-001",tblKurallar[kural_id],0))-($C410+$D410+$E410+$F410)),kik_yuvarMax),0))</f>
        <v/>
      </c>
      <c r="I410" s="37">
        <f>IF($A410="","",IFERROR(MAX(0,$H410-$G410*kik_sifirCarpan),0))</f>
        <v/>
      </c>
    </row>
    <row r="411">
      <c r="A411" s="36" t="n"/>
      <c r="B411" s="36" t="n"/>
      <c r="C411" s="36" t="n"/>
      <c r="D411" s="36" t="n"/>
      <c r="E411" s="36" t="n"/>
      <c r="F411" s="36" t="n"/>
      <c r="G411" s="36" t="n"/>
      <c r="H411" s="37">
        <f>IF($A411="","",IFERROR(ROUND(MAX(0,$B411*INDEX(tblKurallar[deger_2025],MATCH("KIK-001",tblKurallar[kural_id],0))-($C411+$D411+$E411+$F411)),kik_yuvarMax),0))</f>
        <v/>
      </c>
      <c r="I411" s="37">
        <f>IF($A411="","",IFERROR(MAX(0,$H411-$G411*kik_sifirCarpan),0))</f>
        <v/>
      </c>
    </row>
    <row r="412">
      <c r="A412" s="36" t="n"/>
      <c r="B412" s="36" t="n"/>
      <c r="C412" s="36" t="n"/>
      <c r="D412" s="36" t="n"/>
      <c r="E412" s="36" t="n"/>
      <c r="F412" s="36" t="n"/>
      <c r="G412" s="36" t="n"/>
      <c r="H412" s="37">
        <f>IF($A412="","",IFERROR(ROUND(MAX(0,$B412*INDEX(tblKurallar[deger_2025],MATCH("KIK-001",tblKurallar[kural_id],0))-($C412+$D412+$E412+$F412)),kik_yuvarMax),0))</f>
        <v/>
      </c>
      <c r="I412" s="37">
        <f>IF($A412="","",IFERROR(MAX(0,$H412-$G412*kik_sifirCarpan),0))</f>
        <v/>
      </c>
    </row>
    <row r="413">
      <c r="A413" s="36" t="n"/>
      <c r="B413" s="36" t="n"/>
      <c r="C413" s="36" t="n"/>
      <c r="D413" s="36" t="n"/>
      <c r="E413" s="36" t="n"/>
      <c r="F413" s="36" t="n"/>
      <c r="G413" s="36" t="n"/>
      <c r="H413" s="37">
        <f>IF($A413="","",IFERROR(ROUND(MAX(0,$B413*INDEX(tblKurallar[deger_2025],MATCH("KIK-001",tblKurallar[kural_id],0))-($C413+$D413+$E413+$F413)),kik_yuvarMax),0))</f>
        <v/>
      </c>
      <c r="I413" s="37">
        <f>IF($A413="","",IFERROR(MAX(0,$H413-$G413*kik_sifirCarpan),0))</f>
        <v/>
      </c>
    </row>
    <row r="414">
      <c r="A414" s="36" t="n"/>
      <c r="B414" s="36" t="n"/>
      <c r="C414" s="36" t="n"/>
      <c r="D414" s="36" t="n"/>
      <c r="E414" s="36" t="n"/>
      <c r="F414" s="36" t="n"/>
      <c r="G414" s="36" t="n"/>
      <c r="H414" s="37">
        <f>IF($A414="","",IFERROR(ROUND(MAX(0,$B414*INDEX(tblKurallar[deger_2025],MATCH("KIK-001",tblKurallar[kural_id],0))-($C414+$D414+$E414+$F414)),kik_yuvarMax),0))</f>
        <v/>
      </c>
      <c r="I414" s="37">
        <f>IF($A414="","",IFERROR(MAX(0,$H414-$G414*kik_sifirCarpan),0))</f>
        <v/>
      </c>
    </row>
    <row r="415">
      <c r="A415" s="36" t="n"/>
      <c r="B415" s="36" t="n"/>
      <c r="C415" s="36" t="n"/>
      <c r="D415" s="36" t="n"/>
      <c r="E415" s="36" t="n"/>
      <c r="F415" s="36" t="n"/>
      <c r="G415" s="36" t="n"/>
      <c r="H415" s="37">
        <f>IF($A415="","",IFERROR(ROUND(MAX(0,$B415*INDEX(tblKurallar[deger_2025],MATCH("KIK-001",tblKurallar[kural_id],0))-($C415+$D415+$E415+$F415)),kik_yuvarMax),0))</f>
        <v/>
      </c>
      <c r="I415" s="37">
        <f>IF($A415="","",IFERROR(MAX(0,$H415-$G415*kik_sifirCarpan),0))</f>
        <v/>
      </c>
    </row>
    <row r="416">
      <c r="A416" s="36" t="n"/>
      <c r="B416" s="36" t="n"/>
      <c r="C416" s="36" t="n"/>
      <c r="D416" s="36" t="n"/>
      <c r="E416" s="36" t="n"/>
      <c r="F416" s="36" t="n"/>
      <c r="G416" s="36" t="n"/>
      <c r="H416" s="37">
        <f>IF($A416="","",IFERROR(ROUND(MAX(0,$B416*INDEX(tblKurallar[deger_2025],MATCH("KIK-001",tblKurallar[kural_id],0))-($C416+$D416+$E416+$F416)),kik_yuvarMax),0))</f>
        <v/>
      </c>
      <c r="I416" s="37">
        <f>IF($A416="","",IFERROR(MAX(0,$H416-$G416*kik_sifirCarpan),0))</f>
        <v/>
      </c>
    </row>
    <row r="417">
      <c r="A417" s="36" t="n"/>
      <c r="B417" s="36" t="n"/>
      <c r="C417" s="36" t="n"/>
      <c r="D417" s="36" t="n"/>
      <c r="E417" s="36" t="n"/>
      <c r="F417" s="36" t="n"/>
      <c r="G417" s="36" t="n"/>
      <c r="H417" s="37">
        <f>IF($A417="","",IFERROR(ROUND(MAX(0,$B417*INDEX(tblKurallar[deger_2025],MATCH("KIK-001",tblKurallar[kural_id],0))-($C417+$D417+$E417+$F417)),kik_yuvarMax),0))</f>
        <v/>
      </c>
      <c r="I417" s="37">
        <f>IF($A417="","",IFERROR(MAX(0,$H417-$G417*kik_sifirCarpan),0))</f>
        <v/>
      </c>
    </row>
    <row r="418">
      <c r="A418" s="36" t="n"/>
      <c r="B418" s="36" t="n"/>
      <c r="C418" s="36" t="n"/>
      <c r="D418" s="36" t="n"/>
      <c r="E418" s="36" t="n"/>
      <c r="F418" s="36" t="n"/>
      <c r="G418" s="36" t="n"/>
      <c r="H418" s="37">
        <f>IF($A418="","",IFERROR(ROUND(MAX(0,$B418*INDEX(tblKurallar[deger_2025],MATCH("KIK-001",tblKurallar[kural_id],0))-($C418+$D418+$E418+$F418)),kik_yuvarMax),0))</f>
        <v/>
      </c>
      <c r="I418" s="37">
        <f>IF($A418="","",IFERROR(MAX(0,$H418-$G418*kik_sifirCarpan),0))</f>
        <v/>
      </c>
    </row>
    <row r="419">
      <c r="A419" s="36" t="n"/>
      <c r="B419" s="36" t="n"/>
      <c r="C419" s="36" t="n"/>
      <c r="D419" s="36" t="n"/>
      <c r="E419" s="36" t="n"/>
      <c r="F419" s="36" t="n"/>
      <c r="G419" s="36" t="n"/>
      <c r="H419" s="37">
        <f>IF($A419="","",IFERROR(ROUND(MAX(0,$B419*INDEX(tblKurallar[deger_2025],MATCH("KIK-001",tblKurallar[kural_id],0))-($C419+$D419+$E419+$F419)),kik_yuvarMax),0))</f>
        <v/>
      </c>
      <c r="I419" s="37">
        <f>IF($A419="","",IFERROR(MAX(0,$H419-$G419*kik_sifirCarpan),0))</f>
        <v/>
      </c>
    </row>
    <row r="420">
      <c r="A420" s="36" t="n"/>
      <c r="B420" s="36" t="n"/>
      <c r="C420" s="36" t="n"/>
      <c r="D420" s="36" t="n"/>
      <c r="E420" s="36" t="n"/>
      <c r="F420" s="36" t="n"/>
      <c r="G420" s="36" t="n"/>
      <c r="H420" s="37">
        <f>IF($A420="","",IFERROR(ROUND(MAX(0,$B420*INDEX(tblKurallar[deger_2025],MATCH("KIK-001",tblKurallar[kural_id],0))-($C420+$D420+$E420+$F420)),kik_yuvarMax),0))</f>
        <v/>
      </c>
      <c r="I420" s="37">
        <f>IF($A420="","",IFERROR(MAX(0,$H420-$G420*kik_sifirCarpan),0))</f>
        <v/>
      </c>
    </row>
    <row r="421">
      <c r="A421" s="36" t="n"/>
      <c r="B421" s="36" t="n"/>
      <c r="C421" s="36" t="n"/>
      <c r="D421" s="36" t="n"/>
      <c r="E421" s="36" t="n"/>
      <c r="F421" s="36" t="n"/>
      <c r="G421" s="36" t="n"/>
      <c r="H421" s="37">
        <f>IF($A421="","",IFERROR(ROUND(MAX(0,$B421*INDEX(tblKurallar[deger_2025],MATCH("KIK-001",tblKurallar[kural_id],0))-($C421+$D421+$E421+$F421)),kik_yuvarMax),0))</f>
        <v/>
      </c>
      <c r="I421" s="37">
        <f>IF($A421="","",IFERROR(MAX(0,$H421-$G421*kik_sifirCarpan),0))</f>
        <v/>
      </c>
    </row>
    <row r="422">
      <c r="A422" s="36" t="n"/>
      <c r="B422" s="36" t="n"/>
      <c r="C422" s="36" t="n"/>
      <c r="D422" s="36" t="n"/>
      <c r="E422" s="36" t="n"/>
      <c r="F422" s="36" t="n"/>
      <c r="G422" s="36" t="n"/>
      <c r="H422" s="37">
        <f>IF($A422="","",IFERROR(ROUND(MAX(0,$B422*INDEX(tblKurallar[deger_2025],MATCH("KIK-001",tblKurallar[kural_id],0))-($C422+$D422+$E422+$F422)),kik_yuvarMax),0))</f>
        <v/>
      </c>
      <c r="I422" s="37">
        <f>IF($A422="","",IFERROR(MAX(0,$H422-$G422*kik_sifirCarpan),0))</f>
        <v/>
      </c>
    </row>
    <row r="423">
      <c r="A423" s="36" t="n"/>
      <c r="B423" s="36" t="n"/>
      <c r="C423" s="36" t="n"/>
      <c r="D423" s="36" t="n"/>
      <c r="E423" s="36" t="n"/>
      <c r="F423" s="36" t="n"/>
      <c r="G423" s="36" t="n"/>
      <c r="H423" s="37">
        <f>IF($A423="","",IFERROR(ROUND(MAX(0,$B423*INDEX(tblKurallar[deger_2025],MATCH("KIK-001",tblKurallar[kural_id],0))-($C423+$D423+$E423+$F423)),kik_yuvarMax),0))</f>
        <v/>
      </c>
      <c r="I423" s="37">
        <f>IF($A423="","",IFERROR(MAX(0,$H423-$G423*kik_sifirCarpan),0))</f>
        <v/>
      </c>
    </row>
    <row r="424">
      <c r="A424" s="36" t="n"/>
      <c r="B424" s="36" t="n"/>
      <c r="C424" s="36" t="n"/>
      <c r="D424" s="36" t="n"/>
      <c r="E424" s="36" t="n"/>
      <c r="F424" s="36" t="n"/>
      <c r="G424" s="36" t="n"/>
      <c r="H424" s="37">
        <f>IF($A424="","",IFERROR(ROUND(MAX(0,$B424*INDEX(tblKurallar[deger_2025],MATCH("KIK-001",tblKurallar[kural_id],0))-($C424+$D424+$E424+$F424)),kik_yuvarMax),0))</f>
        <v/>
      </c>
      <c r="I424" s="37">
        <f>IF($A424="","",IFERROR(MAX(0,$H424-$G424*kik_sifirCarpan),0))</f>
        <v/>
      </c>
    </row>
    <row r="425">
      <c r="A425" s="36" t="n"/>
      <c r="B425" s="36" t="n"/>
      <c r="C425" s="36" t="n"/>
      <c r="D425" s="36" t="n"/>
      <c r="E425" s="36" t="n"/>
      <c r="F425" s="36" t="n"/>
      <c r="G425" s="36" t="n"/>
      <c r="H425" s="37">
        <f>IF($A425="","",IFERROR(ROUND(MAX(0,$B425*INDEX(tblKurallar[deger_2025],MATCH("KIK-001",tblKurallar[kural_id],0))-($C425+$D425+$E425+$F425)),kik_yuvarMax),0))</f>
        <v/>
      </c>
      <c r="I425" s="37">
        <f>IF($A425="","",IFERROR(MAX(0,$H425-$G425*kik_sifirCarpan),0))</f>
        <v/>
      </c>
    </row>
    <row r="426">
      <c r="A426" s="36" t="n"/>
      <c r="B426" s="36" t="n"/>
      <c r="C426" s="36" t="n"/>
      <c r="D426" s="36" t="n"/>
      <c r="E426" s="36" t="n"/>
      <c r="F426" s="36" t="n"/>
      <c r="G426" s="36" t="n"/>
      <c r="H426" s="37">
        <f>IF($A426="","",IFERROR(ROUND(MAX(0,$B426*INDEX(tblKurallar[deger_2025],MATCH("KIK-001",tblKurallar[kural_id],0))-($C426+$D426+$E426+$F426)),kik_yuvarMax),0))</f>
        <v/>
      </c>
      <c r="I426" s="37">
        <f>IF($A426="","",IFERROR(MAX(0,$H426-$G426*kik_sifirCarpan),0))</f>
        <v/>
      </c>
    </row>
    <row r="427">
      <c r="A427" s="36" t="n"/>
      <c r="B427" s="36" t="n"/>
      <c r="C427" s="36" t="n"/>
      <c r="D427" s="36" t="n"/>
      <c r="E427" s="36" t="n"/>
      <c r="F427" s="36" t="n"/>
      <c r="G427" s="36" t="n"/>
      <c r="H427" s="37">
        <f>IF($A427="","",IFERROR(ROUND(MAX(0,$B427*INDEX(tblKurallar[deger_2025],MATCH("KIK-001",tblKurallar[kural_id],0))-($C427+$D427+$E427+$F427)),kik_yuvarMax),0))</f>
        <v/>
      </c>
      <c r="I427" s="37">
        <f>IF($A427="","",IFERROR(MAX(0,$H427-$G427*kik_sifirCarpan),0))</f>
        <v/>
      </c>
    </row>
    <row r="428">
      <c r="A428" s="36" t="n"/>
      <c r="B428" s="36" t="n"/>
      <c r="C428" s="36" t="n"/>
      <c r="D428" s="36" t="n"/>
      <c r="E428" s="36" t="n"/>
      <c r="F428" s="36" t="n"/>
      <c r="G428" s="36" t="n"/>
      <c r="H428" s="37">
        <f>IF($A428="","",IFERROR(ROUND(MAX(0,$B428*INDEX(tblKurallar[deger_2025],MATCH("KIK-001",tblKurallar[kural_id],0))-($C428+$D428+$E428+$F428)),kik_yuvarMax),0))</f>
        <v/>
      </c>
      <c r="I428" s="37">
        <f>IF($A428="","",IFERROR(MAX(0,$H428-$G428*kik_sifirCarpan),0))</f>
        <v/>
      </c>
    </row>
    <row r="429">
      <c r="A429" s="36" t="n"/>
      <c r="B429" s="36" t="n"/>
      <c r="C429" s="36" t="n"/>
      <c r="D429" s="36" t="n"/>
      <c r="E429" s="36" t="n"/>
      <c r="F429" s="36" t="n"/>
      <c r="G429" s="36" t="n"/>
      <c r="H429" s="37">
        <f>IF($A429="","",IFERROR(ROUND(MAX(0,$B429*INDEX(tblKurallar[deger_2025],MATCH("KIK-001",tblKurallar[kural_id],0))-($C429+$D429+$E429+$F429)),kik_yuvarMax),0))</f>
        <v/>
      </c>
      <c r="I429" s="37">
        <f>IF($A429="","",IFERROR(MAX(0,$H429-$G429*kik_sifirCarpan),0))</f>
        <v/>
      </c>
    </row>
    <row r="430">
      <c r="A430" s="36" t="n"/>
      <c r="B430" s="36" t="n"/>
      <c r="C430" s="36" t="n"/>
      <c r="D430" s="36" t="n"/>
      <c r="E430" s="36" t="n"/>
      <c r="F430" s="36" t="n"/>
      <c r="G430" s="36" t="n"/>
      <c r="H430" s="37">
        <f>IF($A430="","",IFERROR(ROUND(MAX(0,$B430*INDEX(tblKurallar[deger_2025],MATCH("KIK-001",tblKurallar[kural_id],0))-($C430+$D430+$E430+$F430)),kik_yuvarMax),0))</f>
        <v/>
      </c>
      <c r="I430" s="37">
        <f>IF($A430="","",IFERROR(MAX(0,$H430-$G430*kik_sifirCarpan),0))</f>
        <v/>
      </c>
    </row>
    <row r="431">
      <c r="A431" s="36" t="n"/>
      <c r="B431" s="36" t="n"/>
      <c r="C431" s="36" t="n"/>
      <c r="D431" s="36" t="n"/>
      <c r="E431" s="36" t="n"/>
      <c r="F431" s="36" t="n"/>
      <c r="G431" s="36" t="n"/>
      <c r="H431" s="37">
        <f>IF($A431="","",IFERROR(ROUND(MAX(0,$B431*INDEX(tblKurallar[deger_2025],MATCH("KIK-001",tblKurallar[kural_id],0))-($C431+$D431+$E431+$F431)),kik_yuvarMax),0))</f>
        <v/>
      </c>
      <c r="I431" s="37">
        <f>IF($A431="","",IFERROR(MAX(0,$H431-$G431*kik_sifirCarpan),0))</f>
        <v/>
      </c>
    </row>
    <row r="432">
      <c r="A432" s="36" t="n"/>
      <c r="B432" s="36" t="n"/>
      <c r="C432" s="36" t="n"/>
      <c r="D432" s="36" t="n"/>
      <c r="E432" s="36" t="n"/>
      <c r="F432" s="36" t="n"/>
      <c r="G432" s="36" t="n"/>
      <c r="H432" s="37">
        <f>IF($A432="","",IFERROR(ROUND(MAX(0,$B432*INDEX(tblKurallar[deger_2025],MATCH("KIK-001",tblKurallar[kural_id],0))-($C432+$D432+$E432+$F432)),kik_yuvarMax),0))</f>
        <v/>
      </c>
      <c r="I432" s="37">
        <f>IF($A432="","",IFERROR(MAX(0,$H432-$G432*kik_sifirCarpan),0))</f>
        <v/>
      </c>
    </row>
    <row r="433">
      <c r="A433" s="36" t="n"/>
      <c r="B433" s="36" t="n"/>
      <c r="C433" s="36" t="n"/>
      <c r="D433" s="36" t="n"/>
      <c r="E433" s="36" t="n"/>
      <c r="F433" s="36" t="n"/>
      <c r="G433" s="36" t="n"/>
      <c r="H433" s="37">
        <f>IF($A433="","",IFERROR(ROUND(MAX(0,$B433*INDEX(tblKurallar[deger_2025],MATCH("KIK-001",tblKurallar[kural_id],0))-($C433+$D433+$E433+$F433)),kik_yuvarMax),0))</f>
        <v/>
      </c>
      <c r="I433" s="37">
        <f>IF($A433="","",IFERROR(MAX(0,$H433-$G433*kik_sifirCarpan),0))</f>
        <v/>
      </c>
    </row>
    <row r="434">
      <c r="A434" s="36" t="n"/>
      <c r="B434" s="36" t="n"/>
      <c r="C434" s="36" t="n"/>
      <c r="D434" s="36" t="n"/>
      <c r="E434" s="36" t="n"/>
      <c r="F434" s="36" t="n"/>
      <c r="G434" s="36" t="n"/>
      <c r="H434" s="37">
        <f>IF($A434="","",IFERROR(ROUND(MAX(0,$B434*INDEX(tblKurallar[deger_2025],MATCH("KIK-001",tblKurallar[kural_id],0))-($C434+$D434+$E434+$F434)),kik_yuvarMax),0))</f>
        <v/>
      </c>
      <c r="I434" s="37">
        <f>IF($A434="","",IFERROR(MAX(0,$H434-$G434*kik_sifirCarpan),0))</f>
        <v/>
      </c>
    </row>
    <row r="435">
      <c r="A435" s="36" t="n"/>
      <c r="B435" s="36" t="n"/>
      <c r="C435" s="36" t="n"/>
      <c r="D435" s="36" t="n"/>
      <c r="E435" s="36" t="n"/>
      <c r="F435" s="36" t="n"/>
      <c r="G435" s="36" t="n"/>
      <c r="H435" s="37">
        <f>IF($A435="","",IFERROR(ROUND(MAX(0,$B435*INDEX(tblKurallar[deger_2025],MATCH("KIK-001",tblKurallar[kural_id],0))-($C435+$D435+$E435+$F435)),kik_yuvarMax),0))</f>
        <v/>
      </c>
      <c r="I435" s="37">
        <f>IF($A435="","",IFERROR(MAX(0,$H435-$G435*kik_sifirCarpan),0))</f>
        <v/>
      </c>
    </row>
    <row r="436">
      <c r="A436" s="36" t="n"/>
      <c r="B436" s="36" t="n"/>
      <c r="C436" s="36" t="n"/>
      <c r="D436" s="36" t="n"/>
      <c r="E436" s="36" t="n"/>
      <c r="F436" s="36" t="n"/>
      <c r="G436" s="36" t="n"/>
      <c r="H436" s="37">
        <f>IF($A436="","",IFERROR(ROUND(MAX(0,$B436*INDEX(tblKurallar[deger_2025],MATCH("KIK-001",tblKurallar[kural_id],0))-($C436+$D436+$E436+$F436)),kik_yuvarMax),0))</f>
        <v/>
      </c>
      <c r="I436" s="37">
        <f>IF($A436="","",IFERROR(MAX(0,$H436-$G436*kik_sifirCarpan),0))</f>
        <v/>
      </c>
    </row>
    <row r="437">
      <c r="A437" s="36" t="n"/>
      <c r="B437" s="36" t="n"/>
      <c r="C437" s="36" t="n"/>
      <c r="D437" s="36" t="n"/>
      <c r="E437" s="36" t="n"/>
      <c r="F437" s="36" t="n"/>
      <c r="G437" s="36" t="n"/>
      <c r="H437" s="37">
        <f>IF($A437="","",IFERROR(ROUND(MAX(0,$B437*INDEX(tblKurallar[deger_2025],MATCH("KIK-001",tblKurallar[kural_id],0))-($C437+$D437+$E437+$F437)),kik_yuvarMax),0))</f>
        <v/>
      </c>
      <c r="I437" s="37">
        <f>IF($A437="","",IFERROR(MAX(0,$H437-$G437*kik_sifirCarpan),0))</f>
        <v/>
      </c>
    </row>
    <row r="438">
      <c r="A438" s="36" t="n"/>
      <c r="B438" s="36" t="n"/>
      <c r="C438" s="36" t="n"/>
      <c r="D438" s="36" t="n"/>
      <c r="E438" s="36" t="n"/>
      <c r="F438" s="36" t="n"/>
      <c r="G438" s="36" t="n"/>
      <c r="H438" s="37">
        <f>IF($A438="","",IFERROR(ROUND(MAX(0,$B438*INDEX(tblKurallar[deger_2025],MATCH("KIK-001",tblKurallar[kural_id],0))-($C438+$D438+$E438+$F438)),kik_yuvarMax),0))</f>
        <v/>
      </c>
      <c r="I438" s="37">
        <f>IF($A438="","",IFERROR(MAX(0,$H438-$G438*kik_sifirCarpan),0))</f>
        <v/>
      </c>
    </row>
    <row r="439">
      <c r="A439" s="36" t="n"/>
      <c r="B439" s="36" t="n"/>
      <c r="C439" s="36" t="n"/>
      <c r="D439" s="36" t="n"/>
      <c r="E439" s="36" t="n"/>
      <c r="F439" s="36" t="n"/>
      <c r="G439" s="36" t="n"/>
      <c r="H439" s="37">
        <f>IF($A439="","",IFERROR(ROUND(MAX(0,$B439*INDEX(tblKurallar[deger_2025],MATCH("KIK-001",tblKurallar[kural_id],0))-($C439+$D439+$E439+$F439)),kik_yuvarMax),0))</f>
        <v/>
      </c>
      <c r="I439" s="37">
        <f>IF($A439="","",IFERROR(MAX(0,$H439-$G439*kik_sifirCarpan),0))</f>
        <v/>
      </c>
    </row>
    <row r="440">
      <c r="A440" s="36" t="n"/>
      <c r="B440" s="36" t="n"/>
      <c r="C440" s="36" t="n"/>
      <c r="D440" s="36" t="n"/>
      <c r="E440" s="36" t="n"/>
      <c r="F440" s="36" t="n"/>
      <c r="G440" s="36" t="n"/>
      <c r="H440" s="37">
        <f>IF($A440="","",IFERROR(ROUND(MAX(0,$B440*INDEX(tblKurallar[deger_2025],MATCH("KIK-001",tblKurallar[kural_id],0))-($C440+$D440+$E440+$F440)),kik_yuvarMax),0))</f>
        <v/>
      </c>
      <c r="I440" s="37">
        <f>IF($A440="","",IFERROR(MAX(0,$H440-$G440*kik_sifirCarpan),0))</f>
        <v/>
      </c>
    </row>
    <row r="441">
      <c r="A441" s="36" t="n"/>
      <c r="B441" s="36" t="n"/>
      <c r="C441" s="36" t="n"/>
      <c r="D441" s="36" t="n"/>
      <c r="E441" s="36" t="n"/>
      <c r="F441" s="36" t="n"/>
      <c r="G441" s="36" t="n"/>
      <c r="H441" s="37">
        <f>IF($A441="","",IFERROR(ROUND(MAX(0,$B441*INDEX(tblKurallar[deger_2025],MATCH("KIK-001",tblKurallar[kural_id],0))-($C441+$D441+$E441+$F441)),kik_yuvarMax),0))</f>
        <v/>
      </c>
      <c r="I441" s="37">
        <f>IF($A441="","",IFERROR(MAX(0,$H441-$G441*kik_sifirCarpan),0))</f>
        <v/>
      </c>
    </row>
    <row r="442">
      <c r="A442" s="36" t="n"/>
      <c r="B442" s="36" t="n"/>
      <c r="C442" s="36" t="n"/>
      <c r="D442" s="36" t="n"/>
      <c r="E442" s="36" t="n"/>
      <c r="F442" s="36" t="n"/>
      <c r="G442" s="36" t="n"/>
      <c r="H442" s="37">
        <f>IF($A442="","",IFERROR(ROUND(MAX(0,$B442*INDEX(tblKurallar[deger_2025],MATCH("KIK-001",tblKurallar[kural_id],0))-($C442+$D442+$E442+$F442)),kik_yuvarMax),0))</f>
        <v/>
      </c>
      <c r="I442" s="37">
        <f>IF($A442="","",IFERROR(MAX(0,$H442-$G442*kik_sifirCarpan),0))</f>
        <v/>
      </c>
    </row>
    <row r="443">
      <c r="A443" s="36" t="n"/>
      <c r="B443" s="36" t="n"/>
      <c r="C443" s="36" t="n"/>
      <c r="D443" s="36" t="n"/>
      <c r="E443" s="36" t="n"/>
      <c r="F443" s="36" t="n"/>
      <c r="G443" s="36" t="n"/>
      <c r="H443" s="37">
        <f>IF($A443="","",IFERROR(ROUND(MAX(0,$B443*INDEX(tblKurallar[deger_2025],MATCH("KIK-001",tblKurallar[kural_id],0))-($C443+$D443+$E443+$F443)),kik_yuvarMax),0))</f>
        <v/>
      </c>
      <c r="I443" s="37">
        <f>IF($A443="","",IFERROR(MAX(0,$H443-$G443*kik_sifirCarpan),0))</f>
        <v/>
      </c>
    </row>
    <row r="444">
      <c r="A444" s="36" t="n"/>
      <c r="B444" s="36" t="n"/>
      <c r="C444" s="36" t="n"/>
      <c r="D444" s="36" t="n"/>
      <c r="E444" s="36" t="n"/>
      <c r="F444" s="36" t="n"/>
      <c r="G444" s="36" t="n"/>
      <c r="H444" s="37">
        <f>IF($A444="","",IFERROR(ROUND(MAX(0,$B444*INDEX(tblKurallar[deger_2025],MATCH("KIK-001",tblKurallar[kural_id],0))-($C444+$D444+$E444+$F444)),kik_yuvarMax),0))</f>
        <v/>
      </c>
      <c r="I444" s="37">
        <f>IF($A444="","",IFERROR(MAX(0,$H444-$G444*kik_sifirCarpan),0))</f>
        <v/>
      </c>
    </row>
    <row r="445">
      <c r="A445" s="36" t="n"/>
      <c r="B445" s="36" t="n"/>
      <c r="C445" s="36" t="n"/>
      <c r="D445" s="36" t="n"/>
      <c r="E445" s="36" t="n"/>
      <c r="F445" s="36" t="n"/>
      <c r="G445" s="36" t="n"/>
      <c r="H445" s="37">
        <f>IF($A445="","",IFERROR(ROUND(MAX(0,$B445*INDEX(tblKurallar[deger_2025],MATCH("KIK-001",tblKurallar[kural_id],0))-($C445+$D445+$E445+$F445)),kik_yuvarMax),0))</f>
        <v/>
      </c>
      <c r="I445" s="37">
        <f>IF($A445="","",IFERROR(MAX(0,$H445-$G445*kik_sifirCarpan),0))</f>
        <v/>
      </c>
    </row>
    <row r="446">
      <c r="A446" s="36" t="n"/>
      <c r="B446" s="36" t="n"/>
      <c r="C446" s="36" t="n"/>
      <c r="D446" s="36" t="n"/>
      <c r="E446" s="36" t="n"/>
      <c r="F446" s="36" t="n"/>
      <c r="G446" s="36" t="n"/>
      <c r="H446" s="37">
        <f>IF($A446="","",IFERROR(ROUND(MAX(0,$B446*INDEX(tblKurallar[deger_2025],MATCH("KIK-001",tblKurallar[kural_id],0))-($C446+$D446+$E446+$F446)),kik_yuvarMax),0))</f>
        <v/>
      </c>
      <c r="I446" s="37">
        <f>IF($A446="","",IFERROR(MAX(0,$H446-$G446*kik_sifirCarpan),0))</f>
        <v/>
      </c>
    </row>
    <row r="447">
      <c r="A447" s="36" t="n"/>
      <c r="B447" s="36" t="n"/>
      <c r="C447" s="36" t="n"/>
      <c r="D447" s="36" t="n"/>
      <c r="E447" s="36" t="n"/>
      <c r="F447" s="36" t="n"/>
      <c r="G447" s="36" t="n"/>
      <c r="H447" s="37">
        <f>IF($A447="","",IFERROR(ROUND(MAX(0,$B447*INDEX(tblKurallar[deger_2025],MATCH("KIK-001",tblKurallar[kural_id],0))-($C447+$D447+$E447+$F447)),kik_yuvarMax),0))</f>
        <v/>
      </c>
      <c r="I447" s="37">
        <f>IF($A447="","",IFERROR(MAX(0,$H447-$G447*kik_sifirCarpan),0))</f>
        <v/>
      </c>
    </row>
    <row r="448">
      <c r="A448" s="36" t="n"/>
      <c r="B448" s="36" t="n"/>
      <c r="C448" s="36" t="n"/>
      <c r="D448" s="36" t="n"/>
      <c r="E448" s="36" t="n"/>
      <c r="F448" s="36" t="n"/>
      <c r="G448" s="36" t="n"/>
      <c r="H448" s="37">
        <f>IF($A448="","",IFERROR(ROUND(MAX(0,$B448*INDEX(tblKurallar[deger_2025],MATCH("KIK-001",tblKurallar[kural_id],0))-($C448+$D448+$E448+$F448)),kik_yuvarMax),0))</f>
        <v/>
      </c>
      <c r="I448" s="37">
        <f>IF($A448="","",IFERROR(MAX(0,$H448-$G448*kik_sifirCarpan),0))</f>
        <v/>
      </c>
    </row>
    <row r="449">
      <c r="A449" s="36" t="n"/>
      <c r="B449" s="36" t="n"/>
      <c r="C449" s="36" t="n"/>
      <c r="D449" s="36" t="n"/>
      <c r="E449" s="36" t="n"/>
      <c r="F449" s="36" t="n"/>
      <c r="G449" s="36" t="n"/>
      <c r="H449" s="37">
        <f>IF($A449="","",IFERROR(ROUND(MAX(0,$B449*INDEX(tblKurallar[deger_2025],MATCH("KIK-001",tblKurallar[kural_id],0))-($C449+$D449+$E449+$F449)),kik_yuvarMax),0))</f>
        <v/>
      </c>
      <c r="I449" s="37">
        <f>IF($A449="","",IFERROR(MAX(0,$H449-$G449*kik_sifirCarpan),0))</f>
        <v/>
      </c>
    </row>
    <row r="450">
      <c r="A450" s="36" t="n"/>
      <c r="B450" s="36" t="n"/>
      <c r="C450" s="36" t="n"/>
      <c r="D450" s="36" t="n"/>
      <c r="E450" s="36" t="n"/>
      <c r="F450" s="36" t="n"/>
      <c r="G450" s="36" t="n"/>
      <c r="H450" s="37">
        <f>IF($A450="","",IFERROR(ROUND(MAX(0,$B450*INDEX(tblKurallar[deger_2025],MATCH("KIK-001",tblKurallar[kural_id],0))-($C450+$D450+$E450+$F450)),kik_yuvarMax),0))</f>
        <v/>
      </c>
      <c r="I450" s="37">
        <f>IF($A450="","",IFERROR(MAX(0,$H450-$G450*kik_sifirCarpan),0))</f>
        <v/>
      </c>
    </row>
    <row r="451">
      <c r="A451" s="36" t="n"/>
      <c r="B451" s="36" t="n"/>
      <c r="C451" s="36" t="n"/>
      <c r="D451" s="36" t="n"/>
      <c r="E451" s="36" t="n"/>
      <c r="F451" s="36" t="n"/>
      <c r="G451" s="36" t="n"/>
      <c r="H451" s="37">
        <f>IF($A451="","",IFERROR(ROUND(MAX(0,$B451*INDEX(tblKurallar[deger_2025],MATCH("KIK-001",tblKurallar[kural_id],0))-($C451+$D451+$E451+$F451)),kik_yuvarMax),0))</f>
        <v/>
      </c>
      <c r="I451" s="37">
        <f>IF($A451="","",IFERROR(MAX(0,$H451-$G451*kik_sifirCarpan),0))</f>
        <v/>
      </c>
    </row>
    <row r="452">
      <c r="A452" s="36" t="n"/>
      <c r="B452" s="36" t="n"/>
      <c r="C452" s="36" t="n"/>
      <c r="D452" s="36" t="n"/>
      <c r="E452" s="36" t="n"/>
      <c r="F452" s="36" t="n"/>
      <c r="G452" s="36" t="n"/>
      <c r="H452" s="37">
        <f>IF($A452="","",IFERROR(ROUND(MAX(0,$B452*INDEX(tblKurallar[deger_2025],MATCH("KIK-001",tblKurallar[kural_id],0))-($C452+$D452+$E452+$F452)),kik_yuvarMax),0))</f>
        <v/>
      </c>
      <c r="I452" s="37">
        <f>IF($A452="","",IFERROR(MAX(0,$H452-$G452*kik_sifirCarpan),0))</f>
        <v/>
      </c>
    </row>
    <row r="453">
      <c r="A453" s="36" t="n"/>
      <c r="B453" s="36" t="n"/>
      <c r="C453" s="36" t="n"/>
      <c r="D453" s="36" t="n"/>
      <c r="E453" s="36" t="n"/>
      <c r="F453" s="36" t="n"/>
      <c r="G453" s="36" t="n"/>
      <c r="H453" s="37">
        <f>IF($A453="","",IFERROR(ROUND(MAX(0,$B453*INDEX(tblKurallar[deger_2025],MATCH("KIK-001",tblKurallar[kural_id],0))-($C453+$D453+$E453+$F453)),kik_yuvarMax),0))</f>
        <v/>
      </c>
      <c r="I453" s="37">
        <f>IF($A453="","",IFERROR(MAX(0,$H453-$G453*kik_sifirCarpan),0))</f>
        <v/>
      </c>
    </row>
    <row r="454">
      <c r="A454" s="36" t="n"/>
      <c r="B454" s="36" t="n"/>
      <c r="C454" s="36" t="n"/>
      <c r="D454" s="36" t="n"/>
      <c r="E454" s="36" t="n"/>
      <c r="F454" s="36" t="n"/>
      <c r="G454" s="36" t="n"/>
      <c r="H454" s="37">
        <f>IF($A454="","",IFERROR(ROUND(MAX(0,$B454*INDEX(tblKurallar[deger_2025],MATCH("KIK-001",tblKurallar[kural_id],0))-($C454+$D454+$E454+$F454)),kik_yuvarMax),0))</f>
        <v/>
      </c>
      <c r="I454" s="37">
        <f>IF($A454="","",IFERROR(MAX(0,$H454-$G454*kik_sifirCarpan),0))</f>
        <v/>
      </c>
    </row>
    <row r="455">
      <c r="A455" s="36" t="n"/>
      <c r="B455" s="36" t="n"/>
      <c r="C455" s="36" t="n"/>
      <c r="D455" s="36" t="n"/>
      <c r="E455" s="36" t="n"/>
      <c r="F455" s="36" t="n"/>
      <c r="G455" s="36" t="n"/>
      <c r="H455" s="37">
        <f>IF($A455="","",IFERROR(ROUND(MAX(0,$B455*INDEX(tblKurallar[deger_2025],MATCH("KIK-001",tblKurallar[kural_id],0))-($C455+$D455+$E455+$F455)),kik_yuvarMax),0))</f>
        <v/>
      </c>
      <c r="I455" s="37">
        <f>IF($A455="","",IFERROR(MAX(0,$H455-$G455*kik_sifirCarpan),0))</f>
        <v/>
      </c>
    </row>
    <row r="456">
      <c r="A456" s="36" t="n"/>
      <c r="B456" s="36" t="n"/>
      <c r="C456" s="36" t="n"/>
      <c r="D456" s="36" t="n"/>
      <c r="E456" s="36" t="n"/>
      <c r="F456" s="36" t="n"/>
      <c r="G456" s="36" t="n"/>
      <c r="H456" s="37">
        <f>IF($A456="","",IFERROR(ROUND(MAX(0,$B456*INDEX(tblKurallar[deger_2025],MATCH("KIK-001",tblKurallar[kural_id],0))-($C456+$D456+$E456+$F456)),kik_yuvarMax),0))</f>
        <v/>
      </c>
      <c r="I456" s="37">
        <f>IF($A456="","",IFERROR(MAX(0,$H456-$G456*kik_sifirCarpan),0))</f>
        <v/>
      </c>
    </row>
    <row r="457">
      <c r="A457" s="36" t="n"/>
      <c r="B457" s="36" t="n"/>
      <c r="C457" s="36" t="n"/>
      <c r="D457" s="36" t="n"/>
      <c r="E457" s="36" t="n"/>
      <c r="F457" s="36" t="n"/>
      <c r="G457" s="36" t="n"/>
      <c r="H457" s="37">
        <f>IF($A457="","",IFERROR(ROUND(MAX(0,$B457*INDEX(tblKurallar[deger_2025],MATCH("KIK-001",tblKurallar[kural_id],0))-($C457+$D457+$E457+$F457)),kik_yuvarMax),0))</f>
        <v/>
      </c>
      <c r="I457" s="37">
        <f>IF($A457="","",IFERROR(MAX(0,$H457-$G457*kik_sifirCarpan),0))</f>
        <v/>
      </c>
    </row>
    <row r="458">
      <c r="A458" s="36" t="n"/>
      <c r="B458" s="36" t="n"/>
      <c r="C458" s="36" t="n"/>
      <c r="D458" s="36" t="n"/>
      <c r="E458" s="36" t="n"/>
      <c r="F458" s="36" t="n"/>
      <c r="G458" s="36" t="n"/>
      <c r="H458" s="37">
        <f>IF($A458="","",IFERROR(ROUND(MAX(0,$B458*INDEX(tblKurallar[deger_2025],MATCH("KIK-001",tblKurallar[kural_id],0))-($C458+$D458+$E458+$F458)),kik_yuvarMax),0))</f>
        <v/>
      </c>
      <c r="I458" s="37">
        <f>IF($A458="","",IFERROR(MAX(0,$H458-$G458*kik_sifirCarpan),0))</f>
        <v/>
      </c>
    </row>
    <row r="459">
      <c r="A459" s="36" t="n"/>
      <c r="B459" s="36" t="n"/>
      <c r="C459" s="36" t="n"/>
      <c r="D459" s="36" t="n"/>
      <c r="E459" s="36" t="n"/>
      <c r="F459" s="36" t="n"/>
      <c r="G459" s="36" t="n"/>
      <c r="H459" s="37">
        <f>IF($A459="","",IFERROR(ROUND(MAX(0,$B459*INDEX(tblKurallar[deger_2025],MATCH("KIK-001",tblKurallar[kural_id],0))-($C459+$D459+$E459+$F459)),kik_yuvarMax),0))</f>
        <v/>
      </c>
      <c r="I459" s="37">
        <f>IF($A459="","",IFERROR(MAX(0,$H459-$G459*kik_sifirCarpan),0))</f>
        <v/>
      </c>
    </row>
    <row r="460">
      <c r="A460" s="36" t="n"/>
      <c r="B460" s="36" t="n"/>
      <c r="C460" s="36" t="n"/>
      <c r="D460" s="36" t="n"/>
      <c r="E460" s="36" t="n"/>
      <c r="F460" s="36" t="n"/>
      <c r="G460" s="36" t="n"/>
      <c r="H460" s="37">
        <f>IF($A460="","",IFERROR(ROUND(MAX(0,$B460*INDEX(tblKurallar[deger_2025],MATCH("KIK-001",tblKurallar[kural_id],0))-($C460+$D460+$E460+$F460)),kik_yuvarMax),0))</f>
        <v/>
      </c>
      <c r="I460" s="37">
        <f>IF($A460="","",IFERROR(MAX(0,$H460-$G460*kik_sifirCarpan),0))</f>
        <v/>
      </c>
    </row>
    <row r="461">
      <c r="A461" s="36" t="n"/>
      <c r="B461" s="36" t="n"/>
      <c r="C461" s="36" t="n"/>
      <c r="D461" s="36" t="n"/>
      <c r="E461" s="36" t="n"/>
      <c r="F461" s="36" t="n"/>
      <c r="G461" s="36" t="n"/>
      <c r="H461" s="37">
        <f>IF($A461="","",IFERROR(ROUND(MAX(0,$B461*INDEX(tblKurallar[deger_2025],MATCH("KIK-001",tblKurallar[kural_id],0))-($C461+$D461+$E461+$F461)),kik_yuvarMax),0))</f>
        <v/>
      </c>
      <c r="I461" s="37">
        <f>IF($A461="","",IFERROR(MAX(0,$H461-$G461*kik_sifirCarpan),0))</f>
        <v/>
      </c>
    </row>
    <row r="462">
      <c r="A462" s="36" t="n"/>
      <c r="B462" s="36" t="n"/>
      <c r="C462" s="36" t="n"/>
      <c r="D462" s="36" t="n"/>
      <c r="E462" s="36" t="n"/>
      <c r="F462" s="36" t="n"/>
      <c r="G462" s="36" t="n"/>
      <c r="H462" s="37">
        <f>IF($A462="","",IFERROR(ROUND(MAX(0,$B462*INDEX(tblKurallar[deger_2025],MATCH("KIK-001",tblKurallar[kural_id],0))-($C462+$D462+$E462+$F462)),kik_yuvarMax),0))</f>
        <v/>
      </c>
      <c r="I462" s="37">
        <f>IF($A462="","",IFERROR(MAX(0,$H462-$G462*kik_sifirCarpan),0))</f>
        <v/>
      </c>
    </row>
    <row r="463">
      <c r="A463" s="36" t="n"/>
      <c r="B463" s="36" t="n"/>
      <c r="C463" s="36" t="n"/>
      <c r="D463" s="36" t="n"/>
      <c r="E463" s="36" t="n"/>
      <c r="F463" s="36" t="n"/>
      <c r="G463" s="36" t="n"/>
      <c r="H463" s="37">
        <f>IF($A463="","",IFERROR(ROUND(MAX(0,$B463*INDEX(tblKurallar[deger_2025],MATCH("KIK-001",tblKurallar[kural_id],0))-($C463+$D463+$E463+$F463)),kik_yuvarMax),0))</f>
        <v/>
      </c>
      <c r="I463" s="37">
        <f>IF($A463="","",IFERROR(MAX(0,$H463-$G463*kik_sifirCarpan),0))</f>
        <v/>
      </c>
    </row>
    <row r="464">
      <c r="A464" s="36" t="n"/>
      <c r="B464" s="36" t="n"/>
      <c r="C464" s="36" t="n"/>
      <c r="D464" s="36" t="n"/>
      <c r="E464" s="36" t="n"/>
      <c r="F464" s="36" t="n"/>
      <c r="G464" s="36" t="n"/>
      <c r="H464" s="37">
        <f>IF($A464="","",IFERROR(ROUND(MAX(0,$B464*INDEX(tblKurallar[deger_2025],MATCH("KIK-001",tblKurallar[kural_id],0))-($C464+$D464+$E464+$F464)),kik_yuvarMax),0))</f>
        <v/>
      </c>
      <c r="I464" s="37">
        <f>IF($A464="","",IFERROR(MAX(0,$H464-$G464*kik_sifirCarpan),0))</f>
        <v/>
      </c>
    </row>
    <row r="465">
      <c r="A465" s="36" t="n"/>
      <c r="B465" s="36" t="n"/>
      <c r="C465" s="36" t="n"/>
      <c r="D465" s="36" t="n"/>
      <c r="E465" s="36" t="n"/>
      <c r="F465" s="36" t="n"/>
      <c r="G465" s="36" t="n"/>
      <c r="H465" s="37">
        <f>IF($A465="","",IFERROR(ROUND(MAX(0,$B465*INDEX(tblKurallar[deger_2025],MATCH("KIK-001",tblKurallar[kural_id],0))-($C465+$D465+$E465+$F465)),kik_yuvarMax),0))</f>
        <v/>
      </c>
      <c r="I465" s="37">
        <f>IF($A465="","",IFERROR(MAX(0,$H465-$G465*kik_sifirCarpan),0))</f>
        <v/>
      </c>
    </row>
    <row r="466">
      <c r="A466" s="36" t="n"/>
      <c r="B466" s="36" t="n"/>
      <c r="C466" s="36" t="n"/>
      <c r="D466" s="36" t="n"/>
      <c r="E466" s="36" t="n"/>
      <c r="F466" s="36" t="n"/>
      <c r="G466" s="36" t="n"/>
      <c r="H466" s="37">
        <f>IF($A466="","",IFERROR(ROUND(MAX(0,$B466*INDEX(tblKurallar[deger_2025],MATCH("KIK-001",tblKurallar[kural_id],0))-($C466+$D466+$E466+$F466)),kik_yuvarMax),0))</f>
        <v/>
      </c>
      <c r="I466" s="37">
        <f>IF($A466="","",IFERROR(MAX(0,$H466-$G466*kik_sifirCarpan),0))</f>
        <v/>
      </c>
    </row>
    <row r="467">
      <c r="A467" s="36" t="n"/>
      <c r="B467" s="36" t="n"/>
      <c r="C467" s="36" t="n"/>
      <c r="D467" s="36" t="n"/>
      <c r="E467" s="36" t="n"/>
      <c r="F467" s="36" t="n"/>
      <c r="G467" s="36" t="n"/>
      <c r="H467" s="37">
        <f>IF($A467="","",IFERROR(ROUND(MAX(0,$B467*INDEX(tblKurallar[deger_2025],MATCH("KIK-001",tblKurallar[kural_id],0))-($C467+$D467+$E467+$F467)),kik_yuvarMax),0))</f>
        <v/>
      </c>
      <c r="I467" s="37">
        <f>IF($A467="","",IFERROR(MAX(0,$H467-$G467*kik_sifirCarpan),0))</f>
        <v/>
      </c>
    </row>
    <row r="468">
      <c r="A468" s="36" t="n"/>
      <c r="B468" s="36" t="n"/>
      <c r="C468" s="36" t="n"/>
      <c r="D468" s="36" t="n"/>
      <c r="E468" s="36" t="n"/>
      <c r="F468" s="36" t="n"/>
      <c r="G468" s="36" t="n"/>
      <c r="H468" s="37">
        <f>IF($A468="","",IFERROR(ROUND(MAX(0,$B468*INDEX(tblKurallar[deger_2025],MATCH("KIK-001",tblKurallar[kural_id],0))-($C468+$D468+$E468+$F468)),kik_yuvarMax),0))</f>
        <v/>
      </c>
      <c r="I468" s="37">
        <f>IF($A468="","",IFERROR(MAX(0,$H468-$G468*kik_sifirCarpan),0))</f>
        <v/>
      </c>
    </row>
    <row r="469">
      <c r="A469" s="36" t="n"/>
      <c r="B469" s="36" t="n"/>
      <c r="C469" s="36" t="n"/>
      <c r="D469" s="36" t="n"/>
      <c r="E469" s="36" t="n"/>
      <c r="F469" s="36" t="n"/>
      <c r="G469" s="36" t="n"/>
      <c r="H469" s="37">
        <f>IF($A469="","",IFERROR(ROUND(MAX(0,$B469*INDEX(tblKurallar[deger_2025],MATCH("KIK-001",tblKurallar[kural_id],0))-($C469+$D469+$E469+$F469)),kik_yuvarMax),0))</f>
        <v/>
      </c>
      <c r="I469" s="37">
        <f>IF($A469="","",IFERROR(MAX(0,$H469-$G469*kik_sifirCarpan),0))</f>
        <v/>
      </c>
    </row>
    <row r="470">
      <c r="A470" s="36" t="n"/>
      <c r="B470" s="36" t="n"/>
      <c r="C470" s="36" t="n"/>
      <c r="D470" s="36" t="n"/>
      <c r="E470" s="36" t="n"/>
      <c r="F470" s="36" t="n"/>
      <c r="G470" s="36" t="n"/>
      <c r="H470" s="37">
        <f>IF($A470="","",IFERROR(ROUND(MAX(0,$B470*INDEX(tblKurallar[deger_2025],MATCH("KIK-001",tblKurallar[kural_id],0))-($C470+$D470+$E470+$F470)),kik_yuvarMax),0))</f>
        <v/>
      </c>
      <c r="I470" s="37">
        <f>IF($A470="","",IFERROR(MAX(0,$H470-$G470*kik_sifirCarpan),0))</f>
        <v/>
      </c>
    </row>
    <row r="471">
      <c r="A471" s="36" t="n"/>
      <c r="B471" s="36" t="n"/>
      <c r="C471" s="36" t="n"/>
      <c r="D471" s="36" t="n"/>
      <c r="E471" s="36" t="n"/>
      <c r="F471" s="36" t="n"/>
      <c r="G471" s="36" t="n"/>
      <c r="H471" s="37">
        <f>IF($A471="","",IFERROR(ROUND(MAX(0,$B471*INDEX(tblKurallar[deger_2025],MATCH("KIK-001",tblKurallar[kural_id],0))-($C471+$D471+$E471+$F471)),kik_yuvarMax),0))</f>
        <v/>
      </c>
      <c r="I471" s="37">
        <f>IF($A471="","",IFERROR(MAX(0,$H471-$G471*kik_sifirCarpan),0))</f>
        <v/>
      </c>
    </row>
    <row r="472">
      <c r="A472" s="36" t="n"/>
      <c r="B472" s="36" t="n"/>
      <c r="C472" s="36" t="n"/>
      <c r="D472" s="36" t="n"/>
      <c r="E472" s="36" t="n"/>
      <c r="F472" s="36" t="n"/>
      <c r="G472" s="36" t="n"/>
      <c r="H472" s="37">
        <f>IF($A472="","",IFERROR(ROUND(MAX(0,$B472*INDEX(tblKurallar[deger_2025],MATCH("KIK-001",tblKurallar[kural_id],0))-($C472+$D472+$E472+$F472)),kik_yuvarMax),0))</f>
        <v/>
      </c>
      <c r="I472" s="37">
        <f>IF($A472="","",IFERROR(MAX(0,$H472-$G472*kik_sifirCarpan),0))</f>
        <v/>
      </c>
    </row>
    <row r="473">
      <c r="A473" s="36" t="n"/>
      <c r="B473" s="36" t="n"/>
      <c r="C473" s="36" t="n"/>
      <c r="D473" s="36" t="n"/>
      <c r="E473" s="36" t="n"/>
      <c r="F473" s="36" t="n"/>
      <c r="G473" s="36" t="n"/>
      <c r="H473" s="37">
        <f>IF($A473="","",IFERROR(ROUND(MAX(0,$B473*INDEX(tblKurallar[deger_2025],MATCH("KIK-001",tblKurallar[kural_id],0))-($C473+$D473+$E473+$F473)),kik_yuvarMax),0))</f>
        <v/>
      </c>
      <c r="I473" s="37">
        <f>IF($A473="","",IFERROR(MAX(0,$H473-$G473*kik_sifirCarpan),0))</f>
        <v/>
      </c>
    </row>
    <row r="474">
      <c r="A474" s="36" t="n"/>
      <c r="B474" s="36" t="n"/>
      <c r="C474" s="36" t="n"/>
      <c r="D474" s="36" t="n"/>
      <c r="E474" s="36" t="n"/>
      <c r="F474" s="36" t="n"/>
      <c r="G474" s="36" t="n"/>
      <c r="H474" s="37">
        <f>IF($A474="","",IFERROR(ROUND(MAX(0,$B474*INDEX(tblKurallar[deger_2025],MATCH("KIK-001",tblKurallar[kural_id],0))-($C474+$D474+$E474+$F474)),kik_yuvarMax),0))</f>
        <v/>
      </c>
      <c r="I474" s="37">
        <f>IF($A474="","",IFERROR(MAX(0,$H474-$G474*kik_sifirCarpan),0))</f>
        <v/>
      </c>
    </row>
    <row r="475">
      <c r="A475" s="36" t="n"/>
      <c r="B475" s="36" t="n"/>
      <c r="C475" s="36" t="n"/>
      <c r="D475" s="36" t="n"/>
      <c r="E475" s="36" t="n"/>
      <c r="F475" s="36" t="n"/>
      <c r="G475" s="36" t="n"/>
      <c r="H475" s="37">
        <f>IF($A475="","",IFERROR(ROUND(MAX(0,$B475*INDEX(tblKurallar[deger_2025],MATCH("KIK-001",tblKurallar[kural_id],0))-($C475+$D475+$E475+$F475)),kik_yuvarMax),0))</f>
        <v/>
      </c>
      <c r="I475" s="37">
        <f>IF($A475="","",IFERROR(MAX(0,$H475-$G475*kik_sifirCarpan),0))</f>
        <v/>
      </c>
    </row>
    <row r="476">
      <c r="A476" s="36" t="n"/>
      <c r="B476" s="36" t="n"/>
      <c r="C476" s="36" t="n"/>
      <c r="D476" s="36" t="n"/>
      <c r="E476" s="36" t="n"/>
      <c r="F476" s="36" t="n"/>
      <c r="G476" s="36" t="n"/>
      <c r="H476" s="37">
        <f>IF($A476="","",IFERROR(ROUND(MAX(0,$B476*INDEX(tblKurallar[deger_2025],MATCH("KIK-001",tblKurallar[kural_id],0))-($C476+$D476+$E476+$F476)),kik_yuvarMax),0))</f>
        <v/>
      </c>
      <c r="I476" s="37">
        <f>IF($A476="","",IFERROR(MAX(0,$H476-$G476*kik_sifirCarpan),0))</f>
        <v/>
      </c>
    </row>
    <row r="477">
      <c r="A477" s="36" t="n"/>
      <c r="B477" s="36" t="n"/>
      <c r="C477" s="36" t="n"/>
      <c r="D477" s="36" t="n"/>
      <c r="E477" s="36" t="n"/>
      <c r="F477" s="36" t="n"/>
      <c r="G477" s="36" t="n"/>
      <c r="H477" s="37">
        <f>IF($A477="","",IFERROR(ROUND(MAX(0,$B477*INDEX(tblKurallar[deger_2025],MATCH("KIK-001",tblKurallar[kural_id],0))-($C477+$D477+$E477+$F477)),kik_yuvarMax),0))</f>
        <v/>
      </c>
      <c r="I477" s="37">
        <f>IF($A477="","",IFERROR(MAX(0,$H477-$G477*kik_sifirCarpan),0))</f>
        <v/>
      </c>
    </row>
    <row r="478">
      <c r="A478" s="36" t="n"/>
      <c r="B478" s="36" t="n"/>
      <c r="C478" s="36" t="n"/>
      <c r="D478" s="36" t="n"/>
      <c r="E478" s="36" t="n"/>
      <c r="F478" s="36" t="n"/>
      <c r="G478" s="36" t="n"/>
      <c r="H478" s="37">
        <f>IF($A478="","",IFERROR(ROUND(MAX(0,$B478*INDEX(tblKurallar[deger_2025],MATCH("KIK-001",tblKurallar[kural_id],0))-($C478+$D478+$E478+$F478)),kik_yuvarMax),0))</f>
        <v/>
      </c>
      <c r="I478" s="37">
        <f>IF($A478="","",IFERROR(MAX(0,$H478-$G478*kik_sifirCarpan),0))</f>
        <v/>
      </c>
    </row>
    <row r="479">
      <c r="A479" s="36" t="n"/>
      <c r="B479" s="36" t="n"/>
      <c r="C479" s="36" t="n"/>
      <c r="D479" s="36" t="n"/>
      <c r="E479" s="36" t="n"/>
      <c r="F479" s="36" t="n"/>
      <c r="G479" s="36" t="n"/>
      <c r="H479" s="37">
        <f>IF($A479="","",IFERROR(ROUND(MAX(0,$B479*INDEX(tblKurallar[deger_2025],MATCH("KIK-001",tblKurallar[kural_id],0))-($C479+$D479+$E479+$F479)),kik_yuvarMax),0))</f>
        <v/>
      </c>
      <c r="I479" s="37">
        <f>IF($A479="","",IFERROR(MAX(0,$H479-$G479*kik_sifirCarpan),0))</f>
        <v/>
      </c>
    </row>
    <row r="480">
      <c r="A480" s="36" t="n"/>
      <c r="B480" s="36" t="n"/>
      <c r="C480" s="36" t="n"/>
      <c r="D480" s="36" t="n"/>
      <c r="E480" s="36" t="n"/>
      <c r="F480" s="36" t="n"/>
      <c r="G480" s="36" t="n"/>
      <c r="H480" s="37">
        <f>IF($A480="","",IFERROR(ROUND(MAX(0,$B480*INDEX(tblKurallar[deger_2025],MATCH("KIK-001",tblKurallar[kural_id],0))-($C480+$D480+$E480+$F480)),kik_yuvarMax),0))</f>
        <v/>
      </c>
      <c r="I480" s="37">
        <f>IF($A480="","",IFERROR(MAX(0,$H480-$G480*kik_sifirCarpan),0))</f>
        <v/>
      </c>
    </row>
    <row r="481">
      <c r="A481" s="36" t="n"/>
      <c r="B481" s="36" t="n"/>
      <c r="C481" s="36" t="n"/>
      <c r="D481" s="36" t="n"/>
      <c r="E481" s="36" t="n"/>
      <c r="F481" s="36" t="n"/>
      <c r="G481" s="36" t="n"/>
      <c r="H481" s="37">
        <f>IF($A481="","",IFERROR(ROUND(MAX(0,$B481*INDEX(tblKurallar[deger_2025],MATCH("KIK-001",tblKurallar[kural_id],0))-($C481+$D481+$E481+$F481)),kik_yuvarMax),0))</f>
        <v/>
      </c>
      <c r="I481" s="37">
        <f>IF($A481="","",IFERROR(MAX(0,$H481-$G481*kik_sifirCarpan),0))</f>
        <v/>
      </c>
    </row>
    <row r="482">
      <c r="A482" s="36" t="n"/>
      <c r="B482" s="36" t="n"/>
      <c r="C482" s="36" t="n"/>
      <c r="D482" s="36" t="n"/>
      <c r="E482" s="36" t="n"/>
      <c r="F482" s="36" t="n"/>
      <c r="G482" s="36" t="n"/>
      <c r="H482" s="37">
        <f>IF($A482="","",IFERROR(ROUND(MAX(0,$B482*INDEX(tblKurallar[deger_2025],MATCH("KIK-001",tblKurallar[kural_id],0))-($C482+$D482+$E482+$F482)),kik_yuvarMax),0))</f>
        <v/>
      </c>
      <c r="I482" s="37">
        <f>IF($A482="","",IFERROR(MAX(0,$H482-$G482*kik_sifirCarpan),0))</f>
        <v/>
      </c>
    </row>
    <row r="483">
      <c r="A483" s="36" t="n"/>
      <c r="B483" s="36" t="n"/>
      <c r="C483" s="36" t="n"/>
      <c r="D483" s="36" t="n"/>
      <c r="E483" s="36" t="n"/>
      <c r="F483" s="36" t="n"/>
      <c r="G483" s="36" t="n"/>
      <c r="H483" s="37">
        <f>IF($A483="","",IFERROR(ROUND(MAX(0,$B483*INDEX(tblKurallar[deger_2025],MATCH("KIK-001",tblKurallar[kural_id],0))-($C483+$D483+$E483+$F483)),kik_yuvarMax),0))</f>
        <v/>
      </c>
      <c r="I483" s="37">
        <f>IF($A483="","",IFERROR(MAX(0,$H483-$G483*kik_sifirCarpan),0))</f>
        <v/>
      </c>
    </row>
    <row r="484">
      <c r="A484" s="36" t="n"/>
      <c r="B484" s="36" t="n"/>
      <c r="C484" s="36" t="n"/>
      <c r="D484" s="36" t="n"/>
      <c r="E484" s="36" t="n"/>
      <c r="F484" s="36" t="n"/>
      <c r="G484" s="36" t="n"/>
      <c r="H484" s="37">
        <f>IF($A484="","",IFERROR(ROUND(MAX(0,$B484*INDEX(tblKurallar[deger_2025],MATCH("KIK-001",tblKurallar[kural_id],0))-($C484+$D484+$E484+$F484)),kik_yuvarMax),0))</f>
        <v/>
      </c>
      <c r="I484" s="37">
        <f>IF($A484="","",IFERROR(MAX(0,$H484-$G484*kik_sifirCarpan),0))</f>
        <v/>
      </c>
    </row>
    <row r="485">
      <c r="A485" s="36" t="n"/>
      <c r="B485" s="36" t="n"/>
      <c r="C485" s="36" t="n"/>
      <c r="D485" s="36" t="n"/>
      <c r="E485" s="36" t="n"/>
      <c r="F485" s="36" t="n"/>
      <c r="G485" s="36" t="n"/>
      <c r="H485" s="37">
        <f>IF($A485="","",IFERROR(ROUND(MAX(0,$B485*INDEX(tblKurallar[deger_2025],MATCH("KIK-001",tblKurallar[kural_id],0))-($C485+$D485+$E485+$F485)),kik_yuvarMax),0))</f>
        <v/>
      </c>
      <c r="I485" s="37">
        <f>IF($A485="","",IFERROR(MAX(0,$H485-$G485*kik_sifirCarpan),0))</f>
        <v/>
      </c>
    </row>
    <row r="486">
      <c r="A486" s="36" t="n"/>
      <c r="B486" s="36" t="n"/>
      <c r="C486" s="36" t="n"/>
      <c r="D486" s="36" t="n"/>
      <c r="E486" s="36" t="n"/>
      <c r="F486" s="36" t="n"/>
      <c r="G486" s="36" t="n"/>
      <c r="H486" s="37">
        <f>IF($A486="","",IFERROR(ROUND(MAX(0,$B486*INDEX(tblKurallar[deger_2025],MATCH("KIK-001",tblKurallar[kural_id],0))-($C486+$D486+$E486+$F486)),kik_yuvarMax),0))</f>
        <v/>
      </c>
      <c r="I486" s="37">
        <f>IF($A486="","",IFERROR(MAX(0,$H486-$G486*kik_sifirCarpan),0))</f>
        <v/>
      </c>
    </row>
    <row r="487">
      <c r="A487" s="36" t="n"/>
      <c r="B487" s="36" t="n"/>
      <c r="C487" s="36" t="n"/>
      <c r="D487" s="36" t="n"/>
      <c r="E487" s="36" t="n"/>
      <c r="F487" s="36" t="n"/>
      <c r="G487" s="36" t="n"/>
      <c r="H487" s="37">
        <f>IF($A487="","",IFERROR(ROUND(MAX(0,$B487*INDEX(tblKurallar[deger_2025],MATCH("KIK-001",tblKurallar[kural_id],0))-($C487+$D487+$E487+$F487)),kik_yuvarMax),0))</f>
        <v/>
      </c>
      <c r="I487" s="37">
        <f>IF($A487="","",IFERROR(MAX(0,$H487-$G487*kik_sifirCarpan),0))</f>
        <v/>
      </c>
    </row>
    <row r="488">
      <c r="A488" s="36" t="n"/>
      <c r="B488" s="36" t="n"/>
      <c r="C488" s="36" t="n"/>
      <c r="D488" s="36" t="n"/>
      <c r="E488" s="36" t="n"/>
      <c r="F488" s="36" t="n"/>
      <c r="G488" s="36" t="n"/>
      <c r="H488" s="37">
        <f>IF($A488="","",IFERROR(ROUND(MAX(0,$B488*INDEX(tblKurallar[deger_2025],MATCH("KIK-001",tblKurallar[kural_id],0))-($C488+$D488+$E488+$F488)),kik_yuvarMax),0))</f>
        <v/>
      </c>
      <c r="I488" s="37">
        <f>IF($A488="","",IFERROR(MAX(0,$H488-$G488*kik_sifirCarpan),0))</f>
        <v/>
      </c>
    </row>
    <row r="489">
      <c r="A489" s="36" t="n"/>
      <c r="B489" s="36" t="n"/>
      <c r="C489" s="36" t="n"/>
      <c r="D489" s="36" t="n"/>
      <c r="E489" s="36" t="n"/>
      <c r="F489" s="36" t="n"/>
      <c r="G489" s="36" t="n"/>
      <c r="H489" s="37">
        <f>IF($A489="","",IFERROR(ROUND(MAX(0,$B489*INDEX(tblKurallar[deger_2025],MATCH("KIK-001",tblKurallar[kural_id],0))-($C489+$D489+$E489+$F489)),kik_yuvarMax),0))</f>
        <v/>
      </c>
      <c r="I489" s="37">
        <f>IF($A489="","",IFERROR(MAX(0,$H489-$G489*kik_sifirCarpan),0))</f>
        <v/>
      </c>
    </row>
    <row r="490">
      <c r="A490" s="36" t="n"/>
      <c r="B490" s="36" t="n"/>
      <c r="C490" s="36" t="n"/>
      <c r="D490" s="36" t="n"/>
      <c r="E490" s="36" t="n"/>
      <c r="F490" s="36" t="n"/>
      <c r="G490" s="36" t="n"/>
      <c r="H490" s="37">
        <f>IF($A490="","",IFERROR(ROUND(MAX(0,$B490*INDEX(tblKurallar[deger_2025],MATCH("KIK-001",tblKurallar[kural_id],0))-($C490+$D490+$E490+$F490)),kik_yuvarMax),0))</f>
        <v/>
      </c>
      <c r="I490" s="37">
        <f>IF($A490="","",IFERROR(MAX(0,$H490-$G490*kik_sifirCarpan),0))</f>
        <v/>
      </c>
    </row>
    <row r="491">
      <c r="A491" s="36" t="n"/>
      <c r="B491" s="36" t="n"/>
      <c r="C491" s="36" t="n"/>
      <c r="D491" s="36" t="n"/>
      <c r="E491" s="36" t="n"/>
      <c r="F491" s="36" t="n"/>
      <c r="G491" s="36" t="n"/>
      <c r="H491" s="37">
        <f>IF($A491="","",IFERROR(ROUND(MAX(0,$B491*INDEX(tblKurallar[deger_2025],MATCH("KIK-001",tblKurallar[kural_id],0))-($C491+$D491+$E491+$F491)),kik_yuvarMax),0))</f>
        <v/>
      </c>
      <c r="I491" s="37">
        <f>IF($A491="","",IFERROR(MAX(0,$H491-$G491*kik_sifirCarpan),0))</f>
        <v/>
      </c>
    </row>
    <row r="492">
      <c r="A492" s="36" t="n"/>
      <c r="B492" s="36" t="n"/>
      <c r="C492" s="36" t="n"/>
      <c r="D492" s="36" t="n"/>
      <c r="E492" s="36" t="n"/>
      <c r="F492" s="36" t="n"/>
      <c r="G492" s="36" t="n"/>
      <c r="H492" s="37">
        <f>IF($A492="","",IFERROR(ROUND(MAX(0,$B492*INDEX(tblKurallar[deger_2025],MATCH("KIK-001",tblKurallar[kural_id],0))-($C492+$D492+$E492+$F492)),kik_yuvarMax),0))</f>
        <v/>
      </c>
      <c r="I492" s="37">
        <f>IF($A492="","",IFERROR(MAX(0,$H492-$G492*kik_sifirCarpan),0))</f>
        <v/>
      </c>
    </row>
    <row r="493">
      <c r="A493" s="36" t="n"/>
      <c r="B493" s="36" t="n"/>
      <c r="C493" s="36" t="n"/>
      <c r="D493" s="36" t="n"/>
      <c r="E493" s="36" t="n"/>
      <c r="F493" s="36" t="n"/>
      <c r="G493" s="36" t="n"/>
      <c r="H493" s="37">
        <f>IF($A493="","",IFERROR(ROUND(MAX(0,$B493*INDEX(tblKurallar[deger_2025],MATCH("KIK-001",tblKurallar[kural_id],0))-($C493+$D493+$E493+$F493)),kik_yuvarMax),0))</f>
        <v/>
      </c>
      <c r="I493" s="37">
        <f>IF($A493="","",IFERROR(MAX(0,$H493-$G493*kik_sifirCarpan),0))</f>
        <v/>
      </c>
    </row>
    <row r="494">
      <c r="A494" s="36" t="n"/>
      <c r="B494" s="36" t="n"/>
      <c r="C494" s="36" t="n"/>
      <c r="D494" s="36" t="n"/>
      <c r="E494" s="36" t="n"/>
      <c r="F494" s="36" t="n"/>
      <c r="G494" s="36" t="n"/>
      <c r="H494" s="37">
        <f>IF($A494="","",IFERROR(ROUND(MAX(0,$B494*INDEX(tblKurallar[deger_2025],MATCH("KIK-001",tblKurallar[kural_id],0))-($C494+$D494+$E494+$F494)),kik_yuvarMax),0))</f>
        <v/>
      </c>
      <c r="I494" s="37">
        <f>IF($A494="","",IFERROR(MAX(0,$H494-$G494*kik_sifirCarpan),0))</f>
        <v/>
      </c>
    </row>
    <row r="495">
      <c r="A495" s="36" t="n"/>
      <c r="B495" s="36" t="n"/>
      <c r="C495" s="36" t="n"/>
      <c r="D495" s="36" t="n"/>
      <c r="E495" s="36" t="n"/>
      <c r="F495" s="36" t="n"/>
      <c r="G495" s="36" t="n"/>
      <c r="H495" s="37">
        <f>IF($A495="","",IFERROR(ROUND(MAX(0,$B495*INDEX(tblKurallar[deger_2025],MATCH("KIK-001",tblKurallar[kural_id],0))-($C495+$D495+$E495+$F495)),kik_yuvarMax),0))</f>
        <v/>
      </c>
      <c r="I495" s="37">
        <f>IF($A495="","",IFERROR(MAX(0,$H495-$G495*kik_sifirCarpan),0))</f>
        <v/>
      </c>
    </row>
    <row r="496">
      <c r="A496" s="36" t="n"/>
      <c r="B496" s="36" t="n"/>
      <c r="C496" s="36" t="n"/>
      <c r="D496" s="36" t="n"/>
      <c r="E496" s="36" t="n"/>
      <c r="F496" s="36" t="n"/>
      <c r="G496" s="36" t="n"/>
      <c r="H496" s="37">
        <f>IF($A496="","",IFERROR(ROUND(MAX(0,$B496*INDEX(tblKurallar[deger_2025],MATCH("KIK-001",tblKurallar[kural_id],0))-($C496+$D496+$E496+$F496)),kik_yuvarMax),0))</f>
        <v/>
      </c>
      <c r="I496" s="37">
        <f>IF($A496="","",IFERROR(MAX(0,$H496-$G496*kik_sifirCarpan),0))</f>
        <v/>
      </c>
    </row>
    <row r="497">
      <c r="A497" s="36" t="n"/>
      <c r="B497" s="36" t="n"/>
      <c r="C497" s="36" t="n"/>
      <c r="D497" s="36" t="n"/>
      <c r="E497" s="36" t="n"/>
      <c r="F497" s="36" t="n"/>
      <c r="G497" s="36" t="n"/>
      <c r="H497" s="37">
        <f>IF($A497="","",IFERROR(ROUND(MAX(0,$B497*INDEX(tblKurallar[deger_2025],MATCH("KIK-001",tblKurallar[kural_id],0))-($C497+$D497+$E497+$F497)),kik_yuvarMax),0))</f>
        <v/>
      </c>
      <c r="I497" s="37">
        <f>IF($A497="","",IFERROR(MAX(0,$H497-$G497*kik_sifirCarpan),0))</f>
        <v/>
      </c>
    </row>
    <row r="498">
      <c r="A498" s="36" t="n"/>
      <c r="B498" s="36" t="n"/>
      <c r="C498" s="36" t="n"/>
      <c r="D498" s="36" t="n"/>
      <c r="E498" s="36" t="n"/>
      <c r="F498" s="36" t="n"/>
      <c r="G498" s="36" t="n"/>
      <c r="H498" s="37">
        <f>IF($A498="","",IFERROR(ROUND(MAX(0,$B498*INDEX(tblKurallar[deger_2025],MATCH("KIK-001",tblKurallar[kural_id],0))-($C498+$D498+$E498+$F498)),kik_yuvarMax),0))</f>
        <v/>
      </c>
      <c r="I498" s="37">
        <f>IF($A498="","",IFERROR(MAX(0,$H498-$G498*kik_sifirCarpan),0))</f>
        <v/>
      </c>
    </row>
    <row r="499">
      <c r="A499" s="36" t="n"/>
      <c r="B499" s="36" t="n"/>
      <c r="C499" s="36" t="n"/>
      <c r="D499" s="36" t="n"/>
      <c r="E499" s="36" t="n"/>
      <c r="F499" s="36" t="n"/>
      <c r="G499" s="36" t="n"/>
      <c r="H499" s="37">
        <f>IF($A499="","",IFERROR(ROUND(MAX(0,$B499*INDEX(tblKurallar[deger_2025],MATCH("KIK-001",tblKurallar[kural_id],0))-($C499+$D499+$E499+$F499)),kik_yuvarMax),0))</f>
        <v/>
      </c>
      <c r="I499" s="37">
        <f>IF($A499="","",IFERROR(MAX(0,$H499-$G499*kik_sifirCarpan),0))</f>
        <v/>
      </c>
    </row>
    <row r="500">
      <c r="A500" s="36" t="n"/>
      <c r="B500" s="36" t="n"/>
      <c r="C500" s="36" t="n"/>
      <c r="D500" s="36" t="n"/>
      <c r="E500" s="36" t="n"/>
      <c r="F500" s="36" t="n"/>
      <c r="G500" s="36" t="n"/>
      <c r="H500" s="37">
        <f>IF($A500="","",IFERROR(ROUND(MAX(0,$B500*INDEX(tblKurallar[deger_2025],MATCH("KIK-001",tblKurallar[kural_id],0))-($C500+$D500+$E500+$F500)),kik_yuvarMax),0))</f>
        <v/>
      </c>
      <c r="I500" s="37">
        <f>IF($A500="","",IFERROR(MAX(0,$H500-$G500*kik_sifirCarpan),0))</f>
        <v/>
      </c>
    </row>
    <row r="501">
      <c r="A501" s="36" t="n"/>
      <c r="B501" s="36" t="n"/>
      <c r="C501" s="36" t="n"/>
      <c r="D501" s="36" t="n"/>
      <c r="E501" s="36" t="n"/>
      <c r="F501" s="36" t="n"/>
      <c r="G501" s="36" t="n"/>
      <c r="H501" s="37">
        <f>IF($A501="","",IFERROR(ROUND(MAX(0,$B501*INDEX(tblKurallar[deger_2025],MATCH("KIK-001",tblKurallar[kural_id],0))-($C501+$D501+$E501+$F501)),kik_yuvarMax),0))</f>
        <v/>
      </c>
      <c r="I501" s="37">
        <f>IF($A501="","",IFERROR(MAX(0,$H501-$G501*kik_sifirCarpan),0))</f>
        <v/>
      </c>
    </row>
    <row r="502">
      <c r="A502" s="36" t="n"/>
      <c r="B502" s="36" t="n"/>
      <c r="C502" s="36" t="n"/>
      <c r="D502" s="36" t="n"/>
      <c r="E502" s="36" t="n"/>
      <c r="F502" s="36" t="n"/>
      <c r="G502" s="36" t="n"/>
      <c r="H502" s="37">
        <f>IF($A502="","",IFERROR(ROUND(MAX(0,$B502*INDEX(tblKurallar[deger_2025],MATCH("KIK-001",tblKurallar[kural_id],0))-($C502+$D502+$E502+$F502)),kik_yuvarMax),0))</f>
        <v/>
      </c>
      <c r="I502" s="37">
        <f>IF($A502="","",IFERROR(MAX(0,$H502-$G502*kik_sifirCarpan),0))</f>
        <v/>
      </c>
    </row>
    <row r="503">
      <c r="A503" s="36" t="n"/>
      <c r="B503" s="36" t="n"/>
      <c r="C503" s="36" t="n"/>
      <c r="D503" s="36" t="n"/>
      <c r="E503" s="36" t="n"/>
      <c r="F503" s="36" t="n"/>
      <c r="G503" s="36" t="n"/>
      <c r="H503" s="37">
        <f>IF($A503="","",IFERROR(ROUND(MAX(0,$B503*INDEX(tblKurallar[deger_2025],MATCH("KIK-001",tblKurallar[kural_id],0))-($C503+$D503+$E503+$F503)),kik_yuvarMax),0))</f>
        <v/>
      </c>
      <c r="I503" s="37">
        <f>IF($A503="","",IFERROR(MAX(0,$H503-$G503*kik_sifirCarpan),0))</f>
        <v/>
      </c>
    </row>
    <row r="504">
      <c r="A504" s="36" t="n"/>
      <c r="B504" s="36" t="n"/>
      <c r="C504" s="36" t="n"/>
      <c r="D504" s="36" t="n"/>
      <c r="E504" s="36" t="n"/>
      <c r="F504" s="36" t="n"/>
      <c r="G504" s="36" t="n"/>
      <c r="H504" s="37">
        <f>IF($A504="","",IFERROR(ROUND(MAX(0,$B504*INDEX(tblKurallar[deger_2025],MATCH("KIK-001",tblKurallar[kural_id],0))-($C504+$D504+$E504+$F504)),kik_yuvarMax),0))</f>
        <v/>
      </c>
      <c r="I504" s="37">
        <f>IF($A504="","",IFERROR(MAX(0,$H504-$G504*kik_sifirCarpan),0))</f>
        <v/>
      </c>
    </row>
    <row r="505">
      <c r="A505" s="36" t="n"/>
      <c r="B505" s="36" t="n"/>
      <c r="C505" s="36" t="n"/>
      <c r="D505" s="36" t="n"/>
      <c r="E505" s="36" t="n"/>
      <c r="F505" s="36" t="n"/>
      <c r="G505" s="36" t="n"/>
      <c r="H505" s="37">
        <f>IF($A505="","",IFERROR(ROUND(MAX(0,$B505*INDEX(tblKurallar[deger_2025],MATCH("KIK-001",tblKurallar[kural_id],0))-($C505+$D505+$E505+$F505)),kik_yuvarMax),0))</f>
        <v/>
      </c>
      <c r="I505" s="37">
        <f>IF($A505="","",IFERROR(MAX(0,$H505-$G505*kik_sifirCarpan),0))</f>
        <v/>
      </c>
    </row>
    <row r="506">
      <c r="A506" s="36" t="n"/>
      <c r="B506" s="36" t="n"/>
      <c r="C506" s="36" t="n"/>
      <c r="D506" s="36" t="n"/>
      <c r="E506" s="36" t="n"/>
      <c r="F506" s="36" t="n"/>
      <c r="G506" s="36" t="n"/>
      <c r="H506" s="37">
        <f>IF($A506="","",IFERROR(ROUND(MAX(0,$B506*INDEX(tblKurallar[deger_2025],MATCH("KIK-001",tblKurallar[kural_id],0))-($C506+$D506+$E506+$F506)),kik_yuvarMax),0))</f>
        <v/>
      </c>
      <c r="I506" s="37">
        <f>IF($A506="","",IFERROR(MAX(0,$H506-$G506*kik_sifirCarpan),0))</f>
        <v/>
      </c>
    </row>
    <row r="507">
      <c r="A507" s="36" t="n"/>
      <c r="B507" s="36" t="n"/>
      <c r="C507" s="36" t="n"/>
      <c r="D507" s="36" t="n"/>
      <c r="E507" s="36" t="n"/>
      <c r="F507" s="36" t="n"/>
      <c r="G507" s="36" t="n"/>
      <c r="H507" s="37">
        <f>IF($A507="","",IFERROR(ROUND(MAX(0,$B507*INDEX(tblKurallar[deger_2025],MATCH("KIK-001",tblKurallar[kural_id],0))-($C507+$D507+$E507+$F507)),kik_yuvarMax),0))</f>
        <v/>
      </c>
      <c r="I507" s="37">
        <f>IF($A507="","",IFERROR(MAX(0,$H507-$G507*kik_sifirCarpan),0))</f>
        <v/>
      </c>
    </row>
    <row r="508">
      <c r="A508" s="36" t="n"/>
      <c r="B508" s="36" t="n"/>
      <c r="C508" s="36" t="n"/>
      <c r="D508" s="36" t="n"/>
      <c r="E508" s="36" t="n"/>
      <c r="F508" s="36" t="n"/>
      <c r="G508" s="36" t="n"/>
      <c r="H508" s="37">
        <f>IF($A508="","",IFERROR(ROUND(MAX(0,$B508*INDEX(tblKurallar[deger_2025],MATCH("KIK-001",tblKurallar[kural_id],0))-($C508+$D508+$E508+$F508)),kik_yuvarMax),0))</f>
        <v/>
      </c>
      <c r="I508" s="37">
        <f>IF($A508="","",IFERROR(MAX(0,$H508-$G508*kik_sifirCarpan),0))</f>
        <v/>
      </c>
    </row>
    <row r="509">
      <c r="A509" s="36" t="n"/>
      <c r="B509" s="36" t="n"/>
      <c r="C509" s="36" t="n"/>
      <c r="D509" s="36" t="n"/>
      <c r="E509" s="36" t="n"/>
      <c r="F509" s="36" t="n"/>
      <c r="G509" s="36" t="n"/>
      <c r="H509" s="37">
        <f>IF($A509="","",IFERROR(ROUND(MAX(0,$B509*INDEX(tblKurallar[deger_2025],MATCH("KIK-001",tblKurallar[kural_id],0))-($C509+$D509+$E509+$F509)),kik_yuvarMax),0))</f>
        <v/>
      </c>
      <c r="I509" s="37">
        <f>IF($A509="","",IFERROR(MAX(0,$H509-$G509*kik_sifirCarpan),0))</f>
        <v/>
      </c>
    </row>
    <row r="510">
      <c r="A510" s="36" t="n"/>
      <c r="B510" s="36" t="n"/>
      <c r="C510" s="36" t="n"/>
      <c r="D510" s="36" t="n"/>
      <c r="E510" s="36" t="n"/>
      <c r="F510" s="36" t="n"/>
      <c r="G510" s="36" t="n"/>
      <c r="H510" s="37">
        <f>IF($A510="","",IFERROR(ROUND(MAX(0,$B510*INDEX(tblKurallar[deger_2025],MATCH("KIK-001",tblKurallar[kural_id],0))-($C510+$D510+$E510+$F510)),kik_yuvarMax),0))</f>
        <v/>
      </c>
      <c r="I510" s="37">
        <f>IF($A510="","",IFERROR(MAX(0,$H510-$G510*kik_sifirCarpan),0))</f>
        <v/>
      </c>
    </row>
    <row r="511">
      <c r="A511" s="36" t="n"/>
      <c r="B511" s="36" t="n"/>
      <c r="C511" s="36" t="n"/>
      <c r="D511" s="36" t="n"/>
      <c r="E511" s="36" t="n"/>
      <c r="F511" s="36" t="n"/>
      <c r="G511" s="36" t="n"/>
      <c r="H511" s="37">
        <f>IF($A511="","",IFERROR(ROUND(MAX(0,$B511*INDEX(tblKurallar[deger_2025],MATCH("KIK-001",tblKurallar[kural_id],0))-($C511+$D511+$E511+$F511)),kik_yuvarMax),0))</f>
        <v/>
      </c>
      <c r="I511" s="37">
        <f>IF($A511="","",IFERROR(MAX(0,$H511-$G511*kik_sifirCarpan),0))</f>
        <v/>
      </c>
    </row>
    <row r="512">
      <c r="A512" s="36" t="n"/>
      <c r="B512" s="36" t="n"/>
      <c r="C512" s="36" t="n"/>
      <c r="D512" s="36" t="n"/>
      <c r="E512" s="36" t="n"/>
      <c r="F512" s="36" t="n"/>
      <c r="G512" s="36" t="n"/>
      <c r="H512" s="37">
        <f>IF($A512="","",IFERROR(ROUND(MAX(0,$B512*INDEX(tblKurallar[deger_2025],MATCH("KIK-001",tblKurallar[kural_id],0))-($C512+$D512+$E512+$F512)),kik_yuvarMax),0))</f>
        <v/>
      </c>
      <c r="I512" s="37">
        <f>IF($A512="","",IFERROR(MAX(0,$H512-$G512*kik_sifirCarpan),0))</f>
        <v/>
      </c>
    </row>
    <row r="513">
      <c r="A513" s="36" t="n"/>
      <c r="B513" s="36" t="n"/>
      <c r="C513" s="36" t="n"/>
      <c r="D513" s="36" t="n"/>
      <c r="E513" s="36" t="n"/>
      <c r="F513" s="36" t="n"/>
      <c r="G513" s="36" t="n"/>
      <c r="H513" s="37">
        <f>IF($A513="","",IFERROR(ROUND(MAX(0,$B513*INDEX(tblKurallar[deger_2025],MATCH("KIK-001",tblKurallar[kural_id],0))-($C513+$D513+$E513+$F513)),kik_yuvarMax),0))</f>
        <v/>
      </c>
      <c r="I513" s="37">
        <f>IF($A513="","",IFERROR(MAX(0,$H513-$G513*kik_sifirCarpan),0))</f>
        <v/>
      </c>
    </row>
    <row r="514">
      <c r="A514" s="36" t="n"/>
      <c r="B514" s="36" t="n"/>
      <c r="C514" s="36" t="n"/>
      <c r="D514" s="36" t="n"/>
      <c r="E514" s="36" t="n"/>
      <c r="F514" s="36" t="n"/>
      <c r="G514" s="36" t="n"/>
      <c r="H514" s="37">
        <f>IF($A514="","",IFERROR(ROUND(MAX(0,$B514*INDEX(tblKurallar[deger_2025],MATCH("KIK-001",tblKurallar[kural_id],0))-($C514+$D514+$E514+$F514)),kik_yuvarMax),0))</f>
        <v/>
      </c>
      <c r="I514" s="37">
        <f>IF($A514="","",IFERROR(MAX(0,$H514-$G514*kik_sifirCarpan),0))</f>
        <v/>
      </c>
    </row>
    <row r="515">
      <c r="A515" s="36" t="n"/>
      <c r="B515" s="36" t="n"/>
      <c r="C515" s="36" t="n"/>
      <c r="D515" s="36" t="n"/>
      <c r="E515" s="36" t="n"/>
      <c r="F515" s="36" t="n"/>
      <c r="G515" s="36" t="n"/>
      <c r="H515" s="37">
        <f>IF($A515="","",IFERROR(ROUND(MAX(0,$B515*INDEX(tblKurallar[deger_2025],MATCH("KIK-001",tblKurallar[kural_id],0))-($C515+$D515+$E515+$F515)),kik_yuvarMax),0))</f>
        <v/>
      </c>
      <c r="I515" s="37">
        <f>IF($A515="","",IFERROR(MAX(0,$H515-$G515*kik_sifirCarpan),0))</f>
        <v/>
      </c>
    </row>
    <row r="516">
      <c r="A516" s="36" t="n"/>
      <c r="B516" s="36" t="n"/>
      <c r="C516" s="36" t="n"/>
      <c r="D516" s="36" t="n"/>
      <c r="E516" s="36" t="n"/>
      <c r="F516" s="36" t="n"/>
      <c r="G516" s="36" t="n"/>
      <c r="H516" s="37">
        <f>IF($A516="","",IFERROR(ROUND(MAX(0,$B516*INDEX(tblKurallar[deger_2025],MATCH("KIK-001",tblKurallar[kural_id],0))-($C516+$D516+$E516+$F516)),kik_yuvarMax),0))</f>
        <v/>
      </c>
      <c r="I516" s="37">
        <f>IF($A516="","",IFERROR(MAX(0,$H516-$G516*kik_sifirCarpan),0))</f>
        <v/>
      </c>
    </row>
    <row r="517">
      <c r="A517" s="36" t="n"/>
      <c r="B517" s="36" t="n"/>
      <c r="C517" s="36" t="n"/>
      <c r="D517" s="36" t="n"/>
      <c r="E517" s="36" t="n"/>
      <c r="F517" s="36" t="n"/>
      <c r="G517" s="36" t="n"/>
      <c r="H517" s="37">
        <f>IF($A517="","",IFERROR(ROUND(MAX(0,$B517*INDEX(tblKurallar[deger_2025],MATCH("KIK-001",tblKurallar[kural_id],0))-($C517+$D517+$E517+$F517)),kik_yuvarMax),0))</f>
        <v/>
      </c>
      <c r="I517" s="37">
        <f>IF($A517="","",IFERROR(MAX(0,$H517-$G517*kik_sifirCarpan),0))</f>
        <v/>
      </c>
    </row>
    <row r="518">
      <c r="A518" s="36" t="n"/>
      <c r="B518" s="36" t="n"/>
      <c r="C518" s="36" t="n"/>
      <c r="D518" s="36" t="n"/>
      <c r="E518" s="36" t="n"/>
      <c r="F518" s="36" t="n"/>
      <c r="G518" s="36" t="n"/>
      <c r="H518" s="37">
        <f>IF($A518="","",IFERROR(ROUND(MAX(0,$B518*INDEX(tblKurallar[deger_2025],MATCH("KIK-001",tblKurallar[kural_id],0))-($C518+$D518+$E518+$F518)),kik_yuvarMax),0))</f>
        <v/>
      </c>
      <c r="I518" s="37">
        <f>IF($A518="","",IFERROR(MAX(0,$H518-$G518*kik_sifirCarpan),0))</f>
        <v/>
      </c>
    </row>
    <row r="519">
      <c r="A519" s="36" t="n"/>
      <c r="B519" s="36" t="n"/>
      <c r="C519" s="36" t="n"/>
      <c r="D519" s="36" t="n"/>
      <c r="E519" s="36" t="n"/>
      <c r="F519" s="36" t="n"/>
      <c r="G519" s="36" t="n"/>
      <c r="H519" s="37">
        <f>IF($A519="","",IFERROR(ROUND(MAX(0,$B519*INDEX(tblKurallar[deger_2025],MATCH("KIK-001",tblKurallar[kural_id],0))-($C519+$D519+$E519+$F519)),kik_yuvarMax),0))</f>
        <v/>
      </c>
      <c r="I519" s="37">
        <f>IF($A519="","",IFERROR(MAX(0,$H519-$G519*kik_sifirCarpan),0))</f>
        <v/>
      </c>
    </row>
    <row r="520">
      <c r="A520" s="36" t="n"/>
      <c r="B520" s="36" t="n"/>
      <c r="C520" s="36" t="n"/>
      <c r="D520" s="36" t="n"/>
      <c r="E520" s="36" t="n"/>
      <c r="F520" s="36" t="n"/>
      <c r="G520" s="36" t="n"/>
      <c r="H520" s="37">
        <f>IF($A520="","",IFERROR(ROUND(MAX(0,$B520*INDEX(tblKurallar[deger_2025],MATCH("KIK-001",tblKurallar[kural_id],0))-($C520+$D520+$E520+$F520)),kik_yuvarMax),0))</f>
        <v/>
      </c>
      <c r="I520" s="37">
        <f>IF($A520="","",IFERROR(MAX(0,$H520-$G520*kik_sifirCarpan),0))</f>
        <v/>
      </c>
    </row>
    <row r="521">
      <c r="A521" s="36" t="n"/>
      <c r="B521" s="36" t="n"/>
      <c r="C521" s="36" t="n"/>
      <c r="D521" s="36" t="n"/>
      <c r="E521" s="36" t="n"/>
      <c r="F521" s="36" t="n"/>
      <c r="G521" s="36" t="n"/>
      <c r="H521" s="37">
        <f>IF($A521="","",IFERROR(ROUND(MAX(0,$B521*INDEX(tblKurallar[deger_2025],MATCH("KIK-001",tblKurallar[kural_id],0))-($C521+$D521+$E521+$F521)),kik_yuvarMax),0))</f>
        <v/>
      </c>
      <c r="I521" s="37">
        <f>IF($A521="","",IFERROR(MAX(0,$H521-$G521*kik_sifirCarpan),0))</f>
        <v/>
      </c>
    </row>
    <row r="522">
      <c r="A522" s="36" t="n"/>
      <c r="B522" s="36" t="n"/>
      <c r="C522" s="36" t="n"/>
      <c r="D522" s="36" t="n"/>
      <c r="E522" s="36" t="n"/>
      <c r="F522" s="36" t="n"/>
      <c r="G522" s="36" t="n"/>
      <c r="H522" s="37">
        <f>IF($A522="","",IFERROR(ROUND(MAX(0,$B522*INDEX(tblKurallar[deger_2025],MATCH("KIK-001",tblKurallar[kural_id],0))-($C522+$D522+$E522+$F522)),kik_yuvarMax),0))</f>
        <v/>
      </c>
      <c r="I522" s="37">
        <f>IF($A522="","",IFERROR(MAX(0,$H522-$G522*kik_sifirCarpan),0))</f>
        <v/>
      </c>
    </row>
    <row r="523">
      <c r="A523" s="36" t="n"/>
      <c r="B523" s="36" t="n"/>
      <c r="C523" s="36" t="n"/>
      <c r="D523" s="36" t="n"/>
      <c r="E523" s="36" t="n"/>
      <c r="F523" s="36" t="n"/>
      <c r="G523" s="36" t="n"/>
      <c r="H523" s="37">
        <f>IF($A523="","",IFERROR(ROUND(MAX(0,$B523*INDEX(tblKurallar[deger_2025],MATCH("KIK-001",tblKurallar[kural_id],0))-($C523+$D523+$E523+$F523)),kik_yuvarMax),0))</f>
        <v/>
      </c>
      <c r="I523" s="37">
        <f>IF($A523="","",IFERROR(MAX(0,$H523-$G523*kik_sifirCarpan),0))</f>
        <v/>
      </c>
    </row>
    <row r="524">
      <c r="A524" s="36" t="n"/>
      <c r="B524" s="36" t="n"/>
      <c r="C524" s="36" t="n"/>
      <c r="D524" s="36" t="n"/>
      <c r="E524" s="36" t="n"/>
      <c r="F524" s="36" t="n"/>
      <c r="G524" s="36" t="n"/>
      <c r="H524" s="37">
        <f>IF($A524="","",IFERROR(ROUND(MAX(0,$B524*INDEX(tblKurallar[deger_2025],MATCH("KIK-001",tblKurallar[kural_id],0))-($C524+$D524+$E524+$F524)),kik_yuvarMax),0))</f>
        <v/>
      </c>
      <c r="I524" s="37">
        <f>IF($A524="","",IFERROR(MAX(0,$H524-$G524*kik_sifirCarpan),0))</f>
        <v/>
      </c>
    </row>
    <row r="525">
      <c r="A525" s="36" t="n"/>
      <c r="B525" s="36" t="n"/>
      <c r="C525" s="36" t="n"/>
      <c r="D525" s="36" t="n"/>
      <c r="E525" s="36" t="n"/>
      <c r="F525" s="36" t="n"/>
      <c r="G525" s="36" t="n"/>
      <c r="H525" s="37">
        <f>IF($A525="","",IFERROR(ROUND(MAX(0,$B525*INDEX(tblKurallar[deger_2025],MATCH("KIK-001",tblKurallar[kural_id],0))-($C525+$D525+$E525+$F525)),kik_yuvarMax),0))</f>
        <v/>
      </c>
      <c r="I525" s="37">
        <f>IF($A525="","",IFERROR(MAX(0,$H525-$G525*kik_sifirCarpan),0))</f>
        <v/>
      </c>
    </row>
    <row r="526">
      <c r="A526" s="36" t="n"/>
      <c r="B526" s="36" t="n"/>
      <c r="C526" s="36" t="n"/>
      <c r="D526" s="36" t="n"/>
      <c r="E526" s="36" t="n"/>
      <c r="F526" s="36" t="n"/>
      <c r="G526" s="36" t="n"/>
      <c r="H526" s="37">
        <f>IF($A526="","",IFERROR(ROUND(MAX(0,$B526*INDEX(tblKurallar[deger_2025],MATCH("KIK-001",tblKurallar[kural_id],0))-($C526+$D526+$E526+$F526)),kik_yuvarMax),0))</f>
        <v/>
      </c>
      <c r="I526" s="37">
        <f>IF($A526="","",IFERROR(MAX(0,$H526-$G526*kik_sifirCarpan),0))</f>
        <v/>
      </c>
    </row>
    <row r="527">
      <c r="A527" s="36" t="n"/>
      <c r="B527" s="36" t="n"/>
      <c r="C527" s="36" t="n"/>
      <c r="D527" s="36" t="n"/>
      <c r="E527" s="36" t="n"/>
      <c r="F527" s="36" t="n"/>
      <c r="G527" s="36" t="n"/>
      <c r="H527" s="37">
        <f>IF($A527="","",IFERROR(ROUND(MAX(0,$B527*INDEX(tblKurallar[deger_2025],MATCH("KIK-001",tblKurallar[kural_id],0))-($C527+$D527+$E527+$F527)),kik_yuvarMax),0))</f>
        <v/>
      </c>
      <c r="I527" s="37">
        <f>IF($A527="","",IFERROR(MAX(0,$H527-$G527*kik_sifirCarpan),0))</f>
        <v/>
      </c>
    </row>
    <row r="528">
      <c r="A528" s="36" t="n"/>
      <c r="B528" s="36" t="n"/>
      <c r="C528" s="36" t="n"/>
      <c r="D528" s="36" t="n"/>
      <c r="E528" s="36" t="n"/>
      <c r="F528" s="36" t="n"/>
      <c r="G528" s="36" t="n"/>
      <c r="H528" s="37">
        <f>IF($A528="","",IFERROR(ROUND(MAX(0,$B528*INDEX(tblKurallar[deger_2025],MATCH("KIK-001",tblKurallar[kural_id],0))-($C528+$D528+$E528+$F528)),kik_yuvarMax),0))</f>
        <v/>
      </c>
      <c r="I528" s="37">
        <f>IF($A528="","",IFERROR(MAX(0,$H528-$G528*kik_sifirCarpan),0))</f>
        <v/>
      </c>
    </row>
    <row r="529">
      <c r="A529" s="36" t="n"/>
      <c r="B529" s="36" t="n"/>
      <c r="C529" s="36" t="n"/>
      <c r="D529" s="36" t="n"/>
      <c r="E529" s="36" t="n"/>
      <c r="F529" s="36" t="n"/>
      <c r="G529" s="36" t="n"/>
      <c r="H529" s="37">
        <f>IF($A529="","",IFERROR(ROUND(MAX(0,$B529*INDEX(tblKurallar[deger_2025],MATCH("KIK-001",tblKurallar[kural_id],0))-($C529+$D529+$E529+$F529)),kik_yuvarMax),0))</f>
        <v/>
      </c>
      <c r="I529" s="37">
        <f>IF($A529="","",IFERROR(MAX(0,$H529-$G529*kik_sifirCarpan),0))</f>
        <v/>
      </c>
    </row>
    <row r="530">
      <c r="A530" s="36" t="n"/>
      <c r="B530" s="36" t="n"/>
      <c r="C530" s="36" t="n"/>
      <c r="D530" s="36" t="n"/>
      <c r="E530" s="36" t="n"/>
      <c r="F530" s="36" t="n"/>
      <c r="G530" s="36" t="n"/>
      <c r="H530" s="37">
        <f>IF($A530="","",IFERROR(ROUND(MAX(0,$B530*INDEX(tblKurallar[deger_2025],MATCH("KIK-001",tblKurallar[kural_id],0))-($C530+$D530+$E530+$F530)),kik_yuvarMax),0))</f>
        <v/>
      </c>
      <c r="I530" s="37">
        <f>IF($A530="","",IFERROR(MAX(0,$H530-$G530*kik_sifirCarpan),0))</f>
        <v/>
      </c>
    </row>
    <row r="531">
      <c r="A531" s="36" t="n"/>
      <c r="B531" s="36" t="n"/>
      <c r="C531" s="36" t="n"/>
      <c r="D531" s="36" t="n"/>
      <c r="E531" s="36" t="n"/>
      <c r="F531" s="36" t="n"/>
      <c r="G531" s="36" t="n"/>
      <c r="H531" s="37">
        <f>IF($A531="","",IFERROR(ROUND(MAX(0,$B531*INDEX(tblKurallar[deger_2025],MATCH("KIK-001",tblKurallar[kural_id],0))-($C531+$D531+$E531+$F531)),kik_yuvarMax),0))</f>
        <v/>
      </c>
      <c r="I531" s="37">
        <f>IF($A531="","",IFERROR(MAX(0,$H531-$G531*kik_sifirCarpan),0))</f>
        <v/>
      </c>
    </row>
    <row r="532">
      <c r="A532" s="36" t="n"/>
      <c r="B532" s="36" t="n"/>
      <c r="C532" s="36" t="n"/>
      <c r="D532" s="36" t="n"/>
      <c r="E532" s="36" t="n"/>
      <c r="F532" s="36" t="n"/>
      <c r="G532" s="36" t="n"/>
      <c r="H532" s="37">
        <f>IF($A532="","",IFERROR(ROUND(MAX(0,$B532*INDEX(tblKurallar[deger_2025],MATCH("KIK-001",tblKurallar[kural_id],0))-($C532+$D532+$E532+$F532)),kik_yuvarMax),0))</f>
        <v/>
      </c>
      <c r="I532" s="37">
        <f>IF($A532="","",IFERROR(MAX(0,$H532-$G532*kik_sifirCarpan),0))</f>
        <v/>
      </c>
    </row>
    <row r="533">
      <c r="A533" s="36" t="n"/>
      <c r="B533" s="36" t="n"/>
      <c r="C533" s="36" t="n"/>
      <c r="D533" s="36" t="n"/>
      <c r="E533" s="36" t="n"/>
      <c r="F533" s="36" t="n"/>
      <c r="G533" s="36" t="n"/>
      <c r="H533" s="37">
        <f>IF($A533="","",IFERROR(ROUND(MAX(0,$B533*INDEX(tblKurallar[deger_2025],MATCH("KIK-001",tblKurallar[kural_id],0))-($C533+$D533+$E533+$F533)),kik_yuvarMax),0))</f>
        <v/>
      </c>
      <c r="I533" s="37">
        <f>IF($A533="","",IFERROR(MAX(0,$H533-$G533*kik_sifirCarpan),0))</f>
        <v/>
      </c>
    </row>
    <row r="534">
      <c r="A534" s="36" t="n"/>
      <c r="B534" s="36" t="n"/>
      <c r="C534" s="36" t="n"/>
      <c r="D534" s="36" t="n"/>
      <c r="E534" s="36" t="n"/>
      <c r="F534" s="36" t="n"/>
      <c r="G534" s="36" t="n"/>
      <c r="H534" s="37">
        <f>IF($A534="","",IFERROR(ROUND(MAX(0,$B534*INDEX(tblKurallar[deger_2025],MATCH("KIK-001",tblKurallar[kural_id],0))-($C534+$D534+$E534+$F534)),kik_yuvarMax),0))</f>
        <v/>
      </c>
      <c r="I534" s="37">
        <f>IF($A534="","",IFERROR(MAX(0,$H534-$G534*kik_sifirCarpan),0))</f>
        <v/>
      </c>
    </row>
    <row r="535">
      <c r="A535" s="36" t="n"/>
      <c r="B535" s="36" t="n"/>
      <c r="C535" s="36" t="n"/>
      <c r="D535" s="36" t="n"/>
      <c r="E535" s="36" t="n"/>
      <c r="F535" s="36" t="n"/>
      <c r="G535" s="36" t="n"/>
      <c r="H535" s="37">
        <f>IF($A535="","",IFERROR(ROUND(MAX(0,$B535*INDEX(tblKurallar[deger_2025],MATCH("KIK-001",tblKurallar[kural_id],0))-($C535+$D535+$E535+$F535)),kik_yuvarMax),0))</f>
        <v/>
      </c>
      <c r="I535" s="37">
        <f>IF($A535="","",IFERROR(MAX(0,$H535-$G535*kik_sifirCarpan),0))</f>
        <v/>
      </c>
    </row>
    <row r="536">
      <c r="A536" s="36" t="n"/>
      <c r="B536" s="36" t="n"/>
      <c r="C536" s="36" t="n"/>
      <c r="D536" s="36" t="n"/>
      <c r="E536" s="36" t="n"/>
      <c r="F536" s="36" t="n"/>
      <c r="G536" s="36" t="n"/>
      <c r="H536" s="37">
        <f>IF($A536="","",IFERROR(ROUND(MAX(0,$B536*INDEX(tblKurallar[deger_2025],MATCH("KIK-001",tblKurallar[kural_id],0))-($C536+$D536+$E536+$F536)),kik_yuvarMax),0))</f>
        <v/>
      </c>
      <c r="I536" s="37">
        <f>IF($A536="","",IFERROR(MAX(0,$H536-$G536*kik_sifirCarpan),0))</f>
        <v/>
      </c>
    </row>
    <row r="537">
      <c r="A537" s="36" t="n"/>
      <c r="B537" s="36" t="n"/>
      <c r="C537" s="36" t="n"/>
      <c r="D537" s="36" t="n"/>
      <c r="E537" s="36" t="n"/>
      <c r="F537" s="36" t="n"/>
      <c r="G537" s="36" t="n"/>
      <c r="H537" s="37">
        <f>IF($A537="","",IFERROR(ROUND(MAX(0,$B537*INDEX(tblKurallar[deger_2025],MATCH("KIK-001",tblKurallar[kural_id],0))-($C537+$D537+$E537+$F537)),kik_yuvarMax),0))</f>
        <v/>
      </c>
      <c r="I537" s="37">
        <f>IF($A537="","",IFERROR(MAX(0,$H537-$G537*kik_sifirCarpan),0))</f>
        <v/>
      </c>
    </row>
    <row r="538">
      <c r="A538" s="36" t="n"/>
      <c r="B538" s="36" t="n"/>
      <c r="C538" s="36" t="n"/>
      <c r="D538" s="36" t="n"/>
      <c r="E538" s="36" t="n"/>
      <c r="F538" s="36" t="n"/>
      <c r="G538" s="36" t="n"/>
      <c r="H538" s="37">
        <f>IF($A538="","",IFERROR(ROUND(MAX(0,$B538*INDEX(tblKurallar[deger_2025],MATCH("KIK-001",tblKurallar[kural_id],0))-($C538+$D538+$E538+$F538)),kik_yuvarMax),0))</f>
        <v/>
      </c>
      <c r="I538" s="37">
        <f>IF($A538="","",IFERROR(MAX(0,$H538-$G538*kik_sifirCarpan),0))</f>
        <v/>
      </c>
    </row>
    <row r="539">
      <c r="A539" s="36" t="n"/>
      <c r="B539" s="36" t="n"/>
      <c r="C539" s="36" t="n"/>
      <c r="D539" s="36" t="n"/>
      <c r="E539" s="36" t="n"/>
      <c r="F539" s="36" t="n"/>
      <c r="G539" s="36" t="n"/>
      <c r="H539" s="37">
        <f>IF($A539="","",IFERROR(ROUND(MAX(0,$B539*INDEX(tblKurallar[deger_2025],MATCH("KIK-001",tblKurallar[kural_id],0))-($C539+$D539+$E539+$F539)),kik_yuvarMax),0))</f>
        <v/>
      </c>
      <c r="I539" s="37">
        <f>IF($A539="","",IFERROR(MAX(0,$H539-$G539*kik_sifirCarpan),0))</f>
        <v/>
      </c>
    </row>
    <row r="540">
      <c r="A540" s="36" t="n"/>
      <c r="B540" s="36" t="n"/>
      <c r="C540" s="36" t="n"/>
      <c r="D540" s="36" t="n"/>
      <c r="E540" s="36" t="n"/>
      <c r="F540" s="36" t="n"/>
      <c r="G540" s="36" t="n"/>
      <c r="H540" s="37">
        <f>IF($A540="","",IFERROR(ROUND(MAX(0,$B540*INDEX(tblKurallar[deger_2025],MATCH("KIK-001",tblKurallar[kural_id],0))-($C540+$D540+$E540+$F540)),kik_yuvarMax),0))</f>
        <v/>
      </c>
      <c r="I540" s="37">
        <f>IF($A540="","",IFERROR(MAX(0,$H540-$G540*kik_sifirCarpan),0))</f>
        <v/>
      </c>
    </row>
    <row r="541">
      <c r="A541" s="36" t="n"/>
      <c r="B541" s="36" t="n"/>
      <c r="C541" s="36" t="n"/>
      <c r="D541" s="36" t="n"/>
      <c r="E541" s="36" t="n"/>
      <c r="F541" s="36" t="n"/>
      <c r="G541" s="36" t="n"/>
      <c r="H541" s="37">
        <f>IF($A541="","",IFERROR(ROUND(MAX(0,$B541*INDEX(tblKurallar[deger_2025],MATCH("KIK-001",tblKurallar[kural_id],0))-($C541+$D541+$E541+$F541)),kik_yuvarMax),0))</f>
        <v/>
      </c>
      <c r="I541" s="37">
        <f>IF($A541="","",IFERROR(MAX(0,$H541-$G541*kik_sifirCarpan),0))</f>
        <v/>
      </c>
    </row>
    <row r="542">
      <c r="A542" s="36" t="n"/>
      <c r="B542" s="36" t="n"/>
      <c r="C542" s="36" t="n"/>
      <c r="D542" s="36" t="n"/>
      <c r="E542" s="36" t="n"/>
      <c r="F542" s="36" t="n"/>
      <c r="G542" s="36" t="n"/>
      <c r="H542" s="37">
        <f>IF($A542="","",IFERROR(ROUND(MAX(0,$B542*INDEX(tblKurallar[deger_2025],MATCH("KIK-001",tblKurallar[kural_id],0))-($C542+$D542+$E542+$F542)),kik_yuvarMax),0))</f>
        <v/>
      </c>
      <c r="I542" s="37">
        <f>IF($A542="","",IFERROR(MAX(0,$H542-$G542*kik_sifirCarpan),0))</f>
        <v/>
      </c>
    </row>
    <row r="543">
      <c r="A543" s="36" t="n"/>
      <c r="B543" s="36" t="n"/>
      <c r="C543" s="36" t="n"/>
      <c r="D543" s="36" t="n"/>
      <c r="E543" s="36" t="n"/>
      <c r="F543" s="36" t="n"/>
      <c r="G543" s="36" t="n"/>
      <c r="H543" s="37">
        <f>IF($A543="","",IFERROR(ROUND(MAX(0,$B543*INDEX(tblKurallar[deger_2025],MATCH("KIK-001",tblKurallar[kural_id],0))-($C543+$D543+$E543+$F543)),kik_yuvarMax),0))</f>
        <v/>
      </c>
      <c r="I543" s="37">
        <f>IF($A543="","",IFERROR(MAX(0,$H543-$G543*kik_sifirCarpan),0))</f>
        <v/>
      </c>
    </row>
    <row r="544">
      <c r="A544" s="36" t="n"/>
      <c r="B544" s="36" t="n"/>
      <c r="C544" s="36" t="n"/>
      <c r="D544" s="36" t="n"/>
      <c r="E544" s="36" t="n"/>
      <c r="F544" s="36" t="n"/>
      <c r="G544" s="36" t="n"/>
      <c r="H544" s="37">
        <f>IF($A544="","",IFERROR(ROUND(MAX(0,$B544*INDEX(tblKurallar[deger_2025],MATCH("KIK-001",tblKurallar[kural_id],0))-($C544+$D544+$E544+$F544)),kik_yuvarMax),0))</f>
        <v/>
      </c>
      <c r="I544" s="37">
        <f>IF($A544="","",IFERROR(MAX(0,$H544-$G544*kik_sifirCarpan),0))</f>
        <v/>
      </c>
    </row>
    <row r="545">
      <c r="A545" s="36" t="n"/>
      <c r="B545" s="36" t="n"/>
      <c r="C545" s="36" t="n"/>
      <c r="D545" s="36" t="n"/>
      <c r="E545" s="36" t="n"/>
      <c r="F545" s="36" t="n"/>
      <c r="G545" s="36" t="n"/>
      <c r="H545" s="37">
        <f>IF($A545="","",IFERROR(ROUND(MAX(0,$B545*INDEX(tblKurallar[deger_2025],MATCH("KIK-001",tblKurallar[kural_id],0))-($C545+$D545+$E545+$F545)),kik_yuvarMax),0))</f>
        <v/>
      </c>
      <c r="I545" s="37">
        <f>IF($A545="","",IFERROR(MAX(0,$H545-$G545*kik_sifirCarpan),0))</f>
        <v/>
      </c>
    </row>
    <row r="546">
      <c r="A546" s="36" t="n"/>
      <c r="B546" s="36" t="n"/>
      <c r="C546" s="36" t="n"/>
      <c r="D546" s="36" t="n"/>
      <c r="E546" s="36" t="n"/>
      <c r="F546" s="36" t="n"/>
      <c r="G546" s="36" t="n"/>
      <c r="H546" s="37">
        <f>IF($A546="","",IFERROR(ROUND(MAX(0,$B546*INDEX(tblKurallar[deger_2025],MATCH("KIK-001",tblKurallar[kural_id],0))-($C546+$D546+$E546+$F546)),kik_yuvarMax),0))</f>
        <v/>
      </c>
      <c r="I546" s="37">
        <f>IF($A546="","",IFERROR(MAX(0,$H546-$G546*kik_sifirCarpan),0))</f>
        <v/>
      </c>
    </row>
    <row r="547">
      <c r="A547" s="36" t="n"/>
      <c r="B547" s="36" t="n"/>
      <c r="C547" s="36" t="n"/>
      <c r="D547" s="36" t="n"/>
      <c r="E547" s="36" t="n"/>
      <c r="F547" s="36" t="n"/>
      <c r="G547" s="36" t="n"/>
      <c r="H547" s="37">
        <f>IF($A547="","",IFERROR(ROUND(MAX(0,$B547*INDEX(tblKurallar[deger_2025],MATCH("KIK-001",tblKurallar[kural_id],0))-($C547+$D547+$E547+$F547)),kik_yuvarMax),0))</f>
        <v/>
      </c>
      <c r="I547" s="37">
        <f>IF($A547="","",IFERROR(MAX(0,$H547-$G547*kik_sifirCarpan),0))</f>
        <v/>
      </c>
    </row>
    <row r="548">
      <c r="A548" s="36" t="n"/>
      <c r="B548" s="36" t="n"/>
      <c r="C548" s="36" t="n"/>
      <c r="D548" s="36" t="n"/>
      <c r="E548" s="36" t="n"/>
      <c r="F548" s="36" t="n"/>
      <c r="G548" s="36" t="n"/>
      <c r="H548" s="37">
        <f>IF($A548="","",IFERROR(ROUND(MAX(0,$B548*INDEX(tblKurallar[deger_2025],MATCH("KIK-001",tblKurallar[kural_id],0))-($C548+$D548+$E548+$F548)),kik_yuvarMax),0))</f>
        <v/>
      </c>
      <c r="I548" s="37">
        <f>IF($A548="","",IFERROR(MAX(0,$H548-$G548*kik_sifirCarpan),0))</f>
        <v/>
      </c>
    </row>
    <row r="549">
      <c r="A549" s="36" t="n"/>
      <c r="B549" s="36" t="n"/>
      <c r="C549" s="36" t="n"/>
      <c r="D549" s="36" t="n"/>
      <c r="E549" s="36" t="n"/>
      <c r="F549" s="36" t="n"/>
      <c r="G549" s="36" t="n"/>
      <c r="H549" s="37">
        <f>IF($A549="","",IFERROR(ROUND(MAX(0,$B549*INDEX(tblKurallar[deger_2025],MATCH("KIK-001",tblKurallar[kural_id],0))-($C549+$D549+$E549+$F549)),kik_yuvarMax),0))</f>
        <v/>
      </c>
      <c r="I549" s="37">
        <f>IF($A549="","",IFERROR(MAX(0,$H549-$G549*kik_sifirCarpan),0))</f>
        <v/>
      </c>
    </row>
    <row r="550">
      <c r="A550" s="36" t="n"/>
      <c r="B550" s="36" t="n"/>
      <c r="C550" s="36" t="n"/>
      <c r="D550" s="36" t="n"/>
      <c r="E550" s="36" t="n"/>
      <c r="F550" s="36" t="n"/>
      <c r="G550" s="36" t="n"/>
      <c r="H550" s="37">
        <f>IF($A550="","",IFERROR(ROUND(MAX(0,$B550*INDEX(tblKurallar[deger_2025],MATCH("KIK-001",tblKurallar[kural_id],0))-($C550+$D550+$E550+$F550)),kik_yuvarMax),0))</f>
        <v/>
      </c>
      <c r="I550" s="37">
        <f>IF($A550="","",IFERROR(MAX(0,$H550-$G550*kik_sifirCarpan),0))</f>
        <v/>
      </c>
    </row>
    <row r="551">
      <c r="A551" s="36" t="n"/>
      <c r="B551" s="36" t="n"/>
      <c r="C551" s="36" t="n"/>
      <c r="D551" s="36" t="n"/>
      <c r="E551" s="36" t="n"/>
      <c r="F551" s="36" t="n"/>
      <c r="G551" s="36" t="n"/>
      <c r="H551" s="37">
        <f>IF($A551="","",IFERROR(ROUND(MAX(0,$B551*INDEX(tblKurallar[deger_2025],MATCH("KIK-001",tblKurallar[kural_id],0))-($C551+$D551+$E551+$F551)),kik_yuvarMax),0))</f>
        <v/>
      </c>
      <c r="I551" s="37">
        <f>IF($A551="","",IFERROR(MAX(0,$H551-$G551*kik_sifirCarpan),0))</f>
        <v/>
      </c>
    </row>
    <row r="552">
      <c r="A552" s="36" t="n"/>
      <c r="B552" s="36" t="n"/>
      <c r="C552" s="36" t="n"/>
      <c r="D552" s="36" t="n"/>
      <c r="E552" s="36" t="n"/>
      <c r="F552" s="36" t="n"/>
      <c r="G552" s="36" t="n"/>
      <c r="H552" s="37">
        <f>IF($A552="","",IFERROR(ROUND(MAX(0,$B552*INDEX(tblKurallar[deger_2025],MATCH("KIK-001",tblKurallar[kural_id],0))-($C552+$D552+$E552+$F552)),kik_yuvarMax),0))</f>
        <v/>
      </c>
      <c r="I552" s="37">
        <f>IF($A552="","",IFERROR(MAX(0,$H552-$G552*kik_sifirCarpan),0))</f>
        <v/>
      </c>
    </row>
    <row r="553">
      <c r="A553" s="36" t="n"/>
      <c r="B553" s="36" t="n"/>
      <c r="C553" s="36" t="n"/>
      <c r="D553" s="36" t="n"/>
      <c r="E553" s="36" t="n"/>
      <c r="F553" s="36" t="n"/>
      <c r="G553" s="36" t="n"/>
      <c r="H553" s="37">
        <f>IF($A553="","",IFERROR(ROUND(MAX(0,$B553*INDEX(tblKurallar[deger_2025],MATCH("KIK-001",tblKurallar[kural_id],0))-($C553+$D553+$E553+$F553)),kik_yuvarMax),0))</f>
        <v/>
      </c>
      <c r="I553" s="37">
        <f>IF($A553="","",IFERROR(MAX(0,$H553-$G553*kik_sifirCarpan),0))</f>
        <v/>
      </c>
    </row>
    <row r="554">
      <c r="A554" s="36" t="n"/>
      <c r="B554" s="36" t="n"/>
      <c r="C554" s="36" t="n"/>
      <c r="D554" s="36" t="n"/>
      <c r="E554" s="36" t="n"/>
      <c r="F554" s="36" t="n"/>
      <c r="G554" s="36" t="n"/>
      <c r="H554" s="37">
        <f>IF($A554="","",IFERROR(ROUND(MAX(0,$B554*INDEX(tblKurallar[deger_2025],MATCH("KIK-001",tblKurallar[kural_id],0))-($C554+$D554+$E554+$F554)),kik_yuvarMax),0))</f>
        <v/>
      </c>
      <c r="I554" s="37">
        <f>IF($A554="","",IFERROR(MAX(0,$H554-$G554*kik_sifirCarpan),0))</f>
        <v/>
      </c>
    </row>
    <row r="555">
      <c r="A555" s="36" t="n"/>
      <c r="B555" s="36" t="n"/>
      <c r="C555" s="36" t="n"/>
      <c r="D555" s="36" t="n"/>
      <c r="E555" s="36" t="n"/>
      <c r="F555" s="36" t="n"/>
      <c r="G555" s="36" t="n"/>
      <c r="H555" s="37">
        <f>IF($A555="","",IFERROR(ROUND(MAX(0,$B555*INDEX(tblKurallar[deger_2025],MATCH("KIK-001",tblKurallar[kural_id],0))-($C555+$D555+$E555+$F555)),kik_yuvarMax),0))</f>
        <v/>
      </c>
      <c r="I555" s="37">
        <f>IF($A555="","",IFERROR(MAX(0,$H555-$G555*kik_sifirCarpan),0))</f>
        <v/>
      </c>
    </row>
    <row r="556">
      <c r="A556" s="36" t="n"/>
      <c r="B556" s="36" t="n"/>
      <c r="C556" s="36" t="n"/>
      <c r="D556" s="36" t="n"/>
      <c r="E556" s="36" t="n"/>
      <c r="F556" s="36" t="n"/>
      <c r="G556" s="36" t="n"/>
      <c r="H556" s="37">
        <f>IF($A556="","",IFERROR(ROUND(MAX(0,$B556*INDEX(tblKurallar[deger_2025],MATCH("KIK-001",tblKurallar[kural_id],0))-($C556+$D556+$E556+$F556)),kik_yuvarMax),0))</f>
        <v/>
      </c>
      <c r="I556" s="37">
        <f>IF($A556="","",IFERROR(MAX(0,$H556-$G556*kik_sifirCarpan),0))</f>
        <v/>
      </c>
    </row>
    <row r="557">
      <c r="A557" s="36" t="n"/>
      <c r="B557" s="36" t="n"/>
      <c r="C557" s="36" t="n"/>
      <c r="D557" s="36" t="n"/>
      <c r="E557" s="36" t="n"/>
      <c r="F557" s="36" t="n"/>
      <c r="G557" s="36" t="n"/>
      <c r="H557" s="37">
        <f>IF($A557="","",IFERROR(ROUND(MAX(0,$B557*INDEX(tblKurallar[deger_2025],MATCH("KIK-001",tblKurallar[kural_id],0))-($C557+$D557+$E557+$F557)),kik_yuvarMax),0))</f>
        <v/>
      </c>
      <c r="I557" s="37">
        <f>IF($A557="","",IFERROR(MAX(0,$H557-$G557*kik_sifirCarpan),0))</f>
        <v/>
      </c>
    </row>
    <row r="558">
      <c r="A558" s="36" t="n"/>
      <c r="B558" s="36" t="n"/>
      <c r="C558" s="36" t="n"/>
      <c r="D558" s="36" t="n"/>
      <c r="E558" s="36" t="n"/>
      <c r="F558" s="36" t="n"/>
      <c r="G558" s="36" t="n"/>
      <c r="H558" s="37">
        <f>IF($A558="","",IFERROR(ROUND(MAX(0,$B558*INDEX(tblKurallar[deger_2025],MATCH("KIK-001",tblKurallar[kural_id],0))-($C558+$D558+$E558+$F558)),kik_yuvarMax),0))</f>
        <v/>
      </c>
      <c r="I558" s="37">
        <f>IF($A558="","",IFERROR(MAX(0,$H558-$G558*kik_sifirCarpan),0))</f>
        <v/>
      </c>
    </row>
    <row r="559">
      <c r="A559" s="36" t="n"/>
      <c r="B559" s="36" t="n"/>
      <c r="C559" s="36" t="n"/>
      <c r="D559" s="36" t="n"/>
      <c r="E559" s="36" t="n"/>
      <c r="F559" s="36" t="n"/>
      <c r="G559" s="36" t="n"/>
      <c r="H559" s="37">
        <f>IF($A559="","",IFERROR(ROUND(MAX(0,$B559*INDEX(tblKurallar[deger_2025],MATCH("KIK-001",tblKurallar[kural_id],0))-($C559+$D559+$E559+$F559)),kik_yuvarMax),0))</f>
        <v/>
      </c>
      <c r="I559" s="37">
        <f>IF($A559="","",IFERROR(MAX(0,$H559-$G559*kik_sifirCarpan),0))</f>
        <v/>
      </c>
    </row>
    <row r="560">
      <c r="A560" s="36" t="n"/>
      <c r="B560" s="36" t="n"/>
      <c r="C560" s="36" t="n"/>
      <c r="D560" s="36" t="n"/>
      <c r="E560" s="36" t="n"/>
      <c r="F560" s="36" t="n"/>
      <c r="G560" s="36" t="n"/>
      <c r="H560" s="37">
        <f>IF($A560="","",IFERROR(ROUND(MAX(0,$B560*INDEX(tblKurallar[deger_2025],MATCH("KIK-001",tblKurallar[kural_id],0))-($C560+$D560+$E560+$F560)),kik_yuvarMax),0))</f>
        <v/>
      </c>
      <c r="I560" s="37">
        <f>IF($A560="","",IFERROR(MAX(0,$H560-$G560*kik_sifirCarpan),0))</f>
        <v/>
      </c>
    </row>
    <row r="561">
      <c r="A561" s="36" t="n"/>
      <c r="B561" s="36" t="n"/>
      <c r="C561" s="36" t="n"/>
      <c r="D561" s="36" t="n"/>
      <c r="E561" s="36" t="n"/>
      <c r="F561" s="36" t="n"/>
      <c r="G561" s="36" t="n"/>
      <c r="H561" s="37">
        <f>IF($A561="","",IFERROR(ROUND(MAX(0,$B561*INDEX(tblKurallar[deger_2025],MATCH("KIK-001",tblKurallar[kural_id],0))-($C561+$D561+$E561+$F561)),kik_yuvarMax),0))</f>
        <v/>
      </c>
      <c r="I561" s="37">
        <f>IF($A561="","",IFERROR(MAX(0,$H561-$G561*kik_sifirCarpan),0))</f>
        <v/>
      </c>
    </row>
    <row r="562">
      <c r="A562" s="36" t="n"/>
      <c r="B562" s="36" t="n"/>
      <c r="C562" s="36" t="n"/>
      <c r="D562" s="36" t="n"/>
      <c r="E562" s="36" t="n"/>
      <c r="F562" s="36" t="n"/>
      <c r="G562" s="36" t="n"/>
      <c r="H562" s="37">
        <f>IF($A562="","",IFERROR(ROUND(MAX(0,$B562*INDEX(tblKurallar[deger_2025],MATCH("KIK-001",tblKurallar[kural_id],0))-($C562+$D562+$E562+$F562)),kik_yuvarMax),0))</f>
        <v/>
      </c>
      <c r="I562" s="37">
        <f>IF($A562="","",IFERROR(MAX(0,$H562-$G562*kik_sifirCarpan),0))</f>
        <v/>
      </c>
    </row>
    <row r="563">
      <c r="A563" s="36" t="n"/>
      <c r="B563" s="36" t="n"/>
      <c r="C563" s="36" t="n"/>
      <c r="D563" s="36" t="n"/>
      <c r="E563" s="36" t="n"/>
      <c r="F563" s="36" t="n"/>
      <c r="G563" s="36" t="n"/>
      <c r="H563" s="37">
        <f>IF($A563="","",IFERROR(ROUND(MAX(0,$B563*INDEX(tblKurallar[deger_2025],MATCH("KIK-001",tblKurallar[kural_id],0))-($C563+$D563+$E563+$F563)),kik_yuvarMax),0))</f>
        <v/>
      </c>
      <c r="I563" s="37">
        <f>IF($A563="","",IFERROR(MAX(0,$H563-$G563*kik_sifirCarpan),0))</f>
        <v/>
      </c>
    </row>
    <row r="564">
      <c r="A564" s="36" t="n"/>
      <c r="B564" s="36" t="n"/>
      <c r="C564" s="36" t="n"/>
      <c r="D564" s="36" t="n"/>
      <c r="E564" s="36" t="n"/>
      <c r="F564" s="36" t="n"/>
      <c r="G564" s="36" t="n"/>
      <c r="H564" s="37">
        <f>IF($A564="","",IFERROR(ROUND(MAX(0,$B564*INDEX(tblKurallar[deger_2025],MATCH("KIK-001",tblKurallar[kural_id],0))-($C564+$D564+$E564+$F564)),kik_yuvarMax),0))</f>
        <v/>
      </c>
      <c r="I564" s="37">
        <f>IF($A564="","",IFERROR(MAX(0,$H564-$G564*kik_sifirCarpan),0))</f>
        <v/>
      </c>
    </row>
    <row r="565">
      <c r="A565" s="36" t="n"/>
      <c r="B565" s="36" t="n"/>
      <c r="C565" s="36" t="n"/>
      <c r="D565" s="36" t="n"/>
      <c r="E565" s="36" t="n"/>
      <c r="F565" s="36" t="n"/>
      <c r="G565" s="36" t="n"/>
      <c r="H565" s="37">
        <f>IF($A565="","",IFERROR(ROUND(MAX(0,$B565*INDEX(tblKurallar[deger_2025],MATCH("KIK-001",tblKurallar[kural_id],0))-($C565+$D565+$E565+$F565)),kik_yuvarMax),0))</f>
        <v/>
      </c>
      <c r="I565" s="37">
        <f>IF($A565="","",IFERROR(MAX(0,$H565-$G565*kik_sifirCarpan),0))</f>
        <v/>
      </c>
    </row>
    <row r="566">
      <c r="A566" s="36" t="n"/>
      <c r="B566" s="36" t="n"/>
      <c r="C566" s="36" t="n"/>
      <c r="D566" s="36" t="n"/>
      <c r="E566" s="36" t="n"/>
      <c r="F566" s="36" t="n"/>
      <c r="G566" s="36" t="n"/>
      <c r="H566" s="37">
        <f>IF($A566="","",IFERROR(ROUND(MAX(0,$B566*INDEX(tblKurallar[deger_2025],MATCH("KIK-001",tblKurallar[kural_id],0))-($C566+$D566+$E566+$F566)),kik_yuvarMax),0))</f>
        <v/>
      </c>
      <c r="I566" s="37">
        <f>IF($A566="","",IFERROR(MAX(0,$H566-$G566*kik_sifirCarpan),0))</f>
        <v/>
      </c>
    </row>
    <row r="567">
      <c r="A567" s="36" t="n"/>
      <c r="B567" s="36" t="n"/>
      <c r="C567" s="36" t="n"/>
      <c r="D567" s="36" t="n"/>
      <c r="E567" s="36" t="n"/>
      <c r="F567" s="36" t="n"/>
      <c r="G567" s="36" t="n"/>
      <c r="H567" s="37">
        <f>IF($A567="","",IFERROR(ROUND(MAX(0,$B567*INDEX(tblKurallar[deger_2025],MATCH("KIK-001",tblKurallar[kural_id],0))-($C567+$D567+$E567+$F567)),kik_yuvarMax),0))</f>
        <v/>
      </c>
      <c r="I567" s="37">
        <f>IF($A567="","",IFERROR(MAX(0,$H567-$G567*kik_sifirCarpan),0))</f>
        <v/>
      </c>
    </row>
    <row r="568">
      <c r="A568" s="36" t="n"/>
      <c r="B568" s="36" t="n"/>
      <c r="C568" s="36" t="n"/>
      <c r="D568" s="36" t="n"/>
      <c r="E568" s="36" t="n"/>
      <c r="F568" s="36" t="n"/>
      <c r="G568" s="36" t="n"/>
      <c r="H568" s="37">
        <f>IF($A568="","",IFERROR(ROUND(MAX(0,$B568*INDEX(tblKurallar[deger_2025],MATCH("KIK-001",tblKurallar[kural_id],0))-($C568+$D568+$E568+$F568)),kik_yuvarMax),0))</f>
        <v/>
      </c>
      <c r="I568" s="37">
        <f>IF($A568="","",IFERROR(MAX(0,$H568-$G568*kik_sifirCarpan),0))</f>
        <v/>
      </c>
    </row>
    <row r="569">
      <c r="A569" s="36" t="n"/>
      <c r="B569" s="36" t="n"/>
      <c r="C569" s="36" t="n"/>
      <c r="D569" s="36" t="n"/>
      <c r="E569" s="36" t="n"/>
      <c r="F569" s="36" t="n"/>
      <c r="G569" s="36" t="n"/>
      <c r="H569" s="37">
        <f>IF($A569="","",IFERROR(ROUND(MAX(0,$B569*INDEX(tblKurallar[deger_2025],MATCH("KIK-001",tblKurallar[kural_id],0))-($C569+$D569+$E569+$F569)),kik_yuvarMax),0))</f>
        <v/>
      </c>
      <c r="I569" s="37">
        <f>IF($A569="","",IFERROR(MAX(0,$H569-$G569*kik_sifirCarpan),0))</f>
        <v/>
      </c>
    </row>
    <row r="570">
      <c r="A570" s="36" t="n"/>
      <c r="B570" s="36" t="n"/>
      <c r="C570" s="36" t="n"/>
      <c r="D570" s="36" t="n"/>
      <c r="E570" s="36" t="n"/>
      <c r="F570" s="36" t="n"/>
      <c r="G570" s="36" t="n"/>
      <c r="H570" s="37">
        <f>IF($A570="","",IFERROR(ROUND(MAX(0,$B570*INDEX(tblKurallar[deger_2025],MATCH("KIK-001",tblKurallar[kural_id],0))-($C570+$D570+$E570+$F570)),kik_yuvarMax),0))</f>
        <v/>
      </c>
      <c r="I570" s="37">
        <f>IF($A570="","",IFERROR(MAX(0,$H570-$G570*kik_sifirCarpan),0))</f>
        <v/>
      </c>
    </row>
    <row r="571">
      <c r="A571" s="36" t="n"/>
      <c r="B571" s="36" t="n"/>
      <c r="C571" s="36" t="n"/>
      <c r="D571" s="36" t="n"/>
      <c r="E571" s="36" t="n"/>
      <c r="F571" s="36" t="n"/>
      <c r="G571" s="36" t="n"/>
      <c r="H571" s="37">
        <f>IF($A571="","",IFERROR(ROUND(MAX(0,$B571*INDEX(tblKurallar[deger_2025],MATCH("KIK-001",tblKurallar[kural_id],0))-($C571+$D571+$E571+$F571)),kik_yuvarMax),0))</f>
        <v/>
      </c>
      <c r="I571" s="37">
        <f>IF($A571="","",IFERROR(MAX(0,$H571-$G571*kik_sifirCarpan),0))</f>
        <v/>
      </c>
    </row>
    <row r="572">
      <c r="A572" s="36" t="n"/>
      <c r="B572" s="36" t="n"/>
      <c r="C572" s="36" t="n"/>
      <c r="D572" s="36" t="n"/>
      <c r="E572" s="36" t="n"/>
      <c r="F572" s="36" t="n"/>
      <c r="G572" s="36" t="n"/>
      <c r="H572" s="37">
        <f>IF($A572="","",IFERROR(ROUND(MAX(0,$B572*INDEX(tblKurallar[deger_2025],MATCH("KIK-001",tblKurallar[kural_id],0))-($C572+$D572+$E572+$F572)),kik_yuvarMax),0))</f>
        <v/>
      </c>
      <c r="I572" s="37">
        <f>IF($A572="","",IFERROR(MAX(0,$H572-$G572*kik_sifirCarpan),0))</f>
        <v/>
      </c>
    </row>
    <row r="573">
      <c r="A573" s="36" t="n"/>
      <c r="B573" s="36" t="n"/>
      <c r="C573" s="36" t="n"/>
      <c r="D573" s="36" t="n"/>
      <c r="E573" s="36" t="n"/>
      <c r="F573" s="36" t="n"/>
      <c r="G573" s="36" t="n"/>
      <c r="H573" s="37">
        <f>IF($A573="","",IFERROR(ROUND(MAX(0,$B573*INDEX(tblKurallar[deger_2025],MATCH("KIK-001",tblKurallar[kural_id],0))-($C573+$D573+$E573+$F573)),kik_yuvarMax),0))</f>
        <v/>
      </c>
      <c r="I573" s="37">
        <f>IF($A573="","",IFERROR(MAX(0,$H573-$G573*kik_sifirCarpan),0))</f>
        <v/>
      </c>
    </row>
    <row r="574">
      <c r="A574" s="36" t="n"/>
      <c r="B574" s="36" t="n"/>
      <c r="C574" s="36" t="n"/>
      <c r="D574" s="36" t="n"/>
      <c r="E574" s="36" t="n"/>
      <c r="F574" s="36" t="n"/>
      <c r="G574" s="36" t="n"/>
      <c r="H574" s="37">
        <f>IF($A574="","",IFERROR(ROUND(MAX(0,$B574*INDEX(tblKurallar[deger_2025],MATCH("KIK-001",tblKurallar[kural_id],0))-($C574+$D574+$E574+$F574)),kik_yuvarMax),0))</f>
        <v/>
      </c>
      <c r="I574" s="37">
        <f>IF($A574="","",IFERROR(MAX(0,$H574-$G574*kik_sifirCarpan),0))</f>
        <v/>
      </c>
    </row>
    <row r="575">
      <c r="A575" s="36" t="n"/>
      <c r="B575" s="36" t="n"/>
      <c r="C575" s="36" t="n"/>
      <c r="D575" s="36" t="n"/>
      <c r="E575" s="36" t="n"/>
      <c r="F575" s="36" t="n"/>
      <c r="G575" s="36" t="n"/>
      <c r="H575" s="37">
        <f>IF($A575="","",IFERROR(ROUND(MAX(0,$B575*INDEX(tblKurallar[deger_2025],MATCH("KIK-001",tblKurallar[kural_id],0))-($C575+$D575+$E575+$F575)),kik_yuvarMax),0))</f>
        <v/>
      </c>
      <c r="I575" s="37">
        <f>IF($A575="","",IFERROR(MAX(0,$H575-$G575*kik_sifirCarpan),0))</f>
        <v/>
      </c>
    </row>
    <row r="576">
      <c r="A576" s="36" t="n"/>
      <c r="B576" s="36" t="n"/>
      <c r="C576" s="36" t="n"/>
      <c r="D576" s="36" t="n"/>
      <c r="E576" s="36" t="n"/>
      <c r="F576" s="36" t="n"/>
      <c r="G576" s="36" t="n"/>
      <c r="H576" s="37">
        <f>IF($A576="","",IFERROR(ROUND(MAX(0,$B576*INDEX(tblKurallar[deger_2025],MATCH("KIK-001",tblKurallar[kural_id],0))-($C576+$D576+$E576+$F576)),kik_yuvarMax),0))</f>
        <v/>
      </c>
      <c r="I576" s="37">
        <f>IF($A576="","",IFERROR(MAX(0,$H576-$G576*kik_sifirCarpan),0))</f>
        <v/>
      </c>
    </row>
    <row r="577">
      <c r="A577" s="36" t="n"/>
      <c r="B577" s="36" t="n"/>
      <c r="C577" s="36" t="n"/>
      <c r="D577" s="36" t="n"/>
      <c r="E577" s="36" t="n"/>
      <c r="F577" s="36" t="n"/>
      <c r="G577" s="36" t="n"/>
      <c r="H577" s="37">
        <f>IF($A577="","",IFERROR(ROUND(MAX(0,$B577*INDEX(tblKurallar[deger_2025],MATCH("KIK-001",tblKurallar[kural_id],0))-($C577+$D577+$E577+$F577)),kik_yuvarMax),0))</f>
        <v/>
      </c>
      <c r="I577" s="37">
        <f>IF($A577="","",IFERROR(MAX(0,$H577-$G577*kik_sifirCarpan),0))</f>
        <v/>
      </c>
    </row>
    <row r="578">
      <c r="A578" s="36" t="n"/>
      <c r="B578" s="36" t="n"/>
      <c r="C578" s="36" t="n"/>
      <c r="D578" s="36" t="n"/>
      <c r="E578" s="36" t="n"/>
      <c r="F578" s="36" t="n"/>
      <c r="G578" s="36" t="n"/>
      <c r="H578" s="37">
        <f>IF($A578="","",IFERROR(ROUND(MAX(0,$B578*INDEX(tblKurallar[deger_2025],MATCH("KIK-001",tblKurallar[kural_id],0))-($C578+$D578+$E578+$F578)),kik_yuvarMax),0))</f>
        <v/>
      </c>
      <c r="I578" s="37">
        <f>IF($A578="","",IFERROR(MAX(0,$H578-$G578*kik_sifirCarpan),0))</f>
        <v/>
      </c>
    </row>
    <row r="579">
      <c r="A579" s="36" t="n"/>
      <c r="B579" s="36" t="n"/>
      <c r="C579" s="36" t="n"/>
      <c r="D579" s="36" t="n"/>
      <c r="E579" s="36" t="n"/>
      <c r="F579" s="36" t="n"/>
      <c r="G579" s="36" t="n"/>
      <c r="H579" s="37">
        <f>IF($A579="","",IFERROR(ROUND(MAX(0,$B579*INDEX(tblKurallar[deger_2025],MATCH("KIK-001",tblKurallar[kural_id],0))-($C579+$D579+$E579+$F579)),kik_yuvarMax),0))</f>
        <v/>
      </c>
      <c r="I579" s="37">
        <f>IF($A579="","",IFERROR(MAX(0,$H579-$G579*kik_sifirCarpan),0))</f>
        <v/>
      </c>
    </row>
    <row r="580">
      <c r="A580" s="36" t="n"/>
      <c r="B580" s="36" t="n"/>
      <c r="C580" s="36" t="n"/>
      <c r="D580" s="36" t="n"/>
      <c r="E580" s="36" t="n"/>
      <c r="F580" s="36" t="n"/>
      <c r="G580" s="36" t="n"/>
      <c r="H580" s="37">
        <f>IF($A580="","",IFERROR(ROUND(MAX(0,$B580*INDEX(tblKurallar[deger_2025],MATCH("KIK-001",tblKurallar[kural_id],0))-($C580+$D580+$E580+$F580)),kik_yuvarMax),0))</f>
        <v/>
      </c>
      <c r="I580" s="37">
        <f>IF($A580="","",IFERROR(MAX(0,$H580-$G580*kik_sifirCarpan),0))</f>
        <v/>
      </c>
    </row>
    <row r="581">
      <c r="A581" s="36" t="n"/>
      <c r="B581" s="36" t="n"/>
      <c r="C581" s="36" t="n"/>
      <c r="D581" s="36" t="n"/>
      <c r="E581" s="36" t="n"/>
      <c r="F581" s="36" t="n"/>
      <c r="G581" s="36" t="n"/>
      <c r="H581" s="37">
        <f>IF($A581="","",IFERROR(ROUND(MAX(0,$B581*INDEX(tblKurallar[deger_2025],MATCH("KIK-001",tblKurallar[kural_id],0))-($C581+$D581+$E581+$F581)),kik_yuvarMax),0))</f>
        <v/>
      </c>
      <c r="I581" s="37">
        <f>IF($A581="","",IFERROR(MAX(0,$H581-$G581*kik_sifirCarpan),0))</f>
        <v/>
      </c>
    </row>
    <row r="582">
      <c r="A582" s="36" t="n"/>
      <c r="B582" s="36" t="n"/>
      <c r="C582" s="36" t="n"/>
      <c r="D582" s="36" t="n"/>
      <c r="E582" s="36" t="n"/>
      <c r="F582" s="36" t="n"/>
      <c r="G582" s="36" t="n"/>
      <c r="H582" s="37">
        <f>IF($A582="","",IFERROR(ROUND(MAX(0,$B582*INDEX(tblKurallar[deger_2025],MATCH("KIK-001",tblKurallar[kural_id],0))-($C582+$D582+$E582+$F582)),kik_yuvarMax),0))</f>
        <v/>
      </c>
      <c r="I582" s="37">
        <f>IF($A582="","",IFERROR(MAX(0,$H582-$G582*kik_sifirCarpan),0))</f>
        <v/>
      </c>
    </row>
    <row r="583">
      <c r="A583" s="36" t="n"/>
      <c r="B583" s="36" t="n"/>
      <c r="C583" s="36" t="n"/>
      <c r="D583" s="36" t="n"/>
      <c r="E583" s="36" t="n"/>
      <c r="F583" s="36" t="n"/>
      <c r="G583" s="36" t="n"/>
      <c r="H583" s="37">
        <f>IF($A583="","",IFERROR(ROUND(MAX(0,$B583*INDEX(tblKurallar[deger_2025],MATCH("KIK-001",tblKurallar[kural_id],0))-($C583+$D583+$E583+$F583)),kik_yuvarMax),0))</f>
        <v/>
      </c>
      <c r="I583" s="37">
        <f>IF($A583="","",IFERROR(MAX(0,$H583-$G583*kik_sifirCarpan),0))</f>
        <v/>
      </c>
    </row>
    <row r="584">
      <c r="A584" s="36" t="n"/>
      <c r="B584" s="36" t="n"/>
      <c r="C584" s="36" t="n"/>
      <c r="D584" s="36" t="n"/>
      <c r="E584" s="36" t="n"/>
      <c r="F584" s="36" t="n"/>
      <c r="G584" s="36" t="n"/>
      <c r="H584" s="37">
        <f>IF($A584="","",IFERROR(ROUND(MAX(0,$B584*INDEX(tblKurallar[deger_2025],MATCH("KIK-001",tblKurallar[kural_id],0))-($C584+$D584+$E584+$F584)),kik_yuvarMax),0))</f>
        <v/>
      </c>
      <c r="I584" s="37">
        <f>IF($A584="","",IFERROR(MAX(0,$H584-$G584*kik_sifirCarpan),0))</f>
        <v/>
      </c>
    </row>
    <row r="585">
      <c r="A585" s="36" t="n"/>
      <c r="B585" s="36" t="n"/>
      <c r="C585" s="36" t="n"/>
      <c r="D585" s="36" t="n"/>
      <c r="E585" s="36" t="n"/>
      <c r="F585" s="36" t="n"/>
      <c r="G585" s="36" t="n"/>
      <c r="H585" s="37">
        <f>IF($A585="","",IFERROR(ROUND(MAX(0,$B585*INDEX(tblKurallar[deger_2025],MATCH("KIK-001",tblKurallar[kural_id],0))-($C585+$D585+$E585+$F585)),kik_yuvarMax),0))</f>
        <v/>
      </c>
      <c r="I585" s="37">
        <f>IF($A585="","",IFERROR(MAX(0,$H585-$G585*kik_sifirCarpan),0))</f>
        <v/>
      </c>
    </row>
    <row r="586">
      <c r="A586" s="36" t="n"/>
      <c r="B586" s="36" t="n"/>
      <c r="C586" s="36" t="n"/>
      <c r="D586" s="36" t="n"/>
      <c r="E586" s="36" t="n"/>
      <c r="F586" s="36" t="n"/>
      <c r="G586" s="36" t="n"/>
      <c r="H586" s="37">
        <f>IF($A586="","",IFERROR(ROUND(MAX(0,$B586*INDEX(tblKurallar[deger_2025],MATCH("KIK-001",tblKurallar[kural_id],0))-($C586+$D586+$E586+$F586)),kik_yuvarMax),0))</f>
        <v/>
      </c>
      <c r="I586" s="37">
        <f>IF($A586="","",IFERROR(MAX(0,$H586-$G586*kik_sifirCarpan),0))</f>
        <v/>
      </c>
    </row>
    <row r="587">
      <c r="A587" s="36" t="n"/>
      <c r="B587" s="36" t="n"/>
      <c r="C587" s="36" t="n"/>
      <c r="D587" s="36" t="n"/>
      <c r="E587" s="36" t="n"/>
      <c r="F587" s="36" t="n"/>
      <c r="G587" s="36" t="n"/>
      <c r="H587" s="37">
        <f>IF($A587="","",IFERROR(ROUND(MAX(0,$B587*INDEX(tblKurallar[deger_2025],MATCH("KIK-001",tblKurallar[kural_id],0))-($C587+$D587+$E587+$F587)),kik_yuvarMax),0))</f>
        <v/>
      </c>
      <c r="I587" s="37">
        <f>IF($A587="","",IFERROR(MAX(0,$H587-$G587*kik_sifirCarpan),0))</f>
        <v/>
      </c>
    </row>
    <row r="588">
      <c r="A588" s="36" t="n"/>
      <c r="B588" s="36" t="n"/>
      <c r="C588" s="36" t="n"/>
      <c r="D588" s="36" t="n"/>
      <c r="E588" s="36" t="n"/>
      <c r="F588" s="36" t="n"/>
      <c r="G588" s="36" t="n"/>
      <c r="H588" s="37">
        <f>IF($A588="","",IFERROR(ROUND(MAX(0,$B588*INDEX(tblKurallar[deger_2025],MATCH("KIK-001",tblKurallar[kural_id],0))-($C588+$D588+$E588+$F588)),kik_yuvarMax),0))</f>
        <v/>
      </c>
      <c r="I588" s="37">
        <f>IF($A588="","",IFERROR(MAX(0,$H588-$G588*kik_sifirCarpan),0))</f>
        <v/>
      </c>
    </row>
    <row r="589">
      <c r="A589" s="36" t="n"/>
      <c r="B589" s="36" t="n"/>
      <c r="C589" s="36" t="n"/>
      <c r="D589" s="36" t="n"/>
      <c r="E589" s="36" t="n"/>
      <c r="F589" s="36" t="n"/>
      <c r="G589" s="36" t="n"/>
      <c r="H589" s="37">
        <f>IF($A589="","",IFERROR(ROUND(MAX(0,$B589*INDEX(tblKurallar[deger_2025],MATCH("KIK-001",tblKurallar[kural_id],0))-($C589+$D589+$E589+$F589)),kik_yuvarMax),0))</f>
        <v/>
      </c>
      <c r="I589" s="37">
        <f>IF($A589="","",IFERROR(MAX(0,$H589-$G589*kik_sifirCarpan),0))</f>
        <v/>
      </c>
    </row>
    <row r="590">
      <c r="A590" s="36" t="n"/>
      <c r="B590" s="36" t="n"/>
      <c r="C590" s="36" t="n"/>
      <c r="D590" s="36" t="n"/>
      <c r="E590" s="36" t="n"/>
      <c r="F590" s="36" t="n"/>
      <c r="G590" s="36" t="n"/>
      <c r="H590" s="37">
        <f>IF($A590="","",IFERROR(ROUND(MAX(0,$B590*INDEX(tblKurallar[deger_2025],MATCH("KIK-001",tblKurallar[kural_id],0))-($C590+$D590+$E590+$F590)),kik_yuvarMax),0))</f>
        <v/>
      </c>
      <c r="I590" s="37">
        <f>IF($A590="","",IFERROR(MAX(0,$H590-$G590*kik_sifirCarpan),0))</f>
        <v/>
      </c>
    </row>
    <row r="591">
      <c r="A591" s="36" t="n"/>
      <c r="B591" s="36" t="n"/>
      <c r="C591" s="36" t="n"/>
      <c r="D591" s="36" t="n"/>
      <c r="E591" s="36" t="n"/>
      <c r="F591" s="36" t="n"/>
      <c r="G591" s="36" t="n"/>
      <c r="H591" s="37">
        <f>IF($A591="","",IFERROR(ROUND(MAX(0,$B591*INDEX(tblKurallar[deger_2025],MATCH("KIK-001",tblKurallar[kural_id],0))-($C591+$D591+$E591+$F591)),kik_yuvarMax),0))</f>
        <v/>
      </c>
      <c r="I591" s="37">
        <f>IF($A591="","",IFERROR(MAX(0,$H591-$G591*kik_sifirCarpan),0))</f>
        <v/>
      </c>
    </row>
    <row r="592">
      <c r="A592" s="36" t="n"/>
      <c r="B592" s="36" t="n"/>
      <c r="C592" s="36" t="n"/>
      <c r="D592" s="36" t="n"/>
      <c r="E592" s="36" t="n"/>
      <c r="F592" s="36" t="n"/>
      <c r="G592" s="36" t="n"/>
      <c r="H592" s="37">
        <f>IF($A592="","",IFERROR(ROUND(MAX(0,$B592*INDEX(tblKurallar[deger_2025],MATCH("KIK-001",tblKurallar[kural_id],0))-($C592+$D592+$E592+$F592)),kik_yuvarMax),0))</f>
        <v/>
      </c>
      <c r="I592" s="37">
        <f>IF($A592="","",IFERROR(MAX(0,$H592-$G592*kik_sifirCarpan),0))</f>
        <v/>
      </c>
    </row>
    <row r="593">
      <c r="A593" s="36" t="n"/>
      <c r="B593" s="36" t="n"/>
      <c r="C593" s="36" t="n"/>
      <c r="D593" s="36" t="n"/>
      <c r="E593" s="36" t="n"/>
      <c r="F593" s="36" t="n"/>
      <c r="G593" s="36" t="n"/>
      <c r="H593" s="37">
        <f>IF($A593="","",IFERROR(ROUND(MAX(0,$B593*INDEX(tblKurallar[deger_2025],MATCH("KIK-001",tblKurallar[kural_id],0))-($C593+$D593+$E593+$F593)),kik_yuvarMax),0))</f>
        <v/>
      </c>
      <c r="I593" s="37">
        <f>IF($A593="","",IFERROR(MAX(0,$H593-$G593*kik_sifirCarpan),0))</f>
        <v/>
      </c>
    </row>
    <row r="594">
      <c r="A594" s="36" t="n"/>
      <c r="B594" s="36" t="n"/>
      <c r="C594" s="36" t="n"/>
      <c r="D594" s="36" t="n"/>
      <c r="E594" s="36" t="n"/>
      <c r="F594" s="36" t="n"/>
      <c r="G594" s="36" t="n"/>
      <c r="H594" s="37">
        <f>IF($A594="","",IFERROR(ROUND(MAX(0,$B594*INDEX(tblKurallar[deger_2025],MATCH("KIK-001",tblKurallar[kural_id],0))-($C594+$D594+$E594+$F594)),kik_yuvarMax),0))</f>
        <v/>
      </c>
      <c r="I594" s="37">
        <f>IF($A594="","",IFERROR(MAX(0,$H594-$G594*kik_sifirCarpan),0))</f>
        <v/>
      </c>
    </row>
    <row r="595">
      <c r="A595" s="36" t="n"/>
      <c r="B595" s="36" t="n"/>
      <c r="C595" s="36" t="n"/>
      <c r="D595" s="36" t="n"/>
      <c r="E595" s="36" t="n"/>
      <c r="F595" s="36" t="n"/>
      <c r="G595" s="36" t="n"/>
      <c r="H595" s="37">
        <f>IF($A595="","",IFERROR(ROUND(MAX(0,$B595*INDEX(tblKurallar[deger_2025],MATCH("KIK-001",tblKurallar[kural_id],0))-($C595+$D595+$E595+$F595)),kik_yuvarMax),0))</f>
        <v/>
      </c>
      <c r="I595" s="37">
        <f>IF($A595="","",IFERROR(MAX(0,$H595-$G595*kik_sifirCarpan),0))</f>
        <v/>
      </c>
    </row>
    <row r="596">
      <c r="A596" s="36" t="n"/>
      <c r="B596" s="36" t="n"/>
      <c r="C596" s="36" t="n"/>
      <c r="D596" s="36" t="n"/>
      <c r="E596" s="36" t="n"/>
      <c r="F596" s="36" t="n"/>
      <c r="G596" s="36" t="n"/>
      <c r="H596" s="37">
        <f>IF($A596="","",IFERROR(ROUND(MAX(0,$B596*INDEX(tblKurallar[deger_2025],MATCH("KIK-001",tblKurallar[kural_id],0))-($C596+$D596+$E596+$F596)),kik_yuvarMax),0))</f>
        <v/>
      </c>
      <c r="I596" s="37">
        <f>IF($A596="","",IFERROR(MAX(0,$H596-$G596*kik_sifirCarpan),0))</f>
        <v/>
      </c>
    </row>
    <row r="597">
      <c r="A597" s="36" t="n"/>
      <c r="B597" s="36" t="n"/>
      <c r="C597" s="36" t="n"/>
      <c r="D597" s="36" t="n"/>
      <c r="E597" s="36" t="n"/>
      <c r="F597" s="36" t="n"/>
      <c r="G597" s="36" t="n"/>
      <c r="H597" s="37">
        <f>IF($A597="","",IFERROR(ROUND(MAX(0,$B597*INDEX(tblKurallar[deger_2025],MATCH("KIK-001",tblKurallar[kural_id],0))-($C597+$D597+$E597+$F597)),kik_yuvarMax),0))</f>
        <v/>
      </c>
      <c r="I597" s="37">
        <f>IF($A597="","",IFERROR(MAX(0,$H597-$G597*kik_sifirCarpan),0))</f>
        <v/>
      </c>
    </row>
    <row r="598">
      <c r="A598" s="36" t="n"/>
      <c r="B598" s="36" t="n"/>
      <c r="C598" s="36" t="n"/>
      <c r="D598" s="36" t="n"/>
      <c r="E598" s="36" t="n"/>
      <c r="F598" s="36" t="n"/>
      <c r="G598" s="36" t="n"/>
      <c r="H598" s="37">
        <f>IF($A598="","",IFERROR(ROUND(MAX(0,$B598*INDEX(tblKurallar[deger_2025],MATCH("KIK-001",tblKurallar[kural_id],0))-($C598+$D598+$E598+$F598)),kik_yuvarMax),0))</f>
        <v/>
      </c>
      <c r="I598" s="37">
        <f>IF($A598="","",IFERROR(MAX(0,$H598-$G598*kik_sifirCarpan),0))</f>
        <v/>
      </c>
    </row>
    <row r="599">
      <c r="A599" s="36" t="n"/>
      <c r="B599" s="36" t="n"/>
      <c r="C599" s="36" t="n"/>
      <c r="D599" s="36" t="n"/>
      <c r="E599" s="36" t="n"/>
      <c r="F599" s="36" t="n"/>
      <c r="G599" s="36" t="n"/>
      <c r="H599" s="37">
        <f>IF($A599="","",IFERROR(ROUND(MAX(0,$B599*INDEX(tblKurallar[deger_2025],MATCH("KIK-001",tblKurallar[kural_id],0))-($C599+$D599+$E599+$F599)),kik_yuvarMax),0))</f>
        <v/>
      </c>
      <c r="I599" s="37">
        <f>IF($A599="","",IFERROR(MAX(0,$H599-$G599*kik_sifirCarpan),0))</f>
        <v/>
      </c>
    </row>
    <row r="600">
      <c r="A600" s="36" t="n"/>
      <c r="B600" s="36" t="n"/>
      <c r="C600" s="36" t="n"/>
      <c r="D600" s="36" t="n"/>
      <c r="E600" s="36" t="n"/>
      <c r="F600" s="36" t="n"/>
      <c r="G600" s="36" t="n"/>
      <c r="H600" s="37">
        <f>IF($A600="","",IFERROR(ROUND(MAX(0,$B600*INDEX(tblKurallar[deger_2025],MATCH("KIK-001",tblKurallar[kural_id],0))-($C600+$D600+$E600+$F600)),kik_yuvarMax),0))</f>
        <v/>
      </c>
      <c r="I600" s="37">
        <f>IF($A600="","",IFERROR(MAX(0,$H600-$G600*kik_sifirCarpan),0))</f>
        <v/>
      </c>
    </row>
    <row r="601">
      <c r="A601" s="36" t="n"/>
      <c r="B601" s="36" t="n"/>
      <c r="C601" s="36" t="n"/>
      <c r="D601" s="36" t="n"/>
      <c r="E601" s="36" t="n"/>
      <c r="F601" s="36" t="n"/>
      <c r="G601" s="36" t="n"/>
      <c r="H601" s="37">
        <f>IF($A601="","",IFERROR(ROUND(MAX(0,$B601*INDEX(tblKurallar[deger_2025],MATCH("KIK-001",tblKurallar[kural_id],0))-($C601+$D601+$E601+$F601)),kik_yuvarMax),0))</f>
        <v/>
      </c>
      <c r="I601" s="37">
        <f>IF($A601="","",IFERROR(MAX(0,$H601-$G601*kik_sifirCarpan),0))</f>
        <v/>
      </c>
    </row>
    <row r="602">
      <c r="A602" s="36" t="n"/>
      <c r="B602" s="36" t="n"/>
      <c r="C602" s="36" t="n"/>
      <c r="D602" s="36" t="n"/>
      <c r="E602" s="36" t="n"/>
      <c r="F602" s="36" t="n"/>
      <c r="G602" s="36" t="n"/>
      <c r="H602" s="37">
        <f>IF($A602="","",IFERROR(ROUND(MAX(0,$B602*INDEX(tblKurallar[deger_2025],MATCH("KIK-001",tblKurallar[kural_id],0))-($C602+$D602+$E602+$F602)),kik_yuvarMax),0))</f>
        <v/>
      </c>
      <c r="I602" s="37">
        <f>IF($A602="","",IFERROR(MAX(0,$H602-$G602*kik_sifirCarpan),0))</f>
        <v/>
      </c>
    </row>
    <row r="603">
      <c r="A603" s="36" t="n"/>
      <c r="B603" s="36" t="n"/>
      <c r="C603" s="36" t="n"/>
      <c r="D603" s="36" t="n"/>
      <c r="E603" s="36" t="n"/>
      <c r="F603" s="36" t="n"/>
      <c r="G603" s="36" t="n"/>
      <c r="H603" s="37">
        <f>IF($A603="","",IFERROR(ROUND(MAX(0,$B603*INDEX(tblKurallar[deger_2025],MATCH("KIK-001",tblKurallar[kural_id],0))-($C603+$D603+$E603+$F603)),kik_yuvarMax),0))</f>
        <v/>
      </c>
      <c r="I603" s="37">
        <f>IF($A603="","",IFERROR(MAX(0,$H603-$G603*kik_sifirCarpan),0))</f>
        <v/>
      </c>
    </row>
    <row r="604">
      <c r="A604" s="36" t="n"/>
      <c r="B604" s="36" t="n"/>
      <c r="C604" s="36" t="n"/>
      <c r="D604" s="36" t="n"/>
      <c r="E604" s="36" t="n"/>
      <c r="F604" s="36" t="n"/>
      <c r="G604" s="36" t="n"/>
      <c r="H604" s="37">
        <f>IF($A604="","",IFERROR(ROUND(MAX(0,$B604*INDEX(tblKurallar[deger_2025],MATCH("KIK-001",tblKurallar[kural_id],0))-($C604+$D604+$E604+$F604)),kik_yuvarMax),0))</f>
        <v/>
      </c>
      <c r="I604" s="37">
        <f>IF($A604="","",IFERROR(MAX(0,$H604-$G604*kik_sifirCarpan),0))</f>
        <v/>
      </c>
    </row>
    <row r="605">
      <c r="A605" s="36" t="n"/>
      <c r="B605" s="36" t="n"/>
      <c r="C605" s="36" t="n"/>
      <c r="D605" s="36" t="n"/>
      <c r="E605" s="36" t="n"/>
      <c r="F605" s="36" t="n"/>
      <c r="G605" s="36" t="n"/>
      <c r="H605" s="37">
        <f>IF($A605="","",IFERROR(ROUND(MAX(0,$B605*INDEX(tblKurallar[deger_2025],MATCH("KIK-001",tblKurallar[kural_id],0))-($C605+$D605+$E605+$F605)),kik_yuvarMax),0))</f>
        <v/>
      </c>
      <c r="I605" s="37">
        <f>IF($A605="","",IFERROR(MAX(0,$H605-$G605*kik_sifirCarpan),0))</f>
        <v/>
      </c>
    </row>
    <row r="606">
      <c r="A606" s="36" t="n"/>
      <c r="B606" s="36" t="n"/>
      <c r="C606" s="36" t="n"/>
      <c r="D606" s="36" t="n"/>
      <c r="E606" s="36" t="n"/>
      <c r="F606" s="36" t="n"/>
      <c r="G606" s="36" t="n"/>
      <c r="H606" s="37">
        <f>IF($A606="","",IFERROR(ROUND(MAX(0,$B606*INDEX(tblKurallar[deger_2025],MATCH("KIK-001",tblKurallar[kural_id],0))-($C606+$D606+$E606+$F606)),kik_yuvarMax),0))</f>
        <v/>
      </c>
      <c r="I606" s="37">
        <f>IF($A606="","",IFERROR(MAX(0,$H606-$G606*kik_sifirCarpan),0))</f>
        <v/>
      </c>
    </row>
    <row r="607">
      <c r="A607" s="36" t="n"/>
      <c r="B607" s="36" t="n"/>
      <c r="C607" s="36" t="n"/>
      <c r="D607" s="36" t="n"/>
      <c r="E607" s="36" t="n"/>
      <c r="F607" s="36" t="n"/>
      <c r="G607" s="36" t="n"/>
      <c r="H607" s="37">
        <f>IF($A607="","",IFERROR(ROUND(MAX(0,$B607*INDEX(tblKurallar[deger_2025],MATCH("KIK-001",tblKurallar[kural_id],0))-($C607+$D607+$E607+$F607)),kik_yuvarMax),0))</f>
        <v/>
      </c>
      <c r="I607" s="37">
        <f>IF($A607="","",IFERROR(MAX(0,$H607-$G607*kik_sifirCarpan),0))</f>
        <v/>
      </c>
    </row>
    <row r="608">
      <c r="A608" s="36" t="n"/>
      <c r="B608" s="36" t="n"/>
      <c r="C608" s="36" t="n"/>
      <c r="D608" s="36" t="n"/>
      <c r="E608" s="36" t="n"/>
      <c r="F608" s="36" t="n"/>
      <c r="G608" s="36" t="n"/>
      <c r="H608" s="37">
        <f>IF($A608="","",IFERROR(ROUND(MAX(0,$B608*INDEX(tblKurallar[deger_2025],MATCH("KIK-001",tblKurallar[kural_id],0))-($C608+$D608+$E608+$F608)),kik_yuvarMax),0))</f>
        <v/>
      </c>
      <c r="I608" s="37">
        <f>IF($A608="","",IFERROR(MAX(0,$H608-$G608*kik_sifirCarpan),0))</f>
        <v/>
      </c>
    </row>
    <row r="609">
      <c r="A609" s="36" t="n"/>
      <c r="B609" s="36" t="n"/>
      <c r="C609" s="36" t="n"/>
      <c r="D609" s="36" t="n"/>
      <c r="E609" s="36" t="n"/>
      <c r="F609" s="36" t="n"/>
      <c r="G609" s="36" t="n"/>
      <c r="H609" s="37">
        <f>IF($A609="","",IFERROR(ROUND(MAX(0,$B609*INDEX(tblKurallar[deger_2025],MATCH("KIK-001",tblKurallar[kural_id],0))-($C609+$D609+$E609+$F609)),kik_yuvarMax),0))</f>
        <v/>
      </c>
      <c r="I609" s="37">
        <f>IF($A609="","",IFERROR(MAX(0,$H609-$G609*kik_sifirCarpan),0))</f>
        <v/>
      </c>
    </row>
    <row r="610">
      <c r="A610" s="36" t="n"/>
      <c r="B610" s="36" t="n"/>
      <c r="C610" s="36" t="n"/>
      <c r="D610" s="36" t="n"/>
      <c r="E610" s="36" t="n"/>
      <c r="F610" s="36" t="n"/>
      <c r="G610" s="36" t="n"/>
      <c r="H610" s="37">
        <f>IF($A610="","",IFERROR(ROUND(MAX(0,$B610*INDEX(tblKurallar[deger_2025],MATCH("KIK-001",tblKurallar[kural_id],0))-($C610+$D610+$E610+$F610)),kik_yuvarMax),0))</f>
        <v/>
      </c>
      <c r="I610" s="37">
        <f>IF($A610="","",IFERROR(MAX(0,$H610-$G610*kik_sifirCarpan),0))</f>
        <v/>
      </c>
    </row>
    <row r="611">
      <c r="A611" s="36" t="n"/>
      <c r="B611" s="36" t="n"/>
      <c r="C611" s="36" t="n"/>
      <c r="D611" s="36" t="n"/>
      <c r="E611" s="36" t="n"/>
      <c r="F611" s="36" t="n"/>
      <c r="G611" s="36" t="n"/>
      <c r="H611" s="37">
        <f>IF($A611="","",IFERROR(ROUND(MAX(0,$B611*INDEX(tblKurallar[deger_2025],MATCH("KIK-001",tblKurallar[kural_id],0))-($C611+$D611+$E611+$F611)),kik_yuvarMax),0))</f>
        <v/>
      </c>
      <c r="I611" s="37">
        <f>IF($A611="","",IFERROR(MAX(0,$H611-$G611*kik_sifirCarpan),0))</f>
        <v/>
      </c>
    </row>
    <row r="612">
      <c r="A612" s="36" t="n"/>
      <c r="B612" s="36" t="n"/>
      <c r="C612" s="36" t="n"/>
      <c r="D612" s="36" t="n"/>
      <c r="E612" s="36" t="n"/>
      <c r="F612" s="36" t="n"/>
      <c r="G612" s="36" t="n"/>
      <c r="H612" s="37">
        <f>IF($A612="","",IFERROR(ROUND(MAX(0,$B612*INDEX(tblKurallar[deger_2025],MATCH("KIK-001",tblKurallar[kural_id],0))-($C612+$D612+$E612+$F612)),kik_yuvarMax),0))</f>
        <v/>
      </c>
      <c r="I612" s="37">
        <f>IF($A612="","",IFERROR(MAX(0,$H612-$G612*kik_sifirCarpan),0))</f>
        <v/>
      </c>
    </row>
    <row r="613">
      <c r="A613" s="36" t="n"/>
      <c r="B613" s="36" t="n"/>
      <c r="C613" s="36" t="n"/>
      <c r="D613" s="36" t="n"/>
      <c r="E613" s="36" t="n"/>
      <c r="F613" s="36" t="n"/>
      <c r="G613" s="36" t="n"/>
      <c r="H613" s="37">
        <f>IF($A613="","",IFERROR(ROUND(MAX(0,$B613*INDEX(tblKurallar[deger_2025],MATCH("KIK-001",tblKurallar[kural_id],0))-($C613+$D613+$E613+$F613)),kik_yuvarMax),0))</f>
        <v/>
      </c>
      <c r="I613" s="37">
        <f>IF($A613="","",IFERROR(MAX(0,$H613-$G613*kik_sifirCarpan),0))</f>
        <v/>
      </c>
    </row>
    <row r="614">
      <c r="A614" s="36" t="n"/>
      <c r="B614" s="36" t="n"/>
      <c r="C614" s="36" t="n"/>
      <c r="D614" s="36" t="n"/>
      <c r="E614" s="36" t="n"/>
      <c r="F614" s="36" t="n"/>
      <c r="G614" s="36" t="n"/>
      <c r="H614" s="37">
        <f>IF($A614="","",IFERROR(ROUND(MAX(0,$B614*INDEX(tblKurallar[deger_2025],MATCH("KIK-001",tblKurallar[kural_id],0))-($C614+$D614+$E614+$F614)),kik_yuvarMax),0))</f>
        <v/>
      </c>
      <c r="I614" s="37">
        <f>IF($A614="","",IFERROR(MAX(0,$H614-$G614*kik_sifirCarpan),0))</f>
        <v/>
      </c>
    </row>
    <row r="615">
      <c r="A615" s="36" t="n"/>
      <c r="B615" s="36" t="n"/>
      <c r="C615" s="36" t="n"/>
      <c r="D615" s="36" t="n"/>
      <c r="E615" s="36" t="n"/>
      <c r="F615" s="36" t="n"/>
      <c r="G615" s="36" t="n"/>
      <c r="H615" s="37">
        <f>IF($A615="","",IFERROR(ROUND(MAX(0,$B615*INDEX(tblKurallar[deger_2025],MATCH("KIK-001",tblKurallar[kural_id],0))-($C615+$D615+$E615+$F615)),kik_yuvarMax),0))</f>
        <v/>
      </c>
      <c r="I615" s="37">
        <f>IF($A615="","",IFERROR(MAX(0,$H615-$G615*kik_sifirCarpan),0))</f>
        <v/>
      </c>
    </row>
    <row r="616">
      <c r="A616" s="36" t="n"/>
      <c r="B616" s="36" t="n"/>
      <c r="C616" s="36" t="n"/>
      <c r="D616" s="36" t="n"/>
      <c r="E616" s="36" t="n"/>
      <c r="F616" s="36" t="n"/>
      <c r="G616" s="36" t="n"/>
      <c r="H616" s="37">
        <f>IF($A616="","",IFERROR(ROUND(MAX(0,$B616*INDEX(tblKurallar[deger_2025],MATCH("KIK-001",tblKurallar[kural_id],0))-($C616+$D616+$E616+$F616)),kik_yuvarMax),0))</f>
        <v/>
      </c>
      <c r="I616" s="37">
        <f>IF($A616="","",IFERROR(MAX(0,$H616-$G616*kik_sifirCarpan),0))</f>
        <v/>
      </c>
    </row>
    <row r="617">
      <c r="A617" s="36" t="n"/>
      <c r="B617" s="36" t="n"/>
      <c r="C617" s="36" t="n"/>
      <c r="D617" s="36" t="n"/>
      <c r="E617" s="36" t="n"/>
      <c r="F617" s="36" t="n"/>
      <c r="G617" s="36" t="n"/>
      <c r="H617" s="37">
        <f>IF($A617="","",IFERROR(ROUND(MAX(0,$B617*INDEX(tblKurallar[deger_2025],MATCH("KIK-001",tblKurallar[kural_id],0))-($C617+$D617+$E617+$F617)),kik_yuvarMax),0))</f>
        <v/>
      </c>
      <c r="I617" s="37">
        <f>IF($A617="","",IFERROR(MAX(0,$H617-$G617*kik_sifirCarpan),0))</f>
        <v/>
      </c>
    </row>
    <row r="618">
      <c r="A618" s="36" t="n"/>
      <c r="B618" s="36" t="n"/>
      <c r="C618" s="36" t="n"/>
      <c r="D618" s="36" t="n"/>
      <c r="E618" s="36" t="n"/>
      <c r="F618" s="36" t="n"/>
      <c r="G618" s="36" t="n"/>
      <c r="H618" s="37">
        <f>IF($A618="","",IFERROR(ROUND(MAX(0,$B618*INDEX(tblKurallar[deger_2025],MATCH("KIK-001",tblKurallar[kural_id],0))-($C618+$D618+$E618+$F618)),kik_yuvarMax),0))</f>
        <v/>
      </c>
      <c r="I618" s="37">
        <f>IF($A618="","",IFERROR(MAX(0,$H618-$G618*kik_sifirCarpan),0))</f>
        <v/>
      </c>
    </row>
    <row r="619">
      <c r="A619" s="36" t="n"/>
      <c r="B619" s="36" t="n"/>
      <c r="C619" s="36" t="n"/>
      <c r="D619" s="36" t="n"/>
      <c r="E619" s="36" t="n"/>
      <c r="F619" s="36" t="n"/>
      <c r="G619" s="36" t="n"/>
      <c r="H619" s="37">
        <f>IF($A619="","",IFERROR(ROUND(MAX(0,$B619*INDEX(tblKurallar[deger_2025],MATCH("KIK-001",tblKurallar[kural_id],0))-($C619+$D619+$E619+$F619)),kik_yuvarMax),0))</f>
        <v/>
      </c>
      <c r="I619" s="37">
        <f>IF($A619="","",IFERROR(MAX(0,$H619-$G619*kik_sifirCarpan),0))</f>
        <v/>
      </c>
    </row>
    <row r="620">
      <c r="A620" s="36" t="n"/>
      <c r="B620" s="36" t="n"/>
      <c r="C620" s="36" t="n"/>
      <c r="D620" s="36" t="n"/>
      <c r="E620" s="36" t="n"/>
      <c r="F620" s="36" t="n"/>
      <c r="G620" s="36" t="n"/>
      <c r="H620" s="37">
        <f>IF($A620="","",IFERROR(ROUND(MAX(0,$B620*INDEX(tblKurallar[deger_2025],MATCH("KIK-001",tblKurallar[kural_id],0))-($C620+$D620+$E620+$F620)),kik_yuvarMax),0))</f>
        <v/>
      </c>
      <c r="I620" s="37">
        <f>IF($A620="","",IFERROR(MAX(0,$H620-$G620*kik_sifirCarpan),0))</f>
        <v/>
      </c>
    </row>
    <row r="621">
      <c r="A621" s="36" t="n"/>
      <c r="B621" s="36" t="n"/>
      <c r="C621" s="36" t="n"/>
      <c r="D621" s="36" t="n"/>
      <c r="E621" s="36" t="n"/>
      <c r="F621" s="36" t="n"/>
      <c r="G621" s="36" t="n"/>
      <c r="H621" s="37">
        <f>IF($A621="","",IFERROR(ROUND(MAX(0,$B621*INDEX(tblKurallar[deger_2025],MATCH("KIK-001",tblKurallar[kural_id],0))-($C621+$D621+$E621+$F621)),kik_yuvarMax),0))</f>
        <v/>
      </c>
      <c r="I621" s="37">
        <f>IF($A621="","",IFERROR(MAX(0,$H621-$G621*kik_sifirCarpan),0))</f>
        <v/>
      </c>
    </row>
    <row r="622">
      <c r="A622" s="36" t="n"/>
      <c r="B622" s="36" t="n"/>
      <c r="C622" s="36" t="n"/>
      <c r="D622" s="36" t="n"/>
      <c r="E622" s="36" t="n"/>
      <c r="F622" s="36" t="n"/>
      <c r="G622" s="36" t="n"/>
      <c r="H622" s="37">
        <f>IF($A622="","",IFERROR(ROUND(MAX(0,$B622*INDEX(tblKurallar[deger_2025],MATCH("KIK-001",tblKurallar[kural_id],0))-($C622+$D622+$E622+$F622)),kik_yuvarMax),0))</f>
        <v/>
      </c>
      <c r="I622" s="37">
        <f>IF($A622="","",IFERROR(MAX(0,$H622-$G622*kik_sifirCarpan),0))</f>
        <v/>
      </c>
    </row>
    <row r="623">
      <c r="A623" s="36" t="n"/>
      <c r="B623" s="36" t="n"/>
      <c r="C623" s="36" t="n"/>
      <c r="D623" s="36" t="n"/>
      <c r="E623" s="36" t="n"/>
      <c r="F623" s="36" t="n"/>
      <c r="G623" s="36" t="n"/>
      <c r="H623" s="37">
        <f>IF($A623="","",IFERROR(ROUND(MAX(0,$B623*INDEX(tblKurallar[deger_2025],MATCH("KIK-001",tblKurallar[kural_id],0))-($C623+$D623+$E623+$F623)),kik_yuvarMax),0))</f>
        <v/>
      </c>
      <c r="I623" s="37">
        <f>IF($A623="","",IFERROR(MAX(0,$H623-$G623*kik_sifirCarpan),0))</f>
        <v/>
      </c>
    </row>
    <row r="624">
      <c r="A624" s="36" t="n"/>
      <c r="B624" s="36" t="n"/>
      <c r="C624" s="36" t="n"/>
      <c r="D624" s="36" t="n"/>
      <c r="E624" s="36" t="n"/>
      <c r="F624" s="36" t="n"/>
      <c r="G624" s="36" t="n"/>
      <c r="H624" s="37">
        <f>IF($A624="","",IFERROR(ROUND(MAX(0,$B624*INDEX(tblKurallar[deger_2025],MATCH("KIK-001",tblKurallar[kural_id],0))-($C624+$D624+$E624+$F624)),kik_yuvarMax),0))</f>
        <v/>
      </c>
      <c r="I624" s="37">
        <f>IF($A624="","",IFERROR(MAX(0,$H624-$G624*kik_sifirCarpan),0))</f>
        <v/>
      </c>
    </row>
    <row r="625">
      <c r="A625" s="36" t="n"/>
      <c r="B625" s="36" t="n"/>
      <c r="C625" s="36" t="n"/>
      <c r="D625" s="36" t="n"/>
      <c r="E625" s="36" t="n"/>
      <c r="F625" s="36" t="n"/>
      <c r="G625" s="36" t="n"/>
      <c r="H625" s="37">
        <f>IF($A625="","",IFERROR(ROUND(MAX(0,$B625*INDEX(tblKurallar[deger_2025],MATCH("KIK-001",tblKurallar[kural_id],0))-($C625+$D625+$E625+$F625)),kik_yuvarMax),0))</f>
        <v/>
      </c>
      <c r="I625" s="37">
        <f>IF($A625="","",IFERROR(MAX(0,$H625-$G625*kik_sifirCarpan),0))</f>
        <v/>
      </c>
    </row>
    <row r="626">
      <c r="A626" s="36" t="n"/>
      <c r="B626" s="36" t="n"/>
      <c r="C626" s="36" t="n"/>
      <c r="D626" s="36" t="n"/>
      <c r="E626" s="36" t="n"/>
      <c r="F626" s="36" t="n"/>
      <c r="G626" s="36" t="n"/>
      <c r="H626" s="37">
        <f>IF($A626="","",IFERROR(ROUND(MAX(0,$B626*INDEX(tblKurallar[deger_2025],MATCH("KIK-001",tblKurallar[kural_id],0))-($C626+$D626+$E626+$F626)),kik_yuvarMax),0))</f>
        <v/>
      </c>
      <c r="I626" s="37">
        <f>IF($A626="","",IFERROR(MAX(0,$H626-$G626*kik_sifirCarpan),0))</f>
        <v/>
      </c>
    </row>
    <row r="627">
      <c r="A627" s="36" t="n"/>
      <c r="B627" s="36" t="n"/>
      <c r="C627" s="36" t="n"/>
      <c r="D627" s="36" t="n"/>
      <c r="E627" s="36" t="n"/>
      <c r="F627" s="36" t="n"/>
      <c r="G627" s="36" t="n"/>
      <c r="H627" s="37">
        <f>IF($A627="","",IFERROR(ROUND(MAX(0,$B627*INDEX(tblKurallar[deger_2025],MATCH("KIK-001",tblKurallar[kural_id],0))-($C627+$D627+$E627+$F627)),kik_yuvarMax),0))</f>
        <v/>
      </c>
      <c r="I627" s="37">
        <f>IF($A627="","",IFERROR(MAX(0,$H627-$G627*kik_sifirCarpan),0))</f>
        <v/>
      </c>
    </row>
    <row r="628">
      <c r="A628" s="36" t="n"/>
      <c r="B628" s="36" t="n"/>
      <c r="C628" s="36" t="n"/>
      <c r="D628" s="36" t="n"/>
      <c r="E628" s="36" t="n"/>
      <c r="F628" s="36" t="n"/>
      <c r="G628" s="36" t="n"/>
      <c r="H628" s="37">
        <f>IF($A628="","",IFERROR(ROUND(MAX(0,$B628*INDEX(tblKurallar[deger_2025],MATCH("KIK-001",tblKurallar[kural_id],0))-($C628+$D628+$E628+$F628)),kik_yuvarMax),0))</f>
        <v/>
      </c>
      <c r="I628" s="37">
        <f>IF($A628="","",IFERROR(MAX(0,$H628-$G628*kik_sifirCarpan),0))</f>
        <v/>
      </c>
    </row>
    <row r="629">
      <c r="A629" s="36" t="n"/>
      <c r="B629" s="36" t="n"/>
      <c r="C629" s="36" t="n"/>
      <c r="D629" s="36" t="n"/>
      <c r="E629" s="36" t="n"/>
      <c r="F629" s="36" t="n"/>
      <c r="G629" s="36" t="n"/>
      <c r="H629" s="37">
        <f>IF($A629="","",IFERROR(ROUND(MAX(0,$B629*INDEX(tblKurallar[deger_2025],MATCH("KIK-001",tblKurallar[kural_id],0))-($C629+$D629+$E629+$F629)),kik_yuvarMax),0))</f>
        <v/>
      </c>
      <c r="I629" s="37">
        <f>IF($A629="","",IFERROR(MAX(0,$H629-$G629*kik_sifirCarpan),0))</f>
        <v/>
      </c>
    </row>
    <row r="630">
      <c r="A630" s="36" t="n"/>
      <c r="B630" s="36" t="n"/>
      <c r="C630" s="36" t="n"/>
      <c r="D630" s="36" t="n"/>
      <c r="E630" s="36" t="n"/>
      <c r="F630" s="36" t="n"/>
      <c r="G630" s="36" t="n"/>
      <c r="H630" s="37">
        <f>IF($A630="","",IFERROR(ROUND(MAX(0,$B630*INDEX(tblKurallar[deger_2025],MATCH("KIK-001",tblKurallar[kural_id],0))-($C630+$D630+$E630+$F630)),kik_yuvarMax),0))</f>
        <v/>
      </c>
      <c r="I630" s="37">
        <f>IF($A630="","",IFERROR(MAX(0,$H630-$G630*kik_sifirCarpan),0))</f>
        <v/>
      </c>
    </row>
    <row r="631">
      <c r="A631" s="36" t="n"/>
      <c r="B631" s="36" t="n"/>
      <c r="C631" s="36" t="n"/>
      <c r="D631" s="36" t="n"/>
      <c r="E631" s="36" t="n"/>
      <c r="F631" s="36" t="n"/>
      <c r="G631" s="36" t="n"/>
      <c r="H631" s="37">
        <f>IF($A631="","",IFERROR(ROUND(MAX(0,$B631*INDEX(tblKurallar[deger_2025],MATCH("KIK-001",tblKurallar[kural_id],0))-($C631+$D631+$E631+$F631)),kik_yuvarMax),0))</f>
        <v/>
      </c>
      <c r="I631" s="37">
        <f>IF($A631="","",IFERROR(MAX(0,$H631-$G631*kik_sifirCarpan),0))</f>
        <v/>
      </c>
    </row>
    <row r="632">
      <c r="A632" s="36" t="n"/>
      <c r="B632" s="36" t="n"/>
      <c r="C632" s="36" t="n"/>
      <c r="D632" s="36" t="n"/>
      <c r="E632" s="36" t="n"/>
      <c r="F632" s="36" t="n"/>
      <c r="G632" s="36" t="n"/>
      <c r="H632" s="37">
        <f>IF($A632="","",IFERROR(ROUND(MAX(0,$B632*INDEX(tblKurallar[deger_2025],MATCH("KIK-001",tblKurallar[kural_id],0))-($C632+$D632+$E632+$F632)),kik_yuvarMax),0))</f>
        <v/>
      </c>
      <c r="I632" s="37">
        <f>IF($A632="","",IFERROR(MAX(0,$H632-$G632*kik_sifirCarpan),0))</f>
        <v/>
      </c>
    </row>
    <row r="633">
      <c r="A633" s="36" t="n"/>
      <c r="B633" s="36" t="n"/>
      <c r="C633" s="36" t="n"/>
      <c r="D633" s="36" t="n"/>
      <c r="E633" s="36" t="n"/>
      <c r="F633" s="36" t="n"/>
      <c r="G633" s="36" t="n"/>
      <c r="H633" s="37">
        <f>IF($A633="","",IFERROR(ROUND(MAX(0,$B633*INDEX(tblKurallar[deger_2025],MATCH("KIK-001",tblKurallar[kural_id],0))-($C633+$D633+$E633+$F633)),kik_yuvarMax),0))</f>
        <v/>
      </c>
      <c r="I633" s="37">
        <f>IF($A633="","",IFERROR(MAX(0,$H633-$G633*kik_sifirCarpan),0))</f>
        <v/>
      </c>
    </row>
    <row r="634">
      <c r="A634" s="36" t="n"/>
      <c r="B634" s="36" t="n"/>
      <c r="C634" s="36" t="n"/>
      <c r="D634" s="36" t="n"/>
      <c r="E634" s="36" t="n"/>
      <c r="F634" s="36" t="n"/>
      <c r="G634" s="36" t="n"/>
      <c r="H634" s="37">
        <f>IF($A634="","",IFERROR(ROUND(MAX(0,$B634*INDEX(tblKurallar[deger_2025],MATCH("KIK-001",tblKurallar[kural_id],0))-($C634+$D634+$E634+$F634)),kik_yuvarMax),0))</f>
        <v/>
      </c>
      <c r="I634" s="37">
        <f>IF($A634="","",IFERROR(MAX(0,$H634-$G634*kik_sifirCarpan),0))</f>
        <v/>
      </c>
    </row>
    <row r="635">
      <c r="A635" s="36" t="n"/>
      <c r="B635" s="36" t="n"/>
      <c r="C635" s="36" t="n"/>
      <c r="D635" s="36" t="n"/>
      <c r="E635" s="36" t="n"/>
      <c r="F635" s="36" t="n"/>
      <c r="G635" s="36" t="n"/>
      <c r="H635" s="37">
        <f>IF($A635="","",IFERROR(ROUND(MAX(0,$B635*INDEX(tblKurallar[deger_2025],MATCH("KIK-001",tblKurallar[kural_id],0))-($C635+$D635+$E635+$F635)),kik_yuvarMax),0))</f>
        <v/>
      </c>
      <c r="I635" s="37">
        <f>IF($A635="","",IFERROR(MAX(0,$H635-$G635*kik_sifirCarpan),0))</f>
        <v/>
      </c>
    </row>
    <row r="636">
      <c r="A636" s="36" t="n"/>
      <c r="B636" s="36" t="n"/>
      <c r="C636" s="36" t="n"/>
      <c r="D636" s="36" t="n"/>
      <c r="E636" s="36" t="n"/>
      <c r="F636" s="36" t="n"/>
      <c r="G636" s="36" t="n"/>
      <c r="H636" s="37">
        <f>IF($A636="","",IFERROR(ROUND(MAX(0,$B636*INDEX(tblKurallar[deger_2025],MATCH("KIK-001",tblKurallar[kural_id],0))-($C636+$D636+$E636+$F636)),kik_yuvarMax),0))</f>
        <v/>
      </c>
      <c r="I636" s="37">
        <f>IF($A636="","",IFERROR(MAX(0,$H636-$G636*kik_sifirCarpan),0))</f>
        <v/>
      </c>
    </row>
    <row r="637">
      <c r="A637" s="36" t="n"/>
      <c r="B637" s="36" t="n"/>
      <c r="C637" s="36" t="n"/>
      <c r="D637" s="36" t="n"/>
      <c r="E637" s="36" t="n"/>
      <c r="F637" s="36" t="n"/>
      <c r="G637" s="36" t="n"/>
      <c r="H637" s="37">
        <f>IF($A637="","",IFERROR(ROUND(MAX(0,$B637*INDEX(tblKurallar[deger_2025],MATCH("KIK-001",tblKurallar[kural_id],0))-($C637+$D637+$E637+$F637)),kik_yuvarMax),0))</f>
        <v/>
      </c>
      <c r="I637" s="37">
        <f>IF($A637="","",IFERROR(MAX(0,$H637-$G637*kik_sifirCarpan),0))</f>
        <v/>
      </c>
    </row>
    <row r="638">
      <c r="A638" s="36" t="n"/>
      <c r="B638" s="36" t="n"/>
      <c r="C638" s="36" t="n"/>
      <c r="D638" s="36" t="n"/>
      <c r="E638" s="36" t="n"/>
      <c r="F638" s="36" t="n"/>
      <c r="G638" s="36" t="n"/>
      <c r="H638" s="37">
        <f>IF($A638="","",IFERROR(ROUND(MAX(0,$B638*INDEX(tblKurallar[deger_2025],MATCH("KIK-001",tblKurallar[kural_id],0))-($C638+$D638+$E638+$F638)),kik_yuvarMax),0))</f>
        <v/>
      </c>
      <c r="I638" s="37">
        <f>IF($A638="","",IFERROR(MAX(0,$H638-$G638*kik_sifirCarpan),0))</f>
        <v/>
      </c>
    </row>
    <row r="639">
      <c r="A639" s="36" t="n"/>
      <c r="B639" s="36" t="n"/>
      <c r="C639" s="36" t="n"/>
      <c r="D639" s="36" t="n"/>
      <c r="E639" s="36" t="n"/>
      <c r="F639" s="36" t="n"/>
      <c r="G639" s="36" t="n"/>
      <c r="H639" s="37">
        <f>IF($A639="","",IFERROR(ROUND(MAX(0,$B639*INDEX(tblKurallar[deger_2025],MATCH("KIK-001",tblKurallar[kural_id],0))-($C639+$D639+$E639+$F639)),kik_yuvarMax),0))</f>
        <v/>
      </c>
      <c r="I639" s="37">
        <f>IF($A639="","",IFERROR(MAX(0,$H639-$G639*kik_sifirCarpan),0))</f>
        <v/>
      </c>
    </row>
    <row r="640">
      <c r="A640" s="36" t="n"/>
      <c r="B640" s="36" t="n"/>
      <c r="C640" s="36" t="n"/>
      <c r="D640" s="36" t="n"/>
      <c r="E640" s="36" t="n"/>
      <c r="F640" s="36" t="n"/>
      <c r="G640" s="36" t="n"/>
      <c r="H640" s="37">
        <f>IF($A640="","",IFERROR(ROUND(MAX(0,$B640*INDEX(tblKurallar[deger_2025],MATCH("KIK-001",tblKurallar[kural_id],0))-($C640+$D640+$E640+$F640)),kik_yuvarMax),0))</f>
        <v/>
      </c>
      <c r="I640" s="37">
        <f>IF($A640="","",IFERROR(MAX(0,$H640-$G640*kik_sifirCarpan),0))</f>
        <v/>
      </c>
    </row>
    <row r="641">
      <c r="A641" s="36" t="n"/>
      <c r="B641" s="36" t="n"/>
      <c r="C641" s="36" t="n"/>
      <c r="D641" s="36" t="n"/>
      <c r="E641" s="36" t="n"/>
      <c r="F641" s="36" t="n"/>
      <c r="G641" s="36" t="n"/>
      <c r="H641" s="37">
        <f>IF($A641="","",IFERROR(ROUND(MAX(0,$B641*INDEX(tblKurallar[deger_2025],MATCH("KIK-001",tblKurallar[kural_id],0))-($C641+$D641+$E641+$F641)),kik_yuvarMax),0))</f>
        <v/>
      </c>
      <c r="I641" s="37">
        <f>IF($A641="","",IFERROR(MAX(0,$H641-$G641*kik_sifirCarpan),0))</f>
        <v/>
      </c>
    </row>
    <row r="642">
      <c r="A642" s="36" t="n"/>
      <c r="B642" s="36" t="n"/>
      <c r="C642" s="36" t="n"/>
      <c r="D642" s="36" t="n"/>
      <c r="E642" s="36" t="n"/>
      <c r="F642" s="36" t="n"/>
      <c r="G642" s="36" t="n"/>
      <c r="H642" s="37">
        <f>IF($A642="","",IFERROR(ROUND(MAX(0,$B642*INDEX(tblKurallar[deger_2025],MATCH("KIK-001",tblKurallar[kural_id],0))-($C642+$D642+$E642+$F642)),kik_yuvarMax),0))</f>
        <v/>
      </c>
      <c r="I642" s="37">
        <f>IF($A642="","",IFERROR(MAX(0,$H642-$G642*kik_sifirCarpan),0))</f>
        <v/>
      </c>
    </row>
    <row r="643">
      <c r="A643" s="36" t="n"/>
      <c r="B643" s="36" t="n"/>
      <c r="C643" s="36" t="n"/>
      <c r="D643" s="36" t="n"/>
      <c r="E643" s="36" t="n"/>
      <c r="F643" s="36" t="n"/>
      <c r="G643" s="36" t="n"/>
      <c r="H643" s="37">
        <f>IF($A643="","",IFERROR(ROUND(MAX(0,$B643*INDEX(tblKurallar[deger_2025],MATCH("KIK-001",tblKurallar[kural_id],0))-($C643+$D643+$E643+$F643)),kik_yuvarMax),0))</f>
        <v/>
      </c>
      <c r="I643" s="37">
        <f>IF($A643="","",IFERROR(MAX(0,$H643-$G643*kik_sifirCarpan),0))</f>
        <v/>
      </c>
    </row>
    <row r="644">
      <c r="A644" s="36" t="n"/>
      <c r="B644" s="36" t="n"/>
      <c r="C644" s="36" t="n"/>
      <c r="D644" s="36" t="n"/>
      <c r="E644" s="36" t="n"/>
      <c r="F644" s="36" t="n"/>
      <c r="G644" s="36" t="n"/>
      <c r="H644" s="37">
        <f>IF($A644="","",IFERROR(ROUND(MAX(0,$B644*INDEX(tblKurallar[deger_2025],MATCH("KIK-001",tblKurallar[kural_id],0))-($C644+$D644+$E644+$F644)),kik_yuvarMax),0))</f>
        <v/>
      </c>
      <c r="I644" s="37">
        <f>IF($A644="","",IFERROR(MAX(0,$H644-$G644*kik_sifirCarpan),0))</f>
        <v/>
      </c>
    </row>
    <row r="645">
      <c r="A645" s="36" t="n"/>
      <c r="B645" s="36" t="n"/>
      <c r="C645" s="36" t="n"/>
      <c r="D645" s="36" t="n"/>
      <c r="E645" s="36" t="n"/>
      <c r="F645" s="36" t="n"/>
      <c r="G645" s="36" t="n"/>
      <c r="H645" s="37">
        <f>IF($A645="","",IFERROR(ROUND(MAX(0,$B645*INDEX(tblKurallar[deger_2025],MATCH("KIK-001",tblKurallar[kural_id],0))-($C645+$D645+$E645+$F645)),kik_yuvarMax),0))</f>
        <v/>
      </c>
      <c r="I645" s="37">
        <f>IF($A645="","",IFERROR(MAX(0,$H645-$G645*kik_sifirCarpan),0))</f>
        <v/>
      </c>
    </row>
    <row r="646">
      <c r="A646" s="36" t="n"/>
      <c r="B646" s="36" t="n"/>
      <c r="C646" s="36" t="n"/>
      <c r="D646" s="36" t="n"/>
      <c r="E646" s="36" t="n"/>
      <c r="F646" s="36" t="n"/>
      <c r="G646" s="36" t="n"/>
      <c r="H646" s="37">
        <f>IF($A646="","",IFERROR(ROUND(MAX(0,$B646*INDEX(tblKurallar[deger_2025],MATCH("KIK-001",tblKurallar[kural_id],0))-($C646+$D646+$E646+$F646)),kik_yuvarMax),0))</f>
        <v/>
      </c>
      <c r="I646" s="37">
        <f>IF($A646="","",IFERROR(MAX(0,$H646-$G646*kik_sifirCarpan),0))</f>
        <v/>
      </c>
    </row>
    <row r="647">
      <c r="A647" s="36" t="n"/>
      <c r="B647" s="36" t="n"/>
      <c r="C647" s="36" t="n"/>
      <c r="D647" s="36" t="n"/>
      <c r="E647" s="36" t="n"/>
      <c r="F647" s="36" t="n"/>
      <c r="G647" s="36" t="n"/>
      <c r="H647" s="37">
        <f>IF($A647="","",IFERROR(ROUND(MAX(0,$B647*INDEX(tblKurallar[deger_2025],MATCH("KIK-001",tblKurallar[kural_id],0))-($C647+$D647+$E647+$F647)),kik_yuvarMax),0))</f>
        <v/>
      </c>
      <c r="I647" s="37">
        <f>IF($A647="","",IFERROR(MAX(0,$H647-$G647*kik_sifirCarpan),0))</f>
        <v/>
      </c>
    </row>
    <row r="648">
      <c r="A648" s="36" t="n"/>
      <c r="B648" s="36" t="n"/>
      <c r="C648" s="36" t="n"/>
      <c r="D648" s="36" t="n"/>
      <c r="E648" s="36" t="n"/>
      <c r="F648" s="36" t="n"/>
      <c r="G648" s="36" t="n"/>
      <c r="H648" s="37">
        <f>IF($A648="","",IFERROR(ROUND(MAX(0,$B648*INDEX(tblKurallar[deger_2025],MATCH("KIK-001",tblKurallar[kural_id],0))-($C648+$D648+$E648+$F648)),kik_yuvarMax),0))</f>
        <v/>
      </c>
      <c r="I648" s="37">
        <f>IF($A648="","",IFERROR(MAX(0,$H648-$G648*kik_sifirCarpan),0))</f>
        <v/>
      </c>
    </row>
    <row r="649">
      <c r="A649" s="36" t="n"/>
      <c r="B649" s="36" t="n"/>
      <c r="C649" s="36" t="n"/>
      <c r="D649" s="36" t="n"/>
      <c r="E649" s="36" t="n"/>
      <c r="F649" s="36" t="n"/>
      <c r="G649" s="36" t="n"/>
      <c r="H649" s="37">
        <f>IF($A649="","",IFERROR(ROUND(MAX(0,$B649*INDEX(tblKurallar[deger_2025],MATCH("KIK-001",tblKurallar[kural_id],0))-($C649+$D649+$E649+$F649)),kik_yuvarMax),0))</f>
        <v/>
      </c>
      <c r="I649" s="37">
        <f>IF($A649="","",IFERROR(MAX(0,$H649-$G649*kik_sifirCarpan),0))</f>
        <v/>
      </c>
    </row>
    <row r="650">
      <c r="A650" s="36" t="n"/>
      <c r="B650" s="36" t="n"/>
      <c r="C650" s="36" t="n"/>
      <c r="D650" s="36" t="n"/>
      <c r="E650" s="36" t="n"/>
      <c r="F650" s="36" t="n"/>
      <c r="G650" s="36" t="n"/>
      <c r="H650" s="37">
        <f>IF($A650="","",IFERROR(ROUND(MAX(0,$B650*INDEX(tblKurallar[deger_2025],MATCH("KIK-001",tblKurallar[kural_id],0))-($C650+$D650+$E650+$F650)),kik_yuvarMax),0))</f>
        <v/>
      </c>
      <c r="I650" s="37">
        <f>IF($A650="","",IFERROR(MAX(0,$H650-$G650*kik_sifirCarpan),0))</f>
        <v/>
      </c>
    </row>
    <row r="651">
      <c r="A651" s="36" t="n"/>
      <c r="B651" s="36" t="n"/>
      <c r="C651" s="36" t="n"/>
      <c r="D651" s="36" t="n"/>
      <c r="E651" s="36" t="n"/>
      <c r="F651" s="36" t="n"/>
      <c r="G651" s="36" t="n"/>
      <c r="H651" s="37">
        <f>IF($A651="","",IFERROR(ROUND(MAX(0,$B651*INDEX(tblKurallar[deger_2025],MATCH("KIK-001",tblKurallar[kural_id],0))-($C651+$D651+$E651+$F651)),kik_yuvarMax),0))</f>
        <v/>
      </c>
      <c r="I651" s="37">
        <f>IF($A651="","",IFERROR(MAX(0,$H651-$G651*kik_sifirCarpan),0))</f>
        <v/>
      </c>
    </row>
    <row r="652">
      <c r="A652" s="36" t="n"/>
      <c r="B652" s="36" t="n"/>
      <c r="C652" s="36" t="n"/>
      <c r="D652" s="36" t="n"/>
      <c r="E652" s="36" t="n"/>
      <c r="F652" s="36" t="n"/>
      <c r="G652" s="36" t="n"/>
      <c r="H652" s="37">
        <f>IF($A652="","",IFERROR(ROUND(MAX(0,$B652*INDEX(tblKurallar[deger_2025],MATCH("KIK-001",tblKurallar[kural_id],0))-($C652+$D652+$E652+$F652)),kik_yuvarMax),0))</f>
        <v/>
      </c>
      <c r="I652" s="37">
        <f>IF($A652="","",IFERROR(MAX(0,$H652-$G652*kik_sifirCarpan),0))</f>
        <v/>
      </c>
    </row>
    <row r="653">
      <c r="A653" s="36" t="n"/>
      <c r="B653" s="36" t="n"/>
      <c r="C653" s="36" t="n"/>
      <c r="D653" s="36" t="n"/>
      <c r="E653" s="36" t="n"/>
      <c r="F653" s="36" t="n"/>
      <c r="G653" s="36" t="n"/>
      <c r="H653" s="37">
        <f>IF($A653="","",IFERROR(ROUND(MAX(0,$B653*INDEX(tblKurallar[deger_2025],MATCH("KIK-001",tblKurallar[kural_id],0))-($C653+$D653+$E653+$F653)),kik_yuvarMax),0))</f>
        <v/>
      </c>
      <c r="I653" s="37">
        <f>IF($A653="","",IFERROR(MAX(0,$H653-$G653*kik_sifirCarpan),0))</f>
        <v/>
      </c>
    </row>
    <row r="654">
      <c r="A654" s="36" t="n"/>
      <c r="B654" s="36" t="n"/>
      <c r="C654" s="36" t="n"/>
      <c r="D654" s="36" t="n"/>
      <c r="E654" s="36" t="n"/>
      <c r="F654" s="36" t="n"/>
      <c r="G654" s="36" t="n"/>
      <c r="H654" s="37">
        <f>IF($A654="","",IFERROR(ROUND(MAX(0,$B654*INDEX(tblKurallar[deger_2025],MATCH("KIK-001",tblKurallar[kural_id],0))-($C654+$D654+$E654+$F654)),kik_yuvarMax),0))</f>
        <v/>
      </c>
      <c r="I654" s="37">
        <f>IF($A654="","",IFERROR(MAX(0,$H654-$G654*kik_sifirCarpan),0))</f>
        <v/>
      </c>
    </row>
    <row r="655">
      <c r="A655" s="36" t="n"/>
      <c r="B655" s="36" t="n"/>
      <c r="C655" s="36" t="n"/>
      <c r="D655" s="36" t="n"/>
      <c r="E655" s="36" t="n"/>
      <c r="F655" s="36" t="n"/>
      <c r="G655" s="36" t="n"/>
      <c r="H655" s="37">
        <f>IF($A655="","",IFERROR(ROUND(MAX(0,$B655*INDEX(tblKurallar[deger_2025],MATCH("KIK-001",tblKurallar[kural_id],0))-($C655+$D655+$E655+$F655)),kik_yuvarMax),0))</f>
        <v/>
      </c>
      <c r="I655" s="37">
        <f>IF($A655="","",IFERROR(MAX(0,$H655-$G655*kik_sifirCarpan),0))</f>
        <v/>
      </c>
    </row>
    <row r="656">
      <c r="A656" s="36" t="n"/>
      <c r="B656" s="36" t="n"/>
      <c r="C656" s="36" t="n"/>
      <c r="D656" s="36" t="n"/>
      <c r="E656" s="36" t="n"/>
      <c r="F656" s="36" t="n"/>
      <c r="G656" s="36" t="n"/>
      <c r="H656" s="37">
        <f>IF($A656="","",IFERROR(ROUND(MAX(0,$B656*INDEX(tblKurallar[deger_2025],MATCH("KIK-001",tblKurallar[kural_id],0))-($C656+$D656+$E656+$F656)),kik_yuvarMax),0))</f>
        <v/>
      </c>
      <c r="I656" s="37">
        <f>IF($A656="","",IFERROR(MAX(0,$H656-$G656*kik_sifirCarpan),0))</f>
        <v/>
      </c>
    </row>
    <row r="657">
      <c r="A657" s="36" t="n"/>
      <c r="B657" s="36" t="n"/>
      <c r="C657" s="36" t="n"/>
      <c r="D657" s="36" t="n"/>
      <c r="E657" s="36" t="n"/>
      <c r="F657" s="36" t="n"/>
      <c r="G657" s="36" t="n"/>
      <c r="H657" s="37">
        <f>IF($A657="","",IFERROR(ROUND(MAX(0,$B657*INDEX(tblKurallar[deger_2025],MATCH("KIK-001",tblKurallar[kural_id],0))-($C657+$D657+$E657+$F657)),kik_yuvarMax),0))</f>
        <v/>
      </c>
      <c r="I657" s="37">
        <f>IF($A657="","",IFERROR(MAX(0,$H657-$G657*kik_sifirCarpan),0))</f>
        <v/>
      </c>
    </row>
    <row r="658">
      <c r="A658" s="36" t="n"/>
      <c r="B658" s="36" t="n"/>
      <c r="C658" s="36" t="n"/>
      <c r="D658" s="36" t="n"/>
      <c r="E658" s="36" t="n"/>
      <c r="F658" s="36" t="n"/>
      <c r="G658" s="36" t="n"/>
      <c r="H658" s="37">
        <f>IF($A658="","",IFERROR(ROUND(MAX(0,$B658*INDEX(tblKurallar[deger_2025],MATCH("KIK-001",tblKurallar[kural_id],0))-($C658+$D658+$E658+$F658)),kik_yuvarMax),0))</f>
        <v/>
      </c>
      <c r="I658" s="37">
        <f>IF($A658="","",IFERROR(MAX(0,$H658-$G658*kik_sifirCarpan),0))</f>
        <v/>
      </c>
    </row>
    <row r="659">
      <c r="A659" s="36" t="n"/>
      <c r="B659" s="36" t="n"/>
      <c r="C659" s="36" t="n"/>
      <c r="D659" s="36" t="n"/>
      <c r="E659" s="36" t="n"/>
      <c r="F659" s="36" t="n"/>
      <c r="G659" s="36" t="n"/>
      <c r="H659" s="37">
        <f>IF($A659="","",IFERROR(ROUND(MAX(0,$B659*INDEX(tblKurallar[deger_2025],MATCH("KIK-001",tblKurallar[kural_id],0))-($C659+$D659+$E659+$F659)),kik_yuvarMax),0))</f>
        <v/>
      </c>
      <c r="I659" s="37">
        <f>IF($A659="","",IFERROR(MAX(0,$H659-$G659*kik_sifirCarpan),0))</f>
        <v/>
      </c>
    </row>
    <row r="660">
      <c r="A660" s="36" t="n"/>
      <c r="B660" s="36" t="n"/>
      <c r="C660" s="36" t="n"/>
      <c r="D660" s="36" t="n"/>
      <c r="E660" s="36" t="n"/>
      <c r="F660" s="36" t="n"/>
      <c r="G660" s="36" t="n"/>
      <c r="H660" s="37">
        <f>IF($A660="","",IFERROR(ROUND(MAX(0,$B660*INDEX(tblKurallar[deger_2025],MATCH("KIK-001",tblKurallar[kural_id],0))-($C660+$D660+$E660+$F660)),kik_yuvarMax),0))</f>
        <v/>
      </c>
      <c r="I660" s="37">
        <f>IF($A660="","",IFERROR(MAX(0,$H660-$G660*kik_sifirCarpan),0))</f>
        <v/>
      </c>
    </row>
    <row r="661">
      <c r="A661" s="36" t="n"/>
      <c r="B661" s="36" t="n"/>
      <c r="C661" s="36" t="n"/>
      <c r="D661" s="36" t="n"/>
      <c r="E661" s="36" t="n"/>
      <c r="F661" s="36" t="n"/>
      <c r="G661" s="36" t="n"/>
      <c r="H661" s="37">
        <f>IF($A661="","",IFERROR(ROUND(MAX(0,$B661*INDEX(tblKurallar[deger_2025],MATCH("KIK-001",tblKurallar[kural_id],0))-($C661+$D661+$E661+$F661)),kik_yuvarMax),0))</f>
        <v/>
      </c>
      <c r="I661" s="37">
        <f>IF($A661="","",IFERROR(MAX(0,$H661-$G661*kik_sifirCarpan),0))</f>
        <v/>
      </c>
    </row>
    <row r="662">
      <c r="A662" s="36" t="n"/>
      <c r="B662" s="36" t="n"/>
      <c r="C662" s="36" t="n"/>
      <c r="D662" s="36" t="n"/>
      <c r="E662" s="36" t="n"/>
      <c r="F662" s="36" t="n"/>
      <c r="G662" s="36" t="n"/>
      <c r="H662" s="37">
        <f>IF($A662="","",IFERROR(ROUND(MAX(0,$B662*INDEX(tblKurallar[deger_2025],MATCH("KIK-001",tblKurallar[kural_id],0))-($C662+$D662+$E662+$F662)),kik_yuvarMax),0))</f>
        <v/>
      </c>
      <c r="I662" s="37">
        <f>IF($A662="","",IFERROR(MAX(0,$H662-$G662*kik_sifirCarpan),0))</f>
        <v/>
      </c>
    </row>
    <row r="663">
      <c r="A663" s="36" t="n"/>
      <c r="B663" s="36" t="n"/>
      <c r="C663" s="36" t="n"/>
      <c r="D663" s="36" t="n"/>
      <c r="E663" s="36" t="n"/>
      <c r="F663" s="36" t="n"/>
      <c r="G663" s="36" t="n"/>
      <c r="H663" s="37">
        <f>IF($A663="","",IFERROR(ROUND(MAX(0,$B663*INDEX(tblKurallar[deger_2025],MATCH("KIK-001",tblKurallar[kural_id],0))-($C663+$D663+$E663+$F663)),kik_yuvarMax),0))</f>
        <v/>
      </c>
      <c r="I663" s="37">
        <f>IF($A663="","",IFERROR(MAX(0,$H663-$G663*kik_sifirCarpan),0))</f>
        <v/>
      </c>
    </row>
    <row r="664">
      <c r="A664" s="36" t="n"/>
      <c r="B664" s="36" t="n"/>
      <c r="C664" s="36" t="n"/>
      <c r="D664" s="36" t="n"/>
      <c r="E664" s="36" t="n"/>
      <c r="F664" s="36" t="n"/>
      <c r="G664" s="36" t="n"/>
      <c r="H664" s="37">
        <f>IF($A664="","",IFERROR(ROUND(MAX(0,$B664*INDEX(tblKurallar[deger_2025],MATCH("KIK-001",tblKurallar[kural_id],0))-($C664+$D664+$E664+$F664)),kik_yuvarMax),0))</f>
        <v/>
      </c>
      <c r="I664" s="37">
        <f>IF($A664="","",IFERROR(MAX(0,$H664-$G664*kik_sifirCarpan),0))</f>
        <v/>
      </c>
    </row>
    <row r="665">
      <c r="A665" s="36" t="n"/>
      <c r="B665" s="36" t="n"/>
      <c r="C665" s="36" t="n"/>
      <c r="D665" s="36" t="n"/>
      <c r="E665" s="36" t="n"/>
      <c r="F665" s="36" t="n"/>
      <c r="G665" s="36" t="n"/>
      <c r="H665" s="37">
        <f>IF($A665="","",IFERROR(ROUND(MAX(0,$B665*INDEX(tblKurallar[deger_2025],MATCH("KIK-001",tblKurallar[kural_id],0))-($C665+$D665+$E665+$F665)),kik_yuvarMax),0))</f>
        <v/>
      </c>
      <c r="I665" s="37">
        <f>IF($A665="","",IFERROR(MAX(0,$H665-$G665*kik_sifirCarpan),0))</f>
        <v/>
      </c>
    </row>
    <row r="666">
      <c r="A666" s="36" t="n"/>
      <c r="B666" s="36" t="n"/>
      <c r="C666" s="36" t="n"/>
      <c r="D666" s="36" t="n"/>
      <c r="E666" s="36" t="n"/>
      <c r="F666" s="36" t="n"/>
      <c r="G666" s="36" t="n"/>
      <c r="H666" s="37">
        <f>IF($A666="","",IFERROR(ROUND(MAX(0,$B666*INDEX(tblKurallar[deger_2025],MATCH("KIK-001",tblKurallar[kural_id],0))-($C666+$D666+$E666+$F666)),kik_yuvarMax),0))</f>
        <v/>
      </c>
      <c r="I666" s="37">
        <f>IF($A666="","",IFERROR(MAX(0,$H666-$G666*kik_sifirCarpan),0))</f>
        <v/>
      </c>
    </row>
    <row r="667">
      <c r="A667" s="36" t="n"/>
      <c r="B667" s="36" t="n"/>
      <c r="C667" s="36" t="n"/>
      <c r="D667" s="36" t="n"/>
      <c r="E667" s="36" t="n"/>
      <c r="F667" s="36" t="n"/>
      <c r="G667" s="36" t="n"/>
      <c r="H667" s="37">
        <f>IF($A667="","",IFERROR(ROUND(MAX(0,$B667*INDEX(tblKurallar[deger_2025],MATCH("KIK-001",tblKurallar[kural_id],0))-($C667+$D667+$E667+$F667)),kik_yuvarMax),0))</f>
        <v/>
      </c>
      <c r="I667" s="37">
        <f>IF($A667="","",IFERROR(MAX(0,$H667-$G667*kik_sifirCarpan),0))</f>
        <v/>
      </c>
    </row>
    <row r="668">
      <c r="A668" s="36" t="n"/>
      <c r="B668" s="36" t="n"/>
      <c r="C668" s="36" t="n"/>
      <c r="D668" s="36" t="n"/>
      <c r="E668" s="36" t="n"/>
      <c r="F668" s="36" t="n"/>
      <c r="G668" s="36" t="n"/>
      <c r="H668" s="37">
        <f>IF($A668="","",IFERROR(ROUND(MAX(0,$B668*INDEX(tblKurallar[deger_2025],MATCH("KIK-001",tblKurallar[kural_id],0))-($C668+$D668+$E668+$F668)),kik_yuvarMax),0))</f>
        <v/>
      </c>
      <c r="I668" s="37">
        <f>IF($A668="","",IFERROR(MAX(0,$H668-$G668*kik_sifirCarpan),0))</f>
        <v/>
      </c>
    </row>
    <row r="669">
      <c r="A669" s="36" t="n"/>
      <c r="B669" s="36" t="n"/>
      <c r="C669" s="36" t="n"/>
      <c r="D669" s="36" t="n"/>
      <c r="E669" s="36" t="n"/>
      <c r="F669" s="36" t="n"/>
      <c r="G669" s="36" t="n"/>
      <c r="H669" s="37">
        <f>IF($A669="","",IFERROR(ROUND(MAX(0,$B669*INDEX(tblKurallar[deger_2025],MATCH("KIK-001",tblKurallar[kural_id],0))-($C669+$D669+$E669+$F669)),kik_yuvarMax),0))</f>
        <v/>
      </c>
      <c r="I669" s="37">
        <f>IF($A669="","",IFERROR(MAX(0,$H669-$G669*kik_sifirCarpan),0))</f>
        <v/>
      </c>
    </row>
    <row r="670">
      <c r="A670" s="36" t="n"/>
      <c r="B670" s="36" t="n"/>
      <c r="C670" s="36" t="n"/>
      <c r="D670" s="36" t="n"/>
      <c r="E670" s="36" t="n"/>
      <c r="F670" s="36" t="n"/>
      <c r="G670" s="36" t="n"/>
      <c r="H670" s="37">
        <f>IF($A670="","",IFERROR(ROUND(MAX(0,$B670*INDEX(tblKurallar[deger_2025],MATCH("KIK-001",tblKurallar[kural_id],0))-($C670+$D670+$E670+$F670)),kik_yuvarMax),0))</f>
        <v/>
      </c>
      <c r="I670" s="37">
        <f>IF($A670="","",IFERROR(MAX(0,$H670-$G670*kik_sifirCarpan),0))</f>
        <v/>
      </c>
    </row>
    <row r="671">
      <c r="A671" s="36" t="n"/>
      <c r="B671" s="36" t="n"/>
      <c r="C671" s="36" t="n"/>
      <c r="D671" s="36" t="n"/>
      <c r="E671" s="36" t="n"/>
      <c r="F671" s="36" t="n"/>
      <c r="G671" s="36" t="n"/>
      <c r="H671" s="37">
        <f>IF($A671="","",IFERROR(ROUND(MAX(0,$B671*INDEX(tblKurallar[deger_2025],MATCH("KIK-001",tblKurallar[kural_id],0))-($C671+$D671+$E671+$F671)),kik_yuvarMax),0))</f>
        <v/>
      </c>
      <c r="I671" s="37">
        <f>IF($A671="","",IFERROR(MAX(0,$H671-$G671*kik_sifirCarpan),0))</f>
        <v/>
      </c>
    </row>
    <row r="672">
      <c r="A672" s="36" t="n"/>
      <c r="B672" s="36" t="n"/>
      <c r="C672" s="36" t="n"/>
      <c r="D672" s="36" t="n"/>
      <c r="E672" s="36" t="n"/>
      <c r="F672" s="36" t="n"/>
      <c r="G672" s="36" t="n"/>
      <c r="H672" s="37">
        <f>IF($A672="","",IFERROR(ROUND(MAX(0,$B672*INDEX(tblKurallar[deger_2025],MATCH("KIK-001",tblKurallar[kural_id],0))-($C672+$D672+$E672+$F672)),kik_yuvarMax),0))</f>
        <v/>
      </c>
      <c r="I672" s="37">
        <f>IF($A672="","",IFERROR(MAX(0,$H672-$G672*kik_sifirCarpan),0))</f>
        <v/>
      </c>
    </row>
    <row r="673">
      <c r="A673" s="36" t="n"/>
      <c r="B673" s="36" t="n"/>
      <c r="C673" s="36" t="n"/>
      <c r="D673" s="36" t="n"/>
      <c r="E673" s="36" t="n"/>
      <c r="F673" s="36" t="n"/>
      <c r="G673" s="36" t="n"/>
      <c r="H673" s="37">
        <f>IF($A673="","",IFERROR(ROUND(MAX(0,$B673*INDEX(tblKurallar[deger_2025],MATCH("KIK-001",tblKurallar[kural_id],0))-($C673+$D673+$E673+$F673)),kik_yuvarMax),0))</f>
        <v/>
      </c>
      <c r="I673" s="37">
        <f>IF($A673="","",IFERROR(MAX(0,$H673-$G673*kik_sifirCarpan),0))</f>
        <v/>
      </c>
    </row>
    <row r="674">
      <c r="A674" s="36" t="n"/>
      <c r="B674" s="36" t="n"/>
      <c r="C674" s="36" t="n"/>
      <c r="D674" s="36" t="n"/>
      <c r="E674" s="36" t="n"/>
      <c r="F674" s="36" t="n"/>
      <c r="G674" s="36" t="n"/>
      <c r="H674" s="37">
        <f>IF($A674="","",IFERROR(ROUND(MAX(0,$B674*INDEX(tblKurallar[deger_2025],MATCH("KIK-001",tblKurallar[kural_id],0))-($C674+$D674+$E674+$F674)),kik_yuvarMax),0))</f>
        <v/>
      </c>
      <c r="I674" s="37">
        <f>IF($A674="","",IFERROR(MAX(0,$H674-$G674*kik_sifirCarpan),0))</f>
        <v/>
      </c>
    </row>
    <row r="675">
      <c r="A675" s="36" t="n"/>
      <c r="B675" s="36" t="n"/>
      <c r="C675" s="36" t="n"/>
      <c r="D675" s="36" t="n"/>
      <c r="E675" s="36" t="n"/>
      <c r="F675" s="36" t="n"/>
      <c r="G675" s="36" t="n"/>
      <c r="H675" s="37">
        <f>IF($A675="","",IFERROR(ROUND(MAX(0,$B675*INDEX(tblKurallar[deger_2025],MATCH("KIK-001",tblKurallar[kural_id],0))-($C675+$D675+$E675+$F675)),kik_yuvarMax),0))</f>
        <v/>
      </c>
      <c r="I675" s="37">
        <f>IF($A675="","",IFERROR(MAX(0,$H675-$G675*kik_sifirCarpan),0))</f>
        <v/>
      </c>
    </row>
    <row r="676">
      <c r="A676" s="36" t="n"/>
      <c r="B676" s="36" t="n"/>
      <c r="C676" s="36" t="n"/>
      <c r="D676" s="36" t="n"/>
      <c r="E676" s="36" t="n"/>
      <c r="F676" s="36" t="n"/>
      <c r="G676" s="36" t="n"/>
      <c r="H676" s="37">
        <f>IF($A676="","",IFERROR(ROUND(MAX(0,$B676*INDEX(tblKurallar[deger_2025],MATCH("KIK-001",tblKurallar[kural_id],0))-($C676+$D676+$E676+$F676)),kik_yuvarMax),0))</f>
        <v/>
      </c>
      <c r="I676" s="37">
        <f>IF($A676="","",IFERROR(MAX(0,$H676-$G676*kik_sifirCarpan),0))</f>
        <v/>
      </c>
    </row>
    <row r="677">
      <c r="A677" s="36" t="n"/>
      <c r="B677" s="36" t="n"/>
      <c r="C677" s="36" t="n"/>
      <c r="D677" s="36" t="n"/>
      <c r="E677" s="36" t="n"/>
      <c r="F677" s="36" t="n"/>
      <c r="G677" s="36" t="n"/>
      <c r="H677" s="37">
        <f>IF($A677="","",IFERROR(ROUND(MAX(0,$B677*INDEX(tblKurallar[deger_2025],MATCH("KIK-001",tblKurallar[kural_id],0))-($C677+$D677+$E677+$F677)),kik_yuvarMax),0))</f>
        <v/>
      </c>
      <c r="I677" s="37">
        <f>IF($A677="","",IFERROR(MAX(0,$H677-$G677*kik_sifirCarpan),0))</f>
        <v/>
      </c>
    </row>
    <row r="678">
      <c r="A678" s="36" t="n"/>
      <c r="B678" s="36" t="n"/>
      <c r="C678" s="36" t="n"/>
      <c r="D678" s="36" t="n"/>
      <c r="E678" s="36" t="n"/>
      <c r="F678" s="36" t="n"/>
      <c r="G678" s="36" t="n"/>
      <c r="H678" s="37">
        <f>IF($A678="","",IFERROR(ROUND(MAX(0,$B678*INDEX(tblKurallar[deger_2025],MATCH("KIK-001",tblKurallar[kural_id],0))-($C678+$D678+$E678+$F678)),kik_yuvarMax),0))</f>
        <v/>
      </c>
      <c r="I678" s="37">
        <f>IF($A678="","",IFERROR(MAX(0,$H678-$G678*kik_sifirCarpan),0))</f>
        <v/>
      </c>
    </row>
    <row r="679">
      <c r="A679" s="36" t="n"/>
      <c r="B679" s="36" t="n"/>
      <c r="C679" s="36" t="n"/>
      <c r="D679" s="36" t="n"/>
      <c r="E679" s="36" t="n"/>
      <c r="F679" s="36" t="n"/>
      <c r="G679" s="36" t="n"/>
      <c r="H679" s="37">
        <f>IF($A679="","",IFERROR(ROUND(MAX(0,$B679*INDEX(tblKurallar[deger_2025],MATCH("KIK-001",tblKurallar[kural_id],0))-($C679+$D679+$E679+$F679)),kik_yuvarMax),0))</f>
        <v/>
      </c>
      <c r="I679" s="37">
        <f>IF($A679="","",IFERROR(MAX(0,$H679-$G679*kik_sifirCarpan),0))</f>
        <v/>
      </c>
    </row>
    <row r="680">
      <c r="A680" s="36" t="n"/>
      <c r="B680" s="36" t="n"/>
      <c r="C680" s="36" t="n"/>
      <c r="D680" s="36" t="n"/>
      <c r="E680" s="36" t="n"/>
      <c r="F680" s="36" t="n"/>
      <c r="G680" s="36" t="n"/>
      <c r="H680" s="37">
        <f>IF($A680="","",IFERROR(ROUND(MAX(0,$B680*INDEX(tblKurallar[deger_2025],MATCH("KIK-001",tblKurallar[kural_id],0))-($C680+$D680+$E680+$F680)),kik_yuvarMax),0))</f>
        <v/>
      </c>
      <c r="I680" s="37">
        <f>IF($A680="","",IFERROR(MAX(0,$H680-$G680*kik_sifirCarpan),0))</f>
        <v/>
      </c>
    </row>
    <row r="681">
      <c r="A681" s="36" t="n"/>
      <c r="B681" s="36" t="n"/>
      <c r="C681" s="36" t="n"/>
      <c r="D681" s="36" t="n"/>
      <c r="E681" s="36" t="n"/>
      <c r="F681" s="36" t="n"/>
      <c r="G681" s="36" t="n"/>
      <c r="H681" s="37">
        <f>IF($A681="","",IFERROR(ROUND(MAX(0,$B681*INDEX(tblKurallar[deger_2025],MATCH("KIK-001",tblKurallar[kural_id],0))-($C681+$D681+$E681+$F681)),kik_yuvarMax),0))</f>
        <v/>
      </c>
      <c r="I681" s="37">
        <f>IF($A681="","",IFERROR(MAX(0,$H681-$G681*kik_sifirCarpan),0))</f>
        <v/>
      </c>
    </row>
    <row r="682">
      <c r="A682" s="36" t="n"/>
      <c r="B682" s="36" t="n"/>
      <c r="C682" s="36" t="n"/>
      <c r="D682" s="36" t="n"/>
      <c r="E682" s="36" t="n"/>
      <c r="F682" s="36" t="n"/>
      <c r="G682" s="36" t="n"/>
      <c r="H682" s="37">
        <f>IF($A682="","",IFERROR(ROUND(MAX(0,$B682*INDEX(tblKurallar[deger_2025],MATCH("KIK-001",tblKurallar[kural_id],0))-($C682+$D682+$E682+$F682)),kik_yuvarMax),0))</f>
        <v/>
      </c>
      <c r="I682" s="37">
        <f>IF($A682="","",IFERROR(MAX(0,$H682-$G682*kik_sifirCarpan),0))</f>
        <v/>
      </c>
    </row>
    <row r="683">
      <c r="A683" s="36" t="n"/>
      <c r="B683" s="36" t="n"/>
      <c r="C683" s="36" t="n"/>
      <c r="D683" s="36" t="n"/>
      <c r="E683" s="36" t="n"/>
      <c r="F683" s="36" t="n"/>
      <c r="G683" s="36" t="n"/>
      <c r="H683" s="37">
        <f>IF($A683="","",IFERROR(ROUND(MAX(0,$B683*INDEX(tblKurallar[deger_2025],MATCH("KIK-001",tblKurallar[kural_id],0))-($C683+$D683+$E683+$F683)),kik_yuvarMax),0))</f>
        <v/>
      </c>
      <c r="I683" s="37">
        <f>IF($A683="","",IFERROR(MAX(0,$H683-$G683*kik_sifirCarpan),0))</f>
        <v/>
      </c>
    </row>
    <row r="684">
      <c r="A684" s="36" t="n"/>
      <c r="B684" s="36" t="n"/>
      <c r="C684" s="36" t="n"/>
      <c r="D684" s="36" t="n"/>
      <c r="E684" s="36" t="n"/>
      <c r="F684" s="36" t="n"/>
      <c r="G684" s="36" t="n"/>
      <c r="H684" s="37">
        <f>IF($A684="","",IFERROR(ROUND(MAX(0,$B684*INDEX(tblKurallar[deger_2025],MATCH("KIK-001",tblKurallar[kural_id],0))-($C684+$D684+$E684+$F684)),kik_yuvarMax),0))</f>
        <v/>
      </c>
      <c r="I684" s="37">
        <f>IF($A684="","",IFERROR(MAX(0,$H684-$G684*kik_sifirCarpan),0))</f>
        <v/>
      </c>
    </row>
    <row r="685">
      <c r="A685" s="36" t="n"/>
      <c r="B685" s="36" t="n"/>
      <c r="C685" s="36" t="n"/>
      <c r="D685" s="36" t="n"/>
      <c r="E685" s="36" t="n"/>
      <c r="F685" s="36" t="n"/>
      <c r="G685" s="36" t="n"/>
      <c r="H685" s="37">
        <f>IF($A685="","",IFERROR(ROUND(MAX(0,$B685*INDEX(tblKurallar[deger_2025],MATCH("KIK-001",tblKurallar[kural_id],0))-($C685+$D685+$E685+$F685)),kik_yuvarMax),0))</f>
        <v/>
      </c>
      <c r="I685" s="37">
        <f>IF($A685="","",IFERROR(MAX(0,$H685-$G685*kik_sifirCarpan),0))</f>
        <v/>
      </c>
    </row>
    <row r="686">
      <c r="A686" s="36" t="n"/>
      <c r="B686" s="36" t="n"/>
      <c r="C686" s="36" t="n"/>
      <c r="D686" s="36" t="n"/>
      <c r="E686" s="36" t="n"/>
      <c r="F686" s="36" t="n"/>
      <c r="G686" s="36" t="n"/>
      <c r="H686" s="37">
        <f>IF($A686="","",IFERROR(ROUND(MAX(0,$B686*INDEX(tblKurallar[deger_2025],MATCH("KIK-001",tblKurallar[kural_id],0))-($C686+$D686+$E686+$F686)),kik_yuvarMax),0))</f>
        <v/>
      </c>
      <c r="I686" s="37">
        <f>IF($A686="","",IFERROR(MAX(0,$H686-$G686*kik_sifirCarpan),0))</f>
        <v/>
      </c>
    </row>
    <row r="687">
      <c r="A687" s="36" t="n"/>
      <c r="B687" s="36" t="n"/>
      <c r="C687" s="36" t="n"/>
      <c r="D687" s="36" t="n"/>
      <c r="E687" s="36" t="n"/>
      <c r="F687" s="36" t="n"/>
      <c r="G687" s="36" t="n"/>
      <c r="H687" s="37">
        <f>IF($A687="","",IFERROR(ROUND(MAX(0,$B687*INDEX(tblKurallar[deger_2025],MATCH("KIK-001",tblKurallar[kural_id],0))-($C687+$D687+$E687+$F687)),kik_yuvarMax),0))</f>
        <v/>
      </c>
      <c r="I687" s="37">
        <f>IF($A687="","",IFERROR(MAX(0,$H687-$G687*kik_sifirCarpan),0))</f>
        <v/>
      </c>
    </row>
    <row r="688">
      <c r="A688" s="36" t="n"/>
      <c r="B688" s="36" t="n"/>
      <c r="C688" s="36" t="n"/>
      <c r="D688" s="36" t="n"/>
      <c r="E688" s="36" t="n"/>
      <c r="F688" s="36" t="n"/>
      <c r="G688" s="36" t="n"/>
      <c r="H688" s="37">
        <f>IF($A688="","",IFERROR(ROUND(MAX(0,$B688*INDEX(tblKurallar[deger_2025],MATCH("KIK-001",tblKurallar[kural_id],0))-($C688+$D688+$E688+$F688)),kik_yuvarMax),0))</f>
        <v/>
      </c>
      <c r="I688" s="37">
        <f>IF($A688="","",IFERROR(MAX(0,$H688-$G688*kik_sifirCarpan),0))</f>
        <v/>
      </c>
    </row>
    <row r="689">
      <c r="A689" s="36" t="n"/>
      <c r="B689" s="36" t="n"/>
      <c r="C689" s="36" t="n"/>
      <c r="D689" s="36" t="n"/>
      <c r="E689" s="36" t="n"/>
      <c r="F689" s="36" t="n"/>
      <c r="G689" s="36" t="n"/>
      <c r="H689" s="37">
        <f>IF($A689="","",IFERROR(ROUND(MAX(0,$B689*INDEX(tblKurallar[deger_2025],MATCH("KIK-001",tblKurallar[kural_id],0))-($C689+$D689+$E689+$F689)),kik_yuvarMax),0))</f>
        <v/>
      </c>
      <c r="I689" s="37">
        <f>IF($A689="","",IFERROR(MAX(0,$H689-$G689*kik_sifirCarpan),0))</f>
        <v/>
      </c>
    </row>
    <row r="690">
      <c r="A690" s="36" t="n"/>
      <c r="B690" s="36" t="n"/>
      <c r="C690" s="36" t="n"/>
      <c r="D690" s="36" t="n"/>
      <c r="E690" s="36" t="n"/>
      <c r="F690" s="36" t="n"/>
      <c r="G690" s="36" t="n"/>
      <c r="H690" s="37">
        <f>IF($A690="","",IFERROR(ROUND(MAX(0,$B690*INDEX(tblKurallar[deger_2025],MATCH("KIK-001",tblKurallar[kural_id],0))-($C690+$D690+$E690+$F690)),kik_yuvarMax),0))</f>
        <v/>
      </c>
      <c r="I690" s="37">
        <f>IF($A690="","",IFERROR(MAX(0,$H690-$G690*kik_sifirCarpan),0))</f>
        <v/>
      </c>
    </row>
    <row r="691">
      <c r="A691" s="36" t="n"/>
      <c r="B691" s="36" t="n"/>
      <c r="C691" s="36" t="n"/>
      <c r="D691" s="36" t="n"/>
      <c r="E691" s="36" t="n"/>
      <c r="F691" s="36" t="n"/>
      <c r="G691" s="36" t="n"/>
      <c r="H691" s="37">
        <f>IF($A691="","",IFERROR(ROUND(MAX(0,$B691*INDEX(tblKurallar[deger_2025],MATCH("KIK-001",tblKurallar[kural_id],0))-($C691+$D691+$E691+$F691)),kik_yuvarMax),0))</f>
        <v/>
      </c>
      <c r="I691" s="37">
        <f>IF($A691="","",IFERROR(MAX(0,$H691-$G691*kik_sifirCarpan),0))</f>
        <v/>
      </c>
    </row>
    <row r="692">
      <c r="A692" s="36" t="n"/>
      <c r="B692" s="36" t="n"/>
      <c r="C692" s="36" t="n"/>
      <c r="D692" s="36" t="n"/>
      <c r="E692" s="36" t="n"/>
      <c r="F692" s="36" t="n"/>
      <c r="G692" s="36" t="n"/>
      <c r="H692" s="37">
        <f>IF($A692="","",IFERROR(ROUND(MAX(0,$B692*INDEX(tblKurallar[deger_2025],MATCH("KIK-001",tblKurallar[kural_id],0))-($C692+$D692+$E692+$F692)),kik_yuvarMax),0))</f>
        <v/>
      </c>
      <c r="I692" s="37">
        <f>IF($A692="","",IFERROR(MAX(0,$H692-$G692*kik_sifirCarpan),0))</f>
        <v/>
      </c>
    </row>
    <row r="693">
      <c r="A693" s="36" t="n"/>
      <c r="B693" s="36" t="n"/>
      <c r="C693" s="36" t="n"/>
      <c r="D693" s="36" t="n"/>
      <c r="E693" s="36" t="n"/>
      <c r="F693" s="36" t="n"/>
      <c r="G693" s="36" t="n"/>
      <c r="H693" s="37">
        <f>IF($A693="","",IFERROR(ROUND(MAX(0,$B693*INDEX(tblKurallar[deger_2025],MATCH("KIK-001",tblKurallar[kural_id],0))-($C693+$D693+$E693+$F693)),kik_yuvarMax),0))</f>
        <v/>
      </c>
      <c r="I693" s="37">
        <f>IF($A693="","",IFERROR(MAX(0,$H693-$G693*kik_sifirCarpan),0))</f>
        <v/>
      </c>
    </row>
    <row r="694">
      <c r="A694" s="36" t="n"/>
      <c r="B694" s="36" t="n"/>
      <c r="C694" s="36" t="n"/>
      <c r="D694" s="36" t="n"/>
      <c r="E694" s="36" t="n"/>
      <c r="F694" s="36" t="n"/>
      <c r="G694" s="36" t="n"/>
      <c r="H694" s="37">
        <f>IF($A694="","",IFERROR(ROUND(MAX(0,$B694*INDEX(tblKurallar[deger_2025],MATCH("KIK-001",tblKurallar[kural_id],0))-($C694+$D694+$E694+$F694)),kik_yuvarMax),0))</f>
        <v/>
      </c>
      <c r="I694" s="37">
        <f>IF($A694="","",IFERROR(MAX(0,$H694-$G694*kik_sifirCarpan),0))</f>
        <v/>
      </c>
    </row>
    <row r="695">
      <c r="A695" s="36" t="n"/>
      <c r="B695" s="36" t="n"/>
      <c r="C695" s="36" t="n"/>
      <c r="D695" s="36" t="n"/>
      <c r="E695" s="36" t="n"/>
      <c r="F695" s="36" t="n"/>
      <c r="G695" s="36" t="n"/>
      <c r="H695" s="37">
        <f>IF($A695="","",IFERROR(ROUND(MAX(0,$B695*INDEX(tblKurallar[deger_2025],MATCH("KIK-001",tblKurallar[kural_id],0))-($C695+$D695+$E695+$F695)),kik_yuvarMax),0))</f>
        <v/>
      </c>
      <c r="I695" s="37">
        <f>IF($A695="","",IFERROR(MAX(0,$H695-$G695*kik_sifirCarpan),0))</f>
        <v/>
      </c>
    </row>
    <row r="696">
      <c r="A696" s="36" t="n"/>
      <c r="B696" s="36" t="n"/>
      <c r="C696" s="36" t="n"/>
      <c r="D696" s="36" t="n"/>
      <c r="E696" s="36" t="n"/>
      <c r="F696" s="36" t="n"/>
      <c r="G696" s="36" t="n"/>
      <c r="H696" s="37">
        <f>IF($A696="","",IFERROR(ROUND(MAX(0,$B696*INDEX(tblKurallar[deger_2025],MATCH("KIK-001",tblKurallar[kural_id],0))-($C696+$D696+$E696+$F696)),kik_yuvarMax),0))</f>
        <v/>
      </c>
      <c r="I696" s="37">
        <f>IF($A696="","",IFERROR(MAX(0,$H696-$G696*kik_sifirCarpan),0))</f>
        <v/>
      </c>
    </row>
    <row r="697">
      <c r="A697" s="36" t="n"/>
      <c r="B697" s="36" t="n"/>
      <c r="C697" s="36" t="n"/>
      <c r="D697" s="36" t="n"/>
      <c r="E697" s="36" t="n"/>
      <c r="F697" s="36" t="n"/>
      <c r="G697" s="36" t="n"/>
      <c r="H697" s="37">
        <f>IF($A697="","",IFERROR(ROUND(MAX(0,$B697*INDEX(tblKurallar[deger_2025],MATCH("KIK-001",tblKurallar[kural_id],0))-($C697+$D697+$E697+$F697)),kik_yuvarMax),0))</f>
        <v/>
      </c>
      <c r="I697" s="37">
        <f>IF($A697="","",IFERROR(MAX(0,$H697-$G697*kik_sifirCarpan),0))</f>
        <v/>
      </c>
    </row>
    <row r="698">
      <c r="A698" s="36" t="n"/>
      <c r="B698" s="36" t="n"/>
      <c r="C698" s="36" t="n"/>
      <c r="D698" s="36" t="n"/>
      <c r="E698" s="36" t="n"/>
      <c r="F698" s="36" t="n"/>
      <c r="G698" s="36" t="n"/>
      <c r="H698" s="37">
        <f>IF($A698="","",IFERROR(ROUND(MAX(0,$B698*INDEX(tblKurallar[deger_2025],MATCH("KIK-001",tblKurallar[kural_id],0))-($C698+$D698+$E698+$F698)),kik_yuvarMax),0))</f>
        <v/>
      </c>
      <c r="I698" s="37">
        <f>IF($A698="","",IFERROR(MAX(0,$H698-$G698*kik_sifirCarpan),0))</f>
        <v/>
      </c>
    </row>
    <row r="699">
      <c r="A699" s="36" t="n"/>
      <c r="B699" s="36" t="n"/>
      <c r="C699" s="36" t="n"/>
      <c r="D699" s="36" t="n"/>
      <c r="E699" s="36" t="n"/>
      <c r="F699" s="36" t="n"/>
      <c r="G699" s="36" t="n"/>
      <c r="H699" s="37">
        <f>IF($A699="","",IFERROR(ROUND(MAX(0,$B699*INDEX(tblKurallar[deger_2025],MATCH("KIK-001",tblKurallar[kural_id],0))-($C699+$D699+$E699+$F699)),kik_yuvarMax),0))</f>
        <v/>
      </c>
      <c r="I699" s="37">
        <f>IF($A699="","",IFERROR(MAX(0,$H699-$G699*kik_sifirCarpan),0))</f>
        <v/>
      </c>
    </row>
    <row r="700">
      <c r="A700" s="36" t="n"/>
      <c r="B700" s="36" t="n"/>
      <c r="C700" s="36" t="n"/>
      <c r="D700" s="36" t="n"/>
      <c r="E700" s="36" t="n"/>
      <c r="F700" s="36" t="n"/>
      <c r="G700" s="36" t="n"/>
      <c r="H700" s="37">
        <f>IF($A700="","",IFERROR(ROUND(MAX(0,$B700*INDEX(tblKurallar[deger_2025],MATCH("KIK-001",tblKurallar[kural_id],0))-($C700+$D700+$E700+$F700)),kik_yuvarMax),0))</f>
        <v/>
      </c>
      <c r="I700" s="37">
        <f>IF($A700="","",IFERROR(MAX(0,$H700-$G700*kik_sifirCarpan),0))</f>
        <v/>
      </c>
    </row>
    <row r="701">
      <c r="A701" s="36" t="n"/>
      <c r="B701" s="36" t="n"/>
      <c r="C701" s="36" t="n"/>
      <c r="D701" s="36" t="n"/>
      <c r="E701" s="36" t="n"/>
      <c r="F701" s="36" t="n"/>
      <c r="G701" s="36" t="n"/>
      <c r="H701" s="37">
        <f>IF($A701="","",IFERROR(ROUND(MAX(0,$B701*INDEX(tblKurallar[deger_2025],MATCH("KIK-001",tblKurallar[kural_id],0))-($C701+$D701+$E701+$F701)),kik_yuvarMax),0))</f>
        <v/>
      </c>
      <c r="I701" s="37">
        <f>IF($A701="","",IFERROR(MAX(0,$H701-$G701*kik_sifirCarpan),0))</f>
        <v/>
      </c>
    </row>
    <row r="702">
      <c r="A702" s="36" t="n"/>
      <c r="B702" s="36" t="n"/>
      <c r="C702" s="36" t="n"/>
      <c r="D702" s="36" t="n"/>
      <c r="E702" s="36" t="n"/>
      <c r="F702" s="36" t="n"/>
      <c r="G702" s="36" t="n"/>
      <c r="H702" s="37">
        <f>IF($A702="","",IFERROR(ROUND(MAX(0,$B702*INDEX(tblKurallar[deger_2025],MATCH("KIK-001",tblKurallar[kural_id],0))-($C702+$D702+$E702+$F702)),kik_yuvarMax),0))</f>
        <v/>
      </c>
      <c r="I702" s="37">
        <f>IF($A702="","",IFERROR(MAX(0,$H702-$G702*kik_sifirCarpan),0))</f>
        <v/>
      </c>
    </row>
    <row r="703">
      <c r="A703" s="36" t="n"/>
      <c r="B703" s="36" t="n"/>
      <c r="C703" s="36" t="n"/>
      <c r="D703" s="36" t="n"/>
      <c r="E703" s="36" t="n"/>
      <c r="F703" s="36" t="n"/>
      <c r="G703" s="36" t="n"/>
      <c r="H703" s="37">
        <f>IF($A703="","",IFERROR(ROUND(MAX(0,$B703*INDEX(tblKurallar[deger_2025],MATCH("KIK-001",tblKurallar[kural_id],0))-($C703+$D703+$E703+$F703)),kik_yuvarMax),0))</f>
        <v/>
      </c>
      <c r="I703" s="37">
        <f>IF($A703="","",IFERROR(MAX(0,$H703-$G703*kik_sifirCarpan),0))</f>
        <v/>
      </c>
    </row>
    <row r="704">
      <c r="A704" s="36" t="n"/>
      <c r="B704" s="36" t="n"/>
      <c r="C704" s="36" t="n"/>
      <c r="D704" s="36" t="n"/>
      <c r="E704" s="36" t="n"/>
      <c r="F704" s="36" t="n"/>
      <c r="G704" s="36" t="n"/>
      <c r="H704" s="37">
        <f>IF($A704="","",IFERROR(ROUND(MAX(0,$B704*INDEX(tblKurallar[deger_2025],MATCH("KIK-001",tblKurallar[kural_id],0))-($C704+$D704+$E704+$F704)),kik_yuvarMax),0))</f>
        <v/>
      </c>
      <c r="I704" s="37">
        <f>IF($A704="","",IFERROR(MAX(0,$H704-$G704*kik_sifirCarpan),0))</f>
        <v/>
      </c>
    </row>
    <row r="705">
      <c r="A705" s="36" t="n"/>
      <c r="B705" s="36" t="n"/>
      <c r="C705" s="36" t="n"/>
      <c r="D705" s="36" t="n"/>
      <c r="E705" s="36" t="n"/>
      <c r="F705" s="36" t="n"/>
      <c r="G705" s="36" t="n"/>
      <c r="H705" s="37">
        <f>IF($A705="","",IFERROR(ROUND(MAX(0,$B705*INDEX(tblKurallar[deger_2025],MATCH("KIK-001",tblKurallar[kural_id],0))-($C705+$D705+$E705+$F705)),kik_yuvarMax),0))</f>
        <v/>
      </c>
      <c r="I705" s="37">
        <f>IF($A705="","",IFERROR(MAX(0,$H705-$G705*kik_sifirCarpan),0))</f>
        <v/>
      </c>
    </row>
    <row r="706">
      <c r="A706" s="36" t="n"/>
      <c r="B706" s="36" t="n"/>
      <c r="C706" s="36" t="n"/>
      <c r="D706" s="36" t="n"/>
      <c r="E706" s="36" t="n"/>
      <c r="F706" s="36" t="n"/>
      <c r="G706" s="36" t="n"/>
      <c r="H706" s="37">
        <f>IF($A706="","",IFERROR(ROUND(MAX(0,$B706*INDEX(tblKurallar[deger_2025],MATCH("KIK-001",tblKurallar[kural_id],0))-($C706+$D706+$E706+$F706)),kik_yuvarMax),0))</f>
        <v/>
      </c>
      <c r="I706" s="37">
        <f>IF($A706="","",IFERROR(MAX(0,$H706-$G706*kik_sifirCarpan),0))</f>
        <v/>
      </c>
    </row>
    <row r="707">
      <c r="A707" s="36" t="n"/>
      <c r="B707" s="36" t="n"/>
      <c r="C707" s="36" t="n"/>
      <c r="D707" s="36" t="n"/>
      <c r="E707" s="36" t="n"/>
      <c r="F707" s="36" t="n"/>
      <c r="G707" s="36" t="n"/>
      <c r="H707" s="37">
        <f>IF($A707="","",IFERROR(ROUND(MAX(0,$B707*INDEX(tblKurallar[deger_2025],MATCH("KIK-001",tblKurallar[kural_id],0))-($C707+$D707+$E707+$F707)),kik_yuvarMax),0))</f>
        <v/>
      </c>
      <c r="I707" s="37">
        <f>IF($A707="","",IFERROR(MAX(0,$H707-$G707*kik_sifirCarpan),0))</f>
        <v/>
      </c>
    </row>
    <row r="708">
      <c r="A708" s="36" t="n"/>
      <c r="B708" s="36" t="n"/>
      <c r="C708" s="36" t="n"/>
      <c r="D708" s="36" t="n"/>
      <c r="E708" s="36" t="n"/>
      <c r="F708" s="36" t="n"/>
      <c r="G708" s="36" t="n"/>
      <c r="H708" s="37">
        <f>IF($A708="","",IFERROR(ROUND(MAX(0,$B708*INDEX(tblKurallar[deger_2025],MATCH("KIK-001",tblKurallar[kural_id],0))-($C708+$D708+$E708+$F708)),kik_yuvarMax),0))</f>
        <v/>
      </c>
      <c r="I708" s="37">
        <f>IF($A708="","",IFERROR(MAX(0,$H708-$G708*kik_sifirCarpan),0))</f>
        <v/>
      </c>
    </row>
    <row r="709">
      <c r="A709" s="36" t="n"/>
      <c r="B709" s="36" t="n"/>
      <c r="C709" s="36" t="n"/>
      <c r="D709" s="36" t="n"/>
      <c r="E709" s="36" t="n"/>
      <c r="F709" s="36" t="n"/>
      <c r="G709" s="36" t="n"/>
      <c r="H709" s="37">
        <f>IF($A709="","",IFERROR(ROUND(MAX(0,$B709*INDEX(tblKurallar[deger_2025],MATCH("KIK-001",tblKurallar[kural_id],0))-($C709+$D709+$E709+$F709)),kik_yuvarMax),0))</f>
        <v/>
      </c>
      <c r="I709" s="37">
        <f>IF($A709="","",IFERROR(MAX(0,$H709-$G709*kik_sifirCarpan),0))</f>
        <v/>
      </c>
    </row>
    <row r="710">
      <c r="A710" s="36" t="n"/>
      <c r="B710" s="36" t="n"/>
      <c r="C710" s="36" t="n"/>
      <c r="D710" s="36" t="n"/>
      <c r="E710" s="36" t="n"/>
      <c r="F710" s="36" t="n"/>
      <c r="G710" s="36" t="n"/>
      <c r="H710" s="37">
        <f>IF($A710="","",IFERROR(ROUND(MAX(0,$B710*INDEX(tblKurallar[deger_2025],MATCH("KIK-001",tblKurallar[kural_id],0))-($C710+$D710+$E710+$F710)),kik_yuvarMax),0))</f>
        <v/>
      </c>
      <c r="I710" s="37">
        <f>IF($A710="","",IFERROR(MAX(0,$H710-$G710*kik_sifirCarpan),0))</f>
        <v/>
      </c>
    </row>
    <row r="711">
      <c r="A711" s="36" t="n"/>
      <c r="B711" s="36" t="n"/>
      <c r="C711" s="36" t="n"/>
      <c r="D711" s="36" t="n"/>
      <c r="E711" s="36" t="n"/>
      <c r="F711" s="36" t="n"/>
      <c r="G711" s="36" t="n"/>
      <c r="H711" s="37">
        <f>IF($A711="","",IFERROR(ROUND(MAX(0,$B711*INDEX(tblKurallar[deger_2025],MATCH("KIK-001",tblKurallar[kural_id],0))-($C711+$D711+$E711+$F711)),kik_yuvarMax),0))</f>
        <v/>
      </c>
      <c r="I711" s="37">
        <f>IF($A711="","",IFERROR(MAX(0,$H711-$G711*kik_sifirCarpan),0))</f>
        <v/>
      </c>
    </row>
    <row r="712">
      <c r="A712" s="36" t="n"/>
      <c r="B712" s="36" t="n"/>
      <c r="C712" s="36" t="n"/>
      <c r="D712" s="36" t="n"/>
      <c r="E712" s="36" t="n"/>
      <c r="F712" s="36" t="n"/>
      <c r="G712" s="36" t="n"/>
      <c r="H712" s="37">
        <f>IF($A712="","",IFERROR(ROUND(MAX(0,$B712*INDEX(tblKurallar[deger_2025],MATCH("KIK-001",tblKurallar[kural_id],0))-($C712+$D712+$E712+$F712)),kik_yuvarMax),0))</f>
        <v/>
      </c>
      <c r="I712" s="37">
        <f>IF($A712="","",IFERROR(MAX(0,$H712-$G712*kik_sifirCarpan),0))</f>
        <v/>
      </c>
    </row>
    <row r="713">
      <c r="A713" s="36" t="n"/>
      <c r="B713" s="36" t="n"/>
      <c r="C713" s="36" t="n"/>
      <c r="D713" s="36" t="n"/>
      <c r="E713" s="36" t="n"/>
      <c r="F713" s="36" t="n"/>
      <c r="G713" s="36" t="n"/>
      <c r="H713" s="37">
        <f>IF($A713="","",IFERROR(ROUND(MAX(0,$B713*INDEX(tblKurallar[deger_2025],MATCH("KIK-001",tblKurallar[kural_id],0))-($C713+$D713+$E713+$F713)),kik_yuvarMax),0))</f>
        <v/>
      </c>
      <c r="I713" s="37">
        <f>IF($A713="","",IFERROR(MAX(0,$H713-$G713*kik_sifirCarpan),0))</f>
        <v/>
      </c>
    </row>
    <row r="714">
      <c r="A714" s="36" t="n"/>
      <c r="B714" s="36" t="n"/>
      <c r="C714" s="36" t="n"/>
      <c r="D714" s="36" t="n"/>
      <c r="E714" s="36" t="n"/>
      <c r="F714" s="36" t="n"/>
      <c r="G714" s="36" t="n"/>
      <c r="H714" s="37">
        <f>IF($A714="","",IFERROR(ROUND(MAX(0,$B714*INDEX(tblKurallar[deger_2025],MATCH("KIK-001",tblKurallar[kural_id],0))-($C714+$D714+$E714+$F714)),kik_yuvarMax),0))</f>
        <v/>
      </c>
      <c r="I714" s="37">
        <f>IF($A714="","",IFERROR(MAX(0,$H714-$G714*kik_sifirCarpan),0))</f>
        <v/>
      </c>
    </row>
    <row r="715">
      <c r="A715" s="36" t="n"/>
      <c r="B715" s="36" t="n"/>
      <c r="C715" s="36" t="n"/>
      <c r="D715" s="36" t="n"/>
      <c r="E715" s="36" t="n"/>
      <c r="F715" s="36" t="n"/>
      <c r="G715" s="36" t="n"/>
      <c r="H715" s="37">
        <f>IF($A715="","",IFERROR(ROUND(MAX(0,$B715*INDEX(tblKurallar[deger_2025],MATCH("KIK-001",tblKurallar[kural_id],0))-($C715+$D715+$E715+$F715)),kik_yuvarMax),0))</f>
        <v/>
      </c>
      <c r="I715" s="37">
        <f>IF($A715="","",IFERROR(MAX(0,$H715-$G715*kik_sifirCarpan),0))</f>
        <v/>
      </c>
    </row>
    <row r="716">
      <c r="A716" s="36" t="n"/>
      <c r="B716" s="36" t="n"/>
      <c r="C716" s="36" t="n"/>
      <c r="D716" s="36" t="n"/>
      <c r="E716" s="36" t="n"/>
      <c r="F716" s="36" t="n"/>
      <c r="G716" s="36" t="n"/>
      <c r="H716" s="37">
        <f>IF($A716="","",IFERROR(ROUND(MAX(0,$B716*INDEX(tblKurallar[deger_2025],MATCH("KIK-001",tblKurallar[kural_id],0))-($C716+$D716+$E716+$F716)),kik_yuvarMax),0))</f>
        <v/>
      </c>
      <c r="I716" s="37">
        <f>IF($A716="","",IFERROR(MAX(0,$H716-$G716*kik_sifirCarpan),0))</f>
        <v/>
      </c>
    </row>
    <row r="717">
      <c r="A717" s="36" t="n"/>
      <c r="B717" s="36" t="n"/>
      <c r="C717" s="36" t="n"/>
      <c r="D717" s="36" t="n"/>
      <c r="E717" s="36" t="n"/>
      <c r="F717" s="36" t="n"/>
      <c r="G717" s="36" t="n"/>
      <c r="H717" s="37">
        <f>IF($A717="","",IFERROR(ROUND(MAX(0,$B717*INDEX(tblKurallar[deger_2025],MATCH("KIK-001",tblKurallar[kural_id],0))-($C717+$D717+$E717+$F717)),kik_yuvarMax),0))</f>
        <v/>
      </c>
      <c r="I717" s="37">
        <f>IF($A717="","",IFERROR(MAX(0,$H717-$G717*kik_sifirCarpan),0))</f>
        <v/>
      </c>
    </row>
    <row r="718">
      <c r="A718" s="36" t="n"/>
      <c r="B718" s="36" t="n"/>
      <c r="C718" s="36" t="n"/>
      <c r="D718" s="36" t="n"/>
      <c r="E718" s="36" t="n"/>
      <c r="F718" s="36" t="n"/>
      <c r="G718" s="36" t="n"/>
      <c r="H718" s="37">
        <f>IF($A718="","",IFERROR(ROUND(MAX(0,$B718*INDEX(tblKurallar[deger_2025],MATCH("KIK-001",tblKurallar[kural_id],0))-($C718+$D718+$E718+$F718)),kik_yuvarMax),0))</f>
        <v/>
      </c>
      <c r="I718" s="37">
        <f>IF($A718="","",IFERROR(MAX(0,$H718-$G718*kik_sifirCarpan),0))</f>
        <v/>
      </c>
    </row>
    <row r="719">
      <c r="A719" s="36" t="n"/>
      <c r="B719" s="36" t="n"/>
      <c r="C719" s="36" t="n"/>
      <c r="D719" s="36" t="n"/>
      <c r="E719" s="36" t="n"/>
      <c r="F719" s="36" t="n"/>
      <c r="G719" s="36" t="n"/>
      <c r="H719" s="37">
        <f>IF($A719="","",IFERROR(ROUND(MAX(0,$B719*INDEX(tblKurallar[deger_2025],MATCH("KIK-001",tblKurallar[kural_id],0))-($C719+$D719+$E719+$F719)),kik_yuvarMax),0))</f>
        <v/>
      </c>
      <c r="I719" s="37">
        <f>IF($A719="","",IFERROR(MAX(0,$H719-$G719*kik_sifirCarpan),0))</f>
        <v/>
      </c>
    </row>
    <row r="720">
      <c r="A720" s="36" t="n"/>
      <c r="B720" s="36" t="n"/>
      <c r="C720" s="36" t="n"/>
      <c r="D720" s="36" t="n"/>
      <c r="E720" s="36" t="n"/>
      <c r="F720" s="36" t="n"/>
      <c r="G720" s="36" t="n"/>
      <c r="H720" s="37">
        <f>IF($A720="","",IFERROR(ROUND(MAX(0,$B720*INDEX(tblKurallar[deger_2025],MATCH("KIK-001",tblKurallar[kural_id],0))-($C720+$D720+$E720+$F720)),kik_yuvarMax),0))</f>
        <v/>
      </c>
      <c r="I720" s="37">
        <f>IF($A720="","",IFERROR(MAX(0,$H720-$G720*kik_sifirCarpan),0))</f>
        <v/>
      </c>
    </row>
    <row r="721">
      <c r="A721" s="36" t="n"/>
      <c r="B721" s="36" t="n"/>
      <c r="C721" s="36" t="n"/>
      <c r="D721" s="36" t="n"/>
      <c r="E721" s="36" t="n"/>
      <c r="F721" s="36" t="n"/>
      <c r="G721" s="36" t="n"/>
      <c r="H721" s="37">
        <f>IF($A721="","",IFERROR(ROUND(MAX(0,$B721*INDEX(tblKurallar[deger_2025],MATCH("KIK-001",tblKurallar[kural_id],0))-($C721+$D721+$E721+$F721)),kik_yuvarMax),0))</f>
        <v/>
      </c>
      <c r="I721" s="37">
        <f>IF($A721="","",IFERROR(MAX(0,$H721-$G721*kik_sifirCarpan),0))</f>
        <v/>
      </c>
    </row>
    <row r="722">
      <c r="A722" s="36" t="n"/>
      <c r="B722" s="36" t="n"/>
      <c r="C722" s="36" t="n"/>
      <c r="D722" s="36" t="n"/>
      <c r="E722" s="36" t="n"/>
      <c r="F722" s="36" t="n"/>
      <c r="G722" s="36" t="n"/>
      <c r="H722" s="37">
        <f>IF($A722="","",IFERROR(ROUND(MAX(0,$B722*INDEX(tblKurallar[deger_2025],MATCH("KIK-001",tblKurallar[kural_id],0))-($C722+$D722+$E722+$F722)),kik_yuvarMax),0))</f>
        <v/>
      </c>
      <c r="I722" s="37">
        <f>IF($A722="","",IFERROR(MAX(0,$H722-$G722*kik_sifirCarpan),0))</f>
        <v/>
      </c>
    </row>
    <row r="723">
      <c r="A723" s="36" t="n"/>
      <c r="B723" s="36" t="n"/>
      <c r="C723" s="36" t="n"/>
      <c r="D723" s="36" t="n"/>
      <c r="E723" s="36" t="n"/>
      <c r="F723" s="36" t="n"/>
      <c r="G723" s="36" t="n"/>
      <c r="H723" s="37">
        <f>IF($A723="","",IFERROR(ROUND(MAX(0,$B723*INDEX(tblKurallar[deger_2025],MATCH("KIK-001",tblKurallar[kural_id],0))-($C723+$D723+$E723+$F723)),kik_yuvarMax),0))</f>
        <v/>
      </c>
      <c r="I723" s="37">
        <f>IF($A723="","",IFERROR(MAX(0,$H723-$G723*kik_sifirCarpan),0))</f>
        <v/>
      </c>
    </row>
    <row r="724">
      <c r="A724" s="36" t="n"/>
      <c r="B724" s="36" t="n"/>
      <c r="C724" s="36" t="n"/>
      <c r="D724" s="36" t="n"/>
      <c r="E724" s="36" t="n"/>
      <c r="F724" s="36" t="n"/>
      <c r="G724" s="36" t="n"/>
      <c r="H724" s="37">
        <f>IF($A724="","",IFERROR(ROUND(MAX(0,$B724*INDEX(tblKurallar[deger_2025],MATCH("KIK-001",tblKurallar[kural_id],0))-($C724+$D724+$E724+$F724)),kik_yuvarMax),0))</f>
        <v/>
      </c>
      <c r="I724" s="37">
        <f>IF($A724="","",IFERROR(MAX(0,$H724-$G724*kik_sifirCarpan),0))</f>
        <v/>
      </c>
    </row>
    <row r="725">
      <c r="A725" s="36" t="n"/>
      <c r="B725" s="36" t="n"/>
      <c r="C725" s="36" t="n"/>
      <c r="D725" s="36" t="n"/>
      <c r="E725" s="36" t="n"/>
      <c r="F725" s="36" t="n"/>
      <c r="G725" s="36" t="n"/>
      <c r="H725" s="37">
        <f>IF($A725="","",IFERROR(ROUND(MAX(0,$B725*INDEX(tblKurallar[deger_2025],MATCH("KIK-001",tblKurallar[kural_id],0))-($C725+$D725+$E725+$F725)),kik_yuvarMax),0))</f>
        <v/>
      </c>
      <c r="I725" s="37">
        <f>IF($A725="","",IFERROR(MAX(0,$H725-$G725*kik_sifirCarpan),0))</f>
        <v/>
      </c>
    </row>
    <row r="726">
      <c r="A726" s="36" t="n"/>
      <c r="B726" s="36" t="n"/>
      <c r="C726" s="36" t="n"/>
      <c r="D726" s="36" t="n"/>
      <c r="E726" s="36" t="n"/>
      <c r="F726" s="36" t="n"/>
      <c r="G726" s="36" t="n"/>
      <c r="H726" s="37">
        <f>IF($A726="","",IFERROR(ROUND(MAX(0,$B726*INDEX(tblKurallar[deger_2025],MATCH("KIK-001",tblKurallar[kural_id],0))-($C726+$D726+$E726+$F726)),kik_yuvarMax),0))</f>
        <v/>
      </c>
      <c r="I726" s="37">
        <f>IF($A726="","",IFERROR(MAX(0,$H726-$G726*kik_sifirCarpan),0))</f>
        <v/>
      </c>
    </row>
    <row r="727">
      <c r="A727" s="36" t="n"/>
      <c r="B727" s="36" t="n"/>
      <c r="C727" s="36" t="n"/>
      <c r="D727" s="36" t="n"/>
      <c r="E727" s="36" t="n"/>
      <c r="F727" s="36" t="n"/>
      <c r="G727" s="36" t="n"/>
      <c r="H727" s="37">
        <f>IF($A727="","",IFERROR(ROUND(MAX(0,$B727*INDEX(tblKurallar[deger_2025],MATCH("KIK-001",tblKurallar[kural_id],0))-($C727+$D727+$E727+$F727)),kik_yuvarMax),0))</f>
        <v/>
      </c>
      <c r="I727" s="37">
        <f>IF($A727="","",IFERROR(MAX(0,$H727-$G727*kik_sifirCarpan),0))</f>
        <v/>
      </c>
    </row>
    <row r="728">
      <c r="A728" s="36" t="n"/>
      <c r="B728" s="36" t="n"/>
      <c r="C728" s="36" t="n"/>
      <c r="D728" s="36" t="n"/>
      <c r="E728" s="36" t="n"/>
      <c r="F728" s="36" t="n"/>
      <c r="G728" s="36" t="n"/>
      <c r="H728" s="37">
        <f>IF($A728="","",IFERROR(ROUND(MAX(0,$B728*INDEX(tblKurallar[deger_2025],MATCH("KIK-001",tblKurallar[kural_id],0))-($C728+$D728+$E728+$F728)),kik_yuvarMax),0))</f>
        <v/>
      </c>
      <c r="I728" s="37">
        <f>IF($A728="","",IFERROR(MAX(0,$H728-$G728*kik_sifirCarpan),0))</f>
        <v/>
      </c>
    </row>
    <row r="729">
      <c r="A729" s="36" t="n"/>
      <c r="B729" s="36" t="n"/>
      <c r="C729" s="36" t="n"/>
      <c r="D729" s="36" t="n"/>
      <c r="E729" s="36" t="n"/>
      <c r="F729" s="36" t="n"/>
      <c r="G729" s="36" t="n"/>
      <c r="H729" s="37">
        <f>IF($A729="","",IFERROR(ROUND(MAX(0,$B729*INDEX(tblKurallar[deger_2025],MATCH("KIK-001",tblKurallar[kural_id],0))-($C729+$D729+$E729+$F729)),kik_yuvarMax),0))</f>
        <v/>
      </c>
      <c r="I729" s="37">
        <f>IF($A729="","",IFERROR(MAX(0,$H729-$G729*kik_sifirCarpan),0))</f>
        <v/>
      </c>
    </row>
    <row r="730">
      <c r="A730" s="36" t="n"/>
      <c r="B730" s="36" t="n"/>
      <c r="C730" s="36" t="n"/>
      <c r="D730" s="36" t="n"/>
      <c r="E730" s="36" t="n"/>
      <c r="F730" s="36" t="n"/>
      <c r="G730" s="36" t="n"/>
      <c r="H730" s="37">
        <f>IF($A730="","",IFERROR(ROUND(MAX(0,$B730*INDEX(tblKurallar[deger_2025],MATCH("KIK-001",tblKurallar[kural_id],0))-($C730+$D730+$E730+$F730)),kik_yuvarMax),0))</f>
        <v/>
      </c>
      <c r="I730" s="37">
        <f>IF($A730="","",IFERROR(MAX(0,$H730-$G730*kik_sifirCarpan),0))</f>
        <v/>
      </c>
    </row>
    <row r="731">
      <c r="A731" s="36" t="n"/>
      <c r="B731" s="36" t="n"/>
      <c r="C731" s="36" t="n"/>
      <c r="D731" s="36" t="n"/>
      <c r="E731" s="36" t="n"/>
      <c r="F731" s="36" t="n"/>
      <c r="G731" s="36" t="n"/>
      <c r="H731" s="37">
        <f>IF($A731="","",IFERROR(ROUND(MAX(0,$B731*INDEX(tblKurallar[deger_2025],MATCH("KIK-001",tblKurallar[kural_id],0))-($C731+$D731+$E731+$F731)),kik_yuvarMax),0))</f>
        <v/>
      </c>
      <c r="I731" s="37">
        <f>IF($A731="","",IFERROR(MAX(0,$H731-$G731*kik_sifirCarpan),0))</f>
        <v/>
      </c>
    </row>
    <row r="732">
      <c r="A732" s="36" t="n"/>
      <c r="B732" s="36" t="n"/>
      <c r="C732" s="36" t="n"/>
      <c r="D732" s="36" t="n"/>
      <c r="E732" s="36" t="n"/>
      <c r="F732" s="36" t="n"/>
      <c r="G732" s="36" t="n"/>
      <c r="H732" s="37">
        <f>IF($A732="","",IFERROR(ROUND(MAX(0,$B732*INDEX(tblKurallar[deger_2025],MATCH("KIK-001",tblKurallar[kural_id],0))-($C732+$D732+$E732+$F732)),kik_yuvarMax),0))</f>
        <v/>
      </c>
      <c r="I732" s="37">
        <f>IF($A732="","",IFERROR(MAX(0,$H732-$G732*kik_sifirCarpan),0))</f>
        <v/>
      </c>
    </row>
    <row r="733">
      <c r="A733" s="36" t="n"/>
      <c r="B733" s="36" t="n"/>
      <c r="C733" s="36" t="n"/>
      <c r="D733" s="36" t="n"/>
      <c r="E733" s="36" t="n"/>
      <c r="F733" s="36" t="n"/>
      <c r="G733" s="36" t="n"/>
      <c r="H733" s="37">
        <f>IF($A733="","",IFERROR(ROUND(MAX(0,$B733*INDEX(tblKurallar[deger_2025],MATCH("KIK-001",tblKurallar[kural_id],0))-($C733+$D733+$E733+$F733)),kik_yuvarMax),0))</f>
        <v/>
      </c>
      <c r="I733" s="37">
        <f>IF($A733="","",IFERROR(MAX(0,$H733-$G733*kik_sifirCarpan),0))</f>
        <v/>
      </c>
    </row>
    <row r="734">
      <c r="A734" s="36" t="n"/>
      <c r="B734" s="36" t="n"/>
      <c r="C734" s="36" t="n"/>
      <c r="D734" s="36" t="n"/>
      <c r="E734" s="36" t="n"/>
      <c r="F734" s="36" t="n"/>
      <c r="G734" s="36" t="n"/>
      <c r="H734" s="37">
        <f>IF($A734="","",IFERROR(ROUND(MAX(0,$B734*INDEX(tblKurallar[deger_2025],MATCH("KIK-001",tblKurallar[kural_id],0))-($C734+$D734+$E734+$F734)),kik_yuvarMax),0))</f>
        <v/>
      </c>
      <c r="I734" s="37">
        <f>IF($A734="","",IFERROR(MAX(0,$H734-$G734*kik_sifirCarpan),0))</f>
        <v/>
      </c>
    </row>
    <row r="735">
      <c r="A735" s="36" t="n"/>
      <c r="B735" s="36" t="n"/>
      <c r="C735" s="36" t="n"/>
      <c r="D735" s="36" t="n"/>
      <c r="E735" s="36" t="n"/>
      <c r="F735" s="36" t="n"/>
      <c r="G735" s="36" t="n"/>
      <c r="H735" s="37">
        <f>IF($A735="","",IFERROR(ROUND(MAX(0,$B735*INDEX(tblKurallar[deger_2025],MATCH("KIK-001",tblKurallar[kural_id],0))-($C735+$D735+$E735+$F735)),kik_yuvarMax),0))</f>
        <v/>
      </c>
      <c r="I735" s="37">
        <f>IF($A735="","",IFERROR(MAX(0,$H735-$G735*kik_sifirCarpan),0))</f>
        <v/>
      </c>
    </row>
    <row r="736">
      <c r="A736" s="36" t="n"/>
      <c r="B736" s="36" t="n"/>
      <c r="C736" s="36" t="n"/>
      <c r="D736" s="36" t="n"/>
      <c r="E736" s="36" t="n"/>
      <c r="F736" s="36" t="n"/>
      <c r="G736" s="36" t="n"/>
      <c r="H736" s="37">
        <f>IF($A736="","",IFERROR(ROUND(MAX(0,$B736*INDEX(tblKurallar[deger_2025],MATCH("KIK-001",tblKurallar[kural_id],0))-($C736+$D736+$E736+$F736)),kik_yuvarMax),0))</f>
        <v/>
      </c>
      <c r="I736" s="37">
        <f>IF($A736="","",IFERROR(MAX(0,$H736-$G736*kik_sifirCarpan),0))</f>
        <v/>
      </c>
    </row>
    <row r="737">
      <c r="A737" s="36" t="n"/>
      <c r="B737" s="36" t="n"/>
      <c r="C737" s="36" t="n"/>
      <c r="D737" s="36" t="n"/>
      <c r="E737" s="36" t="n"/>
      <c r="F737" s="36" t="n"/>
      <c r="G737" s="36" t="n"/>
      <c r="H737" s="37">
        <f>IF($A737="","",IFERROR(ROUND(MAX(0,$B737*INDEX(tblKurallar[deger_2025],MATCH("KIK-001",tblKurallar[kural_id],0))-($C737+$D737+$E737+$F737)),kik_yuvarMax),0))</f>
        <v/>
      </c>
      <c r="I737" s="37">
        <f>IF($A737="","",IFERROR(MAX(0,$H737-$G737*kik_sifirCarpan),0))</f>
        <v/>
      </c>
    </row>
    <row r="738">
      <c r="A738" s="36" t="n"/>
      <c r="B738" s="36" t="n"/>
      <c r="C738" s="36" t="n"/>
      <c r="D738" s="36" t="n"/>
      <c r="E738" s="36" t="n"/>
      <c r="F738" s="36" t="n"/>
      <c r="G738" s="36" t="n"/>
      <c r="H738" s="37">
        <f>IF($A738="","",IFERROR(ROUND(MAX(0,$B738*INDEX(tblKurallar[deger_2025],MATCH("KIK-001",tblKurallar[kural_id],0))-($C738+$D738+$E738+$F738)),kik_yuvarMax),0))</f>
        <v/>
      </c>
      <c r="I738" s="37">
        <f>IF($A738="","",IFERROR(MAX(0,$H738-$G738*kik_sifirCarpan),0))</f>
        <v/>
      </c>
    </row>
    <row r="739">
      <c r="A739" s="36" t="n"/>
      <c r="B739" s="36" t="n"/>
      <c r="C739" s="36" t="n"/>
      <c r="D739" s="36" t="n"/>
      <c r="E739" s="36" t="n"/>
      <c r="F739" s="36" t="n"/>
      <c r="G739" s="36" t="n"/>
      <c r="H739" s="37">
        <f>IF($A739="","",IFERROR(ROUND(MAX(0,$B739*INDEX(tblKurallar[deger_2025],MATCH("KIK-001",tblKurallar[kural_id],0))-($C739+$D739+$E739+$F739)),kik_yuvarMax),0))</f>
        <v/>
      </c>
      <c r="I739" s="37">
        <f>IF($A739="","",IFERROR(MAX(0,$H739-$G739*kik_sifirCarpan),0))</f>
        <v/>
      </c>
    </row>
    <row r="740">
      <c r="A740" s="36" t="n"/>
      <c r="B740" s="36" t="n"/>
      <c r="C740" s="36" t="n"/>
      <c r="D740" s="36" t="n"/>
      <c r="E740" s="36" t="n"/>
      <c r="F740" s="36" t="n"/>
      <c r="G740" s="36" t="n"/>
      <c r="H740" s="37">
        <f>IF($A740="","",IFERROR(ROUND(MAX(0,$B740*INDEX(tblKurallar[deger_2025],MATCH("KIK-001",tblKurallar[kural_id],0))-($C740+$D740+$E740+$F740)),kik_yuvarMax),0))</f>
        <v/>
      </c>
      <c r="I740" s="37">
        <f>IF($A740="","",IFERROR(MAX(0,$H740-$G740*kik_sifirCarpan),0))</f>
        <v/>
      </c>
    </row>
    <row r="741">
      <c r="A741" s="36" t="n"/>
      <c r="B741" s="36" t="n"/>
      <c r="C741" s="36" t="n"/>
      <c r="D741" s="36" t="n"/>
      <c r="E741" s="36" t="n"/>
      <c r="F741" s="36" t="n"/>
      <c r="G741" s="36" t="n"/>
      <c r="H741" s="37">
        <f>IF($A741="","",IFERROR(ROUND(MAX(0,$B741*INDEX(tblKurallar[deger_2025],MATCH("KIK-001",tblKurallar[kural_id],0))-($C741+$D741+$E741+$F741)),kik_yuvarMax),0))</f>
        <v/>
      </c>
      <c r="I741" s="37">
        <f>IF($A741="","",IFERROR(MAX(0,$H741-$G741*kik_sifirCarpan),0))</f>
        <v/>
      </c>
    </row>
    <row r="742">
      <c r="A742" s="36" t="n"/>
      <c r="B742" s="36" t="n"/>
      <c r="C742" s="36" t="n"/>
      <c r="D742" s="36" t="n"/>
      <c r="E742" s="36" t="n"/>
      <c r="F742" s="36" t="n"/>
      <c r="G742" s="36" t="n"/>
      <c r="H742" s="37">
        <f>IF($A742="","",IFERROR(ROUND(MAX(0,$B742*INDEX(tblKurallar[deger_2025],MATCH("KIK-001",tblKurallar[kural_id],0))-($C742+$D742+$E742+$F742)),kik_yuvarMax),0))</f>
        <v/>
      </c>
      <c r="I742" s="37">
        <f>IF($A742="","",IFERROR(MAX(0,$H742-$G742*kik_sifirCarpan),0))</f>
        <v/>
      </c>
    </row>
    <row r="743">
      <c r="A743" s="36" t="n"/>
      <c r="B743" s="36" t="n"/>
      <c r="C743" s="36" t="n"/>
      <c r="D743" s="36" t="n"/>
      <c r="E743" s="36" t="n"/>
      <c r="F743" s="36" t="n"/>
      <c r="G743" s="36" t="n"/>
      <c r="H743" s="37">
        <f>IF($A743="","",IFERROR(ROUND(MAX(0,$B743*INDEX(tblKurallar[deger_2025],MATCH("KIK-001",tblKurallar[kural_id],0))-($C743+$D743+$E743+$F743)),kik_yuvarMax),0))</f>
        <v/>
      </c>
      <c r="I743" s="37">
        <f>IF($A743="","",IFERROR(MAX(0,$H743-$G743*kik_sifirCarpan),0))</f>
        <v/>
      </c>
    </row>
    <row r="744">
      <c r="A744" s="36" t="n"/>
      <c r="B744" s="36" t="n"/>
      <c r="C744" s="36" t="n"/>
      <c r="D744" s="36" t="n"/>
      <c r="E744" s="36" t="n"/>
      <c r="F744" s="36" t="n"/>
      <c r="G744" s="36" t="n"/>
      <c r="H744" s="37">
        <f>IF($A744="","",IFERROR(ROUND(MAX(0,$B744*INDEX(tblKurallar[deger_2025],MATCH("KIK-001",tblKurallar[kural_id],0))-($C744+$D744+$E744+$F744)),kik_yuvarMax),0))</f>
        <v/>
      </c>
      <c r="I744" s="37">
        <f>IF($A744="","",IFERROR(MAX(0,$H744-$G744*kik_sifirCarpan),0))</f>
        <v/>
      </c>
    </row>
    <row r="745">
      <c r="A745" s="36" t="n"/>
      <c r="B745" s="36" t="n"/>
      <c r="C745" s="36" t="n"/>
      <c r="D745" s="36" t="n"/>
      <c r="E745" s="36" t="n"/>
      <c r="F745" s="36" t="n"/>
      <c r="G745" s="36" t="n"/>
      <c r="H745" s="37">
        <f>IF($A745="","",IFERROR(ROUND(MAX(0,$B745*INDEX(tblKurallar[deger_2025],MATCH("KIK-001",tblKurallar[kural_id],0))-($C745+$D745+$E745+$F745)),kik_yuvarMax),0))</f>
        <v/>
      </c>
      <c r="I745" s="37">
        <f>IF($A745="","",IFERROR(MAX(0,$H745-$G745*kik_sifirCarpan),0))</f>
        <v/>
      </c>
    </row>
    <row r="746">
      <c r="A746" s="36" t="n"/>
      <c r="B746" s="36" t="n"/>
      <c r="C746" s="36" t="n"/>
      <c r="D746" s="36" t="n"/>
      <c r="E746" s="36" t="n"/>
      <c r="F746" s="36" t="n"/>
      <c r="G746" s="36" t="n"/>
      <c r="H746" s="37">
        <f>IF($A746="","",IFERROR(ROUND(MAX(0,$B746*INDEX(tblKurallar[deger_2025],MATCH("KIK-001",tblKurallar[kural_id],0))-($C746+$D746+$E746+$F746)),kik_yuvarMax),0))</f>
        <v/>
      </c>
      <c r="I746" s="37">
        <f>IF($A746="","",IFERROR(MAX(0,$H746-$G746*kik_sifirCarpan),0))</f>
        <v/>
      </c>
    </row>
    <row r="747">
      <c r="A747" s="36" t="n"/>
      <c r="B747" s="36" t="n"/>
      <c r="C747" s="36" t="n"/>
      <c r="D747" s="36" t="n"/>
      <c r="E747" s="36" t="n"/>
      <c r="F747" s="36" t="n"/>
      <c r="G747" s="36" t="n"/>
      <c r="H747" s="37">
        <f>IF($A747="","",IFERROR(ROUND(MAX(0,$B747*INDEX(tblKurallar[deger_2025],MATCH("KIK-001",tblKurallar[kural_id],0))-($C747+$D747+$E747+$F747)),kik_yuvarMax),0))</f>
        <v/>
      </c>
      <c r="I747" s="37">
        <f>IF($A747="","",IFERROR(MAX(0,$H747-$G747*kik_sifirCarpan),0))</f>
        <v/>
      </c>
    </row>
    <row r="748">
      <c r="A748" s="36" t="n"/>
      <c r="B748" s="36" t="n"/>
      <c r="C748" s="36" t="n"/>
      <c r="D748" s="36" t="n"/>
      <c r="E748" s="36" t="n"/>
      <c r="F748" s="36" t="n"/>
      <c r="G748" s="36" t="n"/>
      <c r="H748" s="37">
        <f>IF($A748="","",IFERROR(ROUND(MAX(0,$B748*INDEX(tblKurallar[deger_2025],MATCH("KIK-001",tblKurallar[kural_id],0))-($C748+$D748+$E748+$F748)),kik_yuvarMax),0))</f>
        <v/>
      </c>
      <c r="I748" s="37">
        <f>IF($A748="","",IFERROR(MAX(0,$H748-$G748*kik_sifirCarpan),0))</f>
        <v/>
      </c>
    </row>
    <row r="749">
      <c r="A749" s="36" t="n"/>
      <c r="B749" s="36" t="n"/>
      <c r="C749" s="36" t="n"/>
      <c r="D749" s="36" t="n"/>
      <c r="E749" s="36" t="n"/>
      <c r="F749" s="36" t="n"/>
      <c r="G749" s="36" t="n"/>
      <c r="H749" s="37">
        <f>IF($A749="","",IFERROR(ROUND(MAX(0,$B749*INDEX(tblKurallar[deger_2025],MATCH("KIK-001",tblKurallar[kural_id],0))-($C749+$D749+$E749+$F749)),kik_yuvarMax),0))</f>
        <v/>
      </c>
      <c r="I749" s="37">
        <f>IF($A749="","",IFERROR(MAX(0,$H749-$G749*kik_sifirCarpan),0))</f>
        <v/>
      </c>
    </row>
    <row r="750">
      <c r="A750" s="36" t="n"/>
      <c r="B750" s="36" t="n"/>
      <c r="C750" s="36" t="n"/>
      <c r="D750" s="36" t="n"/>
      <c r="E750" s="36" t="n"/>
      <c r="F750" s="36" t="n"/>
      <c r="G750" s="36" t="n"/>
      <c r="H750" s="37">
        <f>IF($A750="","",IFERROR(ROUND(MAX(0,$B750*INDEX(tblKurallar[deger_2025],MATCH("KIK-001",tblKurallar[kural_id],0))-($C750+$D750+$E750+$F750)),kik_yuvarMax),0))</f>
        <v/>
      </c>
      <c r="I750" s="37">
        <f>IF($A750="","",IFERROR(MAX(0,$H750-$G750*kik_sifirCarpan),0))</f>
        <v/>
      </c>
    </row>
    <row r="751">
      <c r="A751" s="36" t="n"/>
      <c r="B751" s="36" t="n"/>
      <c r="C751" s="36" t="n"/>
      <c r="D751" s="36" t="n"/>
      <c r="E751" s="36" t="n"/>
      <c r="F751" s="36" t="n"/>
      <c r="G751" s="36" t="n"/>
      <c r="H751" s="37">
        <f>IF($A751="","",IFERROR(ROUND(MAX(0,$B751*INDEX(tblKurallar[deger_2025],MATCH("KIK-001",tblKurallar[kural_id],0))-($C751+$D751+$E751+$F751)),kik_yuvarMax),0))</f>
        <v/>
      </c>
      <c r="I751" s="37">
        <f>IF($A751="","",IFERROR(MAX(0,$H751-$G751*kik_sifirCarpan),0))</f>
        <v/>
      </c>
    </row>
    <row r="752">
      <c r="A752" s="36" t="n"/>
      <c r="B752" s="36" t="n"/>
      <c r="C752" s="36" t="n"/>
      <c r="D752" s="36" t="n"/>
      <c r="E752" s="36" t="n"/>
      <c r="F752" s="36" t="n"/>
      <c r="G752" s="36" t="n"/>
      <c r="H752" s="37">
        <f>IF($A752="","",IFERROR(ROUND(MAX(0,$B752*INDEX(tblKurallar[deger_2025],MATCH("KIK-001",tblKurallar[kural_id],0))-($C752+$D752+$E752+$F752)),kik_yuvarMax),0))</f>
        <v/>
      </c>
      <c r="I752" s="37">
        <f>IF($A752="","",IFERROR(MAX(0,$H752-$G752*kik_sifirCarpan),0))</f>
        <v/>
      </c>
    </row>
    <row r="753">
      <c r="A753" s="36" t="n"/>
      <c r="B753" s="36" t="n"/>
      <c r="C753" s="36" t="n"/>
      <c r="D753" s="36" t="n"/>
      <c r="E753" s="36" t="n"/>
      <c r="F753" s="36" t="n"/>
      <c r="G753" s="36" t="n"/>
      <c r="H753" s="37">
        <f>IF($A753="","",IFERROR(ROUND(MAX(0,$B753*INDEX(tblKurallar[deger_2025],MATCH("KIK-001",tblKurallar[kural_id],0))-($C753+$D753+$E753+$F753)),kik_yuvarMax),0))</f>
        <v/>
      </c>
      <c r="I753" s="37">
        <f>IF($A753="","",IFERROR(MAX(0,$H753-$G753*kik_sifirCarpan),0))</f>
        <v/>
      </c>
    </row>
    <row r="754">
      <c r="A754" s="36" t="n"/>
      <c r="B754" s="36" t="n"/>
      <c r="C754" s="36" t="n"/>
      <c r="D754" s="36" t="n"/>
      <c r="E754" s="36" t="n"/>
      <c r="F754" s="36" t="n"/>
      <c r="G754" s="36" t="n"/>
      <c r="H754" s="37">
        <f>IF($A754="","",IFERROR(ROUND(MAX(0,$B754*INDEX(tblKurallar[deger_2025],MATCH("KIK-001",tblKurallar[kural_id],0))-($C754+$D754+$E754+$F754)),kik_yuvarMax),0))</f>
        <v/>
      </c>
      <c r="I754" s="37">
        <f>IF($A754="","",IFERROR(MAX(0,$H754-$G754*kik_sifirCarpan),0))</f>
        <v/>
      </c>
    </row>
    <row r="755">
      <c r="A755" s="36" t="n"/>
      <c r="B755" s="36" t="n"/>
      <c r="C755" s="36" t="n"/>
      <c r="D755" s="36" t="n"/>
      <c r="E755" s="36" t="n"/>
      <c r="F755" s="36" t="n"/>
      <c r="G755" s="36" t="n"/>
      <c r="H755" s="37">
        <f>IF($A755="","",IFERROR(ROUND(MAX(0,$B755*INDEX(tblKurallar[deger_2025],MATCH("KIK-001",tblKurallar[kural_id],0))-($C755+$D755+$E755+$F755)),kik_yuvarMax),0))</f>
        <v/>
      </c>
      <c r="I755" s="37">
        <f>IF($A755="","",IFERROR(MAX(0,$H755-$G755*kik_sifirCarpan),0))</f>
        <v/>
      </c>
    </row>
    <row r="756">
      <c r="A756" s="36" t="n"/>
      <c r="B756" s="36" t="n"/>
      <c r="C756" s="36" t="n"/>
      <c r="D756" s="36" t="n"/>
      <c r="E756" s="36" t="n"/>
      <c r="F756" s="36" t="n"/>
      <c r="G756" s="36" t="n"/>
      <c r="H756" s="37">
        <f>IF($A756="","",IFERROR(ROUND(MAX(0,$B756*INDEX(tblKurallar[deger_2025],MATCH("KIK-001",tblKurallar[kural_id],0))-($C756+$D756+$E756+$F756)),kik_yuvarMax),0))</f>
        <v/>
      </c>
      <c r="I756" s="37">
        <f>IF($A756="","",IFERROR(MAX(0,$H756-$G756*kik_sifirCarpan),0))</f>
        <v/>
      </c>
    </row>
    <row r="757">
      <c r="A757" s="36" t="n"/>
      <c r="B757" s="36" t="n"/>
      <c r="C757" s="36" t="n"/>
      <c r="D757" s="36" t="n"/>
      <c r="E757" s="36" t="n"/>
      <c r="F757" s="36" t="n"/>
      <c r="G757" s="36" t="n"/>
      <c r="H757" s="37">
        <f>IF($A757="","",IFERROR(ROUND(MAX(0,$B757*INDEX(tblKurallar[deger_2025],MATCH("KIK-001",tblKurallar[kural_id],0))-($C757+$D757+$E757+$F757)),kik_yuvarMax),0))</f>
        <v/>
      </c>
      <c r="I757" s="37">
        <f>IF($A757="","",IFERROR(MAX(0,$H757-$G757*kik_sifirCarpan),0))</f>
        <v/>
      </c>
    </row>
    <row r="758">
      <c r="A758" s="36" t="n"/>
      <c r="B758" s="36" t="n"/>
      <c r="C758" s="36" t="n"/>
      <c r="D758" s="36" t="n"/>
      <c r="E758" s="36" t="n"/>
      <c r="F758" s="36" t="n"/>
      <c r="G758" s="36" t="n"/>
      <c r="H758" s="37">
        <f>IF($A758="","",IFERROR(ROUND(MAX(0,$B758*INDEX(tblKurallar[deger_2025],MATCH("KIK-001",tblKurallar[kural_id],0))-($C758+$D758+$E758+$F758)),kik_yuvarMax),0))</f>
        <v/>
      </c>
      <c r="I758" s="37">
        <f>IF($A758="","",IFERROR(MAX(0,$H758-$G758*kik_sifirCarpan),0))</f>
        <v/>
      </c>
    </row>
    <row r="759">
      <c r="A759" s="36" t="n"/>
      <c r="B759" s="36" t="n"/>
      <c r="C759" s="36" t="n"/>
      <c r="D759" s="36" t="n"/>
      <c r="E759" s="36" t="n"/>
      <c r="F759" s="36" t="n"/>
      <c r="G759" s="36" t="n"/>
      <c r="H759" s="37">
        <f>IF($A759="","",IFERROR(ROUND(MAX(0,$B759*INDEX(tblKurallar[deger_2025],MATCH("KIK-001",tblKurallar[kural_id],0))-($C759+$D759+$E759+$F759)),kik_yuvarMax),0))</f>
        <v/>
      </c>
      <c r="I759" s="37">
        <f>IF($A759="","",IFERROR(MAX(0,$H759-$G759*kik_sifirCarpan),0))</f>
        <v/>
      </c>
    </row>
    <row r="760">
      <c r="A760" s="36" t="n"/>
      <c r="B760" s="36" t="n"/>
      <c r="C760" s="36" t="n"/>
      <c r="D760" s="36" t="n"/>
      <c r="E760" s="36" t="n"/>
      <c r="F760" s="36" t="n"/>
      <c r="G760" s="36" t="n"/>
      <c r="H760" s="37">
        <f>IF($A760="","",IFERROR(ROUND(MAX(0,$B760*INDEX(tblKurallar[deger_2025],MATCH("KIK-001",tblKurallar[kural_id],0))-($C760+$D760+$E760+$F760)),kik_yuvarMax),0))</f>
        <v/>
      </c>
      <c r="I760" s="37">
        <f>IF($A760="","",IFERROR(MAX(0,$H760-$G760*kik_sifirCarpan),0))</f>
        <v/>
      </c>
    </row>
    <row r="761">
      <c r="A761" s="36" t="n"/>
      <c r="B761" s="36" t="n"/>
      <c r="C761" s="36" t="n"/>
      <c r="D761" s="36" t="n"/>
      <c r="E761" s="36" t="n"/>
      <c r="F761" s="36" t="n"/>
      <c r="G761" s="36" t="n"/>
      <c r="H761" s="37">
        <f>IF($A761="","",IFERROR(ROUND(MAX(0,$B761*INDEX(tblKurallar[deger_2025],MATCH("KIK-001",tblKurallar[kural_id],0))-($C761+$D761+$E761+$F761)),kik_yuvarMax),0))</f>
        <v/>
      </c>
      <c r="I761" s="37">
        <f>IF($A761="","",IFERROR(MAX(0,$H761-$G761*kik_sifirCarpan),0))</f>
        <v/>
      </c>
    </row>
    <row r="762">
      <c r="A762" s="36" t="n"/>
      <c r="B762" s="36" t="n"/>
      <c r="C762" s="36" t="n"/>
      <c r="D762" s="36" t="n"/>
      <c r="E762" s="36" t="n"/>
      <c r="F762" s="36" t="n"/>
      <c r="G762" s="36" t="n"/>
      <c r="H762" s="37">
        <f>IF($A762="","",IFERROR(ROUND(MAX(0,$B762*INDEX(tblKurallar[deger_2025],MATCH("KIK-001",tblKurallar[kural_id],0))-($C762+$D762+$E762+$F762)),kik_yuvarMax),0))</f>
        <v/>
      </c>
      <c r="I762" s="37">
        <f>IF($A762="","",IFERROR(MAX(0,$H762-$G762*kik_sifirCarpan),0))</f>
        <v/>
      </c>
    </row>
    <row r="763">
      <c r="A763" s="36" t="n"/>
      <c r="B763" s="36" t="n"/>
      <c r="C763" s="36" t="n"/>
      <c r="D763" s="36" t="n"/>
      <c r="E763" s="36" t="n"/>
      <c r="F763" s="36" t="n"/>
      <c r="G763" s="36" t="n"/>
      <c r="H763" s="37">
        <f>IF($A763="","",IFERROR(ROUND(MAX(0,$B763*INDEX(tblKurallar[deger_2025],MATCH("KIK-001",tblKurallar[kural_id],0))-($C763+$D763+$E763+$F763)),kik_yuvarMax),0))</f>
        <v/>
      </c>
      <c r="I763" s="37">
        <f>IF($A763="","",IFERROR(MAX(0,$H763-$G763*kik_sifirCarpan),0))</f>
        <v/>
      </c>
    </row>
    <row r="764">
      <c r="A764" s="36" t="n"/>
      <c r="B764" s="36" t="n"/>
      <c r="C764" s="36" t="n"/>
      <c r="D764" s="36" t="n"/>
      <c r="E764" s="36" t="n"/>
      <c r="F764" s="36" t="n"/>
      <c r="G764" s="36" t="n"/>
      <c r="H764" s="37">
        <f>IF($A764="","",IFERROR(ROUND(MAX(0,$B764*INDEX(tblKurallar[deger_2025],MATCH("KIK-001",tblKurallar[kural_id],0))-($C764+$D764+$E764+$F764)),kik_yuvarMax),0))</f>
        <v/>
      </c>
      <c r="I764" s="37">
        <f>IF($A764="","",IFERROR(MAX(0,$H764-$G764*kik_sifirCarpan),0))</f>
        <v/>
      </c>
    </row>
    <row r="765">
      <c r="A765" s="36" t="n"/>
      <c r="B765" s="36" t="n"/>
      <c r="C765" s="36" t="n"/>
      <c r="D765" s="36" t="n"/>
      <c r="E765" s="36" t="n"/>
      <c r="F765" s="36" t="n"/>
      <c r="G765" s="36" t="n"/>
      <c r="H765" s="37">
        <f>IF($A765="","",IFERROR(ROUND(MAX(0,$B765*INDEX(tblKurallar[deger_2025],MATCH("KIK-001",tblKurallar[kural_id],0))-($C765+$D765+$E765+$F765)),kik_yuvarMax),0))</f>
        <v/>
      </c>
      <c r="I765" s="37">
        <f>IF($A765="","",IFERROR(MAX(0,$H765-$G765*kik_sifirCarpan),0))</f>
        <v/>
      </c>
    </row>
    <row r="766">
      <c r="A766" s="36" t="n"/>
      <c r="B766" s="36" t="n"/>
      <c r="C766" s="36" t="n"/>
      <c r="D766" s="36" t="n"/>
      <c r="E766" s="36" t="n"/>
      <c r="F766" s="36" t="n"/>
      <c r="G766" s="36" t="n"/>
      <c r="H766" s="37">
        <f>IF($A766="","",IFERROR(ROUND(MAX(0,$B766*INDEX(tblKurallar[deger_2025],MATCH("KIK-001",tblKurallar[kural_id],0))-($C766+$D766+$E766+$F766)),kik_yuvarMax),0))</f>
        <v/>
      </c>
      <c r="I766" s="37">
        <f>IF($A766="","",IFERROR(MAX(0,$H766-$G766*kik_sifirCarpan),0))</f>
        <v/>
      </c>
    </row>
    <row r="767">
      <c r="A767" s="36" t="n"/>
      <c r="B767" s="36" t="n"/>
      <c r="C767" s="36" t="n"/>
      <c r="D767" s="36" t="n"/>
      <c r="E767" s="36" t="n"/>
      <c r="F767" s="36" t="n"/>
      <c r="G767" s="36" t="n"/>
      <c r="H767" s="37">
        <f>IF($A767="","",IFERROR(ROUND(MAX(0,$B767*INDEX(tblKurallar[deger_2025],MATCH("KIK-001",tblKurallar[kural_id],0))-($C767+$D767+$E767+$F767)),kik_yuvarMax),0))</f>
        <v/>
      </c>
      <c r="I767" s="37">
        <f>IF($A767="","",IFERROR(MAX(0,$H767-$G767*kik_sifirCarpan),0))</f>
        <v/>
      </c>
    </row>
    <row r="768">
      <c r="A768" s="36" t="n"/>
      <c r="B768" s="36" t="n"/>
      <c r="C768" s="36" t="n"/>
      <c r="D768" s="36" t="n"/>
      <c r="E768" s="36" t="n"/>
      <c r="F768" s="36" t="n"/>
      <c r="G768" s="36" t="n"/>
      <c r="H768" s="37">
        <f>IF($A768="","",IFERROR(ROUND(MAX(0,$B768*INDEX(tblKurallar[deger_2025],MATCH("KIK-001",tblKurallar[kural_id],0))-($C768+$D768+$E768+$F768)),kik_yuvarMax),0))</f>
        <v/>
      </c>
      <c r="I768" s="37">
        <f>IF($A768="","",IFERROR(MAX(0,$H768-$G768*kik_sifirCarpan),0))</f>
        <v/>
      </c>
    </row>
    <row r="769">
      <c r="A769" s="36" t="n"/>
      <c r="B769" s="36" t="n"/>
      <c r="C769" s="36" t="n"/>
      <c r="D769" s="36" t="n"/>
      <c r="E769" s="36" t="n"/>
      <c r="F769" s="36" t="n"/>
      <c r="G769" s="36" t="n"/>
      <c r="H769" s="37">
        <f>IF($A769="","",IFERROR(ROUND(MAX(0,$B769*INDEX(tblKurallar[deger_2025],MATCH("KIK-001",tblKurallar[kural_id],0))-($C769+$D769+$E769+$F769)),kik_yuvarMax),0))</f>
        <v/>
      </c>
      <c r="I769" s="37">
        <f>IF($A769="","",IFERROR(MAX(0,$H769-$G769*kik_sifirCarpan),0))</f>
        <v/>
      </c>
    </row>
    <row r="770">
      <c r="A770" s="36" t="n"/>
      <c r="B770" s="36" t="n"/>
      <c r="C770" s="36" t="n"/>
      <c r="D770" s="36" t="n"/>
      <c r="E770" s="36" t="n"/>
      <c r="F770" s="36" t="n"/>
      <c r="G770" s="36" t="n"/>
      <c r="H770" s="37">
        <f>IF($A770="","",IFERROR(ROUND(MAX(0,$B770*INDEX(tblKurallar[deger_2025],MATCH("KIK-001",tblKurallar[kural_id],0))-($C770+$D770+$E770+$F770)),kik_yuvarMax),0))</f>
        <v/>
      </c>
      <c r="I770" s="37">
        <f>IF($A770="","",IFERROR(MAX(0,$H770-$G770*kik_sifirCarpan),0))</f>
        <v/>
      </c>
    </row>
    <row r="771">
      <c r="A771" s="36" t="n"/>
      <c r="B771" s="36" t="n"/>
      <c r="C771" s="36" t="n"/>
      <c r="D771" s="36" t="n"/>
      <c r="E771" s="36" t="n"/>
      <c r="F771" s="36" t="n"/>
      <c r="G771" s="36" t="n"/>
      <c r="H771" s="37">
        <f>IF($A771="","",IFERROR(ROUND(MAX(0,$B771*INDEX(tblKurallar[deger_2025],MATCH("KIK-001",tblKurallar[kural_id],0))-($C771+$D771+$E771+$F771)),kik_yuvarMax),0))</f>
        <v/>
      </c>
      <c r="I771" s="37">
        <f>IF($A771="","",IFERROR(MAX(0,$H771-$G771*kik_sifirCarpan),0))</f>
        <v/>
      </c>
    </row>
    <row r="772">
      <c r="A772" s="36" t="n"/>
      <c r="B772" s="36" t="n"/>
      <c r="C772" s="36" t="n"/>
      <c r="D772" s="36" t="n"/>
      <c r="E772" s="36" t="n"/>
      <c r="F772" s="36" t="n"/>
      <c r="G772" s="36" t="n"/>
      <c r="H772" s="37">
        <f>IF($A772="","",IFERROR(ROUND(MAX(0,$B772*INDEX(tblKurallar[deger_2025],MATCH("KIK-001",tblKurallar[kural_id],0))-($C772+$D772+$E772+$F772)),kik_yuvarMax),0))</f>
        <v/>
      </c>
      <c r="I772" s="37">
        <f>IF($A772="","",IFERROR(MAX(0,$H772-$G772*kik_sifirCarpan),0))</f>
        <v/>
      </c>
    </row>
    <row r="773">
      <c r="A773" s="36" t="n"/>
      <c r="B773" s="36" t="n"/>
      <c r="C773" s="36" t="n"/>
      <c r="D773" s="36" t="n"/>
      <c r="E773" s="36" t="n"/>
      <c r="F773" s="36" t="n"/>
      <c r="G773" s="36" t="n"/>
      <c r="H773" s="37">
        <f>IF($A773="","",IFERROR(ROUND(MAX(0,$B773*INDEX(tblKurallar[deger_2025],MATCH("KIK-001",tblKurallar[kural_id],0))-($C773+$D773+$E773+$F773)),kik_yuvarMax),0))</f>
        <v/>
      </c>
      <c r="I773" s="37">
        <f>IF($A773="","",IFERROR(MAX(0,$H773-$G773*kik_sifirCarpan),0))</f>
        <v/>
      </c>
    </row>
    <row r="774">
      <c r="A774" s="36" t="n"/>
      <c r="B774" s="36" t="n"/>
      <c r="C774" s="36" t="n"/>
      <c r="D774" s="36" t="n"/>
      <c r="E774" s="36" t="n"/>
      <c r="F774" s="36" t="n"/>
      <c r="G774" s="36" t="n"/>
      <c r="H774" s="37">
        <f>IF($A774="","",IFERROR(ROUND(MAX(0,$B774*INDEX(tblKurallar[deger_2025],MATCH("KIK-001",tblKurallar[kural_id],0))-($C774+$D774+$E774+$F774)),kik_yuvarMax),0))</f>
        <v/>
      </c>
      <c r="I774" s="37">
        <f>IF($A774="","",IFERROR(MAX(0,$H774-$G774*kik_sifirCarpan),0))</f>
        <v/>
      </c>
    </row>
    <row r="775">
      <c r="A775" s="36" t="n"/>
      <c r="B775" s="36" t="n"/>
      <c r="C775" s="36" t="n"/>
      <c r="D775" s="36" t="n"/>
      <c r="E775" s="36" t="n"/>
      <c r="F775" s="36" t="n"/>
      <c r="G775" s="36" t="n"/>
      <c r="H775" s="37">
        <f>IF($A775="","",IFERROR(ROUND(MAX(0,$B775*INDEX(tblKurallar[deger_2025],MATCH("KIK-001",tblKurallar[kural_id],0))-($C775+$D775+$E775+$F775)),kik_yuvarMax),0))</f>
        <v/>
      </c>
      <c r="I775" s="37">
        <f>IF($A775="","",IFERROR(MAX(0,$H775-$G775*kik_sifirCarpan),0))</f>
        <v/>
      </c>
    </row>
    <row r="776">
      <c r="A776" s="36" t="n"/>
      <c r="B776" s="36" t="n"/>
      <c r="C776" s="36" t="n"/>
      <c r="D776" s="36" t="n"/>
      <c r="E776" s="36" t="n"/>
      <c r="F776" s="36" t="n"/>
      <c r="G776" s="36" t="n"/>
      <c r="H776" s="37">
        <f>IF($A776="","",IFERROR(ROUND(MAX(0,$B776*INDEX(tblKurallar[deger_2025],MATCH("KIK-001",tblKurallar[kural_id],0))-($C776+$D776+$E776+$F776)),kik_yuvarMax),0))</f>
        <v/>
      </c>
      <c r="I776" s="37">
        <f>IF($A776="","",IFERROR(MAX(0,$H776-$G776*kik_sifirCarpan),0))</f>
        <v/>
      </c>
    </row>
    <row r="777">
      <c r="A777" s="36" t="n"/>
      <c r="B777" s="36" t="n"/>
      <c r="C777" s="36" t="n"/>
      <c r="D777" s="36" t="n"/>
      <c r="E777" s="36" t="n"/>
      <c r="F777" s="36" t="n"/>
      <c r="G777" s="36" t="n"/>
      <c r="H777" s="37">
        <f>IF($A777="","",IFERROR(ROUND(MAX(0,$B777*INDEX(tblKurallar[deger_2025],MATCH("KIK-001",tblKurallar[kural_id],0))-($C777+$D777+$E777+$F777)),kik_yuvarMax),0))</f>
        <v/>
      </c>
      <c r="I777" s="37">
        <f>IF($A777="","",IFERROR(MAX(0,$H777-$G777*kik_sifirCarpan),0))</f>
        <v/>
      </c>
    </row>
    <row r="778">
      <c r="A778" s="36" t="n"/>
      <c r="B778" s="36" t="n"/>
      <c r="C778" s="36" t="n"/>
      <c r="D778" s="36" t="n"/>
      <c r="E778" s="36" t="n"/>
      <c r="F778" s="36" t="n"/>
      <c r="G778" s="36" t="n"/>
      <c r="H778" s="37">
        <f>IF($A778="","",IFERROR(ROUND(MAX(0,$B778*INDEX(tblKurallar[deger_2025],MATCH("KIK-001",tblKurallar[kural_id],0))-($C778+$D778+$E778+$F778)),kik_yuvarMax),0))</f>
        <v/>
      </c>
      <c r="I778" s="37">
        <f>IF($A778="","",IFERROR(MAX(0,$H778-$G778*kik_sifirCarpan),0))</f>
        <v/>
      </c>
    </row>
    <row r="779">
      <c r="A779" s="36" t="n"/>
      <c r="B779" s="36" t="n"/>
      <c r="C779" s="36" t="n"/>
      <c r="D779" s="36" t="n"/>
      <c r="E779" s="36" t="n"/>
      <c r="F779" s="36" t="n"/>
      <c r="G779" s="36" t="n"/>
      <c r="H779" s="37">
        <f>IF($A779="","",IFERROR(ROUND(MAX(0,$B779*INDEX(tblKurallar[deger_2025],MATCH("KIK-001",tblKurallar[kural_id],0))-($C779+$D779+$E779+$F779)),kik_yuvarMax),0))</f>
        <v/>
      </c>
      <c r="I779" s="37">
        <f>IF($A779="","",IFERROR(MAX(0,$H779-$G779*kik_sifirCarpan),0))</f>
        <v/>
      </c>
    </row>
    <row r="780">
      <c r="A780" s="36" t="n"/>
      <c r="B780" s="36" t="n"/>
      <c r="C780" s="36" t="n"/>
      <c r="D780" s="36" t="n"/>
      <c r="E780" s="36" t="n"/>
      <c r="F780" s="36" t="n"/>
      <c r="G780" s="36" t="n"/>
      <c r="H780" s="37">
        <f>IF($A780="","",IFERROR(ROUND(MAX(0,$B780*INDEX(tblKurallar[deger_2025],MATCH("KIK-001",tblKurallar[kural_id],0))-($C780+$D780+$E780+$F780)),kik_yuvarMax),0))</f>
        <v/>
      </c>
      <c r="I780" s="37">
        <f>IF($A780="","",IFERROR(MAX(0,$H780-$G780*kik_sifirCarpan),0))</f>
        <v/>
      </c>
    </row>
    <row r="781">
      <c r="A781" s="36" t="n"/>
      <c r="B781" s="36" t="n"/>
      <c r="C781" s="36" t="n"/>
      <c r="D781" s="36" t="n"/>
      <c r="E781" s="36" t="n"/>
      <c r="F781" s="36" t="n"/>
      <c r="G781" s="36" t="n"/>
      <c r="H781" s="37">
        <f>IF($A781="","",IFERROR(ROUND(MAX(0,$B781*INDEX(tblKurallar[deger_2025],MATCH("KIK-001",tblKurallar[kural_id],0))-($C781+$D781+$E781+$F781)),kik_yuvarMax),0))</f>
        <v/>
      </c>
      <c r="I781" s="37">
        <f>IF($A781="","",IFERROR(MAX(0,$H781-$G781*kik_sifirCarpan),0))</f>
        <v/>
      </c>
    </row>
    <row r="782">
      <c r="A782" s="36" t="n"/>
      <c r="B782" s="36" t="n"/>
      <c r="C782" s="36" t="n"/>
      <c r="D782" s="36" t="n"/>
      <c r="E782" s="36" t="n"/>
      <c r="F782" s="36" t="n"/>
      <c r="G782" s="36" t="n"/>
      <c r="H782" s="37">
        <f>IF($A782="","",IFERROR(ROUND(MAX(0,$B782*INDEX(tblKurallar[deger_2025],MATCH("KIK-001",tblKurallar[kural_id],0))-($C782+$D782+$E782+$F782)),kik_yuvarMax),0))</f>
        <v/>
      </c>
      <c r="I782" s="37">
        <f>IF($A782="","",IFERROR(MAX(0,$H782-$G782*kik_sifirCarpan),0))</f>
        <v/>
      </c>
    </row>
    <row r="783">
      <c r="A783" s="36" t="n"/>
      <c r="B783" s="36" t="n"/>
      <c r="C783" s="36" t="n"/>
      <c r="D783" s="36" t="n"/>
      <c r="E783" s="36" t="n"/>
      <c r="F783" s="36" t="n"/>
      <c r="G783" s="36" t="n"/>
      <c r="H783" s="37">
        <f>IF($A783="","",IFERROR(ROUND(MAX(0,$B783*INDEX(tblKurallar[deger_2025],MATCH("KIK-001",tblKurallar[kural_id],0))-($C783+$D783+$E783+$F783)),kik_yuvarMax),0))</f>
        <v/>
      </c>
      <c r="I783" s="37">
        <f>IF($A783="","",IFERROR(MAX(0,$H783-$G783*kik_sifirCarpan),0))</f>
        <v/>
      </c>
    </row>
    <row r="784">
      <c r="A784" s="36" t="n"/>
      <c r="B784" s="36" t="n"/>
      <c r="C784" s="36" t="n"/>
      <c r="D784" s="36" t="n"/>
      <c r="E784" s="36" t="n"/>
      <c r="F784" s="36" t="n"/>
      <c r="G784" s="36" t="n"/>
      <c r="H784" s="37">
        <f>IF($A784="","",IFERROR(ROUND(MAX(0,$B784*INDEX(tblKurallar[deger_2025],MATCH("KIK-001",tblKurallar[kural_id],0))-($C784+$D784+$E784+$F784)),kik_yuvarMax),0))</f>
        <v/>
      </c>
      <c r="I784" s="37">
        <f>IF($A784="","",IFERROR(MAX(0,$H784-$G784*kik_sifirCarpan),0))</f>
        <v/>
      </c>
    </row>
    <row r="785">
      <c r="A785" s="36" t="n"/>
      <c r="B785" s="36" t="n"/>
      <c r="C785" s="36" t="n"/>
      <c r="D785" s="36" t="n"/>
      <c r="E785" s="36" t="n"/>
      <c r="F785" s="36" t="n"/>
      <c r="G785" s="36" t="n"/>
      <c r="H785" s="37">
        <f>IF($A785="","",IFERROR(ROUND(MAX(0,$B785*INDEX(tblKurallar[deger_2025],MATCH("KIK-001",tblKurallar[kural_id],0))-($C785+$D785+$E785+$F785)),kik_yuvarMax),0))</f>
        <v/>
      </c>
      <c r="I785" s="37">
        <f>IF($A785="","",IFERROR(MAX(0,$H785-$G785*kik_sifirCarpan),0))</f>
        <v/>
      </c>
    </row>
    <row r="786">
      <c r="A786" s="36" t="n"/>
      <c r="B786" s="36" t="n"/>
      <c r="C786" s="36" t="n"/>
      <c r="D786" s="36" t="n"/>
      <c r="E786" s="36" t="n"/>
      <c r="F786" s="36" t="n"/>
      <c r="G786" s="36" t="n"/>
      <c r="H786" s="37">
        <f>IF($A786="","",IFERROR(ROUND(MAX(0,$B786*INDEX(tblKurallar[deger_2025],MATCH("KIK-001",tblKurallar[kural_id],0))-($C786+$D786+$E786+$F786)),kik_yuvarMax),0))</f>
        <v/>
      </c>
      <c r="I786" s="37">
        <f>IF($A786="","",IFERROR(MAX(0,$H786-$G786*kik_sifirCarpan),0))</f>
        <v/>
      </c>
    </row>
    <row r="787">
      <c r="A787" s="36" t="n"/>
      <c r="B787" s="36" t="n"/>
      <c r="C787" s="36" t="n"/>
      <c r="D787" s="36" t="n"/>
      <c r="E787" s="36" t="n"/>
      <c r="F787" s="36" t="n"/>
      <c r="G787" s="36" t="n"/>
      <c r="H787" s="37">
        <f>IF($A787="","",IFERROR(ROUND(MAX(0,$B787*INDEX(tblKurallar[deger_2025],MATCH("KIK-001",tblKurallar[kural_id],0))-($C787+$D787+$E787+$F787)),kik_yuvarMax),0))</f>
        <v/>
      </c>
      <c r="I787" s="37">
        <f>IF($A787="","",IFERROR(MAX(0,$H787-$G787*kik_sifirCarpan),0))</f>
        <v/>
      </c>
    </row>
    <row r="788">
      <c r="A788" s="36" t="n"/>
      <c r="B788" s="36" t="n"/>
      <c r="C788" s="36" t="n"/>
      <c r="D788" s="36" t="n"/>
      <c r="E788" s="36" t="n"/>
      <c r="F788" s="36" t="n"/>
      <c r="G788" s="36" t="n"/>
      <c r="H788" s="37">
        <f>IF($A788="","",IFERROR(ROUND(MAX(0,$B788*INDEX(tblKurallar[deger_2025],MATCH("KIK-001",tblKurallar[kural_id],0))-($C788+$D788+$E788+$F788)),kik_yuvarMax),0))</f>
        <v/>
      </c>
      <c r="I788" s="37">
        <f>IF($A788="","",IFERROR(MAX(0,$H788-$G788*kik_sifirCarpan),0))</f>
        <v/>
      </c>
    </row>
    <row r="789">
      <c r="A789" s="36" t="n"/>
      <c r="B789" s="36" t="n"/>
      <c r="C789" s="36" t="n"/>
      <c r="D789" s="36" t="n"/>
      <c r="E789" s="36" t="n"/>
      <c r="F789" s="36" t="n"/>
      <c r="G789" s="36" t="n"/>
      <c r="H789" s="37">
        <f>IF($A789="","",IFERROR(ROUND(MAX(0,$B789*INDEX(tblKurallar[deger_2025],MATCH("KIK-001",tblKurallar[kural_id],0))-($C789+$D789+$E789+$F789)),kik_yuvarMax),0))</f>
        <v/>
      </c>
      <c r="I789" s="37">
        <f>IF($A789="","",IFERROR(MAX(0,$H789-$G789*kik_sifirCarpan),0))</f>
        <v/>
      </c>
    </row>
    <row r="790">
      <c r="A790" s="36" t="n"/>
      <c r="B790" s="36" t="n"/>
      <c r="C790" s="36" t="n"/>
      <c r="D790" s="36" t="n"/>
      <c r="E790" s="36" t="n"/>
      <c r="F790" s="36" t="n"/>
      <c r="G790" s="36" t="n"/>
      <c r="H790" s="37">
        <f>IF($A790="","",IFERROR(ROUND(MAX(0,$B790*INDEX(tblKurallar[deger_2025],MATCH("KIK-001",tblKurallar[kural_id],0))-($C790+$D790+$E790+$F790)),kik_yuvarMax),0))</f>
        <v/>
      </c>
      <c r="I790" s="37">
        <f>IF($A790="","",IFERROR(MAX(0,$H790-$G790*kik_sifirCarpan),0))</f>
        <v/>
      </c>
    </row>
    <row r="791">
      <c r="A791" s="36" t="n"/>
      <c r="B791" s="36" t="n"/>
      <c r="C791" s="36" t="n"/>
      <c r="D791" s="36" t="n"/>
      <c r="E791" s="36" t="n"/>
      <c r="F791" s="36" t="n"/>
      <c r="G791" s="36" t="n"/>
      <c r="H791" s="37">
        <f>IF($A791="","",IFERROR(ROUND(MAX(0,$B791*INDEX(tblKurallar[deger_2025],MATCH("KIK-001",tblKurallar[kural_id],0))-($C791+$D791+$E791+$F791)),kik_yuvarMax),0))</f>
        <v/>
      </c>
      <c r="I791" s="37">
        <f>IF($A791="","",IFERROR(MAX(0,$H791-$G791*kik_sifirCarpan),0))</f>
        <v/>
      </c>
    </row>
    <row r="792">
      <c r="A792" s="36" t="n"/>
      <c r="B792" s="36" t="n"/>
      <c r="C792" s="36" t="n"/>
      <c r="D792" s="36" t="n"/>
      <c r="E792" s="36" t="n"/>
      <c r="F792" s="36" t="n"/>
      <c r="G792" s="36" t="n"/>
      <c r="H792" s="37">
        <f>IF($A792="","",IFERROR(ROUND(MAX(0,$B792*INDEX(tblKurallar[deger_2025],MATCH("KIK-001",tblKurallar[kural_id],0))-($C792+$D792+$E792+$F792)),kik_yuvarMax),0))</f>
        <v/>
      </c>
      <c r="I792" s="37">
        <f>IF($A792="","",IFERROR(MAX(0,$H792-$G792*kik_sifirCarpan),0))</f>
        <v/>
      </c>
    </row>
    <row r="793">
      <c r="A793" s="36" t="n"/>
      <c r="B793" s="36" t="n"/>
      <c r="C793" s="36" t="n"/>
      <c r="D793" s="36" t="n"/>
      <c r="E793" s="36" t="n"/>
      <c r="F793" s="36" t="n"/>
      <c r="G793" s="36" t="n"/>
      <c r="H793" s="37">
        <f>IF($A793="","",IFERROR(ROUND(MAX(0,$B793*INDEX(tblKurallar[deger_2025],MATCH("KIK-001",tblKurallar[kural_id],0))-($C793+$D793+$E793+$F793)),kik_yuvarMax),0))</f>
        <v/>
      </c>
      <c r="I793" s="37">
        <f>IF($A793="","",IFERROR(MAX(0,$H793-$G793*kik_sifirCarpan),0))</f>
        <v/>
      </c>
    </row>
    <row r="794">
      <c r="A794" s="36" t="n"/>
      <c r="B794" s="36" t="n"/>
      <c r="C794" s="36" t="n"/>
      <c r="D794" s="36" t="n"/>
      <c r="E794" s="36" t="n"/>
      <c r="F794" s="36" t="n"/>
      <c r="G794" s="36" t="n"/>
      <c r="H794" s="37">
        <f>IF($A794="","",IFERROR(ROUND(MAX(0,$B794*INDEX(tblKurallar[deger_2025],MATCH("KIK-001",tblKurallar[kural_id],0))-($C794+$D794+$E794+$F794)),kik_yuvarMax),0))</f>
        <v/>
      </c>
      <c r="I794" s="37">
        <f>IF($A794="","",IFERROR(MAX(0,$H794-$G794*kik_sifirCarpan),0))</f>
        <v/>
      </c>
    </row>
    <row r="795">
      <c r="A795" s="36" t="n"/>
      <c r="B795" s="36" t="n"/>
      <c r="C795" s="36" t="n"/>
      <c r="D795" s="36" t="n"/>
      <c r="E795" s="36" t="n"/>
      <c r="F795" s="36" t="n"/>
      <c r="G795" s="36" t="n"/>
      <c r="H795" s="37">
        <f>IF($A795="","",IFERROR(ROUND(MAX(0,$B795*INDEX(tblKurallar[deger_2025],MATCH("KIK-001",tblKurallar[kural_id],0))-($C795+$D795+$E795+$F795)),kik_yuvarMax),0))</f>
        <v/>
      </c>
      <c r="I795" s="37">
        <f>IF($A795="","",IFERROR(MAX(0,$H795-$G795*kik_sifirCarpan),0))</f>
        <v/>
      </c>
    </row>
    <row r="796">
      <c r="A796" s="36" t="n"/>
      <c r="B796" s="36" t="n"/>
      <c r="C796" s="36" t="n"/>
      <c r="D796" s="36" t="n"/>
      <c r="E796" s="36" t="n"/>
      <c r="F796" s="36" t="n"/>
      <c r="G796" s="36" t="n"/>
      <c r="H796" s="37">
        <f>IF($A796="","",IFERROR(ROUND(MAX(0,$B796*INDEX(tblKurallar[deger_2025],MATCH("KIK-001",tblKurallar[kural_id],0))-($C796+$D796+$E796+$F796)),kik_yuvarMax),0))</f>
        <v/>
      </c>
      <c r="I796" s="37">
        <f>IF($A796="","",IFERROR(MAX(0,$H796-$G796*kik_sifirCarpan),0))</f>
        <v/>
      </c>
    </row>
    <row r="797">
      <c r="A797" s="36" t="n"/>
      <c r="B797" s="36" t="n"/>
      <c r="C797" s="36" t="n"/>
      <c r="D797" s="36" t="n"/>
      <c r="E797" s="36" t="n"/>
      <c r="F797" s="36" t="n"/>
      <c r="G797" s="36" t="n"/>
      <c r="H797" s="37">
        <f>IF($A797="","",IFERROR(ROUND(MAX(0,$B797*INDEX(tblKurallar[deger_2025],MATCH("KIK-001",tblKurallar[kural_id],0))-($C797+$D797+$E797+$F797)),kik_yuvarMax),0))</f>
        <v/>
      </c>
      <c r="I797" s="37">
        <f>IF($A797="","",IFERROR(MAX(0,$H797-$G797*kik_sifirCarpan),0))</f>
        <v/>
      </c>
    </row>
    <row r="798">
      <c r="A798" s="36" t="n"/>
      <c r="B798" s="36" t="n"/>
      <c r="C798" s="36" t="n"/>
      <c r="D798" s="36" t="n"/>
      <c r="E798" s="36" t="n"/>
      <c r="F798" s="36" t="n"/>
      <c r="G798" s="36" t="n"/>
      <c r="H798" s="37">
        <f>IF($A798="","",IFERROR(ROUND(MAX(0,$B798*INDEX(tblKurallar[deger_2025],MATCH("KIK-001",tblKurallar[kural_id],0))-($C798+$D798+$E798+$F798)),kik_yuvarMax),0))</f>
        <v/>
      </c>
      <c r="I798" s="37">
        <f>IF($A798="","",IFERROR(MAX(0,$H798-$G798*kik_sifirCarpan),0))</f>
        <v/>
      </c>
    </row>
    <row r="799">
      <c r="A799" s="36" t="n"/>
      <c r="B799" s="36" t="n"/>
      <c r="C799" s="36" t="n"/>
      <c r="D799" s="36" t="n"/>
      <c r="E799" s="36" t="n"/>
      <c r="F799" s="36" t="n"/>
      <c r="G799" s="36" t="n"/>
      <c r="H799" s="37">
        <f>IF($A799="","",IFERROR(ROUND(MAX(0,$B799*INDEX(tblKurallar[deger_2025],MATCH("KIK-001",tblKurallar[kural_id],0))-($C799+$D799+$E799+$F799)),kik_yuvarMax),0))</f>
        <v/>
      </c>
      <c r="I799" s="37">
        <f>IF($A799="","",IFERROR(MAX(0,$H799-$G799*kik_sifirCarpan),0))</f>
        <v/>
      </c>
    </row>
    <row r="800">
      <c r="A800" s="36" t="n"/>
      <c r="B800" s="36" t="n"/>
      <c r="C800" s="36" t="n"/>
      <c r="D800" s="36" t="n"/>
      <c r="E800" s="36" t="n"/>
      <c r="F800" s="36" t="n"/>
      <c r="G800" s="36" t="n"/>
      <c r="H800" s="37">
        <f>IF($A800="","",IFERROR(ROUND(MAX(0,$B800*INDEX(tblKurallar[deger_2025],MATCH("KIK-001",tblKurallar[kural_id],0))-($C800+$D800+$E800+$F800)),kik_yuvarMax),0))</f>
        <v/>
      </c>
      <c r="I800" s="37">
        <f>IF($A800="","",IFERROR(MAX(0,$H800-$G800*kik_sifirCarpan),0))</f>
        <v/>
      </c>
    </row>
    <row r="801">
      <c r="A801" s="36" t="n"/>
      <c r="B801" s="36" t="n"/>
      <c r="C801" s="36" t="n"/>
      <c r="D801" s="36" t="n"/>
      <c r="E801" s="36" t="n"/>
      <c r="F801" s="36" t="n"/>
      <c r="G801" s="36" t="n"/>
      <c r="H801" s="37">
        <f>IF($A801="","",IFERROR(ROUND(MAX(0,$B801*INDEX(tblKurallar[deger_2025],MATCH("KIK-001",tblKurallar[kural_id],0))-($C801+$D801+$E801+$F801)),kik_yuvarMax),0))</f>
        <v/>
      </c>
      <c r="I801" s="37">
        <f>IF($A801="","",IFERROR(MAX(0,$H801-$G801*kik_sifirCarpan),0))</f>
        <v/>
      </c>
    </row>
    <row r="802">
      <c r="A802" s="36" t="n"/>
      <c r="B802" s="36" t="n"/>
      <c r="C802" s="36" t="n"/>
      <c r="D802" s="36" t="n"/>
      <c r="E802" s="36" t="n"/>
      <c r="F802" s="36" t="n"/>
      <c r="G802" s="36" t="n"/>
      <c r="H802" s="37">
        <f>IF($A802="","",IFERROR(ROUND(MAX(0,$B802*INDEX(tblKurallar[deger_2025],MATCH("KIK-001",tblKurallar[kural_id],0))-($C802+$D802+$E802+$F802)),kik_yuvarMax),0))</f>
        <v/>
      </c>
      <c r="I802" s="37">
        <f>IF($A802="","",IFERROR(MAX(0,$H802-$G802*kik_sifirCarpan),0))</f>
        <v/>
      </c>
    </row>
    <row r="803">
      <c r="A803" s="36" t="n"/>
      <c r="B803" s="36" t="n"/>
      <c r="C803" s="36" t="n"/>
      <c r="D803" s="36" t="n"/>
      <c r="E803" s="36" t="n"/>
      <c r="F803" s="36" t="n"/>
      <c r="G803" s="36" t="n"/>
      <c r="H803" s="37">
        <f>IF($A803="","",IFERROR(ROUND(MAX(0,$B803*INDEX(tblKurallar[deger_2025],MATCH("KIK-001",tblKurallar[kural_id],0))-($C803+$D803+$E803+$F803)),kik_yuvarMax),0))</f>
        <v/>
      </c>
      <c r="I803" s="37">
        <f>IF($A803="","",IFERROR(MAX(0,$H803-$G803*kik_sifirCarpan),0))</f>
        <v/>
      </c>
    </row>
    <row r="804">
      <c r="A804" s="36" t="n"/>
      <c r="B804" s="36" t="n"/>
      <c r="C804" s="36" t="n"/>
      <c r="D804" s="36" t="n"/>
      <c r="E804" s="36" t="n"/>
      <c r="F804" s="36" t="n"/>
      <c r="G804" s="36" t="n"/>
      <c r="H804" s="37">
        <f>IF($A804="","",IFERROR(ROUND(MAX(0,$B804*INDEX(tblKurallar[deger_2025],MATCH("KIK-001",tblKurallar[kural_id],0))-($C804+$D804+$E804+$F804)),kik_yuvarMax),0))</f>
        <v/>
      </c>
      <c r="I804" s="37">
        <f>IF($A804="","",IFERROR(MAX(0,$H804-$G804*kik_sifirCarpan),0))</f>
        <v/>
      </c>
    </row>
    <row r="805">
      <c r="A805" s="36" t="n"/>
      <c r="B805" s="36" t="n"/>
      <c r="C805" s="36" t="n"/>
      <c r="D805" s="36" t="n"/>
      <c r="E805" s="36" t="n"/>
      <c r="F805" s="36" t="n"/>
      <c r="G805" s="36" t="n"/>
      <c r="H805" s="37">
        <f>IF($A805="","",IFERROR(ROUND(MAX(0,$B805*INDEX(tblKurallar[deger_2025],MATCH("KIK-001",tblKurallar[kural_id],0))-($C805+$D805+$E805+$F805)),kik_yuvarMax),0))</f>
        <v/>
      </c>
      <c r="I805" s="37">
        <f>IF($A805="","",IFERROR(MAX(0,$H805-$G805*kik_sifirCarpan),0))</f>
        <v/>
      </c>
    </row>
    <row r="806">
      <c r="A806" s="36" t="n"/>
      <c r="B806" s="36" t="n"/>
      <c r="C806" s="36" t="n"/>
      <c r="D806" s="36" t="n"/>
      <c r="E806" s="36" t="n"/>
      <c r="F806" s="36" t="n"/>
      <c r="G806" s="36" t="n"/>
      <c r="H806" s="37">
        <f>IF($A806="","",IFERROR(ROUND(MAX(0,$B806*INDEX(tblKurallar[deger_2025],MATCH("KIK-001",tblKurallar[kural_id],0))-($C806+$D806+$E806+$F806)),kik_yuvarMax),0))</f>
        <v/>
      </c>
      <c r="I806" s="37">
        <f>IF($A806="","",IFERROR(MAX(0,$H806-$G806*kik_sifirCarpan),0))</f>
        <v/>
      </c>
    </row>
    <row r="807">
      <c r="A807" s="36" t="n"/>
      <c r="B807" s="36" t="n"/>
      <c r="C807" s="36" t="n"/>
      <c r="D807" s="36" t="n"/>
      <c r="E807" s="36" t="n"/>
      <c r="F807" s="36" t="n"/>
      <c r="G807" s="36" t="n"/>
      <c r="H807" s="37">
        <f>IF($A807="","",IFERROR(ROUND(MAX(0,$B807*INDEX(tblKurallar[deger_2025],MATCH("KIK-001",tblKurallar[kural_id],0))-($C807+$D807+$E807+$F807)),kik_yuvarMax),0))</f>
        <v/>
      </c>
      <c r="I807" s="37">
        <f>IF($A807="","",IFERROR(MAX(0,$H807-$G807*kik_sifirCarpan),0))</f>
        <v/>
      </c>
    </row>
    <row r="808">
      <c r="A808" s="36" t="n"/>
      <c r="B808" s="36" t="n"/>
      <c r="C808" s="36" t="n"/>
      <c r="D808" s="36" t="n"/>
      <c r="E808" s="36" t="n"/>
      <c r="F808" s="36" t="n"/>
      <c r="G808" s="36" t="n"/>
      <c r="H808" s="37">
        <f>IF($A808="","",IFERROR(ROUND(MAX(0,$B808*INDEX(tblKurallar[deger_2025],MATCH("KIK-001",tblKurallar[kural_id],0))-($C808+$D808+$E808+$F808)),kik_yuvarMax),0))</f>
        <v/>
      </c>
      <c r="I808" s="37">
        <f>IF($A808="","",IFERROR(MAX(0,$H808-$G808*kik_sifirCarpan),0))</f>
        <v/>
      </c>
    </row>
    <row r="809">
      <c r="A809" s="36" t="n"/>
      <c r="B809" s="36" t="n"/>
      <c r="C809" s="36" t="n"/>
      <c r="D809" s="36" t="n"/>
      <c r="E809" s="36" t="n"/>
      <c r="F809" s="36" t="n"/>
      <c r="G809" s="36" t="n"/>
      <c r="H809" s="37">
        <f>IF($A809="","",IFERROR(ROUND(MAX(0,$B809*INDEX(tblKurallar[deger_2025],MATCH("KIK-001",tblKurallar[kural_id],0))-($C809+$D809+$E809+$F809)),kik_yuvarMax),0))</f>
        <v/>
      </c>
      <c r="I809" s="37">
        <f>IF($A809="","",IFERROR(MAX(0,$H809-$G809*kik_sifirCarpan),0))</f>
        <v/>
      </c>
    </row>
    <row r="810">
      <c r="A810" s="36" t="n"/>
      <c r="B810" s="36" t="n"/>
      <c r="C810" s="36" t="n"/>
      <c r="D810" s="36" t="n"/>
      <c r="E810" s="36" t="n"/>
      <c r="F810" s="36" t="n"/>
      <c r="G810" s="36" t="n"/>
      <c r="H810" s="37">
        <f>IF($A810="","",IFERROR(ROUND(MAX(0,$B810*INDEX(tblKurallar[deger_2025],MATCH("KIK-001",tblKurallar[kural_id],0))-($C810+$D810+$E810+$F810)),kik_yuvarMax),0))</f>
        <v/>
      </c>
      <c r="I810" s="37">
        <f>IF($A810="","",IFERROR(MAX(0,$H810-$G810*kik_sifirCarpan),0))</f>
        <v/>
      </c>
    </row>
    <row r="811">
      <c r="A811" s="36" t="n"/>
      <c r="B811" s="36" t="n"/>
      <c r="C811" s="36" t="n"/>
      <c r="D811" s="36" t="n"/>
      <c r="E811" s="36" t="n"/>
      <c r="F811" s="36" t="n"/>
      <c r="G811" s="36" t="n"/>
      <c r="H811" s="37">
        <f>IF($A811="","",IFERROR(ROUND(MAX(0,$B811*INDEX(tblKurallar[deger_2025],MATCH("KIK-001",tblKurallar[kural_id],0))-($C811+$D811+$E811+$F811)),kik_yuvarMax),0))</f>
        <v/>
      </c>
      <c r="I811" s="37">
        <f>IF($A811="","",IFERROR(MAX(0,$H811-$G811*kik_sifirCarpan),0))</f>
        <v/>
      </c>
    </row>
    <row r="812">
      <c r="A812" s="36" t="n"/>
      <c r="B812" s="36" t="n"/>
      <c r="C812" s="36" t="n"/>
      <c r="D812" s="36" t="n"/>
      <c r="E812" s="36" t="n"/>
      <c r="F812" s="36" t="n"/>
      <c r="G812" s="36" t="n"/>
      <c r="H812" s="37">
        <f>IF($A812="","",IFERROR(ROUND(MAX(0,$B812*INDEX(tblKurallar[deger_2025],MATCH("KIK-001",tblKurallar[kural_id],0))-($C812+$D812+$E812+$F812)),kik_yuvarMax),0))</f>
        <v/>
      </c>
      <c r="I812" s="37">
        <f>IF($A812="","",IFERROR(MAX(0,$H812-$G812*kik_sifirCarpan),0))</f>
        <v/>
      </c>
    </row>
    <row r="813">
      <c r="A813" s="36" t="n"/>
      <c r="B813" s="36" t="n"/>
      <c r="C813" s="36" t="n"/>
      <c r="D813" s="36" t="n"/>
      <c r="E813" s="36" t="n"/>
      <c r="F813" s="36" t="n"/>
      <c r="G813" s="36" t="n"/>
      <c r="H813" s="37">
        <f>IF($A813="","",IFERROR(ROUND(MAX(0,$B813*INDEX(tblKurallar[deger_2025],MATCH("KIK-001",tblKurallar[kural_id],0))-($C813+$D813+$E813+$F813)),kik_yuvarMax),0))</f>
        <v/>
      </c>
      <c r="I813" s="37">
        <f>IF($A813="","",IFERROR(MAX(0,$H813-$G813*kik_sifirCarpan),0))</f>
        <v/>
      </c>
    </row>
    <row r="814">
      <c r="A814" s="36" t="n"/>
      <c r="B814" s="36" t="n"/>
      <c r="C814" s="36" t="n"/>
      <c r="D814" s="36" t="n"/>
      <c r="E814" s="36" t="n"/>
      <c r="F814" s="36" t="n"/>
      <c r="G814" s="36" t="n"/>
      <c r="H814" s="37">
        <f>IF($A814="","",IFERROR(ROUND(MAX(0,$B814*INDEX(tblKurallar[deger_2025],MATCH("KIK-001",tblKurallar[kural_id],0))-($C814+$D814+$E814+$F814)),kik_yuvarMax),0))</f>
        <v/>
      </c>
      <c r="I814" s="37">
        <f>IF($A814="","",IFERROR(MAX(0,$H814-$G814*kik_sifirCarpan),0))</f>
        <v/>
      </c>
    </row>
    <row r="815">
      <c r="A815" s="36" t="n"/>
      <c r="B815" s="36" t="n"/>
      <c r="C815" s="36" t="n"/>
      <c r="D815" s="36" t="n"/>
      <c r="E815" s="36" t="n"/>
      <c r="F815" s="36" t="n"/>
      <c r="G815" s="36" t="n"/>
      <c r="H815" s="37">
        <f>IF($A815="","",IFERROR(ROUND(MAX(0,$B815*INDEX(tblKurallar[deger_2025],MATCH("KIK-001",tblKurallar[kural_id],0))-($C815+$D815+$E815+$F815)),kik_yuvarMax),0))</f>
        <v/>
      </c>
      <c r="I815" s="37">
        <f>IF($A815="","",IFERROR(MAX(0,$H815-$G815*kik_sifirCarpan),0))</f>
        <v/>
      </c>
    </row>
    <row r="816">
      <c r="A816" s="36" t="n"/>
      <c r="B816" s="36" t="n"/>
      <c r="C816" s="36" t="n"/>
      <c r="D816" s="36" t="n"/>
      <c r="E816" s="36" t="n"/>
      <c r="F816" s="36" t="n"/>
      <c r="G816" s="36" t="n"/>
      <c r="H816" s="37">
        <f>IF($A816="","",IFERROR(ROUND(MAX(0,$B816*INDEX(tblKurallar[deger_2025],MATCH("KIK-001",tblKurallar[kural_id],0))-($C816+$D816+$E816+$F816)),kik_yuvarMax),0))</f>
        <v/>
      </c>
      <c r="I816" s="37">
        <f>IF($A816="","",IFERROR(MAX(0,$H816-$G816*kik_sifirCarpan),0))</f>
        <v/>
      </c>
    </row>
    <row r="817">
      <c r="A817" s="36" t="n"/>
      <c r="B817" s="36" t="n"/>
      <c r="C817" s="36" t="n"/>
      <c r="D817" s="36" t="n"/>
      <c r="E817" s="36" t="n"/>
      <c r="F817" s="36" t="n"/>
      <c r="G817" s="36" t="n"/>
      <c r="H817" s="37">
        <f>IF($A817="","",IFERROR(ROUND(MAX(0,$B817*INDEX(tblKurallar[deger_2025],MATCH("KIK-001",tblKurallar[kural_id],0))-($C817+$D817+$E817+$F817)),kik_yuvarMax),0))</f>
        <v/>
      </c>
      <c r="I817" s="37">
        <f>IF($A817="","",IFERROR(MAX(0,$H817-$G817*kik_sifirCarpan),0))</f>
        <v/>
      </c>
    </row>
    <row r="818">
      <c r="A818" s="36" t="n"/>
      <c r="B818" s="36" t="n"/>
      <c r="C818" s="36" t="n"/>
      <c r="D818" s="36" t="n"/>
      <c r="E818" s="36" t="n"/>
      <c r="F818" s="36" t="n"/>
      <c r="G818" s="36" t="n"/>
      <c r="H818" s="37">
        <f>IF($A818="","",IFERROR(ROUND(MAX(0,$B818*INDEX(tblKurallar[deger_2025],MATCH("KIK-001",tblKurallar[kural_id],0))-($C818+$D818+$E818+$F818)),kik_yuvarMax),0))</f>
        <v/>
      </c>
      <c r="I818" s="37">
        <f>IF($A818="","",IFERROR(MAX(0,$H818-$G818*kik_sifirCarpan),0))</f>
        <v/>
      </c>
    </row>
    <row r="819">
      <c r="A819" s="36" t="n"/>
      <c r="B819" s="36" t="n"/>
      <c r="C819" s="36" t="n"/>
      <c r="D819" s="36" t="n"/>
      <c r="E819" s="36" t="n"/>
      <c r="F819" s="36" t="n"/>
      <c r="G819" s="36" t="n"/>
      <c r="H819" s="37">
        <f>IF($A819="","",IFERROR(ROUND(MAX(0,$B819*INDEX(tblKurallar[deger_2025],MATCH("KIK-001",tblKurallar[kural_id],0))-($C819+$D819+$E819+$F819)),kik_yuvarMax),0))</f>
        <v/>
      </c>
      <c r="I819" s="37">
        <f>IF($A819="","",IFERROR(MAX(0,$H819-$G819*kik_sifirCarpan),0))</f>
        <v/>
      </c>
    </row>
    <row r="820">
      <c r="A820" s="36" t="n"/>
      <c r="B820" s="36" t="n"/>
      <c r="C820" s="36" t="n"/>
      <c r="D820" s="36" t="n"/>
      <c r="E820" s="36" t="n"/>
      <c r="F820" s="36" t="n"/>
      <c r="G820" s="36" t="n"/>
      <c r="H820" s="37">
        <f>IF($A820="","",IFERROR(ROUND(MAX(0,$B820*INDEX(tblKurallar[deger_2025],MATCH("KIK-001",tblKurallar[kural_id],0))-($C820+$D820+$E820+$F820)),kik_yuvarMax),0))</f>
        <v/>
      </c>
      <c r="I820" s="37">
        <f>IF($A820="","",IFERROR(MAX(0,$H820-$G820*kik_sifirCarpan),0))</f>
        <v/>
      </c>
    </row>
    <row r="821">
      <c r="A821" s="36" t="n"/>
      <c r="B821" s="36" t="n"/>
      <c r="C821" s="36" t="n"/>
      <c r="D821" s="36" t="n"/>
      <c r="E821" s="36" t="n"/>
      <c r="F821" s="36" t="n"/>
      <c r="G821" s="36" t="n"/>
      <c r="H821" s="37">
        <f>IF($A821="","",IFERROR(ROUND(MAX(0,$B821*INDEX(tblKurallar[deger_2025],MATCH("KIK-001",tblKurallar[kural_id],0))-($C821+$D821+$E821+$F821)),kik_yuvarMax),0))</f>
        <v/>
      </c>
      <c r="I821" s="37">
        <f>IF($A821="","",IFERROR(MAX(0,$H821-$G821*kik_sifirCarpan),0))</f>
        <v/>
      </c>
    </row>
    <row r="822">
      <c r="A822" s="36" t="n"/>
      <c r="B822" s="36" t="n"/>
      <c r="C822" s="36" t="n"/>
      <c r="D822" s="36" t="n"/>
      <c r="E822" s="36" t="n"/>
      <c r="F822" s="36" t="n"/>
      <c r="G822" s="36" t="n"/>
      <c r="H822" s="37">
        <f>IF($A822="","",IFERROR(ROUND(MAX(0,$B822*INDEX(tblKurallar[deger_2025],MATCH("KIK-001",tblKurallar[kural_id],0))-($C822+$D822+$E822+$F822)),kik_yuvarMax),0))</f>
        <v/>
      </c>
      <c r="I822" s="37">
        <f>IF($A822="","",IFERROR(MAX(0,$H822-$G822*kik_sifirCarpan),0))</f>
        <v/>
      </c>
    </row>
    <row r="823">
      <c r="A823" s="36" t="n"/>
      <c r="B823" s="36" t="n"/>
      <c r="C823" s="36" t="n"/>
      <c r="D823" s="36" t="n"/>
      <c r="E823" s="36" t="n"/>
      <c r="F823" s="36" t="n"/>
      <c r="G823" s="36" t="n"/>
      <c r="H823" s="37">
        <f>IF($A823="","",IFERROR(ROUND(MAX(0,$B823*INDEX(tblKurallar[deger_2025],MATCH("KIK-001",tblKurallar[kural_id],0))-($C823+$D823+$E823+$F823)),kik_yuvarMax),0))</f>
        <v/>
      </c>
      <c r="I823" s="37">
        <f>IF($A823="","",IFERROR(MAX(0,$H823-$G823*kik_sifirCarpan),0))</f>
        <v/>
      </c>
    </row>
    <row r="824">
      <c r="A824" s="36" t="n"/>
      <c r="B824" s="36" t="n"/>
      <c r="C824" s="36" t="n"/>
      <c r="D824" s="36" t="n"/>
      <c r="E824" s="36" t="n"/>
      <c r="F824" s="36" t="n"/>
      <c r="G824" s="36" t="n"/>
      <c r="H824" s="37">
        <f>IF($A824="","",IFERROR(ROUND(MAX(0,$B824*INDEX(tblKurallar[deger_2025],MATCH("KIK-001",tblKurallar[kural_id],0))-($C824+$D824+$E824+$F824)),kik_yuvarMax),0))</f>
        <v/>
      </c>
      <c r="I824" s="37">
        <f>IF($A824="","",IFERROR(MAX(0,$H824-$G824*kik_sifirCarpan),0))</f>
        <v/>
      </c>
    </row>
    <row r="825">
      <c r="A825" s="36" t="n"/>
      <c r="B825" s="36" t="n"/>
      <c r="C825" s="36" t="n"/>
      <c r="D825" s="36" t="n"/>
      <c r="E825" s="36" t="n"/>
      <c r="F825" s="36" t="n"/>
      <c r="G825" s="36" t="n"/>
      <c r="H825" s="37">
        <f>IF($A825="","",IFERROR(ROUND(MAX(0,$B825*INDEX(tblKurallar[deger_2025],MATCH("KIK-001",tblKurallar[kural_id],0))-($C825+$D825+$E825+$F825)),kik_yuvarMax),0))</f>
        <v/>
      </c>
      <c r="I825" s="37">
        <f>IF($A825="","",IFERROR(MAX(0,$H825-$G825*kik_sifirCarpan),0))</f>
        <v/>
      </c>
    </row>
    <row r="826">
      <c r="A826" s="36" t="n"/>
      <c r="B826" s="36" t="n"/>
      <c r="C826" s="36" t="n"/>
      <c r="D826" s="36" t="n"/>
      <c r="E826" s="36" t="n"/>
      <c r="F826" s="36" t="n"/>
      <c r="G826" s="36" t="n"/>
      <c r="H826" s="37">
        <f>IF($A826="","",IFERROR(ROUND(MAX(0,$B826*INDEX(tblKurallar[deger_2025],MATCH("KIK-001",tblKurallar[kural_id],0))-($C826+$D826+$E826+$F826)),kik_yuvarMax),0))</f>
        <v/>
      </c>
      <c r="I826" s="37">
        <f>IF($A826="","",IFERROR(MAX(0,$H826-$G826*kik_sifirCarpan),0))</f>
        <v/>
      </c>
    </row>
    <row r="827">
      <c r="A827" s="36" t="n"/>
      <c r="B827" s="36" t="n"/>
      <c r="C827" s="36" t="n"/>
      <c r="D827" s="36" t="n"/>
      <c r="E827" s="36" t="n"/>
      <c r="F827" s="36" t="n"/>
      <c r="G827" s="36" t="n"/>
      <c r="H827" s="37">
        <f>IF($A827="","",IFERROR(ROUND(MAX(0,$B827*INDEX(tblKurallar[deger_2025],MATCH("KIK-001",tblKurallar[kural_id],0))-($C827+$D827+$E827+$F827)),kik_yuvarMax),0))</f>
        <v/>
      </c>
      <c r="I827" s="37">
        <f>IF($A827="","",IFERROR(MAX(0,$H827-$G827*kik_sifirCarpan),0))</f>
        <v/>
      </c>
    </row>
    <row r="828">
      <c r="A828" s="36" t="n"/>
      <c r="B828" s="36" t="n"/>
      <c r="C828" s="36" t="n"/>
      <c r="D828" s="36" t="n"/>
      <c r="E828" s="36" t="n"/>
      <c r="F828" s="36" t="n"/>
      <c r="G828" s="36" t="n"/>
      <c r="H828" s="37">
        <f>IF($A828="","",IFERROR(ROUND(MAX(0,$B828*INDEX(tblKurallar[deger_2025],MATCH("KIK-001",tblKurallar[kural_id],0))-($C828+$D828+$E828+$F828)),kik_yuvarMax),0))</f>
        <v/>
      </c>
      <c r="I828" s="37">
        <f>IF($A828="","",IFERROR(MAX(0,$H828-$G828*kik_sifirCarpan),0))</f>
        <v/>
      </c>
    </row>
    <row r="829">
      <c r="A829" s="36" t="n"/>
      <c r="B829" s="36" t="n"/>
      <c r="C829" s="36" t="n"/>
      <c r="D829" s="36" t="n"/>
      <c r="E829" s="36" t="n"/>
      <c r="F829" s="36" t="n"/>
      <c r="G829" s="36" t="n"/>
      <c r="H829" s="37">
        <f>IF($A829="","",IFERROR(ROUND(MAX(0,$B829*INDEX(tblKurallar[deger_2025],MATCH("KIK-001",tblKurallar[kural_id],0))-($C829+$D829+$E829+$F829)),kik_yuvarMax),0))</f>
        <v/>
      </c>
      <c r="I829" s="37">
        <f>IF($A829="","",IFERROR(MAX(0,$H829-$G829*kik_sifirCarpan),0))</f>
        <v/>
      </c>
    </row>
    <row r="830">
      <c r="A830" s="36" t="n"/>
      <c r="B830" s="36" t="n"/>
      <c r="C830" s="36" t="n"/>
      <c r="D830" s="36" t="n"/>
      <c r="E830" s="36" t="n"/>
      <c r="F830" s="36" t="n"/>
      <c r="G830" s="36" t="n"/>
      <c r="H830" s="37">
        <f>IF($A830="","",IFERROR(ROUND(MAX(0,$B830*INDEX(tblKurallar[deger_2025],MATCH("KIK-001",tblKurallar[kural_id],0))-($C830+$D830+$E830+$F830)),kik_yuvarMax),0))</f>
        <v/>
      </c>
      <c r="I830" s="37">
        <f>IF($A830="","",IFERROR(MAX(0,$H830-$G830*kik_sifirCarpan),0))</f>
        <v/>
      </c>
    </row>
    <row r="831">
      <c r="A831" s="36" t="n"/>
      <c r="B831" s="36" t="n"/>
      <c r="C831" s="36" t="n"/>
      <c r="D831" s="36" t="n"/>
      <c r="E831" s="36" t="n"/>
      <c r="F831" s="36" t="n"/>
      <c r="G831" s="36" t="n"/>
      <c r="H831" s="37">
        <f>IF($A831="","",IFERROR(ROUND(MAX(0,$B831*INDEX(tblKurallar[deger_2025],MATCH("KIK-001",tblKurallar[kural_id],0))-($C831+$D831+$E831+$F831)),kik_yuvarMax),0))</f>
        <v/>
      </c>
      <c r="I831" s="37">
        <f>IF($A831="","",IFERROR(MAX(0,$H831-$G831*kik_sifirCarpan),0))</f>
        <v/>
      </c>
    </row>
    <row r="832">
      <c r="A832" s="36" t="n"/>
      <c r="B832" s="36" t="n"/>
      <c r="C832" s="36" t="n"/>
      <c r="D832" s="36" t="n"/>
      <c r="E832" s="36" t="n"/>
      <c r="F832" s="36" t="n"/>
      <c r="G832" s="36" t="n"/>
      <c r="H832" s="37">
        <f>IF($A832="","",IFERROR(ROUND(MAX(0,$B832*INDEX(tblKurallar[deger_2025],MATCH("KIK-001",tblKurallar[kural_id],0))-($C832+$D832+$E832+$F832)),kik_yuvarMax),0))</f>
        <v/>
      </c>
      <c r="I832" s="37">
        <f>IF($A832="","",IFERROR(MAX(0,$H832-$G832*kik_sifirCarpan),0))</f>
        <v/>
      </c>
    </row>
    <row r="833">
      <c r="A833" s="36" t="n"/>
      <c r="B833" s="36" t="n"/>
      <c r="C833" s="36" t="n"/>
      <c r="D833" s="36" t="n"/>
      <c r="E833" s="36" t="n"/>
      <c r="F833" s="36" t="n"/>
      <c r="G833" s="36" t="n"/>
      <c r="H833" s="37">
        <f>IF($A833="","",IFERROR(ROUND(MAX(0,$B833*INDEX(tblKurallar[deger_2025],MATCH("KIK-001",tblKurallar[kural_id],0))-($C833+$D833+$E833+$F833)),kik_yuvarMax),0))</f>
        <v/>
      </c>
      <c r="I833" s="37">
        <f>IF($A833="","",IFERROR(MAX(0,$H833-$G833*kik_sifirCarpan),0))</f>
        <v/>
      </c>
    </row>
    <row r="834">
      <c r="A834" s="36" t="n"/>
      <c r="B834" s="36" t="n"/>
      <c r="C834" s="36" t="n"/>
      <c r="D834" s="36" t="n"/>
      <c r="E834" s="36" t="n"/>
      <c r="F834" s="36" t="n"/>
      <c r="G834" s="36" t="n"/>
      <c r="H834" s="37">
        <f>IF($A834="","",IFERROR(ROUND(MAX(0,$B834*INDEX(tblKurallar[deger_2025],MATCH("KIK-001",tblKurallar[kural_id],0))-($C834+$D834+$E834+$F834)),kik_yuvarMax),0))</f>
        <v/>
      </c>
      <c r="I834" s="37">
        <f>IF($A834="","",IFERROR(MAX(0,$H834-$G834*kik_sifirCarpan),0))</f>
        <v/>
      </c>
    </row>
    <row r="835">
      <c r="A835" s="36" t="n"/>
      <c r="B835" s="36" t="n"/>
      <c r="C835" s="36" t="n"/>
      <c r="D835" s="36" t="n"/>
      <c r="E835" s="36" t="n"/>
      <c r="F835" s="36" t="n"/>
      <c r="G835" s="36" t="n"/>
      <c r="H835" s="37">
        <f>IF($A835="","",IFERROR(ROUND(MAX(0,$B835*INDEX(tblKurallar[deger_2025],MATCH("KIK-001",tblKurallar[kural_id],0))-($C835+$D835+$E835+$F835)),kik_yuvarMax),0))</f>
        <v/>
      </c>
      <c r="I835" s="37">
        <f>IF($A835="","",IFERROR(MAX(0,$H835-$G835*kik_sifirCarpan),0))</f>
        <v/>
      </c>
    </row>
    <row r="836">
      <c r="A836" s="36" t="n"/>
      <c r="B836" s="36" t="n"/>
      <c r="C836" s="36" t="n"/>
      <c r="D836" s="36" t="n"/>
      <c r="E836" s="36" t="n"/>
      <c r="F836" s="36" t="n"/>
      <c r="G836" s="36" t="n"/>
      <c r="H836" s="37">
        <f>IF($A836="","",IFERROR(ROUND(MAX(0,$B836*INDEX(tblKurallar[deger_2025],MATCH("KIK-001",tblKurallar[kural_id],0))-($C836+$D836+$E836+$F836)),kik_yuvarMax),0))</f>
        <v/>
      </c>
      <c r="I836" s="37">
        <f>IF($A836="","",IFERROR(MAX(0,$H836-$G836*kik_sifirCarpan),0))</f>
        <v/>
      </c>
    </row>
    <row r="837">
      <c r="A837" s="36" t="n"/>
      <c r="B837" s="36" t="n"/>
      <c r="C837" s="36" t="n"/>
      <c r="D837" s="36" t="n"/>
      <c r="E837" s="36" t="n"/>
      <c r="F837" s="36" t="n"/>
      <c r="G837" s="36" t="n"/>
      <c r="H837" s="37">
        <f>IF($A837="","",IFERROR(ROUND(MAX(0,$B837*INDEX(tblKurallar[deger_2025],MATCH("KIK-001",tblKurallar[kural_id],0))-($C837+$D837+$E837+$F837)),kik_yuvarMax),0))</f>
        <v/>
      </c>
      <c r="I837" s="37">
        <f>IF($A837="","",IFERROR(MAX(0,$H837-$G837*kik_sifirCarpan),0))</f>
        <v/>
      </c>
    </row>
    <row r="838">
      <c r="A838" s="36" t="n"/>
      <c r="B838" s="36" t="n"/>
      <c r="C838" s="36" t="n"/>
      <c r="D838" s="36" t="n"/>
      <c r="E838" s="36" t="n"/>
      <c r="F838" s="36" t="n"/>
      <c r="G838" s="36" t="n"/>
      <c r="H838" s="37">
        <f>IF($A838="","",IFERROR(ROUND(MAX(0,$B838*INDEX(tblKurallar[deger_2025],MATCH("KIK-001",tblKurallar[kural_id],0))-($C838+$D838+$E838+$F838)),kik_yuvarMax),0))</f>
        <v/>
      </c>
      <c r="I838" s="37">
        <f>IF($A838="","",IFERROR(MAX(0,$H838-$G838*kik_sifirCarpan),0))</f>
        <v/>
      </c>
    </row>
    <row r="839">
      <c r="A839" s="36" t="n"/>
      <c r="B839" s="36" t="n"/>
      <c r="C839" s="36" t="n"/>
      <c r="D839" s="36" t="n"/>
      <c r="E839" s="36" t="n"/>
      <c r="F839" s="36" t="n"/>
      <c r="G839" s="36" t="n"/>
      <c r="H839" s="37">
        <f>IF($A839="","",IFERROR(ROUND(MAX(0,$B839*INDEX(tblKurallar[deger_2025],MATCH("KIK-001",tblKurallar[kural_id],0))-($C839+$D839+$E839+$F839)),kik_yuvarMax),0))</f>
        <v/>
      </c>
      <c r="I839" s="37">
        <f>IF($A839="","",IFERROR(MAX(0,$H839-$G839*kik_sifirCarpan),0))</f>
        <v/>
      </c>
    </row>
    <row r="840">
      <c r="A840" s="36" t="n"/>
      <c r="B840" s="36" t="n"/>
      <c r="C840" s="36" t="n"/>
      <c r="D840" s="36" t="n"/>
      <c r="E840" s="36" t="n"/>
      <c r="F840" s="36" t="n"/>
      <c r="G840" s="36" t="n"/>
      <c r="H840" s="37">
        <f>IF($A840="","",IFERROR(ROUND(MAX(0,$B840*INDEX(tblKurallar[deger_2025],MATCH("KIK-001",tblKurallar[kural_id],0))-($C840+$D840+$E840+$F840)),kik_yuvarMax),0))</f>
        <v/>
      </c>
      <c r="I840" s="37">
        <f>IF($A840="","",IFERROR(MAX(0,$H840-$G840*kik_sifirCarpan),0))</f>
        <v/>
      </c>
    </row>
    <row r="841">
      <c r="A841" s="36" t="n"/>
      <c r="B841" s="36" t="n"/>
      <c r="C841" s="36" t="n"/>
      <c r="D841" s="36" t="n"/>
      <c r="E841" s="36" t="n"/>
      <c r="F841" s="36" t="n"/>
      <c r="G841" s="36" t="n"/>
      <c r="H841" s="37">
        <f>IF($A841="","",IFERROR(ROUND(MAX(0,$B841*INDEX(tblKurallar[deger_2025],MATCH("KIK-001",tblKurallar[kural_id],0))-($C841+$D841+$E841+$F841)),kik_yuvarMax),0))</f>
        <v/>
      </c>
      <c r="I841" s="37">
        <f>IF($A841="","",IFERROR(MAX(0,$H841-$G841*kik_sifirCarpan),0))</f>
        <v/>
      </c>
    </row>
    <row r="842">
      <c r="A842" s="36" t="n"/>
      <c r="B842" s="36" t="n"/>
      <c r="C842" s="36" t="n"/>
      <c r="D842" s="36" t="n"/>
      <c r="E842" s="36" t="n"/>
      <c r="F842" s="36" t="n"/>
      <c r="G842" s="36" t="n"/>
      <c r="H842" s="37">
        <f>IF($A842="","",IFERROR(ROUND(MAX(0,$B842*INDEX(tblKurallar[deger_2025],MATCH("KIK-001",tblKurallar[kural_id],0))-($C842+$D842+$E842+$F842)),kik_yuvarMax),0))</f>
        <v/>
      </c>
      <c r="I842" s="37">
        <f>IF($A842="","",IFERROR(MAX(0,$H842-$G842*kik_sifirCarpan),0))</f>
        <v/>
      </c>
    </row>
    <row r="843">
      <c r="A843" s="36" t="n"/>
      <c r="B843" s="36" t="n"/>
      <c r="C843" s="36" t="n"/>
      <c r="D843" s="36" t="n"/>
      <c r="E843" s="36" t="n"/>
      <c r="F843" s="36" t="n"/>
      <c r="G843" s="36" t="n"/>
      <c r="H843" s="37">
        <f>IF($A843="","",IFERROR(ROUND(MAX(0,$B843*INDEX(tblKurallar[deger_2025],MATCH("KIK-001",tblKurallar[kural_id],0))-($C843+$D843+$E843+$F843)),kik_yuvarMax),0))</f>
        <v/>
      </c>
      <c r="I843" s="37">
        <f>IF($A843="","",IFERROR(MAX(0,$H843-$G843*kik_sifirCarpan),0))</f>
        <v/>
      </c>
    </row>
    <row r="844">
      <c r="A844" s="36" t="n"/>
      <c r="B844" s="36" t="n"/>
      <c r="C844" s="36" t="n"/>
      <c r="D844" s="36" t="n"/>
      <c r="E844" s="36" t="n"/>
      <c r="F844" s="36" t="n"/>
      <c r="G844" s="36" t="n"/>
      <c r="H844" s="37">
        <f>IF($A844="","",IFERROR(ROUND(MAX(0,$B844*INDEX(tblKurallar[deger_2025],MATCH("KIK-001",tblKurallar[kural_id],0))-($C844+$D844+$E844+$F844)),kik_yuvarMax),0))</f>
        <v/>
      </c>
      <c r="I844" s="37">
        <f>IF($A844="","",IFERROR(MAX(0,$H844-$G844*kik_sifirCarpan),0))</f>
        <v/>
      </c>
    </row>
    <row r="845">
      <c r="A845" s="36" t="n"/>
      <c r="B845" s="36" t="n"/>
      <c r="C845" s="36" t="n"/>
      <c r="D845" s="36" t="n"/>
      <c r="E845" s="36" t="n"/>
      <c r="F845" s="36" t="n"/>
      <c r="G845" s="36" t="n"/>
      <c r="H845" s="37">
        <f>IF($A845="","",IFERROR(ROUND(MAX(0,$B845*INDEX(tblKurallar[deger_2025],MATCH("KIK-001",tblKurallar[kural_id],0))-($C845+$D845+$E845+$F845)),kik_yuvarMax),0))</f>
        <v/>
      </c>
      <c r="I845" s="37">
        <f>IF($A845="","",IFERROR(MAX(0,$H845-$G845*kik_sifirCarpan),0))</f>
        <v/>
      </c>
    </row>
    <row r="846">
      <c r="A846" s="36" t="n"/>
      <c r="B846" s="36" t="n"/>
      <c r="C846" s="36" t="n"/>
      <c r="D846" s="36" t="n"/>
      <c r="E846" s="36" t="n"/>
      <c r="F846" s="36" t="n"/>
      <c r="G846" s="36" t="n"/>
      <c r="H846" s="37">
        <f>IF($A846="","",IFERROR(ROUND(MAX(0,$B846*INDEX(tblKurallar[deger_2025],MATCH("KIK-001",tblKurallar[kural_id],0))-($C846+$D846+$E846+$F846)),kik_yuvarMax),0))</f>
        <v/>
      </c>
      <c r="I846" s="37">
        <f>IF($A846="","",IFERROR(MAX(0,$H846-$G846*kik_sifirCarpan),0))</f>
        <v/>
      </c>
    </row>
    <row r="847">
      <c r="A847" s="36" t="n"/>
      <c r="B847" s="36" t="n"/>
      <c r="C847" s="36" t="n"/>
      <c r="D847" s="36" t="n"/>
      <c r="E847" s="36" t="n"/>
      <c r="F847" s="36" t="n"/>
      <c r="G847" s="36" t="n"/>
      <c r="H847" s="37">
        <f>IF($A847="","",IFERROR(ROUND(MAX(0,$B847*INDEX(tblKurallar[deger_2025],MATCH("KIK-001",tblKurallar[kural_id],0))-($C847+$D847+$E847+$F847)),kik_yuvarMax),0))</f>
        <v/>
      </c>
      <c r="I847" s="37">
        <f>IF($A847="","",IFERROR(MAX(0,$H847-$G847*kik_sifirCarpan),0))</f>
        <v/>
      </c>
    </row>
    <row r="848">
      <c r="A848" s="36" t="n"/>
      <c r="B848" s="36" t="n"/>
      <c r="C848" s="36" t="n"/>
      <c r="D848" s="36" t="n"/>
      <c r="E848" s="36" t="n"/>
      <c r="F848" s="36" t="n"/>
      <c r="G848" s="36" t="n"/>
      <c r="H848" s="37">
        <f>IF($A848="","",IFERROR(ROUND(MAX(0,$B848*INDEX(tblKurallar[deger_2025],MATCH("KIK-001",tblKurallar[kural_id],0))-($C848+$D848+$E848+$F848)),kik_yuvarMax),0))</f>
        <v/>
      </c>
      <c r="I848" s="37">
        <f>IF($A848="","",IFERROR(MAX(0,$H848-$G848*kik_sifirCarpan),0))</f>
        <v/>
      </c>
    </row>
    <row r="849">
      <c r="A849" s="36" t="n"/>
      <c r="B849" s="36" t="n"/>
      <c r="C849" s="36" t="n"/>
      <c r="D849" s="36" t="n"/>
      <c r="E849" s="36" t="n"/>
      <c r="F849" s="36" t="n"/>
      <c r="G849" s="36" t="n"/>
      <c r="H849" s="37">
        <f>IF($A849="","",IFERROR(ROUND(MAX(0,$B849*INDEX(tblKurallar[deger_2025],MATCH("KIK-001",tblKurallar[kural_id],0))-($C849+$D849+$E849+$F849)),kik_yuvarMax),0))</f>
        <v/>
      </c>
      <c r="I849" s="37">
        <f>IF($A849="","",IFERROR(MAX(0,$H849-$G849*kik_sifirCarpan),0))</f>
        <v/>
      </c>
    </row>
    <row r="850">
      <c r="A850" s="36" t="n"/>
      <c r="B850" s="36" t="n"/>
      <c r="C850" s="36" t="n"/>
      <c r="D850" s="36" t="n"/>
      <c r="E850" s="36" t="n"/>
      <c r="F850" s="36" t="n"/>
      <c r="G850" s="36" t="n"/>
      <c r="H850" s="37">
        <f>IF($A850="","",IFERROR(ROUND(MAX(0,$B850*INDEX(tblKurallar[deger_2025],MATCH("KIK-001",tblKurallar[kural_id],0))-($C850+$D850+$E850+$F850)),kik_yuvarMax),0))</f>
        <v/>
      </c>
      <c r="I850" s="37">
        <f>IF($A850="","",IFERROR(MAX(0,$H850-$G850*kik_sifirCarpan),0))</f>
        <v/>
      </c>
    </row>
    <row r="851">
      <c r="A851" s="36" t="n"/>
      <c r="B851" s="36" t="n"/>
      <c r="C851" s="36" t="n"/>
      <c r="D851" s="36" t="n"/>
      <c r="E851" s="36" t="n"/>
      <c r="F851" s="36" t="n"/>
      <c r="G851" s="36" t="n"/>
      <c r="H851" s="37">
        <f>IF($A851="","",IFERROR(ROUND(MAX(0,$B851*INDEX(tblKurallar[deger_2025],MATCH("KIK-001",tblKurallar[kural_id],0))-($C851+$D851+$E851+$F851)),kik_yuvarMax),0))</f>
        <v/>
      </c>
      <c r="I851" s="37">
        <f>IF($A851="","",IFERROR(MAX(0,$H851-$G851*kik_sifirCarpan),0))</f>
        <v/>
      </c>
    </row>
    <row r="852">
      <c r="A852" s="36" t="n"/>
      <c r="B852" s="36" t="n"/>
      <c r="C852" s="36" t="n"/>
      <c r="D852" s="36" t="n"/>
      <c r="E852" s="36" t="n"/>
      <c r="F852" s="36" t="n"/>
      <c r="G852" s="36" t="n"/>
      <c r="H852" s="37">
        <f>IF($A852="","",IFERROR(ROUND(MAX(0,$B852*INDEX(tblKurallar[deger_2025],MATCH("KIK-001",tblKurallar[kural_id],0))-($C852+$D852+$E852+$F852)),kik_yuvarMax),0))</f>
        <v/>
      </c>
      <c r="I852" s="37">
        <f>IF($A852="","",IFERROR(MAX(0,$H852-$G852*kik_sifirCarpan),0))</f>
        <v/>
      </c>
    </row>
    <row r="853">
      <c r="A853" s="36" t="n"/>
      <c r="B853" s="36" t="n"/>
      <c r="C853" s="36" t="n"/>
      <c r="D853" s="36" t="n"/>
      <c r="E853" s="36" t="n"/>
      <c r="F853" s="36" t="n"/>
      <c r="G853" s="36" t="n"/>
      <c r="H853" s="37">
        <f>IF($A853="","",IFERROR(ROUND(MAX(0,$B853*INDEX(tblKurallar[deger_2025],MATCH("KIK-001",tblKurallar[kural_id],0))-($C853+$D853+$E853+$F853)),kik_yuvarMax),0))</f>
        <v/>
      </c>
      <c r="I853" s="37">
        <f>IF($A853="","",IFERROR(MAX(0,$H853-$G853*kik_sifirCarpan),0))</f>
        <v/>
      </c>
    </row>
    <row r="854">
      <c r="A854" s="36" t="n"/>
      <c r="B854" s="36" t="n"/>
      <c r="C854" s="36" t="n"/>
      <c r="D854" s="36" t="n"/>
      <c r="E854" s="36" t="n"/>
      <c r="F854" s="36" t="n"/>
      <c r="G854" s="36" t="n"/>
      <c r="H854" s="37">
        <f>IF($A854="","",IFERROR(ROUND(MAX(0,$B854*INDEX(tblKurallar[deger_2025],MATCH("KIK-001",tblKurallar[kural_id],0))-($C854+$D854+$E854+$F854)),kik_yuvarMax),0))</f>
        <v/>
      </c>
      <c r="I854" s="37">
        <f>IF($A854="","",IFERROR(MAX(0,$H854-$G854*kik_sifirCarpan),0))</f>
        <v/>
      </c>
    </row>
    <row r="855">
      <c r="A855" s="36" t="n"/>
      <c r="B855" s="36" t="n"/>
      <c r="C855" s="36" t="n"/>
      <c r="D855" s="36" t="n"/>
      <c r="E855" s="36" t="n"/>
      <c r="F855" s="36" t="n"/>
      <c r="G855" s="36" t="n"/>
      <c r="H855" s="37">
        <f>IF($A855="","",IFERROR(ROUND(MAX(0,$B855*INDEX(tblKurallar[deger_2025],MATCH("KIK-001",tblKurallar[kural_id],0))-($C855+$D855+$E855+$F855)),kik_yuvarMax),0))</f>
        <v/>
      </c>
      <c r="I855" s="37">
        <f>IF($A855="","",IFERROR(MAX(0,$H855-$G855*kik_sifirCarpan),0))</f>
        <v/>
      </c>
    </row>
    <row r="856">
      <c r="A856" s="36" t="n"/>
      <c r="B856" s="36" t="n"/>
      <c r="C856" s="36" t="n"/>
      <c r="D856" s="36" t="n"/>
      <c r="E856" s="36" t="n"/>
      <c r="F856" s="36" t="n"/>
      <c r="G856" s="36" t="n"/>
      <c r="H856" s="37">
        <f>IF($A856="","",IFERROR(ROUND(MAX(0,$B856*INDEX(tblKurallar[deger_2025],MATCH("KIK-001",tblKurallar[kural_id],0))-($C856+$D856+$E856+$F856)),kik_yuvarMax),0))</f>
        <v/>
      </c>
      <c r="I856" s="37">
        <f>IF($A856="","",IFERROR(MAX(0,$H856-$G856*kik_sifirCarpan),0))</f>
        <v/>
      </c>
    </row>
    <row r="857">
      <c r="A857" s="36" t="n"/>
      <c r="B857" s="36" t="n"/>
      <c r="C857" s="36" t="n"/>
      <c r="D857" s="36" t="n"/>
      <c r="E857" s="36" t="n"/>
      <c r="F857" s="36" t="n"/>
      <c r="G857" s="36" t="n"/>
      <c r="H857" s="37">
        <f>IF($A857="","",IFERROR(ROUND(MAX(0,$B857*INDEX(tblKurallar[deger_2025],MATCH("KIK-001",tblKurallar[kural_id],0))-($C857+$D857+$E857+$F857)),kik_yuvarMax),0))</f>
        <v/>
      </c>
      <c r="I857" s="37">
        <f>IF($A857="","",IFERROR(MAX(0,$H857-$G857*kik_sifirCarpan),0))</f>
        <v/>
      </c>
    </row>
    <row r="858">
      <c r="A858" s="36" t="n"/>
      <c r="B858" s="36" t="n"/>
      <c r="C858" s="36" t="n"/>
      <c r="D858" s="36" t="n"/>
      <c r="E858" s="36" t="n"/>
      <c r="F858" s="36" t="n"/>
      <c r="G858" s="36" t="n"/>
      <c r="H858" s="37">
        <f>IF($A858="","",IFERROR(ROUND(MAX(0,$B858*INDEX(tblKurallar[deger_2025],MATCH("KIK-001",tblKurallar[kural_id],0))-($C858+$D858+$E858+$F858)),kik_yuvarMax),0))</f>
        <v/>
      </c>
      <c r="I858" s="37">
        <f>IF($A858="","",IFERROR(MAX(0,$H858-$G858*kik_sifirCarpan),0))</f>
        <v/>
      </c>
    </row>
    <row r="859">
      <c r="A859" s="36" t="n"/>
      <c r="B859" s="36" t="n"/>
      <c r="C859" s="36" t="n"/>
      <c r="D859" s="36" t="n"/>
      <c r="E859" s="36" t="n"/>
      <c r="F859" s="36" t="n"/>
      <c r="G859" s="36" t="n"/>
      <c r="H859" s="37">
        <f>IF($A859="","",IFERROR(ROUND(MAX(0,$B859*INDEX(tblKurallar[deger_2025],MATCH("KIK-001",tblKurallar[kural_id],0))-($C859+$D859+$E859+$F859)),kik_yuvarMax),0))</f>
        <v/>
      </c>
      <c r="I859" s="37">
        <f>IF($A859="","",IFERROR(MAX(0,$H859-$G859*kik_sifirCarpan),0))</f>
        <v/>
      </c>
    </row>
    <row r="860">
      <c r="A860" s="36" t="n"/>
      <c r="B860" s="36" t="n"/>
      <c r="C860" s="36" t="n"/>
      <c r="D860" s="36" t="n"/>
      <c r="E860" s="36" t="n"/>
      <c r="F860" s="36" t="n"/>
      <c r="G860" s="36" t="n"/>
      <c r="H860" s="37">
        <f>IF($A860="","",IFERROR(ROUND(MAX(0,$B860*INDEX(tblKurallar[deger_2025],MATCH("KIK-001",tblKurallar[kural_id],0))-($C860+$D860+$E860+$F860)),kik_yuvarMax),0))</f>
        <v/>
      </c>
      <c r="I860" s="37">
        <f>IF($A860="","",IFERROR(MAX(0,$H860-$G860*kik_sifirCarpan),0))</f>
        <v/>
      </c>
    </row>
    <row r="861">
      <c r="A861" s="36" t="n"/>
      <c r="B861" s="36" t="n"/>
      <c r="C861" s="36" t="n"/>
      <c r="D861" s="36" t="n"/>
      <c r="E861" s="36" t="n"/>
      <c r="F861" s="36" t="n"/>
      <c r="G861" s="36" t="n"/>
      <c r="H861" s="37">
        <f>IF($A861="","",IFERROR(ROUND(MAX(0,$B861*INDEX(tblKurallar[deger_2025],MATCH("KIK-001",tblKurallar[kural_id],0))-($C861+$D861+$E861+$F861)),kik_yuvarMax),0))</f>
        <v/>
      </c>
      <c r="I861" s="37">
        <f>IF($A861="","",IFERROR(MAX(0,$H861-$G861*kik_sifirCarpan),0))</f>
        <v/>
      </c>
    </row>
    <row r="862">
      <c r="A862" s="36" t="n"/>
      <c r="B862" s="36" t="n"/>
      <c r="C862" s="36" t="n"/>
      <c r="D862" s="36" t="n"/>
      <c r="E862" s="36" t="n"/>
      <c r="F862" s="36" t="n"/>
      <c r="G862" s="36" t="n"/>
      <c r="H862" s="37">
        <f>IF($A862="","",IFERROR(ROUND(MAX(0,$B862*INDEX(tblKurallar[deger_2025],MATCH("KIK-001",tblKurallar[kural_id],0))-($C862+$D862+$E862+$F862)),kik_yuvarMax),0))</f>
        <v/>
      </c>
      <c r="I862" s="37">
        <f>IF($A862="","",IFERROR(MAX(0,$H862-$G862*kik_sifirCarpan),0))</f>
        <v/>
      </c>
    </row>
    <row r="863">
      <c r="A863" s="36" t="n"/>
      <c r="B863" s="36" t="n"/>
      <c r="C863" s="36" t="n"/>
      <c r="D863" s="36" t="n"/>
      <c r="E863" s="36" t="n"/>
      <c r="F863" s="36" t="n"/>
      <c r="G863" s="36" t="n"/>
      <c r="H863" s="37">
        <f>IF($A863="","",IFERROR(ROUND(MAX(0,$B863*INDEX(tblKurallar[deger_2025],MATCH("KIK-001",tblKurallar[kural_id],0))-($C863+$D863+$E863+$F863)),kik_yuvarMax),0))</f>
        <v/>
      </c>
      <c r="I863" s="37">
        <f>IF($A863="","",IFERROR(MAX(0,$H863-$G863*kik_sifirCarpan),0))</f>
        <v/>
      </c>
    </row>
    <row r="864">
      <c r="A864" s="36" t="n"/>
      <c r="B864" s="36" t="n"/>
      <c r="C864" s="36" t="n"/>
      <c r="D864" s="36" t="n"/>
      <c r="E864" s="36" t="n"/>
      <c r="F864" s="36" t="n"/>
      <c r="G864" s="36" t="n"/>
      <c r="H864" s="37">
        <f>IF($A864="","",IFERROR(ROUND(MAX(0,$B864*INDEX(tblKurallar[deger_2025],MATCH("KIK-001",tblKurallar[kural_id],0))-($C864+$D864+$E864+$F864)),kik_yuvarMax),0))</f>
        <v/>
      </c>
      <c r="I864" s="37">
        <f>IF($A864="","",IFERROR(MAX(0,$H864-$G864*kik_sifirCarpan),0))</f>
        <v/>
      </c>
    </row>
    <row r="865">
      <c r="A865" s="36" t="n"/>
      <c r="B865" s="36" t="n"/>
      <c r="C865" s="36" t="n"/>
      <c r="D865" s="36" t="n"/>
      <c r="E865" s="36" t="n"/>
      <c r="F865" s="36" t="n"/>
      <c r="G865" s="36" t="n"/>
      <c r="H865" s="37">
        <f>IF($A865="","",IFERROR(ROUND(MAX(0,$B865*INDEX(tblKurallar[deger_2025],MATCH("KIK-001",tblKurallar[kural_id],0))-($C865+$D865+$E865+$F865)),kik_yuvarMax),0))</f>
        <v/>
      </c>
      <c r="I865" s="37">
        <f>IF($A865="","",IFERROR(MAX(0,$H865-$G865*kik_sifirCarpan),0))</f>
        <v/>
      </c>
    </row>
    <row r="866">
      <c r="A866" s="36" t="n"/>
      <c r="B866" s="36" t="n"/>
      <c r="C866" s="36" t="n"/>
      <c r="D866" s="36" t="n"/>
      <c r="E866" s="36" t="n"/>
      <c r="F866" s="36" t="n"/>
      <c r="G866" s="36" t="n"/>
      <c r="H866" s="37">
        <f>IF($A866="","",IFERROR(ROUND(MAX(0,$B866*INDEX(tblKurallar[deger_2025],MATCH("KIK-001",tblKurallar[kural_id],0))-($C866+$D866+$E866+$F866)),kik_yuvarMax),0))</f>
        <v/>
      </c>
      <c r="I866" s="37">
        <f>IF($A866="","",IFERROR(MAX(0,$H866-$G866*kik_sifirCarpan),0))</f>
        <v/>
      </c>
    </row>
    <row r="867">
      <c r="A867" s="36" t="n"/>
      <c r="B867" s="36" t="n"/>
      <c r="C867" s="36" t="n"/>
      <c r="D867" s="36" t="n"/>
      <c r="E867" s="36" t="n"/>
      <c r="F867" s="36" t="n"/>
      <c r="G867" s="36" t="n"/>
      <c r="H867" s="37">
        <f>IF($A867="","",IFERROR(ROUND(MAX(0,$B867*INDEX(tblKurallar[deger_2025],MATCH("KIK-001",tblKurallar[kural_id],0))-($C867+$D867+$E867+$F867)),kik_yuvarMax),0))</f>
        <v/>
      </c>
      <c r="I867" s="37">
        <f>IF($A867="","",IFERROR(MAX(0,$H867-$G867*kik_sifirCarpan),0))</f>
        <v/>
      </c>
    </row>
    <row r="868">
      <c r="A868" s="36" t="n"/>
      <c r="B868" s="36" t="n"/>
      <c r="C868" s="36" t="n"/>
      <c r="D868" s="36" t="n"/>
      <c r="E868" s="36" t="n"/>
      <c r="F868" s="36" t="n"/>
      <c r="G868" s="36" t="n"/>
      <c r="H868" s="37">
        <f>IF($A868="","",IFERROR(ROUND(MAX(0,$B868*INDEX(tblKurallar[deger_2025],MATCH("KIK-001",tblKurallar[kural_id],0))-($C868+$D868+$E868+$F868)),kik_yuvarMax),0))</f>
        <v/>
      </c>
      <c r="I868" s="37">
        <f>IF($A868="","",IFERROR(MAX(0,$H868-$G868*kik_sifirCarpan),0))</f>
        <v/>
      </c>
    </row>
    <row r="869">
      <c r="A869" s="36" t="n"/>
      <c r="B869" s="36" t="n"/>
      <c r="C869" s="36" t="n"/>
      <c r="D869" s="36" t="n"/>
      <c r="E869" s="36" t="n"/>
      <c r="F869" s="36" t="n"/>
      <c r="G869" s="36" t="n"/>
      <c r="H869" s="37">
        <f>IF($A869="","",IFERROR(ROUND(MAX(0,$B869*INDEX(tblKurallar[deger_2025],MATCH("KIK-001",tblKurallar[kural_id],0))-($C869+$D869+$E869+$F869)),kik_yuvarMax),0))</f>
        <v/>
      </c>
      <c r="I869" s="37">
        <f>IF($A869="","",IFERROR(MAX(0,$H869-$G869*kik_sifirCarpan),0))</f>
        <v/>
      </c>
    </row>
    <row r="870">
      <c r="A870" s="36" t="n"/>
      <c r="B870" s="36" t="n"/>
      <c r="C870" s="36" t="n"/>
      <c r="D870" s="36" t="n"/>
      <c r="E870" s="36" t="n"/>
      <c r="F870" s="36" t="n"/>
      <c r="G870" s="36" t="n"/>
      <c r="H870" s="37">
        <f>IF($A870="","",IFERROR(ROUND(MAX(0,$B870*INDEX(tblKurallar[deger_2025],MATCH("KIK-001",tblKurallar[kural_id],0))-($C870+$D870+$E870+$F870)),kik_yuvarMax),0))</f>
        <v/>
      </c>
      <c r="I870" s="37">
        <f>IF($A870="","",IFERROR(MAX(0,$H870-$G870*kik_sifirCarpan),0))</f>
        <v/>
      </c>
    </row>
    <row r="871">
      <c r="A871" s="36" t="n"/>
      <c r="B871" s="36" t="n"/>
      <c r="C871" s="36" t="n"/>
      <c r="D871" s="36" t="n"/>
      <c r="E871" s="36" t="n"/>
      <c r="F871" s="36" t="n"/>
      <c r="G871" s="36" t="n"/>
      <c r="H871" s="37">
        <f>IF($A871="","",IFERROR(ROUND(MAX(0,$B871*INDEX(tblKurallar[deger_2025],MATCH("KIK-001",tblKurallar[kural_id],0))-($C871+$D871+$E871+$F871)),kik_yuvarMax),0))</f>
        <v/>
      </c>
      <c r="I871" s="37">
        <f>IF($A871="","",IFERROR(MAX(0,$H871-$G871*kik_sifirCarpan),0))</f>
        <v/>
      </c>
    </row>
    <row r="872">
      <c r="A872" s="36" t="n"/>
      <c r="B872" s="36" t="n"/>
      <c r="C872" s="36" t="n"/>
      <c r="D872" s="36" t="n"/>
      <c r="E872" s="36" t="n"/>
      <c r="F872" s="36" t="n"/>
      <c r="G872" s="36" t="n"/>
      <c r="H872" s="37">
        <f>IF($A872="","",IFERROR(ROUND(MAX(0,$B872*INDEX(tblKurallar[deger_2025],MATCH("KIK-001",tblKurallar[kural_id],0))-($C872+$D872+$E872+$F872)),kik_yuvarMax),0))</f>
        <v/>
      </c>
      <c r="I872" s="37">
        <f>IF($A872="","",IFERROR(MAX(0,$H872-$G872*kik_sifirCarpan),0))</f>
        <v/>
      </c>
    </row>
    <row r="873">
      <c r="A873" s="36" t="n"/>
      <c r="B873" s="36" t="n"/>
      <c r="C873" s="36" t="n"/>
      <c r="D873" s="36" t="n"/>
      <c r="E873" s="36" t="n"/>
      <c r="F873" s="36" t="n"/>
      <c r="G873" s="36" t="n"/>
      <c r="H873" s="37">
        <f>IF($A873="","",IFERROR(ROUND(MAX(0,$B873*INDEX(tblKurallar[deger_2025],MATCH("KIK-001",tblKurallar[kural_id],0))-($C873+$D873+$E873+$F873)),kik_yuvarMax),0))</f>
        <v/>
      </c>
      <c r="I873" s="37">
        <f>IF($A873="","",IFERROR(MAX(0,$H873-$G873*kik_sifirCarpan),0))</f>
        <v/>
      </c>
    </row>
    <row r="874">
      <c r="A874" s="36" t="n"/>
      <c r="B874" s="36" t="n"/>
      <c r="C874" s="36" t="n"/>
      <c r="D874" s="36" t="n"/>
      <c r="E874" s="36" t="n"/>
      <c r="F874" s="36" t="n"/>
      <c r="G874" s="36" t="n"/>
      <c r="H874" s="37">
        <f>IF($A874="","",IFERROR(ROUND(MAX(0,$B874*INDEX(tblKurallar[deger_2025],MATCH("KIK-001",tblKurallar[kural_id],0))-($C874+$D874+$E874+$F874)),kik_yuvarMax),0))</f>
        <v/>
      </c>
      <c r="I874" s="37">
        <f>IF($A874="","",IFERROR(MAX(0,$H874-$G874*kik_sifirCarpan),0))</f>
        <v/>
      </c>
    </row>
    <row r="875">
      <c r="A875" s="36" t="n"/>
      <c r="B875" s="36" t="n"/>
      <c r="C875" s="36" t="n"/>
      <c r="D875" s="36" t="n"/>
      <c r="E875" s="36" t="n"/>
      <c r="F875" s="36" t="n"/>
      <c r="G875" s="36" t="n"/>
      <c r="H875" s="37">
        <f>IF($A875="","",IFERROR(ROUND(MAX(0,$B875*INDEX(tblKurallar[deger_2025],MATCH("KIK-001",tblKurallar[kural_id],0))-($C875+$D875+$E875+$F875)),kik_yuvarMax),0))</f>
        <v/>
      </c>
      <c r="I875" s="37">
        <f>IF($A875="","",IFERROR(MAX(0,$H875-$G875*kik_sifirCarpan),0))</f>
        <v/>
      </c>
    </row>
    <row r="876">
      <c r="A876" s="36" t="n"/>
      <c r="B876" s="36" t="n"/>
      <c r="C876" s="36" t="n"/>
      <c r="D876" s="36" t="n"/>
      <c r="E876" s="36" t="n"/>
      <c r="F876" s="36" t="n"/>
      <c r="G876" s="36" t="n"/>
      <c r="H876" s="37">
        <f>IF($A876="","",IFERROR(ROUND(MAX(0,$B876*INDEX(tblKurallar[deger_2025],MATCH("KIK-001",tblKurallar[kural_id],0))-($C876+$D876+$E876+$F876)),kik_yuvarMax),0))</f>
        <v/>
      </c>
      <c r="I876" s="37">
        <f>IF($A876="","",IFERROR(MAX(0,$H876-$G876*kik_sifirCarpan),0))</f>
        <v/>
      </c>
    </row>
    <row r="877">
      <c r="A877" s="36" t="n"/>
      <c r="B877" s="36" t="n"/>
      <c r="C877" s="36" t="n"/>
      <c r="D877" s="36" t="n"/>
      <c r="E877" s="36" t="n"/>
      <c r="F877" s="36" t="n"/>
      <c r="G877" s="36" t="n"/>
      <c r="H877" s="37">
        <f>IF($A877="","",IFERROR(ROUND(MAX(0,$B877*INDEX(tblKurallar[deger_2025],MATCH("KIK-001",tblKurallar[kural_id],0))-($C877+$D877+$E877+$F877)),kik_yuvarMax),0))</f>
        <v/>
      </c>
      <c r="I877" s="37">
        <f>IF($A877="","",IFERROR(MAX(0,$H877-$G877*kik_sifirCarpan),0))</f>
        <v/>
      </c>
    </row>
    <row r="878">
      <c r="A878" s="36" t="n"/>
      <c r="B878" s="36" t="n"/>
      <c r="C878" s="36" t="n"/>
      <c r="D878" s="36" t="n"/>
      <c r="E878" s="36" t="n"/>
      <c r="F878" s="36" t="n"/>
      <c r="G878" s="36" t="n"/>
      <c r="H878" s="37">
        <f>IF($A878="","",IFERROR(ROUND(MAX(0,$B878*INDEX(tblKurallar[deger_2025],MATCH("KIK-001",tblKurallar[kural_id],0))-($C878+$D878+$E878+$F878)),kik_yuvarMax),0))</f>
        <v/>
      </c>
      <c r="I878" s="37">
        <f>IF($A878="","",IFERROR(MAX(0,$H878-$G878*kik_sifirCarpan),0))</f>
        <v/>
      </c>
    </row>
    <row r="879">
      <c r="A879" s="36" t="n"/>
      <c r="B879" s="36" t="n"/>
      <c r="C879" s="36" t="n"/>
      <c r="D879" s="36" t="n"/>
      <c r="E879" s="36" t="n"/>
      <c r="F879" s="36" t="n"/>
      <c r="G879" s="36" t="n"/>
      <c r="H879" s="37">
        <f>IF($A879="","",IFERROR(ROUND(MAX(0,$B879*INDEX(tblKurallar[deger_2025],MATCH("KIK-001",tblKurallar[kural_id],0))-($C879+$D879+$E879+$F879)),kik_yuvarMax),0))</f>
        <v/>
      </c>
      <c r="I879" s="37">
        <f>IF($A879="","",IFERROR(MAX(0,$H879-$G879*kik_sifirCarpan),0))</f>
        <v/>
      </c>
    </row>
    <row r="880">
      <c r="A880" s="36" t="n"/>
      <c r="B880" s="36" t="n"/>
      <c r="C880" s="36" t="n"/>
      <c r="D880" s="36" t="n"/>
      <c r="E880" s="36" t="n"/>
      <c r="F880" s="36" t="n"/>
      <c r="G880" s="36" t="n"/>
      <c r="H880" s="37">
        <f>IF($A880="","",IFERROR(ROUND(MAX(0,$B880*INDEX(tblKurallar[deger_2025],MATCH("KIK-001",tblKurallar[kural_id],0))-($C880+$D880+$E880+$F880)),kik_yuvarMax),0))</f>
        <v/>
      </c>
      <c r="I880" s="37">
        <f>IF($A880="","",IFERROR(MAX(0,$H880-$G880*kik_sifirCarpan),0))</f>
        <v/>
      </c>
    </row>
    <row r="881">
      <c r="A881" s="36" t="n"/>
      <c r="B881" s="36" t="n"/>
      <c r="C881" s="36" t="n"/>
      <c r="D881" s="36" t="n"/>
      <c r="E881" s="36" t="n"/>
      <c r="F881" s="36" t="n"/>
      <c r="G881" s="36" t="n"/>
      <c r="H881" s="37">
        <f>IF($A881="","",IFERROR(ROUND(MAX(0,$B881*INDEX(tblKurallar[deger_2025],MATCH("KIK-001",tblKurallar[kural_id],0))-($C881+$D881+$E881+$F881)),kik_yuvarMax),0))</f>
        <v/>
      </c>
      <c r="I881" s="37">
        <f>IF($A881="","",IFERROR(MAX(0,$H881-$G881*kik_sifirCarpan),0))</f>
        <v/>
      </c>
    </row>
    <row r="882">
      <c r="A882" s="36" t="n"/>
      <c r="B882" s="36" t="n"/>
      <c r="C882" s="36" t="n"/>
      <c r="D882" s="36" t="n"/>
      <c r="E882" s="36" t="n"/>
      <c r="F882" s="36" t="n"/>
      <c r="G882" s="36" t="n"/>
      <c r="H882" s="37">
        <f>IF($A882="","",IFERROR(ROUND(MAX(0,$B882*INDEX(tblKurallar[deger_2025],MATCH("KIK-001",tblKurallar[kural_id],0))-($C882+$D882+$E882+$F882)),kik_yuvarMax),0))</f>
        <v/>
      </c>
      <c r="I882" s="37">
        <f>IF($A882="","",IFERROR(MAX(0,$H882-$G882*kik_sifirCarpan),0))</f>
        <v/>
      </c>
    </row>
    <row r="883">
      <c r="A883" s="36" t="n"/>
      <c r="B883" s="36" t="n"/>
      <c r="C883" s="36" t="n"/>
      <c r="D883" s="36" t="n"/>
      <c r="E883" s="36" t="n"/>
      <c r="F883" s="36" t="n"/>
      <c r="G883" s="36" t="n"/>
      <c r="H883" s="37">
        <f>IF($A883="","",IFERROR(ROUND(MAX(0,$B883*INDEX(tblKurallar[deger_2025],MATCH("KIK-001",tblKurallar[kural_id],0))-($C883+$D883+$E883+$F883)),kik_yuvarMax),0))</f>
        <v/>
      </c>
      <c r="I883" s="37">
        <f>IF($A883="","",IFERROR(MAX(0,$H883-$G883*kik_sifirCarpan),0))</f>
        <v/>
      </c>
    </row>
    <row r="884">
      <c r="A884" s="36" t="n"/>
      <c r="B884" s="36" t="n"/>
      <c r="C884" s="36" t="n"/>
      <c r="D884" s="36" t="n"/>
      <c r="E884" s="36" t="n"/>
      <c r="F884" s="36" t="n"/>
      <c r="G884" s="36" t="n"/>
      <c r="H884" s="37">
        <f>IF($A884="","",IFERROR(ROUND(MAX(0,$B884*INDEX(tblKurallar[deger_2025],MATCH("KIK-001",tblKurallar[kural_id],0))-($C884+$D884+$E884+$F884)),kik_yuvarMax),0))</f>
        <v/>
      </c>
      <c r="I884" s="37">
        <f>IF($A884="","",IFERROR(MAX(0,$H884-$G884*kik_sifirCarpan),0))</f>
        <v/>
      </c>
    </row>
    <row r="885">
      <c r="A885" s="36" t="n"/>
      <c r="B885" s="36" t="n"/>
      <c r="C885" s="36" t="n"/>
      <c r="D885" s="36" t="n"/>
      <c r="E885" s="36" t="n"/>
      <c r="F885" s="36" t="n"/>
      <c r="G885" s="36" t="n"/>
      <c r="H885" s="37">
        <f>IF($A885="","",IFERROR(ROUND(MAX(0,$B885*INDEX(tblKurallar[deger_2025],MATCH("KIK-001",tblKurallar[kural_id],0))-($C885+$D885+$E885+$F885)),kik_yuvarMax),0))</f>
        <v/>
      </c>
      <c r="I885" s="37">
        <f>IF($A885="","",IFERROR(MAX(0,$H885-$G885*kik_sifirCarpan),0))</f>
        <v/>
      </c>
    </row>
    <row r="886">
      <c r="A886" s="36" t="n"/>
      <c r="B886" s="36" t="n"/>
      <c r="C886" s="36" t="n"/>
      <c r="D886" s="36" t="n"/>
      <c r="E886" s="36" t="n"/>
      <c r="F886" s="36" t="n"/>
      <c r="G886" s="36" t="n"/>
      <c r="H886" s="37">
        <f>IF($A886="","",IFERROR(ROUND(MAX(0,$B886*INDEX(tblKurallar[deger_2025],MATCH("KIK-001",tblKurallar[kural_id],0))-($C886+$D886+$E886+$F886)),kik_yuvarMax),0))</f>
        <v/>
      </c>
      <c r="I886" s="37">
        <f>IF($A886="","",IFERROR(MAX(0,$H886-$G886*kik_sifirCarpan),0))</f>
        <v/>
      </c>
    </row>
    <row r="887">
      <c r="A887" s="36" t="n"/>
      <c r="B887" s="36" t="n"/>
      <c r="C887" s="36" t="n"/>
      <c r="D887" s="36" t="n"/>
      <c r="E887" s="36" t="n"/>
      <c r="F887" s="36" t="n"/>
      <c r="G887" s="36" t="n"/>
      <c r="H887" s="37">
        <f>IF($A887="","",IFERROR(ROUND(MAX(0,$B887*INDEX(tblKurallar[deger_2025],MATCH("KIK-001",tblKurallar[kural_id],0))-($C887+$D887+$E887+$F887)),kik_yuvarMax),0))</f>
        <v/>
      </c>
      <c r="I887" s="37">
        <f>IF($A887="","",IFERROR(MAX(0,$H887-$G887*kik_sifirCarpan),0))</f>
        <v/>
      </c>
    </row>
    <row r="888">
      <c r="A888" s="36" t="n"/>
      <c r="B888" s="36" t="n"/>
      <c r="C888" s="36" t="n"/>
      <c r="D888" s="36" t="n"/>
      <c r="E888" s="36" t="n"/>
      <c r="F888" s="36" t="n"/>
      <c r="G888" s="36" t="n"/>
      <c r="H888" s="37">
        <f>IF($A888="","",IFERROR(ROUND(MAX(0,$B888*INDEX(tblKurallar[deger_2025],MATCH("KIK-001",tblKurallar[kural_id],0))-($C888+$D888+$E888+$F888)),kik_yuvarMax),0))</f>
        <v/>
      </c>
      <c r="I888" s="37">
        <f>IF($A888="","",IFERROR(MAX(0,$H888-$G888*kik_sifirCarpan),0))</f>
        <v/>
      </c>
    </row>
    <row r="889">
      <c r="A889" s="36" t="n"/>
      <c r="B889" s="36" t="n"/>
      <c r="C889" s="36" t="n"/>
      <c r="D889" s="36" t="n"/>
      <c r="E889" s="36" t="n"/>
      <c r="F889" s="36" t="n"/>
      <c r="G889" s="36" t="n"/>
      <c r="H889" s="37">
        <f>IF($A889="","",IFERROR(ROUND(MAX(0,$B889*INDEX(tblKurallar[deger_2025],MATCH("KIK-001",tblKurallar[kural_id],0))-($C889+$D889+$E889+$F889)),kik_yuvarMax),0))</f>
        <v/>
      </c>
      <c r="I889" s="37">
        <f>IF($A889="","",IFERROR(MAX(0,$H889-$G889*kik_sifirCarpan),0))</f>
        <v/>
      </c>
    </row>
    <row r="890">
      <c r="A890" s="36" t="n"/>
      <c r="B890" s="36" t="n"/>
      <c r="C890" s="36" t="n"/>
      <c r="D890" s="36" t="n"/>
      <c r="E890" s="36" t="n"/>
      <c r="F890" s="36" t="n"/>
      <c r="G890" s="36" t="n"/>
      <c r="H890" s="37">
        <f>IF($A890="","",IFERROR(ROUND(MAX(0,$B890*INDEX(tblKurallar[deger_2025],MATCH("KIK-001",tblKurallar[kural_id],0))-($C890+$D890+$E890+$F890)),kik_yuvarMax),0))</f>
        <v/>
      </c>
      <c r="I890" s="37">
        <f>IF($A890="","",IFERROR(MAX(0,$H890-$G890*kik_sifirCarpan),0))</f>
        <v/>
      </c>
    </row>
    <row r="891">
      <c r="A891" s="36" t="n"/>
      <c r="B891" s="36" t="n"/>
      <c r="C891" s="36" t="n"/>
      <c r="D891" s="36" t="n"/>
      <c r="E891" s="36" t="n"/>
      <c r="F891" s="36" t="n"/>
      <c r="G891" s="36" t="n"/>
      <c r="H891" s="37">
        <f>IF($A891="","",IFERROR(ROUND(MAX(0,$B891*INDEX(tblKurallar[deger_2025],MATCH("KIK-001",tblKurallar[kural_id],0))-($C891+$D891+$E891+$F891)),kik_yuvarMax),0))</f>
        <v/>
      </c>
      <c r="I891" s="37">
        <f>IF($A891="","",IFERROR(MAX(0,$H891-$G891*kik_sifirCarpan),0))</f>
        <v/>
      </c>
    </row>
    <row r="892">
      <c r="A892" s="36" t="n"/>
      <c r="B892" s="36" t="n"/>
      <c r="C892" s="36" t="n"/>
      <c r="D892" s="36" t="n"/>
      <c r="E892" s="36" t="n"/>
      <c r="F892" s="36" t="n"/>
      <c r="G892" s="36" t="n"/>
      <c r="H892" s="37">
        <f>IF($A892="","",IFERROR(ROUND(MAX(0,$B892*INDEX(tblKurallar[deger_2025],MATCH("KIK-001",tblKurallar[kural_id],0))-($C892+$D892+$E892+$F892)),kik_yuvarMax),0))</f>
        <v/>
      </c>
      <c r="I892" s="37">
        <f>IF($A892="","",IFERROR(MAX(0,$H892-$G892*kik_sifirCarpan),0))</f>
        <v/>
      </c>
    </row>
    <row r="893">
      <c r="A893" s="36" t="n"/>
      <c r="B893" s="36" t="n"/>
      <c r="C893" s="36" t="n"/>
      <c r="D893" s="36" t="n"/>
      <c r="E893" s="36" t="n"/>
      <c r="F893" s="36" t="n"/>
      <c r="G893" s="36" t="n"/>
      <c r="H893" s="37">
        <f>IF($A893="","",IFERROR(ROUND(MAX(0,$B893*INDEX(tblKurallar[deger_2025],MATCH("KIK-001",tblKurallar[kural_id],0))-($C893+$D893+$E893+$F893)),kik_yuvarMax),0))</f>
        <v/>
      </c>
      <c r="I893" s="37">
        <f>IF($A893="","",IFERROR(MAX(0,$H893-$G893*kik_sifirCarpan),0))</f>
        <v/>
      </c>
    </row>
    <row r="894">
      <c r="A894" s="36" t="n"/>
      <c r="B894" s="36" t="n"/>
      <c r="C894" s="36" t="n"/>
      <c r="D894" s="36" t="n"/>
      <c r="E894" s="36" t="n"/>
      <c r="F894" s="36" t="n"/>
      <c r="G894" s="36" t="n"/>
      <c r="H894" s="37">
        <f>IF($A894="","",IFERROR(ROUND(MAX(0,$B894*INDEX(tblKurallar[deger_2025],MATCH("KIK-001",tblKurallar[kural_id],0))-($C894+$D894+$E894+$F894)),kik_yuvarMax),0))</f>
        <v/>
      </c>
      <c r="I894" s="37">
        <f>IF($A894="","",IFERROR(MAX(0,$H894-$G894*kik_sifirCarpan),0))</f>
        <v/>
      </c>
    </row>
    <row r="895">
      <c r="A895" s="36" t="n"/>
      <c r="B895" s="36" t="n"/>
      <c r="C895" s="36" t="n"/>
      <c r="D895" s="36" t="n"/>
      <c r="E895" s="36" t="n"/>
      <c r="F895" s="36" t="n"/>
      <c r="G895" s="36" t="n"/>
      <c r="H895" s="37">
        <f>IF($A895="","",IFERROR(ROUND(MAX(0,$B895*INDEX(tblKurallar[deger_2025],MATCH("KIK-001",tblKurallar[kural_id],0))-($C895+$D895+$E895+$F895)),kik_yuvarMax),0))</f>
        <v/>
      </c>
      <c r="I895" s="37">
        <f>IF($A895="","",IFERROR(MAX(0,$H895-$G895*kik_sifirCarpan),0))</f>
        <v/>
      </c>
    </row>
    <row r="896">
      <c r="A896" s="36" t="n"/>
      <c r="B896" s="36" t="n"/>
      <c r="C896" s="36" t="n"/>
      <c r="D896" s="36" t="n"/>
      <c r="E896" s="36" t="n"/>
      <c r="F896" s="36" t="n"/>
      <c r="G896" s="36" t="n"/>
      <c r="H896" s="37">
        <f>IF($A896="","",IFERROR(ROUND(MAX(0,$B896*INDEX(tblKurallar[deger_2025],MATCH("KIK-001",tblKurallar[kural_id],0))-($C896+$D896+$E896+$F896)),kik_yuvarMax),0))</f>
        <v/>
      </c>
      <c r="I896" s="37">
        <f>IF($A896="","",IFERROR(MAX(0,$H896-$G896*kik_sifirCarpan),0))</f>
        <v/>
      </c>
    </row>
    <row r="897">
      <c r="A897" s="36" t="n"/>
      <c r="B897" s="36" t="n"/>
      <c r="C897" s="36" t="n"/>
      <c r="D897" s="36" t="n"/>
      <c r="E897" s="36" t="n"/>
      <c r="F897" s="36" t="n"/>
      <c r="G897" s="36" t="n"/>
      <c r="H897" s="37">
        <f>IF($A897="","",IFERROR(ROUND(MAX(0,$B897*INDEX(tblKurallar[deger_2025],MATCH("KIK-001",tblKurallar[kural_id],0))-($C897+$D897+$E897+$F897)),kik_yuvarMax),0))</f>
        <v/>
      </c>
      <c r="I897" s="37">
        <f>IF($A897="","",IFERROR(MAX(0,$H897-$G897*kik_sifirCarpan),0))</f>
        <v/>
      </c>
    </row>
    <row r="898">
      <c r="A898" s="36" t="n"/>
      <c r="B898" s="36" t="n"/>
      <c r="C898" s="36" t="n"/>
      <c r="D898" s="36" t="n"/>
      <c r="E898" s="36" t="n"/>
      <c r="F898" s="36" t="n"/>
      <c r="G898" s="36" t="n"/>
      <c r="H898" s="37">
        <f>IF($A898="","",IFERROR(ROUND(MAX(0,$B898*INDEX(tblKurallar[deger_2025],MATCH("KIK-001",tblKurallar[kural_id],0))-($C898+$D898+$E898+$F898)),kik_yuvarMax),0))</f>
        <v/>
      </c>
      <c r="I898" s="37">
        <f>IF($A898="","",IFERROR(MAX(0,$H898-$G898*kik_sifirCarpan),0))</f>
        <v/>
      </c>
    </row>
    <row r="899">
      <c r="A899" s="36" t="n"/>
      <c r="B899" s="36" t="n"/>
      <c r="C899" s="36" t="n"/>
      <c r="D899" s="36" t="n"/>
      <c r="E899" s="36" t="n"/>
      <c r="F899" s="36" t="n"/>
      <c r="G899" s="36" t="n"/>
      <c r="H899" s="37">
        <f>IF($A899="","",IFERROR(ROUND(MAX(0,$B899*INDEX(tblKurallar[deger_2025],MATCH("KIK-001",tblKurallar[kural_id],0))-($C899+$D899+$E899+$F899)),kik_yuvarMax),0))</f>
        <v/>
      </c>
      <c r="I899" s="37">
        <f>IF($A899="","",IFERROR(MAX(0,$H899-$G899*kik_sifirCarpan),0))</f>
        <v/>
      </c>
    </row>
    <row r="900">
      <c r="A900" s="36" t="n"/>
      <c r="B900" s="36" t="n"/>
      <c r="C900" s="36" t="n"/>
      <c r="D900" s="36" t="n"/>
      <c r="E900" s="36" t="n"/>
      <c r="F900" s="36" t="n"/>
      <c r="G900" s="36" t="n"/>
      <c r="H900" s="37">
        <f>IF($A900="","",IFERROR(ROUND(MAX(0,$B900*INDEX(tblKurallar[deger_2025],MATCH("KIK-001",tblKurallar[kural_id],0))-($C900+$D900+$E900+$F900)),kik_yuvarMax),0))</f>
        <v/>
      </c>
      <c r="I900" s="37">
        <f>IF($A900="","",IFERROR(MAX(0,$H900-$G900*kik_sifirCarpan),0))</f>
        <v/>
      </c>
    </row>
    <row r="901">
      <c r="A901" s="36" t="n"/>
      <c r="B901" s="36" t="n"/>
      <c r="C901" s="36" t="n"/>
      <c r="D901" s="36" t="n"/>
      <c r="E901" s="36" t="n"/>
      <c r="F901" s="36" t="n"/>
      <c r="G901" s="36" t="n"/>
      <c r="H901" s="37">
        <f>IF($A901="","",IFERROR(ROUND(MAX(0,$B901*INDEX(tblKurallar[deger_2025],MATCH("KIK-001",tblKurallar[kural_id],0))-($C901+$D901+$E901+$F901)),kik_yuvarMax),0))</f>
        <v/>
      </c>
      <c r="I901" s="37">
        <f>IF($A901="","",IFERROR(MAX(0,$H901-$G901*kik_sifirCarpan),0))</f>
        <v/>
      </c>
    </row>
    <row r="902">
      <c r="A902" s="36" t="n"/>
      <c r="B902" s="36" t="n"/>
      <c r="C902" s="36" t="n"/>
      <c r="D902" s="36" t="n"/>
      <c r="E902" s="36" t="n"/>
      <c r="F902" s="36" t="n"/>
      <c r="G902" s="36" t="n"/>
      <c r="H902" s="37">
        <f>IF($A902="","",IFERROR(ROUND(MAX(0,$B902*INDEX(tblKurallar[deger_2025],MATCH("KIK-001",tblKurallar[kural_id],0))-($C902+$D902+$E902+$F902)),kik_yuvarMax),0))</f>
        <v/>
      </c>
      <c r="I902" s="37">
        <f>IF($A902="","",IFERROR(MAX(0,$H902-$G902*kik_sifirCarpan),0))</f>
        <v/>
      </c>
    </row>
    <row r="903">
      <c r="A903" s="36" t="n"/>
      <c r="B903" s="36" t="n"/>
      <c r="C903" s="36" t="n"/>
      <c r="D903" s="36" t="n"/>
      <c r="E903" s="36" t="n"/>
      <c r="F903" s="36" t="n"/>
      <c r="G903" s="36" t="n"/>
      <c r="H903" s="37">
        <f>IF($A903="","",IFERROR(ROUND(MAX(0,$B903*INDEX(tblKurallar[deger_2025],MATCH("KIK-001",tblKurallar[kural_id],0))-($C903+$D903+$E903+$F903)),kik_yuvarMax),0))</f>
        <v/>
      </c>
      <c r="I903" s="37">
        <f>IF($A903="","",IFERROR(MAX(0,$H903-$G903*kik_sifirCarpan),0))</f>
        <v/>
      </c>
    </row>
    <row r="904">
      <c r="A904" s="36" t="n"/>
      <c r="B904" s="36" t="n"/>
      <c r="C904" s="36" t="n"/>
      <c r="D904" s="36" t="n"/>
      <c r="E904" s="36" t="n"/>
      <c r="F904" s="36" t="n"/>
      <c r="G904" s="36" t="n"/>
      <c r="H904" s="37">
        <f>IF($A904="","",IFERROR(ROUND(MAX(0,$B904*INDEX(tblKurallar[deger_2025],MATCH("KIK-001",tblKurallar[kural_id],0))-($C904+$D904+$E904+$F904)),kik_yuvarMax),0))</f>
        <v/>
      </c>
      <c r="I904" s="37">
        <f>IF($A904="","",IFERROR(MAX(0,$H904-$G904*kik_sifirCarpan),0))</f>
        <v/>
      </c>
    </row>
    <row r="905">
      <c r="A905" s="36" t="n"/>
      <c r="B905" s="36" t="n"/>
      <c r="C905" s="36" t="n"/>
      <c r="D905" s="36" t="n"/>
      <c r="E905" s="36" t="n"/>
      <c r="F905" s="36" t="n"/>
      <c r="G905" s="36" t="n"/>
      <c r="H905" s="37">
        <f>IF($A905="","",IFERROR(ROUND(MAX(0,$B905*INDEX(tblKurallar[deger_2025],MATCH("KIK-001",tblKurallar[kural_id],0))-($C905+$D905+$E905+$F905)),kik_yuvarMax),0))</f>
        <v/>
      </c>
      <c r="I905" s="37">
        <f>IF($A905="","",IFERROR(MAX(0,$H905-$G905*kik_sifirCarpan),0))</f>
        <v/>
      </c>
    </row>
    <row r="906">
      <c r="A906" s="36" t="n"/>
      <c r="B906" s="36" t="n"/>
      <c r="C906" s="36" t="n"/>
      <c r="D906" s="36" t="n"/>
      <c r="E906" s="36" t="n"/>
      <c r="F906" s="36" t="n"/>
      <c r="G906" s="36" t="n"/>
      <c r="H906" s="37">
        <f>IF($A906="","",IFERROR(ROUND(MAX(0,$B906*INDEX(tblKurallar[deger_2025],MATCH("KIK-001",tblKurallar[kural_id],0))-($C906+$D906+$E906+$F906)),kik_yuvarMax),0))</f>
        <v/>
      </c>
      <c r="I906" s="37">
        <f>IF($A906="","",IFERROR(MAX(0,$H906-$G906*kik_sifirCarpan),0))</f>
        <v/>
      </c>
    </row>
    <row r="907">
      <c r="A907" s="36" t="n"/>
      <c r="B907" s="36" t="n"/>
      <c r="C907" s="36" t="n"/>
      <c r="D907" s="36" t="n"/>
      <c r="E907" s="36" t="n"/>
      <c r="F907" s="36" t="n"/>
      <c r="G907" s="36" t="n"/>
      <c r="H907" s="37">
        <f>IF($A907="","",IFERROR(ROUND(MAX(0,$B907*INDEX(tblKurallar[deger_2025],MATCH("KIK-001",tblKurallar[kural_id],0))-($C907+$D907+$E907+$F907)),kik_yuvarMax),0))</f>
        <v/>
      </c>
      <c r="I907" s="37">
        <f>IF($A907="","",IFERROR(MAX(0,$H907-$G907*kik_sifirCarpan),0))</f>
        <v/>
      </c>
    </row>
    <row r="908">
      <c r="A908" s="36" t="n"/>
      <c r="B908" s="36" t="n"/>
      <c r="C908" s="36" t="n"/>
      <c r="D908" s="36" t="n"/>
      <c r="E908" s="36" t="n"/>
      <c r="F908" s="36" t="n"/>
      <c r="G908" s="36" t="n"/>
      <c r="H908" s="37">
        <f>IF($A908="","",IFERROR(ROUND(MAX(0,$B908*INDEX(tblKurallar[deger_2025],MATCH("KIK-001",tblKurallar[kural_id],0))-($C908+$D908+$E908+$F908)),kik_yuvarMax),0))</f>
        <v/>
      </c>
      <c r="I908" s="37">
        <f>IF($A908="","",IFERROR(MAX(0,$H908-$G908*kik_sifirCarpan),0))</f>
        <v/>
      </c>
    </row>
    <row r="909">
      <c r="A909" s="36" t="n"/>
      <c r="B909" s="36" t="n"/>
      <c r="C909" s="36" t="n"/>
      <c r="D909" s="36" t="n"/>
      <c r="E909" s="36" t="n"/>
      <c r="F909" s="36" t="n"/>
      <c r="G909" s="36" t="n"/>
      <c r="H909" s="37">
        <f>IF($A909="","",IFERROR(ROUND(MAX(0,$B909*INDEX(tblKurallar[deger_2025],MATCH("KIK-001",tblKurallar[kural_id],0))-($C909+$D909+$E909+$F909)),kik_yuvarMax),0))</f>
        <v/>
      </c>
      <c r="I909" s="37">
        <f>IF($A909="","",IFERROR(MAX(0,$H909-$G909*kik_sifirCarpan),0))</f>
        <v/>
      </c>
    </row>
    <row r="910">
      <c r="A910" s="36" t="n"/>
      <c r="B910" s="36" t="n"/>
      <c r="C910" s="36" t="n"/>
      <c r="D910" s="36" t="n"/>
      <c r="E910" s="36" t="n"/>
      <c r="F910" s="36" t="n"/>
      <c r="G910" s="36" t="n"/>
      <c r="H910" s="37">
        <f>IF($A910="","",IFERROR(ROUND(MAX(0,$B910*INDEX(tblKurallar[deger_2025],MATCH("KIK-001",tblKurallar[kural_id],0))-($C910+$D910+$E910+$F910)),kik_yuvarMax),0))</f>
        <v/>
      </c>
      <c r="I910" s="37">
        <f>IF($A910="","",IFERROR(MAX(0,$H910-$G910*kik_sifirCarpan),0))</f>
        <v/>
      </c>
    </row>
    <row r="911">
      <c r="A911" s="36" t="n"/>
      <c r="B911" s="36" t="n"/>
      <c r="C911" s="36" t="n"/>
      <c r="D911" s="36" t="n"/>
      <c r="E911" s="36" t="n"/>
      <c r="F911" s="36" t="n"/>
      <c r="G911" s="36" t="n"/>
      <c r="H911" s="37">
        <f>IF($A911="","",IFERROR(ROUND(MAX(0,$B911*INDEX(tblKurallar[deger_2025],MATCH("KIK-001",tblKurallar[kural_id],0))-($C911+$D911+$E911+$F911)),kik_yuvarMax),0))</f>
        <v/>
      </c>
      <c r="I911" s="37">
        <f>IF($A911="","",IFERROR(MAX(0,$H911-$G911*kik_sifirCarpan),0))</f>
        <v/>
      </c>
    </row>
    <row r="912">
      <c r="A912" s="36" t="n"/>
      <c r="B912" s="36" t="n"/>
      <c r="C912" s="36" t="n"/>
      <c r="D912" s="36" t="n"/>
      <c r="E912" s="36" t="n"/>
      <c r="F912" s="36" t="n"/>
      <c r="G912" s="36" t="n"/>
      <c r="H912" s="37">
        <f>IF($A912="","",IFERROR(ROUND(MAX(0,$B912*INDEX(tblKurallar[deger_2025],MATCH("KIK-001",tblKurallar[kural_id],0))-($C912+$D912+$E912+$F912)),kik_yuvarMax),0))</f>
        <v/>
      </c>
      <c r="I912" s="37">
        <f>IF($A912="","",IFERROR(MAX(0,$H912-$G912*kik_sifirCarpan),0))</f>
        <v/>
      </c>
    </row>
    <row r="913">
      <c r="A913" s="36" t="n"/>
      <c r="B913" s="36" t="n"/>
      <c r="C913" s="36" t="n"/>
      <c r="D913" s="36" t="n"/>
      <c r="E913" s="36" t="n"/>
      <c r="F913" s="36" t="n"/>
      <c r="G913" s="36" t="n"/>
      <c r="H913" s="37">
        <f>IF($A913="","",IFERROR(ROUND(MAX(0,$B913*INDEX(tblKurallar[deger_2025],MATCH("KIK-001",tblKurallar[kural_id],0))-($C913+$D913+$E913+$F913)),kik_yuvarMax),0))</f>
        <v/>
      </c>
      <c r="I913" s="37">
        <f>IF($A913="","",IFERROR(MAX(0,$H913-$G913*kik_sifirCarpan),0))</f>
        <v/>
      </c>
    </row>
    <row r="914">
      <c r="A914" s="36" t="n"/>
      <c r="B914" s="36" t="n"/>
      <c r="C914" s="36" t="n"/>
      <c r="D914" s="36" t="n"/>
      <c r="E914" s="36" t="n"/>
      <c r="F914" s="36" t="n"/>
      <c r="G914" s="36" t="n"/>
      <c r="H914" s="37">
        <f>IF($A914="","",IFERROR(ROUND(MAX(0,$B914*INDEX(tblKurallar[deger_2025],MATCH("KIK-001",tblKurallar[kural_id],0))-($C914+$D914+$E914+$F914)),kik_yuvarMax),0))</f>
        <v/>
      </c>
      <c r="I914" s="37">
        <f>IF($A914="","",IFERROR(MAX(0,$H914-$G914*kik_sifirCarpan),0))</f>
        <v/>
      </c>
    </row>
    <row r="915">
      <c r="A915" s="36" t="n"/>
      <c r="B915" s="36" t="n"/>
      <c r="C915" s="36" t="n"/>
      <c r="D915" s="36" t="n"/>
      <c r="E915" s="36" t="n"/>
      <c r="F915" s="36" t="n"/>
      <c r="G915" s="36" t="n"/>
      <c r="H915" s="37">
        <f>IF($A915="","",IFERROR(ROUND(MAX(0,$B915*INDEX(tblKurallar[deger_2025],MATCH("KIK-001",tblKurallar[kural_id],0))-($C915+$D915+$E915+$F915)),kik_yuvarMax),0))</f>
        <v/>
      </c>
      <c r="I915" s="37">
        <f>IF($A915="","",IFERROR(MAX(0,$H915-$G915*kik_sifirCarpan),0))</f>
        <v/>
      </c>
    </row>
    <row r="916">
      <c r="A916" s="36" t="n"/>
      <c r="B916" s="36" t="n"/>
      <c r="C916" s="36" t="n"/>
      <c r="D916" s="36" t="n"/>
      <c r="E916" s="36" t="n"/>
      <c r="F916" s="36" t="n"/>
      <c r="G916" s="36" t="n"/>
      <c r="H916" s="37">
        <f>IF($A916="","",IFERROR(ROUND(MAX(0,$B916*INDEX(tblKurallar[deger_2025],MATCH("KIK-001",tblKurallar[kural_id],0))-($C916+$D916+$E916+$F916)),kik_yuvarMax),0))</f>
        <v/>
      </c>
      <c r="I916" s="37">
        <f>IF($A916="","",IFERROR(MAX(0,$H916-$G916*kik_sifirCarpan),0))</f>
        <v/>
      </c>
    </row>
    <row r="917">
      <c r="A917" s="36" t="n"/>
      <c r="B917" s="36" t="n"/>
      <c r="C917" s="36" t="n"/>
      <c r="D917" s="36" t="n"/>
      <c r="E917" s="36" t="n"/>
      <c r="F917" s="36" t="n"/>
      <c r="G917" s="36" t="n"/>
      <c r="H917" s="37">
        <f>IF($A917="","",IFERROR(ROUND(MAX(0,$B917*INDEX(tblKurallar[deger_2025],MATCH("KIK-001",tblKurallar[kural_id],0))-($C917+$D917+$E917+$F917)),kik_yuvarMax),0))</f>
        <v/>
      </c>
      <c r="I917" s="37">
        <f>IF($A917="","",IFERROR(MAX(0,$H917-$G917*kik_sifirCarpan),0))</f>
        <v/>
      </c>
    </row>
    <row r="918">
      <c r="A918" s="36" t="n"/>
      <c r="B918" s="36" t="n"/>
      <c r="C918" s="36" t="n"/>
      <c r="D918" s="36" t="n"/>
      <c r="E918" s="36" t="n"/>
      <c r="F918" s="36" t="n"/>
      <c r="G918" s="36" t="n"/>
      <c r="H918" s="37">
        <f>IF($A918="","",IFERROR(ROUND(MAX(0,$B918*INDEX(tblKurallar[deger_2025],MATCH("KIK-001",tblKurallar[kural_id],0))-($C918+$D918+$E918+$F918)),kik_yuvarMax),0))</f>
        <v/>
      </c>
      <c r="I918" s="37">
        <f>IF($A918="","",IFERROR(MAX(0,$H918-$G918*kik_sifirCarpan),0))</f>
        <v/>
      </c>
    </row>
    <row r="919">
      <c r="A919" s="36" t="n"/>
      <c r="B919" s="36" t="n"/>
      <c r="C919" s="36" t="n"/>
      <c r="D919" s="36" t="n"/>
      <c r="E919" s="36" t="n"/>
      <c r="F919" s="36" t="n"/>
      <c r="G919" s="36" t="n"/>
      <c r="H919" s="37">
        <f>IF($A919="","",IFERROR(ROUND(MAX(0,$B919*INDEX(tblKurallar[deger_2025],MATCH("KIK-001",tblKurallar[kural_id],0))-($C919+$D919+$E919+$F919)),kik_yuvarMax),0))</f>
        <v/>
      </c>
      <c r="I919" s="37">
        <f>IF($A919="","",IFERROR(MAX(0,$H919-$G919*kik_sifirCarpan),0))</f>
        <v/>
      </c>
    </row>
    <row r="920">
      <c r="A920" s="36" t="n"/>
      <c r="B920" s="36" t="n"/>
      <c r="C920" s="36" t="n"/>
      <c r="D920" s="36" t="n"/>
      <c r="E920" s="36" t="n"/>
      <c r="F920" s="36" t="n"/>
      <c r="G920" s="36" t="n"/>
      <c r="H920" s="37">
        <f>IF($A920="","",IFERROR(ROUND(MAX(0,$B920*INDEX(tblKurallar[deger_2025],MATCH("KIK-001",tblKurallar[kural_id],0))-($C920+$D920+$E920+$F920)),kik_yuvarMax),0))</f>
        <v/>
      </c>
      <c r="I920" s="37">
        <f>IF($A920="","",IFERROR(MAX(0,$H920-$G920*kik_sifirCarpan),0))</f>
        <v/>
      </c>
    </row>
    <row r="921">
      <c r="A921" s="36" t="n"/>
      <c r="B921" s="36" t="n"/>
      <c r="C921" s="36" t="n"/>
      <c r="D921" s="36" t="n"/>
      <c r="E921" s="36" t="n"/>
      <c r="F921" s="36" t="n"/>
      <c r="G921" s="36" t="n"/>
      <c r="H921" s="37">
        <f>IF($A921="","",IFERROR(ROUND(MAX(0,$B921*INDEX(tblKurallar[deger_2025],MATCH("KIK-001",tblKurallar[kural_id],0))-($C921+$D921+$E921+$F921)),kik_yuvarMax),0))</f>
        <v/>
      </c>
      <c r="I921" s="37">
        <f>IF($A921="","",IFERROR(MAX(0,$H921-$G921*kik_sifirCarpan),0))</f>
        <v/>
      </c>
    </row>
    <row r="922">
      <c r="A922" s="36" t="n"/>
      <c r="B922" s="36" t="n"/>
      <c r="C922" s="36" t="n"/>
      <c r="D922" s="36" t="n"/>
      <c r="E922" s="36" t="n"/>
      <c r="F922" s="36" t="n"/>
      <c r="G922" s="36" t="n"/>
      <c r="H922" s="37">
        <f>IF($A922="","",IFERROR(ROUND(MAX(0,$B922*INDEX(tblKurallar[deger_2025],MATCH("KIK-001",tblKurallar[kural_id],0))-($C922+$D922+$E922+$F922)),kik_yuvarMax),0))</f>
        <v/>
      </c>
      <c r="I922" s="37">
        <f>IF($A922="","",IFERROR(MAX(0,$H922-$G922*kik_sifirCarpan),0))</f>
        <v/>
      </c>
    </row>
    <row r="923">
      <c r="A923" s="36" t="n"/>
      <c r="B923" s="36" t="n"/>
      <c r="C923" s="36" t="n"/>
      <c r="D923" s="36" t="n"/>
      <c r="E923" s="36" t="n"/>
      <c r="F923" s="36" t="n"/>
      <c r="G923" s="36" t="n"/>
      <c r="H923" s="37">
        <f>IF($A923="","",IFERROR(ROUND(MAX(0,$B923*INDEX(tblKurallar[deger_2025],MATCH("KIK-001",tblKurallar[kural_id],0))-($C923+$D923+$E923+$F923)),kik_yuvarMax),0))</f>
        <v/>
      </c>
      <c r="I923" s="37">
        <f>IF($A923="","",IFERROR(MAX(0,$H923-$G923*kik_sifirCarpan),0))</f>
        <v/>
      </c>
    </row>
    <row r="924">
      <c r="A924" s="36" t="n"/>
      <c r="B924" s="36" t="n"/>
      <c r="C924" s="36" t="n"/>
      <c r="D924" s="36" t="n"/>
      <c r="E924" s="36" t="n"/>
      <c r="F924" s="36" t="n"/>
      <c r="G924" s="36" t="n"/>
      <c r="H924" s="37">
        <f>IF($A924="","",IFERROR(ROUND(MAX(0,$B924*INDEX(tblKurallar[deger_2025],MATCH("KIK-001",tblKurallar[kural_id],0))-($C924+$D924+$E924+$F924)),kik_yuvarMax),0))</f>
        <v/>
      </c>
      <c r="I924" s="37">
        <f>IF($A924="","",IFERROR(MAX(0,$H924-$G924*kik_sifirCarpan),0))</f>
        <v/>
      </c>
    </row>
    <row r="925">
      <c r="A925" s="36" t="n"/>
      <c r="B925" s="36" t="n"/>
      <c r="C925" s="36" t="n"/>
      <c r="D925" s="36" t="n"/>
      <c r="E925" s="36" t="n"/>
      <c r="F925" s="36" t="n"/>
      <c r="G925" s="36" t="n"/>
      <c r="H925" s="37">
        <f>IF($A925="","",IFERROR(ROUND(MAX(0,$B925*INDEX(tblKurallar[deger_2025],MATCH("KIK-001",tblKurallar[kural_id],0))-($C925+$D925+$E925+$F925)),kik_yuvarMax),0))</f>
        <v/>
      </c>
      <c r="I925" s="37">
        <f>IF($A925="","",IFERROR(MAX(0,$H925-$G925*kik_sifirCarpan),0))</f>
        <v/>
      </c>
    </row>
    <row r="926">
      <c r="A926" s="36" t="n"/>
      <c r="B926" s="36" t="n"/>
      <c r="C926" s="36" t="n"/>
      <c r="D926" s="36" t="n"/>
      <c r="E926" s="36" t="n"/>
      <c r="F926" s="36" t="n"/>
      <c r="G926" s="36" t="n"/>
      <c r="H926" s="37">
        <f>IF($A926="","",IFERROR(ROUND(MAX(0,$B926*INDEX(tblKurallar[deger_2025],MATCH("KIK-001",tblKurallar[kural_id],0))-($C926+$D926+$E926+$F926)),kik_yuvarMax),0))</f>
        <v/>
      </c>
      <c r="I926" s="37">
        <f>IF($A926="","",IFERROR(MAX(0,$H926-$G926*kik_sifirCarpan),0))</f>
        <v/>
      </c>
    </row>
    <row r="927">
      <c r="A927" s="36" t="n"/>
      <c r="B927" s="36" t="n"/>
      <c r="C927" s="36" t="n"/>
      <c r="D927" s="36" t="n"/>
      <c r="E927" s="36" t="n"/>
      <c r="F927" s="36" t="n"/>
      <c r="G927" s="36" t="n"/>
      <c r="H927" s="37">
        <f>IF($A927="","",IFERROR(ROUND(MAX(0,$B927*INDEX(tblKurallar[deger_2025],MATCH("KIK-001",tblKurallar[kural_id],0))-($C927+$D927+$E927+$F927)),kik_yuvarMax),0))</f>
        <v/>
      </c>
      <c r="I927" s="37">
        <f>IF($A927="","",IFERROR(MAX(0,$H927-$G927*kik_sifirCarpan),0))</f>
        <v/>
      </c>
    </row>
    <row r="928">
      <c r="A928" s="36" t="n"/>
      <c r="B928" s="36" t="n"/>
      <c r="C928" s="36" t="n"/>
      <c r="D928" s="36" t="n"/>
      <c r="E928" s="36" t="n"/>
      <c r="F928" s="36" t="n"/>
      <c r="G928" s="36" t="n"/>
      <c r="H928" s="37">
        <f>IF($A928="","",IFERROR(ROUND(MAX(0,$B928*INDEX(tblKurallar[deger_2025],MATCH("KIK-001",tblKurallar[kural_id],0))-($C928+$D928+$E928+$F928)),kik_yuvarMax),0))</f>
        <v/>
      </c>
      <c r="I928" s="37">
        <f>IF($A928="","",IFERROR(MAX(0,$H928-$G928*kik_sifirCarpan),0))</f>
        <v/>
      </c>
    </row>
    <row r="929">
      <c r="A929" s="36" t="n"/>
      <c r="B929" s="36" t="n"/>
      <c r="C929" s="36" t="n"/>
      <c r="D929" s="36" t="n"/>
      <c r="E929" s="36" t="n"/>
      <c r="F929" s="36" t="n"/>
      <c r="G929" s="36" t="n"/>
      <c r="H929" s="37">
        <f>IF($A929="","",IFERROR(ROUND(MAX(0,$B929*INDEX(tblKurallar[deger_2025],MATCH("KIK-001",tblKurallar[kural_id],0))-($C929+$D929+$E929+$F929)),kik_yuvarMax),0))</f>
        <v/>
      </c>
      <c r="I929" s="37">
        <f>IF($A929="","",IFERROR(MAX(0,$H929-$G929*kik_sifirCarpan),0))</f>
        <v/>
      </c>
    </row>
    <row r="930">
      <c r="A930" s="36" t="n"/>
      <c r="B930" s="36" t="n"/>
      <c r="C930" s="36" t="n"/>
      <c r="D930" s="36" t="n"/>
      <c r="E930" s="36" t="n"/>
      <c r="F930" s="36" t="n"/>
      <c r="G930" s="36" t="n"/>
      <c r="H930" s="37">
        <f>IF($A930="","",IFERROR(ROUND(MAX(0,$B930*INDEX(tblKurallar[deger_2025],MATCH("KIK-001",tblKurallar[kural_id],0))-($C930+$D930+$E930+$F930)),kik_yuvarMax),0))</f>
        <v/>
      </c>
      <c r="I930" s="37">
        <f>IF($A930="","",IFERROR(MAX(0,$H930-$G930*kik_sifirCarpan),0))</f>
        <v/>
      </c>
    </row>
    <row r="931">
      <c r="A931" s="36" t="n"/>
      <c r="B931" s="36" t="n"/>
      <c r="C931" s="36" t="n"/>
      <c r="D931" s="36" t="n"/>
      <c r="E931" s="36" t="n"/>
      <c r="F931" s="36" t="n"/>
      <c r="G931" s="36" t="n"/>
      <c r="H931" s="37">
        <f>IF($A931="","",IFERROR(ROUND(MAX(0,$B931*INDEX(tblKurallar[deger_2025],MATCH("KIK-001",tblKurallar[kural_id],0))-($C931+$D931+$E931+$F931)),kik_yuvarMax),0))</f>
        <v/>
      </c>
      <c r="I931" s="37">
        <f>IF($A931="","",IFERROR(MAX(0,$H931-$G931*kik_sifirCarpan),0))</f>
        <v/>
      </c>
    </row>
    <row r="932">
      <c r="A932" s="36" t="n"/>
      <c r="B932" s="36" t="n"/>
      <c r="C932" s="36" t="n"/>
      <c r="D932" s="36" t="n"/>
      <c r="E932" s="36" t="n"/>
      <c r="F932" s="36" t="n"/>
      <c r="G932" s="36" t="n"/>
      <c r="H932" s="37">
        <f>IF($A932="","",IFERROR(ROUND(MAX(0,$B932*INDEX(tblKurallar[deger_2025],MATCH("KIK-001",tblKurallar[kural_id],0))-($C932+$D932+$E932+$F932)),kik_yuvarMax),0))</f>
        <v/>
      </c>
      <c r="I932" s="37">
        <f>IF($A932="","",IFERROR(MAX(0,$H932-$G932*kik_sifirCarpan),0))</f>
        <v/>
      </c>
    </row>
    <row r="933">
      <c r="A933" s="36" t="n"/>
      <c r="B933" s="36" t="n"/>
      <c r="C933" s="36" t="n"/>
      <c r="D933" s="36" t="n"/>
      <c r="E933" s="36" t="n"/>
      <c r="F933" s="36" t="n"/>
      <c r="G933" s="36" t="n"/>
      <c r="H933" s="37">
        <f>IF($A933="","",IFERROR(ROUND(MAX(0,$B933*INDEX(tblKurallar[deger_2025],MATCH("KIK-001",tblKurallar[kural_id],0))-($C933+$D933+$E933+$F933)),kik_yuvarMax),0))</f>
        <v/>
      </c>
      <c r="I933" s="37">
        <f>IF($A933="","",IFERROR(MAX(0,$H933-$G933*kik_sifirCarpan),0))</f>
        <v/>
      </c>
    </row>
    <row r="934">
      <c r="A934" s="36" t="n"/>
      <c r="B934" s="36" t="n"/>
      <c r="C934" s="36" t="n"/>
      <c r="D934" s="36" t="n"/>
      <c r="E934" s="36" t="n"/>
      <c r="F934" s="36" t="n"/>
      <c r="G934" s="36" t="n"/>
      <c r="H934" s="37">
        <f>IF($A934="","",IFERROR(ROUND(MAX(0,$B934*INDEX(tblKurallar[deger_2025],MATCH("KIK-001",tblKurallar[kural_id],0))-($C934+$D934+$E934+$F934)),kik_yuvarMax),0))</f>
        <v/>
      </c>
      <c r="I934" s="37">
        <f>IF($A934="","",IFERROR(MAX(0,$H934-$G934*kik_sifirCarpan),0))</f>
        <v/>
      </c>
    </row>
    <row r="935">
      <c r="A935" s="36" t="n"/>
      <c r="B935" s="36" t="n"/>
      <c r="C935" s="36" t="n"/>
      <c r="D935" s="36" t="n"/>
      <c r="E935" s="36" t="n"/>
      <c r="F935" s="36" t="n"/>
      <c r="G935" s="36" t="n"/>
      <c r="H935" s="37">
        <f>IF($A935="","",IFERROR(ROUND(MAX(0,$B935*INDEX(tblKurallar[deger_2025],MATCH("KIK-001",tblKurallar[kural_id],0))-($C935+$D935+$E935+$F935)),kik_yuvarMax),0))</f>
        <v/>
      </c>
      <c r="I935" s="37">
        <f>IF($A935="","",IFERROR(MAX(0,$H935-$G935*kik_sifirCarpan),0))</f>
        <v/>
      </c>
    </row>
    <row r="936">
      <c r="A936" s="36" t="n"/>
      <c r="B936" s="36" t="n"/>
      <c r="C936" s="36" t="n"/>
      <c r="D936" s="36" t="n"/>
      <c r="E936" s="36" t="n"/>
      <c r="F936" s="36" t="n"/>
      <c r="G936" s="36" t="n"/>
      <c r="H936" s="37">
        <f>IF($A936="","",IFERROR(ROUND(MAX(0,$B936*INDEX(tblKurallar[deger_2025],MATCH("KIK-001",tblKurallar[kural_id],0))-($C936+$D936+$E936+$F936)),kik_yuvarMax),0))</f>
        <v/>
      </c>
      <c r="I936" s="37">
        <f>IF($A936="","",IFERROR(MAX(0,$H936-$G936*kik_sifirCarpan),0))</f>
        <v/>
      </c>
    </row>
    <row r="937">
      <c r="A937" s="36" t="n"/>
      <c r="B937" s="36" t="n"/>
      <c r="C937" s="36" t="n"/>
      <c r="D937" s="36" t="n"/>
      <c r="E937" s="36" t="n"/>
      <c r="F937" s="36" t="n"/>
      <c r="G937" s="36" t="n"/>
      <c r="H937" s="37">
        <f>IF($A937="","",IFERROR(ROUND(MAX(0,$B937*INDEX(tblKurallar[deger_2025],MATCH("KIK-001",tblKurallar[kural_id],0))-($C937+$D937+$E937+$F937)),kik_yuvarMax),0))</f>
        <v/>
      </c>
      <c r="I937" s="37">
        <f>IF($A937="","",IFERROR(MAX(0,$H937-$G937*kik_sifirCarpan),0))</f>
        <v/>
      </c>
    </row>
    <row r="938">
      <c r="A938" s="36" t="n"/>
      <c r="B938" s="36" t="n"/>
      <c r="C938" s="36" t="n"/>
      <c r="D938" s="36" t="n"/>
      <c r="E938" s="36" t="n"/>
      <c r="F938" s="36" t="n"/>
      <c r="G938" s="36" t="n"/>
      <c r="H938" s="37">
        <f>IF($A938="","",IFERROR(ROUND(MAX(0,$B938*INDEX(tblKurallar[deger_2025],MATCH("KIK-001",tblKurallar[kural_id],0))-($C938+$D938+$E938+$F938)),kik_yuvarMax),0))</f>
        <v/>
      </c>
      <c r="I938" s="37">
        <f>IF($A938="","",IFERROR(MAX(0,$H938-$G938*kik_sifirCarpan),0))</f>
        <v/>
      </c>
    </row>
    <row r="939">
      <c r="A939" s="36" t="n"/>
      <c r="B939" s="36" t="n"/>
      <c r="C939" s="36" t="n"/>
      <c r="D939" s="36" t="n"/>
      <c r="E939" s="36" t="n"/>
      <c r="F939" s="36" t="n"/>
      <c r="G939" s="36" t="n"/>
      <c r="H939" s="37">
        <f>IF($A939="","",IFERROR(ROUND(MAX(0,$B939*INDEX(tblKurallar[deger_2025],MATCH("KIK-001",tblKurallar[kural_id],0))-($C939+$D939+$E939+$F939)),kik_yuvarMax),0))</f>
        <v/>
      </c>
      <c r="I939" s="37">
        <f>IF($A939="","",IFERROR(MAX(0,$H939-$G939*kik_sifirCarpan),0))</f>
        <v/>
      </c>
    </row>
    <row r="940">
      <c r="A940" s="36" t="n"/>
      <c r="B940" s="36" t="n"/>
      <c r="C940" s="36" t="n"/>
      <c r="D940" s="36" t="n"/>
      <c r="E940" s="36" t="n"/>
      <c r="F940" s="36" t="n"/>
      <c r="G940" s="36" t="n"/>
      <c r="H940" s="37">
        <f>IF($A940="","",IFERROR(ROUND(MAX(0,$B940*INDEX(tblKurallar[deger_2025],MATCH("KIK-001",tblKurallar[kural_id],0))-($C940+$D940+$E940+$F940)),kik_yuvarMax),0))</f>
        <v/>
      </c>
      <c r="I940" s="37">
        <f>IF($A940="","",IFERROR(MAX(0,$H940-$G940*kik_sifirCarpan),0))</f>
        <v/>
      </c>
    </row>
    <row r="941">
      <c r="A941" s="36" t="n"/>
      <c r="B941" s="36" t="n"/>
      <c r="C941" s="36" t="n"/>
      <c r="D941" s="36" t="n"/>
      <c r="E941" s="36" t="n"/>
      <c r="F941" s="36" t="n"/>
      <c r="G941" s="36" t="n"/>
      <c r="H941" s="37">
        <f>IF($A941="","",IFERROR(ROUND(MAX(0,$B941*INDEX(tblKurallar[deger_2025],MATCH("KIK-001",tblKurallar[kural_id],0))-($C941+$D941+$E941+$F941)),kik_yuvarMax),0))</f>
        <v/>
      </c>
      <c r="I941" s="37">
        <f>IF($A941="","",IFERROR(MAX(0,$H941-$G941*kik_sifirCarpan),0))</f>
        <v/>
      </c>
    </row>
    <row r="942">
      <c r="A942" s="36" t="n"/>
      <c r="B942" s="36" t="n"/>
      <c r="C942" s="36" t="n"/>
      <c r="D942" s="36" t="n"/>
      <c r="E942" s="36" t="n"/>
      <c r="F942" s="36" t="n"/>
      <c r="G942" s="36" t="n"/>
      <c r="H942" s="37">
        <f>IF($A942="","",IFERROR(ROUND(MAX(0,$B942*INDEX(tblKurallar[deger_2025],MATCH("KIK-001",tblKurallar[kural_id],0))-($C942+$D942+$E942+$F942)),kik_yuvarMax),0))</f>
        <v/>
      </c>
      <c r="I942" s="37">
        <f>IF($A942="","",IFERROR(MAX(0,$H942-$G942*kik_sifirCarpan),0))</f>
        <v/>
      </c>
    </row>
    <row r="943">
      <c r="A943" s="36" t="n"/>
      <c r="B943" s="36" t="n"/>
      <c r="C943" s="36" t="n"/>
      <c r="D943" s="36" t="n"/>
      <c r="E943" s="36" t="n"/>
      <c r="F943" s="36" t="n"/>
      <c r="G943" s="36" t="n"/>
      <c r="H943" s="37">
        <f>IF($A943="","",IFERROR(ROUND(MAX(0,$B943*INDEX(tblKurallar[deger_2025],MATCH("KIK-001",tblKurallar[kural_id],0))-($C943+$D943+$E943+$F943)),kik_yuvarMax),0))</f>
        <v/>
      </c>
      <c r="I943" s="37">
        <f>IF($A943="","",IFERROR(MAX(0,$H943-$G943*kik_sifirCarpan),0))</f>
        <v/>
      </c>
    </row>
    <row r="944">
      <c r="A944" s="36" t="n"/>
      <c r="B944" s="36" t="n"/>
      <c r="C944" s="36" t="n"/>
      <c r="D944" s="36" t="n"/>
      <c r="E944" s="36" t="n"/>
      <c r="F944" s="36" t="n"/>
      <c r="G944" s="36" t="n"/>
      <c r="H944" s="37">
        <f>IF($A944="","",IFERROR(ROUND(MAX(0,$B944*INDEX(tblKurallar[deger_2025],MATCH("KIK-001",tblKurallar[kural_id],0))-($C944+$D944+$E944+$F944)),kik_yuvarMax),0))</f>
        <v/>
      </c>
      <c r="I944" s="37">
        <f>IF($A944="","",IFERROR(MAX(0,$H944-$G944*kik_sifirCarpan),0))</f>
        <v/>
      </c>
    </row>
    <row r="945">
      <c r="A945" s="36" t="n"/>
      <c r="B945" s="36" t="n"/>
      <c r="C945" s="36" t="n"/>
      <c r="D945" s="36" t="n"/>
      <c r="E945" s="36" t="n"/>
      <c r="F945" s="36" t="n"/>
      <c r="G945" s="36" t="n"/>
      <c r="H945" s="37">
        <f>IF($A945="","",IFERROR(ROUND(MAX(0,$B945*INDEX(tblKurallar[deger_2025],MATCH("KIK-001",tblKurallar[kural_id],0))-($C945+$D945+$E945+$F945)),kik_yuvarMax),0))</f>
        <v/>
      </c>
      <c r="I945" s="37">
        <f>IF($A945="","",IFERROR(MAX(0,$H945-$G945*kik_sifirCarpan),0))</f>
        <v/>
      </c>
    </row>
    <row r="946">
      <c r="A946" s="36" t="n"/>
      <c r="B946" s="36" t="n"/>
      <c r="C946" s="36" t="n"/>
      <c r="D946" s="36" t="n"/>
      <c r="E946" s="36" t="n"/>
      <c r="F946" s="36" t="n"/>
      <c r="G946" s="36" t="n"/>
      <c r="H946" s="37">
        <f>IF($A946="","",IFERROR(ROUND(MAX(0,$B946*INDEX(tblKurallar[deger_2025],MATCH("KIK-001",tblKurallar[kural_id],0))-($C946+$D946+$E946+$F946)),kik_yuvarMax),0))</f>
        <v/>
      </c>
      <c r="I946" s="37">
        <f>IF($A946="","",IFERROR(MAX(0,$H946-$G946*kik_sifirCarpan),0))</f>
        <v/>
      </c>
    </row>
    <row r="947">
      <c r="A947" s="36" t="n"/>
      <c r="B947" s="36" t="n"/>
      <c r="C947" s="36" t="n"/>
      <c r="D947" s="36" t="n"/>
      <c r="E947" s="36" t="n"/>
      <c r="F947" s="36" t="n"/>
      <c r="G947" s="36" t="n"/>
      <c r="H947" s="37">
        <f>IF($A947="","",IFERROR(ROUND(MAX(0,$B947*INDEX(tblKurallar[deger_2025],MATCH("KIK-001",tblKurallar[kural_id],0))-($C947+$D947+$E947+$F947)),kik_yuvarMax),0))</f>
        <v/>
      </c>
      <c r="I947" s="37">
        <f>IF($A947="","",IFERROR(MAX(0,$H947-$G947*kik_sifirCarpan),0))</f>
        <v/>
      </c>
    </row>
    <row r="948">
      <c r="A948" s="36" t="n"/>
      <c r="B948" s="36" t="n"/>
      <c r="C948" s="36" t="n"/>
      <c r="D948" s="36" t="n"/>
      <c r="E948" s="36" t="n"/>
      <c r="F948" s="36" t="n"/>
      <c r="G948" s="36" t="n"/>
      <c r="H948" s="37">
        <f>IF($A948="","",IFERROR(ROUND(MAX(0,$B948*INDEX(tblKurallar[deger_2025],MATCH("KIK-001",tblKurallar[kural_id],0))-($C948+$D948+$E948+$F948)),kik_yuvarMax),0))</f>
        <v/>
      </c>
      <c r="I948" s="37">
        <f>IF($A948="","",IFERROR(MAX(0,$H948-$G948*kik_sifirCarpan),0))</f>
        <v/>
      </c>
    </row>
    <row r="949">
      <c r="A949" s="36" t="n"/>
      <c r="B949" s="36" t="n"/>
      <c r="C949" s="36" t="n"/>
      <c r="D949" s="36" t="n"/>
      <c r="E949" s="36" t="n"/>
      <c r="F949" s="36" t="n"/>
      <c r="G949" s="36" t="n"/>
      <c r="H949" s="37">
        <f>IF($A949="","",IFERROR(ROUND(MAX(0,$B949*INDEX(tblKurallar[deger_2025],MATCH("KIK-001",tblKurallar[kural_id],0))-($C949+$D949+$E949+$F949)),kik_yuvarMax),0))</f>
        <v/>
      </c>
      <c r="I949" s="37">
        <f>IF($A949="","",IFERROR(MAX(0,$H949-$G949*kik_sifirCarpan),0))</f>
        <v/>
      </c>
    </row>
    <row r="950">
      <c r="A950" s="36" t="n"/>
      <c r="B950" s="36" t="n"/>
      <c r="C950" s="36" t="n"/>
      <c r="D950" s="36" t="n"/>
      <c r="E950" s="36" t="n"/>
      <c r="F950" s="36" t="n"/>
      <c r="G950" s="36" t="n"/>
      <c r="H950" s="37">
        <f>IF($A950="","",IFERROR(ROUND(MAX(0,$B950*INDEX(tblKurallar[deger_2025],MATCH("KIK-001",tblKurallar[kural_id],0))-($C950+$D950+$E950+$F950)),kik_yuvarMax),0))</f>
        <v/>
      </c>
      <c r="I950" s="37">
        <f>IF($A950="","",IFERROR(MAX(0,$H950-$G950*kik_sifirCarpan),0))</f>
        <v/>
      </c>
    </row>
    <row r="951">
      <c r="A951" s="36" t="n"/>
      <c r="B951" s="36" t="n"/>
      <c r="C951" s="36" t="n"/>
      <c r="D951" s="36" t="n"/>
      <c r="E951" s="36" t="n"/>
      <c r="F951" s="36" t="n"/>
      <c r="G951" s="36" t="n"/>
      <c r="H951" s="37">
        <f>IF($A951="","",IFERROR(ROUND(MAX(0,$B951*INDEX(tblKurallar[deger_2025],MATCH("KIK-001",tblKurallar[kural_id],0))-($C951+$D951+$E951+$F951)),kik_yuvarMax),0))</f>
        <v/>
      </c>
      <c r="I951" s="37">
        <f>IF($A951="","",IFERROR(MAX(0,$H951-$G951*kik_sifirCarpan),0))</f>
        <v/>
      </c>
    </row>
    <row r="952">
      <c r="A952" s="36" t="n"/>
      <c r="B952" s="36" t="n"/>
      <c r="C952" s="36" t="n"/>
      <c r="D952" s="36" t="n"/>
      <c r="E952" s="36" t="n"/>
      <c r="F952" s="36" t="n"/>
      <c r="G952" s="36" t="n"/>
      <c r="H952" s="37">
        <f>IF($A952="","",IFERROR(ROUND(MAX(0,$B952*INDEX(tblKurallar[deger_2025],MATCH("KIK-001",tblKurallar[kural_id],0))-($C952+$D952+$E952+$F952)),kik_yuvarMax),0))</f>
        <v/>
      </c>
      <c r="I952" s="37">
        <f>IF($A952="","",IFERROR(MAX(0,$H952-$G952*kik_sifirCarpan),0))</f>
        <v/>
      </c>
    </row>
    <row r="953">
      <c r="A953" s="36" t="n"/>
      <c r="B953" s="36" t="n"/>
      <c r="C953" s="36" t="n"/>
      <c r="D953" s="36" t="n"/>
      <c r="E953" s="36" t="n"/>
      <c r="F953" s="36" t="n"/>
      <c r="G953" s="36" t="n"/>
      <c r="H953" s="37">
        <f>IF($A953="","",IFERROR(ROUND(MAX(0,$B953*INDEX(tblKurallar[deger_2025],MATCH("KIK-001",tblKurallar[kural_id],0))-($C953+$D953+$E953+$F953)),kik_yuvarMax),0))</f>
        <v/>
      </c>
      <c r="I953" s="37">
        <f>IF($A953="","",IFERROR(MAX(0,$H953-$G953*kik_sifirCarpan),0))</f>
        <v/>
      </c>
    </row>
    <row r="954">
      <c r="A954" s="36" t="n"/>
      <c r="B954" s="36" t="n"/>
      <c r="C954" s="36" t="n"/>
      <c r="D954" s="36" t="n"/>
      <c r="E954" s="36" t="n"/>
      <c r="F954" s="36" t="n"/>
      <c r="G954" s="36" t="n"/>
      <c r="H954" s="37">
        <f>IF($A954="","",IFERROR(ROUND(MAX(0,$B954*INDEX(tblKurallar[deger_2025],MATCH("KIK-001",tblKurallar[kural_id],0))-($C954+$D954+$E954+$F954)),kik_yuvarMax),0))</f>
        <v/>
      </c>
      <c r="I954" s="37">
        <f>IF($A954="","",IFERROR(MAX(0,$H954-$G954*kik_sifirCarpan),0))</f>
        <v/>
      </c>
    </row>
    <row r="955">
      <c r="A955" s="36" t="n"/>
      <c r="B955" s="36" t="n"/>
      <c r="C955" s="36" t="n"/>
      <c r="D955" s="36" t="n"/>
      <c r="E955" s="36" t="n"/>
      <c r="F955" s="36" t="n"/>
      <c r="G955" s="36" t="n"/>
      <c r="H955" s="37">
        <f>IF($A955="","",IFERROR(ROUND(MAX(0,$B955*INDEX(tblKurallar[deger_2025],MATCH("KIK-001",tblKurallar[kural_id],0))-($C955+$D955+$E955+$F955)),kik_yuvarMax),0))</f>
        <v/>
      </c>
      <c r="I955" s="37">
        <f>IF($A955="","",IFERROR(MAX(0,$H955-$G955*kik_sifirCarpan),0))</f>
        <v/>
      </c>
    </row>
    <row r="956">
      <c r="A956" s="36" t="n"/>
      <c r="B956" s="36" t="n"/>
      <c r="C956" s="36" t="n"/>
      <c r="D956" s="36" t="n"/>
      <c r="E956" s="36" t="n"/>
      <c r="F956" s="36" t="n"/>
      <c r="G956" s="36" t="n"/>
      <c r="H956" s="37">
        <f>IF($A956="","",IFERROR(ROUND(MAX(0,$B956*INDEX(tblKurallar[deger_2025],MATCH("KIK-001",tblKurallar[kural_id],0))-($C956+$D956+$E956+$F956)),kik_yuvarMax),0))</f>
        <v/>
      </c>
      <c r="I956" s="37">
        <f>IF($A956="","",IFERROR(MAX(0,$H956-$G956*kik_sifirCarpan),0))</f>
        <v/>
      </c>
    </row>
    <row r="957">
      <c r="A957" s="36" t="n"/>
      <c r="B957" s="36" t="n"/>
      <c r="C957" s="36" t="n"/>
      <c r="D957" s="36" t="n"/>
      <c r="E957" s="36" t="n"/>
      <c r="F957" s="36" t="n"/>
      <c r="G957" s="36" t="n"/>
      <c r="H957" s="37">
        <f>IF($A957="","",IFERROR(ROUND(MAX(0,$B957*INDEX(tblKurallar[deger_2025],MATCH("KIK-001",tblKurallar[kural_id],0))-($C957+$D957+$E957+$F957)),kik_yuvarMax),0))</f>
        <v/>
      </c>
      <c r="I957" s="37">
        <f>IF($A957="","",IFERROR(MAX(0,$H957-$G957*kik_sifirCarpan),0))</f>
        <v/>
      </c>
    </row>
    <row r="958">
      <c r="A958" s="36" t="n"/>
      <c r="B958" s="36" t="n"/>
      <c r="C958" s="36" t="n"/>
      <c r="D958" s="36" t="n"/>
      <c r="E958" s="36" t="n"/>
      <c r="F958" s="36" t="n"/>
      <c r="G958" s="36" t="n"/>
      <c r="H958" s="37">
        <f>IF($A958="","",IFERROR(ROUND(MAX(0,$B958*INDEX(tblKurallar[deger_2025],MATCH("KIK-001",tblKurallar[kural_id],0))-($C958+$D958+$E958+$F958)),kik_yuvarMax),0))</f>
        <v/>
      </c>
      <c r="I958" s="37">
        <f>IF($A958="","",IFERROR(MAX(0,$H958-$G958*kik_sifirCarpan),0))</f>
        <v/>
      </c>
    </row>
    <row r="959">
      <c r="A959" s="36" t="n"/>
      <c r="B959" s="36" t="n"/>
      <c r="C959" s="36" t="n"/>
      <c r="D959" s="36" t="n"/>
      <c r="E959" s="36" t="n"/>
      <c r="F959" s="36" t="n"/>
      <c r="G959" s="36" t="n"/>
      <c r="H959" s="37">
        <f>IF($A959="","",IFERROR(ROUND(MAX(0,$B959*INDEX(tblKurallar[deger_2025],MATCH("KIK-001",tblKurallar[kural_id],0))-($C959+$D959+$E959+$F959)),kik_yuvarMax),0))</f>
        <v/>
      </c>
      <c r="I959" s="37">
        <f>IF($A959="","",IFERROR(MAX(0,$H959-$G959*kik_sifirCarpan),0))</f>
        <v/>
      </c>
    </row>
    <row r="960">
      <c r="A960" s="36" t="n"/>
      <c r="B960" s="36" t="n"/>
      <c r="C960" s="36" t="n"/>
      <c r="D960" s="36" t="n"/>
      <c r="E960" s="36" t="n"/>
      <c r="F960" s="36" t="n"/>
      <c r="G960" s="36" t="n"/>
      <c r="H960" s="37">
        <f>IF($A960="","",IFERROR(ROUND(MAX(0,$B960*INDEX(tblKurallar[deger_2025],MATCH("KIK-001",tblKurallar[kural_id],0))-($C960+$D960+$E960+$F960)),kik_yuvarMax),0))</f>
        <v/>
      </c>
      <c r="I960" s="37">
        <f>IF($A960="","",IFERROR(MAX(0,$H960-$G960*kik_sifirCarpan),0))</f>
        <v/>
      </c>
    </row>
    <row r="961">
      <c r="A961" s="36" t="n"/>
      <c r="B961" s="36" t="n"/>
      <c r="C961" s="36" t="n"/>
      <c r="D961" s="36" t="n"/>
      <c r="E961" s="36" t="n"/>
      <c r="F961" s="36" t="n"/>
      <c r="G961" s="36" t="n"/>
      <c r="H961" s="37">
        <f>IF($A961="","",IFERROR(ROUND(MAX(0,$B961*INDEX(tblKurallar[deger_2025],MATCH("KIK-001",tblKurallar[kural_id],0))-($C961+$D961+$E961+$F961)),kik_yuvarMax),0))</f>
        <v/>
      </c>
      <c r="I961" s="37">
        <f>IF($A961="","",IFERROR(MAX(0,$H961-$G961*kik_sifirCarpan),0))</f>
        <v/>
      </c>
    </row>
    <row r="962">
      <c r="A962" s="36" t="n"/>
      <c r="B962" s="36" t="n"/>
      <c r="C962" s="36" t="n"/>
      <c r="D962" s="36" t="n"/>
      <c r="E962" s="36" t="n"/>
      <c r="F962" s="36" t="n"/>
      <c r="G962" s="36" t="n"/>
      <c r="H962" s="37">
        <f>IF($A962="","",IFERROR(ROUND(MAX(0,$B962*INDEX(tblKurallar[deger_2025],MATCH("KIK-001",tblKurallar[kural_id],0))-($C962+$D962+$E962+$F962)),kik_yuvarMax),0))</f>
        <v/>
      </c>
      <c r="I962" s="37">
        <f>IF($A962="","",IFERROR(MAX(0,$H962-$G962*kik_sifirCarpan),0))</f>
        <v/>
      </c>
    </row>
    <row r="963">
      <c r="A963" s="36" t="n"/>
      <c r="B963" s="36" t="n"/>
      <c r="C963" s="36" t="n"/>
      <c r="D963" s="36" t="n"/>
      <c r="E963" s="36" t="n"/>
      <c r="F963" s="36" t="n"/>
      <c r="G963" s="36" t="n"/>
      <c r="H963" s="37">
        <f>IF($A963="","",IFERROR(ROUND(MAX(0,$B963*INDEX(tblKurallar[deger_2025],MATCH("KIK-001",tblKurallar[kural_id],0))-($C963+$D963+$E963+$F963)),kik_yuvarMax),0))</f>
        <v/>
      </c>
      <c r="I963" s="37">
        <f>IF($A963="","",IFERROR(MAX(0,$H963-$G963*kik_sifirCarpan),0))</f>
        <v/>
      </c>
    </row>
    <row r="964">
      <c r="A964" s="36" t="n"/>
      <c r="B964" s="36" t="n"/>
      <c r="C964" s="36" t="n"/>
      <c r="D964" s="36" t="n"/>
      <c r="E964" s="36" t="n"/>
      <c r="F964" s="36" t="n"/>
      <c r="G964" s="36" t="n"/>
      <c r="H964" s="37">
        <f>IF($A964="","",IFERROR(ROUND(MAX(0,$B964*INDEX(tblKurallar[deger_2025],MATCH("KIK-001",tblKurallar[kural_id],0))-($C964+$D964+$E964+$F964)),kik_yuvarMax),0))</f>
        <v/>
      </c>
      <c r="I964" s="37">
        <f>IF($A964="","",IFERROR(MAX(0,$H964-$G964*kik_sifirCarpan),0))</f>
        <v/>
      </c>
    </row>
    <row r="965">
      <c r="A965" s="36" t="n"/>
      <c r="B965" s="36" t="n"/>
      <c r="C965" s="36" t="n"/>
      <c r="D965" s="36" t="n"/>
      <c r="E965" s="36" t="n"/>
      <c r="F965" s="36" t="n"/>
      <c r="G965" s="36" t="n"/>
      <c r="H965" s="37">
        <f>IF($A965="","",IFERROR(ROUND(MAX(0,$B965*INDEX(tblKurallar[deger_2025],MATCH("KIK-001",tblKurallar[kural_id],0))-($C965+$D965+$E965+$F965)),kik_yuvarMax),0))</f>
        <v/>
      </c>
      <c r="I965" s="37">
        <f>IF($A965="","",IFERROR(MAX(0,$H965-$G965*kik_sifirCarpan),0))</f>
        <v/>
      </c>
    </row>
    <row r="966">
      <c r="A966" s="36" t="n"/>
      <c r="B966" s="36" t="n"/>
      <c r="C966" s="36" t="n"/>
      <c r="D966" s="36" t="n"/>
      <c r="E966" s="36" t="n"/>
      <c r="F966" s="36" t="n"/>
      <c r="G966" s="36" t="n"/>
      <c r="H966" s="37">
        <f>IF($A966="","",IFERROR(ROUND(MAX(0,$B966*INDEX(tblKurallar[deger_2025],MATCH("KIK-001",tblKurallar[kural_id],0))-($C966+$D966+$E966+$F966)),kik_yuvarMax),0))</f>
        <v/>
      </c>
      <c r="I966" s="37">
        <f>IF($A966="","",IFERROR(MAX(0,$H966-$G966*kik_sifirCarpan),0))</f>
        <v/>
      </c>
    </row>
    <row r="967">
      <c r="A967" s="36" t="n"/>
      <c r="B967" s="36" t="n"/>
      <c r="C967" s="36" t="n"/>
      <c r="D967" s="36" t="n"/>
      <c r="E967" s="36" t="n"/>
      <c r="F967" s="36" t="n"/>
      <c r="G967" s="36" t="n"/>
      <c r="H967" s="37">
        <f>IF($A967="","",IFERROR(ROUND(MAX(0,$B967*INDEX(tblKurallar[deger_2025],MATCH("KIK-001",tblKurallar[kural_id],0))-($C967+$D967+$E967+$F967)),kik_yuvarMax),0))</f>
        <v/>
      </c>
      <c r="I967" s="37">
        <f>IF($A967="","",IFERROR(MAX(0,$H967-$G967*kik_sifirCarpan),0))</f>
        <v/>
      </c>
    </row>
    <row r="968">
      <c r="A968" s="36" t="n"/>
      <c r="B968" s="36" t="n"/>
      <c r="C968" s="36" t="n"/>
      <c r="D968" s="36" t="n"/>
      <c r="E968" s="36" t="n"/>
      <c r="F968" s="36" t="n"/>
      <c r="G968" s="36" t="n"/>
      <c r="H968" s="37">
        <f>IF($A968="","",IFERROR(ROUND(MAX(0,$B968*INDEX(tblKurallar[deger_2025],MATCH("KIK-001",tblKurallar[kural_id],0))-($C968+$D968+$E968+$F968)),kik_yuvarMax),0))</f>
        <v/>
      </c>
      <c r="I968" s="37">
        <f>IF($A968="","",IFERROR(MAX(0,$H968-$G968*kik_sifirCarpan),0))</f>
        <v/>
      </c>
    </row>
    <row r="969">
      <c r="A969" s="36" t="n"/>
      <c r="B969" s="36" t="n"/>
      <c r="C969" s="36" t="n"/>
      <c r="D969" s="36" t="n"/>
      <c r="E969" s="36" t="n"/>
      <c r="F969" s="36" t="n"/>
      <c r="G969" s="36" t="n"/>
      <c r="H969" s="37">
        <f>IF($A969="","",IFERROR(ROUND(MAX(0,$B969*INDEX(tblKurallar[deger_2025],MATCH("KIK-001",tblKurallar[kural_id],0))-($C969+$D969+$E969+$F969)),kik_yuvarMax),0))</f>
        <v/>
      </c>
      <c r="I969" s="37">
        <f>IF($A969="","",IFERROR(MAX(0,$H969-$G969*kik_sifirCarpan),0))</f>
        <v/>
      </c>
    </row>
    <row r="970">
      <c r="A970" s="36" t="n"/>
      <c r="B970" s="36" t="n"/>
      <c r="C970" s="36" t="n"/>
      <c r="D970" s="36" t="n"/>
      <c r="E970" s="36" t="n"/>
      <c r="F970" s="36" t="n"/>
      <c r="G970" s="36" t="n"/>
      <c r="H970" s="37">
        <f>IF($A970="","",IFERROR(ROUND(MAX(0,$B970*INDEX(tblKurallar[deger_2025],MATCH("KIK-001",tblKurallar[kural_id],0))-($C970+$D970+$E970+$F970)),kik_yuvarMax),0))</f>
        <v/>
      </c>
      <c r="I970" s="37">
        <f>IF($A970="","",IFERROR(MAX(0,$H970-$G970*kik_sifirCarpan),0))</f>
        <v/>
      </c>
    </row>
    <row r="971">
      <c r="A971" s="36" t="n"/>
      <c r="B971" s="36" t="n"/>
      <c r="C971" s="36" t="n"/>
      <c r="D971" s="36" t="n"/>
      <c r="E971" s="36" t="n"/>
      <c r="F971" s="36" t="n"/>
      <c r="G971" s="36" t="n"/>
      <c r="H971" s="37">
        <f>IF($A971="","",IFERROR(ROUND(MAX(0,$B971*INDEX(tblKurallar[deger_2025],MATCH("KIK-001",tblKurallar[kural_id],0))-($C971+$D971+$E971+$F971)),kik_yuvarMax),0))</f>
        <v/>
      </c>
      <c r="I971" s="37">
        <f>IF($A971="","",IFERROR(MAX(0,$H971-$G971*kik_sifirCarpan),0))</f>
        <v/>
      </c>
    </row>
    <row r="972">
      <c r="A972" s="36" t="n"/>
      <c r="B972" s="36" t="n"/>
      <c r="C972" s="36" t="n"/>
      <c r="D972" s="36" t="n"/>
      <c r="E972" s="36" t="n"/>
      <c r="F972" s="36" t="n"/>
      <c r="G972" s="36" t="n"/>
      <c r="H972" s="37">
        <f>IF($A972="","",IFERROR(ROUND(MAX(0,$B972*INDEX(tblKurallar[deger_2025],MATCH("KIK-001",tblKurallar[kural_id],0))-($C972+$D972+$E972+$F972)),kik_yuvarMax),0))</f>
        <v/>
      </c>
      <c r="I972" s="37">
        <f>IF($A972="","",IFERROR(MAX(0,$H972-$G972*kik_sifirCarpan),0))</f>
        <v/>
      </c>
    </row>
    <row r="973">
      <c r="A973" s="36" t="n"/>
      <c r="B973" s="36" t="n"/>
      <c r="C973" s="36" t="n"/>
      <c r="D973" s="36" t="n"/>
      <c r="E973" s="36" t="n"/>
      <c r="F973" s="36" t="n"/>
      <c r="G973" s="36" t="n"/>
      <c r="H973" s="37">
        <f>IF($A973="","",IFERROR(ROUND(MAX(0,$B973*INDEX(tblKurallar[deger_2025],MATCH("KIK-001",tblKurallar[kural_id],0))-($C973+$D973+$E973+$F973)),kik_yuvarMax),0))</f>
        <v/>
      </c>
      <c r="I973" s="37">
        <f>IF($A973="","",IFERROR(MAX(0,$H973-$G973*kik_sifirCarpan),0))</f>
        <v/>
      </c>
    </row>
    <row r="974">
      <c r="A974" s="36" t="n"/>
      <c r="B974" s="36" t="n"/>
      <c r="C974" s="36" t="n"/>
      <c r="D974" s="36" t="n"/>
      <c r="E974" s="36" t="n"/>
      <c r="F974" s="36" t="n"/>
      <c r="G974" s="36" t="n"/>
      <c r="H974" s="37">
        <f>IF($A974="","",IFERROR(ROUND(MAX(0,$B974*INDEX(tblKurallar[deger_2025],MATCH("KIK-001",tblKurallar[kural_id],0))-($C974+$D974+$E974+$F974)),kik_yuvarMax),0))</f>
        <v/>
      </c>
      <c r="I974" s="37">
        <f>IF($A974="","",IFERROR(MAX(0,$H974-$G974*kik_sifirCarpan),0))</f>
        <v/>
      </c>
    </row>
    <row r="975">
      <c r="A975" s="36" t="n"/>
      <c r="B975" s="36" t="n"/>
      <c r="C975" s="36" t="n"/>
      <c r="D975" s="36" t="n"/>
      <c r="E975" s="36" t="n"/>
      <c r="F975" s="36" t="n"/>
      <c r="G975" s="36" t="n"/>
      <c r="H975" s="37">
        <f>IF($A975="","",IFERROR(ROUND(MAX(0,$B975*INDEX(tblKurallar[deger_2025],MATCH("KIK-001",tblKurallar[kural_id],0))-($C975+$D975+$E975+$F975)),kik_yuvarMax),0))</f>
        <v/>
      </c>
      <c r="I975" s="37">
        <f>IF($A975="","",IFERROR(MAX(0,$H975-$G975*kik_sifirCarpan),0))</f>
        <v/>
      </c>
    </row>
    <row r="976">
      <c r="A976" s="36" t="n"/>
      <c r="B976" s="36" t="n"/>
      <c r="C976" s="36" t="n"/>
      <c r="D976" s="36" t="n"/>
      <c r="E976" s="36" t="n"/>
      <c r="F976" s="36" t="n"/>
      <c r="G976" s="36" t="n"/>
      <c r="H976" s="37">
        <f>IF($A976="","",IFERROR(ROUND(MAX(0,$B976*INDEX(tblKurallar[deger_2025],MATCH("KIK-001",tblKurallar[kural_id],0))-($C976+$D976+$E976+$F976)),kik_yuvarMax),0))</f>
        <v/>
      </c>
      <c r="I976" s="37">
        <f>IF($A976="","",IFERROR(MAX(0,$H976-$G976*kik_sifirCarpan),0))</f>
        <v/>
      </c>
    </row>
    <row r="977">
      <c r="A977" s="36" t="n"/>
      <c r="B977" s="36" t="n"/>
      <c r="C977" s="36" t="n"/>
      <c r="D977" s="36" t="n"/>
      <c r="E977" s="36" t="n"/>
      <c r="F977" s="36" t="n"/>
      <c r="G977" s="36" t="n"/>
      <c r="H977" s="37">
        <f>IF($A977="","",IFERROR(ROUND(MAX(0,$B977*INDEX(tblKurallar[deger_2025],MATCH("KIK-001",tblKurallar[kural_id],0))-($C977+$D977+$E977+$F977)),kik_yuvarMax),0))</f>
        <v/>
      </c>
      <c r="I977" s="37">
        <f>IF($A977="","",IFERROR(MAX(0,$H977-$G977*kik_sifirCarpan),0))</f>
        <v/>
      </c>
    </row>
    <row r="978">
      <c r="A978" s="36" t="n"/>
      <c r="B978" s="36" t="n"/>
      <c r="C978" s="36" t="n"/>
      <c r="D978" s="36" t="n"/>
      <c r="E978" s="36" t="n"/>
      <c r="F978" s="36" t="n"/>
      <c r="G978" s="36" t="n"/>
      <c r="H978" s="37">
        <f>IF($A978="","",IFERROR(ROUND(MAX(0,$B978*INDEX(tblKurallar[deger_2025],MATCH("KIK-001",tblKurallar[kural_id],0))-($C978+$D978+$E978+$F978)),kik_yuvarMax),0))</f>
        <v/>
      </c>
      <c r="I978" s="37">
        <f>IF($A978="","",IFERROR(MAX(0,$H978-$G978*kik_sifirCarpan),0))</f>
        <v/>
      </c>
    </row>
    <row r="979">
      <c r="A979" s="36" t="n"/>
      <c r="B979" s="36" t="n"/>
      <c r="C979" s="36" t="n"/>
      <c r="D979" s="36" t="n"/>
      <c r="E979" s="36" t="n"/>
      <c r="F979" s="36" t="n"/>
      <c r="G979" s="36" t="n"/>
      <c r="H979" s="37">
        <f>IF($A979="","",IFERROR(ROUND(MAX(0,$B979*INDEX(tblKurallar[deger_2025],MATCH("KIK-001",tblKurallar[kural_id],0))-($C979+$D979+$E979+$F979)),kik_yuvarMax),0))</f>
        <v/>
      </c>
      <c r="I979" s="37">
        <f>IF($A979="","",IFERROR(MAX(0,$H979-$G979*kik_sifirCarpan),0))</f>
        <v/>
      </c>
    </row>
    <row r="980">
      <c r="A980" s="36" t="n"/>
      <c r="B980" s="36" t="n"/>
      <c r="C980" s="36" t="n"/>
      <c r="D980" s="36" t="n"/>
      <c r="E980" s="36" t="n"/>
      <c r="F980" s="36" t="n"/>
      <c r="G980" s="36" t="n"/>
      <c r="H980" s="37">
        <f>IF($A980="","",IFERROR(ROUND(MAX(0,$B980*INDEX(tblKurallar[deger_2025],MATCH("KIK-001",tblKurallar[kural_id],0))-($C980+$D980+$E980+$F980)),kik_yuvarMax),0))</f>
        <v/>
      </c>
      <c r="I980" s="37">
        <f>IF($A980="","",IFERROR(MAX(0,$H980-$G980*kik_sifirCarpan),0))</f>
        <v/>
      </c>
    </row>
    <row r="981">
      <c r="A981" s="36" t="n"/>
      <c r="B981" s="36" t="n"/>
      <c r="C981" s="36" t="n"/>
      <c r="D981" s="36" t="n"/>
      <c r="E981" s="36" t="n"/>
      <c r="F981" s="36" t="n"/>
      <c r="G981" s="36" t="n"/>
      <c r="H981" s="37">
        <f>IF($A981="","",IFERROR(ROUND(MAX(0,$B981*INDEX(tblKurallar[deger_2025],MATCH("KIK-001",tblKurallar[kural_id],0))-($C981+$D981+$E981+$F981)),kik_yuvarMax),0))</f>
        <v/>
      </c>
      <c r="I981" s="37">
        <f>IF($A981="","",IFERROR(MAX(0,$H981-$G981*kik_sifirCarpan),0))</f>
        <v/>
      </c>
    </row>
    <row r="982">
      <c r="A982" s="36" t="n"/>
      <c r="B982" s="36" t="n"/>
      <c r="C982" s="36" t="n"/>
      <c r="D982" s="36" t="n"/>
      <c r="E982" s="36" t="n"/>
      <c r="F982" s="36" t="n"/>
      <c r="G982" s="36" t="n"/>
      <c r="H982" s="37">
        <f>IF($A982="","",IFERROR(ROUND(MAX(0,$B982*INDEX(tblKurallar[deger_2025],MATCH("KIK-001",tblKurallar[kural_id],0))-($C982+$D982+$E982+$F982)),kik_yuvarMax),0))</f>
        <v/>
      </c>
      <c r="I982" s="37">
        <f>IF($A982="","",IFERROR(MAX(0,$H982-$G982*kik_sifirCarpan),0))</f>
        <v/>
      </c>
    </row>
    <row r="983">
      <c r="A983" s="36" t="n"/>
      <c r="B983" s="36" t="n"/>
      <c r="C983" s="36" t="n"/>
      <c r="D983" s="36" t="n"/>
      <c r="E983" s="36" t="n"/>
      <c r="F983" s="36" t="n"/>
      <c r="G983" s="36" t="n"/>
      <c r="H983" s="37">
        <f>IF($A983="","",IFERROR(ROUND(MAX(0,$B983*INDEX(tblKurallar[deger_2025],MATCH("KIK-001",tblKurallar[kural_id],0))-($C983+$D983+$E983+$F983)),kik_yuvarMax),0))</f>
        <v/>
      </c>
      <c r="I983" s="37">
        <f>IF($A983="","",IFERROR(MAX(0,$H983-$G983*kik_sifirCarpan),0))</f>
        <v/>
      </c>
    </row>
    <row r="984">
      <c r="A984" s="36" t="n"/>
      <c r="B984" s="36" t="n"/>
      <c r="C984" s="36" t="n"/>
      <c r="D984" s="36" t="n"/>
      <c r="E984" s="36" t="n"/>
      <c r="F984" s="36" t="n"/>
      <c r="G984" s="36" t="n"/>
      <c r="H984" s="37">
        <f>IF($A984="","",IFERROR(ROUND(MAX(0,$B984*INDEX(tblKurallar[deger_2025],MATCH("KIK-001",tblKurallar[kural_id],0))-($C984+$D984+$E984+$F984)),kik_yuvarMax),0))</f>
        <v/>
      </c>
      <c r="I984" s="37">
        <f>IF($A984="","",IFERROR(MAX(0,$H984-$G984*kik_sifirCarpan),0))</f>
        <v/>
      </c>
    </row>
    <row r="985">
      <c r="A985" s="36" t="n"/>
      <c r="B985" s="36" t="n"/>
      <c r="C985" s="36" t="n"/>
      <c r="D985" s="36" t="n"/>
      <c r="E985" s="36" t="n"/>
      <c r="F985" s="36" t="n"/>
      <c r="G985" s="36" t="n"/>
      <c r="H985" s="37">
        <f>IF($A985="","",IFERROR(ROUND(MAX(0,$B985*INDEX(tblKurallar[deger_2025],MATCH("KIK-001",tblKurallar[kural_id],0))-($C985+$D985+$E985+$F985)),kik_yuvarMax),0))</f>
        <v/>
      </c>
      <c r="I985" s="37">
        <f>IF($A985="","",IFERROR(MAX(0,$H985-$G985*kik_sifirCarpan),0))</f>
        <v/>
      </c>
    </row>
    <row r="986">
      <c r="A986" s="36" t="n"/>
      <c r="B986" s="36" t="n"/>
      <c r="C986" s="36" t="n"/>
      <c r="D986" s="36" t="n"/>
      <c r="E986" s="36" t="n"/>
      <c r="F986" s="36" t="n"/>
      <c r="G986" s="36" t="n"/>
      <c r="H986" s="37">
        <f>IF($A986="","",IFERROR(ROUND(MAX(0,$B986*INDEX(tblKurallar[deger_2025],MATCH("KIK-001",tblKurallar[kural_id],0))-($C986+$D986+$E986+$F986)),kik_yuvarMax),0))</f>
        <v/>
      </c>
      <c r="I986" s="37">
        <f>IF($A986="","",IFERROR(MAX(0,$H986-$G986*kik_sifirCarpan),0))</f>
        <v/>
      </c>
    </row>
    <row r="987">
      <c r="A987" s="36" t="n"/>
      <c r="B987" s="36" t="n"/>
      <c r="C987" s="36" t="n"/>
      <c r="D987" s="36" t="n"/>
      <c r="E987" s="36" t="n"/>
      <c r="F987" s="36" t="n"/>
      <c r="G987" s="36" t="n"/>
      <c r="H987" s="37">
        <f>IF($A987="","",IFERROR(ROUND(MAX(0,$B987*INDEX(tblKurallar[deger_2025],MATCH("KIK-001",tblKurallar[kural_id],0))-($C987+$D987+$E987+$F987)),kik_yuvarMax),0))</f>
        <v/>
      </c>
      <c r="I987" s="37">
        <f>IF($A987="","",IFERROR(MAX(0,$H987-$G987*kik_sifirCarpan),0))</f>
        <v/>
      </c>
    </row>
    <row r="988">
      <c r="A988" s="36" t="n"/>
      <c r="B988" s="36" t="n"/>
      <c r="C988" s="36" t="n"/>
      <c r="D988" s="36" t="n"/>
      <c r="E988" s="36" t="n"/>
      <c r="F988" s="36" t="n"/>
      <c r="G988" s="36" t="n"/>
      <c r="H988" s="37">
        <f>IF($A988="","",IFERROR(ROUND(MAX(0,$B988*INDEX(tblKurallar[deger_2025],MATCH("KIK-001",tblKurallar[kural_id],0))-($C988+$D988+$E988+$F988)),kik_yuvarMax),0))</f>
        <v/>
      </c>
      <c r="I988" s="37">
        <f>IF($A988="","",IFERROR(MAX(0,$H988-$G988*kik_sifirCarpan),0))</f>
        <v/>
      </c>
    </row>
    <row r="989">
      <c r="A989" s="36" t="n"/>
      <c r="B989" s="36" t="n"/>
      <c r="C989" s="36" t="n"/>
      <c r="D989" s="36" t="n"/>
      <c r="E989" s="36" t="n"/>
      <c r="F989" s="36" t="n"/>
      <c r="G989" s="36" t="n"/>
      <c r="H989" s="37">
        <f>IF($A989="","",IFERROR(ROUND(MAX(0,$B989*INDEX(tblKurallar[deger_2025],MATCH("KIK-001",tblKurallar[kural_id],0))-($C989+$D989+$E989+$F989)),kik_yuvarMax),0))</f>
        <v/>
      </c>
      <c r="I989" s="37">
        <f>IF($A989="","",IFERROR(MAX(0,$H989-$G989*kik_sifirCarpan),0))</f>
        <v/>
      </c>
    </row>
    <row r="990">
      <c r="A990" s="36" t="n"/>
      <c r="B990" s="36" t="n"/>
      <c r="C990" s="36" t="n"/>
      <c r="D990" s="36" t="n"/>
      <c r="E990" s="36" t="n"/>
      <c r="F990" s="36" t="n"/>
      <c r="G990" s="36" t="n"/>
      <c r="H990" s="37">
        <f>IF($A990="","",IFERROR(ROUND(MAX(0,$B990*INDEX(tblKurallar[deger_2025],MATCH("KIK-001",tblKurallar[kural_id],0))-($C990+$D990+$E990+$F990)),kik_yuvarMax),0))</f>
        <v/>
      </c>
      <c r="I990" s="37">
        <f>IF($A990="","",IFERROR(MAX(0,$H990-$G990*kik_sifirCarpan),0))</f>
        <v/>
      </c>
    </row>
    <row r="991">
      <c r="A991" s="36" t="n"/>
      <c r="B991" s="36" t="n"/>
      <c r="C991" s="36" t="n"/>
      <c r="D991" s="36" t="n"/>
      <c r="E991" s="36" t="n"/>
      <c r="F991" s="36" t="n"/>
      <c r="G991" s="36" t="n"/>
      <c r="H991" s="37">
        <f>IF($A991="","",IFERROR(ROUND(MAX(0,$B991*INDEX(tblKurallar[deger_2025],MATCH("KIK-001",tblKurallar[kural_id],0))-($C991+$D991+$E991+$F991)),kik_yuvarMax),0))</f>
        <v/>
      </c>
      <c r="I991" s="37">
        <f>IF($A991="","",IFERROR(MAX(0,$H991-$G991*kik_sifirCarpan),0))</f>
        <v/>
      </c>
    </row>
    <row r="992">
      <c r="A992" s="36" t="n"/>
      <c r="B992" s="36" t="n"/>
      <c r="C992" s="36" t="n"/>
      <c r="D992" s="36" t="n"/>
      <c r="E992" s="36" t="n"/>
      <c r="F992" s="36" t="n"/>
      <c r="G992" s="36" t="n"/>
      <c r="H992" s="37">
        <f>IF($A992="","",IFERROR(ROUND(MAX(0,$B992*INDEX(tblKurallar[deger_2025],MATCH("KIK-001",tblKurallar[kural_id],0))-($C992+$D992+$E992+$F992)),kik_yuvarMax),0))</f>
        <v/>
      </c>
      <c r="I992" s="37">
        <f>IF($A992="","",IFERROR(MAX(0,$H992-$G992*kik_sifirCarpan),0))</f>
        <v/>
      </c>
    </row>
    <row r="993">
      <c r="A993" s="36" t="n"/>
      <c r="B993" s="36" t="n"/>
      <c r="C993" s="36" t="n"/>
      <c r="D993" s="36" t="n"/>
      <c r="E993" s="36" t="n"/>
      <c r="F993" s="36" t="n"/>
      <c r="G993" s="36" t="n"/>
      <c r="H993" s="37">
        <f>IF($A993="","",IFERROR(ROUND(MAX(0,$B993*INDEX(tblKurallar[deger_2025],MATCH("KIK-001",tblKurallar[kural_id],0))-($C993+$D993+$E993+$F993)),kik_yuvarMax),0))</f>
        <v/>
      </c>
      <c r="I993" s="37">
        <f>IF($A993="","",IFERROR(MAX(0,$H993-$G993*kik_sifirCarpan),0))</f>
        <v/>
      </c>
    </row>
    <row r="994">
      <c r="A994" s="36" t="n"/>
      <c r="B994" s="36" t="n"/>
      <c r="C994" s="36" t="n"/>
      <c r="D994" s="36" t="n"/>
      <c r="E994" s="36" t="n"/>
      <c r="F994" s="36" t="n"/>
      <c r="G994" s="36" t="n"/>
      <c r="H994" s="37">
        <f>IF($A994="","",IFERROR(ROUND(MAX(0,$B994*INDEX(tblKurallar[deger_2025],MATCH("KIK-001",tblKurallar[kural_id],0))-($C994+$D994+$E994+$F994)),kik_yuvarMax),0))</f>
        <v/>
      </c>
      <c r="I994" s="37">
        <f>IF($A994="","",IFERROR(MAX(0,$H994-$G994*kik_sifirCarpan),0))</f>
        <v/>
      </c>
    </row>
    <row r="995">
      <c r="A995" s="36" t="n"/>
      <c r="B995" s="36" t="n"/>
      <c r="C995" s="36" t="n"/>
      <c r="D995" s="36" t="n"/>
      <c r="E995" s="36" t="n"/>
      <c r="F995" s="36" t="n"/>
      <c r="G995" s="36" t="n"/>
      <c r="H995" s="37">
        <f>IF($A995="","",IFERROR(ROUND(MAX(0,$B995*INDEX(tblKurallar[deger_2025],MATCH("KIK-001",tblKurallar[kural_id],0))-($C995+$D995+$E995+$F995)),kik_yuvarMax),0))</f>
        <v/>
      </c>
      <c r="I995" s="37">
        <f>IF($A995="","",IFERROR(MAX(0,$H995-$G995*kik_sifirCarpan),0))</f>
        <v/>
      </c>
    </row>
    <row r="996">
      <c r="A996" s="36" t="n"/>
      <c r="B996" s="36" t="n"/>
      <c r="C996" s="36" t="n"/>
      <c r="D996" s="36" t="n"/>
      <c r="E996" s="36" t="n"/>
      <c r="F996" s="36" t="n"/>
      <c r="G996" s="36" t="n"/>
      <c r="H996" s="37">
        <f>IF($A996="","",IFERROR(ROUND(MAX(0,$B996*INDEX(tblKurallar[deger_2025],MATCH("KIK-001",tblKurallar[kural_id],0))-($C996+$D996+$E996+$F996)),kik_yuvarMax),0))</f>
        <v/>
      </c>
      <c r="I996" s="37">
        <f>IF($A996="","",IFERROR(MAX(0,$H996-$G996*kik_sifirCarpan),0))</f>
        <v/>
      </c>
    </row>
    <row r="997">
      <c r="A997" s="36" t="n"/>
      <c r="B997" s="36" t="n"/>
      <c r="C997" s="36" t="n"/>
      <c r="D997" s="36" t="n"/>
      <c r="E997" s="36" t="n"/>
      <c r="F997" s="36" t="n"/>
      <c r="G997" s="36" t="n"/>
      <c r="H997" s="37">
        <f>IF($A997="","",IFERROR(ROUND(MAX(0,$B997*INDEX(tblKurallar[deger_2025],MATCH("KIK-001",tblKurallar[kural_id],0))-($C997+$D997+$E997+$F997)),kik_yuvarMax),0))</f>
        <v/>
      </c>
      <c r="I997" s="37">
        <f>IF($A997="","",IFERROR(MAX(0,$H997-$G997*kik_sifirCarpan),0))</f>
        <v/>
      </c>
    </row>
    <row r="998">
      <c r="A998" s="36" t="n"/>
      <c r="B998" s="36" t="n"/>
      <c r="C998" s="36" t="n"/>
      <c r="D998" s="36" t="n"/>
      <c r="E998" s="36" t="n"/>
      <c r="F998" s="36" t="n"/>
      <c r="G998" s="36" t="n"/>
      <c r="H998" s="37">
        <f>IF($A998="","",IFERROR(ROUND(MAX(0,$B998*INDEX(tblKurallar[deger_2025],MATCH("KIK-001",tblKurallar[kural_id],0))-($C998+$D998+$E998+$F998)),kik_yuvarMax),0))</f>
        <v/>
      </c>
      <c r="I998" s="37">
        <f>IF($A998="","",IFERROR(MAX(0,$H998-$G998*kik_sifirCarpan),0))</f>
        <v/>
      </c>
    </row>
    <row r="999">
      <c r="A999" s="36" t="n"/>
      <c r="B999" s="36" t="n"/>
      <c r="C999" s="36" t="n"/>
      <c r="D999" s="36" t="n"/>
      <c r="E999" s="36" t="n"/>
      <c r="F999" s="36" t="n"/>
      <c r="G999" s="36" t="n"/>
      <c r="H999" s="37">
        <f>IF($A999="","",IFERROR(ROUND(MAX(0,$B999*INDEX(tblKurallar[deger_2025],MATCH("KIK-001",tblKurallar[kural_id],0))-($C999+$D999+$E999+$F999)),kik_yuvarMax),0))</f>
        <v/>
      </c>
      <c r="I999" s="37">
        <f>IF($A999="","",IFERROR(MAX(0,$H999-$G999*kik_sifirCarpan),0))</f>
        <v/>
      </c>
    </row>
    <row r="1000">
      <c r="A1000" s="36" t="n"/>
      <c r="B1000" s="36" t="n"/>
      <c r="C1000" s="36" t="n"/>
      <c r="D1000" s="36" t="n"/>
      <c r="E1000" s="36" t="n"/>
      <c r="F1000" s="36" t="n"/>
      <c r="G1000" s="36" t="n"/>
      <c r="H1000" s="37">
        <f>IF($A1000="","",IFERROR(ROUND(MAX(0,$B1000*INDEX(tblKurallar[deger_2025],MATCH("KIK-001",tblKurallar[kural_id],0))-($C1000+$D1000+$E1000+$F1000)),kik_yuvarMax),0))</f>
        <v/>
      </c>
      <c r="I1000" s="37">
        <f>IF($A1000="","",IFERROR(MAX(0,$H1000-$G1000*kik_sifirCarpan),0))</f>
        <v/>
      </c>
    </row>
    <row r="1001">
      <c r="A1001" s="36" t="n"/>
      <c r="B1001" s="36" t="n"/>
      <c r="C1001" s="36" t="n"/>
      <c r="D1001" s="36" t="n"/>
      <c r="E1001" s="36" t="n"/>
      <c r="F1001" s="36" t="n"/>
      <c r="G1001" s="36" t="n"/>
      <c r="H1001" s="37">
        <f>IF($A1001="","",IFERROR(ROUND(MAX(0,$B1001*INDEX(tblKurallar[deger_2025],MATCH("KIK-001",tblKurallar[kural_id],0))-($C1001+$D1001+$E1001+$F1001)),kik_yuvarMax),0))</f>
        <v/>
      </c>
      <c r="I1001" s="37">
        <f>IF($A1001="","",IFERROR(MAX(0,$H1001-$G1001*kik_sifirCarpan),0))</f>
        <v/>
      </c>
    </row>
    <row r="1002">
      <c r="A1002" s="36" t="n"/>
      <c r="B1002" s="36" t="n"/>
      <c r="C1002" s="36" t="n"/>
      <c r="D1002" s="36" t="n"/>
      <c r="E1002" s="36" t="n"/>
      <c r="F1002" s="36" t="n"/>
      <c r="G1002" s="36" t="n"/>
      <c r="H1002" s="37">
        <f>IF($A1002="","",IFERROR(ROUND(MAX(0,$B1002*INDEX(tblKurallar[deger_2025],MATCH("KIK-001",tblKurallar[kural_id],0))-($C1002+$D1002+$E1002+$F1002)),kik_yuvarMax),0))</f>
        <v/>
      </c>
      <c r="I1002" s="37">
        <f>IF($A1002="","",IFERROR(MAX(0,$H1002-$G1002*kik_sifirCarpan),0))</f>
        <v/>
      </c>
    </row>
    <row r="1003">
      <c r="A1003" s="36" t="n"/>
      <c r="B1003" s="36" t="n"/>
      <c r="C1003" s="36" t="n"/>
      <c r="D1003" s="36" t="n"/>
      <c r="E1003" s="36" t="n"/>
      <c r="F1003" s="36" t="n"/>
      <c r="G1003" s="36" t="n"/>
      <c r="H1003" s="37">
        <f>IF($A1003="","",IFERROR(ROUND(MAX(0,$B1003*INDEX(tblKurallar[deger_2025],MATCH("KIK-001",tblKurallar[kural_id],0))-($C1003+$D1003+$E1003+$F1003)),kik_yuvarMax),0))</f>
        <v/>
      </c>
      <c r="I1003" s="37">
        <f>IF($A1003="","",IFERROR(MAX(0,$H1003-$G1003*kik_sifirCarpan),0))</f>
        <v/>
      </c>
    </row>
    <row r="1004">
      <c r="A1004" s="36" t="n"/>
      <c r="B1004" s="36" t="n"/>
      <c r="C1004" s="36" t="n"/>
      <c r="D1004" s="36" t="n"/>
      <c r="E1004" s="36" t="n"/>
      <c r="F1004" s="36" t="n"/>
      <c r="G1004" s="36" t="n"/>
      <c r="H1004" s="37">
        <f>IF($A1004="","",IFERROR(ROUND(MAX(0,$B1004*INDEX(tblKurallar[deger_2025],MATCH("KIK-001",tblKurallar[kural_id],0))-($C1004+$D1004+$E1004+$F1004)),kik_yuvarMax),0))</f>
        <v/>
      </c>
      <c r="I1004" s="37">
        <f>IF($A1004="","",IFERROR(MAX(0,$H1004-$G1004*kik_sifirCarpan),0))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B6:B20">
    <cfRule type="cellIs" priority="1" operator="lessThan" dxfId="3">
      <formula>0</formula>
    </cfRule>
  </conditionalFormatting>
  <conditionalFormatting sqref="C6:C20">
    <cfRule type="cellIs" priority="2" operator="lessThan" dxfId="3">
      <formula>0</formula>
    </cfRule>
  </conditionalFormatting>
  <conditionalFormatting sqref="D6:D20">
    <cfRule type="cellIs" priority="3" operator="lessThan" dxfId="3">
      <formula>0</formula>
    </cfRule>
  </conditionalFormatting>
  <conditionalFormatting sqref="E6:E20">
    <cfRule type="cellIs" priority="4" operator="lessThan" dxfId="3">
      <formula>0</formula>
    </cfRule>
  </conditionalFormatting>
  <conditionalFormatting sqref="F6:F20">
    <cfRule type="cellIs" priority="5" operator="lessThan" dxfId="3">
      <formula>0</formula>
    </cfRule>
  </conditionalFormatting>
  <conditionalFormatting sqref="G6:G20">
    <cfRule type="cellIs" priority="6" operator="lessThan" dxfId="3">
      <formula>0</formula>
    </cfRule>
  </conditionalFormatting>
  <conditionalFormatting sqref="H6:H20">
    <cfRule type="cellIs" priority="7" operator="lessThan" dxfId="3">
      <formula>0</formula>
    </cfRule>
  </conditionalFormatting>
  <conditionalFormatting sqref="I6:I20">
    <cfRule type="cellIs" priority="8" operator="lessThan" dxfId="3">
      <formula>0</formula>
    </cfRule>
    <cfRule type="cellIs" priority="9" operator="greaterThan" dxfId="5">
      <formula>0</formula>
    </cfRule>
  </conditionalFormatting>
  <dataValidations count="6">
    <dataValidation sqref="B6:B1004" showDropDown="0" showInputMessage="1" showErrorMessage="1" allowBlank="1" errorTitle="Geçersiz" error="0 ile 1e12 arasında." promptTitle="Brüt" prompt="Brüt tutarını TL girin." type="decimal" errorStyle="stop" operator="between">
      <formula1>0</formula1>
      <formula2>1000000000000</formula2>
    </dataValidation>
    <dataValidation sqref="C6:C1004" showDropDown="0" showInputMessage="1" showErrorMessage="1" allowBlank="1" errorTitle="Geçersiz" error="0 ile 1e12 arasında." promptTitle="İşçilik" prompt="İşçilik tutarını TL girin." type="decimal" errorStyle="stop" operator="between">
      <formula1>0</formula1>
      <formula2>1000000000000</formula2>
    </dataValidation>
    <dataValidation sqref="D6:D1004" showDropDown="0" showInputMessage="1" showErrorMessage="1" allowBlank="1" errorTitle="Geçersiz" error="0 ile 1e12 arasında." promptTitle="Malzeme" prompt="Malzeme tutarını TL girin." type="decimal" errorStyle="stop" operator="between">
      <formula1>0</formula1>
      <formula2>1000000000000</formula2>
    </dataValidation>
    <dataValidation sqref="E6:E1004" showDropDown="0" showInputMessage="1" showErrorMessage="1" allowBlank="1" errorTitle="Geçersiz" error="0 ile 1e12 arasında." promptTitle="Genel Gider" prompt="Genel Gider tutarını TL girin." type="decimal" errorStyle="stop" operator="between">
      <formula1>0</formula1>
      <formula2>1000000000000</formula2>
    </dataValidation>
    <dataValidation sqref="F6:F1004" showDropDown="0" showInputMessage="1" showErrorMessage="1" allowBlank="1" errorTitle="Geçersiz" error="0 ile 1e12 arasında." promptTitle="Kâr" prompt="Kâr tutarını TL girin." type="decimal" errorStyle="stop" operator="between">
      <formula1>0</formula1>
      <formula2>1000000000000</formula2>
    </dataValidation>
    <dataValidation sqref="G6:G1004" showDropDown="0" showInputMessage="1" showErrorMessage="1" allowBlank="1" errorTitle="Geçersiz" error="0 ile 1e12 arasında." promptTitle="Dayanak" prompt="Dayanak tutarını TL girin." type="decimal" errorStyle="stop" operator="between">
      <formula1>0</formula1>
      <formula2>1000000000000</formula2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tabColor rgb="00595959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.5" customWidth="1" min="3" max="3"/>
    <col width="13" customWidth="1" min="4" max="4"/>
    <col width="14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LISTELER — KİK Aşırı Düşük Savunma + Sınır Değer Paketi</t>
        </is>
      </c>
    </row>
    <row r="3" ht="22" customHeight="1">
      <c r="A3" s="224" t="inlineStr">
        <is>
          <t>Doğrulama listeleri</t>
        </is>
      </c>
    </row>
    <row r="5">
      <c r="A5" s="50" t="inlineStr">
        <is>
          <t>Yıllar</t>
        </is>
      </c>
      <c r="C5" s="50" t="inlineStr">
        <is>
          <t>Yorum A/B</t>
        </is>
      </c>
      <c r="E5" s="50" t="inlineStr">
        <is>
          <t>Evet/Hayır</t>
        </is>
      </c>
    </row>
    <row r="6">
      <c r="A6" s="61" t="n">
        <v>2025</v>
      </c>
      <c r="C6" s="59" t="inlineStr">
        <is>
          <t>A</t>
        </is>
      </c>
      <c r="E6" s="59" t="inlineStr">
        <is>
          <t>Evet</t>
        </is>
      </c>
    </row>
    <row r="7">
      <c r="A7" s="61" t="n">
        <v>2026</v>
      </c>
      <c r="C7" s="59" t="inlineStr">
        <is>
          <t>B</t>
        </is>
      </c>
      <c r="E7" s="59" t="inlineStr">
        <is>
          <t>Hayır</t>
        </is>
      </c>
    </row>
    <row r="8">
      <c r="A8" s="61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4.5" customWidth="1" min="2" max="2"/>
    <col width="10.5" customWidth="1" min="3" max="3"/>
    <col width="39.5" customWidth="1" min="4" max="4"/>
    <col width="22" customWidth="1" min="5" max="5"/>
    <col width="19.5" customWidth="1" min="6" max="6"/>
    <col width="20.5" customWidth="1" min="7" max="7"/>
    <col width="12" customWidth="1" min="8" max="8"/>
    <col width="13" customWidth="1" min="9" max="9"/>
  </cols>
  <sheetData>
    <row r="1" ht="32" customHeight="1">
      <c r="A1" s="204" t="inlineStr">
        <is>
          <t>AYARLAR — KİK Aşırı Düşük Savunma + Sınır Değer Paketi</t>
        </is>
      </c>
    </row>
    <row r="3" ht="22" customHeight="1">
      <c r="A3" s="224" t="inlineStr">
        <is>
          <t>Parametreler (tek kaynak)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4" t="n">
        <v>2025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2">
        <f>IF(A6="","",IF(B6="","EKSİK","TAM"))</f>
        <v/>
      </c>
    </row>
    <row r="7">
      <c r="A7" s="7" t="inlineStr">
        <is>
          <t>raporTarihi</t>
        </is>
      </c>
      <c r="B7" s="63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2">
        <f>IF(A7="","",IF(B7="","EKSİK","TAM"))</f>
        <v/>
      </c>
    </row>
    <row r="8">
      <c r="A8" s="7" t="inlineStr">
        <is>
          <t>kik_tolerans</t>
        </is>
      </c>
      <c r="B8" s="64" t="n">
        <v>0.01</v>
      </c>
      <c r="C8" s="7" t="inlineStr">
        <is>
          <t>TL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2">
        <f>IF(A8="","",IF(B8="","EKSİK","TAM"))</f>
        <v/>
      </c>
    </row>
    <row r="9">
      <c r="A9" s="7" t="inlineStr">
        <is>
          <t>kik_kacirilanEsik</t>
        </is>
      </c>
      <c r="B9" s="64" t="n">
        <v>15000</v>
      </c>
      <c r="C9" s="7" t="inlineStr">
        <is>
          <t>TL</t>
        </is>
      </c>
      <c r="D9" s="7" t="inlineStr">
        <is>
          <t>PANO kaçırılan uyarı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2">
        <f>IF(A9="","",IF(B9="","EKSİK","TAM"))</f>
        <v/>
      </c>
    </row>
    <row r="10">
      <c r="A10" s="7" t="inlineStr">
        <is>
          <t>kik_senaryoIyi</t>
        </is>
      </c>
      <c r="B10" s="43" t="n">
        <v>0.9</v>
      </c>
      <c r="C10" s="7" t="inlineStr">
        <is>
          <t>çarpan</t>
        </is>
      </c>
      <c r="D10" s="7" t="inlineStr">
        <is>
          <t>İyimser matrah çarpanı</t>
        </is>
      </c>
      <c r="E10" s="7" t="inlineStr">
        <is>
          <t>Model varsayımı</t>
        </is>
      </c>
      <c r="F10" s="7" t="inlineStr">
        <is>
          <t>01.01.2025</t>
        </is>
      </c>
      <c r="G10" s="7" t="inlineStr">
        <is>
          <t>11.08.2026</t>
        </is>
      </c>
      <c r="H10" s="62">
        <f>IF(A10="","",IF(B10="","EKSİK","TAM"))</f>
        <v/>
      </c>
    </row>
    <row r="11">
      <c r="A11" s="7" t="inlineStr">
        <is>
          <t>kik_senaryoKotu</t>
        </is>
      </c>
      <c r="B11" s="43" t="n">
        <v>1.1</v>
      </c>
      <c r="C11" s="7" t="inlineStr">
        <is>
          <t>çarpan</t>
        </is>
      </c>
      <c r="D11" s="7" t="inlineStr">
        <is>
          <t>Kötümser matrah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2">
        <f>IF(A11="","",IF(B11="","EKSİK","TAM"))</f>
        <v/>
      </c>
    </row>
    <row r="12">
      <c r="A12" s="7" t="inlineStr">
        <is>
          <t>kik_oranArtisPuan</t>
        </is>
      </c>
      <c r="B12" s="43" t="n">
        <v>0.01</v>
      </c>
      <c r="C12" s="7" t="inlineStr">
        <is>
          <t>oran</t>
        </is>
      </c>
      <c r="D12" s="7" t="inlineStr">
        <is>
          <t>M-SEN +1 puan</t>
        </is>
      </c>
      <c r="E12" s="7" t="inlineStr">
        <is>
          <t>Senaryo motoru</t>
        </is>
      </c>
      <c r="F12" s="7" t="inlineStr">
        <is>
          <t>01.01.2025</t>
        </is>
      </c>
      <c r="G12" s="7" t="inlineStr">
        <is>
          <t>11.08.2026</t>
        </is>
      </c>
      <c r="H12" s="62">
        <f>IF(A12="","",IF(B12="","EKSİK","TAM"))</f>
        <v/>
      </c>
    </row>
    <row r="13">
      <c r="A13" s="7" t="inlineStr">
        <is>
          <t>kik_tahminAlt</t>
        </is>
      </c>
      <c r="B13" s="43" t="n">
        <v>0.85</v>
      </c>
      <c r="C13" s="7" t="inlineStr">
        <is>
          <t>çarpan</t>
        </is>
      </c>
      <c r="D13" s="7" t="inlineStr">
        <is>
          <t>Tahmin alt bant</t>
        </is>
      </c>
      <c r="E13" s="7" t="inlineStr">
        <is>
          <t>Model varsayımı</t>
        </is>
      </c>
      <c r="F13" s="7" t="inlineStr">
        <is>
          <t>01.01.2025</t>
        </is>
      </c>
      <c r="G13" s="7" t="inlineStr">
        <is>
          <t>11.08.2026</t>
        </is>
      </c>
      <c r="H13" s="62">
        <f>IF(A13="","",IF(B13="","EKSİK","TAM"))</f>
        <v/>
      </c>
    </row>
    <row r="14">
      <c r="A14" s="7" t="inlineStr">
        <is>
          <t>kik_tahminUst</t>
        </is>
      </c>
      <c r="B14" s="43" t="n">
        <v>1.15</v>
      </c>
      <c r="C14" s="7" t="inlineStr">
        <is>
          <t>çarpan</t>
        </is>
      </c>
      <c r="D14" s="7" t="inlineStr">
        <is>
          <t>Tahmin üst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2">
        <f>IF(A14="","",IF(B14="","EKSİK","TAM"))</f>
        <v/>
      </c>
    </row>
    <row r="15">
      <c r="A15" s="7" t="inlineStr">
        <is>
          <t>kik_tornadoMatrah</t>
        </is>
      </c>
      <c r="B15" s="43" t="n">
        <v>1.05</v>
      </c>
      <c r="C15" s="7" t="inlineStr">
        <is>
          <t>çarpan</t>
        </is>
      </c>
      <c r="D15" s="7" t="inlineStr">
        <is>
          <t>Tornado matrah şoku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2">
        <f>IF(A15="","",IF(B15="","EKSİK","TAM"))</f>
        <v/>
      </c>
    </row>
    <row r="16">
      <c r="A16" s="7" t="inlineStr">
        <is>
          <t>kik_tornadoMevcut</t>
        </is>
      </c>
      <c r="B16" s="43" t="n">
        <v>0.95</v>
      </c>
      <c r="C16" s="7" t="inlineStr">
        <is>
          <t>çarpan</t>
        </is>
      </c>
      <c r="D16" s="7" t="inlineStr">
        <is>
          <t>Tornado mevcut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2">
        <f>IF(A16="","",IF(B16="","EKSİK","TAM"))</f>
        <v/>
      </c>
    </row>
    <row r="17">
      <c r="A17" s="7" t="inlineStr">
        <is>
          <t>kik_isverenOran</t>
        </is>
      </c>
      <c r="B17" s="43" t="n">
        <v>0.205</v>
      </c>
      <c r="C17" s="7" t="inlineStr">
        <is>
          <t>oran</t>
        </is>
      </c>
      <c r="D17" s="7" t="inlineStr">
        <is>
          <t>N sıkılaştırma yedek katsayısı</t>
        </is>
      </c>
      <c r="E17" s="7" t="inlineStr">
        <is>
          <t>KİK model</t>
        </is>
      </c>
      <c r="F17" s="7" t="inlineStr">
        <is>
          <t>01.01.2025</t>
        </is>
      </c>
      <c r="G17" s="7" t="inlineStr">
        <is>
          <t>11.08.2026</t>
        </is>
      </c>
      <c r="H17" s="62">
        <f>IF(A17="","",IF(B17="","EKSİK","TAM"))</f>
        <v/>
      </c>
    </row>
    <row r="18">
      <c r="A18" s="7" t="inlineStr">
        <is>
          <t>kik_yuzdelikOran</t>
        </is>
      </c>
      <c r="B18" s="43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62">
        <f>IF(A18="","",IF(B18="","EKSİK","TAM"))</f>
        <v/>
      </c>
    </row>
    <row r="19">
      <c r="A19" s="7" t="inlineStr">
        <is>
          <t>kik_parmakIzi</t>
        </is>
      </c>
      <c r="B19" s="65" t="inlineStr">
        <is>
          <t>88ba072d3e703699</t>
        </is>
      </c>
      <c r="C19" s="7" t="inlineStr">
        <is>
          <t>metin</t>
        </is>
      </c>
      <c r="D19" s="7" t="inlineStr">
        <is>
          <t>Dosya parmak izi etiketi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62">
        <f>IF(A19="","",IF(B19="","EKSİK","TAM"))</f>
        <v/>
      </c>
    </row>
    <row r="20">
      <c r="A20" s="7" t="inlineStr">
        <is>
          <t>dosya_surumu</t>
        </is>
      </c>
      <c r="B20" s="65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62">
        <f>IF(A20="","",IF(B20="","EKSİK","TAM"))</f>
        <v/>
      </c>
    </row>
    <row r="21">
      <c r="A21" s="7" t="inlineStr">
        <is>
          <t>kik_girisBeklenen</t>
        </is>
      </c>
      <c r="B21" s="44" t="n">
        <v>11</v>
      </c>
      <c r="C21" s="7" t="inlineStr">
        <is>
          <t>adet</t>
        </is>
      </c>
      <c r="D21" s="7" t="inlineStr">
        <is>
          <t>Zorunlu giriş alanı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62">
        <f>IF(A21="","",IF(B21="","EKSİK","TAM"))</f>
        <v/>
      </c>
    </row>
    <row r="22">
      <c r="A22" s="7" t="inlineStr">
        <is>
          <t>kik_riskDusuk</t>
        </is>
      </c>
      <c r="B22" s="44" t="n">
        <v>15</v>
      </c>
      <c r="C22" s="7" t="inlineStr">
        <is>
          <t>puan</t>
        </is>
      </c>
      <c r="D22" s="7" t="inlineStr">
        <is>
          <t>Düşük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62">
        <f>IF(A22="","",IF(B22="","EKSİK","TAM"))</f>
        <v/>
      </c>
    </row>
    <row r="23">
      <c r="A23" s="7" t="inlineStr">
        <is>
          <t>kik_riskOrta</t>
        </is>
      </c>
      <c r="B23" s="44" t="n">
        <v>55</v>
      </c>
      <c r="C23" s="7" t="inlineStr">
        <is>
          <t>puan</t>
        </is>
      </c>
      <c r="D23" s="7" t="inlineStr">
        <is>
          <t>Orta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62">
        <f>IF(A23="","",IF(B23="","EKSİK","TAM"))</f>
        <v/>
      </c>
    </row>
    <row r="24">
      <c r="A24" s="7" t="inlineStr">
        <is>
          <t>kik_riskYuksek</t>
        </is>
      </c>
      <c r="B24" s="44" t="n">
        <v>85</v>
      </c>
      <c r="C24" s="7" t="inlineStr">
        <is>
          <t>puan</t>
        </is>
      </c>
      <c r="D24" s="7" t="inlineStr">
        <is>
          <t>Yüksek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2">
        <f>IF(A24="","",IF(B24="","EKSİK","TAM"))</f>
        <v/>
      </c>
    </row>
    <row r="25">
      <c r="A25" s="7" t="inlineStr">
        <is>
          <t>kik_riskEsikOran</t>
        </is>
      </c>
      <c r="B25" s="43" t="n">
        <v>0.5</v>
      </c>
      <c r="C25" s="7" t="inlineStr">
        <is>
          <t>oran</t>
        </is>
      </c>
      <c r="D25" s="7" t="inlineStr">
        <is>
          <t>Yüksek risk kaçırılan/potansiyel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2">
        <f>IF(A25="","",IF(B25="","EKSİK","TAM"))</f>
        <v/>
      </c>
    </row>
    <row r="26">
      <c r="A26" s="7" t="inlineStr">
        <is>
          <t>kik_yilTaban</t>
        </is>
      </c>
      <c r="B26" s="44" t="n">
        <v>2024</v>
      </c>
      <c r="C26" s="7" t="inlineStr">
        <is>
          <t>yıl</t>
        </is>
      </c>
      <c r="D26" s="7" t="inlineStr">
        <is>
          <t>CHOOSE yıl tabanı (hesapYili−taban)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62">
        <f>IF(A26="","",IF(B26="","EKSİK","TAM"))</f>
        <v/>
      </c>
    </row>
    <row r="27">
      <c r="A27" s="7" t="inlineStr">
        <is>
          <t>kik_yuvarMax</t>
        </is>
      </c>
      <c r="B27" s="44" t="n">
        <v>10</v>
      </c>
      <c r="C27" s="7" t="inlineStr">
        <is>
          <t>adet</t>
        </is>
      </c>
      <c r="D27" s="7" t="inlineStr">
        <is>
          <t>ROUND basamak tavanı</t>
        </is>
      </c>
      <c r="E27" s="7" t="inlineStr">
        <is>
          <t>Ürün mimarisi</t>
        </is>
      </c>
      <c r="F27" s="7" t="inlineStr">
        <is>
          <t>01.01.2025</t>
        </is>
      </c>
      <c r="G27" s="7" t="inlineStr">
        <is>
          <t>11.08.2026</t>
        </is>
      </c>
      <c r="H27" s="62">
        <f>IF(A27="","",IF(B27="","EKSİK","TAM"))</f>
        <v/>
      </c>
    </row>
    <row r="28">
      <c r="A28" s="7" t="inlineStr">
        <is>
          <t>kik_dayanakCarpan</t>
        </is>
      </c>
      <c r="B28" s="44" t="n">
        <v>10</v>
      </c>
      <c r="C28" s="7" t="inlineStr">
        <is>
          <t>adet</t>
        </is>
      </c>
      <c r="D28" s="7" t="inlineStr">
        <is>
          <t>Dayanak skoru çarpanı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2">
        <f>IF(A28="","",IF(B28="","EKSİK","TAM"))</f>
        <v/>
      </c>
    </row>
    <row r="29">
      <c r="A29" s="7" t="inlineStr">
        <is>
          <t>kik_bazCarpan</t>
        </is>
      </c>
      <c r="B29" s="43" t="n">
        <v>1</v>
      </c>
      <c r="C29" s="7" t="inlineStr">
        <is>
          <t>çarpan</t>
        </is>
      </c>
      <c r="D29" s="7" t="inlineStr">
        <is>
          <t>Baz senaryo çarpanı</t>
        </is>
      </c>
      <c r="E29" s="7" t="inlineStr">
        <is>
          <t>Model varsayımı</t>
        </is>
      </c>
      <c r="F29" s="7" t="inlineStr">
        <is>
          <t>01.01.2025</t>
        </is>
      </c>
      <c r="G29" s="7" t="inlineStr">
        <is>
          <t>11.08.2026</t>
        </is>
      </c>
      <c r="H29" s="62">
        <f>IF(A29="","",IF(B29="","EKSİK","TAM"))</f>
        <v/>
      </c>
    </row>
    <row r="30">
      <c r="A30" s="7" t="inlineStr">
        <is>
          <t>kik_sifirCarpan</t>
        </is>
      </c>
      <c r="B30" s="43" t="n">
        <v>0</v>
      </c>
      <c r="C30" s="7" t="inlineStr">
        <is>
          <t>çarpan</t>
        </is>
      </c>
      <c r="D30" s="7" t="inlineStr">
        <is>
          <t>Nötr çarpan (sıfır)</t>
        </is>
      </c>
      <c r="E30" s="7" t="inlineStr">
        <is>
          <t>Model varsayımı</t>
        </is>
      </c>
      <c r="F30" s="7" t="inlineStr">
        <is>
          <t>01.01.2025</t>
        </is>
      </c>
      <c r="G30" s="7" t="inlineStr">
        <is>
          <t>11.08.2026</t>
        </is>
      </c>
      <c r="H30" s="62">
        <f>IF(A30="","",IF(B30="","EKSİK","TAM"))</f>
        <v/>
      </c>
    </row>
    <row r="31">
      <c r="A31" s="7" t="inlineStr">
        <is>
          <t>kik_siraBir</t>
        </is>
      </c>
      <c r="B31" s="44" t="n">
        <v>1</v>
      </c>
      <c r="C31" s="7" t="inlineStr">
        <is>
          <t>adet</t>
        </is>
      </c>
      <c r="D31" s="7" t="inlineStr">
        <is>
          <t>Tornado sıra 1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2">
        <f>IF(A31="","",IF(B31="","EKSİK","TAM"))</f>
        <v/>
      </c>
    </row>
    <row r="32">
      <c r="A32" s="7" t="inlineStr">
        <is>
          <t>kik_siraIki</t>
        </is>
      </c>
      <c r="B32" s="44" t="n">
        <v>2</v>
      </c>
      <c r="C32" s="7" t="inlineStr">
        <is>
          <t>adet</t>
        </is>
      </c>
      <c r="D32" s="7" t="inlineStr">
        <is>
          <t>Tornado sıra 2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62">
        <f>IF(A32="","",IF(B32="","EKSİK","TAM"))</f>
        <v/>
      </c>
    </row>
    <row r="33">
      <c r="A33" s="7" t="inlineStr">
        <is>
          <t>kik_siraUc</t>
        </is>
      </c>
      <c r="B33" s="44" t="n">
        <v>3</v>
      </c>
      <c r="C33" s="7" t="inlineStr">
        <is>
          <t>adet</t>
        </is>
      </c>
      <c r="D33" s="7" t="inlineStr">
        <is>
          <t>Tornado sıra 3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2">
        <f>IF(A33="","",IF(B33="","EKSİK","TAM"))</f>
        <v/>
      </c>
    </row>
    <row r="34">
      <c r="A34" s="7" t="inlineStr">
        <is>
          <t>kik_tahminX</t>
        </is>
      </c>
      <c r="B34" s="44" t="n">
        <v>5</v>
      </c>
      <c r="C34" s="7" t="inlineStr">
        <is>
          <t>adet</t>
        </is>
      </c>
      <c r="D34" s="7" t="inlineStr">
        <is>
          <t>FORECAST X noktası</t>
        </is>
      </c>
      <c r="E34" s="7" t="inlineStr">
        <is>
          <t>Model varsayımı</t>
        </is>
      </c>
      <c r="F34" s="7" t="inlineStr">
        <is>
          <t>01.01.2025</t>
        </is>
      </c>
      <c r="G34" s="7" t="inlineStr">
        <is>
          <t>11.08.2026</t>
        </is>
      </c>
      <c r="H34" s="62">
        <f>IF(A34="","",IF(B34="","EKSİK","TAM"))</f>
        <v/>
      </c>
    </row>
    <row r="35">
      <c r="A35" s="7" t="inlineStr">
        <is>
          <t>vaka_matrah_1</t>
        </is>
      </c>
      <c r="B35" s="64" t="n">
        <v>300000</v>
      </c>
      <c r="C35" s="7" t="inlineStr">
        <is>
          <t>TL</t>
        </is>
      </c>
      <c r="D35" s="7" t="inlineStr">
        <is>
          <t>Vaka1 yaklaşık maliyet dilimi</t>
        </is>
      </c>
      <c r="E35" s="7" t="inlineStr">
        <is>
          <t>Tebliğ örneği</t>
        </is>
      </c>
      <c r="F35" s="7" t="inlineStr">
        <is>
          <t>01.01.2025</t>
        </is>
      </c>
      <c r="G35" s="7" t="inlineStr">
        <is>
          <t>11.08.2026</t>
        </is>
      </c>
      <c r="H35" s="62">
        <f>IF(A35="","",IF(B35="","EKSİK","TAM"))</f>
        <v/>
      </c>
    </row>
    <row r="36">
      <c r="A36" s="7" t="inlineStr">
        <is>
          <t>vaka_matrah_2</t>
        </is>
      </c>
      <c r="B36" s="64" t="n">
        <v>100000</v>
      </c>
      <c r="C36" s="7" t="inlineStr">
        <is>
          <t>TL</t>
        </is>
      </c>
      <c r="D36" s="7" t="inlineStr">
        <is>
          <t>Vaka2 teklif dilimi</t>
        </is>
      </c>
      <c r="E36" s="7" t="inlineStr">
        <is>
          <t>Tebliğ örneği</t>
        </is>
      </c>
      <c r="F36" s="7" t="inlineStr">
        <is>
          <t>01.01.2025</t>
        </is>
      </c>
      <c r="G36" s="7" t="inlineStr">
        <is>
          <t>11.08.2026</t>
        </is>
      </c>
      <c r="H36" s="62">
        <f>IF(A36="","",IF(B36="","EKSİK","TAM"))</f>
        <v/>
      </c>
    </row>
    <row r="37">
      <c r="A37" s="7" t="inlineStr">
        <is>
          <t>vaka_tavan</t>
        </is>
      </c>
      <c r="B37" s="64" t="n">
        <v>150000</v>
      </c>
      <c r="C37" s="7" t="inlineStr">
        <is>
          <t>TL</t>
        </is>
      </c>
      <c r="D37" s="7" t="inlineStr">
        <is>
          <t>Vaka4 tavan</t>
        </is>
      </c>
      <c r="E37" s="7" t="inlineStr">
        <is>
          <t>Tebliğ örneği</t>
        </is>
      </c>
      <c r="F37" s="7" t="inlineStr">
        <is>
          <t>01.01.2025</t>
        </is>
      </c>
      <c r="G37" s="7" t="inlineStr">
        <is>
          <t>11.08.2026</t>
        </is>
      </c>
      <c r="H37" s="62">
        <f>IF(A37="","",IF(B37="","EKSİK","TAM"))</f>
        <v/>
      </c>
    </row>
    <row r="39">
      <c r="B39" s="66" t="inlineStr">
        <is>
          <t>Parametre satırları yukarıda; ad tanımları B kolonuna bağlı.</t>
        </is>
      </c>
    </row>
    <row r="41">
      <c r="B41" s="1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dataValidations count="5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 ve üzeri." promptTitle="Kaçırılan eşiği" prompt="Uyarı eşiği TL." type="decimal" errorStyle="stop" operator="greaterThanOrEqual">
      <formula1>0</formula1>
    </dataValidation>
    <dataValidation sqref="B10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1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0.2." promptTitle="Oran artış" prompt="Puan cinsinden." type="decimal" errorStyle="stop" operator="between">
      <formula1>0</formula1>
      <formula2>0.2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/>
  </sheetPr>
  <dimension ref="A1:T19"/>
  <sheetViews>
    <sheetView showGridLines="0" workbookViewId="0">
      <selection activeCell="A1" sqref="A1"/>
    </sheetView>
  </sheetViews>
  <sheetFormatPr baseColWidth="8" defaultRowHeight="15"/>
  <cols>
    <col width="112.5" customWidth="1" min="1" max="1"/>
    <col width="7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204" t="inlineStr">
        <is>
          <t>KILAVUZ — KİK Aşırı Düşük Savunma + Sınır Değer Paketi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SAVUNULABİLİR — teklif sınır üzerinde veya sapma savunulabilir eşikte.</t>
        </is>
      </c>
    </row>
    <row r="7">
      <c r="A7" s="6" t="inlineStr">
        <is>
          <t>• İNCELE / FIRSAT — kaçırılan &gt; 0 ama eşik altında; gözden geçirin.</t>
        </is>
      </c>
    </row>
    <row r="8">
      <c r="A8" s="6" t="inlineStr">
        <is>
          <t>• İNCELE / RİSKLİ — sapma eşik üzerinde; maliyet kırılımı ve dayanakları güçlendirin.</t>
        </is>
      </c>
    </row>
    <row r="10">
      <c r="A10" s="67" t="inlineStr">
        <is>
          <t>Belirsizlik beyanları (M05)</t>
        </is>
      </c>
    </row>
    <row r="11">
      <c r="A11" s="12" t="inlineStr">
        <is>
          <t>Bu nokta mevzuatta tartışmalıdır; dosya yorum A ve yorum B sonucunu yan yana gösterir: tesvik_birikim_sirasi</t>
        </is>
      </c>
    </row>
    <row r="13">
      <c r="A13" s="10" t="inlineStr">
        <is>
          <t>Yorum A</t>
        </is>
      </c>
      <c r="B13" s="6" t="inlineStr">
        <is>
          <t>Sınır değer = yaklaşık maliyet × N; sapma = (sınır − teklif) / sınır. Bu nokta mevzuatta tartışmalıdır; sonuç yorum B ile yan yana okunmalıdır.</t>
        </is>
      </c>
    </row>
    <row r="14">
      <c r="A14" s="10" t="inlineStr">
        <is>
          <t>Yorum B</t>
        </is>
      </c>
      <c r="B14" s="6" t="inlineStr">
        <is>
          <t>Yorum B, N katsayısını sıkılaştırır.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1:I1"/>
    <mergeCell ref="A7:T7"/>
    <mergeCell ref="B13:J13"/>
    <mergeCell ref="A11:T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2026-08-10T22:06:22Z</dcterms:created>
  <dcterms:modified xmlns:dcterms="http://purl.org/dc/terms/" xmlns:xsi="http://www.w3.org/2001/XMLSchema-instance" xsi:type="dcterms:W3CDTF">2026-09-25T22:34:29Z</dcterms:modified>
</cp:coreProperties>
</file>