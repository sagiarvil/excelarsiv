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AVANS" sheetId="6" state="visible" r:id="rId6"/>
    <sheet name="DEKONT" sheetId="7" state="visible" r:id="rId7"/>
    <sheet name="HESAP" sheetId="8" state="visible" r:id="rId8"/>
    <sheet name="RAPOR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1">'PANO'!$A$1:$N$26</definedName>
    <definedName name="_xlnm.Print_Area" localSheetId="6">'DEKONT'!$A$1:$H$28</definedName>
    <definedName name="_xlnm.Print_Area" localSheetId="8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Kira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Tahsil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rgb="000F3D4C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Kira ve Avans Takip + Dekont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YOK",IF(OR(kad_gecikenAdet&gt;kad_esikGeciken*2,COUNTIF(tblAkis[Tutar],"&lt;0")&gt;0,IFERROR(MAX(tblAkis[Tutar]),0)&gt;kad_azamiTutar),"KRİTİK",IF(OR(kad_gecikenAdet&gt;kad_esikGeciken,kad_yetimKayit&gt;0,kad_gecersizGecis&gt;0,kad_zincirKirik&gt;0),"DİKKAT","UYGUN")))</f>
        <v/>
      </c>
    </row>
    <row r="6">
      <c r="A6" s="14" t="inlineStr">
        <is>
          <t>Açık Kuyruk Adet</t>
        </is>
      </c>
      <c r="B6" s="15">
        <f>kad_acikAdet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kad_yorumYas</f>
        <v/>
      </c>
    </row>
    <row r="8">
      <c r="A8" s="14" t="inlineStr">
        <is>
          <t>Tahsil Adet</t>
        </is>
      </c>
      <c r="B8" s="15">
        <f>COUNTIFS(tblAkis[Durum],"TAHSIL",tblAkis[Tutar],"&gt;0")</f>
        <v/>
      </c>
      <c r="D8" s="8">
        <f>kad_yorumGecikme</f>
        <v/>
      </c>
    </row>
    <row r="9">
      <c r="A9" s="14" t="inlineStr">
        <is>
          <t>Geciken Adet</t>
        </is>
      </c>
      <c r="B9" s="15">
        <f>kad_gecikenAdet</f>
        <v/>
      </c>
      <c r="D9" s="8">
        <f>kad_yorumTahmin</f>
        <v/>
      </c>
    </row>
    <row r="10">
      <c r="A10" s="14" t="inlineStr">
        <is>
          <t>Açık Tutar</t>
        </is>
      </c>
      <c r="B10" s="17">
        <f>kad_acikTutar</f>
        <v/>
      </c>
      <c r="D10" s="8">
        <f>kad_yorumSenaryo</f>
        <v/>
      </c>
    </row>
    <row r="11">
      <c r="A11" s="14" t="inlineStr">
        <is>
          <t>Gecikme Maliyeti</t>
        </is>
      </c>
      <c r="B11" s="17">
        <f>kad_gecikmeMaliyeti</f>
        <v/>
      </c>
      <c r="D11" s="8">
        <f>kad_yorumTornado</f>
        <v/>
      </c>
    </row>
    <row r="12">
      <c r="A12" s="14" t="inlineStr">
        <is>
          <t>Yetim Kayıt</t>
        </is>
      </c>
      <c r="B12" s="15">
        <f>kad_yetimKayit</f>
        <v/>
      </c>
      <c r="D12" s="8">
        <f>kad_yorumOncelik</f>
        <v/>
      </c>
    </row>
    <row r="13">
      <c r="A13" s="14" t="inlineStr">
        <is>
          <t>Geçersiz Geçiş</t>
        </is>
      </c>
      <c r="B13" s="15">
        <f>kad_gecersizGecis</f>
        <v/>
      </c>
      <c r="D13" s="8">
        <f>kad_yorumPareto</f>
        <v/>
      </c>
    </row>
    <row r="14">
      <c r="A14" s="14" t="inlineStr">
        <is>
          <t>Zincir Kırık</t>
        </is>
      </c>
      <c r="B14" s="15">
        <f>kad_zincirKirik</f>
        <v/>
      </c>
      <c r="D14" s="8">
        <f>kad_modulO8Yorum</f>
        <v/>
      </c>
    </row>
    <row r="15">
      <c r="A15" s="14" t="inlineStr">
        <is>
          <t>Yaş Kova Özeti</t>
        </is>
      </c>
      <c r="B15" s="18">
        <f>kad_yasKova</f>
        <v/>
      </c>
      <c r="D15" s="8">
        <f>kad_modulI2Yorum</f>
        <v/>
      </c>
    </row>
    <row r="16">
      <c r="A16" s="14" t="inlineStr">
        <is>
          <t>Tahmin Aralık</t>
        </is>
      </c>
      <c r="B16" s="17">
        <f>kad_tahminAralik</f>
        <v/>
      </c>
    </row>
    <row r="17">
      <c r="A17" s="14" t="inlineStr">
        <is>
          <t>Senaryo Farkı</t>
        </is>
      </c>
      <c r="B17" s="17">
        <f>kad_senaryoKarsilastirma</f>
        <v/>
      </c>
    </row>
    <row r="18">
      <c r="A18" s="14" t="inlineStr">
        <is>
          <t>Tornado Zirve</t>
        </is>
      </c>
      <c r="B18" s="17">
        <f>kad_tornadoZirve</f>
        <v/>
      </c>
    </row>
    <row r="19">
      <c r="A19" s="14" t="inlineStr">
        <is>
          <t>Ödeme Öncelik</t>
        </is>
      </c>
      <c r="B19" s="17">
        <f>kad_odemeOncelik</f>
        <v/>
      </c>
    </row>
    <row r="20">
      <c r="A20" s="14" t="inlineStr">
        <is>
          <t>Pareto Gecikme</t>
        </is>
      </c>
      <c r="B20" s="19">
        <f>kad_paretoGecikme</f>
        <v/>
      </c>
    </row>
    <row r="21">
      <c r="A21" s="14" t="inlineStr">
        <is>
          <t>Kapalı Düşüm</t>
        </is>
      </c>
      <c r="B21" s="15">
        <f>kad_kapaliDusum</f>
        <v/>
      </c>
    </row>
    <row r="22">
      <c r="A22" s="14" t="inlineStr">
        <is>
          <t>Avans Mahsup</t>
        </is>
      </c>
      <c r="B22" s="18">
        <f>kad_avansMahsup</f>
        <v/>
      </c>
    </row>
    <row r="23">
      <c r="A23" s="14" t="inlineStr">
        <is>
          <t>Dekont Özeti</t>
        </is>
      </c>
      <c r="B23" s="18">
        <f>kad_dekont</f>
        <v/>
      </c>
    </row>
    <row r="24">
      <c r="A24" s="14" t="inlineStr">
        <is>
          <t>Kalite Modülü</t>
        </is>
      </c>
      <c r="B24" s="15">
        <f>kad_modulO8</f>
        <v/>
      </c>
    </row>
    <row r="25">
      <c r="A25" s="14" t="inlineStr">
        <is>
          <t>Yüzdelik 90</t>
        </is>
      </c>
      <c r="B25" s="17">
        <f>kad_modulI2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Kira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Tahsil</t>
        </is>
      </c>
    </row>
    <row r="29">
      <c r="A29" s="7" t="inlineStr">
        <is>
          <t>Bekliyor</t>
        </is>
      </c>
      <c r="B29" s="20" t="n">
        <v>6</v>
      </c>
      <c r="D29" s="7" t="inlineStr">
        <is>
          <t>0-7</t>
        </is>
      </c>
      <c r="E29" s="20" t="n">
        <v>6</v>
      </c>
      <c r="G29" s="20" t="n">
        <v>1</v>
      </c>
      <c r="H29" s="21" t="n">
        <v>140000</v>
      </c>
      <c r="J29" s="7" t="inlineStr">
        <is>
          <t>Temkinli</t>
        </is>
      </c>
      <c r="K29" s="21" t="n">
        <v>320000</v>
      </c>
      <c r="M29" s="7" t="inlineStr">
        <is>
          <t>Yetim</t>
        </is>
      </c>
      <c r="N29" s="20" t="n">
        <v>2</v>
      </c>
      <c r="P29" s="20" t="n">
        <v>1</v>
      </c>
      <c r="Q29" s="21" t="n">
        <v>160000</v>
      </c>
    </row>
    <row r="30">
      <c r="A30" s="7" t="inlineStr">
        <is>
          <t>Tahsil</t>
        </is>
      </c>
      <c r="B30" s="20" t="n">
        <v>10</v>
      </c>
      <c r="D30" s="7" t="inlineStr">
        <is>
          <t>8-30</t>
        </is>
      </c>
      <c r="E30" s="20" t="n">
        <v>9</v>
      </c>
      <c r="G30" s="20" t="n">
        <v>2</v>
      </c>
      <c r="H30" s="21" t="n">
        <v>158000</v>
      </c>
      <c r="J30" s="7" t="inlineStr">
        <is>
          <t>Baz</t>
        </is>
      </c>
      <c r="K30" s="21" t="n">
        <v>380000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182000</v>
      </c>
    </row>
    <row r="31">
      <c r="A31" s="7" t="inlineStr">
        <is>
          <t>Mahsup</t>
        </is>
      </c>
      <c r="B31" s="20" t="n">
        <v>4</v>
      </c>
      <c r="D31" s="7" t="inlineStr">
        <is>
          <t>31-60</t>
        </is>
      </c>
      <c r="E31" s="20" t="n">
        <v>7</v>
      </c>
      <c r="G31" s="20" t="n">
        <v>3</v>
      </c>
      <c r="H31" s="21" t="n">
        <v>176000</v>
      </c>
      <c r="J31" s="7" t="inlineStr">
        <is>
          <t>İyimser</t>
        </is>
      </c>
      <c r="K31" s="21" t="n">
        <v>440000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204000</v>
      </c>
    </row>
    <row r="32">
      <c r="A32" s="7" t="inlineStr">
        <is>
          <t>Kapalı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194000</v>
      </c>
      <c r="M32" s="7" t="inlineStr">
        <is>
          <t>Geciken</t>
        </is>
      </c>
      <c r="N32" s="20" t="n">
        <v>8</v>
      </c>
      <c r="P32" s="20" t="n">
        <v>4</v>
      </c>
      <c r="Q32" s="21" t="n">
        <v>226000</v>
      </c>
    </row>
    <row r="33">
      <c r="A33" s="7" t="inlineStr">
        <is>
          <t>İptal</t>
        </is>
      </c>
      <c r="B33" s="20" t="n">
        <v>3</v>
      </c>
      <c r="G33" s="20" t="n">
        <v>5</v>
      </c>
      <c r="H33" s="21" t="n">
        <v>212000</v>
      </c>
      <c r="P33" s="20" t="n">
        <v>5</v>
      </c>
      <c r="Q33" s="21" t="n">
        <v>248000</v>
      </c>
    </row>
    <row r="34">
      <c r="G34" s="20" t="n">
        <v>6</v>
      </c>
      <c r="H34" s="21" t="n">
        <v>230000</v>
      </c>
      <c r="P34" s="20" t="n">
        <v>6</v>
      </c>
      <c r="Q34" s="21" t="n">
        <v>270000</v>
      </c>
    </row>
    <row r="35">
      <c r="G35" s="20" t="n">
        <v>7</v>
      </c>
      <c r="H35" s="21" t="n">
        <v>248000</v>
      </c>
    </row>
    <row r="36">
      <c r="G36" s="20" t="n">
        <v>8</v>
      </c>
      <c r="H36" s="21" t="n">
        <v>266000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&amp;LKira ve Avans Takip + Dekont | Pano | 1.0.0&amp;CExcelArşiv&amp;RSayfa &amp;P / &amp;N</oddFooter>
    <evenHeader/>
    <evenFooter>&amp;LKira ve Avans Takip + Dekont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3D4C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Kiracı / taşınmaz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3D4C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Kira olay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kad_kuyrukOzeti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D4C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AVANS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22" t="inlineStr">
        <is>
          <t>Avans mahsup motoru — anapara, mahsup edilen, kalan bakiye, aşım bayrağı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18" customWidth="1" min="4" max="4"/>
    <col width="14" customWidth="1" min="5" max="5"/>
  </cols>
  <sheetData>
    <row r="1" ht="26" customHeight="1">
      <c r="A1" s="1" t="inlineStr">
        <is>
          <t>DEKONT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 ht="28" customHeight="1">
      <c r="A3" s="33" t="inlineStr">
        <is>
          <t>Tahsilat Dekontu — yazdırılabilir kanıt belgesi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5">
      <c r="A25" s="7" t="inlineStr">
        <is>
          <t>Malik imza</t>
        </is>
      </c>
      <c r="D25" s="7" t="inlineStr">
        <is>
          <t>Kiracı imza</t>
        </is>
      </c>
    </row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3:H23"/>
    <mergeCell ref="A1:J1"/>
    <mergeCell ref="A3:H3"/>
    <mergeCell ref="A20:H20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0F3D4C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35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3" t="inlineStr">
        <is>
          <t>Dönemsel Kira Avans ve Dekont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3D4C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Kira ve Avans Takip + Dekont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2026-08-14T18:57:16Z</dcterms:created>
  <dcterms:modified xsi:type="dcterms:W3CDTF">2026-08-14T18:57:17Z</dcterms:modified>
</cp:coreProperties>
</file>