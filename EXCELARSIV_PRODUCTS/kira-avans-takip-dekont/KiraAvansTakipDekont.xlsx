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AVANS" sheetId="14" state="visible" r:id="rId14"/>
    <sheet xmlns:r="http://schemas.openxmlformats.org/officeDocument/2006/relationships" name="DEKONT" sheetId="15" state="visible" r:id="rId15"/>
    <sheet xmlns:r="http://schemas.openxmlformats.org/officeDocument/2006/relationships" name="HESAP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kad_esikGecikmeGun">AYARLAR!$B$8</definedName>
    <definedName name="kad_esikGeciken">AYARLAR!$B$9</definedName>
    <definedName name="kad_gecikmeOranGun">AYARLAR!$B$10</definedName>
    <definedName name="kad_senaryoTemkinli">AYARLAR!$B$11</definedName>
    <definedName name="kad_senaryoBaz">AYARLAR!$B$12</definedName>
    <definedName name="kad_senaryoIyimser">AYARLAR!$B$13</definedName>
    <definedName name="kad_tornadoOran">AYARLAR!$B$14</definedName>
    <definedName name="kad_yuzdelikOran">AYARLAR!$B$15</definedName>
    <definedName name="kad_olcekHedef">AYARLAR!$B$16</definedName>
    <definedName name="kad_azamiTutar">AYARLAR!$B$17</definedName>
    <definedName name="kad_mahsupTolerans">AYARLAR!$B$18</definedName>
    <definedName name="kad_durumHaritasi">AYARLAR!$B$19</definedName>
    <definedName name="kad_kuyrukOzeti_metin">AYARLAR!$B$20</definedName>
    <definedName name="kad_kapaliDusum_metin">AYARLAR!$B$21</definedName>
    <definedName name="kad_kanitRaporu_metin">AYARLAR!$B$22</definedName>
    <definedName name="kad_dosyaSurumu">AYARLAR!$B$23</definedName>
    <definedName name="kad_malikAdi">AYARLAR!$B$24</definedName>
    <definedName name="kad_acikAdet">AYARLAR!$I$40</definedName>
    <definedName name="kad_acikTutar">AYARLAR!$I$41</definedName>
    <definedName name="kad_gecikenAdet">AYARLAR!$I$42</definedName>
    <definedName name="kad_gecikmeMaliyeti">AYARLAR!$I$43</definedName>
    <definedName name="kad_yetimKayit">AYARLAR!$I$44</definedName>
    <definedName name="kad_gecersizGecis">AYARLAR!$I$45</definedName>
    <definedName name="kad_zincirKirik">AYARLAR!$I$46</definedName>
    <definedName name="kad_yasKova">AYARLAR!$I$47</definedName>
    <definedName name="kad_tahminAralik">AYARLAR!$I$48</definedName>
    <definedName name="kad_senaryoKarsilastirma">AYARLAR!$I$49</definedName>
    <definedName name="kad_tornadoZirve">AYARLAR!$I$50</definedName>
    <definedName name="kad_odemeOncelik">AYARLAR!$I$51</definedName>
    <definedName name="kad_paretoGecikme">AYARLAR!$I$52</definedName>
    <definedName name="kad_kapaliDusum">AYARLAR!$I$53</definedName>
    <definedName name="kad_kuyrukOzeti">AYARLAR!$I$54</definedName>
    <definedName name="kad_kanitRaporu">AYARLAR!$I$55</definedName>
    <definedName name="kad_sonrakiKimlik">AYARLAR!$I$56</definedName>
    <definedName name="kad_avansMahsup">AYARLAR!$I$57</definedName>
    <definedName name="kad_modulO8">AYARLAR!$I$58</definedName>
    <definedName name="kad_modulI2">AYARLAR!$I$59</definedName>
    <definedName name="kad_yorumYas">AYARLAR!$I$63</definedName>
    <definedName name="kad_yorumGecikme">AYARLAR!$I$64</definedName>
    <definedName name="kad_yorumTahmin">AYARLAR!$I$65</definedName>
    <definedName name="kad_yorumSenaryo">AYARLAR!$I$66</definedName>
    <definedName name="kad_yorumTornado">AYARLAR!$I$67</definedName>
    <definedName name="kad_yorumOncelik">AYARLAR!$I$68</definedName>
    <definedName name="kad_yorumPareto">AYARLAR!$I$69</definedName>
    <definedName name="kad_modulO8Yorum">AYARLAR!$I$70</definedName>
    <definedName name="kad_modulI2Yorum">AYARLAR!$I$71</definedName>
    <definedName name="kad_kararKapi">PANO!$B$4</definedName>
    <definedName name="kad_dekont">DEKONT!$A$20</definedName>
    <definedName name="ListeDurumlar">LISTELER!$A$7:$A$11</definedName>
    <definedName name="ListeIzinliGecis">LISTELER!$C$7:$C$11</definedName>
    <definedName name="ListeEvetHayir">LISTELER!$E$7:$E$8</definedName>
    <definedName name="ListeKartlar">LISTELER!$I$7:$I$14</definedName>
    <definedName name="_xlnm.Print_Area" localSheetId="14">'DEKONT'!$A$1:$H$28</definedName>
    <definedName name="_xlnm.Print_Area" localSheetId="16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Avans Anapara ve Kalan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'AVANS'!P4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'AVANS'!$P$5:$P$12</f>
            </numRef>
          </val>
        </ser>
        <ser>
          <idx val="1"/>
          <order val="1"/>
          <tx>
            <strRef>
              <f>'AVANS'!Q4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'AVANS'!$Q$5:$Q$12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KIR-00009 | Risk: Elle çakışma</t>
      </text>
    </comment>
    <comment ref="A6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6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6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6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6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6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7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7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7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7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7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8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8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8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8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8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9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9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9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9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9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0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0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0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0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0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1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1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1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1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1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2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2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2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2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2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3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3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3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3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3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6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7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8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9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0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1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2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3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Kart Seçimi | Neden önemli: Kira/avans mahsup ve dekont kararını etkiler | Doğru kullanım: Dekonta yazılacak kiracı kartını seçin | Örnek: hücredeki örnek değere bakın | Risk: Yanlış giriş hatalı karar üretir</t>
      </text>
    </comment>
    <comment ref="B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B16" authorId="0" shapeId="0">
      <text>
        <t>Tanım: Açıklama | Neden önemli: Kira/avans mahsup ve dekont kararını etkiler | Doğru kullanım: Dekont açıklaması | Örnek: hücredeki örnek değere bakın | Risk: Yanlış giriş hatalı karar üretir</t>
      </text>
    </comment>
    <comment ref="B17" authorId="0" shapeId="0">
      <text>
        <t>Tanım: Teslim Alan | Neden önemli: Kira/avans mahsup ve dekont kararını etkiler | Doğru kullanım: Ad soyad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7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7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7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8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8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8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8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9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9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9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0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0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0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1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1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1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G12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2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3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4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Kira/avans mahsup ve dekont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Kira/avans mahsup ve dekont kararını etkiler | Doğru kullanım: ZİNCİR KIRIK eşiği | Örnek: hücredeki örnek değere bakın | Risk: Yanlış giriş hatalı karar üretir</t>
      </text>
    </comment>
    <comment ref="B8" authorId="0" shapeId="0">
      <text>
        <t>Tanım: kad_esikGecikmeGun | Neden önemli: Kira/avans mahsup ve dekont kararını etkiler | Doğru kullanım: Gecikme eşiği | Örnek: hücredeki örnek değere bakın | Risk: Yanlış giriş hatalı karar üretir</t>
      </text>
    </comment>
    <comment ref="B9" authorId="0" shapeId="0">
      <text>
        <t>Tanım: kad_esikGeciken | Neden önemli: Kira/avans mahsup ve dekont kararını etkiler | Doğru kullanım: Karar eşiği geciken | Örnek: hücredeki örnek değere bakın | Risk: Yanlış giriş hatalı karar üretir</t>
      </text>
    </comment>
    <comment ref="B10" authorId="0" shapeId="0">
      <text>
        <t>Tanım: kad_gecikmeOranGun | Neden önemli: Kira/avans mahsup ve dekont kararını etkiler | Doğru kullanım: Günlük gecikme maliyeti oranı | Örnek: hücredeki örnek değere bakın | Risk: Yanlış giriş hatalı karar üretir</t>
      </text>
    </comment>
    <comment ref="B11" authorId="0" shapeId="0">
      <text>
        <t>Tanım: kad_senaryoTemkinli | Neden önemli: Kira/avans mahsup ve dekont kararını etkiler | Doğru kullanım: Temkinli çarpan | Örnek: hücredeki örnek değere bakın | Risk: Yanlış giriş hatalı karar üretir</t>
      </text>
    </comment>
    <comment ref="B12" authorId="0" shapeId="0">
      <text>
        <t>Tanım: kad_senaryoBaz | Neden önemli: Kira/avans mahsup ve dekont kararını etkiler | Doğru kullanım: Baz çarpan | Örnek: hücredeki örnek değere bakın | Risk: Yanlış giriş hatalı karar üretir</t>
      </text>
    </comment>
    <comment ref="B13" authorId="0" shapeId="0">
      <text>
        <t>Tanım: kad_senaryoIyimser | Neden önemli: Kira/avans mahsup ve dekont kararını etkiler | Doğru kullanım: İyimser çarpan | Örnek: hücredeki örnek değere bakın | Risk: Yanlış giriş hatalı karar üretir</t>
      </text>
    </comment>
    <comment ref="B14" authorId="0" shapeId="0">
      <text>
        <t>Tanım: kad_tornadoOran | Neden önemli: Kira/avans mahsup ve dekont kararını etkiler | Doğru kullanım: Tornado etki oranı | Örnek: hücredeki örnek değere bakın | Risk: Yanlış giriş hatalı karar üretir</t>
      </text>
    </comment>
    <comment ref="B15" authorId="0" shapeId="0">
      <text>
        <t>Tanım: kad_yuzdelikOran | Neden önemli: Kira/avans mahsup ve dekont kararını etkiler | Doğru kullanım: PERCENTILE oranı | Örnek: hücredeki örnek değere bakın | Risk: Yanlış giriş hatalı karar üretir</t>
      </text>
    </comment>
    <comment ref="B16" authorId="0" shapeId="0">
      <text>
        <t>Tanım: kad_olcekHedef | Neden önemli: Kira/avans mahsup ve dekont kararını etkiler | Doğru kullanım: Ölçek sözleşmesi | Örnek: hücredeki örnek değere bakın | Risk: Yanlış giriş hatalı karar üretir</t>
      </text>
    </comment>
    <comment ref="B17" authorId="0" shapeId="0">
      <text>
        <t>Tanım: kad_azamiTutar | Neden önemli: Kira/avans mahsup ve dekont kararını etkiler | Doğru kullanım: Azami makul | Örnek: hücredeki örnek değere bakın | Risk: Yanlış giriş hatalı karar üretir</t>
      </text>
    </comment>
    <comment ref="B18" authorId="0" shapeId="0">
      <text>
        <t>Tanım: kad_mahsupTolerans | Neden önemli: Kira/avans mahsup ve dekont kararını etkiler | Doğru kullanım: Aşım = mahsup &gt; anapara + tolerans | Örnek: hücredeki örnek değere bakın | Risk: Yanlış giriş hatalı karar üretir</t>
      </text>
    </comment>
    <comment ref="B19" authorId="0" shapeId="0">
      <text>
        <t>Tanım: kad_durumHaritasi | Neden önemli: Kira/avans mahsup ve dekont kararını etkiler | Doğru kullanım: Durum makinesi kaynağı | Örnek: hücredeki örnek değere bakın | Risk: Yanlış giriş hatalı karar üretir</t>
      </text>
    </comment>
    <comment ref="B20" authorId="0" shapeId="0">
      <text>
        <t>Tanım: kad_kuyrukOzeti_metin | Neden önemli: Kira/avans mahsup ve dekont kararını etkiler | Doğru kullanım: Kuyruk görünümü | Örnek: hücredeki örnek değere bakın | Risk: Yanlış giriş hatalı karar üretir</t>
      </text>
    </comment>
    <comment ref="B21" authorId="0" shapeId="0">
      <text>
        <t>Tanım: kad_kapaliDusum_metin | Neden önemli: Kira/avans mahsup ve dekont kararını etkiler | Doğru kullanım: Kapalı düşüm kuralı | Örnek: hücredeki örnek değere bakın | Risk: Yanlış giriş hatalı karar üretir</t>
      </text>
    </comment>
    <comment ref="B22" authorId="0" shapeId="0">
      <text>
        <t>Tanım: kad_kanitRaporu_metin | Neden önemli: Kira/avans mahsup ve dekont kararını etkiler | Doğru kullanım: Kanıt raporu | Örnek: hücredeki örnek değere bakın | Risk: Yanlış giriş hatalı karar üretir</t>
      </text>
    </comment>
    <comment ref="B23" authorId="0" shapeId="0">
      <text>
        <t>Tanım: kad_dosyaSurumu | Neden önemli: Kira/avans mahsup ve dekont kararını etkiler | Doğru kullanım: Ürün sürümü | Örnek: hücredeki örnek değere bakın | Risk: Yanlış giriş hatalı karar üretir</t>
      </text>
    </comment>
    <comment ref="B24" authorId="0" shapeId="0">
      <text>
        <t>Tanım: kad_malikAdi | Neden önemli: Kira/avans mahsup ve dekont kararını etkiler | Doğru kullanım: Malik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Tasinmaz"/>
    <tableColumn id="4" name="Sehir"/>
    <tableColumn id="5" name="SozlesmeNo"/>
    <tableColumn id="6" name="AylikKira"/>
    <tableColumn id="7" name="RiskNotu"/>
    <tableColumn id="8" name="Aktif"/>
    <tableColumn id="9" name="AvansBakiye">
      <calculatedColumnFormula>IF(tblKartlar[[#This Row],[KartId]]="","",SUMIF(tblAvans[KaynakKartId],tblKartlar[[#This Row],[KartId]],tblAvans[KalanBakiye]))</calculatedColumnFormula>
    </tableColumn>
    <tableColumn id="10" name="ToplamKira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Tutar"/>
    <tableColumn id="7" name="AvansTutar"/>
    <tableColumn id="8" name="KiraTutar"/>
    <tableColumn id="9" name="MahsupTutar"/>
    <tableColumn id="10" name="Dekont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Row],[SozlesmeTutar]]="",tblAkis[[#This Row],[KiraTutar]]=""),"",IF(ABS(tblAkis[[#This Row],[KiraTutar]]-tblAkis[[#This Row],[SozlesmeTutar]])&gt;zincirTolerans,"ZİNCİR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vans" displayName="tblAvans" ref="A5:L255" headerRowCount="1">
  <tableColumns count="12">
    <tableColumn id="1" name="AvansId"/>
    <tableColumn id="2" name="KaynakKartId"/>
    <tableColumn id="3" name="Tarih"/>
    <tableColumn id="4" name="AvansTutar"/>
    <tableColumn id="5" name="Donem"/>
    <tableColumn id="6" name="Aciklama"/>
    <tableColumn id="7" name="MahsupEdilen">
      <calculatedColumnFormula>IF(tblAvans[[#This Row],[AvansId]]="","",SUMIFS(tblAkis[MahsupTutar],tblAkis[KaynakKartId],tblAvans[[#This Row],[KaynakKartId]],tblAkis[Durum],"MAHSUP"))</calculatedColumnFormula>
    </tableColumn>
    <tableColumn id="8" name="KalanBakiye">
      <calculatedColumnFormula>IF(tblAvans[[#This Row],[AvansId]]="","",MAX(0,tblAvans[[#This Row],[AvansTutar]]-tblAvans[[#This Row],[MahsupEdilen]]))</calculatedColumnFormula>
    </tableColumn>
    <tableColumn id="9" name="YasGun">
      <calculatedColumnFormula>IF(tblAvans[[#This Row],[AvansId]]="","",IF(tblAvans[[#This Row],[Tarih]]="","",raporTarihi-tblAvans[[#This Row],[Tarih]]))</calculatedColumnFormula>
    </tableColumn>
    <tableColumn id="10" name="YasKova">
      <calculatedColumnFormula>IF(tblAvans[[#This Row],[AvansId]]="","",IF(tblAvans[[#This Row],[YasGun]]="","",IF(tblAvans[[#This Row],[YasGun]]&lt;=7,"0-7",IF(tblAvans[[#This Row],[YasGun]]&lt;=30,"8-30",IF(tblAvans[[#This Row],[YasGun]]&lt;=60,"31-60","60+")))))</calculatedColumnFormula>
    </tableColumn>
    <tableColumn id="11" name="YetimBayrak">
      <calculatedColumnFormula>IF(tblAvans[[#This Row],[AvansId]]="","",IF(tblAvans[[#This Row],[KaynakKartId]]="","YETİM",IF(COUNTIF(tblKartlar[KartId],tblAvans[[#This Row],[KaynakKartId]])=0,"YETİM","")))</calculatedColumnFormula>
    </tableColumn>
    <tableColumn id="12" name="AsimBayrak">
      <calculatedColumnFormula>IF(tblAvans[[#This Row],[AvansId]]="","",IF(tblAvans[[#This Row],[MahsupEdilen]]&gt;tblAvans[[#This Row],[AvansTutar]]+kad_mahsupTolerans,"AŞIM","UYGUN"))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5"/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1" t="inlineStr">
        <is>
          <t>☰ PANO</t>
        </is>
      </c>
    </row>
    <row r="2">
      <c r="B2" s="68" t="inlineStr">
        <is>
          <t>KIRA VE AVANS TAKIP + DEKONT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Ev sahibi, malik, SMMM · 2026 Q3 Denetim Standardı</t>
        </is>
      </c>
    </row>
    <row r="4"/>
    <row r="5">
      <c r="B5" s="72" t="inlineStr">
        <is>
          <t>YAŞLANDIRMA</t>
        </is>
      </c>
      <c r="C5" s="73" t="n"/>
      <c r="D5" s="74" t="inlineStr">
        <is>
          <t>KONSOLİDE</t>
        </is>
      </c>
      <c r="E5" s="75" t="inlineStr">
        <is>
          <t>GECIKME</t>
        </is>
      </c>
      <c r="F5" s="73" t="n"/>
      <c r="G5" s="76" t="inlineStr">
        <is>
          <t>KONTROL</t>
        </is>
      </c>
      <c r="H5" s="72" t="inlineStr">
        <is>
          <t>NET OPERASYONEL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EĞER(E7&gt;0; YUVARLA(B7/E7; 2);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0"/>
    <row r="11">
      <c r="B11" s="65" t="inlineStr">
        <is>
          <t>KIRA VE AVANS TAKIP + DEKONT — DÖNEMSEL İCRA VE PROJEKSİYON</t>
        </is>
      </c>
      <c r="F11" s="88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/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5" t="inlineStr">
        <is>
          <t>KONSOLİDE SİSTEM TOPLAMI</t>
        </is>
      </c>
      <c r="I19" s="173">
        <f>TOPLA(I15:I18)</f>
        <v/>
      </c>
      <c r="J19" s="174">
        <f>TOPLA(J15:J18)</f>
        <v/>
      </c>
      <c r="K19" s="98" t="inlineStr"/>
      <c r="L19" s="99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1"/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STRATEJİK VERİMLİLİK FIRSATI</t>
        </is>
      </c>
      <c r="L23" s="102" t="n"/>
      <c r="M23" s="102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Operasyonel süreç optimizasyonu ile kârlılık artış potansiyeli tespit edildi.</t>
        </is>
      </c>
    </row>
    <row r="25">
      <c r="B25" s="106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G26" s="181" t="n"/>
      <c r="H26" s="181" t="n"/>
      <c r="I26" s="182" t="n"/>
      <c r="K26" s="109" t="inlineStr">
        <is>
          <t>STRATEJİ REÇETESİNİ İNCELE &gt;</t>
        </is>
      </c>
    </row>
    <row r="27">
      <c r="F27" s="183" t="n"/>
      <c r="G27" s="184" t="n"/>
      <c r="H27" s="184" t="n"/>
      <c r="I27" s="18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2"/>
    <row r="3">
      <c r="B3" s="110" t="inlineStr">
        <is>
          <t>🔍  KIRA VE AVANS TAKIP + DEKONT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4"/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6"/>
    <row r="17">
      <c r="B17" s="130" t="inlineStr">
        <is>
          <t>SAYFA TOPLAMI (10 / 1.450 KAYIT)</t>
        </is>
      </c>
      <c r="E17" s="13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2" t="inlineStr">
        <is>
          <t>KIRA VE AVANS TAKIP + DEKONT — NİHAİ KARAR VE DEĞERLEME</t>
        </is>
      </c>
    </row>
    <row r="3">
      <c r="B3" s="133" t="inlineStr">
        <is>
          <t>Yönetim Kurulu ve İcra Komitesi için Otomatik Finansal Stres Testi Raporu · Ev sahibi, malik, SMMM</t>
        </is>
      </c>
    </row>
    <row r="4">
      <c r="B4" s="134" t="inlineStr">
        <is>
          <t>DÖNEM: 2026 Q3 · DENETİM PROTOKOLÜ: ISO/VUK/IFRS UYUMLU · DURUM: ONAYLANDI</t>
        </is>
      </c>
    </row>
    <row r="5"/>
    <row r="6">
      <c r="B6" s="135" t="inlineStr">
        <is>
          <t>SENARYO A: KÖTÜMSER (STRES TESTİ -%20)</t>
        </is>
      </c>
      <c r="C6" s="186" t="n"/>
      <c r="D6" s="186" t="n"/>
      <c r="E6" s="186" t="n"/>
      <c r="F6" s="187" t="n"/>
      <c r="H6" s="136" t="inlineStr">
        <is>
          <t>SENARYO B: BAZ MODEL (HEDEFLENEN)</t>
        </is>
      </c>
      <c r="I6" s="186" t="n"/>
      <c r="J6" s="186" t="n"/>
      <c r="K6" s="186" t="n"/>
      <c r="L6" s="187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YUVARLA(PANO!B7*0.8/PANO!E7;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188" t="n"/>
      <c r="D14" s="188" t="n"/>
      <c r="E14" s="188" t="n"/>
      <c r="F14" s="189" t="n"/>
      <c r="H14" s="143" t="inlineStr">
        <is>
          <t>OPTİMUM İCRA VE PLANLAMA REÇETESİ</t>
        </is>
      </c>
      <c r="I14" s="190" t="n"/>
      <c r="J14" s="190" t="n"/>
      <c r="K14" s="190" t="n"/>
      <c r="L14" s="191" t="n"/>
    </row>
    <row r="15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/>
    <row r="17">
      <c r="B17" s="52" t="inlineStr">
        <is>
          <t>YÖNETİM KARAR MATRİSİ VE UYGULAMA REÇETESİ</t>
        </is>
      </c>
    </row>
    <row r="18"/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3D4C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8" t="inlineStr">
        <is>
          <t>Kira ve Avans Takip + Dekont</t>
        </is>
      </c>
    </row>
    <row r="4">
      <c r="A4" s="4" t="inlineStr">
        <is>
          <t>Kira tahsilatını avans mahsup motoru ve yazdırılabilir dekont ile yönetir; durum makinesi, yaşlandırma ve boş veride VERİ YOK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Bekliyor → Tahsil → Mahsup → Kapalı / İptal</t>
        </is>
      </c>
    </row>
    <row r="8">
      <c r="A8" s="6" t="inlineStr">
        <is>
          <t>• Avans mahsup motoru — kalan bakiye ve aşım bayrağı</t>
        </is>
      </c>
    </row>
    <row r="9">
      <c r="A9" s="6" t="inlineStr">
        <is>
          <t>• Yazdırılabilir tahsilat dekontu (PDF baskı alanı)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UYGUN / DİKKAT / KRİTİK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Ev sahibi — kira ve avans tahsilatını işler</t>
        </is>
      </c>
    </row>
    <row r="15">
      <c r="A15" s="7" t="inlineStr">
        <is>
          <t>• Malik — bakiye ve mahsup kararını görür</t>
        </is>
      </c>
    </row>
    <row r="16">
      <c r="A16" s="7" t="inlineStr">
        <is>
          <t>• Kiracı / SMMM — yazdırılabilir dekontu alır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kiracı kartı girin. 2) AVANS'a depozito/avans yazın. 3) AKIS'e kira olayını işleyin. 4) DEKONT'tan baskı alın, PANO'dan kararı görün.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3D4C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5.5" customWidth="1" min="9" max="9"/>
    <col width="14.5" customWidth="1" min="10" max="10"/>
    <col width="14.5" customWidth="1" min="11" max="11"/>
    <col width="13" customWidth="1" min="12" max="12"/>
  </cols>
  <sheetData>
    <row r="1" ht="32" customHeight="1">
      <c r="A1" s="179" t="inlineStr">
        <is>
          <t>KARTLAR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</row>
    <row r="2"/>
    <row r="3" ht="22" customHeight="1">
      <c r="A3" s="199" t="inlineStr">
        <is>
          <t>Kiracı / taşınmaz kartları — her kaydın tek kimliği vardır</t>
        </is>
      </c>
    </row>
    <row r="4">
      <c r="A4" s="11" t="inlineStr">
        <is>
          <t>Sonraki Kimlik</t>
        </is>
      </c>
      <c r="B4" s="24">
        <f>kad_sonrakiKimlik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Tasinmaz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AylikKira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AvansBakiye</t>
        </is>
      </c>
      <c r="J5" s="25" t="inlineStr">
        <is>
          <t>ToplamKira</t>
        </is>
      </c>
      <c r="K5" s="25" t="inlineStr">
        <is>
          <t>OrtGecikme</t>
        </is>
      </c>
    </row>
    <row r="6">
      <c r="A6" s="26" t="inlineStr">
        <is>
          <t>KIR-00001</t>
        </is>
      </c>
      <c r="B6" s="26" t="inlineStr">
        <is>
          <t>Ayşe Demir</t>
        </is>
      </c>
      <c r="C6" s="26" t="inlineStr">
        <is>
          <t>Kadıköy Daire 3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18000</v>
      </c>
      <c r="G6" s="26" t="inlineStr">
        <is>
          <t>Normal</t>
        </is>
      </c>
      <c r="H6" s="26" t="inlineStr">
        <is>
          <t>EVET</t>
        </is>
      </c>
      <c r="I6" s="28">
        <f>IF($A6="","",SUMIF(tblAvans[KaynakKartId],$A6,tblAvans[KalanBakiye]))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KIR-00002</t>
        </is>
      </c>
      <c r="B7" s="26" t="inlineStr">
        <is>
          <t>Mehmet Kaya</t>
        </is>
      </c>
      <c r="C7" s="26" t="inlineStr">
        <is>
          <t>Çankaya Ofis 12</t>
        </is>
      </c>
      <c r="D7" s="26" t="inlineStr">
        <is>
          <t>Ankara</t>
        </is>
      </c>
      <c r="E7" s="26" t="inlineStr">
        <is>
          <t>SZL-2026-002</t>
        </is>
      </c>
      <c r="F7" s="27" t="n">
        <v>22000</v>
      </c>
      <c r="G7" s="26" t="inlineStr">
        <is>
          <t>Normal</t>
        </is>
      </c>
      <c r="H7" s="26" t="inlineStr">
        <is>
          <t>EVET</t>
        </is>
      </c>
      <c r="I7" s="28">
        <f>IF($A7="","",SUMIF(tblAvans[KaynakKartId],$A7,tblAvans[KalanBakiye]))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KIR-00003</t>
        </is>
      </c>
      <c r="B8" s="26" t="inlineStr">
        <is>
          <t>Elif Yıldız</t>
        </is>
      </c>
      <c r="C8" s="26" t="inlineStr">
        <is>
          <t>Bornova Dükkan</t>
        </is>
      </c>
      <c r="D8" s="26" t="inlineStr">
        <is>
          <t>İzmir</t>
        </is>
      </c>
      <c r="E8" s="26" t="inlineStr">
        <is>
          <t>SZL-2026-003</t>
        </is>
      </c>
      <c r="F8" s="27" t="n">
        <v>16000</v>
      </c>
      <c r="G8" s="26" t="inlineStr">
        <is>
          <t>Normal</t>
        </is>
      </c>
      <c r="H8" s="26" t="inlineStr">
        <is>
          <t>EVET</t>
        </is>
      </c>
      <c r="I8" s="28">
        <f>IF($A8="","",SUMIF(tblAvans[KaynakKartId],$A8,tblAvans[KalanBakiye]))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KIR-00004</t>
        </is>
      </c>
      <c r="B9" s="26" t="inlineStr">
        <is>
          <t>Can Özkan</t>
        </is>
      </c>
      <c r="C9" s="26" t="inlineStr">
        <is>
          <t>Nilüfer Konut</t>
        </is>
      </c>
      <c r="D9" s="26" t="inlineStr">
        <is>
          <t>Bursa</t>
        </is>
      </c>
      <c r="E9" s="26" t="inlineStr">
        <is>
          <t>SZL-2026-004</t>
        </is>
      </c>
      <c r="F9" s="27" t="n">
        <v>14000</v>
      </c>
      <c r="G9" s="26" t="inlineStr">
        <is>
          <t>Normal</t>
        </is>
      </c>
      <c r="H9" s="26" t="inlineStr">
        <is>
          <t>EVET</t>
        </is>
      </c>
      <c r="I9" s="28">
        <f>IF($A9="","",SUMIF(tblAvans[KaynakKartId],$A9,tblAvans[KalanBakiye]))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KIR-00005</t>
        </is>
      </c>
      <c r="B10" s="26" t="inlineStr">
        <is>
          <t>Zeynep Arslan</t>
        </is>
      </c>
      <c r="C10" s="26" t="inlineStr">
        <is>
          <t>Muratpaşa Villa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28000</v>
      </c>
      <c r="G10" s="26" t="inlineStr">
        <is>
          <t>Normal</t>
        </is>
      </c>
      <c r="H10" s="26" t="inlineStr">
        <is>
          <t>EVET</t>
        </is>
      </c>
      <c r="I10" s="28">
        <f>IF($A10="","",SUMIF(tblAvans[KaynakKartId],$A10,tblAvans[KalanBakiye]))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KIR-00006</t>
        </is>
      </c>
      <c r="B11" s="26" t="inlineStr">
        <is>
          <t>Hakan Çelik</t>
        </is>
      </c>
      <c r="C11" s="26" t="inlineStr">
        <is>
          <t>İzmit Loft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15000</v>
      </c>
      <c r="G11" s="26" t="inlineStr">
        <is>
          <t>Normal</t>
        </is>
      </c>
      <c r="H11" s="26" t="inlineStr">
        <is>
          <t>EVET</t>
        </is>
      </c>
      <c r="I11" s="28">
        <f>IF($A11="","",SUMIF(tblAvans[KaynakKartId],$A11,tblAvans[KalanBakiye]))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KIR-00007</t>
        </is>
      </c>
      <c r="B12" s="26" t="inlineStr">
        <is>
          <t>Selin Aydın</t>
        </is>
      </c>
      <c r="C12" s="26" t="inlineStr">
        <is>
          <t>Seyhan Daire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12000</v>
      </c>
      <c r="G12" s="26" t="inlineStr">
        <is>
          <t>Normal</t>
        </is>
      </c>
      <c r="H12" s="26" t="inlineStr">
        <is>
          <t>EVET</t>
        </is>
      </c>
      <c r="I12" s="28">
        <f>IF($A12="","",SUMIF(tblAvans[KaynakKartId],$A12,tblAvans[KalanBakiye]))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KIR-00008</t>
        </is>
      </c>
      <c r="B13" s="26" t="inlineStr">
        <is>
          <t>Burak Şahin</t>
        </is>
      </c>
      <c r="C13" s="26" t="inlineStr">
        <is>
          <t>Şehitkamil Dükkan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11000</v>
      </c>
      <c r="G13" s="26" t="inlineStr">
        <is>
          <t>Normal</t>
        </is>
      </c>
      <c r="H13" s="26" t="inlineStr">
        <is>
          <t>EVET</t>
        </is>
      </c>
      <c r="I13" s="28">
        <f>IF($A13="","",SUMIF(tblAvans[KaynakKartId],$A13,tblAvans[KalanBakiye]))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IF($A14="","",SUMIF(tblAvans[KaynakKartId],$A14,tblAvans[KalanBakiye]))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IF($A15="","",SUMIF(tblAvans[KaynakKartId],$A15,tblAvans[KalanBakiye]))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IF($A16="","",SUMIF(tblAvans[KaynakKartId],$A16,tblAvans[KalanBakiye]))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IF($A17="","",SUMIF(tblAvans[KaynakKartId],$A17,tblAvans[KalanBakiye]))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IF($A18="","",SUMIF(tblAvans[KaynakKartId],$A18,tblAvans[KalanBakiye]))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IF($A19="","",SUMIF(tblAvans[KaynakKartId],$A19,tblAvans[KalanBakiye]))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IF($A20="","",SUMIF(tblAvans[KaynakKartId],$A20,tblAvans[KalanBakiye]))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IF($A21="","",SUMIF(tblAvans[KaynakKartId],$A21,tblAvans[KalanBakiye]))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IF($A22="","",SUMIF(tblAvans[KaynakKartId],$A22,tblAvans[KalanBakiye]))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IF($A23="","",SUMIF(tblAvans[KaynakKartId],$A23,tblAvans[KalanBakiye]))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IF($A24="","",SUMIF(tblAvans[KaynakKartId],$A24,tblAvans[KalanBakiye]))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IF($A25="","",SUMIF(tblAvans[KaynakKartId],$A25,tblAvans[KalanBakiye]))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IF($A26="","",SUMIF(tblAvans[KaynakKartId],$A26,tblAvans[KalanBakiye]))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IF($A27="","",SUMIF(tblAvans[KaynakKartId],$A27,tblAvans[KalanBakiye]))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IF($A28="","",SUMIF(tblAvans[KaynakKartId],$A28,tblAvans[KalanBakiye]))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IF($A29="","",SUMIF(tblAvans[KaynakKartId],$A29,tblAvans[KalanBakiye]))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IF($A30="","",SUMIF(tblAvans[KaynakKartId],$A30,tblAvans[KalanBakiye]))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IF($A31="","",SUMIF(tblAvans[KaynakKartId],$A31,tblAvans[KalanBakiye]))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IF($A32="","",SUMIF(tblAvans[KaynakKartId],$A32,tblAvans[KalanBakiye]))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IF($A33="","",SUMIF(tblAvans[KaynakKartId],$A33,tblAvans[KalanBakiye]))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IF($A34="","",SUMIF(tblAvans[KaynakKartId],$A34,tblAvans[KalanBakiye]))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IF($A35="","",SUMIF(tblAvans[KaynakKartId],$A35,tblAvans[KalanBakiye]))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IF($A36="","",SUMIF(tblAvans[KaynakKartId],$A36,tblAvans[KalanBakiye]))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IF($A37="","",SUMIF(tblAvans[KaynakKartId],$A37,tblAvans[KalanBakiye]))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IF($A38="","",SUMIF(tblAvans[KaynakKartId],$A38,tblAvans[KalanBakiye]))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IF($A39="","",SUMIF(tblAvans[KaynakKartId],$A39,tblAvans[KalanBakiye]))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IF($A40="","",SUMIF(tblAvans[KaynakKartId],$A40,tblAvans[KalanBakiye]))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IF($A41="","",SUMIF(tblAvans[KaynakKartId],$A41,tblAvans[KalanBakiye]))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IF($A42="","",SUMIF(tblAvans[KaynakKartId],$A42,tblAvans[KalanBakiye]))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IF($A43="","",SUMIF(tblAvans[KaynakKartId],$A43,tblAvans[KalanBakiye]))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IF($A44="","",SUMIF(tblAvans[KaynakKartId],$A44,tblAvans[KalanBakiye]))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IF($A45="","",SUMIF(tblAvans[KaynakKartId],$A45,tblAvans[KalanBakiye]))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IF($A46="","",SUMIF(tblAvans[KaynakKartId],$A46,tblAvans[KalanBakiye]))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IF($A47="","",SUMIF(tblAvans[KaynakKartId],$A47,tblAvans[KalanBakiye]))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IF($A48="","",SUMIF(tblAvans[KaynakKartId],$A48,tblAvans[KalanBakiye]))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IF($A49="","",SUMIF(tblAvans[KaynakKartId],$A49,tblAvans[KalanBakiye]))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IF($A50="","",SUMIF(tblAvans[KaynakKartId],$A50,tblAvans[KalanBakiye]))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IF($A51="","",SUMIF(tblAvans[KaynakKartId],$A51,tblAvans[KalanBakiye]))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IF($A52="","",SUMIF(tblAvans[KaynakKartId],$A52,tblAvans[KalanBakiye]))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IF($A53="","",SUMIF(tblAvans[KaynakKartId],$A53,tblAvans[KalanBakiye]))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IF($A54="","",SUMIF(tblAvans[KaynakKartId],$A54,tblAvans[KalanBakiye]))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IF($A55="","",SUMIF(tblAvans[KaynakKartId],$A55,tblAvans[KalanBakiye]))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IF($A56="","",SUMIF(tblAvans[KaynakKartId],$A56,tblAvans[KalanBakiye]))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IF($A57="","",SUMIF(tblAvans[KaynakKartId],$A57,tblAvans[KalanBakiye]))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IF($A58="","",SUMIF(tblAvans[KaynakKartId],$A58,tblAvans[KalanBakiye]))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IF($A59="","",SUMIF(tblAvans[KaynakKartId],$A59,tblAvans[KalanBakiye]))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IF($A60="","",SUMIF(tblAvans[KaynakKartId],$A60,tblAvans[KalanBakiye]))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IF($A61="","",SUMIF(tblAvans[KaynakKartId],$A61,tblAvans[KalanBakiye]))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IF($A62="","",SUMIF(tblAvans[KaynakKartId],$A62,tblAvans[KalanBakiye]))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IF($A63="","",SUMIF(tblAvans[KaynakKartId],$A63,tblAvans[KalanBakiye]))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IF($A64="","",SUMIF(tblAvans[KaynakKartId],$A64,tblAvans[KalanBakiye]))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IF($A65="","",SUMIF(tblAvans[KaynakKartId],$A65,tblAvans[KalanBakiye]))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IF($A66="","",SUMIF(tblAvans[KaynakKartId],$A66,tblAvans[KalanBakiye]))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IF($A67="","",SUMIF(tblAvans[KaynakKartId],$A67,tblAvans[KalanBakiye]))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IF($A68="","",SUMIF(tblAvans[KaynakKartId],$A68,tblAvans[KalanBakiye]))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IF($A69="","",SUMIF(tblAvans[KaynakKartId],$A69,tblAvans[KalanBakiye]))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IF($A70="","",SUMIF(tblAvans[KaynakKartId],$A70,tblAvans[KalanBakiye]))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IF($A71="","",SUMIF(tblAvans[KaynakKartId],$A71,tblAvans[KalanBakiye]))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IF($A72="","",SUMIF(tblAvans[KaynakKartId],$A72,tblAvans[KalanBakiye]))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IF($A73="","",SUMIF(tblAvans[KaynakKartId],$A73,tblAvans[KalanBakiye]))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IF($A74="","",SUMIF(tblAvans[KaynakKartId],$A74,tblAvans[KalanBakiye]))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IF($A75="","",SUMIF(tblAvans[KaynakKartId],$A75,tblAvans[KalanBakiye]))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IF($A76="","",SUMIF(tblAvans[KaynakKartId],$A76,tblAvans[KalanBakiye]))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IF($A77="","",SUMIF(tblAvans[KaynakKartId],$A77,tblAvans[KalanBakiye]))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IF($A78="","",SUMIF(tblAvans[KaynakKartId],$A78,tblAvans[KalanBakiye]))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IF($A79="","",SUMIF(tblAvans[KaynakKartId],$A79,tblAvans[KalanBakiye]))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IF($A80="","",SUMIF(tblAvans[KaynakKartId],$A80,tblAvans[KalanBakiye]))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IF($A81="","",SUMIF(tblAvans[KaynakKartId],$A81,tblAvans[KalanBakiye]))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IF($A82="","",SUMIF(tblAvans[KaynakKartId],$A82,tblAvans[KalanBakiye]))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IF($A83="","",SUMIF(tblAvans[KaynakKartId],$A83,tblAvans[KalanBakiye]))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IF($A84="","",SUMIF(tblAvans[KaynakKartId],$A84,tblAvans[KalanBakiye]))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IF($A85="","",SUMIF(tblAvans[KaynakKartId],$A85,tblAvans[KalanBakiye]))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IF($A86="","",SUMIF(tblAvans[KaynakKartId],$A86,tblAvans[KalanBakiye]))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IF($A87="","",SUMIF(tblAvans[KaynakKartId],$A87,tblAvans[KalanBakiye]))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IF($A88="","",SUMIF(tblAvans[KaynakKartId],$A88,tblAvans[KalanBakiye]))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IF($A89="","",SUMIF(tblAvans[KaynakKartId],$A89,tblAvans[KalanBakiye]))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IF($A90="","",SUMIF(tblAvans[KaynakKartId],$A90,tblAvans[KalanBakiye]))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IF($A91="","",SUMIF(tblAvans[KaynakKartId],$A91,tblAvans[KalanBakiye]))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IF($A92="","",SUMIF(tblAvans[KaynakKartId],$A92,tblAvans[KalanBakiye]))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IF($A93="","",SUMIF(tblAvans[KaynakKartId],$A93,tblAvans[KalanBakiye]))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IF($A94="","",SUMIF(tblAvans[KaynakKartId],$A94,tblAvans[KalanBakiye]))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IF($A95="","",SUMIF(tblAvans[KaynakKartId],$A95,tblAvans[KalanBakiye]))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IF($A96="","",SUMIF(tblAvans[KaynakKartId],$A96,tblAvans[KalanBakiye]))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IF($A97="","",SUMIF(tblAvans[KaynakKartId],$A97,tblAvans[KalanBakiye]))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IF($A98="","",SUMIF(tblAvans[KaynakKartId],$A98,tblAvans[KalanBakiye]))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IF($A99="","",SUMIF(tblAvans[KaynakKartId],$A99,tblAvans[KalanBakiye]))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IF($A100="","",SUMIF(tblAvans[KaynakKartId],$A100,tblAvans[KalanBakiye]))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IF($A101="","",SUMIF(tblAvans[KaynakKartId],$A101,tblAvans[KalanBakiye]))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IF($A102="","",SUMIF(tblAvans[KaynakKartId],$A102,tblAvans[KalanBakiye]))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IF($A103="","",SUMIF(tblAvans[KaynakKartId],$A103,tblAvans[KalanBakiye]))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IF($A104="","",SUMIF(tblAvans[KaynakKartId],$A104,tblAvans[KalanBakiye]))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IF($A105="","",SUMIF(tblAvans[KaynakKartId],$A105,tblAvans[KalanBakiye]))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IF($A106="","",SUMIF(tblAvans[KaynakKartId],$A106,tblAvans[KalanBakiye]))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IF($A107="","",SUMIF(tblAvans[KaynakKartId],$A107,tblAvans[KalanBakiye]))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IF($A108="","",SUMIF(tblAvans[KaynakKartId],$A108,tblAvans[KalanBakiye]))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IF($A109="","",SUMIF(tblAvans[KaynakKartId],$A109,tblAvans[KalanBakiye]))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IF($A110="","",SUMIF(tblAvans[KaynakKartId],$A110,tblAvans[KalanBakiye]))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IF($A111="","",SUMIF(tblAvans[KaynakKartId],$A111,tblAvans[KalanBakiye]))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IF($A112="","",SUMIF(tblAvans[KaynakKartId],$A112,tblAvans[KalanBakiye]))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IF($A113="","",SUMIF(tblAvans[KaynakKartId],$A113,tblAvans[KalanBakiye]))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IF($A114="","",SUMIF(tblAvans[KaynakKartId],$A114,tblAvans[KalanBakiye]))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IF($A115="","",SUMIF(tblAvans[KaynakKartId],$A115,tblAvans[KalanBakiye]))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IF($A116="","",SUMIF(tblAvans[KaynakKartId],$A116,tblAvans[KalanBakiye]))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IF($A117="","",SUMIF(tblAvans[KaynakKartId],$A117,tblAvans[KalanBakiye]))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IF($A118="","",SUMIF(tblAvans[KaynakKartId],$A118,tblAvans[KalanBakiye]))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IF($A119="","",SUMIF(tblAvans[KaynakKartId],$A119,tblAvans[KalanBakiye]))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IF($A120="","",SUMIF(tblAvans[KaynakKartId],$A120,tblAvans[KalanBakiye]))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IF($A121="","",SUMIF(tblAvans[KaynakKartId],$A121,tblAvans[KalanBakiye]))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IF($A122="","",SUMIF(tblAvans[KaynakKartId],$A122,tblAvans[KalanBakiye]))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IF($A123="","",SUMIF(tblAvans[KaynakKartId],$A123,tblAvans[KalanBakiye]))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IF($A124="","",SUMIF(tblAvans[KaynakKartId],$A124,tblAvans[KalanBakiye]))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IF($A125="","",SUMIF(tblAvans[KaynakKartId],$A125,tblAvans[KalanBakiye]))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IF($A126="","",SUMIF(tblAvans[KaynakKartId],$A126,tblAvans[KalanBakiye]))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IF($A127="","",SUMIF(tblAvans[KaynakKartId],$A127,tblAvans[KalanBakiye]))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IF($A128="","",SUMIF(tblAvans[KaynakKartId],$A128,tblAvans[KalanBakiye]))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IF($A129="","",SUMIF(tblAvans[KaynakKartId],$A129,tblAvans[KalanBakiye]))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IF($A130="","",SUMIF(tblAvans[KaynakKartId],$A130,tblAvans[KalanBakiye]))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IF($A131="","",SUMIF(tblAvans[KaynakKartId],$A131,tblAvans[KalanBakiye]))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IF($A132="","",SUMIF(tblAvans[KaynakKartId],$A132,tblAvans[KalanBakiye]))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IF($A133="","",SUMIF(tblAvans[KaynakKartId],$A133,tblAvans[KalanBakiye]))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IF($A134="","",SUMIF(tblAvans[KaynakKartId],$A134,tblAvans[KalanBakiye]))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IF($A135="","",SUMIF(tblAvans[KaynakKartId],$A135,tblAvans[KalanBakiye]))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IF($A136="","",SUMIF(tblAvans[KaynakKartId],$A136,tblAvans[KalanBakiye]))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IF($A137="","",SUMIF(tblAvans[KaynakKartId],$A137,tblAvans[KalanBakiye]))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IF($A138="","",SUMIF(tblAvans[KaynakKartId],$A138,tblAvans[KalanBakiye]))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IF($A139="","",SUMIF(tblAvans[KaynakKartId],$A139,tblAvans[KalanBakiye]))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IF($A140="","",SUMIF(tblAvans[KaynakKartId],$A140,tblAvans[KalanBakiye]))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IF($A141="","",SUMIF(tblAvans[KaynakKartId],$A141,tblAvans[KalanBakiye]))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IF($A142="","",SUMIF(tblAvans[KaynakKartId],$A142,tblAvans[KalanBakiye]))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IF($A143="","",SUMIF(tblAvans[KaynakKartId],$A143,tblAvans[KalanBakiye]))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IF($A144="","",SUMIF(tblAvans[KaynakKartId],$A144,tblAvans[KalanBakiye]))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IF($A145="","",SUMIF(tblAvans[KaynakKartId],$A145,tblAvans[KalanBakiye]))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IF($A146="","",SUMIF(tblAvans[KaynakKartId],$A146,tblAvans[KalanBakiye]))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IF($A147="","",SUMIF(tblAvans[KaynakKartId],$A147,tblAvans[KalanBakiye]))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IF($A148="","",SUMIF(tblAvans[KaynakKartId],$A148,tblAvans[KalanBakiye]))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IF($A149="","",SUMIF(tblAvans[KaynakKartId],$A149,tblAvans[KalanBakiye]))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IF($A150="","",SUMIF(tblAvans[KaynakKartId],$A150,tblAvans[KalanBakiye]))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IF($A151="","",SUMIF(tblAvans[KaynakKartId],$A151,tblAvans[KalanBakiye]))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IF($A152="","",SUMIF(tblAvans[KaynakKartId],$A152,tblAvans[KalanBakiye]))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IF($A153="","",SUMIF(tblAvans[KaynakKartId],$A153,tblAvans[KalanBakiye]))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IF($A154="","",SUMIF(tblAvans[KaynakKartId],$A154,tblAvans[KalanBakiye]))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IF($A155="","",SUMIF(tblAvans[KaynakKartId],$A155,tblAvans[KalanBakiye]))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IF($A156="","",SUMIF(tblAvans[KaynakKartId],$A156,tblAvans[KalanBakiye]))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IF($A157="","",SUMIF(tblAvans[KaynakKartId],$A157,tblAvans[KalanBakiye]))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IF($A158="","",SUMIF(tblAvans[KaynakKartId],$A158,tblAvans[KalanBakiye]))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IF($A159="","",SUMIF(tblAvans[KaynakKartId],$A159,tblAvans[KalanBakiye]))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IF($A160="","",SUMIF(tblAvans[KaynakKartId],$A160,tblAvans[KalanBakiye]))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IF($A161="","",SUMIF(tblAvans[KaynakKartId],$A161,tblAvans[KalanBakiye]))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IF($A162="","",SUMIF(tblAvans[KaynakKartId],$A162,tblAvans[KalanBakiye]))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IF($A163="","",SUMIF(tblAvans[KaynakKartId],$A163,tblAvans[KalanBakiye]))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IF($A164="","",SUMIF(tblAvans[KaynakKartId],$A164,tblAvans[KalanBakiye]))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IF($A165="","",SUMIF(tblAvans[KaynakKartId],$A165,tblAvans[KalanBakiye]))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IF($A166="","",SUMIF(tblAvans[KaynakKartId],$A166,tblAvans[KalanBakiye]))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IF($A167="","",SUMIF(tblAvans[KaynakKartId],$A167,tblAvans[KalanBakiye]))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IF($A168="","",SUMIF(tblAvans[KaynakKartId],$A168,tblAvans[KalanBakiye]))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IF($A169="","",SUMIF(tblAvans[KaynakKartId],$A169,tblAvans[KalanBakiye]))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IF($A170="","",SUMIF(tblAvans[KaynakKartId],$A170,tblAvans[KalanBakiye]))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IF($A171="","",SUMIF(tblAvans[KaynakKartId],$A171,tblAvans[KalanBakiye]))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IF($A172="","",SUMIF(tblAvans[KaynakKartId],$A172,tblAvans[KalanBakiye]))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IF($A173="","",SUMIF(tblAvans[KaynakKartId],$A173,tblAvans[KalanBakiye]))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IF($A174="","",SUMIF(tblAvans[KaynakKartId],$A174,tblAvans[KalanBakiye]))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IF($A175="","",SUMIF(tblAvans[KaynakKartId],$A175,tblAvans[KalanBakiye]))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IF($A176="","",SUMIF(tblAvans[KaynakKartId],$A176,tblAvans[KalanBakiye]))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IF($A177="","",SUMIF(tblAvans[KaynakKartId],$A177,tblAvans[KalanBakiye]))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IF($A178="","",SUMIF(tblAvans[KaynakKartId],$A178,tblAvans[KalanBakiye]))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IF($A179="","",SUMIF(tblAvans[KaynakKartId],$A179,tblAvans[KalanBakiye]))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IF($A180="","",SUMIF(tblAvans[KaynakKartId],$A180,tblAvans[KalanBakiye]))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IF($A181="","",SUMIF(tblAvans[KaynakKartId],$A181,tblAvans[KalanBakiye]))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IF($A182="","",SUMIF(tblAvans[KaynakKartId],$A182,tblAvans[KalanBakiye]))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IF($A183="","",SUMIF(tblAvans[KaynakKartId],$A183,tblAvans[KalanBakiye]))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IF($A184="","",SUMIF(tblAvans[KaynakKartId],$A184,tblAvans[KalanBakiye]))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IF($A185="","",SUMIF(tblAvans[KaynakKartId],$A185,tblAvans[KalanBakiye]))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IF($A186="","",SUMIF(tblAvans[KaynakKartId],$A186,tblAvans[KalanBakiye]))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IF($A187="","",SUMIF(tblAvans[KaynakKartId],$A187,tblAvans[KalanBakiye]))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IF($A188="","",SUMIF(tblAvans[KaynakKartId],$A188,tblAvans[KalanBakiye]))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IF($A189="","",SUMIF(tblAvans[KaynakKartId],$A189,tblAvans[KalanBakiye]))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IF($A190="","",SUMIF(tblAvans[KaynakKartId],$A190,tblAvans[KalanBakiye]))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IF($A191="","",SUMIF(tblAvans[KaynakKartId],$A191,tblAvans[KalanBakiye]))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IF($A192="","",SUMIF(tblAvans[KaynakKartId],$A192,tblAvans[KalanBakiye]))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IF($A193="","",SUMIF(tblAvans[KaynakKartId],$A193,tblAvans[KalanBakiye]))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IF($A194="","",SUMIF(tblAvans[KaynakKartId],$A194,tblAvans[KalanBakiye]))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IF($A195="","",SUMIF(tblAvans[KaynakKartId],$A195,tblAvans[KalanBakiye]))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IF($A196="","",SUMIF(tblAvans[KaynakKartId],$A196,tblAvans[KalanBakiye]))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IF($A197="","",SUMIF(tblAvans[KaynakKartId],$A197,tblAvans[KalanBakiye]))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IF($A198="","",SUMIF(tblAvans[KaynakKartId],$A198,tblAvans[KalanBakiye]))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IF($A199="","",SUMIF(tblAvans[KaynakKartId],$A199,tblAvans[KalanBakiye]))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IF($A200="","",SUMIF(tblAvans[KaynakKartId],$A200,tblAvans[KalanBakiye]))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IF($A201="","",SUMIF(tblAvans[KaynakKartId],$A201,tblAvans[KalanBakiye]))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IF($A202="","",SUMIF(tblAvans[KaynakKartId],$A202,tblAvans[KalanBakiye]))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IF($A203="","",SUMIF(tblAvans[KaynakKartId],$A203,tblAvans[KalanBakiye]))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IF($A204="","",SUMIF(tblAvans[KaynakKartId],$A204,tblAvans[KalanBakiye]))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IF($A205="","",SUMIF(tblAvans[KaynakKartId],$A205,tblAvans[KalanBakiye]))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IF($A206="","",SUMIF(tblAvans[KaynakKartId],$A206,tblAvans[KalanBakiye]))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IF($A207="","",SUMIF(tblAvans[KaynakKartId],$A207,tblAvans[KalanBakiye]))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IF($A208="","",SUMIF(tblAvans[KaynakKartId],$A208,tblAvans[KalanBakiye]))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IF($A209="","",SUMIF(tblAvans[KaynakKartId],$A209,tblAvans[KalanBakiye]))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IF($A210="","",SUMIF(tblAvans[KaynakKartId],$A210,tblAvans[KalanBakiye]))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IF($A211="","",SUMIF(tblAvans[KaynakKartId],$A211,tblAvans[KalanBakiye]))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IF($A212="","",SUMIF(tblAvans[KaynakKartId],$A212,tblAvans[KalanBakiye]))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IF($A213="","",SUMIF(tblAvans[KaynakKartId],$A213,tblAvans[KalanBakiye]))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IF($A214="","",SUMIF(tblAvans[KaynakKartId],$A214,tblAvans[KalanBakiye]))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IF($A215="","",SUMIF(tblAvans[KaynakKartId],$A215,tblAvans[KalanBakiye]))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IF($A216="","",SUMIF(tblAvans[KaynakKartId],$A216,tblAvans[KalanBakiye]))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IF($A217="","",SUMIF(tblAvans[KaynakKartId],$A217,tblAvans[KalanBakiye]))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IF($A218="","",SUMIF(tblAvans[KaynakKartId],$A218,tblAvans[KalanBakiye]))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IF($A219="","",SUMIF(tblAvans[KaynakKartId],$A219,tblAvans[KalanBakiye]))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IF($A220="","",SUMIF(tblAvans[KaynakKartId],$A220,tblAvans[KalanBakiye]))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IF($A221="","",SUMIF(tblAvans[KaynakKartId],$A221,tblAvans[KalanBakiye]))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IF($A222="","",SUMIF(tblAvans[KaynakKartId],$A222,tblAvans[KalanBakiye]))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IF($A223="","",SUMIF(tblAvans[KaynakKartId],$A223,tblAvans[KalanBakiye]))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IF($A224="","",SUMIF(tblAvans[KaynakKartId],$A224,tblAvans[KalanBakiye]))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IF($A225="","",SUMIF(tblAvans[KaynakKartId],$A225,tblAvans[KalanBakiye]))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IF($A226="","",SUMIF(tblAvans[KaynakKartId],$A226,tblAvans[KalanBakiye]))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IF($A227="","",SUMIF(tblAvans[KaynakKartId],$A227,tblAvans[KalanBakiye]))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IF($A228="","",SUMIF(tblAvans[KaynakKartId],$A228,tblAvans[KalanBakiye]))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IF($A229="","",SUMIF(tblAvans[KaynakKartId],$A229,tblAvans[KalanBakiye]))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IF($A230="","",SUMIF(tblAvans[KaynakKartId],$A230,tblAvans[KalanBakiye]))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IF($A231="","",SUMIF(tblAvans[KaynakKartId],$A231,tblAvans[KalanBakiye]))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IF($A232="","",SUMIF(tblAvans[KaynakKartId],$A232,tblAvans[KalanBakiye]))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IF($A233="","",SUMIF(tblAvans[KaynakKartId],$A233,tblAvans[KalanBakiye]))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IF($A234="","",SUMIF(tblAvans[KaynakKartId],$A234,tblAvans[KalanBakiye]))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IF($A235="","",SUMIF(tblAvans[KaynakKartId],$A235,tblAvans[KalanBakiye]))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IF($A236="","",SUMIF(tblAvans[KaynakKartId],$A236,tblAvans[KalanBakiye]))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IF($A237="","",SUMIF(tblAvans[KaynakKartId],$A237,tblAvans[KalanBakiye]))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IF($A238="","",SUMIF(tblAvans[KaynakKartId],$A238,tblAvans[KalanBakiye]))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IF($A239="","",SUMIF(tblAvans[KaynakKartId],$A239,tblAvans[KalanBakiye]))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IF($A240="","",SUMIF(tblAvans[KaynakKartId],$A240,tblAvans[KalanBakiye]))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IF($A241="","",SUMIF(tblAvans[KaynakKartId],$A241,tblAvans[KalanBakiye]))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IF($A242="","",SUMIF(tblAvans[KaynakKartId],$A242,tblAvans[KalanBakiye]))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IF($A243="","",SUMIF(tblAvans[KaynakKartId],$A243,tblAvans[KalanBakiye]))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IF($A244="","",SUMIF(tblAvans[KaynakKartId],$A244,tblAvans[KalanBakiye]))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IF($A245="","",SUMIF(tblAvans[KaynakKartId],$A245,tblAvans[KalanBakiye]))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IF($A246="","",SUMIF(tblAvans[KaynakKartId],$A246,tblAvans[KalanBakiye]))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IF($A247="","",SUMIF(tblAvans[KaynakKartId],$A247,tblAvans[KalanBakiye]))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IF($A248="","",SUMIF(tblAvans[KaynakKartId],$A248,tblAvans[KalanBakiye]))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IF($A249="","",SUMIF(tblAvans[KaynakKartId],$A249,tblAvans[KalanBakiye]))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IF($A250="","",SUMIF(tblAvans[KaynakKartId],$A250,tblAvans[KalanBakiye]))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IF($A251="","",SUMIF(tblAvans[KaynakKartId],$A251,tblAvans[KalanBakiye]))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IF($A252="","",SUMIF(tblAvans[KaynakKartId],$A252,tblAvans[KalanBakiye]))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IF($A253="","",SUMIF(tblAvans[KaynakKartId],$A253,tblAvans[KalanBakiye]))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IF($A254="","",SUMIF(tblAvans[KaynakKartId],$A254,tblAvans[KalanBakiye]))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IF($A255="","",SUMIF(tblAvans[KaynakKartId],$A255,tblAvans[KalanBakiye]))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20000</formula>
    </cfRule>
  </conditionalFormatting>
  <dataValidations count="8">
    <dataValidation sqref="A6:A255" showDropDown="0" showInputMessage="1" showErrorMessage="1" allowBlank="1" errorTitle="Kimlik" error="En az 1 karakter" promptTitle="Kart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aşınmaz" error="Geçersiz" promptTitle="Taşınmaz" prompt="Taşınmaz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Kira" error="0 veya üzeri" promptTitle="Aylık Kira" prompt="Kir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3D4C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7.5" customWidth="1" min="6" max="6"/>
    <col width="14.5" customWidth="1" min="7" max="7"/>
    <col width="13.5" customWidth="1" min="8" max="8"/>
    <col width="15.5" customWidth="1" min="9" max="9"/>
    <col width="15.5" customWidth="1" min="10" max="10"/>
    <col width="12" customWidth="1" min="11" max="11"/>
    <col width="12" customWidth="1" min="12" max="12"/>
    <col width="25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9" t="inlineStr">
        <is>
          <t>AKIS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</row>
    <row r="2"/>
    <row r="3" ht="22" customHeight="1">
      <c r="A3" s="199" t="inlineStr">
        <is>
          <t>Kira olay satırları — durum makinesi + yetim + geçersiz geçiş + zincir bayrakları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SozlesmeTutar</t>
        </is>
      </c>
      <c r="G5" s="25" t="inlineStr">
        <is>
          <t>AvansTutar</t>
        </is>
      </c>
      <c r="H5" s="25" t="inlineStr">
        <is>
          <t>KiraTutar</t>
        </is>
      </c>
      <c r="I5" s="25" t="inlineStr">
        <is>
          <t>MahsupTutar</t>
        </is>
      </c>
      <c r="J5" s="25" t="inlineStr">
        <is>
          <t>DekontTutar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KAD-00001</t>
        </is>
      </c>
      <c r="B6" s="26" t="inlineStr">
        <is>
          <t>KIR-00001</t>
        </is>
      </c>
      <c r="C6" s="29" t="n">
        <v>46245</v>
      </c>
      <c r="D6" s="26" t="n"/>
      <c r="E6" s="26" t="inlineStr">
        <is>
          <t>BEKLIYOR</t>
        </is>
      </c>
      <c r="F6" s="27" t="n">
        <v>18000</v>
      </c>
      <c r="G6" s="27" t="n">
        <v>36000</v>
      </c>
      <c r="H6" s="27" t="n">
        <v>18000</v>
      </c>
      <c r="I6" s="27" t="n">
        <v>0</v>
      </c>
      <c r="J6" s="27" t="n">
        <v>0</v>
      </c>
      <c r="K6" s="27" t="n">
        <v>18000</v>
      </c>
      <c r="L6" s="26" t="inlineStr">
        <is>
          <t>2026-08</t>
        </is>
      </c>
      <c r="M6" s="26" t="inlineStr">
        <is>
          <t>Kira tahsil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KAD-00002</t>
        </is>
      </c>
      <c r="B7" s="26" t="inlineStr">
        <is>
          <t>KIR-00002</t>
        </is>
      </c>
      <c r="C7" s="29" t="n">
        <v>46242</v>
      </c>
      <c r="D7" s="26" t="inlineStr">
        <is>
          <t>BEKLIYOR</t>
        </is>
      </c>
      <c r="E7" s="26" t="inlineStr">
        <is>
          <t>TAHSIL</t>
        </is>
      </c>
      <c r="F7" s="27" t="n">
        <v>22000</v>
      </c>
      <c r="G7" s="27" t="n">
        <v>44000</v>
      </c>
      <c r="H7" s="27" t="n">
        <v>22000</v>
      </c>
      <c r="I7" s="27" t="n">
        <v>0</v>
      </c>
      <c r="J7" s="27" t="n">
        <v>22000</v>
      </c>
      <c r="K7" s="27" t="n">
        <v>22000</v>
      </c>
      <c r="L7" s="26" t="inlineStr">
        <is>
          <t>2026-08</t>
        </is>
      </c>
      <c r="M7" s="26" t="inlineStr">
        <is>
          <t>Kira tahsil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KAD-00003</t>
        </is>
      </c>
      <c r="B8" s="26" t="inlineStr">
        <is>
          <t>KIR-00003</t>
        </is>
      </c>
      <c r="C8" s="29" t="n">
        <v>46239</v>
      </c>
      <c r="D8" s="26" t="inlineStr">
        <is>
          <t>TAHSIL</t>
        </is>
      </c>
      <c r="E8" s="26" t="inlineStr">
        <is>
          <t>MAHSUP</t>
        </is>
      </c>
      <c r="F8" s="27" t="n">
        <v>16000</v>
      </c>
      <c r="G8" s="27" t="n">
        <v>32000</v>
      </c>
      <c r="H8" s="27" t="n">
        <v>16000</v>
      </c>
      <c r="I8" s="27" t="n">
        <v>16000</v>
      </c>
      <c r="J8" s="27" t="n">
        <v>0</v>
      </c>
      <c r="K8" s="27" t="n">
        <v>16000</v>
      </c>
      <c r="L8" s="26" t="inlineStr">
        <is>
          <t>2026-08</t>
        </is>
      </c>
      <c r="M8" s="26" t="inlineStr">
        <is>
          <t>Kira tahsil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KAD-00004</t>
        </is>
      </c>
      <c r="B9" s="26" t="inlineStr">
        <is>
          <t>KIR-00004</t>
        </is>
      </c>
      <c r="C9" s="29" t="n">
        <v>46236</v>
      </c>
      <c r="D9" s="26" t="inlineStr">
        <is>
          <t>MAHSUP</t>
        </is>
      </c>
      <c r="E9" s="26" t="inlineStr">
        <is>
          <t>KAPALI</t>
        </is>
      </c>
      <c r="F9" s="27" t="n">
        <v>14000</v>
      </c>
      <c r="G9" s="27" t="n">
        <v>28000</v>
      </c>
      <c r="H9" s="27" t="n">
        <v>14000</v>
      </c>
      <c r="I9" s="27" t="n">
        <v>0</v>
      </c>
      <c r="J9" s="27" t="n">
        <v>14000</v>
      </c>
      <c r="K9" s="27" t="n">
        <v>14000</v>
      </c>
      <c r="L9" s="26" t="inlineStr">
        <is>
          <t>2026-08</t>
        </is>
      </c>
      <c r="M9" s="26" t="inlineStr">
        <is>
          <t>Kira tahsil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KAD-00005</t>
        </is>
      </c>
      <c r="B10" s="26" t="inlineStr">
        <is>
          <t>KIR-00005</t>
        </is>
      </c>
      <c r="C10" s="29" t="n">
        <v>46233</v>
      </c>
      <c r="D10" s="26" t="inlineStr">
        <is>
          <t>BEKLIYOR</t>
        </is>
      </c>
      <c r="E10" s="26" t="inlineStr">
        <is>
          <t>IPTAL</t>
        </is>
      </c>
      <c r="F10" s="27" t="n">
        <v>28000</v>
      </c>
      <c r="G10" s="27" t="n">
        <v>56000</v>
      </c>
      <c r="H10" s="27" t="n">
        <v>28000</v>
      </c>
      <c r="I10" s="27" t="n">
        <v>0</v>
      </c>
      <c r="J10" s="27" t="n">
        <v>0</v>
      </c>
      <c r="K10" s="27" t="n">
        <v>28000</v>
      </c>
      <c r="L10" s="26" t="inlineStr">
        <is>
          <t>2026-08</t>
        </is>
      </c>
      <c r="M10" s="26" t="inlineStr">
        <is>
          <t>Kira tahsil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KAD-00006</t>
        </is>
      </c>
      <c r="B11" s="26" t="inlineStr">
        <is>
          <t>KIR-00006</t>
        </is>
      </c>
      <c r="C11" s="29" t="n">
        <v>46230</v>
      </c>
      <c r="D11" s="26" t="inlineStr">
        <is>
          <t>BEKLIYOR</t>
        </is>
      </c>
      <c r="E11" s="26" t="inlineStr">
        <is>
          <t>TAHSIL</t>
        </is>
      </c>
      <c r="F11" s="27" t="n">
        <v>15000</v>
      </c>
      <c r="G11" s="27" t="n">
        <v>30000</v>
      </c>
      <c r="H11" s="27" t="n">
        <v>15000</v>
      </c>
      <c r="I11" s="27" t="n">
        <v>0</v>
      </c>
      <c r="J11" s="27" t="n">
        <v>15000</v>
      </c>
      <c r="K11" s="27" t="n">
        <v>15000</v>
      </c>
      <c r="L11" s="26" t="inlineStr">
        <is>
          <t>2026-08</t>
        </is>
      </c>
      <c r="M11" s="26" t="inlineStr">
        <is>
          <t>Kira tahsil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KAD-00007</t>
        </is>
      </c>
      <c r="B12" s="26" t="inlineStr">
        <is>
          <t>KIR-00007</t>
        </is>
      </c>
      <c r="C12" s="29" t="n">
        <v>46227</v>
      </c>
      <c r="D12" s="26" t="n"/>
      <c r="E12" s="26" t="inlineStr">
        <is>
          <t>BEKLIYOR</t>
        </is>
      </c>
      <c r="F12" s="27" t="n">
        <v>12000</v>
      </c>
      <c r="G12" s="27" t="n">
        <v>24000</v>
      </c>
      <c r="H12" s="27" t="n">
        <v>12000</v>
      </c>
      <c r="I12" s="27" t="n">
        <v>0</v>
      </c>
      <c r="J12" s="27" t="n">
        <v>0</v>
      </c>
      <c r="K12" s="27" t="n">
        <v>12000</v>
      </c>
      <c r="L12" s="26" t="inlineStr">
        <is>
          <t>2026-08</t>
        </is>
      </c>
      <c r="M12" s="26" t="inlineStr">
        <is>
          <t>Kira tahsil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KAD-00008</t>
        </is>
      </c>
      <c r="B13" s="26" t="inlineStr">
        <is>
          <t>KIR-00008</t>
        </is>
      </c>
      <c r="C13" s="29" t="n">
        <v>46224</v>
      </c>
      <c r="D13" s="26" t="inlineStr">
        <is>
          <t>TAHSIL</t>
        </is>
      </c>
      <c r="E13" s="26" t="inlineStr">
        <is>
          <t>TAHSIL</t>
        </is>
      </c>
      <c r="F13" s="27" t="n">
        <v>11000</v>
      </c>
      <c r="G13" s="27" t="n">
        <v>22000</v>
      </c>
      <c r="H13" s="27" t="n">
        <v>11000</v>
      </c>
      <c r="I13" s="27" t="n">
        <v>0</v>
      </c>
      <c r="J13" s="27" t="n">
        <v>11000</v>
      </c>
      <c r="K13" s="27" t="n">
        <v>11000</v>
      </c>
      <c r="L13" s="26" t="inlineStr">
        <is>
          <t>2026-08</t>
        </is>
      </c>
      <c r="M13" s="26" t="inlineStr">
        <is>
          <t>Kira tahsil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KAD-00009</t>
        </is>
      </c>
      <c r="B14" s="26" t="inlineStr">
        <is>
          <t>KIR-00001</t>
        </is>
      </c>
      <c r="C14" s="29" t="n">
        <v>46221</v>
      </c>
      <c r="D14" s="26" t="n"/>
      <c r="E14" s="26" t="inlineStr">
        <is>
          <t>BEKLIYOR</t>
        </is>
      </c>
      <c r="F14" s="27" t="n">
        <v>18000</v>
      </c>
      <c r="G14" s="27" t="n">
        <v>36000</v>
      </c>
      <c r="H14" s="27" t="n">
        <v>18000</v>
      </c>
      <c r="I14" s="27" t="n">
        <v>0</v>
      </c>
      <c r="J14" s="27" t="n">
        <v>0</v>
      </c>
      <c r="K14" s="27" t="n">
        <v>18000</v>
      </c>
      <c r="L14" s="26" t="inlineStr">
        <is>
          <t>2026-08</t>
        </is>
      </c>
      <c r="M14" s="26" t="inlineStr">
        <is>
          <t>Kira tahsil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KAD-00010</t>
        </is>
      </c>
      <c r="B15" s="26" t="inlineStr">
        <is>
          <t>KIR-00002</t>
        </is>
      </c>
      <c r="C15" s="29" t="n">
        <v>46218</v>
      </c>
      <c r="D15" s="26" t="inlineStr">
        <is>
          <t>BEKLIYOR</t>
        </is>
      </c>
      <c r="E15" s="26" t="inlineStr">
        <is>
          <t>TAHSIL</t>
        </is>
      </c>
      <c r="F15" s="27" t="n">
        <v>22000</v>
      </c>
      <c r="G15" s="27" t="n">
        <v>44000</v>
      </c>
      <c r="H15" s="27" t="n">
        <v>22000</v>
      </c>
      <c r="I15" s="27" t="n">
        <v>0</v>
      </c>
      <c r="J15" s="27" t="n">
        <v>22000</v>
      </c>
      <c r="K15" s="27" t="n">
        <v>22000</v>
      </c>
      <c r="L15" s="26" t="inlineStr">
        <is>
          <t>2026-08</t>
        </is>
      </c>
      <c r="M15" s="26" t="inlineStr">
        <is>
          <t>Kira tahsil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KAD-00011</t>
        </is>
      </c>
      <c r="B16" s="26" t="inlineStr">
        <is>
          <t>KIR-00003</t>
        </is>
      </c>
      <c r="C16" s="29" t="n">
        <v>46215</v>
      </c>
      <c r="D16" s="26" t="inlineStr">
        <is>
          <t>TAHSIL</t>
        </is>
      </c>
      <c r="E16" s="26" t="inlineStr">
        <is>
          <t>MAHSUP</t>
        </is>
      </c>
      <c r="F16" s="27" t="n">
        <v>16000</v>
      </c>
      <c r="G16" s="27" t="n">
        <v>32000</v>
      </c>
      <c r="H16" s="27" t="n">
        <v>16000</v>
      </c>
      <c r="I16" s="27" t="n">
        <v>16000</v>
      </c>
      <c r="J16" s="27" t="n">
        <v>0</v>
      </c>
      <c r="K16" s="27" t="n">
        <v>16000</v>
      </c>
      <c r="L16" s="26" t="inlineStr">
        <is>
          <t>2026-08</t>
        </is>
      </c>
      <c r="M16" s="26" t="inlineStr">
        <is>
          <t>Kira tahsil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KAD-00012</t>
        </is>
      </c>
      <c r="B17" s="26" t="inlineStr">
        <is>
          <t>KIR-00004</t>
        </is>
      </c>
      <c r="C17" s="29" t="n">
        <v>46212</v>
      </c>
      <c r="D17" s="26" t="inlineStr">
        <is>
          <t>MAHSUP</t>
        </is>
      </c>
      <c r="E17" s="26" t="inlineStr">
        <is>
          <t>KAPALI</t>
        </is>
      </c>
      <c r="F17" s="27" t="n">
        <v>14000</v>
      </c>
      <c r="G17" s="27" t="n">
        <v>28000</v>
      </c>
      <c r="H17" s="27" t="n">
        <v>18500</v>
      </c>
      <c r="I17" s="27" t="n">
        <v>0</v>
      </c>
      <c r="J17" s="27" t="n">
        <v>18500</v>
      </c>
      <c r="K17" s="27" t="n">
        <v>18500</v>
      </c>
      <c r="L17" s="26" t="inlineStr">
        <is>
          <t>2026-08</t>
        </is>
      </c>
      <c r="M17" s="26" t="inlineStr">
        <is>
          <t>Kira tahsil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KAD-00013</t>
        </is>
      </c>
      <c r="B18" s="26" t="inlineStr">
        <is>
          <t>KIR-00005</t>
        </is>
      </c>
      <c r="C18" s="29" t="n">
        <v>46209</v>
      </c>
      <c r="D18" s="26" t="inlineStr">
        <is>
          <t>BEKLIYOR</t>
        </is>
      </c>
      <c r="E18" s="26" t="inlineStr">
        <is>
          <t>IPTAL</t>
        </is>
      </c>
      <c r="F18" s="27" t="n">
        <v>28000</v>
      </c>
      <c r="G18" s="27" t="n">
        <v>56000</v>
      </c>
      <c r="H18" s="27" t="n">
        <v>28000</v>
      </c>
      <c r="I18" s="27" t="n">
        <v>0</v>
      </c>
      <c r="J18" s="27" t="n">
        <v>0</v>
      </c>
      <c r="K18" s="27" t="n">
        <v>28000</v>
      </c>
      <c r="L18" s="26" t="inlineStr">
        <is>
          <t>2026-08</t>
        </is>
      </c>
      <c r="M18" s="26" t="inlineStr">
        <is>
          <t>Kira tahsil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KAD-00014</t>
        </is>
      </c>
      <c r="B19" s="26" t="inlineStr">
        <is>
          <t>KIR-00006</t>
        </is>
      </c>
      <c r="C19" s="29" t="n">
        <v>46206</v>
      </c>
      <c r="D19" s="26" t="inlineStr">
        <is>
          <t>BEKLIYOR</t>
        </is>
      </c>
      <c r="E19" s="26" t="inlineStr">
        <is>
          <t>TAHSIL</t>
        </is>
      </c>
      <c r="F19" s="27" t="n">
        <v>15000</v>
      </c>
      <c r="G19" s="27" t="n">
        <v>30000</v>
      </c>
      <c r="H19" s="27" t="n">
        <v>15000</v>
      </c>
      <c r="I19" s="27" t="n">
        <v>0</v>
      </c>
      <c r="J19" s="27" t="n">
        <v>15000</v>
      </c>
      <c r="K19" s="27" t="n">
        <v>15000</v>
      </c>
      <c r="L19" s="26" t="inlineStr">
        <is>
          <t>2026-08</t>
        </is>
      </c>
      <c r="M19" s="26" t="inlineStr">
        <is>
          <t>Kira tahsil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KAD-00015</t>
        </is>
      </c>
      <c r="B20" s="26" t="inlineStr">
        <is>
          <t>KIR-00007</t>
        </is>
      </c>
      <c r="C20" s="29" t="n">
        <v>46203</v>
      </c>
      <c r="D20" s="26" t="n"/>
      <c r="E20" s="26" t="inlineStr">
        <is>
          <t>BEKLIYOR</t>
        </is>
      </c>
      <c r="F20" s="27" t="n">
        <v>12000</v>
      </c>
      <c r="G20" s="27" t="n">
        <v>24000</v>
      </c>
      <c r="H20" s="27" t="n">
        <v>12000</v>
      </c>
      <c r="I20" s="27" t="n">
        <v>0</v>
      </c>
      <c r="J20" s="27" t="n">
        <v>0</v>
      </c>
      <c r="K20" s="27" t="n">
        <v>12000</v>
      </c>
      <c r="L20" s="26" t="inlineStr">
        <is>
          <t>2026-08</t>
        </is>
      </c>
      <c r="M20" s="26" t="inlineStr">
        <is>
          <t>Kira tahsil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KAD-00016</t>
        </is>
      </c>
      <c r="B21" s="26" t="inlineStr">
        <is>
          <t>KIR-00008</t>
        </is>
      </c>
      <c r="C21" s="29" t="n">
        <v>46200</v>
      </c>
      <c r="D21" s="26" t="inlineStr">
        <is>
          <t>TAHSIL</t>
        </is>
      </c>
      <c r="E21" s="26" t="inlineStr">
        <is>
          <t>TAHSIL</t>
        </is>
      </c>
      <c r="F21" s="27" t="n">
        <v>11000</v>
      </c>
      <c r="G21" s="27" t="n">
        <v>22000</v>
      </c>
      <c r="H21" s="27" t="n">
        <v>11000</v>
      </c>
      <c r="I21" s="27" t="n">
        <v>0</v>
      </c>
      <c r="J21" s="27" t="n">
        <v>11000</v>
      </c>
      <c r="K21" s="27" t="n">
        <v>11000</v>
      </c>
      <c r="L21" s="26" t="inlineStr">
        <is>
          <t>2026-08</t>
        </is>
      </c>
      <c r="M21" s="26" t="inlineStr">
        <is>
          <t>Kira tahsil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KAD-00017</t>
        </is>
      </c>
      <c r="B22" s="26" t="inlineStr">
        <is>
          <t>KIR-00001</t>
        </is>
      </c>
      <c r="C22" s="29" t="n">
        <v>46197</v>
      </c>
      <c r="D22" s="26" t="n"/>
      <c r="E22" s="26" t="inlineStr">
        <is>
          <t>BEKLIYOR</t>
        </is>
      </c>
      <c r="F22" s="27" t="n">
        <v>18000</v>
      </c>
      <c r="G22" s="27" t="n">
        <v>36000</v>
      </c>
      <c r="H22" s="27" t="n">
        <v>18000</v>
      </c>
      <c r="I22" s="27" t="n">
        <v>0</v>
      </c>
      <c r="J22" s="27" t="n">
        <v>0</v>
      </c>
      <c r="K22" s="27" t="n">
        <v>18000</v>
      </c>
      <c r="L22" s="26" t="inlineStr">
        <is>
          <t>2026-08</t>
        </is>
      </c>
      <c r="M22" s="26" t="inlineStr">
        <is>
          <t>Kira tahsil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KAD-00018</t>
        </is>
      </c>
      <c r="B23" s="26" t="inlineStr">
        <is>
          <t>KIR-00002</t>
        </is>
      </c>
      <c r="C23" s="29" t="n">
        <v>46194</v>
      </c>
      <c r="D23" s="26" t="inlineStr">
        <is>
          <t>BEKLIYOR</t>
        </is>
      </c>
      <c r="E23" s="26" t="inlineStr">
        <is>
          <t>KAPALI</t>
        </is>
      </c>
      <c r="F23" s="27" t="n">
        <v>22000</v>
      </c>
      <c r="G23" s="27" t="n">
        <v>44000</v>
      </c>
      <c r="H23" s="27" t="n">
        <v>22000</v>
      </c>
      <c r="I23" s="27" t="n">
        <v>0</v>
      </c>
      <c r="J23" s="27" t="n">
        <v>22000</v>
      </c>
      <c r="K23" s="27" t="n">
        <v>22000</v>
      </c>
      <c r="L23" s="26" t="inlineStr">
        <is>
          <t>2026-08</t>
        </is>
      </c>
      <c r="M23" s="26" t="inlineStr">
        <is>
          <t>Kira tahsil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KAD-00019</t>
        </is>
      </c>
      <c r="B24" s="26" t="inlineStr">
        <is>
          <t>KIR-00003</t>
        </is>
      </c>
      <c r="C24" s="29" t="n">
        <v>46191</v>
      </c>
      <c r="D24" s="26" t="inlineStr">
        <is>
          <t>TAHSIL</t>
        </is>
      </c>
      <c r="E24" s="26" t="inlineStr">
        <is>
          <t>MAHSUP</t>
        </is>
      </c>
      <c r="F24" s="27" t="n">
        <v>16000</v>
      </c>
      <c r="G24" s="27" t="n">
        <v>32000</v>
      </c>
      <c r="H24" s="27" t="n">
        <v>20500</v>
      </c>
      <c r="I24" s="27" t="n">
        <v>16000</v>
      </c>
      <c r="J24" s="27" t="n">
        <v>4500</v>
      </c>
      <c r="K24" s="27" t="n">
        <v>20500</v>
      </c>
      <c r="L24" s="26" t="inlineStr">
        <is>
          <t>2026-08</t>
        </is>
      </c>
      <c r="M24" s="26" t="inlineStr">
        <is>
          <t>Kira tahsil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KAD-00020</t>
        </is>
      </c>
      <c r="B25" s="26" t="inlineStr">
        <is>
          <t>KIR-00004</t>
        </is>
      </c>
      <c r="C25" s="29" t="n">
        <v>46188</v>
      </c>
      <c r="D25" s="26" t="inlineStr">
        <is>
          <t>KAPALI</t>
        </is>
      </c>
      <c r="E25" s="26" t="inlineStr">
        <is>
          <t>TAHSIL</t>
        </is>
      </c>
      <c r="F25" s="27" t="n">
        <v>14000</v>
      </c>
      <c r="G25" s="27" t="n">
        <v>28000</v>
      </c>
      <c r="H25" s="27" t="n">
        <v>14000</v>
      </c>
      <c r="I25" s="27" t="n">
        <v>0</v>
      </c>
      <c r="J25" s="27" t="n">
        <v>14000</v>
      </c>
      <c r="K25" s="27" t="n">
        <v>14000</v>
      </c>
      <c r="L25" s="26" t="inlineStr">
        <is>
          <t>2026-08</t>
        </is>
      </c>
      <c r="M25" s="26" t="inlineStr">
        <is>
          <t>Kira tahsil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KAD-00021</t>
        </is>
      </c>
      <c r="B26" s="26" t="inlineStr">
        <is>
          <t>KIR-00005</t>
        </is>
      </c>
      <c r="C26" s="29" t="n">
        <v>46185</v>
      </c>
      <c r="D26" s="26" t="inlineStr">
        <is>
          <t>BEKLIYOR</t>
        </is>
      </c>
      <c r="E26" s="26" t="inlineStr">
        <is>
          <t>IPTAL</t>
        </is>
      </c>
      <c r="F26" s="27" t="n">
        <v>28000</v>
      </c>
      <c r="G26" s="27" t="n">
        <v>56000</v>
      </c>
      <c r="H26" s="27" t="n">
        <v>28000</v>
      </c>
      <c r="I26" s="27" t="n">
        <v>0</v>
      </c>
      <c r="J26" s="27" t="n">
        <v>0</v>
      </c>
      <c r="K26" s="27" t="n">
        <v>28000</v>
      </c>
      <c r="L26" s="26" t="inlineStr">
        <is>
          <t>2026-08</t>
        </is>
      </c>
      <c r="M26" s="26" t="inlineStr">
        <is>
          <t>Kira tahsil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KAD-00022</t>
        </is>
      </c>
      <c r="B27" s="26" t="n"/>
      <c r="C27" s="29" t="n">
        <v>46182</v>
      </c>
      <c r="D27" s="26" t="inlineStr">
        <is>
          <t>BEKLIYOR</t>
        </is>
      </c>
      <c r="E27" s="26" t="inlineStr">
        <is>
          <t>TAHSIL</t>
        </is>
      </c>
      <c r="F27" s="27" t="n">
        <v>15000</v>
      </c>
      <c r="G27" s="27" t="n">
        <v>30000</v>
      </c>
      <c r="H27" s="27" t="n">
        <v>15000</v>
      </c>
      <c r="I27" s="27" t="n">
        <v>0</v>
      </c>
      <c r="J27" s="27" t="n">
        <v>15000</v>
      </c>
      <c r="K27" s="27" t="n">
        <v>15000</v>
      </c>
      <c r="L27" s="26" t="inlineStr">
        <is>
          <t>2026-08</t>
        </is>
      </c>
      <c r="M27" s="26" t="inlineStr">
        <is>
          <t>Kira tahsil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KAD-00023</t>
        </is>
      </c>
      <c r="B28" s="26" t="inlineStr">
        <is>
          <t>KIR-00007</t>
        </is>
      </c>
      <c r="C28" s="29" t="n">
        <v>46179</v>
      </c>
      <c r="D28" s="26" t="n"/>
      <c r="E28" s="26" t="inlineStr">
        <is>
          <t>BEKLIYOR</t>
        </is>
      </c>
      <c r="F28" s="27" t="n">
        <v>12000</v>
      </c>
      <c r="G28" s="27" t="n">
        <v>24000</v>
      </c>
      <c r="H28" s="27" t="n">
        <v>12000</v>
      </c>
      <c r="I28" s="27" t="n">
        <v>0</v>
      </c>
      <c r="J28" s="27" t="n">
        <v>0</v>
      </c>
      <c r="K28" s="27" t="n">
        <v>12000</v>
      </c>
      <c r="L28" s="26" t="inlineStr">
        <is>
          <t>2026-08</t>
        </is>
      </c>
      <c r="M28" s="26" t="inlineStr">
        <is>
          <t>Kira tahsil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KAD-00024</t>
        </is>
      </c>
      <c r="B29" s="26" t="inlineStr">
        <is>
          <t>KIR-00008</t>
        </is>
      </c>
      <c r="C29" s="29" t="n">
        <v>46176</v>
      </c>
      <c r="D29" s="26" t="inlineStr">
        <is>
          <t>TAHSIL</t>
        </is>
      </c>
      <c r="E29" s="26" t="inlineStr">
        <is>
          <t>TAHSIL</t>
        </is>
      </c>
      <c r="F29" s="27" t="n">
        <v>11000</v>
      </c>
      <c r="G29" s="27" t="n">
        <v>22000</v>
      </c>
      <c r="H29" s="27" t="n">
        <v>11000</v>
      </c>
      <c r="I29" s="27" t="n">
        <v>0</v>
      </c>
      <c r="J29" s="27" t="n">
        <v>11000</v>
      </c>
      <c r="K29" s="27" t="n">
        <v>11000</v>
      </c>
      <c r="L29" s="26" t="inlineStr">
        <is>
          <t>2026-08</t>
        </is>
      </c>
      <c r="M29" s="26" t="inlineStr">
        <is>
          <t>Kira tahsil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KAD-00025</t>
        </is>
      </c>
      <c r="B30" s="26" t="inlineStr">
        <is>
          <t>KIR-99999</t>
        </is>
      </c>
      <c r="C30" s="29" t="n">
        <v>46248</v>
      </c>
      <c r="D30" s="26" t="n"/>
      <c r="E30" s="26" t="inlineStr">
        <is>
          <t>BEKLIYOR</t>
        </is>
      </c>
      <c r="F30" s="27" t="n">
        <v>18000</v>
      </c>
      <c r="G30" s="27" t="n">
        <v>36000</v>
      </c>
      <c r="H30" s="27" t="n">
        <v>18000</v>
      </c>
      <c r="I30" s="27" t="n">
        <v>0</v>
      </c>
      <c r="J30" s="27" t="n">
        <v>0</v>
      </c>
      <c r="K30" s="27" t="n">
        <v>18000</v>
      </c>
      <c r="L30" s="26" t="inlineStr">
        <is>
          <t>2026-08</t>
        </is>
      </c>
      <c r="M30" s="26" t="inlineStr">
        <is>
          <t>Kira tahsil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KAD-00026</t>
        </is>
      </c>
      <c r="B31" s="26" t="inlineStr">
        <is>
          <t>KIR-00002</t>
        </is>
      </c>
      <c r="C31" s="29" t="n">
        <v>46245</v>
      </c>
      <c r="D31" s="26" t="inlineStr">
        <is>
          <t>BEKLIYOR</t>
        </is>
      </c>
      <c r="E31" s="26" t="inlineStr">
        <is>
          <t>TAHSIL</t>
        </is>
      </c>
      <c r="F31" s="27" t="n">
        <v>22000</v>
      </c>
      <c r="G31" s="27" t="n">
        <v>44000</v>
      </c>
      <c r="H31" s="27" t="n">
        <v>22000</v>
      </c>
      <c r="I31" s="27" t="n">
        <v>0</v>
      </c>
      <c r="J31" s="27" t="n">
        <v>22000</v>
      </c>
      <c r="K31" s="27" t="n">
        <v>22000</v>
      </c>
      <c r="L31" s="26" t="inlineStr">
        <is>
          <t>2026-08</t>
        </is>
      </c>
      <c r="M31" s="26" t="inlineStr">
        <is>
          <t>Kira tahsil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KAD-00027</t>
        </is>
      </c>
      <c r="B32" s="26" t="inlineStr">
        <is>
          <t>KIR-00003</t>
        </is>
      </c>
      <c r="C32" s="29" t="n">
        <v>46242</v>
      </c>
      <c r="D32" s="26" t="inlineStr">
        <is>
          <t>TAHSIL</t>
        </is>
      </c>
      <c r="E32" s="26" t="inlineStr">
        <is>
          <t>MAHSUP</t>
        </is>
      </c>
      <c r="F32" s="27" t="n">
        <v>16000</v>
      </c>
      <c r="G32" s="27" t="n">
        <v>32000</v>
      </c>
      <c r="H32" s="27" t="n">
        <v>16000</v>
      </c>
      <c r="I32" s="27" t="n">
        <v>16000</v>
      </c>
      <c r="J32" s="27" t="n">
        <v>0</v>
      </c>
      <c r="K32" s="27" t="n">
        <v>16000</v>
      </c>
      <c r="L32" s="26" t="inlineStr">
        <is>
          <t>2026-08</t>
        </is>
      </c>
      <c r="M32" s="26" t="inlineStr">
        <is>
          <t>Kira tahsil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KAD-00028</t>
        </is>
      </c>
      <c r="B33" s="26" t="inlineStr">
        <is>
          <t>KIR-00004</t>
        </is>
      </c>
      <c r="C33" s="29" t="n">
        <v>46239</v>
      </c>
      <c r="D33" s="26" t="inlineStr">
        <is>
          <t>MAHSUP</t>
        </is>
      </c>
      <c r="E33" s="26" t="inlineStr">
        <is>
          <t>KAPALI</t>
        </is>
      </c>
      <c r="F33" s="27" t="n">
        <v>14000</v>
      </c>
      <c r="G33" s="27" t="n">
        <v>28000</v>
      </c>
      <c r="H33" s="27" t="n">
        <v>14000</v>
      </c>
      <c r="I33" s="27" t="n">
        <v>0</v>
      </c>
      <c r="J33" s="27" t="n">
        <v>14000</v>
      </c>
      <c r="K33" s="27" t="n">
        <v>14000</v>
      </c>
      <c r="L33" s="26" t="inlineStr">
        <is>
          <t>2026-08</t>
        </is>
      </c>
      <c r="M33" s="26" t="inlineStr">
        <is>
          <t>Kira tahsil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"TAHSIL"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AD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255" showDropDown="0" showInputMessage="1" showErrorMessage="1" allowBlank="1" errorTitle="Avans" error="0 veya üzeri" promptTitle="Avans" prompt="Avans ≥ 0" type="decimal" errorStyle="stop" operator="greaterThanOrEqual">
      <formula1>0</formula1>
    </dataValidation>
    <dataValidation sqref="H6:H255" showDropDown="0" showInputMessage="1" showErrorMessage="1" allowBlank="1" errorTitle="Kira" error="0 veya üzeri" promptTitle="Kira" prompt="Kira ≥ 0" type="decimal" errorStyle="stop" operator="greaterThanOrEqual">
      <formula1>0</formula1>
    </dataValidation>
    <dataValidation sqref="I6:I255" showDropDown="0" showInputMessage="1" showErrorMessage="1" allowBlank="1" errorTitle="Mahsup" error="0 veya üzeri" promptTitle="Mahsup" prompt="Mahsup ≥ 0" type="decimal" errorStyle="stop" operator="greaterThanOrEqual">
      <formula1>0</formula1>
    </dataValidation>
    <dataValidation sqref="J6:J255" showDropDown="0" showInputMessage="1" showErrorMessage="1" allowBlank="1" errorTitle="Dekont" error="0 veya üzeri" promptTitle="Dekont" prompt="Dekont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3D4C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43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KUYRUKLAR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9" t="inlineStr">
        <is>
          <t>Durum bazlı canlı kuyruk — kapalı kayıtlar düşer</t>
        </is>
      </c>
    </row>
    <row r="4"/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Tahsil</t>
        </is>
      </c>
      <c r="B7" s="20">
        <f>COUNTIFS(tblAkis[durum],"TAHSIL",tblAkis[tutar],"&gt;0")</f>
        <v/>
      </c>
      <c r="C7" s="21">
        <f>SUMIFS(tblAkis[tutar],tblAkis[durum],"TAHSIL")</f>
        <v/>
      </c>
    </row>
    <row r="8">
      <c r="A8" s="7" t="inlineStr">
        <is>
          <t>Mahsup</t>
        </is>
      </c>
      <c r="B8" s="20">
        <f>COUNTIFS(tblAkis[durum],"MAHSUP",tblAkis[tutar],"&gt;0")</f>
        <v/>
      </c>
      <c r="C8" s="21">
        <f>SUMIFS(tblAkis[tutar],tblAkis[durum],"MAHSUP")</f>
        <v/>
      </c>
    </row>
    <row r="9">
      <c r="A9" s="7" t="inlineStr">
        <is>
          <t>Geciken (açık, yaş&gt;eşik)</t>
        </is>
      </c>
      <c r="B9" s="20">
        <f>COUNTIFS(tblAkis[YasGun],"&gt;"&amp;kad_esikGecikmeGun,tblAkis[Durum],"&lt;&gt;KAPALI",tblAkis[Durum],"&lt;&gt;IPTAL",tblAkis[Tutar],"&gt;0")</f>
        <v/>
      </c>
      <c r="C9" s="21">
        <f>SUMIFS(tblAkis[Tutar],tblAkis[YasGun],"&gt;"&amp;kad_esikGecikmeGun,tblAkis[Durum],"&lt;&gt;KAPALI",tblAkis[Durum],"&lt;&gt;IPTAL")</f>
        <v/>
      </c>
    </row>
    <row r="10"/>
    <row r="11">
      <c r="A11" s="16" t="inlineStr">
        <is>
          <t>Kapalı (Kapalı+İptal) — kuyruktan düşer</t>
        </is>
      </c>
    </row>
    <row r="12">
      <c r="A12" s="7" t="inlineStr">
        <is>
          <t>Kapalı</t>
        </is>
      </c>
      <c r="B12" s="20">
        <f>COUNTIFS(tblAkis[durum],"KAPALI",tblAkis[tutar],"&gt;0")</f>
        <v/>
      </c>
      <c r="C12" s="21">
        <f>SUMIFS(tblAkis[tutar],tblAkis[durum],"KAPALI")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4"/>
    <row r="15">
      <c r="A15" s="24" t="inlineStr">
        <is>
          <t>Kuyruk Özeti</t>
        </is>
      </c>
      <c r="B15" s="8">
        <f>kad_kuyrukOzeti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3D4C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23.5" customWidth="1" min="3" max="3"/>
    <col width="14.5" customWidth="1" min="4" max="4"/>
    <col width="14" customWidth="1" min="5" max="5"/>
    <col width="22" customWidth="1" min="6" max="6"/>
    <col width="16.5" customWidth="1" min="7" max="7"/>
    <col width="15.5" customWidth="1" min="8" max="8"/>
    <col width="14" customWidth="1" min="9" max="9"/>
    <col width="14" customWidth="1" min="10" max="10"/>
    <col width="15.5" customWidth="1" min="11" max="11"/>
    <col width="14.5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3" customWidth="1" min="18" max="18"/>
  </cols>
  <sheetData>
    <row r="1" ht="32" customHeight="1">
      <c r="A1" s="179" t="inlineStr">
        <is>
          <t>AVANS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</row>
    <row r="2"/>
    <row r="3" ht="22" customHeight="1">
      <c r="A3" s="199" t="inlineStr">
        <is>
          <t>Avans mahsup motoru — anapara, mahsup edilen, kalan bakiye, aşım bayrağı</t>
        </is>
      </c>
    </row>
    <row r="4">
      <c r="A4" s="11" t="inlineStr">
        <is>
          <t>Avans Anapara</t>
        </is>
      </c>
      <c r="B4" s="31">
        <f>SUM(tblAvans[AvansTutar])</f>
        <v/>
      </c>
      <c r="C4" s="11" t="inlineStr">
        <is>
          <t>Mahsup Edilen</t>
        </is>
      </c>
      <c r="D4" s="31">
        <f>SUM(tblAvans[MahsupEdilen])</f>
        <v/>
      </c>
      <c r="E4" s="11" t="inlineStr">
        <is>
          <t>Kalan Bakiye</t>
        </is>
      </c>
      <c r="F4" s="31">
        <f>SUM(tblAvans[KalanBakiye])</f>
        <v/>
      </c>
      <c r="G4" s="11" t="inlineStr">
        <is>
          <t>Aşım Adet</t>
        </is>
      </c>
      <c r="H4" s="32">
        <f>COUNTIF(tblAvans[AsimBayrak],"AŞIM")</f>
        <v/>
      </c>
      <c r="O4" s="7" t="inlineStr">
        <is>
          <t>Kart</t>
        </is>
      </c>
      <c r="P4" s="7" t="inlineStr">
        <is>
          <t>Anapara</t>
        </is>
      </c>
      <c r="Q4" s="7" t="inlineStr">
        <is>
          <t>Kalan</t>
        </is>
      </c>
    </row>
    <row r="5" ht="30" customHeight="1">
      <c r="A5" s="25" t="inlineStr">
        <is>
          <t>AvansId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AvansTutar</t>
        </is>
      </c>
      <c r="E5" s="25" t="inlineStr">
        <is>
          <t>Donem</t>
        </is>
      </c>
      <c r="F5" s="25" t="inlineStr">
        <is>
          <t>Aciklama</t>
        </is>
      </c>
      <c r="G5" s="25" t="inlineStr">
        <is>
          <t>MahsupEdilen</t>
        </is>
      </c>
      <c r="H5" s="25" t="inlineStr">
        <is>
          <t>KalanBakiye</t>
        </is>
      </c>
      <c r="I5" s="25" t="inlineStr">
        <is>
          <t>YasGun</t>
        </is>
      </c>
      <c r="J5" s="25" t="inlineStr">
        <is>
          <t>YasKova</t>
        </is>
      </c>
      <c r="K5" s="25" t="inlineStr">
        <is>
          <t>YetimBayrak</t>
        </is>
      </c>
      <c r="L5" s="25" t="inlineStr">
        <is>
          <t>AsimBayrak</t>
        </is>
      </c>
      <c r="O5" s="7" t="inlineStr">
        <is>
          <t>KIR-00001</t>
        </is>
      </c>
      <c r="P5" s="21" t="n">
        <v>36000</v>
      </c>
      <c r="Q5" s="21" t="n">
        <v>28000</v>
      </c>
    </row>
    <row r="6">
      <c r="A6" s="26" t="inlineStr">
        <is>
          <t>AVN-00001</t>
        </is>
      </c>
      <c r="B6" s="26" t="inlineStr">
        <is>
          <t>KIR-00001</t>
        </is>
      </c>
      <c r="C6" s="29" t="n">
        <v>46214</v>
      </c>
      <c r="D6" s="27" t="n">
        <v>36000</v>
      </c>
      <c r="E6" s="26" t="inlineStr">
        <is>
          <t>2026-07</t>
        </is>
      </c>
      <c r="F6" s="26" t="inlineStr">
        <is>
          <t>Sözleşme avansı 1</t>
        </is>
      </c>
      <c r="G6" s="28">
        <f>IF($A6="","",SUMIFS(tblAkis[MahsupTutar],tblAkis[KaynakKartId],$B6,tblAkis[Durum],"MAHSUP"))</f>
        <v/>
      </c>
      <c r="H6" s="28">
        <f>IF($A6="","",MAX(0,$D6-$G6))</f>
        <v/>
      </c>
      <c r="I6" s="28">
        <f>IF($A6="","",IF($C6="","",raporTarihi-$C6))</f>
        <v/>
      </c>
      <c r="J6" s="28">
        <f>IF($A6="","",IF($I6="","",IF($I6&lt;=7,"0-7",IF($I6&lt;=30,"8-30",IF($I6&lt;=60,"31-60","60+")))))</f>
        <v/>
      </c>
      <c r="K6" s="28">
        <f>IF($A6="","",IF($B6="","YETİM",IF(COUNTIF(tblKartlar[KartId],$B6)=0,"YETİM","")))</f>
        <v/>
      </c>
      <c r="L6" s="28">
        <f>IF($A6="","",IF($G6&gt;$D6+kad_mahsupTolerans,"AŞIM","UYGUN"))</f>
        <v/>
      </c>
      <c r="O6" s="7" t="inlineStr">
        <is>
          <t>KIR-00002</t>
        </is>
      </c>
      <c r="P6" s="21" t="n">
        <v>44000</v>
      </c>
      <c r="Q6" s="21" t="n">
        <v>36000</v>
      </c>
    </row>
    <row r="7">
      <c r="A7" s="26" t="inlineStr">
        <is>
          <t>AVN-00002</t>
        </is>
      </c>
      <c r="B7" s="26" t="inlineStr">
        <is>
          <t>KIR-00002</t>
        </is>
      </c>
      <c r="C7" s="29" t="n">
        <v>46210</v>
      </c>
      <c r="D7" s="27" t="n">
        <v>44000</v>
      </c>
      <c r="E7" s="26" t="inlineStr">
        <is>
          <t>2026-07</t>
        </is>
      </c>
      <c r="F7" s="26" t="inlineStr">
        <is>
          <t>Sözleşme avansı 2</t>
        </is>
      </c>
      <c r="G7" s="28">
        <f>IF($A7="","",SUMIFS(tblAkis[MahsupTutar],tblAkis[KaynakKartId],$B7,tblAkis[Durum],"MAHSUP"))</f>
        <v/>
      </c>
      <c r="H7" s="28">
        <f>IF($A7="","",MAX(0,$D7-$G7))</f>
        <v/>
      </c>
      <c r="I7" s="28">
        <f>IF($A7="","",IF($C7="","",raporTarihi-$C7))</f>
        <v/>
      </c>
      <c r="J7" s="28">
        <f>IF($A7="","",IF($I7="","",IF($I7&lt;=7,"0-7",IF($I7&lt;=30,"8-30",IF($I7&lt;=60,"31-60","60+")))))</f>
        <v/>
      </c>
      <c r="K7" s="28">
        <f>IF($A7="","",IF($B7="","YETİM",IF(COUNTIF(tblKartlar[KartId],$B7)=0,"YETİM","")))</f>
        <v/>
      </c>
      <c r="L7" s="28">
        <f>IF($A7="","",IF($G7&gt;$D7+kad_mahsupTolerans,"AŞIM","UYGUN"))</f>
        <v/>
      </c>
      <c r="O7" s="7" t="inlineStr">
        <is>
          <t>KIR-00003</t>
        </is>
      </c>
      <c r="P7" s="21" t="n">
        <v>32000</v>
      </c>
      <c r="Q7" s="21" t="n">
        <v>24000</v>
      </c>
    </row>
    <row r="8">
      <c r="A8" s="26" t="inlineStr">
        <is>
          <t>AVN-00003</t>
        </is>
      </c>
      <c r="B8" s="26" t="inlineStr">
        <is>
          <t>KIR-00003</t>
        </is>
      </c>
      <c r="C8" s="29" t="n">
        <v>46206</v>
      </c>
      <c r="D8" s="27" t="n">
        <v>32000</v>
      </c>
      <c r="E8" s="26" t="inlineStr">
        <is>
          <t>2026-07</t>
        </is>
      </c>
      <c r="F8" s="26" t="inlineStr">
        <is>
          <t>Sözleşme avansı 3</t>
        </is>
      </c>
      <c r="G8" s="28">
        <f>IF($A8="","",SUMIFS(tblAkis[MahsupTutar],tblAkis[KaynakKartId],$B8,tblAkis[Durum],"MAHSUP"))</f>
        <v/>
      </c>
      <c r="H8" s="28">
        <f>IF($A8="","",MAX(0,$D8-$G8))</f>
        <v/>
      </c>
      <c r="I8" s="28">
        <f>IF($A8="","",IF($C8="","",raporTarihi-$C8))</f>
        <v/>
      </c>
      <c r="J8" s="28">
        <f>IF($A8="","",IF($I8="","",IF($I8&lt;=7,"0-7",IF($I8&lt;=30,"8-30",IF($I8&lt;=60,"31-60","60+")))))</f>
        <v/>
      </c>
      <c r="K8" s="28">
        <f>IF($A8="","",IF($B8="","YETİM",IF(COUNTIF(tblKartlar[KartId],$B8)=0,"YETİM","")))</f>
        <v/>
      </c>
      <c r="L8" s="28">
        <f>IF($A8="","",IF($G8&gt;$D8+kad_mahsupTolerans,"AŞIM","UYGUN"))</f>
        <v/>
      </c>
      <c r="O8" s="7" t="inlineStr">
        <is>
          <t>KIR-00004</t>
        </is>
      </c>
      <c r="P8" s="21" t="n">
        <v>28000</v>
      </c>
      <c r="Q8" s="21" t="n">
        <v>20000</v>
      </c>
    </row>
    <row r="9">
      <c r="A9" s="26" t="inlineStr">
        <is>
          <t>AVN-00004</t>
        </is>
      </c>
      <c r="B9" s="26" t="inlineStr">
        <is>
          <t>KIR-00004</t>
        </is>
      </c>
      <c r="C9" s="29" t="n">
        <v>46202</v>
      </c>
      <c r="D9" s="27" t="n">
        <v>28000</v>
      </c>
      <c r="E9" s="26" t="inlineStr">
        <is>
          <t>2026-07</t>
        </is>
      </c>
      <c r="F9" s="26" t="inlineStr">
        <is>
          <t>Sözleşme avansı 4</t>
        </is>
      </c>
      <c r="G9" s="28">
        <f>IF($A9="","",SUMIFS(tblAkis[MahsupTutar],tblAkis[KaynakKartId],$B9,tblAkis[Durum],"MAHSUP"))</f>
        <v/>
      </c>
      <c r="H9" s="28">
        <f>IF($A9="","",MAX(0,$D9-$G9))</f>
        <v/>
      </c>
      <c r="I9" s="28">
        <f>IF($A9="","",IF($C9="","",raporTarihi-$C9))</f>
        <v/>
      </c>
      <c r="J9" s="28">
        <f>IF($A9="","",IF($I9="","",IF($I9&lt;=7,"0-7",IF($I9&lt;=30,"8-30",IF($I9&lt;=60,"31-60","60+")))))</f>
        <v/>
      </c>
      <c r="K9" s="28">
        <f>IF($A9="","",IF($B9="","YETİM",IF(COUNTIF(tblKartlar[KartId],$B9)=0,"YETİM","")))</f>
        <v/>
      </c>
      <c r="L9" s="28">
        <f>IF($A9="","",IF($G9&gt;$D9+kad_mahsupTolerans,"AŞIM","UYGUN"))</f>
        <v/>
      </c>
      <c r="O9" s="7" t="inlineStr">
        <is>
          <t>KIR-00005</t>
        </is>
      </c>
      <c r="P9" s="21" t="n">
        <v>56000</v>
      </c>
      <c r="Q9" s="21" t="n">
        <v>48000</v>
      </c>
    </row>
    <row r="10">
      <c r="A10" s="26" t="inlineStr">
        <is>
          <t>AVN-00005</t>
        </is>
      </c>
      <c r="B10" s="26" t="inlineStr">
        <is>
          <t>KIR-00005</t>
        </is>
      </c>
      <c r="C10" s="29" t="n">
        <v>46198</v>
      </c>
      <c r="D10" s="27" t="n">
        <v>56000</v>
      </c>
      <c r="E10" s="26" t="inlineStr">
        <is>
          <t>2026-07</t>
        </is>
      </c>
      <c r="F10" s="26" t="inlineStr">
        <is>
          <t>Sözleşme avansı 5</t>
        </is>
      </c>
      <c r="G10" s="28">
        <f>IF($A10="","",SUMIFS(tblAkis[MahsupTutar],tblAkis[KaynakKartId],$B10,tblAkis[Durum],"MAHSUP"))</f>
        <v/>
      </c>
      <c r="H10" s="28">
        <f>IF($A10="","",MAX(0,$D10-$G10))</f>
        <v/>
      </c>
      <c r="I10" s="28">
        <f>IF($A10="","",IF($C10="","",raporTarihi-$C10))</f>
        <v/>
      </c>
      <c r="J10" s="28">
        <f>IF($A10="","",IF($I10="","",IF($I10&lt;=7,"0-7",IF($I10&lt;=30,"8-30",IF($I10&lt;=60,"31-60","60+")))))</f>
        <v/>
      </c>
      <c r="K10" s="28">
        <f>IF($A10="","",IF($B10="","YETİM",IF(COUNTIF(tblKartlar[KartId],$B10)=0,"YETİM","")))</f>
        <v/>
      </c>
      <c r="L10" s="28">
        <f>IF($A10="","",IF($G10&gt;$D10+kad_mahsupTolerans,"AŞIM","UYGUN"))</f>
        <v/>
      </c>
      <c r="O10" s="7" t="inlineStr">
        <is>
          <t>KIR-00006</t>
        </is>
      </c>
      <c r="P10" s="21" t="n">
        <v>30000</v>
      </c>
      <c r="Q10" s="21" t="n">
        <v>22000</v>
      </c>
    </row>
    <row r="11">
      <c r="A11" s="26" t="inlineStr">
        <is>
          <t>AVN-00006</t>
        </is>
      </c>
      <c r="B11" s="26" t="inlineStr">
        <is>
          <t>KIR-00006</t>
        </is>
      </c>
      <c r="C11" s="29" t="n">
        <v>46194</v>
      </c>
      <c r="D11" s="27" t="n">
        <v>30000</v>
      </c>
      <c r="E11" s="26" t="inlineStr">
        <is>
          <t>2026-07</t>
        </is>
      </c>
      <c r="F11" s="26" t="inlineStr">
        <is>
          <t>Sözleşme avansı 6</t>
        </is>
      </c>
      <c r="G11" s="28">
        <f>IF($A11="","",SUMIFS(tblAkis[MahsupTutar],tblAkis[KaynakKartId],$B11,tblAkis[Durum],"MAHSUP"))</f>
        <v/>
      </c>
      <c r="H11" s="28">
        <f>IF($A11="","",MAX(0,$D11-$G11))</f>
        <v/>
      </c>
      <c r="I11" s="28">
        <f>IF($A11="","",IF($C11="","",raporTarihi-$C11))</f>
        <v/>
      </c>
      <c r="J11" s="28">
        <f>IF($A11="","",IF($I11="","",IF($I11&lt;=7,"0-7",IF($I11&lt;=30,"8-30",IF($I11&lt;=60,"31-60","60+")))))</f>
        <v/>
      </c>
      <c r="K11" s="28">
        <f>IF($A11="","",IF($B11="","YETİM",IF(COUNTIF(tblKartlar[KartId],$B11)=0,"YETİM","")))</f>
        <v/>
      </c>
      <c r="L11" s="28">
        <f>IF($A11="","",IF($G11&gt;$D11+kad_mahsupTolerans,"AŞIM","UYGUN"))</f>
        <v/>
      </c>
      <c r="O11" s="7" t="inlineStr">
        <is>
          <t>KIR-00007</t>
        </is>
      </c>
      <c r="P11" s="21" t="n">
        <v>24000</v>
      </c>
      <c r="Q11" s="21" t="n">
        <v>16000</v>
      </c>
    </row>
    <row r="12">
      <c r="A12" s="26" t="inlineStr">
        <is>
          <t>AVN-00007</t>
        </is>
      </c>
      <c r="B12" s="26" t="inlineStr">
        <is>
          <t>KIR-00007</t>
        </is>
      </c>
      <c r="C12" s="29" t="n">
        <v>46190</v>
      </c>
      <c r="D12" s="27" t="n">
        <v>24000</v>
      </c>
      <c r="E12" s="26" t="inlineStr">
        <is>
          <t>2026-07</t>
        </is>
      </c>
      <c r="F12" s="26" t="inlineStr">
        <is>
          <t>Sözleşme avansı 7</t>
        </is>
      </c>
      <c r="G12" s="28">
        <f>IF($A12="","",SUMIFS(tblAkis[MahsupTutar],tblAkis[KaynakKartId],$B12,tblAkis[Durum],"MAHSUP"))</f>
        <v/>
      </c>
      <c r="H12" s="28">
        <f>IF($A12="","",MAX(0,$D12-$G12))</f>
        <v/>
      </c>
      <c r="I12" s="28">
        <f>IF($A12="","",IF($C12="","",raporTarihi-$C12))</f>
        <v/>
      </c>
      <c r="J12" s="28">
        <f>IF($A12="","",IF($I12="","",IF($I12&lt;=7,"0-7",IF($I12&lt;=30,"8-30",IF($I12&lt;=60,"31-60","60+")))))</f>
        <v/>
      </c>
      <c r="K12" s="28">
        <f>IF($A12="","",IF($B12="","YETİM",IF(COUNTIF(tblKartlar[KartId],$B12)=0,"YETİM","")))</f>
        <v/>
      </c>
      <c r="L12" s="28">
        <f>IF($A12="","",IF($G12&gt;$D12+kad_mahsupTolerans,"AŞIM","UYGUN"))</f>
        <v/>
      </c>
      <c r="O12" s="7" t="inlineStr">
        <is>
          <t>KIR-00008</t>
        </is>
      </c>
      <c r="P12" s="21" t="n">
        <v>22000</v>
      </c>
      <c r="Q12" s="21" t="n">
        <v>14000</v>
      </c>
    </row>
    <row r="13">
      <c r="A13" s="26" t="inlineStr">
        <is>
          <t>AVN-00008</t>
        </is>
      </c>
      <c r="B13" s="26" t="inlineStr">
        <is>
          <t>KIR-00008</t>
        </is>
      </c>
      <c r="C13" s="29" t="n">
        <v>46186</v>
      </c>
      <c r="D13" s="27" t="n">
        <v>22000</v>
      </c>
      <c r="E13" s="26" t="inlineStr">
        <is>
          <t>2026-07</t>
        </is>
      </c>
      <c r="F13" s="26" t="inlineStr">
        <is>
          <t>Sözleşme avansı 8</t>
        </is>
      </c>
      <c r="G13" s="28">
        <f>IF($A13="","",SUMIFS(tblAkis[MahsupTutar],tblAkis[KaynakKartId],$B13,tblAkis[Durum],"MAHSUP"))</f>
        <v/>
      </c>
      <c r="H13" s="28">
        <f>IF($A13="","",MAX(0,$D13-$G13))</f>
        <v/>
      </c>
      <c r="I13" s="28">
        <f>IF($A13="","",IF($C13="","",raporTarihi-$C13))</f>
        <v/>
      </c>
      <c r="J13" s="28">
        <f>IF($A13="","",IF($I13="","",IF($I13&lt;=7,"0-7",IF($I13&lt;=30,"8-30",IF($I13&lt;=60,"31-60","60+")))))</f>
        <v/>
      </c>
      <c r="K13" s="28">
        <f>IF($A13="","",IF($B13="","YETİM",IF(COUNTIF(tblKartlar[KartId],$B13)=0,"YETİM","")))</f>
        <v/>
      </c>
      <c r="L13" s="28">
        <f>IF($A13="","",IF($G13&gt;$D13+kad_mahsupTolerans,"AŞIM","UYGUN"))</f>
        <v/>
      </c>
    </row>
    <row r="14">
      <c r="A14" s="26" t="n"/>
      <c r="B14" s="26" t="n"/>
      <c r="C14" s="29" t="n"/>
      <c r="D14" s="27" t="n"/>
      <c r="E14" s="26" t="n"/>
      <c r="F14" s="26" t="n"/>
      <c r="G14" s="28">
        <f>IF($A14="","",SUMIFS(tblAkis[MahsupTutar],tblAkis[KaynakKartId],$B14,tblAkis[Durum],"MAHSUP"))</f>
        <v/>
      </c>
      <c r="H14" s="28">
        <f>IF($A14="","",MAX(0,$D14-$G14))</f>
        <v/>
      </c>
      <c r="I14" s="28">
        <f>IF($A14="","",IF($C14="","",raporTarihi-$C14))</f>
        <v/>
      </c>
      <c r="J14" s="28">
        <f>IF($A14="","",IF($I14="","",IF($I14&lt;=7,"0-7",IF($I14&lt;=30,"8-30",IF($I14&lt;=60,"31-60","60+")))))</f>
        <v/>
      </c>
      <c r="K14" s="28">
        <f>IF($A14="","",IF($B14="","YETİM",IF(COUNTIF(tblKartlar[KartId],$B14)=0,"YETİM","")))</f>
        <v/>
      </c>
      <c r="L14" s="28">
        <f>IF($A14="","",IF($G14&gt;$D14+kad_mahsupTolerans,"AŞIM","UYGUN"))</f>
        <v/>
      </c>
    </row>
    <row r="15">
      <c r="A15" s="26" t="n"/>
      <c r="B15" s="26" t="n"/>
      <c r="C15" s="29" t="n"/>
      <c r="D15" s="27" t="n"/>
      <c r="E15" s="26" t="n"/>
      <c r="F15" s="26" t="n"/>
      <c r="G15" s="28">
        <f>IF($A15="","",SUMIFS(tblAkis[MahsupTutar],tblAkis[KaynakKartId],$B15,tblAkis[Durum],"MAHSUP"))</f>
        <v/>
      </c>
      <c r="H15" s="28">
        <f>IF($A15="","",MAX(0,$D15-$G15))</f>
        <v/>
      </c>
      <c r="I15" s="28">
        <f>IF($A15="","",IF($C15="","",raporTarihi-$C15))</f>
        <v/>
      </c>
      <c r="J15" s="28">
        <f>IF($A15="","",IF($I15="","",IF($I15&lt;=7,"0-7",IF($I15&lt;=30,"8-30",IF($I15&lt;=60,"31-60","60+")))))</f>
        <v/>
      </c>
      <c r="K15" s="28">
        <f>IF($A15="","",IF($B15="","YETİM",IF(COUNTIF(tblKartlar[KartId],$B15)=0,"YETİM","")))</f>
        <v/>
      </c>
      <c r="L15" s="28">
        <f>IF($A15="","",IF($G15&gt;$D15+kad_mahsupTolerans,"AŞIM","UYGUN"))</f>
        <v/>
      </c>
    </row>
    <row r="16">
      <c r="A16" s="26" t="n"/>
      <c r="B16" s="26" t="n"/>
      <c r="C16" s="29" t="n"/>
      <c r="D16" s="27" t="n"/>
      <c r="E16" s="26" t="n"/>
      <c r="F16" s="26" t="n"/>
      <c r="G16" s="28">
        <f>IF($A16="","",SUMIFS(tblAkis[MahsupTutar],tblAkis[KaynakKartId],$B16,tblAkis[Durum],"MAHSUP"))</f>
        <v/>
      </c>
      <c r="H16" s="28">
        <f>IF($A16="","",MAX(0,$D16-$G16))</f>
        <v/>
      </c>
      <c r="I16" s="28">
        <f>IF($A16="","",IF($C16="","",raporTarihi-$C16))</f>
        <v/>
      </c>
      <c r="J16" s="28">
        <f>IF($A16="","",IF($I16="","",IF($I16&lt;=7,"0-7",IF($I16&lt;=30,"8-30",IF($I16&lt;=60,"31-60","60+")))))</f>
        <v/>
      </c>
      <c r="K16" s="28">
        <f>IF($A16="","",IF($B16="","YETİM",IF(COUNTIF(tblKartlar[KartId],$B16)=0,"YETİM","")))</f>
        <v/>
      </c>
      <c r="L16" s="28">
        <f>IF($A16="","",IF($G16&gt;$D16+kad_mahsupTolerans,"AŞIM","UYGUN"))</f>
        <v/>
      </c>
    </row>
    <row r="17">
      <c r="A17" s="26" t="n"/>
      <c r="B17" s="26" t="n"/>
      <c r="C17" s="29" t="n"/>
      <c r="D17" s="27" t="n"/>
      <c r="E17" s="26" t="n"/>
      <c r="F17" s="26" t="n"/>
      <c r="G17" s="28">
        <f>IF($A17="","",SUMIFS(tblAkis[MahsupTutar],tblAkis[KaynakKartId],$B17,tblAkis[Durum],"MAHSUP"))</f>
        <v/>
      </c>
      <c r="H17" s="28">
        <f>IF($A17="","",MAX(0,$D17-$G17))</f>
        <v/>
      </c>
      <c r="I17" s="28">
        <f>IF($A17="","",IF($C17="","",raporTarihi-$C17))</f>
        <v/>
      </c>
      <c r="J17" s="28">
        <f>IF($A17="","",IF($I17="","",IF($I17&lt;=7,"0-7",IF($I17&lt;=30,"8-30",IF($I17&lt;=60,"31-60","60+")))))</f>
        <v/>
      </c>
      <c r="K17" s="28">
        <f>IF($A17="","",IF($B17="","YETİM",IF(COUNTIF(tblKartlar[KartId],$B17)=0,"YETİM","")))</f>
        <v/>
      </c>
      <c r="L17" s="28">
        <f>IF($A17="","",IF($G17&gt;$D17+kad_mahsupTolerans,"AŞIM","UYGUN"))</f>
        <v/>
      </c>
    </row>
    <row r="18">
      <c r="A18" s="26" t="n"/>
      <c r="B18" s="26" t="n"/>
      <c r="C18" s="29" t="n"/>
      <c r="D18" s="27" t="n"/>
      <c r="E18" s="26" t="n"/>
      <c r="F18" s="26" t="n"/>
      <c r="G18" s="28">
        <f>IF($A18="","",SUMIFS(tblAkis[MahsupTutar],tblAkis[KaynakKartId],$B18,tblAkis[Durum],"MAHSUP"))</f>
        <v/>
      </c>
      <c r="H18" s="28">
        <f>IF($A18="","",MAX(0,$D18-$G18))</f>
        <v/>
      </c>
      <c r="I18" s="28">
        <f>IF($A18="","",IF($C18="","",raporTarihi-$C18))</f>
        <v/>
      </c>
      <c r="J18" s="28">
        <f>IF($A18="","",IF($I18="","",IF($I18&lt;=7,"0-7",IF($I18&lt;=30,"8-30",IF($I18&lt;=60,"31-60","60+")))))</f>
        <v/>
      </c>
      <c r="K18" s="28">
        <f>IF($A18="","",IF($B18="","YETİM",IF(COUNTIF(tblKartlar[KartId],$B18)=0,"YETİM","")))</f>
        <v/>
      </c>
      <c r="L18" s="28">
        <f>IF($A18="","",IF($G18&gt;$D18+kad_mahsupTolerans,"AŞIM","UYGUN"))</f>
        <v/>
      </c>
    </row>
    <row r="19">
      <c r="A19" s="26" t="n"/>
      <c r="B19" s="26" t="n"/>
      <c r="C19" s="29" t="n"/>
      <c r="D19" s="27" t="n"/>
      <c r="E19" s="26" t="n"/>
      <c r="F19" s="26" t="n"/>
      <c r="G19" s="28">
        <f>IF($A19="","",SUMIFS(tblAkis[MahsupTutar],tblAkis[KaynakKartId],$B19,tblAkis[Durum],"MAHSUP"))</f>
        <v/>
      </c>
      <c r="H19" s="28">
        <f>IF($A19="","",MAX(0,$D19-$G19))</f>
        <v/>
      </c>
      <c r="I19" s="28">
        <f>IF($A19="","",IF($C19="","",raporTarihi-$C19))</f>
        <v/>
      </c>
      <c r="J19" s="28">
        <f>IF($A19="","",IF($I19="","",IF($I19&lt;=7,"0-7",IF($I19&lt;=30,"8-30",IF($I19&lt;=60,"31-60","60+")))))</f>
        <v/>
      </c>
      <c r="K19" s="28">
        <f>IF($A19="","",IF($B19="","YETİM",IF(COUNTIF(tblKartlar[KartId],$B19)=0,"YETİM","")))</f>
        <v/>
      </c>
      <c r="L19" s="28">
        <f>IF($A19="","",IF($G19&gt;$D19+kad_mahsupTolerans,"AŞIM","UYGUN"))</f>
        <v/>
      </c>
    </row>
    <row r="20">
      <c r="A20" s="26" t="n"/>
      <c r="B20" s="26" t="n"/>
      <c r="C20" s="29" t="n"/>
      <c r="D20" s="27" t="n"/>
      <c r="E20" s="26" t="n"/>
      <c r="F20" s="26" t="n"/>
      <c r="G20" s="28">
        <f>IF($A20="","",SUMIFS(tblAkis[MahsupTutar],tblAkis[KaynakKartId],$B20,tblAkis[Durum],"MAHSUP"))</f>
        <v/>
      </c>
      <c r="H20" s="28">
        <f>IF($A20="","",MAX(0,$D20-$G20))</f>
        <v/>
      </c>
      <c r="I20" s="28">
        <f>IF($A20="","",IF($C20="","",raporTarihi-$C20))</f>
        <v/>
      </c>
      <c r="J20" s="28">
        <f>IF($A20="","",IF($I20="","",IF($I20&lt;=7,"0-7",IF($I20&lt;=30,"8-30",IF($I20&lt;=60,"31-60","60+")))))</f>
        <v/>
      </c>
      <c r="K20" s="28">
        <f>IF($A20="","",IF($B20="","YETİM",IF(COUNTIF(tblKartlar[KartId],$B20)=0,"YETİM","")))</f>
        <v/>
      </c>
      <c r="L20" s="28">
        <f>IF($A20="","",IF($G20&gt;$D20+kad_mahsupTolerans,"AŞIM","UYGUN"))</f>
        <v/>
      </c>
    </row>
    <row r="21">
      <c r="A21" s="26" t="n"/>
      <c r="B21" s="26" t="n"/>
      <c r="C21" s="29" t="n"/>
      <c r="D21" s="27" t="n"/>
      <c r="E21" s="26" t="n"/>
      <c r="F21" s="26" t="n"/>
      <c r="G21" s="28">
        <f>IF($A21="","",SUMIFS(tblAkis[MahsupTutar],tblAkis[KaynakKartId],$B21,tblAkis[Durum],"MAHSUP"))</f>
        <v/>
      </c>
      <c r="H21" s="28">
        <f>IF($A21="","",MAX(0,$D21-$G21))</f>
        <v/>
      </c>
      <c r="I21" s="28">
        <f>IF($A21="","",IF($C21="","",raporTarihi-$C21))</f>
        <v/>
      </c>
      <c r="J21" s="28">
        <f>IF($A21="","",IF($I21="","",IF($I21&lt;=7,"0-7",IF($I21&lt;=30,"8-30",IF($I21&lt;=60,"31-60","60+")))))</f>
        <v/>
      </c>
      <c r="K21" s="28">
        <f>IF($A21="","",IF($B21="","YETİM",IF(COUNTIF(tblKartlar[KartId],$B21)=0,"YETİM","")))</f>
        <v/>
      </c>
      <c r="L21" s="28">
        <f>IF($A21="","",IF($G21&gt;$D21+kad_mahsupTolerans,"AŞIM","UYGUN"))</f>
        <v/>
      </c>
    </row>
    <row r="22">
      <c r="A22" s="26" t="n"/>
      <c r="B22" s="26" t="n"/>
      <c r="C22" s="29" t="n"/>
      <c r="D22" s="27" t="n"/>
      <c r="E22" s="26" t="n"/>
      <c r="F22" s="26" t="n"/>
      <c r="G22" s="28">
        <f>IF($A22="","",SUMIFS(tblAkis[MahsupTutar],tblAkis[KaynakKartId],$B22,tblAkis[Durum],"MAHSUP"))</f>
        <v/>
      </c>
      <c r="H22" s="28">
        <f>IF($A22="","",MAX(0,$D22-$G22))</f>
        <v/>
      </c>
      <c r="I22" s="28">
        <f>IF($A22="","",IF($C22="","",raporTarihi-$C22))</f>
        <v/>
      </c>
      <c r="J22" s="28">
        <f>IF($A22="","",IF($I22="","",IF($I22&lt;=7,"0-7",IF($I22&lt;=30,"8-30",IF($I22&lt;=60,"31-60","60+")))))</f>
        <v/>
      </c>
      <c r="K22" s="28">
        <f>IF($A22="","",IF($B22="","YETİM",IF(COUNTIF(tblKartlar[KartId],$B22)=0,"YETİM","")))</f>
        <v/>
      </c>
      <c r="L22" s="28">
        <f>IF($A22="","",IF($G22&gt;$D22+kad_mahsupTolerans,"AŞIM","UYGUN"))</f>
        <v/>
      </c>
    </row>
    <row r="23">
      <c r="A23" s="26" t="n"/>
      <c r="B23" s="26" t="n"/>
      <c r="C23" s="29" t="n"/>
      <c r="D23" s="27" t="n"/>
      <c r="E23" s="26" t="n"/>
      <c r="F23" s="26" t="n"/>
      <c r="G23" s="28">
        <f>IF($A23="","",SUMIFS(tblAkis[MahsupTutar],tblAkis[KaynakKartId],$B23,tblAkis[Durum],"MAHSUP"))</f>
        <v/>
      </c>
      <c r="H23" s="28">
        <f>IF($A23="","",MAX(0,$D23-$G23))</f>
        <v/>
      </c>
      <c r="I23" s="28">
        <f>IF($A23="","",IF($C23="","",raporTarihi-$C23))</f>
        <v/>
      </c>
      <c r="J23" s="28">
        <f>IF($A23="","",IF($I23="","",IF($I23&lt;=7,"0-7",IF($I23&lt;=30,"8-30",IF($I23&lt;=60,"31-60","60+")))))</f>
        <v/>
      </c>
      <c r="K23" s="28">
        <f>IF($A23="","",IF($B23="","YETİM",IF(COUNTIF(tblKartlar[KartId],$B23)=0,"YETİM","")))</f>
        <v/>
      </c>
      <c r="L23" s="28">
        <f>IF($A23="","",IF($G23&gt;$D23+kad_mahsupTolerans,"AŞIM","UYGUN"))</f>
        <v/>
      </c>
    </row>
    <row r="24">
      <c r="A24" s="26" t="n"/>
      <c r="B24" s="26" t="n"/>
      <c r="C24" s="29" t="n"/>
      <c r="D24" s="27" t="n"/>
      <c r="E24" s="26" t="n"/>
      <c r="F24" s="26" t="n"/>
      <c r="G24" s="28">
        <f>IF($A24="","",SUMIFS(tblAkis[MahsupTutar],tblAkis[KaynakKartId],$B24,tblAkis[Durum],"MAHSUP"))</f>
        <v/>
      </c>
      <c r="H24" s="28">
        <f>IF($A24="","",MAX(0,$D24-$G24))</f>
        <v/>
      </c>
      <c r="I24" s="28">
        <f>IF($A24="","",IF($C24="","",raporTarihi-$C24))</f>
        <v/>
      </c>
      <c r="J24" s="28">
        <f>IF($A24="","",IF($I24="","",IF($I24&lt;=7,"0-7",IF($I24&lt;=30,"8-30",IF($I24&lt;=60,"31-60","60+")))))</f>
        <v/>
      </c>
      <c r="K24" s="28">
        <f>IF($A24="","",IF($B24="","YETİM",IF(COUNTIF(tblKartlar[KartId],$B24)=0,"YETİM","")))</f>
        <v/>
      </c>
      <c r="L24" s="28">
        <f>IF($A24="","",IF($G24&gt;$D24+kad_mahsupTolerans,"AŞIM","UYGUN"))</f>
        <v/>
      </c>
    </row>
    <row r="25">
      <c r="A25" s="26" t="n"/>
      <c r="B25" s="26" t="n"/>
      <c r="C25" s="29" t="n"/>
      <c r="D25" s="27" t="n"/>
      <c r="E25" s="26" t="n"/>
      <c r="F25" s="26" t="n"/>
      <c r="G25" s="28">
        <f>IF($A25="","",SUMIFS(tblAkis[MahsupTutar],tblAkis[KaynakKartId],$B25,tblAkis[Durum],"MAHSUP"))</f>
        <v/>
      </c>
      <c r="H25" s="28">
        <f>IF($A25="","",MAX(0,$D25-$G25))</f>
        <v/>
      </c>
      <c r="I25" s="28">
        <f>IF($A25="","",IF($C25="","",raporTarihi-$C25))</f>
        <v/>
      </c>
      <c r="J25" s="28">
        <f>IF($A25="","",IF($I25="","",IF($I25&lt;=7,"0-7",IF($I25&lt;=30,"8-30",IF($I25&lt;=60,"31-60","60+")))))</f>
        <v/>
      </c>
      <c r="K25" s="28">
        <f>IF($A25="","",IF($B25="","YETİM",IF(COUNTIF(tblKartlar[KartId],$B25)=0,"YETİM","")))</f>
        <v/>
      </c>
      <c r="L25" s="28">
        <f>IF($A25="","",IF($G25&gt;$D25+kad_mahsupTolerans,"AŞIM","UYGUN"))</f>
        <v/>
      </c>
    </row>
    <row r="26">
      <c r="A26" s="26" t="n"/>
      <c r="B26" s="26" t="n"/>
      <c r="C26" s="29" t="n"/>
      <c r="D26" s="27" t="n"/>
      <c r="E26" s="26" t="n"/>
      <c r="F26" s="26" t="n"/>
      <c r="G26" s="28">
        <f>IF($A26="","",SUMIFS(tblAkis[MahsupTutar],tblAkis[KaynakKartId],$B26,tblAkis[Durum],"MAHSUP"))</f>
        <v/>
      </c>
      <c r="H26" s="28">
        <f>IF($A26="","",MAX(0,$D26-$G26))</f>
        <v/>
      </c>
      <c r="I26" s="28">
        <f>IF($A26="","",IF($C26="","",raporTarihi-$C26))</f>
        <v/>
      </c>
      <c r="J26" s="28">
        <f>IF($A26="","",IF($I26="","",IF($I26&lt;=7,"0-7",IF($I26&lt;=30,"8-30",IF($I26&lt;=60,"31-60","60+")))))</f>
        <v/>
      </c>
      <c r="K26" s="28">
        <f>IF($A26="","",IF($B26="","YETİM",IF(COUNTIF(tblKartlar[KartId],$B26)=0,"YETİM","")))</f>
        <v/>
      </c>
      <c r="L26" s="28">
        <f>IF($A26="","",IF($G26&gt;$D26+kad_mahsupTolerans,"AŞIM","UYGUN"))</f>
        <v/>
      </c>
    </row>
    <row r="27">
      <c r="A27" s="26" t="n"/>
      <c r="B27" s="26" t="n"/>
      <c r="C27" s="29" t="n"/>
      <c r="D27" s="27" t="n"/>
      <c r="E27" s="26" t="n"/>
      <c r="F27" s="26" t="n"/>
      <c r="G27" s="28">
        <f>IF($A27="","",SUMIFS(tblAkis[MahsupTutar],tblAkis[KaynakKartId],$B27,tblAkis[Durum],"MAHSUP"))</f>
        <v/>
      </c>
      <c r="H27" s="28">
        <f>IF($A27="","",MAX(0,$D27-$G27))</f>
        <v/>
      </c>
      <c r="I27" s="28">
        <f>IF($A27="","",IF($C27="","",raporTarihi-$C27))</f>
        <v/>
      </c>
      <c r="J27" s="28">
        <f>IF($A27="","",IF($I27="","",IF($I27&lt;=7,"0-7",IF($I27&lt;=30,"8-30",IF($I27&lt;=60,"31-60","60+")))))</f>
        <v/>
      </c>
      <c r="K27" s="28">
        <f>IF($A27="","",IF($B27="","YETİM",IF(COUNTIF(tblKartlar[KartId],$B27)=0,"YETİM","")))</f>
        <v/>
      </c>
      <c r="L27" s="28">
        <f>IF($A27="","",IF($G27&gt;$D27+kad_mahsupTolerans,"AŞIM","UYGUN"))</f>
        <v/>
      </c>
    </row>
    <row r="28">
      <c r="A28" s="26" t="n"/>
      <c r="B28" s="26" t="n"/>
      <c r="C28" s="29" t="n"/>
      <c r="D28" s="27" t="n"/>
      <c r="E28" s="26" t="n"/>
      <c r="F28" s="26" t="n"/>
      <c r="G28" s="28">
        <f>IF($A28="","",SUMIFS(tblAkis[MahsupTutar],tblAkis[KaynakKartId],$B28,tblAkis[Durum],"MAHSUP"))</f>
        <v/>
      </c>
      <c r="H28" s="28">
        <f>IF($A28="","",MAX(0,$D28-$G28))</f>
        <v/>
      </c>
      <c r="I28" s="28">
        <f>IF($A28="","",IF($C28="","",raporTarihi-$C28))</f>
        <v/>
      </c>
      <c r="J28" s="28">
        <f>IF($A28="","",IF($I28="","",IF($I28&lt;=7,"0-7",IF($I28&lt;=30,"8-30",IF($I28&lt;=60,"31-60","60+")))))</f>
        <v/>
      </c>
      <c r="K28" s="28">
        <f>IF($A28="","",IF($B28="","YETİM",IF(COUNTIF(tblKartlar[KartId],$B28)=0,"YETİM","")))</f>
        <v/>
      </c>
      <c r="L28" s="28">
        <f>IF($A28="","",IF($G28&gt;$D28+kad_mahsupTolerans,"AŞIM","UYGUN"))</f>
        <v/>
      </c>
    </row>
    <row r="29">
      <c r="A29" s="26" t="n"/>
      <c r="B29" s="26" t="n"/>
      <c r="C29" s="29" t="n"/>
      <c r="D29" s="27" t="n"/>
      <c r="E29" s="26" t="n"/>
      <c r="F29" s="26" t="n"/>
      <c r="G29" s="28">
        <f>IF($A29="","",SUMIFS(tblAkis[MahsupTutar],tblAkis[KaynakKartId],$B29,tblAkis[Durum],"MAHSUP"))</f>
        <v/>
      </c>
      <c r="H29" s="28">
        <f>IF($A29="","",MAX(0,$D29-$G29))</f>
        <v/>
      </c>
      <c r="I29" s="28">
        <f>IF($A29="","",IF($C29="","",raporTarihi-$C29))</f>
        <v/>
      </c>
      <c r="J29" s="28">
        <f>IF($A29="","",IF($I29="","",IF($I29&lt;=7,"0-7",IF($I29&lt;=30,"8-30",IF($I29&lt;=60,"31-60","60+")))))</f>
        <v/>
      </c>
      <c r="K29" s="28">
        <f>IF($A29="","",IF($B29="","YETİM",IF(COUNTIF(tblKartlar[KartId],$B29)=0,"YETİM","")))</f>
        <v/>
      </c>
      <c r="L29" s="28">
        <f>IF($A29="","",IF($G29&gt;$D29+kad_mahsupTolerans,"AŞIM","UYGUN"))</f>
        <v/>
      </c>
    </row>
    <row r="30">
      <c r="A30" s="26" t="n"/>
      <c r="B30" s="26" t="n"/>
      <c r="C30" s="29" t="n"/>
      <c r="D30" s="27" t="n"/>
      <c r="E30" s="26" t="n"/>
      <c r="F30" s="26" t="n"/>
      <c r="G30" s="28">
        <f>IF($A30="","",SUMIFS(tblAkis[MahsupTutar],tblAkis[KaynakKartId],$B30,tblAkis[Durum],"MAHSUP"))</f>
        <v/>
      </c>
      <c r="H30" s="28">
        <f>IF($A30="","",MAX(0,$D30-$G30))</f>
        <v/>
      </c>
      <c r="I30" s="28">
        <f>IF($A30="","",IF($C30="","",raporTarihi-$C30))</f>
        <v/>
      </c>
      <c r="J30" s="28">
        <f>IF($A30="","",IF($I30="","",IF($I30&lt;=7,"0-7",IF($I30&lt;=30,"8-30",IF($I30&lt;=60,"31-60","60+")))))</f>
        <v/>
      </c>
      <c r="K30" s="28">
        <f>IF($A30="","",IF($B30="","YETİM",IF(COUNTIF(tblKartlar[KartId],$B30)=0,"YETİM","")))</f>
        <v/>
      </c>
      <c r="L30" s="28">
        <f>IF($A30="","",IF($G30&gt;$D30+kad_mahsupTolerans,"AŞIM","UYGUN"))</f>
        <v/>
      </c>
    </row>
    <row r="31">
      <c r="A31" s="26" t="n"/>
      <c r="B31" s="26" t="n"/>
      <c r="C31" s="29" t="n"/>
      <c r="D31" s="27" t="n"/>
      <c r="E31" s="26" t="n"/>
      <c r="F31" s="26" t="n"/>
      <c r="G31" s="28">
        <f>IF($A31="","",SUMIFS(tblAkis[MahsupTutar],tblAkis[KaynakKartId],$B31,tblAkis[Durum],"MAHSUP"))</f>
        <v/>
      </c>
      <c r="H31" s="28">
        <f>IF($A31="","",MAX(0,$D31-$G31))</f>
        <v/>
      </c>
      <c r="I31" s="28">
        <f>IF($A31="","",IF($C31="","",raporTarihi-$C31))</f>
        <v/>
      </c>
      <c r="J31" s="28">
        <f>IF($A31="","",IF($I31="","",IF($I31&lt;=7,"0-7",IF($I31&lt;=30,"8-30",IF($I31&lt;=60,"31-60","60+")))))</f>
        <v/>
      </c>
      <c r="K31" s="28">
        <f>IF($A31="","",IF($B31="","YETİM",IF(COUNTIF(tblKartlar[KartId],$B31)=0,"YETİM","")))</f>
        <v/>
      </c>
      <c r="L31" s="28">
        <f>IF($A31="","",IF($G31&gt;$D31+kad_mahsupTolerans,"AŞIM","UYGUN"))</f>
        <v/>
      </c>
    </row>
    <row r="32">
      <c r="A32" s="26" t="n"/>
      <c r="B32" s="26" t="n"/>
      <c r="C32" s="29" t="n"/>
      <c r="D32" s="27" t="n"/>
      <c r="E32" s="26" t="n"/>
      <c r="F32" s="26" t="n"/>
      <c r="G32" s="28">
        <f>IF($A32="","",SUMIFS(tblAkis[MahsupTutar],tblAkis[KaynakKartId],$B32,tblAkis[Durum],"MAHSUP"))</f>
        <v/>
      </c>
      <c r="H32" s="28">
        <f>IF($A32="","",MAX(0,$D32-$G32))</f>
        <v/>
      </c>
      <c r="I32" s="28">
        <f>IF($A32="","",IF($C32="","",raporTarihi-$C32))</f>
        <v/>
      </c>
      <c r="J32" s="28">
        <f>IF($A32="","",IF($I32="","",IF($I32&lt;=7,"0-7",IF($I32&lt;=30,"8-30",IF($I32&lt;=60,"31-60","60+")))))</f>
        <v/>
      </c>
      <c r="K32" s="28">
        <f>IF($A32="","",IF($B32="","YETİM",IF(COUNTIF(tblKartlar[KartId],$B32)=0,"YETİM","")))</f>
        <v/>
      </c>
      <c r="L32" s="28">
        <f>IF($A32="","",IF($G32&gt;$D32+kad_mahsupTolerans,"AŞIM","UYGUN"))</f>
        <v/>
      </c>
    </row>
    <row r="33">
      <c r="A33" s="26" t="n"/>
      <c r="B33" s="26" t="n"/>
      <c r="C33" s="29" t="n"/>
      <c r="D33" s="27" t="n"/>
      <c r="E33" s="26" t="n"/>
      <c r="F33" s="26" t="n"/>
      <c r="G33" s="28">
        <f>IF($A33="","",SUMIFS(tblAkis[MahsupTutar],tblAkis[KaynakKartId],$B33,tblAkis[Durum],"MAHSUP"))</f>
        <v/>
      </c>
      <c r="H33" s="28">
        <f>IF($A33="","",MAX(0,$D33-$G33))</f>
        <v/>
      </c>
      <c r="I33" s="28">
        <f>IF($A33="","",IF($C33="","",raporTarihi-$C33))</f>
        <v/>
      </c>
      <c r="J33" s="28">
        <f>IF($A33="","",IF($I33="","",IF($I33&lt;=7,"0-7",IF($I33&lt;=30,"8-30",IF($I33&lt;=60,"31-60","60+")))))</f>
        <v/>
      </c>
      <c r="K33" s="28">
        <f>IF($A33="","",IF($B33="","YETİM",IF(COUNTIF(tblKartlar[KartId],$B33)=0,"YETİM","")))</f>
        <v/>
      </c>
      <c r="L33" s="28">
        <f>IF($A33="","",IF($G33&gt;$D33+kad_mahsupTolerans,"AŞIM","UYGUN"))</f>
        <v/>
      </c>
    </row>
    <row r="34">
      <c r="A34" s="26" t="n"/>
      <c r="B34" s="26" t="n"/>
      <c r="C34" s="29" t="n"/>
      <c r="D34" s="27" t="n"/>
      <c r="E34" s="26" t="n"/>
      <c r="F34" s="26" t="n"/>
      <c r="G34" s="28">
        <f>IF($A34="","",SUMIFS(tblAkis[MahsupTutar],tblAkis[KaynakKartId],$B34,tblAkis[Durum],"MAHSUP"))</f>
        <v/>
      </c>
      <c r="H34" s="28">
        <f>IF($A34="","",MAX(0,$D34-$G34))</f>
        <v/>
      </c>
      <c r="I34" s="28">
        <f>IF($A34="","",IF($C34="","",raporTarihi-$C34))</f>
        <v/>
      </c>
      <c r="J34" s="28">
        <f>IF($A34="","",IF($I34="","",IF($I34&lt;=7,"0-7",IF($I34&lt;=30,"8-30",IF($I34&lt;=60,"31-60","60+")))))</f>
        <v/>
      </c>
      <c r="K34" s="28">
        <f>IF($A34="","",IF($B34="","YETİM",IF(COUNTIF(tblKartlar[KartId],$B34)=0,"YETİM","")))</f>
        <v/>
      </c>
      <c r="L34" s="28">
        <f>IF($A34="","",IF($G34&gt;$D34+kad_mahsupTolerans,"AŞIM","UYGUN"))</f>
        <v/>
      </c>
    </row>
    <row r="35">
      <c r="A35" s="26" t="n"/>
      <c r="B35" s="26" t="n"/>
      <c r="C35" s="29" t="n"/>
      <c r="D35" s="27" t="n"/>
      <c r="E35" s="26" t="n"/>
      <c r="F35" s="26" t="n"/>
      <c r="G35" s="28">
        <f>IF($A35="","",SUMIFS(tblAkis[MahsupTutar],tblAkis[KaynakKartId],$B35,tblAkis[Durum],"MAHSUP"))</f>
        <v/>
      </c>
      <c r="H35" s="28">
        <f>IF($A35="","",MAX(0,$D35-$G35))</f>
        <v/>
      </c>
      <c r="I35" s="28">
        <f>IF($A35="","",IF($C35="","",raporTarihi-$C35))</f>
        <v/>
      </c>
      <c r="J35" s="28">
        <f>IF($A35="","",IF($I35="","",IF($I35&lt;=7,"0-7",IF($I35&lt;=30,"8-30",IF($I35&lt;=60,"31-60","60+")))))</f>
        <v/>
      </c>
      <c r="K35" s="28">
        <f>IF($A35="","",IF($B35="","YETİM",IF(COUNTIF(tblKartlar[KartId],$B35)=0,"YETİM","")))</f>
        <v/>
      </c>
      <c r="L35" s="28">
        <f>IF($A35="","",IF($G35&gt;$D35+kad_mahsupTolerans,"AŞIM","UYGUN"))</f>
        <v/>
      </c>
    </row>
    <row r="36">
      <c r="A36" s="26" t="n"/>
      <c r="B36" s="26" t="n"/>
      <c r="C36" s="29" t="n"/>
      <c r="D36" s="27" t="n"/>
      <c r="E36" s="26" t="n"/>
      <c r="F36" s="26" t="n"/>
      <c r="G36" s="28">
        <f>IF($A36="","",SUMIFS(tblAkis[MahsupTutar],tblAkis[KaynakKartId],$B36,tblAkis[Durum],"MAHSUP"))</f>
        <v/>
      </c>
      <c r="H36" s="28">
        <f>IF($A36="","",MAX(0,$D36-$G36))</f>
        <v/>
      </c>
      <c r="I36" s="28">
        <f>IF($A36="","",IF($C36="","",raporTarihi-$C36))</f>
        <v/>
      </c>
      <c r="J36" s="28">
        <f>IF($A36="","",IF($I36="","",IF($I36&lt;=7,"0-7",IF($I36&lt;=30,"8-30",IF($I36&lt;=60,"31-60","60+")))))</f>
        <v/>
      </c>
      <c r="K36" s="28">
        <f>IF($A36="","",IF($B36="","YETİM",IF(COUNTIF(tblKartlar[KartId],$B36)=0,"YETİM","")))</f>
        <v/>
      </c>
      <c r="L36" s="28">
        <f>IF($A36="","",IF($G36&gt;$D36+kad_mahsupTolerans,"AŞIM","UYGUN"))</f>
        <v/>
      </c>
    </row>
    <row r="37">
      <c r="A37" s="26" t="n"/>
      <c r="B37" s="26" t="n"/>
      <c r="C37" s="29" t="n"/>
      <c r="D37" s="27" t="n"/>
      <c r="E37" s="26" t="n"/>
      <c r="F37" s="26" t="n"/>
      <c r="G37" s="28">
        <f>IF($A37="","",SUMIFS(tblAkis[MahsupTutar],tblAkis[KaynakKartId],$B37,tblAkis[Durum],"MAHSUP"))</f>
        <v/>
      </c>
      <c r="H37" s="28">
        <f>IF($A37="","",MAX(0,$D37-$G37))</f>
        <v/>
      </c>
      <c r="I37" s="28">
        <f>IF($A37="","",IF($C37="","",raporTarihi-$C37))</f>
        <v/>
      </c>
      <c r="J37" s="28">
        <f>IF($A37="","",IF($I37="","",IF($I37&lt;=7,"0-7",IF($I37&lt;=30,"8-30",IF($I37&lt;=60,"31-60","60+")))))</f>
        <v/>
      </c>
      <c r="K37" s="28">
        <f>IF($A37="","",IF($B37="","YETİM",IF(COUNTIF(tblKartlar[KartId],$B37)=0,"YETİM","")))</f>
        <v/>
      </c>
      <c r="L37" s="28">
        <f>IF($A37="","",IF($G37&gt;$D37+kad_mahsupTolerans,"AŞIM","UYGUN"))</f>
        <v/>
      </c>
    </row>
    <row r="38">
      <c r="A38" s="26" t="n"/>
      <c r="B38" s="26" t="n"/>
      <c r="C38" s="29" t="n"/>
      <c r="D38" s="27" t="n"/>
      <c r="E38" s="26" t="n"/>
      <c r="F38" s="26" t="n"/>
      <c r="G38" s="28">
        <f>IF($A38="","",SUMIFS(tblAkis[MahsupTutar],tblAkis[KaynakKartId],$B38,tblAkis[Durum],"MAHSUP"))</f>
        <v/>
      </c>
      <c r="H38" s="28">
        <f>IF($A38="","",MAX(0,$D38-$G38))</f>
        <v/>
      </c>
      <c r="I38" s="28">
        <f>IF($A38="","",IF($C38="","",raporTarihi-$C38))</f>
        <v/>
      </c>
      <c r="J38" s="28">
        <f>IF($A38="","",IF($I38="","",IF($I38&lt;=7,"0-7",IF($I38&lt;=30,"8-30",IF($I38&lt;=60,"31-60","60+")))))</f>
        <v/>
      </c>
      <c r="K38" s="28">
        <f>IF($A38="","",IF($B38="","YETİM",IF(COUNTIF(tblKartlar[KartId],$B38)=0,"YETİM","")))</f>
        <v/>
      </c>
      <c r="L38" s="28">
        <f>IF($A38="","",IF($G38&gt;$D38+kad_mahsupTolerans,"AŞIM","UYGUN"))</f>
        <v/>
      </c>
    </row>
    <row r="39">
      <c r="A39" s="26" t="n"/>
      <c r="B39" s="26" t="n"/>
      <c r="C39" s="29" t="n"/>
      <c r="D39" s="27" t="n"/>
      <c r="E39" s="26" t="n"/>
      <c r="F39" s="26" t="n"/>
      <c r="G39" s="28">
        <f>IF($A39="","",SUMIFS(tblAkis[MahsupTutar],tblAkis[KaynakKartId],$B39,tblAkis[Durum],"MAHSUP"))</f>
        <v/>
      </c>
      <c r="H39" s="28">
        <f>IF($A39="","",MAX(0,$D39-$G39))</f>
        <v/>
      </c>
      <c r="I39" s="28">
        <f>IF($A39="","",IF($C39="","",raporTarihi-$C39))</f>
        <v/>
      </c>
      <c r="J39" s="28">
        <f>IF($A39="","",IF($I39="","",IF($I39&lt;=7,"0-7",IF($I39&lt;=30,"8-30",IF($I39&lt;=60,"31-60","60+")))))</f>
        <v/>
      </c>
      <c r="K39" s="28">
        <f>IF($A39="","",IF($B39="","YETİM",IF(COUNTIF(tblKartlar[KartId],$B39)=0,"YETİM","")))</f>
        <v/>
      </c>
      <c r="L39" s="28">
        <f>IF($A39="","",IF($G39&gt;$D39+kad_mahsupTolerans,"AŞIM","UYGUN"))</f>
        <v/>
      </c>
    </row>
    <row r="40">
      <c r="A40" s="26" t="n"/>
      <c r="B40" s="26" t="n"/>
      <c r="C40" s="29" t="n"/>
      <c r="D40" s="27" t="n"/>
      <c r="E40" s="26" t="n"/>
      <c r="F40" s="26" t="n"/>
      <c r="G40" s="28">
        <f>IF($A40="","",SUMIFS(tblAkis[MahsupTutar],tblAkis[KaynakKartId],$B40,tblAkis[Durum],"MAHSUP"))</f>
        <v/>
      </c>
      <c r="H40" s="28">
        <f>IF($A40="","",MAX(0,$D40-$G40))</f>
        <v/>
      </c>
      <c r="I40" s="28">
        <f>IF($A40="","",IF($C40="","",raporTarihi-$C40))</f>
        <v/>
      </c>
      <c r="J40" s="28">
        <f>IF($A40="","",IF($I40="","",IF($I40&lt;=7,"0-7",IF($I40&lt;=30,"8-30",IF($I40&lt;=60,"31-60","60+")))))</f>
        <v/>
      </c>
      <c r="K40" s="28">
        <f>IF($A40="","",IF($B40="","YETİM",IF(COUNTIF(tblKartlar[KartId],$B40)=0,"YETİM","")))</f>
        <v/>
      </c>
      <c r="L40" s="28">
        <f>IF($A40="","",IF($G40&gt;$D40+kad_mahsupTolerans,"AŞIM","UYGUN"))</f>
        <v/>
      </c>
    </row>
    <row r="41">
      <c r="A41" s="26" t="n"/>
      <c r="B41" s="26" t="n"/>
      <c r="C41" s="29" t="n"/>
      <c r="D41" s="27" t="n"/>
      <c r="E41" s="26" t="n"/>
      <c r="F41" s="26" t="n"/>
      <c r="G41" s="28">
        <f>IF($A41="","",SUMIFS(tblAkis[MahsupTutar],tblAkis[KaynakKartId],$B41,tblAkis[Durum],"MAHSUP"))</f>
        <v/>
      </c>
      <c r="H41" s="28">
        <f>IF($A41="","",MAX(0,$D41-$G41))</f>
        <v/>
      </c>
      <c r="I41" s="28">
        <f>IF($A41="","",IF($C41="","",raporTarihi-$C41))</f>
        <v/>
      </c>
      <c r="J41" s="28">
        <f>IF($A41="","",IF($I41="","",IF($I41&lt;=7,"0-7",IF($I41&lt;=30,"8-30",IF($I41&lt;=60,"31-60","60+")))))</f>
        <v/>
      </c>
      <c r="K41" s="28">
        <f>IF($A41="","",IF($B41="","YETİM",IF(COUNTIF(tblKartlar[KartId],$B41)=0,"YETİM","")))</f>
        <v/>
      </c>
      <c r="L41" s="28">
        <f>IF($A41="","",IF($G41&gt;$D41+kad_mahsupTolerans,"AŞIM","UYGUN"))</f>
        <v/>
      </c>
    </row>
    <row r="42">
      <c r="A42" s="26" t="n"/>
      <c r="B42" s="26" t="n"/>
      <c r="C42" s="29" t="n"/>
      <c r="D42" s="27" t="n"/>
      <c r="E42" s="26" t="n"/>
      <c r="F42" s="26" t="n"/>
      <c r="G42" s="28">
        <f>IF($A42="","",SUMIFS(tblAkis[MahsupTutar],tblAkis[KaynakKartId],$B42,tblAkis[Durum],"MAHSUP"))</f>
        <v/>
      </c>
      <c r="H42" s="28">
        <f>IF($A42="","",MAX(0,$D42-$G42))</f>
        <v/>
      </c>
      <c r="I42" s="28">
        <f>IF($A42="","",IF($C42="","",raporTarihi-$C42))</f>
        <v/>
      </c>
      <c r="J42" s="28">
        <f>IF($A42="","",IF($I42="","",IF($I42&lt;=7,"0-7",IF($I42&lt;=30,"8-30",IF($I42&lt;=60,"31-60","60+")))))</f>
        <v/>
      </c>
      <c r="K42" s="28">
        <f>IF($A42="","",IF($B42="","YETİM",IF(COUNTIF(tblKartlar[KartId],$B42)=0,"YETİM","")))</f>
        <v/>
      </c>
      <c r="L42" s="28">
        <f>IF($A42="","",IF($G42&gt;$D42+kad_mahsupTolerans,"AŞIM","UYGUN"))</f>
        <v/>
      </c>
    </row>
    <row r="43">
      <c r="A43" s="26" t="n"/>
      <c r="B43" s="26" t="n"/>
      <c r="C43" s="29" t="n"/>
      <c r="D43" s="27" t="n"/>
      <c r="E43" s="26" t="n"/>
      <c r="F43" s="26" t="n"/>
      <c r="G43" s="28">
        <f>IF($A43="","",SUMIFS(tblAkis[MahsupTutar],tblAkis[KaynakKartId],$B43,tblAkis[Durum],"MAHSUP"))</f>
        <v/>
      </c>
      <c r="H43" s="28">
        <f>IF($A43="","",MAX(0,$D43-$G43))</f>
        <v/>
      </c>
      <c r="I43" s="28">
        <f>IF($A43="","",IF($C43="","",raporTarihi-$C43))</f>
        <v/>
      </c>
      <c r="J43" s="28">
        <f>IF($A43="","",IF($I43="","",IF($I43&lt;=7,"0-7",IF($I43&lt;=30,"8-30",IF($I43&lt;=60,"31-60","60+")))))</f>
        <v/>
      </c>
      <c r="K43" s="28">
        <f>IF($A43="","",IF($B43="","YETİM",IF(COUNTIF(tblKartlar[KartId],$B43)=0,"YETİM","")))</f>
        <v/>
      </c>
      <c r="L43" s="28">
        <f>IF($A43="","",IF($G43&gt;$D43+kad_mahsupTolerans,"AŞIM","UYGUN"))</f>
        <v/>
      </c>
    </row>
    <row r="44">
      <c r="A44" s="26" t="n"/>
      <c r="B44" s="26" t="n"/>
      <c r="C44" s="29" t="n"/>
      <c r="D44" s="27" t="n"/>
      <c r="E44" s="26" t="n"/>
      <c r="F44" s="26" t="n"/>
      <c r="G44" s="28">
        <f>IF($A44="","",SUMIFS(tblAkis[MahsupTutar],tblAkis[KaynakKartId],$B44,tblAkis[Durum],"MAHSUP"))</f>
        <v/>
      </c>
      <c r="H44" s="28">
        <f>IF($A44="","",MAX(0,$D44-$G44))</f>
        <v/>
      </c>
      <c r="I44" s="28">
        <f>IF($A44="","",IF($C44="","",raporTarihi-$C44))</f>
        <v/>
      </c>
      <c r="J44" s="28">
        <f>IF($A44="","",IF($I44="","",IF($I44&lt;=7,"0-7",IF($I44&lt;=30,"8-30",IF($I44&lt;=60,"31-60","60+")))))</f>
        <v/>
      </c>
      <c r="K44" s="28">
        <f>IF($A44="","",IF($B44="","YETİM",IF(COUNTIF(tblKartlar[KartId],$B44)=0,"YETİM","")))</f>
        <v/>
      </c>
      <c r="L44" s="28">
        <f>IF($A44="","",IF($G44&gt;$D44+kad_mahsupTolerans,"AŞIM","UYGUN"))</f>
        <v/>
      </c>
    </row>
    <row r="45">
      <c r="A45" s="26" t="n"/>
      <c r="B45" s="26" t="n"/>
      <c r="C45" s="29" t="n"/>
      <c r="D45" s="27" t="n"/>
      <c r="E45" s="26" t="n"/>
      <c r="F45" s="26" t="n"/>
      <c r="G45" s="28">
        <f>IF($A45="","",SUMIFS(tblAkis[MahsupTutar],tblAkis[KaynakKartId],$B45,tblAkis[Durum],"MAHSUP"))</f>
        <v/>
      </c>
      <c r="H45" s="28">
        <f>IF($A45="","",MAX(0,$D45-$G45))</f>
        <v/>
      </c>
      <c r="I45" s="28">
        <f>IF($A45="","",IF($C45="","",raporTarihi-$C45))</f>
        <v/>
      </c>
      <c r="J45" s="28">
        <f>IF($A45="","",IF($I45="","",IF($I45&lt;=7,"0-7",IF($I45&lt;=30,"8-30",IF($I45&lt;=60,"31-60","60+")))))</f>
        <v/>
      </c>
      <c r="K45" s="28">
        <f>IF($A45="","",IF($B45="","YETİM",IF(COUNTIF(tblKartlar[KartId],$B45)=0,"YETİM","")))</f>
        <v/>
      </c>
      <c r="L45" s="28">
        <f>IF($A45="","",IF($G45&gt;$D45+kad_mahsupTolerans,"AŞIM","UYGUN"))</f>
        <v/>
      </c>
    </row>
    <row r="46">
      <c r="A46" s="26" t="n"/>
      <c r="B46" s="26" t="n"/>
      <c r="C46" s="29" t="n"/>
      <c r="D46" s="27" t="n"/>
      <c r="E46" s="26" t="n"/>
      <c r="F46" s="26" t="n"/>
      <c r="G46" s="28">
        <f>IF($A46="","",SUMIFS(tblAkis[MahsupTutar],tblAkis[KaynakKartId],$B46,tblAkis[Durum],"MAHSUP"))</f>
        <v/>
      </c>
      <c r="H46" s="28">
        <f>IF($A46="","",MAX(0,$D46-$G46))</f>
        <v/>
      </c>
      <c r="I46" s="28">
        <f>IF($A46="","",IF($C46="","",raporTarihi-$C46))</f>
        <v/>
      </c>
      <c r="J46" s="28">
        <f>IF($A46="","",IF($I46="","",IF($I46&lt;=7,"0-7",IF($I46&lt;=30,"8-30",IF($I46&lt;=60,"31-60","60+")))))</f>
        <v/>
      </c>
      <c r="K46" s="28">
        <f>IF($A46="","",IF($B46="","YETİM",IF(COUNTIF(tblKartlar[KartId],$B46)=0,"YETİM","")))</f>
        <v/>
      </c>
      <c r="L46" s="28">
        <f>IF($A46="","",IF($G46&gt;$D46+kad_mahsupTolerans,"AŞIM","UYGUN"))</f>
        <v/>
      </c>
    </row>
    <row r="47">
      <c r="A47" s="26" t="n"/>
      <c r="B47" s="26" t="n"/>
      <c r="C47" s="29" t="n"/>
      <c r="D47" s="27" t="n"/>
      <c r="E47" s="26" t="n"/>
      <c r="F47" s="26" t="n"/>
      <c r="G47" s="28">
        <f>IF($A47="","",SUMIFS(tblAkis[MahsupTutar],tblAkis[KaynakKartId],$B47,tblAkis[Durum],"MAHSUP"))</f>
        <v/>
      </c>
      <c r="H47" s="28">
        <f>IF($A47="","",MAX(0,$D47-$G47))</f>
        <v/>
      </c>
      <c r="I47" s="28">
        <f>IF($A47="","",IF($C47="","",raporTarihi-$C47))</f>
        <v/>
      </c>
      <c r="J47" s="28">
        <f>IF($A47="","",IF($I47="","",IF($I47&lt;=7,"0-7",IF($I47&lt;=30,"8-30",IF($I47&lt;=60,"31-60","60+")))))</f>
        <v/>
      </c>
      <c r="K47" s="28">
        <f>IF($A47="","",IF($B47="","YETİM",IF(COUNTIF(tblKartlar[KartId],$B47)=0,"YETİM","")))</f>
        <v/>
      </c>
      <c r="L47" s="28">
        <f>IF($A47="","",IF($G47&gt;$D47+kad_mahsupTolerans,"AŞIM","UYGUN"))</f>
        <v/>
      </c>
    </row>
    <row r="48">
      <c r="A48" s="26" t="n"/>
      <c r="B48" s="26" t="n"/>
      <c r="C48" s="29" t="n"/>
      <c r="D48" s="27" t="n"/>
      <c r="E48" s="26" t="n"/>
      <c r="F48" s="26" t="n"/>
      <c r="G48" s="28">
        <f>IF($A48="","",SUMIFS(tblAkis[MahsupTutar],tblAkis[KaynakKartId],$B48,tblAkis[Durum],"MAHSUP"))</f>
        <v/>
      </c>
      <c r="H48" s="28">
        <f>IF($A48="","",MAX(0,$D48-$G48))</f>
        <v/>
      </c>
      <c r="I48" s="28">
        <f>IF($A48="","",IF($C48="","",raporTarihi-$C48))</f>
        <v/>
      </c>
      <c r="J48" s="28">
        <f>IF($A48="","",IF($I48="","",IF($I48&lt;=7,"0-7",IF($I48&lt;=30,"8-30",IF($I48&lt;=60,"31-60","60+")))))</f>
        <v/>
      </c>
      <c r="K48" s="28">
        <f>IF($A48="","",IF($B48="","YETİM",IF(COUNTIF(tblKartlar[KartId],$B48)=0,"YETİM","")))</f>
        <v/>
      </c>
      <c r="L48" s="28">
        <f>IF($A48="","",IF($G48&gt;$D48+kad_mahsupTolerans,"AŞIM","UYGUN"))</f>
        <v/>
      </c>
    </row>
    <row r="49">
      <c r="A49" s="26" t="n"/>
      <c r="B49" s="26" t="n"/>
      <c r="C49" s="29" t="n"/>
      <c r="D49" s="27" t="n"/>
      <c r="E49" s="26" t="n"/>
      <c r="F49" s="26" t="n"/>
      <c r="G49" s="28">
        <f>IF($A49="","",SUMIFS(tblAkis[MahsupTutar],tblAkis[KaynakKartId],$B49,tblAkis[Durum],"MAHSUP"))</f>
        <v/>
      </c>
      <c r="H49" s="28">
        <f>IF($A49="","",MAX(0,$D49-$G49))</f>
        <v/>
      </c>
      <c r="I49" s="28">
        <f>IF($A49="","",IF($C49="","",raporTarihi-$C49))</f>
        <v/>
      </c>
      <c r="J49" s="28">
        <f>IF($A49="","",IF($I49="","",IF($I49&lt;=7,"0-7",IF($I49&lt;=30,"8-30",IF($I49&lt;=60,"31-60","60+")))))</f>
        <v/>
      </c>
      <c r="K49" s="28">
        <f>IF($A49="","",IF($B49="","YETİM",IF(COUNTIF(tblKartlar[KartId],$B49)=0,"YETİM","")))</f>
        <v/>
      </c>
      <c r="L49" s="28">
        <f>IF($A49="","",IF($G49&gt;$D49+kad_mahsupTolerans,"AŞIM","UYGUN"))</f>
        <v/>
      </c>
    </row>
    <row r="50">
      <c r="A50" s="26" t="n"/>
      <c r="B50" s="26" t="n"/>
      <c r="C50" s="29" t="n"/>
      <c r="D50" s="27" t="n"/>
      <c r="E50" s="26" t="n"/>
      <c r="F50" s="26" t="n"/>
      <c r="G50" s="28">
        <f>IF($A50="","",SUMIFS(tblAkis[MahsupTutar],tblAkis[KaynakKartId],$B50,tblAkis[Durum],"MAHSUP"))</f>
        <v/>
      </c>
      <c r="H50" s="28">
        <f>IF($A50="","",MAX(0,$D50-$G50))</f>
        <v/>
      </c>
      <c r="I50" s="28">
        <f>IF($A50="","",IF($C50="","",raporTarihi-$C50))</f>
        <v/>
      </c>
      <c r="J50" s="28">
        <f>IF($A50="","",IF($I50="","",IF($I50&lt;=7,"0-7",IF($I50&lt;=30,"8-30",IF($I50&lt;=60,"31-60","60+")))))</f>
        <v/>
      </c>
      <c r="K50" s="28">
        <f>IF($A50="","",IF($B50="","YETİM",IF(COUNTIF(tblKartlar[KartId],$B50)=0,"YETİM","")))</f>
        <v/>
      </c>
      <c r="L50" s="28">
        <f>IF($A50="","",IF($G50&gt;$D50+kad_mahsupTolerans,"AŞIM","UYGUN"))</f>
        <v/>
      </c>
    </row>
    <row r="51">
      <c r="A51" s="26" t="n"/>
      <c r="B51" s="26" t="n"/>
      <c r="C51" s="29" t="n"/>
      <c r="D51" s="27" t="n"/>
      <c r="E51" s="26" t="n"/>
      <c r="F51" s="26" t="n"/>
      <c r="G51" s="28">
        <f>IF($A51="","",SUMIFS(tblAkis[MahsupTutar],tblAkis[KaynakKartId],$B51,tblAkis[Durum],"MAHSUP"))</f>
        <v/>
      </c>
      <c r="H51" s="28">
        <f>IF($A51="","",MAX(0,$D51-$G51))</f>
        <v/>
      </c>
      <c r="I51" s="28">
        <f>IF($A51="","",IF($C51="","",raporTarihi-$C51))</f>
        <v/>
      </c>
      <c r="J51" s="28">
        <f>IF($A51="","",IF($I51="","",IF($I51&lt;=7,"0-7",IF($I51&lt;=30,"8-30",IF($I51&lt;=60,"31-60","60+")))))</f>
        <v/>
      </c>
      <c r="K51" s="28">
        <f>IF($A51="","",IF($B51="","YETİM",IF(COUNTIF(tblKartlar[KartId],$B51)=0,"YETİM","")))</f>
        <v/>
      </c>
      <c r="L51" s="28">
        <f>IF($A51="","",IF($G51&gt;$D51+kad_mahsupTolerans,"AŞIM","UYGUN"))</f>
        <v/>
      </c>
    </row>
    <row r="52">
      <c r="A52" s="26" t="n"/>
      <c r="B52" s="26" t="n"/>
      <c r="C52" s="29" t="n"/>
      <c r="D52" s="27" t="n"/>
      <c r="E52" s="26" t="n"/>
      <c r="F52" s="26" t="n"/>
      <c r="G52" s="28">
        <f>IF($A52="","",SUMIFS(tblAkis[MahsupTutar],tblAkis[KaynakKartId],$B52,tblAkis[Durum],"MAHSUP"))</f>
        <v/>
      </c>
      <c r="H52" s="28">
        <f>IF($A52="","",MAX(0,$D52-$G52))</f>
        <v/>
      </c>
      <c r="I52" s="28">
        <f>IF($A52="","",IF($C52="","",raporTarihi-$C52))</f>
        <v/>
      </c>
      <c r="J52" s="28">
        <f>IF($A52="","",IF($I52="","",IF($I52&lt;=7,"0-7",IF($I52&lt;=30,"8-30",IF($I52&lt;=60,"31-60","60+")))))</f>
        <v/>
      </c>
      <c r="K52" s="28">
        <f>IF($A52="","",IF($B52="","YETİM",IF(COUNTIF(tblKartlar[KartId],$B52)=0,"YETİM","")))</f>
        <v/>
      </c>
      <c r="L52" s="28">
        <f>IF($A52="","",IF($G52&gt;$D52+kad_mahsupTolerans,"AŞIM","UYGUN"))</f>
        <v/>
      </c>
    </row>
    <row r="53">
      <c r="A53" s="26" t="n"/>
      <c r="B53" s="26" t="n"/>
      <c r="C53" s="29" t="n"/>
      <c r="D53" s="27" t="n"/>
      <c r="E53" s="26" t="n"/>
      <c r="F53" s="26" t="n"/>
      <c r="G53" s="28">
        <f>IF($A53="","",SUMIFS(tblAkis[MahsupTutar],tblAkis[KaynakKartId],$B53,tblAkis[Durum],"MAHSUP"))</f>
        <v/>
      </c>
      <c r="H53" s="28">
        <f>IF($A53="","",MAX(0,$D53-$G53))</f>
        <v/>
      </c>
      <c r="I53" s="28">
        <f>IF($A53="","",IF($C53="","",raporTarihi-$C53))</f>
        <v/>
      </c>
      <c r="J53" s="28">
        <f>IF($A53="","",IF($I53="","",IF($I53&lt;=7,"0-7",IF($I53&lt;=30,"8-30",IF($I53&lt;=60,"31-60","60+")))))</f>
        <v/>
      </c>
      <c r="K53" s="28">
        <f>IF($A53="","",IF($B53="","YETİM",IF(COUNTIF(tblKartlar[KartId],$B53)=0,"YETİM","")))</f>
        <v/>
      </c>
      <c r="L53" s="28">
        <f>IF($A53="","",IF($G53&gt;$D53+kad_mahsupTolerans,"AŞIM","UYGUN"))</f>
        <v/>
      </c>
    </row>
    <row r="54">
      <c r="A54" s="26" t="n"/>
      <c r="B54" s="26" t="n"/>
      <c r="C54" s="29" t="n"/>
      <c r="D54" s="27" t="n"/>
      <c r="E54" s="26" t="n"/>
      <c r="F54" s="26" t="n"/>
      <c r="G54" s="28">
        <f>IF($A54="","",SUMIFS(tblAkis[MahsupTutar],tblAkis[KaynakKartId],$B54,tblAkis[Durum],"MAHSUP"))</f>
        <v/>
      </c>
      <c r="H54" s="28">
        <f>IF($A54="","",MAX(0,$D54-$G54))</f>
        <v/>
      </c>
      <c r="I54" s="28">
        <f>IF($A54="","",IF($C54="","",raporTarihi-$C54))</f>
        <v/>
      </c>
      <c r="J54" s="28">
        <f>IF($A54="","",IF($I54="","",IF($I54&lt;=7,"0-7",IF($I54&lt;=30,"8-30",IF($I54&lt;=60,"31-60","60+")))))</f>
        <v/>
      </c>
      <c r="K54" s="28">
        <f>IF($A54="","",IF($B54="","YETİM",IF(COUNTIF(tblKartlar[KartId],$B54)=0,"YETİM","")))</f>
        <v/>
      </c>
      <c r="L54" s="28">
        <f>IF($A54="","",IF($G54&gt;$D54+kad_mahsupTolerans,"AŞIM","UYGUN"))</f>
        <v/>
      </c>
    </row>
    <row r="55">
      <c r="A55" s="26" t="n"/>
      <c r="B55" s="26" t="n"/>
      <c r="C55" s="29" t="n"/>
      <c r="D55" s="27" t="n"/>
      <c r="E55" s="26" t="n"/>
      <c r="F55" s="26" t="n"/>
      <c r="G55" s="28">
        <f>IF($A55="","",SUMIFS(tblAkis[MahsupTutar],tblAkis[KaynakKartId],$B55,tblAkis[Durum],"MAHSUP"))</f>
        <v/>
      </c>
      <c r="H55" s="28">
        <f>IF($A55="","",MAX(0,$D55-$G55))</f>
        <v/>
      </c>
      <c r="I55" s="28">
        <f>IF($A55="","",IF($C55="","",raporTarihi-$C55))</f>
        <v/>
      </c>
      <c r="J55" s="28">
        <f>IF($A55="","",IF($I55="","",IF($I55&lt;=7,"0-7",IF($I55&lt;=30,"8-30",IF($I55&lt;=60,"31-60","60+")))))</f>
        <v/>
      </c>
      <c r="K55" s="28">
        <f>IF($A55="","",IF($B55="","YETİM",IF(COUNTIF(tblKartlar[KartId],$B55)=0,"YETİM","")))</f>
        <v/>
      </c>
      <c r="L55" s="28">
        <f>IF($A55="","",IF($G55&gt;$D55+kad_mahsupTolerans,"AŞIM","UYGUN"))</f>
        <v/>
      </c>
    </row>
    <row r="56">
      <c r="A56" s="26" t="n"/>
      <c r="B56" s="26" t="n"/>
      <c r="C56" s="29" t="n"/>
      <c r="D56" s="27" t="n"/>
      <c r="E56" s="26" t="n"/>
      <c r="F56" s="26" t="n"/>
      <c r="G56" s="28">
        <f>IF($A56="","",SUMIFS(tblAkis[MahsupTutar],tblAkis[KaynakKartId],$B56,tblAkis[Durum],"MAHSUP"))</f>
        <v/>
      </c>
      <c r="H56" s="28">
        <f>IF($A56="","",MAX(0,$D56-$G56))</f>
        <v/>
      </c>
      <c r="I56" s="28">
        <f>IF($A56="","",IF($C56="","",raporTarihi-$C56))</f>
        <v/>
      </c>
      <c r="J56" s="28">
        <f>IF($A56="","",IF($I56="","",IF($I56&lt;=7,"0-7",IF($I56&lt;=30,"8-30",IF($I56&lt;=60,"31-60","60+")))))</f>
        <v/>
      </c>
      <c r="K56" s="28">
        <f>IF($A56="","",IF($B56="","YETİM",IF(COUNTIF(tblKartlar[KartId],$B56)=0,"YETİM","")))</f>
        <v/>
      </c>
      <c r="L56" s="28">
        <f>IF($A56="","",IF($G56&gt;$D56+kad_mahsupTolerans,"AŞIM","UYGUN"))</f>
        <v/>
      </c>
    </row>
    <row r="57">
      <c r="A57" s="26" t="n"/>
      <c r="B57" s="26" t="n"/>
      <c r="C57" s="29" t="n"/>
      <c r="D57" s="27" t="n"/>
      <c r="E57" s="26" t="n"/>
      <c r="F57" s="26" t="n"/>
      <c r="G57" s="28">
        <f>IF($A57="","",SUMIFS(tblAkis[MahsupTutar],tblAkis[KaynakKartId],$B57,tblAkis[Durum],"MAHSUP"))</f>
        <v/>
      </c>
      <c r="H57" s="28">
        <f>IF($A57="","",MAX(0,$D57-$G57))</f>
        <v/>
      </c>
      <c r="I57" s="28">
        <f>IF($A57="","",IF($C57="","",raporTarihi-$C57))</f>
        <v/>
      </c>
      <c r="J57" s="28">
        <f>IF($A57="","",IF($I57="","",IF($I57&lt;=7,"0-7",IF($I57&lt;=30,"8-30",IF($I57&lt;=60,"31-60","60+")))))</f>
        <v/>
      </c>
      <c r="K57" s="28">
        <f>IF($A57="","",IF($B57="","YETİM",IF(COUNTIF(tblKartlar[KartId],$B57)=0,"YETİM","")))</f>
        <v/>
      </c>
      <c r="L57" s="28">
        <f>IF($A57="","",IF($G57&gt;$D57+kad_mahsupTolerans,"AŞIM","UYGUN"))</f>
        <v/>
      </c>
    </row>
    <row r="58">
      <c r="A58" s="26" t="n"/>
      <c r="B58" s="26" t="n"/>
      <c r="C58" s="29" t="n"/>
      <c r="D58" s="27" t="n"/>
      <c r="E58" s="26" t="n"/>
      <c r="F58" s="26" t="n"/>
      <c r="G58" s="28">
        <f>IF($A58="","",SUMIFS(tblAkis[MahsupTutar],tblAkis[KaynakKartId],$B58,tblAkis[Durum],"MAHSUP"))</f>
        <v/>
      </c>
      <c r="H58" s="28">
        <f>IF($A58="","",MAX(0,$D58-$G58))</f>
        <v/>
      </c>
      <c r="I58" s="28">
        <f>IF($A58="","",IF($C58="","",raporTarihi-$C58))</f>
        <v/>
      </c>
      <c r="J58" s="28">
        <f>IF($A58="","",IF($I58="","",IF($I58&lt;=7,"0-7",IF($I58&lt;=30,"8-30",IF($I58&lt;=60,"31-60","60+")))))</f>
        <v/>
      </c>
      <c r="K58" s="28">
        <f>IF($A58="","",IF($B58="","YETİM",IF(COUNTIF(tblKartlar[KartId],$B58)=0,"YETİM","")))</f>
        <v/>
      </c>
      <c r="L58" s="28">
        <f>IF($A58="","",IF($G58&gt;$D58+kad_mahsupTolerans,"AŞIM","UYGUN"))</f>
        <v/>
      </c>
    </row>
    <row r="59">
      <c r="A59" s="26" t="n"/>
      <c r="B59" s="26" t="n"/>
      <c r="C59" s="29" t="n"/>
      <c r="D59" s="27" t="n"/>
      <c r="E59" s="26" t="n"/>
      <c r="F59" s="26" t="n"/>
      <c r="G59" s="28">
        <f>IF($A59="","",SUMIFS(tblAkis[MahsupTutar],tblAkis[KaynakKartId],$B59,tblAkis[Durum],"MAHSUP"))</f>
        <v/>
      </c>
      <c r="H59" s="28">
        <f>IF($A59="","",MAX(0,$D59-$G59))</f>
        <v/>
      </c>
      <c r="I59" s="28">
        <f>IF($A59="","",IF($C59="","",raporTarihi-$C59))</f>
        <v/>
      </c>
      <c r="J59" s="28">
        <f>IF($A59="","",IF($I59="","",IF($I59&lt;=7,"0-7",IF($I59&lt;=30,"8-30",IF($I59&lt;=60,"31-60","60+")))))</f>
        <v/>
      </c>
      <c r="K59" s="28">
        <f>IF($A59="","",IF($B59="","YETİM",IF(COUNTIF(tblKartlar[KartId],$B59)=0,"YETİM","")))</f>
        <v/>
      </c>
      <c r="L59" s="28">
        <f>IF($A59="","",IF($G59&gt;$D59+kad_mahsupTolerans,"AŞIM","UYGUN"))</f>
        <v/>
      </c>
    </row>
    <row r="60">
      <c r="A60" s="26" t="n"/>
      <c r="B60" s="26" t="n"/>
      <c r="C60" s="29" t="n"/>
      <c r="D60" s="27" t="n"/>
      <c r="E60" s="26" t="n"/>
      <c r="F60" s="26" t="n"/>
      <c r="G60" s="28">
        <f>IF($A60="","",SUMIFS(tblAkis[MahsupTutar],tblAkis[KaynakKartId],$B60,tblAkis[Durum],"MAHSUP"))</f>
        <v/>
      </c>
      <c r="H60" s="28">
        <f>IF($A60="","",MAX(0,$D60-$G60))</f>
        <v/>
      </c>
      <c r="I60" s="28">
        <f>IF($A60="","",IF($C60="","",raporTarihi-$C60))</f>
        <v/>
      </c>
      <c r="J60" s="28">
        <f>IF($A60="","",IF($I60="","",IF($I60&lt;=7,"0-7",IF($I60&lt;=30,"8-30",IF($I60&lt;=60,"31-60","60+")))))</f>
        <v/>
      </c>
      <c r="K60" s="28">
        <f>IF($A60="","",IF($B60="","YETİM",IF(COUNTIF(tblKartlar[KartId],$B60)=0,"YETİM","")))</f>
        <v/>
      </c>
      <c r="L60" s="28">
        <f>IF($A60="","",IF($G60&gt;$D60+kad_mahsupTolerans,"AŞIM","UYGUN"))</f>
        <v/>
      </c>
    </row>
    <row r="61">
      <c r="A61" s="26" t="n"/>
      <c r="B61" s="26" t="n"/>
      <c r="C61" s="29" t="n"/>
      <c r="D61" s="27" t="n"/>
      <c r="E61" s="26" t="n"/>
      <c r="F61" s="26" t="n"/>
      <c r="G61" s="28">
        <f>IF($A61="","",SUMIFS(tblAkis[MahsupTutar],tblAkis[KaynakKartId],$B61,tblAkis[Durum],"MAHSUP"))</f>
        <v/>
      </c>
      <c r="H61" s="28">
        <f>IF($A61="","",MAX(0,$D61-$G61))</f>
        <v/>
      </c>
      <c r="I61" s="28">
        <f>IF($A61="","",IF($C61="","",raporTarihi-$C61))</f>
        <v/>
      </c>
      <c r="J61" s="28">
        <f>IF($A61="","",IF($I61="","",IF($I61&lt;=7,"0-7",IF($I61&lt;=30,"8-30",IF($I61&lt;=60,"31-60","60+")))))</f>
        <v/>
      </c>
      <c r="K61" s="28">
        <f>IF($A61="","",IF($B61="","YETİM",IF(COUNTIF(tblKartlar[KartId],$B61)=0,"YETİM","")))</f>
        <v/>
      </c>
      <c r="L61" s="28">
        <f>IF($A61="","",IF($G61&gt;$D61+kad_mahsupTolerans,"AŞIM","UYGUN"))</f>
        <v/>
      </c>
    </row>
    <row r="62">
      <c r="A62" s="26" t="n"/>
      <c r="B62" s="26" t="n"/>
      <c r="C62" s="29" t="n"/>
      <c r="D62" s="27" t="n"/>
      <c r="E62" s="26" t="n"/>
      <c r="F62" s="26" t="n"/>
      <c r="G62" s="28">
        <f>IF($A62="","",SUMIFS(tblAkis[MahsupTutar],tblAkis[KaynakKartId],$B62,tblAkis[Durum],"MAHSUP"))</f>
        <v/>
      </c>
      <c r="H62" s="28">
        <f>IF($A62="","",MAX(0,$D62-$G62))</f>
        <v/>
      </c>
      <c r="I62" s="28">
        <f>IF($A62="","",IF($C62="","",raporTarihi-$C62))</f>
        <v/>
      </c>
      <c r="J62" s="28">
        <f>IF($A62="","",IF($I62="","",IF($I62&lt;=7,"0-7",IF($I62&lt;=30,"8-30",IF($I62&lt;=60,"31-60","60+")))))</f>
        <v/>
      </c>
      <c r="K62" s="28">
        <f>IF($A62="","",IF($B62="","YETİM",IF(COUNTIF(tblKartlar[KartId],$B62)=0,"YETİM","")))</f>
        <v/>
      </c>
      <c r="L62" s="28">
        <f>IF($A62="","",IF($G62&gt;$D62+kad_mahsupTolerans,"AŞIM","UYGUN"))</f>
        <v/>
      </c>
    </row>
    <row r="63">
      <c r="A63" s="26" t="n"/>
      <c r="B63" s="26" t="n"/>
      <c r="C63" s="29" t="n"/>
      <c r="D63" s="27" t="n"/>
      <c r="E63" s="26" t="n"/>
      <c r="F63" s="26" t="n"/>
      <c r="G63" s="28">
        <f>IF($A63="","",SUMIFS(tblAkis[MahsupTutar],tblAkis[KaynakKartId],$B63,tblAkis[Durum],"MAHSUP"))</f>
        <v/>
      </c>
      <c r="H63" s="28">
        <f>IF($A63="","",MAX(0,$D63-$G63))</f>
        <v/>
      </c>
      <c r="I63" s="28">
        <f>IF($A63="","",IF($C63="","",raporTarihi-$C63))</f>
        <v/>
      </c>
      <c r="J63" s="28">
        <f>IF($A63="","",IF($I63="","",IF($I63&lt;=7,"0-7",IF($I63&lt;=30,"8-30",IF($I63&lt;=60,"31-60","60+")))))</f>
        <v/>
      </c>
      <c r="K63" s="28">
        <f>IF($A63="","",IF($B63="","YETİM",IF(COUNTIF(tblKartlar[KartId],$B63)=0,"YETİM","")))</f>
        <v/>
      </c>
      <c r="L63" s="28">
        <f>IF($A63="","",IF($G63&gt;$D63+kad_mahsupTolerans,"AŞIM","UYGUN"))</f>
        <v/>
      </c>
    </row>
    <row r="64">
      <c r="A64" s="26" t="n"/>
      <c r="B64" s="26" t="n"/>
      <c r="C64" s="29" t="n"/>
      <c r="D64" s="27" t="n"/>
      <c r="E64" s="26" t="n"/>
      <c r="F64" s="26" t="n"/>
      <c r="G64" s="28">
        <f>IF($A64="","",SUMIFS(tblAkis[MahsupTutar],tblAkis[KaynakKartId],$B64,tblAkis[Durum],"MAHSUP"))</f>
        <v/>
      </c>
      <c r="H64" s="28">
        <f>IF($A64="","",MAX(0,$D64-$G64))</f>
        <v/>
      </c>
      <c r="I64" s="28">
        <f>IF($A64="","",IF($C64="","",raporTarihi-$C64))</f>
        <v/>
      </c>
      <c r="J64" s="28">
        <f>IF($A64="","",IF($I64="","",IF($I64&lt;=7,"0-7",IF($I64&lt;=30,"8-30",IF($I64&lt;=60,"31-60","60+")))))</f>
        <v/>
      </c>
      <c r="K64" s="28">
        <f>IF($A64="","",IF($B64="","YETİM",IF(COUNTIF(tblKartlar[KartId],$B64)=0,"YETİM","")))</f>
        <v/>
      </c>
      <c r="L64" s="28">
        <f>IF($A64="","",IF($G64&gt;$D64+kad_mahsupTolerans,"AŞIM","UYGUN"))</f>
        <v/>
      </c>
    </row>
    <row r="65">
      <c r="A65" s="26" t="n"/>
      <c r="B65" s="26" t="n"/>
      <c r="C65" s="29" t="n"/>
      <c r="D65" s="27" t="n"/>
      <c r="E65" s="26" t="n"/>
      <c r="F65" s="26" t="n"/>
      <c r="G65" s="28">
        <f>IF($A65="","",SUMIFS(tblAkis[MahsupTutar],tblAkis[KaynakKartId],$B65,tblAkis[Durum],"MAHSUP"))</f>
        <v/>
      </c>
      <c r="H65" s="28">
        <f>IF($A65="","",MAX(0,$D65-$G65))</f>
        <v/>
      </c>
      <c r="I65" s="28">
        <f>IF($A65="","",IF($C65="","",raporTarihi-$C65))</f>
        <v/>
      </c>
      <c r="J65" s="28">
        <f>IF($A65="","",IF($I65="","",IF($I65&lt;=7,"0-7",IF($I65&lt;=30,"8-30",IF($I65&lt;=60,"31-60","60+")))))</f>
        <v/>
      </c>
      <c r="K65" s="28">
        <f>IF($A65="","",IF($B65="","YETİM",IF(COUNTIF(tblKartlar[KartId],$B65)=0,"YETİM","")))</f>
        <v/>
      </c>
      <c r="L65" s="28">
        <f>IF($A65="","",IF($G65&gt;$D65+kad_mahsupTolerans,"AŞIM","UYGUN"))</f>
        <v/>
      </c>
    </row>
    <row r="66">
      <c r="A66" s="26" t="n"/>
      <c r="B66" s="26" t="n"/>
      <c r="C66" s="29" t="n"/>
      <c r="D66" s="27" t="n"/>
      <c r="E66" s="26" t="n"/>
      <c r="F66" s="26" t="n"/>
      <c r="G66" s="28">
        <f>IF($A66="","",SUMIFS(tblAkis[MahsupTutar],tblAkis[KaynakKartId],$B66,tblAkis[Durum],"MAHSUP"))</f>
        <v/>
      </c>
      <c r="H66" s="28">
        <f>IF($A66="","",MAX(0,$D66-$G66))</f>
        <v/>
      </c>
      <c r="I66" s="28">
        <f>IF($A66="","",IF($C66="","",raporTarihi-$C66))</f>
        <v/>
      </c>
      <c r="J66" s="28">
        <f>IF($A66="","",IF($I66="","",IF($I66&lt;=7,"0-7",IF($I66&lt;=30,"8-30",IF($I66&lt;=60,"31-60","60+")))))</f>
        <v/>
      </c>
      <c r="K66" s="28">
        <f>IF($A66="","",IF($B66="","YETİM",IF(COUNTIF(tblKartlar[KartId],$B66)=0,"YETİM","")))</f>
        <v/>
      </c>
      <c r="L66" s="28">
        <f>IF($A66="","",IF($G66&gt;$D66+kad_mahsupTolerans,"AŞIM","UYGUN"))</f>
        <v/>
      </c>
    </row>
    <row r="67">
      <c r="A67" s="26" t="n"/>
      <c r="B67" s="26" t="n"/>
      <c r="C67" s="29" t="n"/>
      <c r="D67" s="27" t="n"/>
      <c r="E67" s="26" t="n"/>
      <c r="F67" s="26" t="n"/>
      <c r="G67" s="28">
        <f>IF($A67="","",SUMIFS(tblAkis[MahsupTutar],tblAkis[KaynakKartId],$B67,tblAkis[Durum],"MAHSUP"))</f>
        <v/>
      </c>
      <c r="H67" s="28">
        <f>IF($A67="","",MAX(0,$D67-$G67))</f>
        <v/>
      </c>
      <c r="I67" s="28">
        <f>IF($A67="","",IF($C67="","",raporTarihi-$C67))</f>
        <v/>
      </c>
      <c r="J67" s="28">
        <f>IF($A67="","",IF($I67="","",IF($I67&lt;=7,"0-7",IF($I67&lt;=30,"8-30",IF($I67&lt;=60,"31-60","60+")))))</f>
        <v/>
      </c>
      <c r="K67" s="28">
        <f>IF($A67="","",IF($B67="","YETİM",IF(COUNTIF(tblKartlar[KartId],$B67)=0,"YETİM","")))</f>
        <v/>
      </c>
      <c r="L67" s="28">
        <f>IF($A67="","",IF($G67&gt;$D67+kad_mahsupTolerans,"AŞIM","UYGUN"))</f>
        <v/>
      </c>
    </row>
    <row r="68">
      <c r="A68" s="26" t="n"/>
      <c r="B68" s="26" t="n"/>
      <c r="C68" s="29" t="n"/>
      <c r="D68" s="27" t="n"/>
      <c r="E68" s="26" t="n"/>
      <c r="F68" s="26" t="n"/>
      <c r="G68" s="28">
        <f>IF($A68="","",SUMIFS(tblAkis[MahsupTutar],tblAkis[KaynakKartId],$B68,tblAkis[Durum],"MAHSUP"))</f>
        <v/>
      </c>
      <c r="H68" s="28">
        <f>IF($A68="","",MAX(0,$D68-$G68))</f>
        <v/>
      </c>
      <c r="I68" s="28">
        <f>IF($A68="","",IF($C68="","",raporTarihi-$C68))</f>
        <v/>
      </c>
      <c r="J68" s="28">
        <f>IF($A68="","",IF($I68="","",IF($I68&lt;=7,"0-7",IF($I68&lt;=30,"8-30",IF($I68&lt;=60,"31-60","60+")))))</f>
        <v/>
      </c>
      <c r="K68" s="28">
        <f>IF($A68="","",IF($B68="","YETİM",IF(COUNTIF(tblKartlar[KartId],$B68)=0,"YETİM","")))</f>
        <v/>
      </c>
      <c r="L68" s="28">
        <f>IF($A68="","",IF($G68&gt;$D68+kad_mahsupTolerans,"AŞIM","UYGUN"))</f>
        <v/>
      </c>
    </row>
    <row r="69">
      <c r="A69" s="26" t="n"/>
      <c r="B69" s="26" t="n"/>
      <c r="C69" s="29" t="n"/>
      <c r="D69" s="27" t="n"/>
      <c r="E69" s="26" t="n"/>
      <c r="F69" s="26" t="n"/>
      <c r="G69" s="28">
        <f>IF($A69="","",SUMIFS(tblAkis[MahsupTutar],tblAkis[KaynakKartId],$B69,tblAkis[Durum],"MAHSUP"))</f>
        <v/>
      </c>
      <c r="H69" s="28">
        <f>IF($A69="","",MAX(0,$D69-$G69))</f>
        <v/>
      </c>
      <c r="I69" s="28">
        <f>IF($A69="","",IF($C69="","",raporTarihi-$C69))</f>
        <v/>
      </c>
      <c r="J69" s="28">
        <f>IF($A69="","",IF($I69="","",IF($I69&lt;=7,"0-7",IF($I69&lt;=30,"8-30",IF($I69&lt;=60,"31-60","60+")))))</f>
        <v/>
      </c>
      <c r="K69" s="28">
        <f>IF($A69="","",IF($B69="","YETİM",IF(COUNTIF(tblKartlar[KartId],$B69)=0,"YETİM","")))</f>
        <v/>
      </c>
      <c r="L69" s="28">
        <f>IF($A69="","",IF($G69&gt;$D69+kad_mahsupTolerans,"AŞIM","UYGUN"))</f>
        <v/>
      </c>
    </row>
    <row r="70">
      <c r="A70" s="26" t="n"/>
      <c r="B70" s="26" t="n"/>
      <c r="C70" s="29" t="n"/>
      <c r="D70" s="27" t="n"/>
      <c r="E70" s="26" t="n"/>
      <c r="F70" s="26" t="n"/>
      <c r="G70" s="28">
        <f>IF($A70="","",SUMIFS(tblAkis[MahsupTutar],tblAkis[KaynakKartId],$B70,tblAkis[Durum],"MAHSUP"))</f>
        <v/>
      </c>
      <c r="H70" s="28">
        <f>IF($A70="","",MAX(0,$D70-$G70))</f>
        <v/>
      </c>
      <c r="I70" s="28">
        <f>IF($A70="","",IF($C70="","",raporTarihi-$C70))</f>
        <v/>
      </c>
      <c r="J70" s="28">
        <f>IF($A70="","",IF($I70="","",IF($I70&lt;=7,"0-7",IF($I70&lt;=30,"8-30",IF($I70&lt;=60,"31-60","60+")))))</f>
        <v/>
      </c>
      <c r="K70" s="28">
        <f>IF($A70="","",IF($B70="","YETİM",IF(COUNTIF(tblKartlar[KartId],$B70)=0,"YETİM","")))</f>
        <v/>
      </c>
      <c r="L70" s="28">
        <f>IF($A70="","",IF($G70&gt;$D70+kad_mahsupTolerans,"AŞIM","UYGUN"))</f>
        <v/>
      </c>
    </row>
    <row r="71">
      <c r="A71" s="26" t="n"/>
      <c r="B71" s="26" t="n"/>
      <c r="C71" s="29" t="n"/>
      <c r="D71" s="27" t="n"/>
      <c r="E71" s="26" t="n"/>
      <c r="F71" s="26" t="n"/>
      <c r="G71" s="28">
        <f>IF($A71="","",SUMIFS(tblAkis[MahsupTutar],tblAkis[KaynakKartId],$B71,tblAkis[Durum],"MAHSUP"))</f>
        <v/>
      </c>
      <c r="H71" s="28">
        <f>IF($A71="","",MAX(0,$D71-$G71))</f>
        <v/>
      </c>
      <c r="I71" s="28">
        <f>IF($A71="","",IF($C71="","",raporTarihi-$C71))</f>
        <v/>
      </c>
      <c r="J71" s="28">
        <f>IF($A71="","",IF($I71="","",IF($I71&lt;=7,"0-7",IF($I71&lt;=30,"8-30",IF($I71&lt;=60,"31-60","60+")))))</f>
        <v/>
      </c>
      <c r="K71" s="28">
        <f>IF($A71="","",IF($B71="","YETİM",IF(COUNTIF(tblKartlar[KartId],$B71)=0,"YETİM","")))</f>
        <v/>
      </c>
      <c r="L71" s="28">
        <f>IF($A71="","",IF($G71&gt;$D71+kad_mahsupTolerans,"AŞIM","UYGUN"))</f>
        <v/>
      </c>
    </row>
    <row r="72">
      <c r="A72" s="26" t="n"/>
      <c r="B72" s="26" t="n"/>
      <c r="C72" s="29" t="n"/>
      <c r="D72" s="27" t="n"/>
      <c r="E72" s="26" t="n"/>
      <c r="F72" s="26" t="n"/>
      <c r="G72" s="28">
        <f>IF($A72="","",SUMIFS(tblAkis[MahsupTutar],tblAkis[KaynakKartId],$B72,tblAkis[Durum],"MAHSUP"))</f>
        <v/>
      </c>
      <c r="H72" s="28">
        <f>IF($A72="","",MAX(0,$D72-$G72))</f>
        <v/>
      </c>
      <c r="I72" s="28">
        <f>IF($A72="","",IF($C72="","",raporTarihi-$C72))</f>
        <v/>
      </c>
      <c r="J72" s="28">
        <f>IF($A72="","",IF($I72="","",IF($I72&lt;=7,"0-7",IF($I72&lt;=30,"8-30",IF($I72&lt;=60,"31-60","60+")))))</f>
        <v/>
      </c>
      <c r="K72" s="28">
        <f>IF($A72="","",IF($B72="","YETİM",IF(COUNTIF(tblKartlar[KartId],$B72)=0,"YETİM","")))</f>
        <v/>
      </c>
      <c r="L72" s="28">
        <f>IF($A72="","",IF($G72&gt;$D72+kad_mahsupTolerans,"AŞIM","UYGUN"))</f>
        <v/>
      </c>
    </row>
    <row r="73">
      <c r="A73" s="26" t="n"/>
      <c r="B73" s="26" t="n"/>
      <c r="C73" s="29" t="n"/>
      <c r="D73" s="27" t="n"/>
      <c r="E73" s="26" t="n"/>
      <c r="F73" s="26" t="n"/>
      <c r="G73" s="28">
        <f>IF($A73="","",SUMIFS(tblAkis[MahsupTutar],tblAkis[KaynakKartId],$B73,tblAkis[Durum],"MAHSUP"))</f>
        <v/>
      </c>
      <c r="H73" s="28">
        <f>IF($A73="","",MAX(0,$D73-$G73))</f>
        <v/>
      </c>
      <c r="I73" s="28">
        <f>IF($A73="","",IF($C73="","",raporTarihi-$C73))</f>
        <v/>
      </c>
      <c r="J73" s="28">
        <f>IF($A73="","",IF($I73="","",IF($I73&lt;=7,"0-7",IF($I73&lt;=30,"8-30",IF($I73&lt;=60,"31-60","60+")))))</f>
        <v/>
      </c>
      <c r="K73" s="28">
        <f>IF($A73="","",IF($B73="","YETİM",IF(COUNTIF(tblKartlar[KartId],$B73)=0,"YETİM","")))</f>
        <v/>
      </c>
      <c r="L73" s="28">
        <f>IF($A73="","",IF($G73&gt;$D73+kad_mahsupTolerans,"AŞIM","UYGUN"))</f>
        <v/>
      </c>
    </row>
    <row r="74">
      <c r="A74" s="26" t="n"/>
      <c r="B74" s="26" t="n"/>
      <c r="C74" s="29" t="n"/>
      <c r="D74" s="27" t="n"/>
      <c r="E74" s="26" t="n"/>
      <c r="F74" s="26" t="n"/>
      <c r="G74" s="28">
        <f>IF($A74="","",SUMIFS(tblAkis[MahsupTutar],tblAkis[KaynakKartId],$B74,tblAkis[Durum],"MAHSUP"))</f>
        <v/>
      </c>
      <c r="H74" s="28">
        <f>IF($A74="","",MAX(0,$D74-$G74))</f>
        <v/>
      </c>
      <c r="I74" s="28">
        <f>IF($A74="","",IF($C74="","",raporTarihi-$C74))</f>
        <v/>
      </c>
      <c r="J74" s="28">
        <f>IF($A74="","",IF($I74="","",IF($I74&lt;=7,"0-7",IF($I74&lt;=30,"8-30",IF($I74&lt;=60,"31-60","60+")))))</f>
        <v/>
      </c>
      <c r="K74" s="28">
        <f>IF($A74="","",IF($B74="","YETİM",IF(COUNTIF(tblKartlar[KartId],$B74)=0,"YETİM","")))</f>
        <v/>
      </c>
      <c r="L74" s="28">
        <f>IF($A74="","",IF($G74&gt;$D74+kad_mahsupTolerans,"AŞIM","UYGUN"))</f>
        <v/>
      </c>
    </row>
    <row r="75">
      <c r="A75" s="26" t="n"/>
      <c r="B75" s="26" t="n"/>
      <c r="C75" s="29" t="n"/>
      <c r="D75" s="27" t="n"/>
      <c r="E75" s="26" t="n"/>
      <c r="F75" s="26" t="n"/>
      <c r="G75" s="28">
        <f>IF($A75="","",SUMIFS(tblAkis[MahsupTutar],tblAkis[KaynakKartId],$B75,tblAkis[Durum],"MAHSUP"))</f>
        <v/>
      </c>
      <c r="H75" s="28">
        <f>IF($A75="","",MAX(0,$D75-$G75))</f>
        <v/>
      </c>
      <c r="I75" s="28">
        <f>IF($A75="","",IF($C75="","",raporTarihi-$C75))</f>
        <v/>
      </c>
      <c r="J75" s="28">
        <f>IF($A75="","",IF($I75="","",IF($I75&lt;=7,"0-7",IF($I75&lt;=30,"8-30",IF($I75&lt;=60,"31-60","60+")))))</f>
        <v/>
      </c>
      <c r="K75" s="28">
        <f>IF($A75="","",IF($B75="","YETİM",IF(COUNTIF(tblKartlar[KartId],$B75)=0,"YETİM","")))</f>
        <v/>
      </c>
      <c r="L75" s="28">
        <f>IF($A75="","",IF($G75&gt;$D75+kad_mahsupTolerans,"AŞIM","UYGUN"))</f>
        <v/>
      </c>
    </row>
    <row r="76">
      <c r="A76" s="26" t="n"/>
      <c r="B76" s="26" t="n"/>
      <c r="C76" s="29" t="n"/>
      <c r="D76" s="27" t="n"/>
      <c r="E76" s="26" t="n"/>
      <c r="F76" s="26" t="n"/>
      <c r="G76" s="28">
        <f>IF($A76="","",SUMIFS(tblAkis[MahsupTutar],tblAkis[KaynakKartId],$B76,tblAkis[Durum],"MAHSUP"))</f>
        <v/>
      </c>
      <c r="H76" s="28">
        <f>IF($A76="","",MAX(0,$D76-$G76))</f>
        <v/>
      </c>
      <c r="I76" s="28">
        <f>IF($A76="","",IF($C76="","",raporTarihi-$C76))</f>
        <v/>
      </c>
      <c r="J76" s="28">
        <f>IF($A76="","",IF($I76="","",IF($I76&lt;=7,"0-7",IF($I76&lt;=30,"8-30",IF($I76&lt;=60,"31-60","60+")))))</f>
        <v/>
      </c>
      <c r="K76" s="28">
        <f>IF($A76="","",IF($B76="","YETİM",IF(COUNTIF(tblKartlar[KartId],$B76)=0,"YETİM","")))</f>
        <v/>
      </c>
      <c r="L76" s="28">
        <f>IF($A76="","",IF($G76&gt;$D76+kad_mahsupTolerans,"AŞIM","UYGUN"))</f>
        <v/>
      </c>
    </row>
    <row r="77">
      <c r="A77" s="26" t="n"/>
      <c r="B77" s="26" t="n"/>
      <c r="C77" s="29" t="n"/>
      <c r="D77" s="27" t="n"/>
      <c r="E77" s="26" t="n"/>
      <c r="F77" s="26" t="n"/>
      <c r="G77" s="28">
        <f>IF($A77="","",SUMIFS(tblAkis[MahsupTutar],tblAkis[KaynakKartId],$B77,tblAkis[Durum],"MAHSUP"))</f>
        <v/>
      </c>
      <c r="H77" s="28">
        <f>IF($A77="","",MAX(0,$D77-$G77))</f>
        <v/>
      </c>
      <c r="I77" s="28">
        <f>IF($A77="","",IF($C77="","",raporTarihi-$C77))</f>
        <v/>
      </c>
      <c r="J77" s="28">
        <f>IF($A77="","",IF($I77="","",IF($I77&lt;=7,"0-7",IF($I77&lt;=30,"8-30",IF($I77&lt;=60,"31-60","60+")))))</f>
        <v/>
      </c>
      <c r="K77" s="28">
        <f>IF($A77="","",IF($B77="","YETİM",IF(COUNTIF(tblKartlar[KartId],$B77)=0,"YETİM","")))</f>
        <v/>
      </c>
      <c r="L77" s="28">
        <f>IF($A77="","",IF($G77&gt;$D77+kad_mahsupTolerans,"AŞIM","UYGUN"))</f>
        <v/>
      </c>
    </row>
    <row r="78">
      <c r="A78" s="26" t="n"/>
      <c r="B78" s="26" t="n"/>
      <c r="C78" s="29" t="n"/>
      <c r="D78" s="27" t="n"/>
      <c r="E78" s="26" t="n"/>
      <c r="F78" s="26" t="n"/>
      <c r="G78" s="28">
        <f>IF($A78="","",SUMIFS(tblAkis[MahsupTutar],tblAkis[KaynakKartId],$B78,tblAkis[Durum],"MAHSUP"))</f>
        <v/>
      </c>
      <c r="H78" s="28">
        <f>IF($A78="","",MAX(0,$D78-$G78))</f>
        <v/>
      </c>
      <c r="I78" s="28">
        <f>IF($A78="","",IF($C78="","",raporTarihi-$C78))</f>
        <v/>
      </c>
      <c r="J78" s="28">
        <f>IF($A78="","",IF($I78="","",IF($I78&lt;=7,"0-7",IF($I78&lt;=30,"8-30",IF($I78&lt;=60,"31-60","60+")))))</f>
        <v/>
      </c>
      <c r="K78" s="28">
        <f>IF($A78="","",IF($B78="","YETİM",IF(COUNTIF(tblKartlar[KartId],$B78)=0,"YETİM","")))</f>
        <v/>
      </c>
      <c r="L78" s="28">
        <f>IF($A78="","",IF($G78&gt;$D78+kad_mahsupTolerans,"AŞIM","UYGUN"))</f>
        <v/>
      </c>
    </row>
    <row r="79">
      <c r="A79" s="26" t="n"/>
      <c r="B79" s="26" t="n"/>
      <c r="C79" s="29" t="n"/>
      <c r="D79" s="27" t="n"/>
      <c r="E79" s="26" t="n"/>
      <c r="F79" s="26" t="n"/>
      <c r="G79" s="28">
        <f>IF($A79="","",SUMIFS(tblAkis[MahsupTutar],tblAkis[KaynakKartId],$B79,tblAkis[Durum],"MAHSUP"))</f>
        <v/>
      </c>
      <c r="H79" s="28">
        <f>IF($A79="","",MAX(0,$D79-$G79))</f>
        <v/>
      </c>
      <c r="I79" s="28">
        <f>IF($A79="","",IF($C79="","",raporTarihi-$C79))</f>
        <v/>
      </c>
      <c r="J79" s="28">
        <f>IF($A79="","",IF($I79="","",IF($I79&lt;=7,"0-7",IF($I79&lt;=30,"8-30",IF($I79&lt;=60,"31-60","60+")))))</f>
        <v/>
      </c>
      <c r="K79" s="28">
        <f>IF($A79="","",IF($B79="","YETİM",IF(COUNTIF(tblKartlar[KartId],$B79)=0,"YETİM","")))</f>
        <v/>
      </c>
      <c r="L79" s="28">
        <f>IF($A79="","",IF($G79&gt;$D79+kad_mahsupTolerans,"AŞIM","UYGUN"))</f>
        <v/>
      </c>
    </row>
    <row r="80">
      <c r="A80" s="26" t="n"/>
      <c r="B80" s="26" t="n"/>
      <c r="C80" s="29" t="n"/>
      <c r="D80" s="27" t="n"/>
      <c r="E80" s="26" t="n"/>
      <c r="F80" s="26" t="n"/>
      <c r="G80" s="28">
        <f>IF($A80="","",SUMIFS(tblAkis[MahsupTutar],tblAkis[KaynakKartId],$B80,tblAkis[Durum],"MAHSUP"))</f>
        <v/>
      </c>
      <c r="H80" s="28">
        <f>IF($A80="","",MAX(0,$D80-$G80))</f>
        <v/>
      </c>
      <c r="I80" s="28">
        <f>IF($A80="","",IF($C80="","",raporTarihi-$C80))</f>
        <v/>
      </c>
      <c r="J80" s="28">
        <f>IF($A80="","",IF($I80="","",IF($I80&lt;=7,"0-7",IF($I80&lt;=30,"8-30",IF($I80&lt;=60,"31-60","60+")))))</f>
        <v/>
      </c>
      <c r="K80" s="28">
        <f>IF($A80="","",IF($B80="","YETİM",IF(COUNTIF(tblKartlar[KartId],$B80)=0,"YETİM","")))</f>
        <v/>
      </c>
      <c r="L80" s="28">
        <f>IF($A80="","",IF($G80&gt;$D80+kad_mahsupTolerans,"AŞIM","UYGUN"))</f>
        <v/>
      </c>
    </row>
    <row r="81">
      <c r="A81" s="26" t="n"/>
      <c r="B81" s="26" t="n"/>
      <c r="C81" s="29" t="n"/>
      <c r="D81" s="27" t="n"/>
      <c r="E81" s="26" t="n"/>
      <c r="F81" s="26" t="n"/>
      <c r="G81" s="28">
        <f>IF($A81="","",SUMIFS(tblAkis[MahsupTutar],tblAkis[KaynakKartId],$B81,tblAkis[Durum],"MAHSUP"))</f>
        <v/>
      </c>
      <c r="H81" s="28">
        <f>IF($A81="","",MAX(0,$D81-$G81))</f>
        <v/>
      </c>
      <c r="I81" s="28">
        <f>IF($A81="","",IF($C81="","",raporTarihi-$C81))</f>
        <v/>
      </c>
      <c r="J81" s="28">
        <f>IF($A81="","",IF($I81="","",IF($I81&lt;=7,"0-7",IF($I81&lt;=30,"8-30",IF($I81&lt;=60,"31-60","60+")))))</f>
        <v/>
      </c>
      <c r="K81" s="28">
        <f>IF($A81="","",IF($B81="","YETİM",IF(COUNTIF(tblKartlar[KartId],$B81)=0,"YETİM","")))</f>
        <v/>
      </c>
      <c r="L81" s="28">
        <f>IF($A81="","",IF($G81&gt;$D81+kad_mahsupTolerans,"AŞIM","UYGUN"))</f>
        <v/>
      </c>
    </row>
    <row r="82">
      <c r="A82" s="26" t="n"/>
      <c r="B82" s="26" t="n"/>
      <c r="C82" s="29" t="n"/>
      <c r="D82" s="27" t="n"/>
      <c r="E82" s="26" t="n"/>
      <c r="F82" s="26" t="n"/>
      <c r="G82" s="28">
        <f>IF($A82="","",SUMIFS(tblAkis[MahsupTutar],tblAkis[KaynakKartId],$B82,tblAkis[Durum],"MAHSUP"))</f>
        <v/>
      </c>
      <c r="H82" s="28">
        <f>IF($A82="","",MAX(0,$D82-$G82))</f>
        <v/>
      </c>
      <c r="I82" s="28">
        <f>IF($A82="","",IF($C82="","",raporTarihi-$C82))</f>
        <v/>
      </c>
      <c r="J82" s="28">
        <f>IF($A82="","",IF($I82="","",IF($I82&lt;=7,"0-7",IF($I82&lt;=30,"8-30",IF($I82&lt;=60,"31-60","60+")))))</f>
        <v/>
      </c>
      <c r="K82" s="28">
        <f>IF($A82="","",IF($B82="","YETİM",IF(COUNTIF(tblKartlar[KartId],$B82)=0,"YETİM","")))</f>
        <v/>
      </c>
      <c r="L82" s="28">
        <f>IF($A82="","",IF($G82&gt;$D82+kad_mahsupTolerans,"AŞIM","UYGUN"))</f>
        <v/>
      </c>
    </row>
    <row r="83">
      <c r="A83" s="26" t="n"/>
      <c r="B83" s="26" t="n"/>
      <c r="C83" s="29" t="n"/>
      <c r="D83" s="27" t="n"/>
      <c r="E83" s="26" t="n"/>
      <c r="F83" s="26" t="n"/>
      <c r="G83" s="28">
        <f>IF($A83="","",SUMIFS(tblAkis[MahsupTutar],tblAkis[KaynakKartId],$B83,tblAkis[Durum],"MAHSUP"))</f>
        <v/>
      </c>
      <c r="H83" s="28">
        <f>IF($A83="","",MAX(0,$D83-$G83))</f>
        <v/>
      </c>
      <c r="I83" s="28">
        <f>IF($A83="","",IF($C83="","",raporTarihi-$C83))</f>
        <v/>
      </c>
      <c r="J83" s="28">
        <f>IF($A83="","",IF($I83="","",IF($I83&lt;=7,"0-7",IF($I83&lt;=30,"8-30",IF($I83&lt;=60,"31-60","60+")))))</f>
        <v/>
      </c>
      <c r="K83" s="28">
        <f>IF($A83="","",IF($B83="","YETİM",IF(COUNTIF(tblKartlar[KartId],$B83)=0,"YETİM","")))</f>
        <v/>
      </c>
      <c r="L83" s="28">
        <f>IF($A83="","",IF($G83&gt;$D83+kad_mahsupTolerans,"AŞIM","UYGUN"))</f>
        <v/>
      </c>
    </row>
    <row r="84">
      <c r="A84" s="26" t="n"/>
      <c r="B84" s="26" t="n"/>
      <c r="C84" s="29" t="n"/>
      <c r="D84" s="27" t="n"/>
      <c r="E84" s="26" t="n"/>
      <c r="F84" s="26" t="n"/>
      <c r="G84" s="28">
        <f>IF($A84="","",SUMIFS(tblAkis[MahsupTutar],tblAkis[KaynakKartId],$B84,tblAkis[Durum],"MAHSUP"))</f>
        <v/>
      </c>
      <c r="H84" s="28">
        <f>IF($A84="","",MAX(0,$D84-$G84))</f>
        <v/>
      </c>
      <c r="I84" s="28">
        <f>IF($A84="","",IF($C84="","",raporTarihi-$C84))</f>
        <v/>
      </c>
      <c r="J84" s="28">
        <f>IF($A84="","",IF($I84="","",IF($I84&lt;=7,"0-7",IF($I84&lt;=30,"8-30",IF($I84&lt;=60,"31-60","60+")))))</f>
        <v/>
      </c>
      <c r="K84" s="28">
        <f>IF($A84="","",IF($B84="","YETİM",IF(COUNTIF(tblKartlar[KartId],$B84)=0,"YETİM","")))</f>
        <v/>
      </c>
      <c r="L84" s="28">
        <f>IF($A84="","",IF($G84&gt;$D84+kad_mahsupTolerans,"AŞIM","UYGUN"))</f>
        <v/>
      </c>
    </row>
    <row r="85">
      <c r="A85" s="26" t="n"/>
      <c r="B85" s="26" t="n"/>
      <c r="C85" s="29" t="n"/>
      <c r="D85" s="27" t="n"/>
      <c r="E85" s="26" t="n"/>
      <c r="F85" s="26" t="n"/>
      <c r="G85" s="28">
        <f>IF($A85="","",SUMIFS(tblAkis[MahsupTutar],tblAkis[KaynakKartId],$B85,tblAkis[Durum],"MAHSUP"))</f>
        <v/>
      </c>
      <c r="H85" s="28">
        <f>IF($A85="","",MAX(0,$D85-$G85))</f>
        <v/>
      </c>
      <c r="I85" s="28">
        <f>IF($A85="","",IF($C85="","",raporTarihi-$C85))</f>
        <v/>
      </c>
      <c r="J85" s="28">
        <f>IF($A85="","",IF($I85="","",IF($I85&lt;=7,"0-7",IF($I85&lt;=30,"8-30",IF($I85&lt;=60,"31-60","60+")))))</f>
        <v/>
      </c>
      <c r="K85" s="28">
        <f>IF($A85="","",IF($B85="","YETİM",IF(COUNTIF(tblKartlar[KartId],$B85)=0,"YETİM","")))</f>
        <v/>
      </c>
      <c r="L85" s="28">
        <f>IF($A85="","",IF($G85&gt;$D85+kad_mahsupTolerans,"AŞIM","UYGUN"))</f>
        <v/>
      </c>
    </row>
    <row r="86">
      <c r="A86" s="26" t="n"/>
      <c r="B86" s="26" t="n"/>
      <c r="C86" s="29" t="n"/>
      <c r="D86" s="27" t="n"/>
      <c r="E86" s="26" t="n"/>
      <c r="F86" s="26" t="n"/>
      <c r="G86" s="28">
        <f>IF($A86="","",SUMIFS(tblAkis[MahsupTutar],tblAkis[KaynakKartId],$B86,tblAkis[Durum],"MAHSUP"))</f>
        <v/>
      </c>
      <c r="H86" s="28">
        <f>IF($A86="","",MAX(0,$D86-$G86))</f>
        <v/>
      </c>
      <c r="I86" s="28">
        <f>IF($A86="","",IF($C86="","",raporTarihi-$C86))</f>
        <v/>
      </c>
      <c r="J86" s="28">
        <f>IF($A86="","",IF($I86="","",IF($I86&lt;=7,"0-7",IF($I86&lt;=30,"8-30",IF($I86&lt;=60,"31-60","60+")))))</f>
        <v/>
      </c>
      <c r="K86" s="28">
        <f>IF($A86="","",IF($B86="","YETİM",IF(COUNTIF(tblKartlar[KartId],$B86)=0,"YETİM","")))</f>
        <v/>
      </c>
      <c r="L86" s="28">
        <f>IF($A86="","",IF($G86&gt;$D86+kad_mahsupTolerans,"AŞIM","UYGUN"))</f>
        <v/>
      </c>
    </row>
    <row r="87">
      <c r="A87" s="26" t="n"/>
      <c r="B87" s="26" t="n"/>
      <c r="C87" s="29" t="n"/>
      <c r="D87" s="27" t="n"/>
      <c r="E87" s="26" t="n"/>
      <c r="F87" s="26" t="n"/>
      <c r="G87" s="28">
        <f>IF($A87="","",SUMIFS(tblAkis[MahsupTutar],tblAkis[KaynakKartId],$B87,tblAkis[Durum],"MAHSUP"))</f>
        <v/>
      </c>
      <c r="H87" s="28">
        <f>IF($A87="","",MAX(0,$D87-$G87))</f>
        <v/>
      </c>
      <c r="I87" s="28">
        <f>IF($A87="","",IF($C87="","",raporTarihi-$C87))</f>
        <v/>
      </c>
      <c r="J87" s="28">
        <f>IF($A87="","",IF($I87="","",IF($I87&lt;=7,"0-7",IF($I87&lt;=30,"8-30",IF($I87&lt;=60,"31-60","60+")))))</f>
        <v/>
      </c>
      <c r="K87" s="28">
        <f>IF($A87="","",IF($B87="","YETİM",IF(COUNTIF(tblKartlar[KartId],$B87)=0,"YETİM","")))</f>
        <v/>
      </c>
      <c r="L87" s="28">
        <f>IF($A87="","",IF($G87&gt;$D87+kad_mahsupTolerans,"AŞIM","UYGUN"))</f>
        <v/>
      </c>
    </row>
    <row r="88">
      <c r="A88" s="26" t="n"/>
      <c r="B88" s="26" t="n"/>
      <c r="C88" s="29" t="n"/>
      <c r="D88" s="27" t="n"/>
      <c r="E88" s="26" t="n"/>
      <c r="F88" s="26" t="n"/>
      <c r="G88" s="28">
        <f>IF($A88="","",SUMIFS(tblAkis[MahsupTutar],tblAkis[KaynakKartId],$B88,tblAkis[Durum],"MAHSUP"))</f>
        <v/>
      </c>
      <c r="H88" s="28">
        <f>IF($A88="","",MAX(0,$D88-$G88))</f>
        <v/>
      </c>
      <c r="I88" s="28">
        <f>IF($A88="","",IF($C88="","",raporTarihi-$C88))</f>
        <v/>
      </c>
      <c r="J88" s="28">
        <f>IF($A88="","",IF($I88="","",IF($I88&lt;=7,"0-7",IF($I88&lt;=30,"8-30",IF($I88&lt;=60,"31-60","60+")))))</f>
        <v/>
      </c>
      <c r="K88" s="28">
        <f>IF($A88="","",IF($B88="","YETİM",IF(COUNTIF(tblKartlar[KartId],$B88)=0,"YETİM","")))</f>
        <v/>
      </c>
      <c r="L88" s="28">
        <f>IF($A88="","",IF($G88&gt;$D88+kad_mahsupTolerans,"AŞIM","UYGUN"))</f>
        <v/>
      </c>
    </row>
    <row r="89">
      <c r="A89" s="26" t="n"/>
      <c r="B89" s="26" t="n"/>
      <c r="C89" s="29" t="n"/>
      <c r="D89" s="27" t="n"/>
      <c r="E89" s="26" t="n"/>
      <c r="F89" s="26" t="n"/>
      <c r="G89" s="28">
        <f>IF($A89="","",SUMIFS(tblAkis[MahsupTutar],tblAkis[KaynakKartId],$B89,tblAkis[Durum],"MAHSUP"))</f>
        <v/>
      </c>
      <c r="H89" s="28">
        <f>IF($A89="","",MAX(0,$D89-$G89))</f>
        <v/>
      </c>
      <c r="I89" s="28">
        <f>IF($A89="","",IF($C89="","",raporTarihi-$C89))</f>
        <v/>
      </c>
      <c r="J89" s="28">
        <f>IF($A89="","",IF($I89="","",IF($I89&lt;=7,"0-7",IF($I89&lt;=30,"8-30",IF($I89&lt;=60,"31-60","60+")))))</f>
        <v/>
      </c>
      <c r="K89" s="28">
        <f>IF($A89="","",IF($B89="","YETİM",IF(COUNTIF(tblKartlar[KartId],$B89)=0,"YETİM","")))</f>
        <v/>
      </c>
      <c r="L89" s="28">
        <f>IF($A89="","",IF($G89&gt;$D89+kad_mahsupTolerans,"AŞIM","UYGUN"))</f>
        <v/>
      </c>
    </row>
    <row r="90">
      <c r="A90" s="26" t="n"/>
      <c r="B90" s="26" t="n"/>
      <c r="C90" s="29" t="n"/>
      <c r="D90" s="27" t="n"/>
      <c r="E90" s="26" t="n"/>
      <c r="F90" s="26" t="n"/>
      <c r="G90" s="28">
        <f>IF($A90="","",SUMIFS(tblAkis[MahsupTutar],tblAkis[KaynakKartId],$B90,tblAkis[Durum],"MAHSUP"))</f>
        <v/>
      </c>
      <c r="H90" s="28">
        <f>IF($A90="","",MAX(0,$D90-$G90))</f>
        <v/>
      </c>
      <c r="I90" s="28">
        <f>IF($A90="","",IF($C90="","",raporTarihi-$C90))</f>
        <v/>
      </c>
      <c r="J90" s="28">
        <f>IF($A90="","",IF($I90="","",IF($I90&lt;=7,"0-7",IF($I90&lt;=30,"8-30",IF($I90&lt;=60,"31-60","60+")))))</f>
        <v/>
      </c>
      <c r="K90" s="28">
        <f>IF($A90="","",IF($B90="","YETİM",IF(COUNTIF(tblKartlar[KartId],$B90)=0,"YETİM","")))</f>
        <v/>
      </c>
      <c r="L90" s="28">
        <f>IF($A90="","",IF($G90&gt;$D90+kad_mahsupTolerans,"AŞIM","UYGUN"))</f>
        <v/>
      </c>
    </row>
    <row r="91">
      <c r="A91" s="26" t="n"/>
      <c r="B91" s="26" t="n"/>
      <c r="C91" s="29" t="n"/>
      <c r="D91" s="27" t="n"/>
      <c r="E91" s="26" t="n"/>
      <c r="F91" s="26" t="n"/>
      <c r="G91" s="28">
        <f>IF($A91="","",SUMIFS(tblAkis[MahsupTutar],tblAkis[KaynakKartId],$B91,tblAkis[Durum],"MAHSUP"))</f>
        <v/>
      </c>
      <c r="H91" s="28">
        <f>IF($A91="","",MAX(0,$D91-$G91))</f>
        <v/>
      </c>
      <c r="I91" s="28">
        <f>IF($A91="","",IF($C91="","",raporTarihi-$C91))</f>
        <v/>
      </c>
      <c r="J91" s="28">
        <f>IF($A91="","",IF($I91="","",IF($I91&lt;=7,"0-7",IF($I91&lt;=30,"8-30",IF($I91&lt;=60,"31-60","60+")))))</f>
        <v/>
      </c>
      <c r="K91" s="28">
        <f>IF($A91="","",IF($B91="","YETİM",IF(COUNTIF(tblKartlar[KartId],$B91)=0,"YETİM","")))</f>
        <v/>
      </c>
      <c r="L91" s="28">
        <f>IF($A91="","",IF($G91&gt;$D91+kad_mahsupTolerans,"AŞIM","UYGUN"))</f>
        <v/>
      </c>
    </row>
    <row r="92">
      <c r="A92" s="26" t="n"/>
      <c r="B92" s="26" t="n"/>
      <c r="C92" s="29" t="n"/>
      <c r="D92" s="27" t="n"/>
      <c r="E92" s="26" t="n"/>
      <c r="F92" s="26" t="n"/>
      <c r="G92" s="28">
        <f>IF($A92="","",SUMIFS(tblAkis[MahsupTutar],tblAkis[KaynakKartId],$B92,tblAkis[Durum],"MAHSUP"))</f>
        <v/>
      </c>
      <c r="H92" s="28">
        <f>IF($A92="","",MAX(0,$D92-$G92))</f>
        <v/>
      </c>
      <c r="I92" s="28">
        <f>IF($A92="","",IF($C92="","",raporTarihi-$C92))</f>
        <v/>
      </c>
      <c r="J92" s="28">
        <f>IF($A92="","",IF($I92="","",IF($I92&lt;=7,"0-7",IF($I92&lt;=30,"8-30",IF($I92&lt;=60,"31-60","60+")))))</f>
        <v/>
      </c>
      <c r="K92" s="28">
        <f>IF($A92="","",IF($B92="","YETİM",IF(COUNTIF(tblKartlar[KartId],$B92)=0,"YETİM","")))</f>
        <v/>
      </c>
      <c r="L92" s="28">
        <f>IF($A92="","",IF($G92&gt;$D92+kad_mahsupTolerans,"AŞIM","UYGUN"))</f>
        <v/>
      </c>
    </row>
    <row r="93">
      <c r="A93" s="26" t="n"/>
      <c r="B93" s="26" t="n"/>
      <c r="C93" s="29" t="n"/>
      <c r="D93" s="27" t="n"/>
      <c r="E93" s="26" t="n"/>
      <c r="F93" s="26" t="n"/>
      <c r="G93" s="28">
        <f>IF($A93="","",SUMIFS(tblAkis[MahsupTutar],tblAkis[KaynakKartId],$B93,tblAkis[Durum],"MAHSUP"))</f>
        <v/>
      </c>
      <c r="H93" s="28">
        <f>IF($A93="","",MAX(0,$D93-$G93))</f>
        <v/>
      </c>
      <c r="I93" s="28">
        <f>IF($A93="","",IF($C93="","",raporTarihi-$C93))</f>
        <v/>
      </c>
      <c r="J93" s="28">
        <f>IF($A93="","",IF($I93="","",IF($I93&lt;=7,"0-7",IF($I93&lt;=30,"8-30",IF($I93&lt;=60,"31-60","60+")))))</f>
        <v/>
      </c>
      <c r="K93" s="28">
        <f>IF($A93="","",IF($B93="","YETİM",IF(COUNTIF(tblKartlar[KartId],$B93)=0,"YETİM","")))</f>
        <v/>
      </c>
      <c r="L93" s="28">
        <f>IF($A93="","",IF($G93&gt;$D93+kad_mahsupTolerans,"AŞIM","UYGUN"))</f>
        <v/>
      </c>
    </row>
    <row r="94">
      <c r="A94" s="26" t="n"/>
      <c r="B94" s="26" t="n"/>
      <c r="C94" s="29" t="n"/>
      <c r="D94" s="27" t="n"/>
      <c r="E94" s="26" t="n"/>
      <c r="F94" s="26" t="n"/>
      <c r="G94" s="28">
        <f>IF($A94="","",SUMIFS(tblAkis[MahsupTutar],tblAkis[KaynakKartId],$B94,tblAkis[Durum],"MAHSUP"))</f>
        <v/>
      </c>
      <c r="H94" s="28">
        <f>IF($A94="","",MAX(0,$D94-$G94))</f>
        <v/>
      </c>
      <c r="I94" s="28">
        <f>IF($A94="","",IF($C94="","",raporTarihi-$C94))</f>
        <v/>
      </c>
      <c r="J94" s="28">
        <f>IF($A94="","",IF($I94="","",IF($I94&lt;=7,"0-7",IF($I94&lt;=30,"8-30",IF($I94&lt;=60,"31-60","60+")))))</f>
        <v/>
      </c>
      <c r="K94" s="28">
        <f>IF($A94="","",IF($B94="","YETİM",IF(COUNTIF(tblKartlar[KartId],$B94)=0,"YETİM","")))</f>
        <v/>
      </c>
      <c r="L94" s="28">
        <f>IF($A94="","",IF($G94&gt;$D94+kad_mahsupTolerans,"AŞIM","UYGUN"))</f>
        <v/>
      </c>
    </row>
    <row r="95">
      <c r="A95" s="26" t="n"/>
      <c r="B95" s="26" t="n"/>
      <c r="C95" s="29" t="n"/>
      <c r="D95" s="27" t="n"/>
      <c r="E95" s="26" t="n"/>
      <c r="F95" s="26" t="n"/>
      <c r="G95" s="28">
        <f>IF($A95="","",SUMIFS(tblAkis[MahsupTutar],tblAkis[KaynakKartId],$B95,tblAkis[Durum],"MAHSUP"))</f>
        <v/>
      </c>
      <c r="H95" s="28">
        <f>IF($A95="","",MAX(0,$D95-$G95))</f>
        <v/>
      </c>
      <c r="I95" s="28">
        <f>IF($A95="","",IF($C95="","",raporTarihi-$C95))</f>
        <v/>
      </c>
      <c r="J95" s="28">
        <f>IF($A95="","",IF($I95="","",IF($I95&lt;=7,"0-7",IF($I95&lt;=30,"8-30",IF($I95&lt;=60,"31-60","60+")))))</f>
        <v/>
      </c>
      <c r="K95" s="28">
        <f>IF($A95="","",IF($B95="","YETİM",IF(COUNTIF(tblKartlar[KartId],$B95)=0,"YETİM","")))</f>
        <v/>
      </c>
      <c r="L95" s="28">
        <f>IF($A95="","",IF($G95&gt;$D95+kad_mahsupTolerans,"AŞIM","UYGUN"))</f>
        <v/>
      </c>
    </row>
    <row r="96">
      <c r="A96" s="26" t="n"/>
      <c r="B96" s="26" t="n"/>
      <c r="C96" s="29" t="n"/>
      <c r="D96" s="27" t="n"/>
      <c r="E96" s="26" t="n"/>
      <c r="F96" s="26" t="n"/>
      <c r="G96" s="28">
        <f>IF($A96="","",SUMIFS(tblAkis[MahsupTutar],tblAkis[KaynakKartId],$B96,tblAkis[Durum],"MAHSUP"))</f>
        <v/>
      </c>
      <c r="H96" s="28">
        <f>IF($A96="","",MAX(0,$D96-$G96))</f>
        <v/>
      </c>
      <c r="I96" s="28">
        <f>IF($A96="","",IF($C96="","",raporTarihi-$C96))</f>
        <v/>
      </c>
      <c r="J96" s="28">
        <f>IF($A96="","",IF($I96="","",IF($I96&lt;=7,"0-7",IF($I96&lt;=30,"8-30",IF($I96&lt;=60,"31-60","60+")))))</f>
        <v/>
      </c>
      <c r="K96" s="28">
        <f>IF($A96="","",IF($B96="","YETİM",IF(COUNTIF(tblKartlar[KartId],$B96)=0,"YETİM","")))</f>
        <v/>
      </c>
      <c r="L96" s="28">
        <f>IF($A96="","",IF($G96&gt;$D96+kad_mahsupTolerans,"AŞIM","UYGUN"))</f>
        <v/>
      </c>
    </row>
    <row r="97">
      <c r="A97" s="26" t="n"/>
      <c r="B97" s="26" t="n"/>
      <c r="C97" s="29" t="n"/>
      <c r="D97" s="27" t="n"/>
      <c r="E97" s="26" t="n"/>
      <c r="F97" s="26" t="n"/>
      <c r="G97" s="28">
        <f>IF($A97="","",SUMIFS(tblAkis[MahsupTutar],tblAkis[KaynakKartId],$B97,tblAkis[Durum],"MAHSUP"))</f>
        <v/>
      </c>
      <c r="H97" s="28">
        <f>IF($A97="","",MAX(0,$D97-$G97))</f>
        <v/>
      </c>
      <c r="I97" s="28">
        <f>IF($A97="","",IF($C97="","",raporTarihi-$C97))</f>
        <v/>
      </c>
      <c r="J97" s="28">
        <f>IF($A97="","",IF($I97="","",IF($I97&lt;=7,"0-7",IF($I97&lt;=30,"8-30",IF($I97&lt;=60,"31-60","60+")))))</f>
        <v/>
      </c>
      <c r="K97" s="28">
        <f>IF($A97="","",IF($B97="","YETİM",IF(COUNTIF(tblKartlar[KartId],$B97)=0,"YETİM","")))</f>
        <v/>
      </c>
      <c r="L97" s="28">
        <f>IF($A97="","",IF($G97&gt;$D97+kad_mahsupTolerans,"AŞIM","UYGUN"))</f>
        <v/>
      </c>
    </row>
    <row r="98">
      <c r="A98" s="26" t="n"/>
      <c r="B98" s="26" t="n"/>
      <c r="C98" s="29" t="n"/>
      <c r="D98" s="27" t="n"/>
      <c r="E98" s="26" t="n"/>
      <c r="F98" s="26" t="n"/>
      <c r="G98" s="28">
        <f>IF($A98="","",SUMIFS(tblAkis[MahsupTutar],tblAkis[KaynakKartId],$B98,tblAkis[Durum],"MAHSUP"))</f>
        <v/>
      </c>
      <c r="H98" s="28">
        <f>IF($A98="","",MAX(0,$D98-$G98))</f>
        <v/>
      </c>
      <c r="I98" s="28">
        <f>IF($A98="","",IF($C98="","",raporTarihi-$C98))</f>
        <v/>
      </c>
      <c r="J98" s="28">
        <f>IF($A98="","",IF($I98="","",IF($I98&lt;=7,"0-7",IF($I98&lt;=30,"8-30",IF($I98&lt;=60,"31-60","60+")))))</f>
        <v/>
      </c>
      <c r="K98" s="28">
        <f>IF($A98="","",IF($B98="","YETİM",IF(COUNTIF(tblKartlar[KartId],$B98)=0,"YETİM","")))</f>
        <v/>
      </c>
      <c r="L98" s="28">
        <f>IF($A98="","",IF($G98&gt;$D98+kad_mahsupTolerans,"AŞIM","UYGUN"))</f>
        <v/>
      </c>
    </row>
    <row r="99">
      <c r="A99" s="26" t="n"/>
      <c r="B99" s="26" t="n"/>
      <c r="C99" s="29" t="n"/>
      <c r="D99" s="27" t="n"/>
      <c r="E99" s="26" t="n"/>
      <c r="F99" s="26" t="n"/>
      <c r="G99" s="28">
        <f>IF($A99="","",SUMIFS(tblAkis[MahsupTutar],tblAkis[KaynakKartId],$B99,tblAkis[Durum],"MAHSUP"))</f>
        <v/>
      </c>
      <c r="H99" s="28">
        <f>IF($A99="","",MAX(0,$D99-$G99))</f>
        <v/>
      </c>
      <c r="I99" s="28">
        <f>IF($A99="","",IF($C99="","",raporTarihi-$C99))</f>
        <v/>
      </c>
      <c r="J99" s="28">
        <f>IF($A99="","",IF($I99="","",IF($I99&lt;=7,"0-7",IF($I99&lt;=30,"8-30",IF($I99&lt;=60,"31-60","60+")))))</f>
        <v/>
      </c>
      <c r="K99" s="28">
        <f>IF($A99="","",IF($B99="","YETİM",IF(COUNTIF(tblKartlar[KartId],$B99)=0,"YETİM","")))</f>
        <v/>
      </c>
      <c r="L99" s="28">
        <f>IF($A99="","",IF($G99&gt;$D99+kad_mahsupTolerans,"AŞIM","UYGUN"))</f>
        <v/>
      </c>
    </row>
    <row r="100">
      <c r="A100" s="26" t="n"/>
      <c r="B100" s="26" t="n"/>
      <c r="C100" s="29" t="n"/>
      <c r="D100" s="27" t="n"/>
      <c r="E100" s="26" t="n"/>
      <c r="F100" s="26" t="n"/>
      <c r="G100" s="28">
        <f>IF($A100="","",SUMIFS(tblAkis[MahsupTutar],tblAkis[KaynakKartId],$B100,tblAkis[Durum],"MAHSUP"))</f>
        <v/>
      </c>
      <c r="H100" s="28">
        <f>IF($A100="","",MAX(0,$D100-$G100))</f>
        <v/>
      </c>
      <c r="I100" s="28">
        <f>IF($A100="","",IF($C100="","",raporTarihi-$C100))</f>
        <v/>
      </c>
      <c r="J100" s="28">
        <f>IF($A100="","",IF($I100="","",IF($I100&lt;=7,"0-7",IF($I100&lt;=30,"8-30",IF($I100&lt;=60,"31-60","60+")))))</f>
        <v/>
      </c>
      <c r="K100" s="28">
        <f>IF($A100="","",IF($B100="","YETİM",IF(COUNTIF(tblKartlar[KartId],$B100)=0,"YETİM","")))</f>
        <v/>
      </c>
      <c r="L100" s="28">
        <f>IF($A100="","",IF($G100&gt;$D100+kad_mahsupTolerans,"AŞIM","UYGUN"))</f>
        <v/>
      </c>
    </row>
    <row r="101">
      <c r="A101" s="26" t="n"/>
      <c r="B101" s="26" t="n"/>
      <c r="C101" s="29" t="n"/>
      <c r="D101" s="27" t="n"/>
      <c r="E101" s="26" t="n"/>
      <c r="F101" s="26" t="n"/>
      <c r="G101" s="28">
        <f>IF($A101="","",SUMIFS(tblAkis[MahsupTutar],tblAkis[KaynakKartId],$B101,tblAkis[Durum],"MAHSUP"))</f>
        <v/>
      </c>
      <c r="H101" s="28">
        <f>IF($A101="","",MAX(0,$D101-$G101))</f>
        <v/>
      </c>
      <c r="I101" s="28">
        <f>IF($A101="","",IF($C101="","",raporTarihi-$C101))</f>
        <v/>
      </c>
      <c r="J101" s="28">
        <f>IF($A101="","",IF($I101="","",IF($I101&lt;=7,"0-7",IF($I101&lt;=30,"8-30",IF($I101&lt;=60,"31-60","60+")))))</f>
        <v/>
      </c>
      <c r="K101" s="28">
        <f>IF($A101="","",IF($B101="","YETİM",IF(COUNTIF(tblKartlar[KartId],$B101)=0,"YETİM","")))</f>
        <v/>
      </c>
      <c r="L101" s="28">
        <f>IF($A101="","",IF($G101&gt;$D101+kad_mahsupTolerans,"AŞIM","UYGUN"))</f>
        <v/>
      </c>
    </row>
    <row r="102">
      <c r="A102" s="26" t="n"/>
      <c r="B102" s="26" t="n"/>
      <c r="C102" s="29" t="n"/>
      <c r="D102" s="27" t="n"/>
      <c r="E102" s="26" t="n"/>
      <c r="F102" s="26" t="n"/>
      <c r="G102" s="28">
        <f>IF($A102="","",SUMIFS(tblAkis[MahsupTutar],tblAkis[KaynakKartId],$B102,tblAkis[Durum],"MAHSUP"))</f>
        <v/>
      </c>
      <c r="H102" s="28">
        <f>IF($A102="","",MAX(0,$D102-$G102))</f>
        <v/>
      </c>
      <c r="I102" s="28">
        <f>IF($A102="","",IF($C102="","",raporTarihi-$C102))</f>
        <v/>
      </c>
      <c r="J102" s="28">
        <f>IF($A102="","",IF($I102="","",IF($I102&lt;=7,"0-7",IF($I102&lt;=30,"8-30",IF($I102&lt;=60,"31-60","60+")))))</f>
        <v/>
      </c>
      <c r="K102" s="28">
        <f>IF($A102="","",IF($B102="","YETİM",IF(COUNTIF(tblKartlar[KartId],$B102)=0,"YETİM","")))</f>
        <v/>
      </c>
      <c r="L102" s="28">
        <f>IF($A102="","",IF($G102&gt;$D102+kad_mahsupTolerans,"AŞIM","UYGUN"))</f>
        <v/>
      </c>
    </row>
    <row r="103">
      <c r="A103" s="26" t="n"/>
      <c r="B103" s="26" t="n"/>
      <c r="C103" s="29" t="n"/>
      <c r="D103" s="27" t="n"/>
      <c r="E103" s="26" t="n"/>
      <c r="F103" s="26" t="n"/>
      <c r="G103" s="28">
        <f>IF($A103="","",SUMIFS(tblAkis[MahsupTutar],tblAkis[KaynakKartId],$B103,tblAkis[Durum],"MAHSUP"))</f>
        <v/>
      </c>
      <c r="H103" s="28">
        <f>IF($A103="","",MAX(0,$D103-$G103))</f>
        <v/>
      </c>
      <c r="I103" s="28">
        <f>IF($A103="","",IF($C103="","",raporTarihi-$C103))</f>
        <v/>
      </c>
      <c r="J103" s="28">
        <f>IF($A103="","",IF($I103="","",IF($I103&lt;=7,"0-7",IF($I103&lt;=30,"8-30",IF($I103&lt;=60,"31-60","60+")))))</f>
        <v/>
      </c>
      <c r="K103" s="28">
        <f>IF($A103="","",IF($B103="","YETİM",IF(COUNTIF(tblKartlar[KartId],$B103)=0,"YETİM","")))</f>
        <v/>
      </c>
      <c r="L103" s="28">
        <f>IF($A103="","",IF($G103&gt;$D103+kad_mahsupTolerans,"AŞIM","UYGUN"))</f>
        <v/>
      </c>
    </row>
    <row r="104">
      <c r="A104" s="26" t="n"/>
      <c r="B104" s="26" t="n"/>
      <c r="C104" s="29" t="n"/>
      <c r="D104" s="27" t="n"/>
      <c r="E104" s="26" t="n"/>
      <c r="F104" s="26" t="n"/>
      <c r="G104" s="28">
        <f>IF($A104="","",SUMIFS(tblAkis[MahsupTutar],tblAkis[KaynakKartId],$B104,tblAkis[Durum],"MAHSUP"))</f>
        <v/>
      </c>
      <c r="H104" s="28">
        <f>IF($A104="","",MAX(0,$D104-$G104))</f>
        <v/>
      </c>
      <c r="I104" s="28">
        <f>IF($A104="","",IF($C104="","",raporTarihi-$C104))</f>
        <v/>
      </c>
      <c r="J104" s="28">
        <f>IF($A104="","",IF($I104="","",IF($I104&lt;=7,"0-7",IF($I104&lt;=30,"8-30",IF($I104&lt;=60,"31-60","60+")))))</f>
        <v/>
      </c>
      <c r="K104" s="28">
        <f>IF($A104="","",IF($B104="","YETİM",IF(COUNTIF(tblKartlar[KartId],$B104)=0,"YETİM","")))</f>
        <v/>
      </c>
      <c r="L104" s="28">
        <f>IF($A104="","",IF($G104&gt;$D104+kad_mahsupTolerans,"AŞIM","UYGUN"))</f>
        <v/>
      </c>
    </row>
    <row r="105">
      <c r="A105" s="26" t="n"/>
      <c r="B105" s="26" t="n"/>
      <c r="C105" s="29" t="n"/>
      <c r="D105" s="27" t="n"/>
      <c r="E105" s="26" t="n"/>
      <c r="F105" s="26" t="n"/>
      <c r="G105" s="28">
        <f>IF($A105="","",SUMIFS(tblAkis[MahsupTutar],tblAkis[KaynakKartId],$B105,tblAkis[Durum],"MAHSUP"))</f>
        <v/>
      </c>
      <c r="H105" s="28">
        <f>IF($A105="","",MAX(0,$D105-$G105))</f>
        <v/>
      </c>
      <c r="I105" s="28">
        <f>IF($A105="","",IF($C105="","",raporTarihi-$C105))</f>
        <v/>
      </c>
      <c r="J105" s="28">
        <f>IF($A105="","",IF($I105="","",IF($I105&lt;=7,"0-7",IF($I105&lt;=30,"8-30",IF($I105&lt;=60,"31-60","60+")))))</f>
        <v/>
      </c>
      <c r="K105" s="28">
        <f>IF($A105="","",IF($B105="","YETİM",IF(COUNTIF(tblKartlar[KartId],$B105)=0,"YETİM","")))</f>
        <v/>
      </c>
      <c r="L105" s="28">
        <f>IF($A105="","",IF($G105&gt;$D105+kad_mahsupTolerans,"AŞIM","UYGUN"))</f>
        <v/>
      </c>
    </row>
    <row r="106">
      <c r="A106" s="26" t="n"/>
      <c r="B106" s="26" t="n"/>
      <c r="C106" s="29" t="n"/>
      <c r="D106" s="27" t="n"/>
      <c r="E106" s="26" t="n"/>
      <c r="F106" s="26" t="n"/>
      <c r="G106" s="28">
        <f>IF($A106="","",SUMIFS(tblAkis[MahsupTutar],tblAkis[KaynakKartId],$B106,tblAkis[Durum],"MAHSUP"))</f>
        <v/>
      </c>
      <c r="H106" s="28">
        <f>IF($A106="","",MAX(0,$D106-$G106))</f>
        <v/>
      </c>
      <c r="I106" s="28">
        <f>IF($A106="","",IF($C106="","",raporTarihi-$C106))</f>
        <v/>
      </c>
      <c r="J106" s="28">
        <f>IF($A106="","",IF($I106="","",IF($I106&lt;=7,"0-7",IF($I106&lt;=30,"8-30",IF($I106&lt;=60,"31-60","60+")))))</f>
        <v/>
      </c>
      <c r="K106" s="28">
        <f>IF($A106="","",IF($B106="","YETİM",IF(COUNTIF(tblKartlar[KartId],$B106)=0,"YETİM","")))</f>
        <v/>
      </c>
      <c r="L106" s="28">
        <f>IF($A106="","",IF($G106&gt;$D106+kad_mahsupTolerans,"AŞIM","UYGUN"))</f>
        <v/>
      </c>
    </row>
    <row r="107">
      <c r="A107" s="26" t="n"/>
      <c r="B107" s="26" t="n"/>
      <c r="C107" s="29" t="n"/>
      <c r="D107" s="27" t="n"/>
      <c r="E107" s="26" t="n"/>
      <c r="F107" s="26" t="n"/>
      <c r="G107" s="28">
        <f>IF($A107="","",SUMIFS(tblAkis[MahsupTutar],tblAkis[KaynakKartId],$B107,tblAkis[Durum],"MAHSUP"))</f>
        <v/>
      </c>
      <c r="H107" s="28">
        <f>IF($A107="","",MAX(0,$D107-$G107))</f>
        <v/>
      </c>
      <c r="I107" s="28">
        <f>IF($A107="","",IF($C107="","",raporTarihi-$C107))</f>
        <v/>
      </c>
      <c r="J107" s="28">
        <f>IF($A107="","",IF($I107="","",IF($I107&lt;=7,"0-7",IF($I107&lt;=30,"8-30",IF($I107&lt;=60,"31-60","60+")))))</f>
        <v/>
      </c>
      <c r="K107" s="28">
        <f>IF($A107="","",IF($B107="","YETİM",IF(COUNTIF(tblKartlar[KartId],$B107)=0,"YETİM","")))</f>
        <v/>
      </c>
      <c r="L107" s="28">
        <f>IF($A107="","",IF($G107&gt;$D107+kad_mahsupTolerans,"AŞIM","UYGUN"))</f>
        <v/>
      </c>
    </row>
    <row r="108">
      <c r="A108" s="26" t="n"/>
      <c r="B108" s="26" t="n"/>
      <c r="C108" s="29" t="n"/>
      <c r="D108" s="27" t="n"/>
      <c r="E108" s="26" t="n"/>
      <c r="F108" s="26" t="n"/>
      <c r="G108" s="28">
        <f>IF($A108="","",SUMIFS(tblAkis[MahsupTutar],tblAkis[KaynakKartId],$B108,tblAkis[Durum],"MAHSUP"))</f>
        <v/>
      </c>
      <c r="H108" s="28">
        <f>IF($A108="","",MAX(0,$D108-$G108))</f>
        <v/>
      </c>
      <c r="I108" s="28">
        <f>IF($A108="","",IF($C108="","",raporTarihi-$C108))</f>
        <v/>
      </c>
      <c r="J108" s="28">
        <f>IF($A108="","",IF($I108="","",IF($I108&lt;=7,"0-7",IF($I108&lt;=30,"8-30",IF($I108&lt;=60,"31-60","60+")))))</f>
        <v/>
      </c>
      <c r="K108" s="28">
        <f>IF($A108="","",IF($B108="","YETİM",IF(COUNTIF(tblKartlar[KartId],$B108)=0,"YETİM","")))</f>
        <v/>
      </c>
      <c r="L108" s="28">
        <f>IF($A108="","",IF($G108&gt;$D108+kad_mahsupTolerans,"AŞIM","UYGUN"))</f>
        <v/>
      </c>
    </row>
    <row r="109">
      <c r="A109" s="26" t="n"/>
      <c r="B109" s="26" t="n"/>
      <c r="C109" s="29" t="n"/>
      <c r="D109" s="27" t="n"/>
      <c r="E109" s="26" t="n"/>
      <c r="F109" s="26" t="n"/>
      <c r="G109" s="28">
        <f>IF($A109="","",SUMIFS(tblAkis[MahsupTutar],tblAkis[KaynakKartId],$B109,tblAkis[Durum],"MAHSUP"))</f>
        <v/>
      </c>
      <c r="H109" s="28">
        <f>IF($A109="","",MAX(0,$D109-$G109))</f>
        <v/>
      </c>
      <c r="I109" s="28">
        <f>IF($A109="","",IF($C109="","",raporTarihi-$C109))</f>
        <v/>
      </c>
      <c r="J109" s="28">
        <f>IF($A109="","",IF($I109="","",IF($I109&lt;=7,"0-7",IF($I109&lt;=30,"8-30",IF($I109&lt;=60,"31-60","60+")))))</f>
        <v/>
      </c>
      <c r="K109" s="28">
        <f>IF($A109="","",IF($B109="","YETİM",IF(COUNTIF(tblKartlar[KartId],$B109)=0,"YETİM","")))</f>
        <v/>
      </c>
      <c r="L109" s="28">
        <f>IF($A109="","",IF($G109&gt;$D109+kad_mahsupTolerans,"AŞIM","UYGUN"))</f>
        <v/>
      </c>
    </row>
    <row r="110">
      <c r="A110" s="26" t="n"/>
      <c r="B110" s="26" t="n"/>
      <c r="C110" s="29" t="n"/>
      <c r="D110" s="27" t="n"/>
      <c r="E110" s="26" t="n"/>
      <c r="F110" s="26" t="n"/>
      <c r="G110" s="28">
        <f>IF($A110="","",SUMIFS(tblAkis[MahsupTutar],tblAkis[KaynakKartId],$B110,tblAkis[Durum],"MAHSUP"))</f>
        <v/>
      </c>
      <c r="H110" s="28">
        <f>IF($A110="","",MAX(0,$D110-$G110))</f>
        <v/>
      </c>
      <c r="I110" s="28">
        <f>IF($A110="","",IF($C110="","",raporTarihi-$C110))</f>
        <v/>
      </c>
      <c r="J110" s="28">
        <f>IF($A110="","",IF($I110="","",IF($I110&lt;=7,"0-7",IF($I110&lt;=30,"8-30",IF($I110&lt;=60,"31-60","60+")))))</f>
        <v/>
      </c>
      <c r="K110" s="28">
        <f>IF($A110="","",IF($B110="","YETİM",IF(COUNTIF(tblKartlar[KartId],$B110)=0,"YETİM","")))</f>
        <v/>
      </c>
      <c r="L110" s="28">
        <f>IF($A110="","",IF($G110&gt;$D110+kad_mahsupTolerans,"AŞIM","UYGUN"))</f>
        <v/>
      </c>
    </row>
    <row r="111">
      <c r="A111" s="26" t="n"/>
      <c r="B111" s="26" t="n"/>
      <c r="C111" s="29" t="n"/>
      <c r="D111" s="27" t="n"/>
      <c r="E111" s="26" t="n"/>
      <c r="F111" s="26" t="n"/>
      <c r="G111" s="28">
        <f>IF($A111="","",SUMIFS(tblAkis[MahsupTutar],tblAkis[KaynakKartId],$B111,tblAkis[Durum],"MAHSUP"))</f>
        <v/>
      </c>
      <c r="H111" s="28">
        <f>IF($A111="","",MAX(0,$D111-$G111))</f>
        <v/>
      </c>
      <c r="I111" s="28">
        <f>IF($A111="","",IF($C111="","",raporTarihi-$C111))</f>
        <v/>
      </c>
      <c r="J111" s="28">
        <f>IF($A111="","",IF($I111="","",IF($I111&lt;=7,"0-7",IF($I111&lt;=30,"8-30",IF($I111&lt;=60,"31-60","60+")))))</f>
        <v/>
      </c>
      <c r="K111" s="28">
        <f>IF($A111="","",IF($B111="","YETİM",IF(COUNTIF(tblKartlar[KartId],$B111)=0,"YETİM","")))</f>
        <v/>
      </c>
      <c r="L111" s="28">
        <f>IF($A111="","",IF($G111&gt;$D111+kad_mahsupTolerans,"AŞIM","UYGUN"))</f>
        <v/>
      </c>
    </row>
    <row r="112">
      <c r="A112" s="26" t="n"/>
      <c r="B112" s="26" t="n"/>
      <c r="C112" s="29" t="n"/>
      <c r="D112" s="27" t="n"/>
      <c r="E112" s="26" t="n"/>
      <c r="F112" s="26" t="n"/>
      <c r="G112" s="28">
        <f>IF($A112="","",SUMIFS(tblAkis[MahsupTutar],tblAkis[KaynakKartId],$B112,tblAkis[Durum],"MAHSUP"))</f>
        <v/>
      </c>
      <c r="H112" s="28">
        <f>IF($A112="","",MAX(0,$D112-$G112))</f>
        <v/>
      </c>
      <c r="I112" s="28">
        <f>IF($A112="","",IF($C112="","",raporTarihi-$C112))</f>
        <v/>
      </c>
      <c r="J112" s="28">
        <f>IF($A112="","",IF($I112="","",IF($I112&lt;=7,"0-7",IF($I112&lt;=30,"8-30",IF($I112&lt;=60,"31-60","60+")))))</f>
        <v/>
      </c>
      <c r="K112" s="28">
        <f>IF($A112="","",IF($B112="","YETİM",IF(COUNTIF(tblKartlar[KartId],$B112)=0,"YETİM","")))</f>
        <v/>
      </c>
      <c r="L112" s="28">
        <f>IF($A112="","",IF($G112&gt;$D112+kad_mahsupTolerans,"AŞIM","UYGUN"))</f>
        <v/>
      </c>
    </row>
    <row r="113">
      <c r="A113" s="26" t="n"/>
      <c r="B113" s="26" t="n"/>
      <c r="C113" s="29" t="n"/>
      <c r="D113" s="27" t="n"/>
      <c r="E113" s="26" t="n"/>
      <c r="F113" s="26" t="n"/>
      <c r="G113" s="28">
        <f>IF($A113="","",SUMIFS(tblAkis[MahsupTutar],tblAkis[KaynakKartId],$B113,tblAkis[Durum],"MAHSUP"))</f>
        <v/>
      </c>
      <c r="H113" s="28">
        <f>IF($A113="","",MAX(0,$D113-$G113))</f>
        <v/>
      </c>
      <c r="I113" s="28">
        <f>IF($A113="","",IF($C113="","",raporTarihi-$C113))</f>
        <v/>
      </c>
      <c r="J113" s="28">
        <f>IF($A113="","",IF($I113="","",IF($I113&lt;=7,"0-7",IF($I113&lt;=30,"8-30",IF($I113&lt;=60,"31-60","60+")))))</f>
        <v/>
      </c>
      <c r="K113" s="28">
        <f>IF($A113="","",IF($B113="","YETİM",IF(COUNTIF(tblKartlar[KartId],$B113)=0,"YETİM","")))</f>
        <v/>
      </c>
      <c r="L113" s="28">
        <f>IF($A113="","",IF($G113&gt;$D113+kad_mahsupTolerans,"AŞIM","UYGUN"))</f>
        <v/>
      </c>
    </row>
    <row r="114">
      <c r="A114" s="26" t="n"/>
      <c r="B114" s="26" t="n"/>
      <c r="C114" s="29" t="n"/>
      <c r="D114" s="27" t="n"/>
      <c r="E114" s="26" t="n"/>
      <c r="F114" s="26" t="n"/>
      <c r="G114" s="28">
        <f>IF($A114="","",SUMIFS(tblAkis[MahsupTutar],tblAkis[KaynakKartId],$B114,tblAkis[Durum],"MAHSUP"))</f>
        <v/>
      </c>
      <c r="H114" s="28">
        <f>IF($A114="","",MAX(0,$D114-$G114))</f>
        <v/>
      </c>
      <c r="I114" s="28">
        <f>IF($A114="","",IF($C114="","",raporTarihi-$C114))</f>
        <v/>
      </c>
      <c r="J114" s="28">
        <f>IF($A114="","",IF($I114="","",IF($I114&lt;=7,"0-7",IF($I114&lt;=30,"8-30",IF($I114&lt;=60,"31-60","60+")))))</f>
        <v/>
      </c>
      <c r="K114" s="28">
        <f>IF($A114="","",IF($B114="","YETİM",IF(COUNTIF(tblKartlar[KartId],$B114)=0,"YETİM","")))</f>
        <v/>
      </c>
      <c r="L114" s="28">
        <f>IF($A114="","",IF($G114&gt;$D114+kad_mahsupTolerans,"AŞIM","UYGUN"))</f>
        <v/>
      </c>
    </row>
    <row r="115">
      <c r="A115" s="26" t="n"/>
      <c r="B115" s="26" t="n"/>
      <c r="C115" s="29" t="n"/>
      <c r="D115" s="27" t="n"/>
      <c r="E115" s="26" t="n"/>
      <c r="F115" s="26" t="n"/>
      <c r="G115" s="28">
        <f>IF($A115="","",SUMIFS(tblAkis[MahsupTutar],tblAkis[KaynakKartId],$B115,tblAkis[Durum],"MAHSUP"))</f>
        <v/>
      </c>
      <c r="H115" s="28">
        <f>IF($A115="","",MAX(0,$D115-$G115))</f>
        <v/>
      </c>
      <c r="I115" s="28">
        <f>IF($A115="","",IF($C115="","",raporTarihi-$C115))</f>
        <v/>
      </c>
      <c r="J115" s="28">
        <f>IF($A115="","",IF($I115="","",IF($I115&lt;=7,"0-7",IF($I115&lt;=30,"8-30",IF($I115&lt;=60,"31-60","60+")))))</f>
        <v/>
      </c>
      <c r="K115" s="28">
        <f>IF($A115="","",IF($B115="","YETİM",IF(COUNTIF(tblKartlar[KartId],$B115)=0,"YETİM","")))</f>
        <v/>
      </c>
      <c r="L115" s="28">
        <f>IF($A115="","",IF($G115&gt;$D115+kad_mahsupTolerans,"AŞIM","UYGUN"))</f>
        <v/>
      </c>
    </row>
    <row r="116">
      <c r="A116" s="26" t="n"/>
      <c r="B116" s="26" t="n"/>
      <c r="C116" s="29" t="n"/>
      <c r="D116" s="27" t="n"/>
      <c r="E116" s="26" t="n"/>
      <c r="F116" s="26" t="n"/>
      <c r="G116" s="28">
        <f>IF($A116="","",SUMIFS(tblAkis[MahsupTutar],tblAkis[KaynakKartId],$B116,tblAkis[Durum],"MAHSUP"))</f>
        <v/>
      </c>
      <c r="H116" s="28">
        <f>IF($A116="","",MAX(0,$D116-$G116))</f>
        <v/>
      </c>
      <c r="I116" s="28">
        <f>IF($A116="","",IF($C116="","",raporTarihi-$C116))</f>
        <v/>
      </c>
      <c r="J116" s="28">
        <f>IF($A116="","",IF($I116="","",IF($I116&lt;=7,"0-7",IF($I116&lt;=30,"8-30",IF($I116&lt;=60,"31-60","60+")))))</f>
        <v/>
      </c>
      <c r="K116" s="28">
        <f>IF($A116="","",IF($B116="","YETİM",IF(COUNTIF(tblKartlar[KartId],$B116)=0,"YETİM","")))</f>
        <v/>
      </c>
      <c r="L116" s="28">
        <f>IF($A116="","",IF($G116&gt;$D116+kad_mahsupTolerans,"AŞIM","UYGUN"))</f>
        <v/>
      </c>
    </row>
    <row r="117">
      <c r="A117" s="26" t="n"/>
      <c r="B117" s="26" t="n"/>
      <c r="C117" s="29" t="n"/>
      <c r="D117" s="27" t="n"/>
      <c r="E117" s="26" t="n"/>
      <c r="F117" s="26" t="n"/>
      <c r="G117" s="28">
        <f>IF($A117="","",SUMIFS(tblAkis[MahsupTutar],tblAkis[KaynakKartId],$B117,tblAkis[Durum],"MAHSUP"))</f>
        <v/>
      </c>
      <c r="H117" s="28">
        <f>IF($A117="","",MAX(0,$D117-$G117))</f>
        <v/>
      </c>
      <c r="I117" s="28">
        <f>IF($A117="","",IF($C117="","",raporTarihi-$C117))</f>
        <v/>
      </c>
      <c r="J117" s="28">
        <f>IF($A117="","",IF($I117="","",IF($I117&lt;=7,"0-7",IF($I117&lt;=30,"8-30",IF($I117&lt;=60,"31-60","60+")))))</f>
        <v/>
      </c>
      <c r="K117" s="28">
        <f>IF($A117="","",IF($B117="","YETİM",IF(COUNTIF(tblKartlar[KartId],$B117)=0,"YETİM","")))</f>
        <v/>
      </c>
      <c r="L117" s="28">
        <f>IF($A117="","",IF($G117&gt;$D117+kad_mahsupTolerans,"AŞIM","UYGUN"))</f>
        <v/>
      </c>
    </row>
    <row r="118">
      <c r="A118" s="26" t="n"/>
      <c r="B118" s="26" t="n"/>
      <c r="C118" s="29" t="n"/>
      <c r="D118" s="27" t="n"/>
      <c r="E118" s="26" t="n"/>
      <c r="F118" s="26" t="n"/>
      <c r="G118" s="28">
        <f>IF($A118="","",SUMIFS(tblAkis[MahsupTutar],tblAkis[KaynakKartId],$B118,tblAkis[Durum],"MAHSUP"))</f>
        <v/>
      </c>
      <c r="H118" s="28">
        <f>IF($A118="","",MAX(0,$D118-$G118))</f>
        <v/>
      </c>
      <c r="I118" s="28">
        <f>IF($A118="","",IF($C118="","",raporTarihi-$C118))</f>
        <v/>
      </c>
      <c r="J118" s="28">
        <f>IF($A118="","",IF($I118="","",IF($I118&lt;=7,"0-7",IF($I118&lt;=30,"8-30",IF($I118&lt;=60,"31-60","60+")))))</f>
        <v/>
      </c>
      <c r="K118" s="28">
        <f>IF($A118="","",IF($B118="","YETİM",IF(COUNTIF(tblKartlar[KartId],$B118)=0,"YETİM","")))</f>
        <v/>
      </c>
      <c r="L118" s="28">
        <f>IF($A118="","",IF($G118&gt;$D118+kad_mahsupTolerans,"AŞIM","UYGUN"))</f>
        <v/>
      </c>
    </row>
    <row r="119">
      <c r="A119" s="26" t="n"/>
      <c r="B119" s="26" t="n"/>
      <c r="C119" s="29" t="n"/>
      <c r="D119" s="27" t="n"/>
      <c r="E119" s="26" t="n"/>
      <c r="F119" s="26" t="n"/>
      <c r="G119" s="28">
        <f>IF($A119="","",SUMIFS(tblAkis[MahsupTutar],tblAkis[KaynakKartId],$B119,tblAkis[Durum],"MAHSUP"))</f>
        <v/>
      </c>
      <c r="H119" s="28">
        <f>IF($A119="","",MAX(0,$D119-$G119))</f>
        <v/>
      </c>
      <c r="I119" s="28">
        <f>IF($A119="","",IF($C119="","",raporTarihi-$C119))</f>
        <v/>
      </c>
      <c r="J119" s="28">
        <f>IF($A119="","",IF($I119="","",IF($I119&lt;=7,"0-7",IF($I119&lt;=30,"8-30",IF($I119&lt;=60,"31-60","60+")))))</f>
        <v/>
      </c>
      <c r="K119" s="28">
        <f>IF($A119="","",IF($B119="","YETİM",IF(COUNTIF(tblKartlar[KartId],$B119)=0,"YETİM","")))</f>
        <v/>
      </c>
      <c r="L119" s="28">
        <f>IF($A119="","",IF($G119&gt;$D119+kad_mahsupTolerans,"AŞIM","UYGUN"))</f>
        <v/>
      </c>
    </row>
    <row r="120">
      <c r="A120" s="26" t="n"/>
      <c r="B120" s="26" t="n"/>
      <c r="C120" s="29" t="n"/>
      <c r="D120" s="27" t="n"/>
      <c r="E120" s="26" t="n"/>
      <c r="F120" s="26" t="n"/>
      <c r="G120" s="28">
        <f>IF($A120="","",SUMIFS(tblAkis[MahsupTutar],tblAkis[KaynakKartId],$B120,tblAkis[Durum],"MAHSUP"))</f>
        <v/>
      </c>
      <c r="H120" s="28">
        <f>IF($A120="","",MAX(0,$D120-$G120))</f>
        <v/>
      </c>
      <c r="I120" s="28">
        <f>IF($A120="","",IF($C120="","",raporTarihi-$C120))</f>
        <v/>
      </c>
      <c r="J120" s="28">
        <f>IF($A120="","",IF($I120="","",IF($I120&lt;=7,"0-7",IF($I120&lt;=30,"8-30",IF($I120&lt;=60,"31-60","60+")))))</f>
        <v/>
      </c>
      <c r="K120" s="28">
        <f>IF($A120="","",IF($B120="","YETİM",IF(COUNTIF(tblKartlar[KartId],$B120)=0,"YETİM","")))</f>
        <v/>
      </c>
      <c r="L120" s="28">
        <f>IF($A120="","",IF($G120&gt;$D120+kad_mahsupTolerans,"AŞIM","UYGUN"))</f>
        <v/>
      </c>
    </row>
    <row r="121">
      <c r="A121" s="26" t="n"/>
      <c r="B121" s="26" t="n"/>
      <c r="C121" s="29" t="n"/>
      <c r="D121" s="27" t="n"/>
      <c r="E121" s="26" t="n"/>
      <c r="F121" s="26" t="n"/>
      <c r="G121" s="28">
        <f>IF($A121="","",SUMIFS(tblAkis[MahsupTutar],tblAkis[KaynakKartId],$B121,tblAkis[Durum],"MAHSUP"))</f>
        <v/>
      </c>
      <c r="H121" s="28">
        <f>IF($A121="","",MAX(0,$D121-$G121))</f>
        <v/>
      </c>
      <c r="I121" s="28">
        <f>IF($A121="","",IF($C121="","",raporTarihi-$C121))</f>
        <v/>
      </c>
      <c r="J121" s="28">
        <f>IF($A121="","",IF($I121="","",IF($I121&lt;=7,"0-7",IF($I121&lt;=30,"8-30",IF($I121&lt;=60,"31-60","60+")))))</f>
        <v/>
      </c>
      <c r="K121" s="28">
        <f>IF($A121="","",IF($B121="","YETİM",IF(COUNTIF(tblKartlar[KartId],$B121)=0,"YETİM","")))</f>
        <v/>
      </c>
      <c r="L121" s="28">
        <f>IF($A121="","",IF($G121&gt;$D121+kad_mahsupTolerans,"AŞIM","UYGUN"))</f>
        <v/>
      </c>
    </row>
    <row r="122">
      <c r="A122" s="26" t="n"/>
      <c r="B122" s="26" t="n"/>
      <c r="C122" s="29" t="n"/>
      <c r="D122" s="27" t="n"/>
      <c r="E122" s="26" t="n"/>
      <c r="F122" s="26" t="n"/>
      <c r="G122" s="28">
        <f>IF($A122="","",SUMIFS(tblAkis[MahsupTutar],tblAkis[KaynakKartId],$B122,tblAkis[Durum],"MAHSUP"))</f>
        <v/>
      </c>
      <c r="H122" s="28">
        <f>IF($A122="","",MAX(0,$D122-$G122))</f>
        <v/>
      </c>
      <c r="I122" s="28">
        <f>IF($A122="","",IF($C122="","",raporTarihi-$C122))</f>
        <v/>
      </c>
      <c r="J122" s="28">
        <f>IF($A122="","",IF($I122="","",IF($I122&lt;=7,"0-7",IF($I122&lt;=30,"8-30",IF($I122&lt;=60,"31-60","60+")))))</f>
        <v/>
      </c>
      <c r="K122" s="28">
        <f>IF($A122="","",IF($B122="","YETİM",IF(COUNTIF(tblKartlar[KartId],$B122)=0,"YETİM","")))</f>
        <v/>
      </c>
      <c r="L122" s="28">
        <f>IF($A122="","",IF($G122&gt;$D122+kad_mahsupTolerans,"AŞIM","UYGUN"))</f>
        <v/>
      </c>
    </row>
    <row r="123">
      <c r="A123" s="26" t="n"/>
      <c r="B123" s="26" t="n"/>
      <c r="C123" s="29" t="n"/>
      <c r="D123" s="27" t="n"/>
      <c r="E123" s="26" t="n"/>
      <c r="F123" s="26" t="n"/>
      <c r="G123" s="28">
        <f>IF($A123="","",SUMIFS(tblAkis[MahsupTutar],tblAkis[KaynakKartId],$B123,tblAkis[Durum],"MAHSUP"))</f>
        <v/>
      </c>
      <c r="H123" s="28">
        <f>IF($A123="","",MAX(0,$D123-$G123))</f>
        <v/>
      </c>
      <c r="I123" s="28">
        <f>IF($A123="","",IF($C123="","",raporTarihi-$C123))</f>
        <v/>
      </c>
      <c r="J123" s="28">
        <f>IF($A123="","",IF($I123="","",IF($I123&lt;=7,"0-7",IF($I123&lt;=30,"8-30",IF($I123&lt;=60,"31-60","60+")))))</f>
        <v/>
      </c>
      <c r="K123" s="28">
        <f>IF($A123="","",IF($B123="","YETİM",IF(COUNTIF(tblKartlar[KartId],$B123)=0,"YETİM","")))</f>
        <v/>
      </c>
      <c r="L123" s="28">
        <f>IF($A123="","",IF($G123&gt;$D123+kad_mahsupTolerans,"AŞIM","UYGUN"))</f>
        <v/>
      </c>
    </row>
    <row r="124">
      <c r="A124" s="26" t="n"/>
      <c r="B124" s="26" t="n"/>
      <c r="C124" s="29" t="n"/>
      <c r="D124" s="27" t="n"/>
      <c r="E124" s="26" t="n"/>
      <c r="F124" s="26" t="n"/>
      <c r="G124" s="28">
        <f>IF($A124="","",SUMIFS(tblAkis[MahsupTutar],tblAkis[KaynakKartId],$B124,tblAkis[Durum],"MAHSUP"))</f>
        <v/>
      </c>
      <c r="H124" s="28">
        <f>IF($A124="","",MAX(0,$D124-$G124))</f>
        <v/>
      </c>
      <c r="I124" s="28">
        <f>IF($A124="","",IF($C124="","",raporTarihi-$C124))</f>
        <v/>
      </c>
      <c r="J124" s="28">
        <f>IF($A124="","",IF($I124="","",IF($I124&lt;=7,"0-7",IF($I124&lt;=30,"8-30",IF($I124&lt;=60,"31-60","60+")))))</f>
        <v/>
      </c>
      <c r="K124" s="28">
        <f>IF($A124="","",IF($B124="","YETİM",IF(COUNTIF(tblKartlar[KartId],$B124)=0,"YETİM","")))</f>
        <v/>
      </c>
      <c r="L124" s="28">
        <f>IF($A124="","",IF($G124&gt;$D124+kad_mahsupTolerans,"AŞIM","UYGUN"))</f>
        <v/>
      </c>
    </row>
    <row r="125">
      <c r="A125" s="26" t="n"/>
      <c r="B125" s="26" t="n"/>
      <c r="C125" s="29" t="n"/>
      <c r="D125" s="27" t="n"/>
      <c r="E125" s="26" t="n"/>
      <c r="F125" s="26" t="n"/>
      <c r="G125" s="28">
        <f>IF($A125="","",SUMIFS(tblAkis[MahsupTutar],tblAkis[KaynakKartId],$B125,tblAkis[Durum],"MAHSUP"))</f>
        <v/>
      </c>
      <c r="H125" s="28">
        <f>IF($A125="","",MAX(0,$D125-$G125))</f>
        <v/>
      </c>
      <c r="I125" s="28">
        <f>IF($A125="","",IF($C125="","",raporTarihi-$C125))</f>
        <v/>
      </c>
      <c r="J125" s="28">
        <f>IF($A125="","",IF($I125="","",IF($I125&lt;=7,"0-7",IF($I125&lt;=30,"8-30",IF($I125&lt;=60,"31-60","60+")))))</f>
        <v/>
      </c>
      <c r="K125" s="28">
        <f>IF($A125="","",IF($B125="","YETİM",IF(COUNTIF(tblKartlar[KartId],$B125)=0,"YETİM","")))</f>
        <v/>
      </c>
      <c r="L125" s="28">
        <f>IF($A125="","",IF($G125&gt;$D125+kad_mahsupTolerans,"AŞIM","UYGUN"))</f>
        <v/>
      </c>
    </row>
    <row r="126">
      <c r="A126" s="26" t="n"/>
      <c r="B126" s="26" t="n"/>
      <c r="C126" s="29" t="n"/>
      <c r="D126" s="27" t="n"/>
      <c r="E126" s="26" t="n"/>
      <c r="F126" s="26" t="n"/>
      <c r="G126" s="28">
        <f>IF($A126="","",SUMIFS(tblAkis[MahsupTutar],tblAkis[KaynakKartId],$B126,tblAkis[Durum],"MAHSUP"))</f>
        <v/>
      </c>
      <c r="H126" s="28">
        <f>IF($A126="","",MAX(0,$D126-$G126))</f>
        <v/>
      </c>
      <c r="I126" s="28">
        <f>IF($A126="","",IF($C126="","",raporTarihi-$C126))</f>
        <v/>
      </c>
      <c r="J126" s="28">
        <f>IF($A126="","",IF($I126="","",IF($I126&lt;=7,"0-7",IF($I126&lt;=30,"8-30",IF($I126&lt;=60,"31-60","60+")))))</f>
        <v/>
      </c>
      <c r="K126" s="28">
        <f>IF($A126="","",IF($B126="","YETİM",IF(COUNTIF(tblKartlar[KartId],$B126)=0,"YETİM","")))</f>
        <v/>
      </c>
      <c r="L126" s="28">
        <f>IF($A126="","",IF($G126&gt;$D126+kad_mahsupTolerans,"AŞIM","UYGUN"))</f>
        <v/>
      </c>
    </row>
    <row r="127">
      <c r="A127" s="26" t="n"/>
      <c r="B127" s="26" t="n"/>
      <c r="C127" s="29" t="n"/>
      <c r="D127" s="27" t="n"/>
      <c r="E127" s="26" t="n"/>
      <c r="F127" s="26" t="n"/>
      <c r="G127" s="28">
        <f>IF($A127="","",SUMIFS(tblAkis[MahsupTutar],tblAkis[KaynakKartId],$B127,tblAkis[Durum],"MAHSUP"))</f>
        <v/>
      </c>
      <c r="H127" s="28">
        <f>IF($A127="","",MAX(0,$D127-$G127))</f>
        <v/>
      </c>
      <c r="I127" s="28">
        <f>IF($A127="","",IF($C127="","",raporTarihi-$C127))</f>
        <v/>
      </c>
      <c r="J127" s="28">
        <f>IF($A127="","",IF($I127="","",IF($I127&lt;=7,"0-7",IF($I127&lt;=30,"8-30",IF($I127&lt;=60,"31-60","60+")))))</f>
        <v/>
      </c>
      <c r="K127" s="28">
        <f>IF($A127="","",IF($B127="","YETİM",IF(COUNTIF(tblKartlar[KartId],$B127)=0,"YETİM","")))</f>
        <v/>
      </c>
      <c r="L127" s="28">
        <f>IF($A127="","",IF($G127&gt;$D127+kad_mahsupTolerans,"AŞIM","UYGUN"))</f>
        <v/>
      </c>
    </row>
    <row r="128">
      <c r="A128" s="26" t="n"/>
      <c r="B128" s="26" t="n"/>
      <c r="C128" s="29" t="n"/>
      <c r="D128" s="27" t="n"/>
      <c r="E128" s="26" t="n"/>
      <c r="F128" s="26" t="n"/>
      <c r="G128" s="28">
        <f>IF($A128="","",SUMIFS(tblAkis[MahsupTutar],tblAkis[KaynakKartId],$B128,tblAkis[Durum],"MAHSUP"))</f>
        <v/>
      </c>
      <c r="H128" s="28">
        <f>IF($A128="","",MAX(0,$D128-$G128))</f>
        <v/>
      </c>
      <c r="I128" s="28">
        <f>IF($A128="","",IF($C128="","",raporTarihi-$C128))</f>
        <v/>
      </c>
      <c r="J128" s="28">
        <f>IF($A128="","",IF($I128="","",IF($I128&lt;=7,"0-7",IF($I128&lt;=30,"8-30",IF($I128&lt;=60,"31-60","60+")))))</f>
        <v/>
      </c>
      <c r="K128" s="28">
        <f>IF($A128="","",IF($B128="","YETİM",IF(COUNTIF(tblKartlar[KartId],$B128)=0,"YETİM","")))</f>
        <v/>
      </c>
      <c r="L128" s="28">
        <f>IF($A128="","",IF($G128&gt;$D128+kad_mahsupTolerans,"AŞIM","UYGUN"))</f>
        <v/>
      </c>
    </row>
    <row r="129">
      <c r="A129" s="26" t="n"/>
      <c r="B129" s="26" t="n"/>
      <c r="C129" s="29" t="n"/>
      <c r="D129" s="27" t="n"/>
      <c r="E129" s="26" t="n"/>
      <c r="F129" s="26" t="n"/>
      <c r="G129" s="28">
        <f>IF($A129="","",SUMIFS(tblAkis[MahsupTutar],tblAkis[KaynakKartId],$B129,tblAkis[Durum],"MAHSUP"))</f>
        <v/>
      </c>
      <c r="H129" s="28">
        <f>IF($A129="","",MAX(0,$D129-$G129))</f>
        <v/>
      </c>
      <c r="I129" s="28">
        <f>IF($A129="","",IF($C129="","",raporTarihi-$C129))</f>
        <v/>
      </c>
      <c r="J129" s="28">
        <f>IF($A129="","",IF($I129="","",IF($I129&lt;=7,"0-7",IF($I129&lt;=30,"8-30",IF($I129&lt;=60,"31-60","60+")))))</f>
        <v/>
      </c>
      <c r="K129" s="28">
        <f>IF($A129="","",IF($B129="","YETİM",IF(COUNTIF(tblKartlar[KartId],$B129)=0,"YETİM","")))</f>
        <v/>
      </c>
      <c r="L129" s="28">
        <f>IF($A129="","",IF($G129&gt;$D129+kad_mahsupTolerans,"AŞIM","UYGUN"))</f>
        <v/>
      </c>
    </row>
    <row r="130">
      <c r="A130" s="26" t="n"/>
      <c r="B130" s="26" t="n"/>
      <c r="C130" s="29" t="n"/>
      <c r="D130" s="27" t="n"/>
      <c r="E130" s="26" t="n"/>
      <c r="F130" s="26" t="n"/>
      <c r="G130" s="28">
        <f>IF($A130="","",SUMIFS(tblAkis[MahsupTutar],tblAkis[KaynakKartId],$B130,tblAkis[Durum],"MAHSUP"))</f>
        <v/>
      </c>
      <c r="H130" s="28">
        <f>IF($A130="","",MAX(0,$D130-$G130))</f>
        <v/>
      </c>
      <c r="I130" s="28">
        <f>IF($A130="","",IF($C130="","",raporTarihi-$C130))</f>
        <v/>
      </c>
      <c r="J130" s="28">
        <f>IF($A130="","",IF($I130="","",IF($I130&lt;=7,"0-7",IF($I130&lt;=30,"8-30",IF($I130&lt;=60,"31-60","60+")))))</f>
        <v/>
      </c>
      <c r="K130" s="28">
        <f>IF($A130="","",IF($B130="","YETİM",IF(COUNTIF(tblKartlar[KartId],$B130)=0,"YETİM","")))</f>
        <v/>
      </c>
      <c r="L130" s="28">
        <f>IF($A130="","",IF($G130&gt;$D130+kad_mahsupTolerans,"AŞIM","UYGUN"))</f>
        <v/>
      </c>
    </row>
    <row r="131">
      <c r="A131" s="26" t="n"/>
      <c r="B131" s="26" t="n"/>
      <c r="C131" s="29" t="n"/>
      <c r="D131" s="27" t="n"/>
      <c r="E131" s="26" t="n"/>
      <c r="F131" s="26" t="n"/>
      <c r="G131" s="28">
        <f>IF($A131="","",SUMIFS(tblAkis[MahsupTutar],tblAkis[KaynakKartId],$B131,tblAkis[Durum],"MAHSUP"))</f>
        <v/>
      </c>
      <c r="H131" s="28">
        <f>IF($A131="","",MAX(0,$D131-$G131))</f>
        <v/>
      </c>
      <c r="I131" s="28">
        <f>IF($A131="","",IF($C131="","",raporTarihi-$C131))</f>
        <v/>
      </c>
      <c r="J131" s="28">
        <f>IF($A131="","",IF($I131="","",IF($I131&lt;=7,"0-7",IF($I131&lt;=30,"8-30",IF($I131&lt;=60,"31-60","60+")))))</f>
        <v/>
      </c>
      <c r="K131" s="28">
        <f>IF($A131="","",IF($B131="","YETİM",IF(COUNTIF(tblKartlar[KartId],$B131)=0,"YETİM","")))</f>
        <v/>
      </c>
      <c r="L131" s="28">
        <f>IF($A131="","",IF($G131&gt;$D131+kad_mahsupTolerans,"AŞIM","UYGUN"))</f>
        <v/>
      </c>
    </row>
    <row r="132">
      <c r="A132" s="26" t="n"/>
      <c r="B132" s="26" t="n"/>
      <c r="C132" s="29" t="n"/>
      <c r="D132" s="27" t="n"/>
      <c r="E132" s="26" t="n"/>
      <c r="F132" s="26" t="n"/>
      <c r="G132" s="28">
        <f>IF($A132="","",SUMIFS(tblAkis[MahsupTutar],tblAkis[KaynakKartId],$B132,tblAkis[Durum],"MAHSUP"))</f>
        <v/>
      </c>
      <c r="H132" s="28">
        <f>IF($A132="","",MAX(0,$D132-$G132))</f>
        <v/>
      </c>
      <c r="I132" s="28">
        <f>IF($A132="","",IF($C132="","",raporTarihi-$C132))</f>
        <v/>
      </c>
      <c r="J132" s="28">
        <f>IF($A132="","",IF($I132="","",IF($I132&lt;=7,"0-7",IF($I132&lt;=30,"8-30",IF($I132&lt;=60,"31-60","60+")))))</f>
        <v/>
      </c>
      <c r="K132" s="28">
        <f>IF($A132="","",IF($B132="","YETİM",IF(COUNTIF(tblKartlar[KartId],$B132)=0,"YETİM","")))</f>
        <v/>
      </c>
      <c r="L132" s="28">
        <f>IF($A132="","",IF($G132&gt;$D132+kad_mahsupTolerans,"AŞIM","UYGUN"))</f>
        <v/>
      </c>
    </row>
    <row r="133">
      <c r="A133" s="26" t="n"/>
      <c r="B133" s="26" t="n"/>
      <c r="C133" s="29" t="n"/>
      <c r="D133" s="27" t="n"/>
      <c r="E133" s="26" t="n"/>
      <c r="F133" s="26" t="n"/>
      <c r="G133" s="28">
        <f>IF($A133="","",SUMIFS(tblAkis[MahsupTutar],tblAkis[KaynakKartId],$B133,tblAkis[Durum],"MAHSUP"))</f>
        <v/>
      </c>
      <c r="H133" s="28">
        <f>IF($A133="","",MAX(0,$D133-$G133))</f>
        <v/>
      </c>
      <c r="I133" s="28">
        <f>IF($A133="","",IF($C133="","",raporTarihi-$C133))</f>
        <v/>
      </c>
      <c r="J133" s="28">
        <f>IF($A133="","",IF($I133="","",IF($I133&lt;=7,"0-7",IF($I133&lt;=30,"8-30",IF($I133&lt;=60,"31-60","60+")))))</f>
        <v/>
      </c>
      <c r="K133" s="28">
        <f>IF($A133="","",IF($B133="","YETİM",IF(COUNTIF(tblKartlar[KartId],$B133)=0,"YETİM","")))</f>
        <v/>
      </c>
      <c r="L133" s="28">
        <f>IF($A133="","",IF($G133&gt;$D133+kad_mahsupTolerans,"AŞIM","UYGUN"))</f>
        <v/>
      </c>
    </row>
    <row r="134">
      <c r="A134" s="26" t="n"/>
      <c r="B134" s="26" t="n"/>
      <c r="C134" s="29" t="n"/>
      <c r="D134" s="27" t="n"/>
      <c r="E134" s="26" t="n"/>
      <c r="F134" s="26" t="n"/>
      <c r="G134" s="28">
        <f>IF($A134="","",SUMIFS(tblAkis[MahsupTutar],tblAkis[KaynakKartId],$B134,tblAkis[Durum],"MAHSUP"))</f>
        <v/>
      </c>
      <c r="H134" s="28">
        <f>IF($A134="","",MAX(0,$D134-$G134))</f>
        <v/>
      </c>
      <c r="I134" s="28">
        <f>IF($A134="","",IF($C134="","",raporTarihi-$C134))</f>
        <v/>
      </c>
      <c r="J134" s="28">
        <f>IF($A134="","",IF($I134="","",IF($I134&lt;=7,"0-7",IF($I134&lt;=30,"8-30",IF($I134&lt;=60,"31-60","60+")))))</f>
        <v/>
      </c>
      <c r="K134" s="28">
        <f>IF($A134="","",IF($B134="","YETİM",IF(COUNTIF(tblKartlar[KartId],$B134)=0,"YETİM","")))</f>
        <v/>
      </c>
      <c r="L134" s="28">
        <f>IF($A134="","",IF($G134&gt;$D134+kad_mahsupTolerans,"AŞIM","UYGUN"))</f>
        <v/>
      </c>
    </row>
    <row r="135">
      <c r="A135" s="26" t="n"/>
      <c r="B135" s="26" t="n"/>
      <c r="C135" s="29" t="n"/>
      <c r="D135" s="27" t="n"/>
      <c r="E135" s="26" t="n"/>
      <c r="F135" s="26" t="n"/>
      <c r="G135" s="28">
        <f>IF($A135="","",SUMIFS(tblAkis[MahsupTutar],tblAkis[KaynakKartId],$B135,tblAkis[Durum],"MAHSUP"))</f>
        <v/>
      </c>
      <c r="H135" s="28">
        <f>IF($A135="","",MAX(0,$D135-$G135))</f>
        <v/>
      </c>
      <c r="I135" s="28">
        <f>IF($A135="","",IF($C135="","",raporTarihi-$C135))</f>
        <v/>
      </c>
      <c r="J135" s="28">
        <f>IF($A135="","",IF($I135="","",IF($I135&lt;=7,"0-7",IF($I135&lt;=30,"8-30",IF($I135&lt;=60,"31-60","60+")))))</f>
        <v/>
      </c>
      <c r="K135" s="28">
        <f>IF($A135="","",IF($B135="","YETİM",IF(COUNTIF(tblKartlar[KartId],$B135)=0,"YETİM","")))</f>
        <v/>
      </c>
      <c r="L135" s="28">
        <f>IF($A135="","",IF($G135&gt;$D135+kad_mahsupTolerans,"AŞIM","UYGUN"))</f>
        <v/>
      </c>
    </row>
    <row r="136">
      <c r="A136" s="26" t="n"/>
      <c r="B136" s="26" t="n"/>
      <c r="C136" s="29" t="n"/>
      <c r="D136" s="27" t="n"/>
      <c r="E136" s="26" t="n"/>
      <c r="F136" s="26" t="n"/>
      <c r="G136" s="28">
        <f>IF($A136="","",SUMIFS(tblAkis[MahsupTutar],tblAkis[KaynakKartId],$B136,tblAkis[Durum],"MAHSUP"))</f>
        <v/>
      </c>
      <c r="H136" s="28">
        <f>IF($A136="","",MAX(0,$D136-$G136))</f>
        <v/>
      </c>
      <c r="I136" s="28">
        <f>IF($A136="","",IF($C136="","",raporTarihi-$C136))</f>
        <v/>
      </c>
      <c r="J136" s="28">
        <f>IF($A136="","",IF($I136="","",IF($I136&lt;=7,"0-7",IF($I136&lt;=30,"8-30",IF($I136&lt;=60,"31-60","60+")))))</f>
        <v/>
      </c>
      <c r="K136" s="28">
        <f>IF($A136="","",IF($B136="","YETİM",IF(COUNTIF(tblKartlar[KartId],$B136)=0,"YETİM","")))</f>
        <v/>
      </c>
      <c r="L136" s="28">
        <f>IF($A136="","",IF($G136&gt;$D136+kad_mahsupTolerans,"AŞIM","UYGUN"))</f>
        <v/>
      </c>
    </row>
    <row r="137">
      <c r="A137" s="26" t="n"/>
      <c r="B137" s="26" t="n"/>
      <c r="C137" s="29" t="n"/>
      <c r="D137" s="27" t="n"/>
      <c r="E137" s="26" t="n"/>
      <c r="F137" s="26" t="n"/>
      <c r="G137" s="28">
        <f>IF($A137="","",SUMIFS(tblAkis[MahsupTutar],tblAkis[KaynakKartId],$B137,tblAkis[Durum],"MAHSUP"))</f>
        <v/>
      </c>
      <c r="H137" s="28">
        <f>IF($A137="","",MAX(0,$D137-$G137))</f>
        <v/>
      </c>
      <c r="I137" s="28">
        <f>IF($A137="","",IF($C137="","",raporTarihi-$C137))</f>
        <v/>
      </c>
      <c r="J137" s="28">
        <f>IF($A137="","",IF($I137="","",IF($I137&lt;=7,"0-7",IF($I137&lt;=30,"8-30",IF($I137&lt;=60,"31-60","60+")))))</f>
        <v/>
      </c>
      <c r="K137" s="28">
        <f>IF($A137="","",IF($B137="","YETİM",IF(COUNTIF(tblKartlar[KartId],$B137)=0,"YETİM","")))</f>
        <v/>
      </c>
      <c r="L137" s="28">
        <f>IF($A137="","",IF($G137&gt;$D137+kad_mahsupTolerans,"AŞIM","UYGUN"))</f>
        <v/>
      </c>
    </row>
    <row r="138">
      <c r="A138" s="26" t="n"/>
      <c r="B138" s="26" t="n"/>
      <c r="C138" s="29" t="n"/>
      <c r="D138" s="27" t="n"/>
      <c r="E138" s="26" t="n"/>
      <c r="F138" s="26" t="n"/>
      <c r="G138" s="28">
        <f>IF($A138="","",SUMIFS(tblAkis[MahsupTutar],tblAkis[KaynakKartId],$B138,tblAkis[Durum],"MAHSUP"))</f>
        <v/>
      </c>
      <c r="H138" s="28">
        <f>IF($A138="","",MAX(0,$D138-$G138))</f>
        <v/>
      </c>
      <c r="I138" s="28">
        <f>IF($A138="","",IF($C138="","",raporTarihi-$C138))</f>
        <v/>
      </c>
      <c r="J138" s="28">
        <f>IF($A138="","",IF($I138="","",IF($I138&lt;=7,"0-7",IF($I138&lt;=30,"8-30",IF($I138&lt;=60,"31-60","60+")))))</f>
        <v/>
      </c>
      <c r="K138" s="28">
        <f>IF($A138="","",IF($B138="","YETİM",IF(COUNTIF(tblKartlar[KartId],$B138)=0,"YETİM","")))</f>
        <v/>
      </c>
      <c r="L138" s="28">
        <f>IF($A138="","",IF($G138&gt;$D138+kad_mahsupTolerans,"AŞIM","UYGUN"))</f>
        <v/>
      </c>
    </row>
    <row r="139">
      <c r="A139" s="26" t="n"/>
      <c r="B139" s="26" t="n"/>
      <c r="C139" s="29" t="n"/>
      <c r="D139" s="27" t="n"/>
      <c r="E139" s="26" t="n"/>
      <c r="F139" s="26" t="n"/>
      <c r="G139" s="28">
        <f>IF($A139="","",SUMIFS(tblAkis[MahsupTutar],tblAkis[KaynakKartId],$B139,tblAkis[Durum],"MAHSUP"))</f>
        <v/>
      </c>
      <c r="H139" s="28">
        <f>IF($A139="","",MAX(0,$D139-$G139))</f>
        <v/>
      </c>
      <c r="I139" s="28">
        <f>IF($A139="","",IF($C139="","",raporTarihi-$C139))</f>
        <v/>
      </c>
      <c r="J139" s="28">
        <f>IF($A139="","",IF($I139="","",IF($I139&lt;=7,"0-7",IF($I139&lt;=30,"8-30",IF($I139&lt;=60,"31-60","60+")))))</f>
        <v/>
      </c>
      <c r="K139" s="28">
        <f>IF($A139="","",IF($B139="","YETİM",IF(COUNTIF(tblKartlar[KartId],$B139)=0,"YETİM","")))</f>
        <v/>
      </c>
      <c r="L139" s="28">
        <f>IF($A139="","",IF($G139&gt;$D139+kad_mahsupTolerans,"AŞIM","UYGUN"))</f>
        <v/>
      </c>
    </row>
    <row r="140">
      <c r="A140" s="26" t="n"/>
      <c r="B140" s="26" t="n"/>
      <c r="C140" s="29" t="n"/>
      <c r="D140" s="27" t="n"/>
      <c r="E140" s="26" t="n"/>
      <c r="F140" s="26" t="n"/>
      <c r="G140" s="28">
        <f>IF($A140="","",SUMIFS(tblAkis[MahsupTutar],tblAkis[KaynakKartId],$B140,tblAkis[Durum],"MAHSUP"))</f>
        <v/>
      </c>
      <c r="H140" s="28">
        <f>IF($A140="","",MAX(0,$D140-$G140))</f>
        <v/>
      </c>
      <c r="I140" s="28">
        <f>IF($A140="","",IF($C140="","",raporTarihi-$C140))</f>
        <v/>
      </c>
      <c r="J140" s="28">
        <f>IF($A140="","",IF($I140="","",IF($I140&lt;=7,"0-7",IF($I140&lt;=30,"8-30",IF($I140&lt;=60,"31-60","60+")))))</f>
        <v/>
      </c>
      <c r="K140" s="28">
        <f>IF($A140="","",IF($B140="","YETİM",IF(COUNTIF(tblKartlar[KartId],$B140)=0,"YETİM","")))</f>
        <v/>
      </c>
      <c r="L140" s="28">
        <f>IF($A140="","",IF($G140&gt;$D140+kad_mahsupTolerans,"AŞIM","UYGUN"))</f>
        <v/>
      </c>
    </row>
    <row r="141">
      <c r="A141" s="26" t="n"/>
      <c r="B141" s="26" t="n"/>
      <c r="C141" s="29" t="n"/>
      <c r="D141" s="27" t="n"/>
      <c r="E141" s="26" t="n"/>
      <c r="F141" s="26" t="n"/>
      <c r="G141" s="28">
        <f>IF($A141="","",SUMIFS(tblAkis[MahsupTutar],tblAkis[KaynakKartId],$B141,tblAkis[Durum],"MAHSUP"))</f>
        <v/>
      </c>
      <c r="H141" s="28">
        <f>IF($A141="","",MAX(0,$D141-$G141))</f>
        <v/>
      </c>
      <c r="I141" s="28">
        <f>IF($A141="","",IF($C141="","",raporTarihi-$C141))</f>
        <v/>
      </c>
      <c r="J141" s="28">
        <f>IF($A141="","",IF($I141="","",IF($I141&lt;=7,"0-7",IF($I141&lt;=30,"8-30",IF($I141&lt;=60,"31-60","60+")))))</f>
        <v/>
      </c>
      <c r="K141" s="28">
        <f>IF($A141="","",IF($B141="","YETİM",IF(COUNTIF(tblKartlar[KartId],$B141)=0,"YETİM","")))</f>
        <v/>
      </c>
      <c r="L141" s="28">
        <f>IF($A141="","",IF($G141&gt;$D141+kad_mahsupTolerans,"AŞIM","UYGUN"))</f>
        <v/>
      </c>
    </row>
    <row r="142">
      <c r="A142" s="26" t="n"/>
      <c r="B142" s="26" t="n"/>
      <c r="C142" s="29" t="n"/>
      <c r="D142" s="27" t="n"/>
      <c r="E142" s="26" t="n"/>
      <c r="F142" s="26" t="n"/>
      <c r="G142" s="28">
        <f>IF($A142="","",SUMIFS(tblAkis[MahsupTutar],tblAkis[KaynakKartId],$B142,tblAkis[Durum],"MAHSUP"))</f>
        <v/>
      </c>
      <c r="H142" s="28">
        <f>IF($A142="","",MAX(0,$D142-$G142))</f>
        <v/>
      </c>
      <c r="I142" s="28">
        <f>IF($A142="","",IF($C142="","",raporTarihi-$C142))</f>
        <v/>
      </c>
      <c r="J142" s="28">
        <f>IF($A142="","",IF($I142="","",IF($I142&lt;=7,"0-7",IF($I142&lt;=30,"8-30",IF($I142&lt;=60,"31-60","60+")))))</f>
        <v/>
      </c>
      <c r="K142" s="28">
        <f>IF($A142="","",IF($B142="","YETİM",IF(COUNTIF(tblKartlar[KartId],$B142)=0,"YETİM","")))</f>
        <v/>
      </c>
      <c r="L142" s="28">
        <f>IF($A142="","",IF($G142&gt;$D142+kad_mahsupTolerans,"AŞIM","UYGUN"))</f>
        <v/>
      </c>
    </row>
    <row r="143">
      <c r="A143" s="26" t="n"/>
      <c r="B143" s="26" t="n"/>
      <c r="C143" s="29" t="n"/>
      <c r="D143" s="27" t="n"/>
      <c r="E143" s="26" t="n"/>
      <c r="F143" s="26" t="n"/>
      <c r="G143" s="28">
        <f>IF($A143="","",SUMIFS(tblAkis[MahsupTutar],tblAkis[KaynakKartId],$B143,tblAkis[Durum],"MAHSUP"))</f>
        <v/>
      </c>
      <c r="H143" s="28">
        <f>IF($A143="","",MAX(0,$D143-$G143))</f>
        <v/>
      </c>
      <c r="I143" s="28">
        <f>IF($A143="","",IF($C143="","",raporTarihi-$C143))</f>
        <v/>
      </c>
      <c r="J143" s="28">
        <f>IF($A143="","",IF($I143="","",IF($I143&lt;=7,"0-7",IF($I143&lt;=30,"8-30",IF($I143&lt;=60,"31-60","60+")))))</f>
        <v/>
      </c>
      <c r="K143" s="28">
        <f>IF($A143="","",IF($B143="","YETİM",IF(COUNTIF(tblKartlar[KartId],$B143)=0,"YETİM","")))</f>
        <v/>
      </c>
      <c r="L143" s="28">
        <f>IF($A143="","",IF($G143&gt;$D143+kad_mahsupTolerans,"AŞIM","UYGUN"))</f>
        <v/>
      </c>
    </row>
    <row r="144">
      <c r="A144" s="26" t="n"/>
      <c r="B144" s="26" t="n"/>
      <c r="C144" s="29" t="n"/>
      <c r="D144" s="27" t="n"/>
      <c r="E144" s="26" t="n"/>
      <c r="F144" s="26" t="n"/>
      <c r="G144" s="28">
        <f>IF($A144="","",SUMIFS(tblAkis[MahsupTutar],tblAkis[KaynakKartId],$B144,tblAkis[Durum],"MAHSUP"))</f>
        <v/>
      </c>
      <c r="H144" s="28">
        <f>IF($A144="","",MAX(0,$D144-$G144))</f>
        <v/>
      </c>
      <c r="I144" s="28">
        <f>IF($A144="","",IF($C144="","",raporTarihi-$C144))</f>
        <v/>
      </c>
      <c r="J144" s="28">
        <f>IF($A144="","",IF($I144="","",IF($I144&lt;=7,"0-7",IF($I144&lt;=30,"8-30",IF($I144&lt;=60,"31-60","60+")))))</f>
        <v/>
      </c>
      <c r="K144" s="28">
        <f>IF($A144="","",IF($B144="","YETİM",IF(COUNTIF(tblKartlar[KartId],$B144)=0,"YETİM","")))</f>
        <v/>
      </c>
      <c r="L144" s="28">
        <f>IF($A144="","",IF($G144&gt;$D144+kad_mahsupTolerans,"AŞIM","UYGUN"))</f>
        <v/>
      </c>
    </row>
    <row r="145">
      <c r="A145" s="26" t="n"/>
      <c r="B145" s="26" t="n"/>
      <c r="C145" s="29" t="n"/>
      <c r="D145" s="27" t="n"/>
      <c r="E145" s="26" t="n"/>
      <c r="F145" s="26" t="n"/>
      <c r="G145" s="28">
        <f>IF($A145="","",SUMIFS(tblAkis[MahsupTutar],tblAkis[KaynakKartId],$B145,tblAkis[Durum],"MAHSUP"))</f>
        <v/>
      </c>
      <c r="H145" s="28">
        <f>IF($A145="","",MAX(0,$D145-$G145))</f>
        <v/>
      </c>
      <c r="I145" s="28">
        <f>IF($A145="","",IF($C145="","",raporTarihi-$C145))</f>
        <v/>
      </c>
      <c r="J145" s="28">
        <f>IF($A145="","",IF($I145="","",IF($I145&lt;=7,"0-7",IF($I145&lt;=30,"8-30",IF($I145&lt;=60,"31-60","60+")))))</f>
        <v/>
      </c>
      <c r="K145" s="28">
        <f>IF($A145="","",IF($B145="","YETİM",IF(COUNTIF(tblKartlar[KartId],$B145)=0,"YETİM","")))</f>
        <v/>
      </c>
      <c r="L145" s="28">
        <f>IF($A145="","",IF($G145&gt;$D145+kad_mahsupTolerans,"AŞIM","UYGUN"))</f>
        <v/>
      </c>
    </row>
    <row r="146">
      <c r="A146" s="26" t="n"/>
      <c r="B146" s="26" t="n"/>
      <c r="C146" s="29" t="n"/>
      <c r="D146" s="27" t="n"/>
      <c r="E146" s="26" t="n"/>
      <c r="F146" s="26" t="n"/>
      <c r="G146" s="28">
        <f>IF($A146="","",SUMIFS(tblAkis[MahsupTutar],tblAkis[KaynakKartId],$B146,tblAkis[Durum],"MAHSUP"))</f>
        <v/>
      </c>
      <c r="H146" s="28">
        <f>IF($A146="","",MAX(0,$D146-$G146))</f>
        <v/>
      </c>
      <c r="I146" s="28">
        <f>IF($A146="","",IF($C146="","",raporTarihi-$C146))</f>
        <v/>
      </c>
      <c r="J146" s="28">
        <f>IF($A146="","",IF($I146="","",IF($I146&lt;=7,"0-7",IF($I146&lt;=30,"8-30",IF($I146&lt;=60,"31-60","60+")))))</f>
        <v/>
      </c>
      <c r="K146" s="28">
        <f>IF($A146="","",IF($B146="","YETİM",IF(COUNTIF(tblKartlar[KartId],$B146)=0,"YETİM","")))</f>
        <v/>
      </c>
      <c r="L146" s="28">
        <f>IF($A146="","",IF($G146&gt;$D146+kad_mahsupTolerans,"AŞIM","UYGUN"))</f>
        <v/>
      </c>
    </row>
    <row r="147">
      <c r="A147" s="26" t="n"/>
      <c r="B147" s="26" t="n"/>
      <c r="C147" s="29" t="n"/>
      <c r="D147" s="27" t="n"/>
      <c r="E147" s="26" t="n"/>
      <c r="F147" s="26" t="n"/>
      <c r="G147" s="28">
        <f>IF($A147="","",SUMIFS(tblAkis[MahsupTutar],tblAkis[KaynakKartId],$B147,tblAkis[Durum],"MAHSUP"))</f>
        <v/>
      </c>
      <c r="H147" s="28">
        <f>IF($A147="","",MAX(0,$D147-$G147))</f>
        <v/>
      </c>
      <c r="I147" s="28">
        <f>IF($A147="","",IF($C147="","",raporTarihi-$C147))</f>
        <v/>
      </c>
      <c r="J147" s="28">
        <f>IF($A147="","",IF($I147="","",IF($I147&lt;=7,"0-7",IF($I147&lt;=30,"8-30",IF($I147&lt;=60,"31-60","60+")))))</f>
        <v/>
      </c>
      <c r="K147" s="28">
        <f>IF($A147="","",IF($B147="","YETİM",IF(COUNTIF(tblKartlar[KartId],$B147)=0,"YETİM","")))</f>
        <v/>
      </c>
      <c r="L147" s="28">
        <f>IF($A147="","",IF($G147&gt;$D147+kad_mahsupTolerans,"AŞIM","UYGUN"))</f>
        <v/>
      </c>
    </row>
    <row r="148">
      <c r="A148" s="26" t="n"/>
      <c r="B148" s="26" t="n"/>
      <c r="C148" s="29" t="n"/>
      <c r="D148" s="27" t="n"/>
      <c r="E148" s="26" t="n"/>
      <c r="F148" s="26" t="n"/>
      <c r="G148" s="28">
        <f>IF($A148="","",SUMIFS(tblAkis[MahsupTutar],tblAkis[KaynakKartId],$B148,tblAkis[Durum],"MAHSUP"))</f>
        <v/>
      </c>
      <c r="H148" s="28">
        <f>IF($A148="","",MAX(0,$D148-$G148))</f>
        <v/>
      </c>
      <c r="I148" s="28">
        <f>IF($A148="","",IF($C148="","",raporTarihi-$C148))</f>
        <v/>
      </c>
      <c r="J148" s="28">
        <f>IF($A148="","",IF($I148="","",IF($I148&lt;=7,"0-7",IF($I148&lt;=30,"8-30",IF($I148&lt;=60,"31-60","60+")))))</f>
        <v/>
      </c>
      <c r="K148" s="28">
        <f>IF($A148="","",IF($B148="","YETİM",IF(COUNTIF(tblKartlar[KartId],$B148)=0,"YETİM","")))</f>
        <v/>
      </c>
      <c r="L148" s="28">
        <f>IF($A148="","",IF($G148&gt;$D148+kad_mahsupTolerans,"AŞIM","UYGUN"))</f>
        <v/>
      </c>
    </row>
    <row r="149">
      <c r="A149" s="26" t="n"/>
      <c r="B149" s="26" t="n"/>
      <c r="C149" s="29" t="n"/>
      <c r="D149" s="27" t="n"/>
      <c r="E149" s="26" t="n"/>
      <c r="F149" s="26" t="n"/>
      <c r="G149" s="28">
        <f>IF($A149="","",SUMIFS(tblAkis[MahsupTutar],tblAkis[KaynakKartId],$B149,tblAkis[Durum],"MAHSUP"))</f>
        <v/>
      </c>
      <c r="H149" s="28">
        <f>IF($A149="","",MAX(0,$D149-$G149))</f>
        <v/>
      </c>
      <c r="I149" s="28">
        <f>IF($A149="","",IF($C149="","",raporTarihi-$C149))</f>
        <v/>
      </c>
      <c r="J149" s="28">
        <f>IF($A149="","",IF($I149="","",IF($I149&lt;=7,"0-7",IF($I149&lt;=30,"8-30",IF($I149&lt;=60,"31-60","60+")))))</f>
        <v/>
      </c>
      <c r="K149" s="28">
        <f>IF($A149="","",IF($B149="","YETİM",IF(COUNTIF(tblKartlar[KartId],$B149)=0,"YETİM","")))</f>
        <v/>
      </c>
      <c r="L149" s="28">
        <f>IF($A149="","",IF($G149&gt;$D149+kad_mahsupTolerans,"AŞIM","UYGUN"))</f>
        <v/>
      </c>
    </row>
    <row r="150">
      <c r="A150" s="26" t="n"/>
      <c r="B150" s="26" t="n"/>
      <c r="C150" s="29" t="n"/>
      <c r="D150" s="27" t="n"/>
      <c r="E150" s="26" t="n"/>
      <c r="F150" s="26" t="n"/>
      <c r="G150" s="28">
        <f>IF($A150="","",SUMIFS(tblAkis[MahsupTutar],tblAkis[KaynakKartId],$B150,tblAkis[Durum],"MAHSUP"))</f>
        <v/>
      </c>
      <c r="H150" s="28">
        <f>IF($A150="","",MAX(0,$D150-$G150))</f>
        <v/>
      </c>
      <c r="I150" s="28">
        <f>IF($A150="","",IF($C150="","",raporTarihi-$C150))</f>
        <v/>
      </c>
      <c r="J150" s="28">
        <f>IF($A150="","",IF($I150="","",IF($I150&lt;=7,"0-7",IF($I150&lt;=30,"8-30",IF($I150&lt;=60,"31-60","60+")))))</f>
        <v/>
      </c>
      <c r="K150" s="28">
        <f>IF($A150="","",IF($B150="","YETİM",IF(COUNTIF(tblKartlar[KartId],$B150)=0,"YETİM","")))</f>
        <v/>
      </c>
      <c r="L150" s="28">
        <f>IF($A150="","",IF($G150&gt;$D150+kad_mahsupTolerans,"AŞIM","UYGUN"))</f>
        <v/>
      </c>
    </row>
    <row r="151">
      <c r="A151" s="26" t="n"/>
      <c r="B151" s="26" t="n"/>
      <c r="C151" s="29" t="n"/>
      <c r="D151" s="27" t="n"/>
      <c r="E151" s="26" t="n"/>
      <c r="F151" s="26" t="n"/>
      <c r="G151" s="28">
        <f>IF($A151="","",SUMIFS(tblAkis[MahsupTutar],tblAkis[KaynakKartId],$B151,tblAkis[Durum],"MAHSUP"))</f>
        <v/>
      </c>
      <c r="H151" s="28">
        <f>IF($A151="","",MAX(0,$D151-$G151))</f>
        <v/>
      </c>
      <c r="I151" s="28">
        <f>IF($A151="","",IF($C151="","",raporTarihi-$C151))</f>
        <v/>
      </c>
      <c r="J151" s="28">
        <f>IF($A151="","",IF($I151="","",IF($I151&lt;=7,"0-7",IF($I151&lt;=30,"8-30",IF($I151&lt;=60,"31-60","60+")))))</f>
        <v/>
      </c>
      <c r="K151" s="28">
        <f>IF($A151="","",IF($B151="","YETİM",IF(COUNTIF(tblKartlar[KartId],$B151)=0,"YETİM","")))</f>
        <v/>
      </c>
      <c r="L151" s="28">
        <f>IF($A151="","",IF($G151&gt;$D151+kad_mahsupTolerans,"AŞIM","UYGUN"))</f>
        <v/>
      </c>
    </row>
    <row r="152">
      <c r="A152" s="26" t="n"/>
      <c r="B152" s="26" t="n"/>
      <c r="C152" s="29" t="n"/>
      <c r="D152" s="27" t="n"/>
      <c r="E152" s="26" t="n"/>
      <c r="F152" s="26" t="n"/>
      <c r="G152" s="28">
        <f>IF($A152="","",SUMIFS(tblAkis[MahsupTutar],tblAkis[KaynakKartId],$B152,tblAkis[Durum],"MAHSUP"))</f>
        <v/>
      </c>
      <c r="H152" s="28">
        <f>IF($A152="","",MAX(0,$D152-$G152))</f>
        <v/>
      </c>
      <c r="I152" s="28">
        <f>IF($A152="","",IF($C152="","",raporTarihi-$C152))</f>
        <v/>
      </c>
      <c r="J152" s="28">
        <f>IF($A152="","",IF($I152="","",IF($I152&lt;=7,"0-7",IF($I152&lt;=30,"8-30",IF($I152&lt;=60,"31-60","60+")))))</f>
        <v/>
      </c>
      <c r="K152" s="28">
        <f>IF($A152="","",IF($B152="","YETİM",IF(COUNTIF(tblKartlar[KartId],$B152)=0,"YETİM","")))</f>
        <v/>
      </c>
      <c r="L152" s="28">
        <f>IF($A152="","",IF($G152&gt;$D152+kad_mahsupTolerans,"AŞIM","UYGUN"))</f>
        <v/>
      </c>
    </row>
    <row r="153">
      <c r="A153" s="26" t="n"/>
      <c r="B153" s="26" t="n"/>
      <c r="C153" s="29" t="n"/>
      <c r="D153" s="27" t="n"/>
      <c r="E153" s="26" t="n"/>
      <c r="F153" s="26" t="n"/>
      <c r="G153" s="28">
        <f>IF($A153="","",SUMIFS(tblAkis[MahsupTutar],tblAkis[KaynakKartId],$B153,tblAkis[Durum],"MAHSUP"))</f>
        <v/>
      </c>
      <c r="H153" s="28">
        <f>IF($A153="","",MAX(0,$D153-$G153))</f>
        <v/>
      </c>
      <c r="I153" s="28">
        <f>IF($A153="","",IF($C153="","",raporTarihi-$C153))</f>
        <v/>
      </c>
      <c r="J153" s="28">
        <f>IF($A153="","",IF($I153="","",IF($I153&lt;=7,"0-7",IF($I153&lt;=30,"8-30",IF($I153&lt;=60,"31-60","60+")))))</f>
        <v/>
      </c>
      <c r="K153" s="28">
        <f>IF($A153="","",IF($B153="","YETİM",IF(COUNTIF(tblKartlar[KartId],$B153)=0,"YETİM","")))</f>
        <v/>
      </c>
      <c r="L153" s="28">
        <f>IF($A153="","",IF($G153&gt;$D153+kad_mahsupTolerans,"AŞIM","UYGUN"))</f>
        <v/>
      </c>
    </row>
    <row r="154">
      <c r="A154" s="26" t="n"/>
      <c r="B154" s="26" t="n"/>
      <c r="C154" s="29" t="n"/>
      <c r="D154" s="27" t="n"/>
      <c r="E154" s="26" t="n"/>
      <c r="F154" s="26" t="n"/>
      <c r="G154" s="28">
        <f>IF($A154="","",SUMIFS(tblAkis[MahsupTutar],tblAkis[KaynakKartId],$B154,tblAkis[Durum],"MAHSUP"))</f>
        <v/>
      </c>
      <c r="H154" s="28">
        <f>IF($A154="","",MAX(0,$D154-$G154))</f>
        <v/>
      </c>
      <c r="I154" s="28">
        <f>IF($A154="","",IF($C154="","",raporTarihi-$C154))</f>
        <v/>
      </c>
      <c r="J154" s="28">
        <f>IF($A154="","",IF($I154="","",IF($I154&lt;=7,"0-7",IF($I154&lt;=30,"8-30",IF($I154&lt;=60,"31-60","60+")))))</f>
        <v/>
      </c>
      <c r="K154" s="28">
        <f>IF($A154="","",IF($B154="","YETİM",IF(COUNTIF(tblKartlar[KartId],$B154)=0,"YETİM","")))</f>
        <v/>
      </c>
      <c r="L154" s="28">
        <f>IF($A154="","",IF($G154&gt;$D154+kad_mahsupTolerans,"AŞIM","UYGUN"))</f>
        <v/>
      </c>
    </row>
    <row r="155">
      <c r="A155" s="26" t="n"/>
      <c r="B155" s="26" t="n"/>
      <c r="C155" s="29" t="n"/>
      <c r="D155" s="27" t="n"/>
      <c r="E155" s="26" t="n"/>
      <c r="F155" s="26" t="n"/>
      <c r="G155" s="28">
        <f>IF($A155="","",SUMIFS(tblAkis[MahsupTutar],tblAkis[KaynakKartId],$B155,tblAkis[Durum],"MAHSUP"))</f>
        <v/>
      </c>
      <c r="H155" s="28">
        <f>IF($A155="","",MAX(0,$D155-$G155))</f>
        <v/>
      </c>
      <c r="I155" s="28">
        <f>IF($A155="","",IF($C155="","",raporTarihi-$C155))</f>
        <v/>
      </c>
      <c r="J155" s="28">
        <f>IF($A155="","",IF($I155="","",IF($I155&lt;=7,"0-7",IF($I155&lt;=30,"8-30",IF($I155&lt;=60,"31-60","60+")))))</f>
        <v/>
      </c>
      <c r="K155" s="28">
        <f>IF($A155="","",IF($B155="","YETİM",IF(COUNTIF(tblKartlar[KartId],$B155)=0,"YETİM","")))</f>
        <v/>
      </c>
      <c r="L155" s="28">
        <f>IF($A155="","",IF($G155&gt;$D155+kad_mahsupTolerans,"AŞIM","UYGUN"))</f>
        <v/>
      </c>
    </row>
    <row r="156">
      <c r="A156" s="26" t="n"/>
      <c r="B156" s="26" t="n"/>
      <c r="C156" s="29" t="n"/>
      <c r="D156" s="27" t="n"/>
      <c r="E156" s="26" t="n"/>
      <c r="F156" s="26" t="n"/>
      <c r="G156" s="28">
        <f>IF($A156="","",SUMIFS(tblAkis[MahsupTutar],tblAkis[KaynakKartId],$B156,tblAkis[Durum],"MAHSUP"))</f>
        <v/>
      </c>
      <c r="H156" s="28">
        <f>IF($A156="","",MAX(0,$D156-$G156))</f>
        <v/>
      </c>
      <c r="I156" s="28">
        <f>IF($A156="","",IF($C156="","",raporTarihi-$C156))</f>
        <v/>
      </c>
      <c r="J156" s="28">
        <f>IF($A156="","",IF($I156="","",IF($I156&lt;=7,"0-7",IF($I156&lt;=30,"8-30",IF($I156&lt;=60,"31-60","60+")))))</f>
        <v/>
      </c>
      <c r="K156" s="28">
        <f>IF($A156="","",IF($B156="","YETİM",IF(COUNTIF(tblKartlar[KartId],$B156)=0,"YETİM","")))</f>
        <v/>
      </c>
      <c r="L156" s="28">
        <f>IF($A156="","",IF($G156&gt;$D156+kad_mahsupTolerans,"AŞIM","UYGUN"))</f>
        <v/>
      </c>
    </row>
    <row r="157">
      <c r="A157" s="26" t="n"/>
      <c r="B157" s="26" t="n"/>
      <c r="C157" s="29" t="n"/>
      <c r="D157" s="27" t="n"/>
      <c r="E157" s="26" t="n"/>
      <c r="F157" s="26" t="n"/>
      <c r="G157" s="28">
        <f>IF($A157="","",SUMIFS(tblAkis[MahsupTutar],tblAkis[KaynakKartId],$B157,tblAkis[Durum],"MAHSUP"))</f>
        <v/>
      </c>
      <c r="H157" s="28">
        <f>IF($A157="","",MAX(0,$D157-$G157))</f>
        <v/>
      </c>
      <c r="I157" s="28">
        <f>IF($A157="","",IF($C157="","",raporTarihi-$C157))</f>
        <v/>
      </c>
      <c r="J157" s="28">
        <f>IF($A157="","",IF($I157="","",IF($I157&lt;=7,"0-7",IF($I157&lt;=30,"8-30",IF($I157&lt;=60,"31-60","60+")))))</f>
        <v/>
      </c>
      <c r="K157" s="28">
        <f>IF($A157="","",IF($B157="","YETİM",IF(COUNTIF(tblKartlar[KartId],$B157)=0,"YETİM","")))</f>
        <v/>
      </c>
      <c r="L157" s="28">
        <f>IF($A157="","",IF($G157&gt;$D157+kad_mahsupTolerans,"AŞIM","UYGUN"))</f>
        <v/>
      </c>
    </row>
    <row r="158">
      <c r="A158" s="26" t="n"/>
      <c r="B158" s="26" t="n"/>
      <c r="C158" s="29" t="n"/>
      <c r="D158" s="27" t="n"/>
      <c r="E158" s="26" t="n"/>
      <c r="F158" s="26" t="n"/>
      <c r="G158" s="28">
        <f>IF($A158="","",SUMIFS(tblAkis[MahsupTutar],tblAkis[KaynakKartId],$B158,tblAkis[Durum],"MAHSUP"))</f>
        <v/>
      </c>
      <c r="H158" s="28">
        <f>IF($A158="","",MAX(0,$D158-$G158))</f>
        <v/>
      </c>
      <c r="I158" s="28">
        <f>IF($A158="","",IF($C158="","",raporTarihi-$C158))</f>
        <v/>
      </c>
      <c r="J158" s="28">
        <f>IF($A158="","",IF($I158="","",IF($I158&lt;=7,"0-7",IF($I158&lt;=30,"8-30",IF($I158&lt;=60,"31-60","60+")))))</f>
        <v/>
      </c>
      <c r="K158" s="28">
        <f>IF($A158="","",IF($B158="","YETİM",IF(COUNTIF(tblKartlar[KartId],$B158)=0,"YETİM","")))</f>
        <v/>
      </c>
      <c r="L158" s="28">
        <f>IF($A158="","",IF($G158&gt;$D158+kad_mahsupTolerans,"AŞIM","UYGUN"))</f>
        <v/>
      </c>
    </row>
    <row r="159">
      <c r="A159" s="26" t="n"/>
      <c r="B159" s="26" t="n"/>
      <c r="C159" s="29" t="n"/>
      <c r="D159" s="27" t="n"/>
      <c r="E159" s="26" t="n"/>
      <c r="F159" s="26" t="n"/>
      <c r="G159" s="28">
        <f>IF($A159="","",SUMIFS(tblAkis[MahsupTutar],tblAkis[KaynakKartId],$B159,tblAkis[Durum],"MAHSUP"))</f>
        <v/>
      </c>
      <c r="H159" s="28">
        <f>IF($A159="","",MAX(0,$D159-$G159))</f>
        <v/>
      </c>
      <c r="I159" s="28">
        <f>IF($A159="","",IF($C159="","",raporTarihi-$C159))</f>
        <v/>
      </c>
      <c r="J159" s="28">
        <f>IF($A159="","",IF($I159="","",IF($I159&lt;=7,"0-7",IF($I159&lt;=30,"8-30",IF($I159&lt;=60,"31-60","60+")))))</f>
        <v/>
      </c>
      <c r="K159" s="28">
        <f>IF($A159="","",IF($B159="","YETİM",IF(COUNTIF(tblKartlar[KartId],$B159)=0,"YETİM","")))</f>
        <v/>
      </c>
      <c r="L159" s="28">
        <f>IF($A159="","",IF($G159&gt;$D159+kad_mahsupTolerans,"AŞIM","UYGUN"))</f>
        <v/>
      </c>
    </row>
    <row r="160">
      <c r="A160" s="26" t="n"/>
      <c r="B160" s="26" t="n"/>
      <c r="C160" s="29" t="n"/>
      <c r="D160" s="27" t="n"/>
      <c r="E160" s="26" t="n"/>
      <c r="F160" s="26" t="n"/>
      <c r="G160" s="28">
        <f>IF($A160="","",SUMIFS(tblAkis[MahsupTutar],tblAkis[KaynakKartId],$B160,tblAkis[Durum],"MAHSUP"))</f>
        <v/>
      </c>
      <c r="H160" s="28">
        <f>IF($A160="","",MAX(0,$D160-$G160))</f>
        <v/>
      </c>
      <c r="I160" s="28">
        <f>IF($A160="","",IF($C160="","",raporTarihi-$C160))</f>
        <v/>
      </c>
      <c r="J160" s="28">
        <f>IF($A160="","",IF($I160="","",IF($I160&lt;=7,"0-7",IF($I160&lt;=30,"8-30",IF($I160&lt;=60,"31-60","60+")))))</f>
        <v/>
      </c>
      <c r="K160" s="28">
        <f>IF($A160="","",IF($B160="","YETİM",IF(COUNTIF(tblKartlar[KartId],$B160)=0,"YETİM","")))</f>
        <v/>
      </c>
      <c r="L160" s="28">
        <f>IF($A160="","",IF($G160&gt;$D160+kad_mahsupTolerans,"AŞIM","UYGUN"))</f>
        <v/>
      </c>
    </row>
    <row r="161">
      <c r="A161" s="26" t="n"/>
      <c r="B161" s="26" t="n"/>
      <c r="C161" s="29" t="n"/>
      <c r="D161" s="27" t="n"/>
      <c r="E161" s="26" t="n"/>
      <c r="F161" s="26" t="n"/>
      <c r="G161" s="28">
        <f>IF($A161="","",SUMIFS(tblAkis[MahsupTutar],tblAkis[KaynakKartId],$B161,tblAkis[Durum],"MAHSUP"))</f>
        <v/>
      </c>
      <c r="H161" s="28">
        <f>IF($A161="","",MAX(0,$D161-$G161))</f>
        <v/>
      </c>
      <c r="I161" s="28">
        <f>IF($A161="","",IF($C161="","",raporTarihi-$C161))</f>
        <v/>
      </c>
      <c r="J161" s="28">
        <f>IF($A161="","",IF($I161="","",IF($I161&lt;=7,"0-7",IF($I161&lt;=30,"8-30",IF($I161&lt;=60,"31-60","60+")))))</f>
        <v/>
      </c>
      <c r="K161" s="28">
        <f>IF($A161="","",IF($B161="","YETİM",IF(COUNTIF(tblKartlar[KartId],$B161)=0,"YETİM","")))</f>
        <v/>
      </c>
      <c r="L161" s="28">
        <f>IF($A161="","",IF($G161&gt;$D161+kad_mahsupTolerans,"AŞIM","UYGUN"))</f>
        <v/>
      </c>
    </row>
    <row r="162">
      <c r="A162" s="26" t="n"/>
      <c r="B162" s="26" t="n"/>
      <c r="C162" s="29" t="n"/>
      <c r="D162" s="27" t="n"/>
      <c r="E162" s="26" t="n"/>
      <c r="F162" s="26" t="n"/>
      <c r="G162" s="28">
        <f>IF($A162="","",SUMIFS(tblAkis[MahsupTutar],tblAkis[KaynakKartId],$B162,tblAkis[Durum],"MAHSUP"))</f>
        <v/>
      </c>
      <c r="H162" s="28">
        <f>IF($A162="","",MAX(0,$D162-$G162))</f>
        <v/>
      </c>
      <c r="I162" s="28">
        <f>IF($A162="","",IF($C162="","",raporTarihi-$C162))</f>
        <v/>
      </c>
      <c r="J162" s="28">
        <f>IF($A162="","",IF($I162="","",IF($I162&lt;=7,"0-7",IF($I162&lt;=30,"8-30",IF($I162&lt;=60,"31-60","60+")))))</f>
        <v/>
      </c>
      <c r="K162" s="28">
        <f>IF($A162="","",IF($B162="","YETİM",IF(COUNTIF(tblKartlar[KartId],$B162)=0,"YETİM","")))</f>
        <v/>
      </c>
      <c r="L162" s="28">
        <f>IF($A162="","",IF($G162&gt;$D162+kad_mahsupTolerans,"AŞIM","UYGUN"))</f>
        <v/>
      </c>
    </row>
    <row r="163">
      <c r="A163" s="26" t="n"/>
      <c r="B163" s="26" t="n"/>
      <c r="C163" s="29" t="n"/>
      <c r="D163" s="27" t="n"/>
      <c r="E163" s="26" t="n"/>
      <c r="F163" s="26" t="n"/>
      <c r="G163" s="28">
        <f>IF($A163="","",SUMIFS(tblAkis[MahsupTutar],tblAkis[KaynakKartId],$B163,tblAkis[Durum],"MAHSUP"))</f>
        <v/>
      </c>
      <c r="H163" s="28">
        <f>IF($A163="","",MAX(0,$D163-$G163))</f>
        <v/>
      </c>
      <c r="I163" s="28">
        <f>IF($A163="","",IF($C163="","",raporTarihi-$C163))</f>
        <v/>
      </c>
      <c r="J163" s="28">
        <f>IF($A163="","",IF($I163="","",IF($I163&lt;=7,"0-7",IF($I163&lt;=30,"8-30",IF($I163&lt;=60,"31-60","60+")))))</f>
        <v/>
      </c>
      <c r="K163" s="28">
        <f>IF($A163="","",IF($B163="","YETİM",IF(COUNTIF(tblKartlar[KartId],$B163)=0,"YETİM","")))</f>
        <v/>
      </c>
      <c r="L163" s="28">
        <f>IF($A163="","",IF($G163&gt;$D163+kad_mahsupTolerans,"AŞIM","UYGUN"))</f>
        <v/>
      </c>
    </row>
    <row r="164">
      <c r="A164" s="26" t="n"/>
      <c r="B164" s="26" t="n"/>
      <c r="C164" s="29" t="n"/>
      <c r="D164" s="27" t="n"/>
      <c r="E164" s="26" t="n"/>
      <c r="F164" s="26" t="n"/>
      <c r="G164" s="28">
        <f>IF($A164="","",SUMIFS(tblAkis[MahsupTutar],tblAkis[KaynakKartId],$B164,tblAkis[Durum],"MAHSUP"))</f>
        <v/>
      </c>
      <c r="H164" s="28">
        <f>IF($A164="","",MAX(0,$D164-$G164))</f>
        <v/>
      </c>
      <c r="I164" s="28">
        <f>IF($A164="","",IF($C164="","",raporTarihi-$C164))</f>
        <v/>
      </c>
      <c r="J164" s="28">
        <f>IF($A164="","",IF($I164="","",IF($I164&lt;=7,"0-7",IF($I164&lt;=30,"8-30",IF($I164&lt;=60,"31-60","60+")))))</f>
        <v/>
      </c>
      <c r="K164" s="28">
        <f>IF($A164="","",IF($B164="","YETİM",IF(COUNTIF(tblKartlar[KartId],$B164)=0,"YETİM","")))</f>
        <v/>
      </c>
      <c r="L164" s="28">
        <f>IF($A164="","",IF($G164&gt;$D164+kad_mahsupTolerans,"AŞIM","UYGUN"))</f>
        <v/>
      </c>
    </row>
    <row r="165">
      <c r="A165" s="26" t="n"/>
      <c r="B165" s="26" t="n"/>
      <c r="C165" s="29" t="n"/>
      <c r="D165" s="27" t="n"/>
      <c r="E165" s="26" t="n"/>
      <c r="F165" s="26" t="n"/>
      <c r="G165" s="28">
        <f>IF($A165="","",SUMIFS(tblAkis[MahsupTutar],tblAkis[KaynakKartId],$B165,tblAkis[Durum],"MAHSUP"))</f>
        <v/>
      </c>
      <c r="H165" s="28">
        <f>IF($A165="","",MAX(0,$D165-$G165))</f>
        <v/>
      </c>
      <c r="I165" s="28">
        <f>IF($A165="","",IF($C165="","",raporTarihi-$C165))</f>
        <v/>
      </c>
      <c r="J165" s="28">
        <f>IF($A165="","",IF($I165="","",IF($I165&lt;=7,"0-7",IF($I165&lt;=30,"8-30",IF($I165&lt;=60,"31-60","60+")))))</f>
        <v/>
      </c>
      <c r="K165" s="28">
        <f>IF($A165="","",IF($B165="","YETİM",IF(COUNTIF(tblKartlar[KartId],$B165)=0,"YETİM","")))</f>
        <v/>
      </c>
      <c r="L165" s="28">
        <f>IF($A165="","",IF($G165&gt;$D165+kad_mahsupTolerans,"AŞIM","UYGUN"))</f>
        <v/>
      </c>
    </row>
    <row r="166">
      <c r="A166" s="26" t="n"/>
      <c r="B166" s="26" t="n"/>
      <c r="C166" s="29" t="n"/>
      <c r="D166" s="27" t="n"/>
      <c r="E166" s="26" t="n"/>
      <c r="F166" s="26" t="n"/>
      <c r="G166" s="28">
        <f>IF($A166="","",SUMIFS(tblAkis[MahsupTutar],tblAkis[KaynakKartId],$B166,tblAkis[Durum],"MAHSUP"))</f>
        <v/>
      </c>
      <c r="H166" s="28">
        <f>IF($A166="","",MAX(0,$D166-$G166))</f>
        <v/>
      </c>
      <c r="I166" s="28">
        <f>IF($A166="","",IF($C166="","",raporTarihi-$C166))</f>
        <v/>
      </c>
      <c r="J166" s="28">
        <f>IF($A166="","",IF($I166="","",IF($I166&lt;=7,"0-7",IF($I166&lt;=30,"8-30",IF($I166&lt;=60,"31-60","60+")))))</f>
        <v/>
      </c>
      <c r="K166" s="28">
        <f>IF($A166="","",IF($B166="","YETİM",IF(COUNTIF(tblKartlar[KartId],$B166)=0,"YETİM","")))</f>
        <v/>
      </c>
      <c r="L166" s="28">
        <f>IF($A166="","",IF($G166&gt;$D166+kad_mahsupTolerans,"AŞIM","UYGUN"))</f>
        <v/>
      </c>
    </row>
    <row r="167">
      <c r="A167" s="26" t="n"/>
      <c r="B167" s="26" t="n"/>
      <c r="C167" s="29" t="n"/>
      <c r="D167" s="27" t="n"/>
      <c r="E167" s="26" t="n"/>
      <c r="F167" s="26" t="n"/>
      <c r="G167" s="28">
        <f>IF($A167="","",SUMIFS(tblAkis[MahsupTutar],tblAkis[KaynakKartId],$B167,tblAkis[Durum],"MAHSUP"))</f>
        <v/>
      </c>
      <c r="H167" s="28">
        <f>IF($A167="","",MAX(0,$D167-$G167))</f>
        <v/>
      </c>
      <c r="I167" s="28">
        <f>IF($A167="","",IF($C167="","",raporTarihi-$C167))</f>
        <v/>
      </c>
      <c r="J167" s="28">
        <f>IF($A167="","",IF($I167="","",IF($I167&lt;=7,"0-7",IF($I167&lt;=30,"8-30",IF($I167&lt;=60,"31-60","60+")))))</f>
        <v/>
      </c>
      <c r="K167" s="28">
        <f>IF($A167="","",IF($B167="","YETİM",IF(COUNTIF(tblKartlar[KartId],$B167)=0,"YETİM","")))</f>
        <v/>
      </c>
      <c r="L167" s="28">
        <f>IF($A167="","",IF($G167&gt;$D167+kad_mahsupTolerans,"AŞIM","UYGUN"))</f>
        <v/>
      </c>
    </row>
    <row r="168">
      <c r="A168" s="26" t="n"/>
      <c r="B168" s="26" t="n"/>
      <c r="C168" s="29" t="n"/>
      <c r="D168" s="27" t="n"/>
      <c r="E168" s="26" t="n"/>
      <c r="F168" s="26" t="n"/>
      <c r="G168" s="28">
        <f>IF($A168="","",SUMIFS(tblAkis[MahsupTutar],tblAkis[KaynakKartId],$B168,tblAkis[Durum],"MAHSUP"))</f>
        <v/>
      </c>
      <c r="H168" s="28">
        <f>IF($A168="","",MAX(0,$D168-$G168))</f>
        <v/>
      </c>
      <c r="I168" s="28">
        <f>IF($A168="","",IF($C168="","",raporTarihi-$C168))</f>
        <v/>
      </c>
      <c r="J168" s="28">
        <f>IF($A168="","",IF($I168="","",IF($I168&lt;=7,"0-7",IF($I168&lt;=30,"8-30",IF($I168&lt;=60,"31-60","60+")))))</f>
        <v/>
      </c>
      <c r="K168" s="28">
        <f>IF($A168="","",IF($B168="","YETİM",IF(COUNTIF(tblKartlar[KartId],$B168)=0,"YETİM","")))</f>
        <v/>
      </c>
      <c r="L168" s="28">
        <f>IF($A168="","",IF($G168&gt;$D168+kad_mahsupTolerans,"AŞIM","UYGUN"))</f>
        <v/>
      </c>
    </row>
    <row r="169">
      <c r="A169" s="26" t="n"/>
      <c r="B169" s="26" t="n"/>
      <c r="C169" s="29" t="n"/>
      <c r="D169" s="27" t="n"/>
      <c r="E169" s="26" t="n"/>
      <c r="F169" s="26" t="n"/>
      <c r="G169" s="28">
        <f>IF($A169="","",SUMIFS(tblAkis[MahsupTutar],tblAkis[KaynakKartId],$B169,tblAkis[Durum],"MAHSUP"))</f>
        <v/>
      </c>
      <c r="H169" s="28">
        <f>IF($A169="","",MAX(0,$D169-$G169))</f>
        <v/>
      </c>
      <c r="I169" s="28">
        <f>IF($A169="","",IF($C169="","",raporTarihi-$C169))</f>
        <v/>
      </c>
      <c r="J169" s="28">
        <f>IF($A169="","",IF($I169="","",IF($I169&lt;=7,"0-7",IF($I169&lt;=30,"8-30",IF($I169&lt;=60,"31-60","60+")))))</f>
        <v/>
      </c>
      <c r="K169" s="28">
        <f>IF($A169="","",IF($B169="","YETİM",IF(COUNTIF(tblKartlar[KartId],$B169)=0,"YETİM","")))</f>
        <v/>
      </c>
      <c r="L169" s="28">
        <f>IF($A169="","",IF($G169&gt;$D169+kad_mahsupTolerans,"AŞIM","UYGUN"))</f>
        <v/>
      </c>
    </row>
    <row r="170">
      <c r="A170" s="26" t="n"/>
      <c r="B170" s="26" t="n"/>
      <c r="C170" s="29" t="n"/>
      <c r="D170" s="27" t="n"/>
      <c r="E170" s="26" t="n"/>
      <c r="F170" s="26" t="n"/>
      <c r="G170" s="28">
        <f>IF($A170="","",SUMIFS(tblAkis[MahsupTutar],tblAkis[KaynakKartId],$B170,tblAkis[Durum],"MAHSUP"))</f>
        <v/>
      </c>
      <c r="H170" s="28">
        <f>IF($A170="","",MAX(0,$D170-$G170))</f>
        <v/>
      </c>
      <c r="I170" s="28">
        <f>IF($A170="","",IF($C170="","",raporTarihi-$C170))</f>
        <v/>
      </c>
      <c r="J170" s="28">
        <f>IF($A170="","",IF($I170="","",IF($I170&lt;=7,"0-7",IF($I170&lt;=30,"8-30",IF($I170&lt;=60,"31-60","60+")))))</f>
        <v/>
      </c>
      <c r="K170" s="28">
        <f>IF($A170="","",IF($B170="","YETİM",IF(COUNTIF(tblKartlar[KartId],$B170)=0,"YETİM","")))</f>
        <v/>
      </c>
      <c r="L170" s="28">
        <f>IF($A170="","",IF($G170&gt;$D170+kad_mahsupTolerans,"AŞIM","UYGUN"))</f>
        <v/>
      </c>
    </row>
    <row r="171">
      <c r="A171" s="26" t="n"/>
      <c r="B171" s="26" t="n"/>
      <c r="C171" s="29" t="n"/>
      <c r="D171" s="27" t="n"/>
      <c r="E171" s="26" t="n"/>
      <c r="F171" s="26" t="n"/>
      <c r="G171" s="28">
        <f>IF($A171="","",SUMIFS(tblAkis[MahsupTutar],tblAkis[KaynakKartId],$B171,tblAkis[Durum],"MAHSUP"))</f>
        <v/>
      </c>
      <c r="H171" s="28">
        <f>IF($A171="","",MAX(0,$D171-$G171))</f>
        <v/>
      </c>
      <c r="I171" s="28">
        <f>IF($A171="","",IF($C171="","",raporTarihi-$C171))</f>
        <v/>
      </c>
      <c r="J171" s="28">
        <f>IF($A171="","",IF($I171="","",IF($I171&lt;=7,"0-7",IF($I171&lt;=30,"8-30",IF($I171&lt;=60,"31-60","60+")))))</f>
        <v/>
      </c>
      <c r="K171" s="28">
        <f>IF($A171="","",IF($B171="","YETİM",IF(COUNTIF(tblKartlar[KartId],$B171)=0,"YETİM","")))</f>
        <v/>
      </c>
      <c r="L171" s="28">
        <f>IF($A171="","",IF($G171&gt;$D171+kad_mahsupTolerans,"AŞIM","UYGUN"))</f>
        <v/>
      </c>
    </row>
    <row r="172">
      <c r="A172" s="26" t="n"/>
      <c r="B172" s="26" t="n"/>
      <c r="C172" s="29" t="n"/>
      <c r="D172" s="27" t="n"/>
      <c r="E172" s="26" t="n"/>
      <c r="F172" s="26" t="n"/>
      <c r="G172" s="28">
        <f>IF($A172="","",SUMIFS(tblAkis[MahsupTutar],tblAkis[KaynakKartId],$B172,tblAkis[Durum],"MAHSUP"))</f>
        <v/>
      </c>
      <c r="H172" s="28">
        <f>IF($A172="","",MAX(0,$D172-$G172))</f>
        <v/>
      </c>
      <c r="I172" s="28">
        <f>IF($A172="","",IF($C172="","",raporTarihi-$C172))</f>
        <v/>
      </c>
      <c r="J172" s="28">
        <f>IF($A172="","",IF($I172="","",IF($I172&lt;=7,"0-7",IF($I172&lt;=30,"8-30",IF($I172&lt;=60,"31-60","60+")))))</f>
        <v/>
      </c>
      <c r="K172" s="28">
        <f>IF($A172="","",IF($B172="","YETİM",IF(COUNTIF(tblKartlar[KartId],$B172)=0,"YETİM","")))</f>
        <v/>
      </c>
      <c r="L172" s="28">
        <f>IF($A172="","",IF($G172&gt;$D172+kad_mahsupTolerans,"AŞIM","UYGUN"))</f>
        <v/>
      </c>
    </row>
    <row r="173">
      <c r="A173" s="26" t="n"/>
      <c r="B173" s="26" t="n"/>
      <c r="C173" s="29" t="n"/>
      <c r="D173" s="27" t="n"/>
      <c r="E173" s="26" t="n"/>
      <c r="F173" s="26" t="n"/>
      <c r="G173" s="28">
        <f>IF($A173="","",SUMIFS(tblAkis[MahsupTutar],tblAkis[KaynakKartId],$B173,tblAkis[Durum],"MAHSUP"))</f>
        <v/>
      </c>
      <c r="H173" s="28">
        <f>IF($A173="","",MAX(0,$D173-$G173))</f>
        <v/>
      </c>
      <c r="I173" s="28">
        <f>IF($A173="","",IF($C173="","",raporTarihi-$C173))</f>
        <v/>
      </c>
      <c r="J173" s="28">
        <f>IF($A173="","",IF($I173="","",IF($I173&lt;=7,"0-7",IF($I173&lt;=30,"8-30",IF($I173&lt;=60,"31-60","60+")))))</f>
        <v/>
      </c>
      <c r="K173" s="28">
        <f>IF($A173="","",IF($B173="","YETİM",IF(COUNTIF(tblKartlar[KartId],$B173)=0,"YETİM","")))</f>
        <v/>
      </c>
      <c r="L173" s="28">
        <f>IF($A173="","",IF($G173&gt;$D173+kad_mahsupTolerans,"AŞIM","UYGUN"))</f>
        <v/>
      </c>
    </row>
    <row r="174">
      <c r="A174" s="26" t="n"/>
      <c r="B174" s="26" t="n"/>
      <c r="C174" s="29" t="n"/>
      <c r="D174" s="27" t="n"/>
      <c r="E174" s="26" t="n"/>
      <c r="F174" s="26" t="n"/>
      <c r="G174" s="28">
        <f>IF($A174="","",SUMIFS(tblAkis[MahsupTutar],tblAkis[KaynakKartId],$B174,tblAkis[Durum],"MAHSUP"))</f>
        <v/>
      </c>
      <c r="H174" s="28">
        <f>IF($A174="","",MAX(0,$D174-$G174))</f>
        <v/>
      </c>
      <c r="I174" s="28">
        <f>IF($A174="","",IF($C174="","",raporTarihi-$C174))</f>
        <v/>
      </c>
      <c r="J174" s="28">
        <f>IF($A174="","",IF($I174="","",IF($I174&lt;=7,"0-7",IF($I174&lt;=30,"8-30",IF($I174&lt;=60,"31-60","60+")))))</f>
        <v/>
      </c>
      <c r="K174" s="28">
        <f>IF($A174="","",IF($B174="","YETİM",IF(COUNTIF(tblKartlar[KartId],$B174)=0,"YETİM","")))</f>
        <v/>
      </c>
      <c r="L174" s="28">
        <f>IF($A174="","",IF($G174&gt;$D174+kad_mahsupTolerans,"AŞIM","UYGUN"))</f>
        <v/>
      </c>
    </row>
    <row r="175">
      <c r="A175" s="26" t="n"/>
      <c r="B175" s="26" t="n"/>
      <c r="C175" s="29" t="n"/>
      <c r="D175" s="27" t="n"/>
      <c r="E175" s="26" t="n"/>
      <c r="F175" s="26" t="n"/>
      <c r="G175" s="28">
        <f>IF($A175="","",SUMIFS(tblAkis[MahsupTutar],tblAkis[KaynakKartId],$B175,tblAkis[Durum],"MAHSUP"))</f>
        <v/>
      </c>
      <c r="H175" s="28">
        <f>IF($A175="","",MAX(0,$D175-$G175))</f>
        <v/>
      </c>
      <c r="I175" s="28">
        <f>IF($A175="","",IF($C175="","",raporTarihi-$C175))</f>
        <v/>
      </c>
      <c r="J175" s="28">
        <f>IF($A175="","",IF($I175="","",IF($I175&lt;=7,"0-7",IF($I175&lt;=30,"8-30",IF($I175&lt;=60,"31-60","60+")))))</f>
        <v/>
      </c>
      <c r="K175" s="28">
        <f>IF($A175="","",IF($B175="","YETİM",IF(COUNTIF(tblKartlar[KartId],$B175)=0,"YETİM","")))</f>
        <v/>
      </c>
      <c r="L175" s="28">
        <f>IF($A175="","",IF($G175&gt;$D175+kad_mahsupTolerans,"AŞIM","UYGUN"))</f>
        <v/>
      </c>
    </row>
    <row r="176">
      <c r="A176" s="26" t="n"/>
      <c r="B176" s="26" t="n"/>
      <c r="C176" s="29" t="n"/>
      <c r="D176" s="27" t="n"/>
      <c r="E176" s="26" t="n"/>
      <c r="F176" s="26" t="n"/>
      <c r="G176" s="28">
        <f>IF($A176="","",SUMIFS(tblAkis[MahsupTutar],tblAkis[KaynakKartId],$B176,tblAkis[Durum],"MAHSUP"))</f>
        <v/>
      </c>
      <c r="H176" s="28">
        <f>IF($A176="","",MAX(0,$D176-$G176))</f>
        <v/>
      </c>
      <c r="I176" s="28">
        <f>IF($A176="","",IF($C176="","",raporTarihi-$C176))</f>
        <v/>
      </c>
      <c r="J176" s="28">
        <f>IF($A176="","",IF($I176="","",IF($I176&lt;=7,"0-7",IF($I176&lt;=30,"8-30",IF($I176&lt;=60,"31-60","60+")))))</f>
        <v/>
      </c>
      <c r="K176" s="28">
        <f>IF($A176="","",IF($B176="","YETİM",IF(COUNTIF(tblKartlar[KartId],$B176)=0,"YETİM","")))</f>
        <v/>
      </c>
      <c r="L176" s="28">
        <f>IF($A176="","",IF($G176&gt;$D176+kad_mahsupTolerans,"AŞIM","UYGUN"))</f>
        <v/>
      </c>
    </row>
    <row r="177">
      <c r="A177" s="26" t="n"/>
      <c r="B177" s="26" t="n"/>
      <c r="C177" s="29" t="n"/>
      <c r="D177" s="27" t="n"/>
      <c r="E177" s="26" t="n"/>
      <c r="F177" s="26" t="n"/>
      <c r="G177" s="28">
        <f>IF($A177="","",SUMIFS(tblAkis[MahsupTutar],tblAkis[KaynakKartId],$B177,tblAkis[Durum],"MAHSUP"))</f>
        <v/>
      </c>
      <c r="H177" s="28">
        <f>IF($A177="","",MAX(0,$D177-$G177))</f>
        <v/>
      </c>
      <c r="I177" s="28">
        <f>IF($A177="","",IF($C177="","",raporTarihi-$C177))</f>
        <v/>
      </c>
      <c r="J177" s="28">
        <f>IF($A177="","",IF($I177="","",IF($I177&lt;=7,"0-7",IF($I177&lt;=30,"8-30",IF($I177&lt;=60,"31-60","60+")))))</f>
        <v/>
      </c>
      <c r="K177" s="28">
        <f>IF($A177="","",IF($B177="","YETİM",IF(COUNTIF(tblKartlar[KartId],$B177)=0,"YETİM","")))</f>
        <v/>
      </c>
      <c r="L177" s="28">
        <f>IF($A177="","",IF($G177&gt;$D177+kad_mahsupTolerans,"AŞIM","UYGUN"))</f>
        <v/>
      </c>
    </row>
    <row r="178">
      <c r="A178" s="26" t="n"/>
      <c r="B178" s="26" t="n"/>
      <c r="C178" s="29" t="n"/>
      <c r="D178" s="27" t="n"/>
      <c r="E178" s="26" t="n"/>
      <c r="F178" s="26" t="n"/>
      <c r="G178" s="28">
        <f>IF($A178="","",SUMIFS(tblAkis[MahsupTutar],tblAkis[KaynakKartId],$B178,tblAkis[Durum],"MAHSUP"))</f>
        <v/>
      </c>
      <c r="H178" s="28">
        <f>IF($A178="","",MAX(0,$D178-$G178))</f>
        <v/>
      </c>
      <c r="I178" s="28">
        <f>IF($A178="","",IF($C178="","",raporTarihi-$C178))</f>
        <v/>
      </c>
      <c r="J178" s="28">
        <f>IF($A178="","",IF($I178="","",IF($I178&lt;=7,"0-7",IF($I178&lt;=30,"8-30",IF($I178&lt;=60,"31-60","60+")))))</f>
        <v/>
      </c>
      <c r="K178" s="28">
        <f>IF($A178="","",IF($B178="","YETİM",IF(COUNTIF(tblKartlar[KartId],$B178)=0,"YETİM","")))</f>
        <v/>
      </c>
      <c r="L178" s="28">
        <f>IF($A178="","",IF($G178&gt;$D178+kad_mahsupTolerans,"AŞIM","UYGUN"))</f>
        <v/>
      </c>
    </row>
    <row r="179">
      <c r="A179" s="26" t="n"/>
      <c r="B179" s="26" t="n"/>
      <c r="C179" s="29" t="n"/>
      <c r="D179" s="27" t="n"/>
      <c r="E179" s="26" t="n"/>
      <c r="F179" s="26" t="n"/>
      <c r="G179" s="28">
        <f>IF($A179="","",SUMIFS(tblAkis[MahsupTutar],tblAkis[KaynakKartId],$B179,tblAkis[Durum],"MAHSUP"))</f>
        <v/>
      </c>
      <c r="H179" s="28">
        <f>IF($A179="","",MAX(0,$D179-$G179))</f>
        <v/>
      </c>
      <c r="I179" s="28">
        <f>IF($A179="","",IF($C179="","",raporTarihi-$C179))</f>
        <v/>
      </c>
      <c r="J179" s="28">
        <f>IF($A179="","",IF($I179="","",IF($I179&lt;=7,"0-7",IF($I179&lt;=30,"8-30",IF($I179&lt;=60,"31-60","60+")))))</f>
        <v/>
      </c>
      <c r="K179" s="28">
        <f>IF($A179="","",IF($B179="","YETİM",IF(COUNTIF(tblKartlar[KartId],$B179)=0,"YETİM","")))</f>
        <v/>
      </c>
      <c r="L179" s="28">
        <f>IF($A179="","",IF($G179&gt;$D179+kad_mahsupTolerans,"AŞIM","UYGUN"))</f>
        <v/>
      </c>
    </row>
    <row r="180">
      <c r="A180" s="26" t="n"/>
      <c r="B180" s="26" t="n"/>
      <c r="C180" s="29" t="n"/>
      <c r="D180" s="27" t="n"/>
      <c r="E180" s="26" t="n"/>
      <c r="F180" s="26" t="n"/>
      <c r="G180" s="28">
        <f>IF($A180="","",SUMIFS(tblAkis[MahsupTutar],tblAkis[KaynakKartId],$B180,tblAkis[Durum],"MAHSUP"))</f>
        <v/>
      </c>
      <c r="H180" s="28">
        <f>IF($A180="","",MAX(0,$D180-$G180))</f>
        <v/>
      </c>
      <c r="I180" s="28">
        <f>IF($A180="","",IF($C180="","",raporTarihi-$C180))</f>
        <v/>
      </c>
      <c r="J180" s="28">
        <f>IF($A180="","",IF($I180="","",IF($I180&lt;=7,"0-7",IF($I180&lt;=30,"8-30",IF($I180&lt;=60,"31-60","60+")))))</f>
        <v/>
      </c>
      <c r="K180" s="28">
        <f>IF($A180="","",IF($B180="","YETİM",IF(COUNTIF(tblKartlar[KartId],$B180)=0,"YETİM","")))</f>
        <v/>
      </c>
      <c r="L180" s="28">
        <f>IF($A180="","",IF($G180&gt;$D180+kad_mahsupTolerans,"AŞIM","UYGUN"))</f>
        <v/>
      </c>
    </row>
    <row r="181">
      <c r="A181" s="26" t="n"/>
      <c r="B181" s="26" t="n"/>
      <c r="C181" s="29" t="n"/>
      <c r="D181" s="27" t="n"/>
      <c r="E181" s="26" t="n"/>
      <c r="F181" s="26" t="n"/>
      <c r="G181" s="28">
        <f>IF($A181="","",SUMIFS(tblAkis[MahsupTutar],tblAkis[KaynakKartId],$B181,tblAkis[Durum],"MAHSUP"))</f>
        <v/>
      </c>
      <c r="H181" s="28">
        <f>IF($A181="","",MAX(0,$D181-$G181))</f>
        <v/>
      </c>
      <c r="I181" s="28">
        <f>IF($A181="","",IF($C181="","",raporTarihi-$C181))</f>
        <v/>
      </c>
      <c r="J181" s="28">
        <f>IF($A181="","",IF($I181="","",IF($I181&lt;=7,"0-7",IF($I181&lt;=30,"8-30",IF($I181&lt;=60,"31-60","60+")))))</f>
        <v/>
      </c>
      <c r="K181" s="28">
        <f>IF($A181="","",IF($B181="","YETİM",IF(COUNTIF(tblKartlar[KartId],$B181)=0,"YETİM","")))</f>
        <v/>
      </c>
      <c r="L181" s="28">
        <f>IF($A181="","",IF($G181&gt;$D181+kad_mahsupTolerans,"AŞIM","UYGUN"))</f>
        <v/>
      </c>
    </row>
    <row r="182">
      <c r="A182" s="26" t="n"/>
      <c r="B182" s="26" t="n"/>
      <c r="C182" s="29" t="n"/>
      <c r="D182" s="27" t="n"/>
      <c r="E182" s="26" t="n"/>
      <c r="F182" s="26" t="n"/>
      <c r="G182" s="28">
        <f>IF($A182="","",SUMIFS(tblAkis[MahsupTutar],tblAkis[KaynakKartId],$B182,tblAkis[Durum],"MAHSUP"))</f>
        <v/>
      </c>
      <c r="H182" s="28">
        <f>IF($A182="","",MAX(0,$D182-$G182))</f>
        <v/>
      </c>
      <c r="I182" s="28">
        <f>IF($A182="","",IF($C182="","",raporTarihi-$C182))</f>
        <v/>
      </c>
      <c r="J182" s="28">
        <f>IF($A182="","",IF($I182="","",IF($I182&lt;=7,"0-7",IF($I182&lt;=30,"8-30",IF($I182&lt;=60,"31-60","60+")))))</f>
        <v/>
      </c>
      <c r="K182" s="28">
        <f>IF($A182="","",IF($B182="","YETİM",IF(COUNTIF(tblKartlar[KartId],$B182)=0,"YETİM","")))</f>
        <v/>
      </c>
      <c r="L182" s="28">
        <f>IF($A182="","",IF($G182&gt;$D182+kad_mahsupTolerans,"AŞIM","UYGUN"))</f>
        <v/>
      </c>
    </row>
    <row r="183">
      <c r="A183" s="26" t="n"/>
      <c r="B183" s="26" t="n"/>
      <c r="C183" s="29" t="n"/>
      <c r="D183" s="27" t="n"/>
      <c r="E183" s="26" t="n"/>
      <c r="F183" s="26" t="n"/>
      <c r="G183" s="28">
        <f>IF($A183="","",SUMIFS(tblAkis[MahsupTutar],tblAkis[KaynakKartId],$B183,tblAkis[Durum],"MAHSUP"))</f>
        <v/>
      </c>
      <c r="H183" s="28">
        <f>IF($A183="","",MAX(0,$D183-$G183))</f>
        <v/>
      </c>
      <c r="I183" s="28">
        <f>IF($A183="","",IF($C183="","",raporTarihi-$C183))</f>
        <v/>
      </c>
      <c r="J183" s="28">
        <f>IF($A183="","",IF($I183="","",IF($I183&lt;=7,"0-7",IF($I183&lt;=30,"8-30",IF($I183&lt;=60,"31-60","60+")))))</f>
        <v/>
      </c>
      <c r="K183" s="28">
        <f>IF($A183="","",IF($B183="","YETİM",IF(COUNTIF(tblKartlar[KartId],$B183)=0,"YETİM","")))</f>
        <v/>
      </c>
      <c r="L183" s="28">
        <f>IF($A183="","",IF($G183&gt;$D183+kad_mahsupTolerans,"AŞIM","UYGUN"))</f>
        <v/>
      </c>
    </row>
    <row r="184">
      <c r="A184" s="26" t="n"/>
      <c r="B184" s="26" t="n"/>
      <c r="C184" s="29" t="n"/>
      <c r="D184" s="27" t="n"/>
      <c r="E184" s="26" t="n"/>
      <c r="F184" s="26" t="n"/>
      <c r="G184" s="28">
        <f>IF($A184="","",SUMIFS(tblAkis[MahsupTutar],tblAkis[KaynakKartId],$B184,tblAkis[Durum],"MAHSUP"))</f>
        <v/>
      </c>
      <c r="H184" s="28">
        <f>IF($A184="","",MAX(0,$D184-$G184))</f>
        <v/>
      </c>
      <c r="I184" s="28">
        <f>IF($A184="","",IF($C184="","",raporTarihi-$C184))</f>
        <v/>
      </c>
      <c r="J184" s="28">
        <f>IF($A184="","",IF($I184="","",IF($I184&lt;=7,"0-7",IF($I184&lt;=30,"8-30",IF($I184&lt;=60,"31-60","60+")))))</f>
        <v/>
      </c>
      <c r="K184" s="28">
        <f>IF($A184="","",IF($B184="","YETİM",IF(COUNTIF(tblKartlar[KartId],$B184)=0,"YETİM","")))</f>
        <v/>
      </c>
      <c r="L184" s="28">
        <f>IF($A184="","",IF($G184&gt;$D184+kad_mahsupTolerans,"AŞIM","UYGUN"))</f>
        <v/>
      </c>
    </row>
    <row r="185">
      <c r="A185" s="26" t="n"/>
      <c r="B185" s="26" t="n"/>
      <c r="C185" s="29" t="n"/>
      <c r="D185" s="27" t="n"/>
      <c r="E185" s="26" t="n"/>
      <c r="F185" s="26" t="n"/>
      <c r="G185" s="28">
        <f>IF($A185="","",SUMIFS(tblAkis[MahsupTutar],tblAkis[KaynakKartId],$B185,tblAkis[Durum],"MAHSUP"))</f>
        <v/>
      </c>
      <c r="H185" s="28">
        <f>IF($A185="","",MAX(0,$D185-$G185))</f>
        <v/>
      </c>
      <c r="I185" s="28">
        <f>IF($A185="","",IF($C185="","",raporTarihi-$C185))</f>
        <v/>
      </c>
      <c r="J185" s="28">
        <f>IF($A185="","",IF($I185="","",IF($I185&lt;=7,"0-7",IF($I185&lt;=30,"8-30",IF($I185&lt;=60,"31-60","60+")))))</f>
        <v/>
      </c>
      <c r="K185" s="28">
        <f>IF($A185="","",IF($B185="","YETİM",IF(COUNTIF(tblKartlar[KartId],$B185)=0,"YETİM","")))</f>
        <v/>
      </c>
      <c r="L185" s="28">
        <f>IF($A185="","",IF($G185&gt;$D185+kad_mahsupTolerans,"AŞIM","UYGUN"))</f>
        <v/>
      </c>
    </row>
    <row r="186">
      <c r="A186" s="26" t="n"/>
      <c r="B186" s="26" t="n"/>
      <c r="C186" s="29" t="n"/>
      <c r="D186" s="27" t="n"/>
      <c r="E186" s="26" t="n"/>
      <c r="F186" s="26" t="n"/>
      <c r="G186" s="28">
        <f>IF($A186="","",SUMIFS(tblAkis[MahsupTutar],tblAkis[KaynakKartId],$B186,tblAkis[Durum],"MAHSUP"))</f>
        <v/>
      </c>
      <c r="H186" s="28">
        <f>IF($A186="","",MAX(0,$D186-$G186))</f>
        <v/>
      </c>
      <c r="I186" s="28">
        <f>IF($A186="","",IF($C186="","",raporTarihi-$C186))</f>
        <v/>
      </c>
      <c r="J186" s="28">
        <f>IF($A186="","",IF($I186="","",IF($I186&lt;=7,"0-7",IF($I186&lt;=30,"8-30",IF($I186&lt;=60,"31-60","60+")))))</f>
        <v/>
      </c>
      <c r="K186" s="28">
        <f>IF($A186="","",IF($B186="","YETİM",IF(COUNTIF(tblKartlar[KartId],$B186)=0,"YETİM","")))</f>
        <v/>
      </c>
      <c r="L186" s="28">
        <f>IF($A186="","",IF($G186&gt;$D186+kad_mahsupTolerans,"AŞIM","UYGUN"))</f>
        <v/>
      </c>
    </row>
    <row r="187">
      <c r="A187" s="26" t="n"/>
      <c r="B187" s="26" t="n"/>
      <c r="C187" s="29" t="n"/>
      <c r="D187" s="27" t="n"/>
      <c r="E187" s="26" t="n"/>
      <c r="F187" s="26" t="n"/>
      <c r="G187" s="28">
        <f>IF($A187="","",SUMIFS(tblAkis[MahsupTutar],tblAkis[KaynakKartId],$B187,tblAkis[Durum],"MAHSUP"))</f>
        <v/>
      </c>
      <c r="H187" s="28">
        <f>IF($A187="","",MAX(0,$D187-$G187))</f>
        <v/>
      </c>
      <c r="I187" s="28">
        <f>IF($A187="","",IF($C187="","",raporTarihi-$C187))</f>
        <v/>
      </c>
      <c r="J187" s="28">
        <f>IF($A187="","",IF($I187="","",IF($I187&lt;=7,"0-7",IF($I187&lt;=30,"8-30",IF($I187&lt;=60,"31-60","60+")))))</f>
        <v/>
      </c>
      <c r="K187" s="28">
        <f>IF($A187="","",IF($B187="","YETİM",IF(COUNTIF(tblKartlar[KartId],$B187)=0,"YETİM","")))</f>
        <v/>
      </c>
      <c r="L187" s="28">
        <f>IF($A187="","",IF($G187&gt;$D187+kad_mahsupTolerans,"AŞIM","UYGUN"))</f>
        <v/>
      </c>
    </row>
    <row r="188">
      <c r="A188" s="26" t="n"/>
      <c r="B188" s="26" t="n"/>
      <c r="C188" s="29" t="n"/>
      <c r="D188" s="27" t="n"/>
      <c r="E188" s="26" t="n"/>
      <c r="F188" s="26" t="n"/>
      <c r="G188" s="28">
        <f>IF($A188="","",SUMIFS(tblAkis[MahsupTutar],tblAkis[KaynakKartId],$B188,tblAkis[Durum],"MAHSUP"))</f>
        <v/>
      </c>
      <c r="H188" s="28">
        <f>IF($A188="","",MAX(0,$D188-$G188))</f>
        <v/>
      </c>
      <c r="I188" s="28">
        <f>IF($A188="","",IF($C188="","",raporTarihi-$C188))</f>
        <v/>
      </c>
      <c r="J188" s="28">
        <f>IF($A188="","",IF($I188="","",IF($I188&lt;=7,"0-7",IF($I188&lt;=30,"8-30",IF($I188&lt;=60,"31-60","60+")))))</f>
        <v/>
      </c>
      <c r="K188" s="28">
        <f>IF($A188="","",IF($B188="","YETİM",IF(COUNTIF(tblKartlar[KartId],$B188)=0,"YETİM","")))</f>
        <v/>
      </c>
      <c r="L188" s="28">
        <f>IF($A188="","",IF($G188&gt;$D188+kad_mahsupTolerans,"AŞIM","UYGUN"))</f>
        <v/>
      </c>
    </row>
    <row r="189">
      <c r="A189" s="26" t="n"/>
      <c r="B189" s="26" t="n"/>
      <c r="C189" s="29" t="n"/>
      <c r="D189" s="27" t="n"/>
      <c r="E189" s="26" t="n"/>
      <c r="F189" s="26" t="n"/>
      <c r="G189" s="28">
        <f>IF($A189="","",SUMIFS(tblAkis[MahsupTutar],tblAkis[KaynakKartId],$B189,tblAkis[Durum],"MAHSUP"))</f>
        <v/>
      </c>
      <c r="H189" s="28">
        <f>IF($A189="","",MAX(0,$D189-$G189))</f>
        <v/>
      </c>
      <c r="I189" s="28">
        <f>IF($A189="","",IF($C189="","",raporTarihi-$C189))</f>
        <v/>
      </c>
      <c r="J189" s="28">
        <f>IF($A189="","",IF($I189="","",IF($I189&lt;=7,"0-7",IF($I189&lt;=30,"8-30",IF($I189&lt;=60,"31-60","60+")))))</f>
        <v/>
      </c>
      <c r="K189" s="28">
        <f>IF($A189="","",IF($B189="","YETİM",IF(COUNTIF(tblKartlar[KartId],$B189)=0,"YETİM","")))</f>
        <v/>
      </c>
      <c r="L189" s="28">
        <f>IF($A189="","",IF($G189&gt;$D189+kad_mahsupTolerans,"AŞIM","UYGUN"))</f>
        <v/>
      </c>
    </row>
    <row r="190">
      <c r="A190" s="26" t="n"/>
      <c r="B190" s="26" t="n"/>
      <c r="C190" s="29" t="n"/>
      <c r="D190" s="27" t="n"/>
      <c r="E190" s="26" t="n"/>
      <c r="F190" s="26" t="n"/>
      <c r="G190" s="28">
        <f>IF($A190="","",SUMIFS(tblAkis[MahsupTutar],tblAkis[KaynakKartId],$B190,tblAkis[Durum],"MAHSUP"))</f>
        <v/>
      </c>
      <c r="H190" s="28">
        <f>IF($A190="","",MAX(0,$D190-$G190))</f>
        <v/>
      </c>
      <c r="I190" s="28">
        <f>IF($A190="","",IF($C190="","",raporTarihi-$C190))</f>
        <v/>
      </c>
      <c r="J190" s="28">
        <f>IF($A190="","",IF($I190="","",IF($I190&lt;=7,"0-7",IF($I190&lt;=30,"8-30",IF($I190&lt;=60,"31-60","60+")))))</f>
        <v/>
      </c>
      <c r="K190" s="28">
        <f>IF($A190="","",IF($B190="","YETİM",IF(COUNTIF(tblKartlar[KartId],$B190)=0,"YETİM","")))</f>
        <v/>
      </c>
      <c r="L190" s="28">
        <f>IF($A190="","",IF($G190&gt;$D190+kad_mahsupTolerans,"AŞIM","UYGUN"))</f>
        <v/>
      </c>
    </row>
    <row r="191">
      <c r="A191" s="26" t="n"/>
      <c r="B191" s="26" t="n"/>
      <c r="C191" s="29" t="n"/>
      <c r="D191" s="27" t="n"/>
      <c r="E191" s="26" t="n"/>
      <c r="F191" s="26" t="n"/>
      <c r="G191" s="28">
        <f>IF($A191="","",SUMIFS(tblAkis[MahsupTutar],tblAkis[KaynakKartId],$B191,tblAkis[Durum],"MAHSUP"))</f>
        <v/>
      </c>
      <c r="H191" s="28">
        <f>IF($A191="","",MAX(0,$D191-$G191))</f>
        <v/>
      </c>
      <c r="I191" s="28">
        <f>IF($A191="","",IF($C191="","",raporTarihi-$C191))</f>
        <v/>
      </c>
      <c r="J191" s="28">
        <f>IF($A191="","",IF($I191="","",IF($I191&lt;=7,"0-7",IF($I191&lt;=30,"8-30",IF($I191&lt;=60,"31-60","60+")))))</f>
        <v/>
      </c>
      <c r="K191" s="28">
        <f>IF($A191="","",IF($B191="","YETİM",IF(COUNTIF(tblKartlar[KartId],$B191)=0,"YETİM","")))</f>
        <v/>
      </c>
      <c r="L191" s="28">
        <f>IF($A191="","",IF($G191&gt;$D191+kad_mahsupTolerans,"AŞIM","UYGUN"))</f>
        <v/>
      </c>
    </row>
    <row r="192">
      <c r="A192" s="26" t="n"/>
      <c r="B192" s="26" t="n"/>
      <c r="C192" s="29" t="n"/>
      <c r="D192" s="27" t="n"/>
      <c r="E192" s="26" t="n"/>
      <c r="F192" s="26" t="n"/>
      <c r="G192" s="28">
        <f>IF($A192="","",SUMIFS(tblAkis[MahsupTutar],tblAkis[KaynakKartId],$B192,tblAkis[Durum],"MAHSUP"))</f>
        <v/>
      </c>
      <c r="H192" s="28">
        <f>IF($A192="","",MAX(0,$D192-$G192))</f>
        <v/>
      </c>
      <c r="I192" s="28">
        <f>IF($A192="","",IF($C192="","",raporTarihi-$C192))</f>
        <v/>
      </c>
      <c r="J192" s="28">
        <f>IF($A192="","",IF($I192="","",IF($I192&lt;=7,"0-7",IF($I192&lt;=30,"8-30",IF($I192&lt;=60,"31-60","60+")))))</f>
        <v/>
      </c>
      <c r="K192" s="28">
        <f>IF($A192="","",IF($B192="","YETİM",IF(COUNTIF(tblKartlar[KartId],$B192)=0,"YETİM","")))</f>
        <v/>
      </c>
      <c r="L192" s="28">
        <f>IF($A192="","",IF($G192&gt;$D192+kad_mahsupTolerans,"AŞIM","UYGUN"))</f>
        <v/>
      </c>
    </row>
    <row r="193">
      <c r="A193" s="26" t="n"/>
      <c r="B193" s="26" t="n"/>
      <c r="C193" s="29" t="n"/>
      <c r="D193" s="27" t="n"/>
      <c r="E193" s="26" t="n"/>
      <c r="F193" s="26" t="n"/>
      <c r="G193" s="28">
        <f>IF($A193="","",SUMIFS(tblAkis[MahsupTutar],tblAkis[KaynakKartId],$B193,tblAkis[Durum],"MAHSUP"))</f>
        <v/>
      </c>
      <c r="H193" s="28">
        <f>IF($A193="","",MAX(0,$D193-$G193))</f>
        <v/>
      </c>
      <c r="I193" s="28">
        <f>IF($A193="","",IF($C193="","",raporTarihi-$C193))</f>
        <v/>
      </c>
      <c r="J193" s="28">
        <f>IF($A193="","",IF($I193="","",IF($I193&lt;=7,"0-7",IF($I193&lt;=30,"8-30",IF($I193&lt;=60,"31-60","60+")))))</f>
        <v/>
      </c>
      <c r="K193" s="28">
        <f>IF($A193="","",IF($B193="","YETİM",IF(COUNTIF(tblKartlar[KartId],$B193)=0,"YETİM","")))</f>
        <v/>
      </c>
      <c r="L193" s="28">
        <f>IF($A193="","",IF($G193&gt;$D193+kad_mahsupTolerans,"AŞIM","UYGUN"))</f>
        <v/>
      </c>
    </row>
    <row r="194">
      <c r="A194" s="26" t="n"/>
      <c r="B194" s="26" t="n"/>
      <c r="C194" s="29" t="n"/>
      <c r="D194" s="27" t="n"/>
      <c r="E194" s="26" t="n"/>
      <c r="F194" s="26" t="n"/>
      <c r="G194" s="28">
        <f>IF($A194="","",SUMIFS(tblAkis[MahsupTutar],tblAkis[KaynakKartId],$B194,tblAkis[Durum],"MAHSUP"))</f>
        <v/>
      </c>
      <c r="H194" s="28">
        <f>IF($A194="","",MAX(0,$D194-$G194))</f>
        <v/>
      </c>
      <c r="I194" s="28">
        <f>IF($A194="","",IF($C194="","",raporTarihi-$C194))</f>
        <v/>
      </c>
      <c r="J194" s="28">
        <f>IF($A194="","",IF($I194="","",IF($I194&lt;=7,"0-7",IF($I194&lt;=30,"8-30",IF($I194&lt;=60,"31-60","60+")))))</f>
        <v/>
      </c>
      <c r="K194" s="28">
        <f>IF($A194="","",IF($B194="","YETİM",IF(COUNTIF(tblKartlar[KartId],$B194)=0,"YETİM","")))</f>
        <v/>
      </c>
      <c r="L194" s="28">
        <f>IF($A194="","",IF($G194&gt;$D194+kad_mahsupTolerans,"AŞIM","UYGUN"))</f>
        <v/>
      </c>
    </row>
    <row r="195">
      <c r="A195" s="26" t="n"/>
      <c r="B195" s="26" t="n"/>
      <c r="C195" s="29" t="n"/>
      <c r="D195" s="27" t="n"/>
      <c r="E195" s="26" t="n"/>
      <c r="F195" s="26" t="n"/>
      <c r="G195" s="28">
        <f>IF($A195="","",SUMIFS(tblAkis[MahsupTutar],tblAkis[KaynakKartId],$B195,tblAkis[Durum],"MAHSUP"))</f>
        <v/>
      </c>
      <c r="H195" s="28">
        <f>IF($A195="","",MAX(0,$D195-$G195))</f>
        <v/>
      </c>
      <c r="I195" s="28">
        <f>IF($A195="","",IF($C195="","",raporTarihi-$C195))</f>
        <v/>
      </c>
      <c r="J195" s="28">
        <f>IF($A195="","",IF($I195="","",IF($I195&lt;=7,"0-7",IF($I195&lt;=30,"8-30",IF($I195&lt;=60,"31-60","60+")))))</f>
        <v/>
      </c>
      <c r="K195" s="28">
        <f>IF($A195="","",IF($B195="","YETİM",IF(COUNTIF(tblKartlar[KartId],$B195)=0,"YETİM","")))</f>
        <v/>
      </c>
      <c r="L195" s="28">
        <f>IF($A195="","",IF($G195&gt;$D195+kad_mahsupTolerans,"AŞIM","UYGUN"))</f>
        <v/>
      </c>
    </row>
    <row r="196">
      <c r="A196" s="26" t="n"/>
      <c r="B196" s="26" t="n"/>
      <c r="C196" s="29" t="n"/>
      <c r="D196" s="27" t="n"/>
      <c r="E196" s="26" t="n"/>
      <c r="F196" s="26" t="n"/>
      <c r="G196" s="28">
        <f>IF($A196="","",SUMIFS(tblAkis[MahsupTutar],tblAkis[KaynakKartId],$B196,tblAkis[Durum],"MAHSUP"))</f>
        <v/>
      </c>
      <c r="H196" s="28">
        <f>IF($A196="","",MAX(0,$D196-$G196))</f>
        <v/>
      </c>
      <c r="I196" s="28">
        <f>IF($A196="","",IF($C196="","",raporTarihi-$C196))</f>
        <v/>
      </c>
      <c r="J196" s="28">
        <f>IF($A196="","",IF($I196="","",IF($I196&lt;=7,"0-7",IF($I196&lt;=30,"8-30",IF($I196&lt;=60,"31-60","60+")))))</f>
        <v/>
      </c>
      <c r="K196" s="28">
        <f>IF($A196="","",IF($B196="","YETİM",IF(COUNTIF(tblKartlar[KartId],$B196)=0,"YETİM","")))</f>
        <v/>
      </c>
      <c r="L196" s="28">
        <f>IF($A196="","",IF($G196&gt;$D196+kad_mahsupTolerans,"AŞIM","UYGUN"))</f>
        <v/>
      </c>
    </row>
    <row r="197">
      <c r="A197" s="26" t="n"/>
      <c r="B197" s="26" t="n"/>
      <c r="C197" s="29" t="n"/>
      <c r="D197" s="27" t="n"/>
      <c r="E197" s="26" t="n"/>
      <c r="F197" s="26" t="n"/>
      <c r="G197" s="28">
        <f>IF($A197="","",SUMIFS(tblAkis[MahsupTutar],tblAkis[KaynakKartId],$B197,tblAkis[Durum],"MAHSUP"))</f>
        <v/>
      </c>
      <c r="H197" s="28">
        <f>IF($A197="","",MAX(0,$D197-$G197))</f>
        <v/>
      </c>
      <c r="I197" s="28">
        <f>IF($A197="","",IF($C197="","",raporTarihi-$C197))</f>
        <v/>
      </c>
      <c r="J197" s="28">
        <f>IF($A197="","",IF($I197="","",IF($I197&lt;=7,"0-7",IF($I197&lt;=30,"8-30",IF($I197&lt;=60,"31-60","60+")))))</f>
        <v/>
      </c>
      <c r="K197" s="28">
        <f>IF($A197="","",IF($B197="","YETİM",IF(COUNTIF(tblKartlar[KartId],$B197)=0,"YETİM","")))</f>
        <v/>
      </c>
      <c r="L197" s="28">
        <f>IF($A197="","",IF($G197&gt;$D197+kad_mahsupTolerans,"AŞIM","UYGUN"))</f>
        <v/>
      </c>
    </row>
    <row r="198">
      <c r="A198" s="26" t="n"/>
      <c r="B198" s="26" t="n"/>
      <c r="C198" s="29" t="n"/>
      <c r="D198" s="27" t="n"/>
      <c r="E198" s="26" t="n"/>
      <c r="F198" s="26" t="n"/>
      <c r="G198" s="28">
        <f>IF($A198="","",SUMIFS(tblAkis[MahsupTutar],tblAkis[KaynakKartId],$B198,tblAkis[Durum],"MAHSUP"))</f>
        <v/>
      </c>
      <c r="H198" s="28">
        <f>IF($A198="","",MAX(0,$D198-$G198))</f>
        <v/>
      </c>
      <c r="I198" s="28">
        <f>IF($A198="","",IF($C198="","",raporTarihi-$C198))</f>
        <v/>
      </c>
      <c r="J198" s="28">
        <f>IF($A198="","",IF($I198="","",IF($I198&lt;=7,"0-7",IF($I198&lt;=30,"8-30",IF($I198&lt;=60,"31-60","60+")))))</f>
        <v/>
      </c>
      <c r="K198" s="28">
        <f>IF($A198="","",IF($B198="","YETİM",IF(COUNTIF(tblKartlar[KartId],$B198)=0,"YETİM","")))</f>
        <v/>
      </c>
      <c r="L198" s="28">
        <f>IF($A198="","",IF($G198&gt;$D198+kad_mahsupTolerans,"AŞIM","UYGUN"))</f>
        <v/>
      </c>
    </row>
    <row r="199">
      <c r="A199" s="26" t="n"/>
      <c r="B199" s="26" t="n"/>
      <c r="C199" s="29" t="n"/>
      <c r="D199" s="27" t="n"/>
      <c r="E199" s="26" t="n"/>
      <c r="F199" s="26" t="n"/>
      <c r="G199" s="28">
        <f>IF($A199="","",SUMIFS(tblAkis[MahsupTutar],tblAkis[KaynakKartId],$B199,tblAkis[Durum],"MAHSUP"))</f>
        <v/>
      </c>
      <c r="H199" s="28">
        <f>IF($A199="","",MAX(0,$D199-$G199))</f>
        <v/>
      </c>
      <c r="I199" s="28">
        <f>IF($A199="","",IF($C199="","",raporTarihi-$C199))</f>
        <v/>
      </c>
      <c r="J199" s="28">
        <f>IF($A199="","",IF($I199="","",IF($I199&lt;=7,"0-7",IF($I199&lt;=30,"8-30",IF($I199&lt;=60,"31-60","60+")))))</f>
        <v/>
      </c>
      <c r="K199" s="28">
        <f>IF($A199="","",IF($B199="","YETİM",IF(COUNTIF(tblKartlar[KartId],$B199)=0,"YETİM","")))</f>
        <v/>
      </c>
      <c r="L199" s="28">
        <f>IF($A199="","",IF($G199&gt;$D199+kad_mahsupTolerans,"AŞIM","UYGUN"))</f>
        <v/>
      </c>
    </row>
    <row r="200">
      <c r="A200" s="26" t="n"/>
      <c r="B200" s="26" t="n"/>
      <c r="C200" s="29" t="n"/>
      <c r="D200" s="27" t="n"/>
      <c r="E200" s="26" t="n"/>
      <c r="F200" s="26" t="n"/>
      <c r="G200" s="28">
        <f>IF($A200="","",SUMIFS(tblAkis[MahsupTutar],tblAkis[KaynakKartId],$B200,tblAkis[Durum],"MAHSUP"))</f>
        <v/>
      </c>
      <c r="H200" s="28">
        <f>IF($A200="","",MAX(0,$D200-$G200))</f>
        <v/>
      </c>
      <c r="I200" s="28">
        <f>IF($A200="","",IF($C200="","",raporTarihi-$C200))</f>
        <v/>
      </c>
      <c r="J200" s="28">
        <f>IF($A200="","",IF($I200="","",IF($I200&lt;=7,"0-7",IF($I200&lt;=30,"8-30",IF($I200&lt;=60,"31-60","60+")))))</f>
        <v/>
      </c>
      <c r="K200" s="28">
        <f>IF($A200="","",IF($B200="","YETİM",IF(COUNTIF(tblKartlar[KartId],$B200)=0,"YETİM","")))</f>
        <v/>
      </c>
      <c r="L200" s="28">
        <f>IF($A200="","",IF($G200&gt;$D200+kad_mahsupTolerans,"AŞIM","UYGUN"))</f>
        <v/>
      </c>
    </row>
    <row r="201">
      <c r="A201" s="26" t="n"/>
      <c r="B201" s="26" t="n"/>
      <c r="C201" s="29" t="n"/>
      <c r="D201" s="27" t="n"/>
      <c r="E201" s="26" t="n"/>
      <c r="F201" s="26" t="n"/>
      <c r="G201" s="28">
        <f>IF($A201="","",SUMIFS(tblAkis[MahsupTutar],tblAkis[KaynakKartId],$B201,tblAkis[Durum],"MAHSUP"))</f>
        <v/>
      </c>
      <c r="H201" s="28">
        <f>IF($A201="","",MAX(0,$D201-$G201))</f>
        <v/>
      </c>
      <c r="I201" s="28">
        <f>IF($A201="","",IF($C201="","",raporTarihi-$C201))</f>
        <v/>
      </c>
      <c r="J201" s="28">
        <f>IF($A201="","",IF($I201="","",IF($I201&lt;=7,"0-7",IF($I201&lt;=30,"8-30",IF($I201&lt;=60,"31-60","60+")))))</f>
        <v/>
      </c>
      <c r="K201" s="28">
        <f>IF($A201="","",IF($B201="","YETİM",IF(COUNTIF(tblKartlar[KartId],$B201)=0,"YETİM","")))</f>
        <v/>
      </c>
      <c r="L201" s="28">
        <f>IF($A201="","",IF($G201&gt;$D201+kad_mahsupTolerans,"AŞIM","UYGUN"))</f>
        <v/>
      </c>
    </row>
    <row r="202">
      <c r="A202" s="26" t="n"/>
      <c r="B202" s="26" t="n"/>
      <c r="C202" s="29" t="n"/>
      <c r="D202" s="27" t="n"/>
      <c r="E202" s="26" t="n"/>
      <c r="F202" s="26" t="n"/>
      <c r="G202" s="28">
        <f>IF($A202="","",SUMIFS(tblAkis[MahsupTutar],tblAkis[KaynakKartId],$B202,tblAkis[Durum],"MAHSUP"))</f>
        <v/>
      </c>
      <c r="H202" s="28">
        <f>IF($A202="","",MAX(0,$D202-$G202))</f>
        <v/>
      </c>
      <c r="I202" s="28">
        <f>IF($A202="","",IF($C202="","",raporTarihi-$C202))</f>
        <v/>
      </c>
      <c r="J202" s="28">
        <f>IF($A202="","",IF($I202="","",IF($I202&lt;=7,"0-7",IF($I202&lt;=30,"8-30",IF($I202&lt;=60,"31-60","60+")))))</f>
        <v/>
      </c>
      <c r="K202" s="28">
        <f>IF($A202="","",IF($B202="","YETİM",IF(COUNTIF(tblKartlar[KartId],$B202)=0,"YETİM","")))</f>
        <v/>
      </c>
      <c r="L202" s="28">
        <f>IF($A202="","",IF($G202&gt;$D202+kad_mahsupTolerans,"AŞIM","UYGUN"))</f>
        <v/>
      </c>
    </row>
    <row r="203">
      <c r="A203" s="26" t="n"/>
      <c r="B203" s="26" t="n"/>
      <c r="C203" s="29" t="n"/>
      <c r="D203" s="27" t="n"/>
      <c r="E203" s="26" t="n"/>
      <c r="F203" s="26" t="n"/>
      <c r="G203" s="28">
        <f>IF($A203="","",SUMIFS(tblAkis[MahsupTutar],tblAkis[KaynakKartId],$B203,tblAkis[Durum],"MAHSUP"))</f>
        <v/>
      </c>
      <c r="H203" s="28">
        <f>IF($A203="","",MAX(0,$D203-$G203))</f>
        <v/>
      </c>
      <c r="I203" s="28">
        <f>IF($A203="","",IF($C203="","",raporTarihi-$C203))</f>
        <v/>
      </c>
      <c r="J203" s="28">
        <f>IF($A203="","",IF($I203="","",IF($I203&lt;=7,"0-7",IF($I203&lt;=30,"8-30",IF($I203&lt;=60,"31-60","60+")))))</f>
        <v/>
      </c>
      <c r="K203" s="28">
        <f>IF($A203="","",IF($B203="","YETİM",IF(COUNTIF(tblKartlar[KartId],$B203)=0,"YETİM","")))</f>
        <v/>
      </c>
      <c r="L203" s="28">
        <f>IF($A203="","",IF($G203&gt;$D203+kad_mahsupTolerans,"AŞIM","UYGUN"))</f>
        <v/>
      </c>
    </row>
    <row r="204">
      <c r="A204" s="26" t="n"/>
      <c r="B204" s="26" t="n"/>
      <c r="C204" s="29" t="n"/>
      <c r="D204" s="27" t="n"/>
      <c r="E204" s="26" t="n"/>
      <c r="F204" s="26" t="n"/>
      <c r="G204" s="28">
        <f>IF($A204="","",SUMIFS(tblAkis[MahsupTutar],tblAkis[KaynakKartId],$B204,tblAkis[Durum],"MAHSUP"))</f>
        <v/>
      </c>
      <c r="H204" s="28">
        <f>IF($A204="","",MAX(0,$D204-$G204))</f>
        <v/>
      </c>
      <c r="I204" s="28">
        <f>IF($A204="","",IF($C204="","",raporTarihi-$C204))</f>
        <v/>
      </c>
      <c r="J204" s="28">
        <f>IF($A204="","",IF($I204="","",IF($I204&lt;=7,"0-7",IF($I204&lt;=30,"8-30",IF($I204&lt;=60,"31-60","60+")))))</f>
        <v/>
      </c>
      <c r="K204" s="28">
        <f>IF($A204="","",IF($B204="","YETİM",IF(COUNTIF(tblKartlar[KartId],$B204)=0,"YETİM","")))</f>
        <v/>
      </c>
      <c r="L204" s="28">
        <f>IF($A204="","",IF($G204&gt;$D204+kad_mahsupTolerans,"AŞIM","UYGUN"))</f>
        <v/>
      </c>
    </row>
    <row r="205">
      <c r="A205" s="26" t="n"/>
      <c r="B205" s="26" t="n"/>
      <c r="C205" s="29" t="n"/>
      <c r="D205" s="27" t="n"/>
      <c r="E205" s="26" t="n"/>
      <c r="F205" s="26" t="n"/>
      <c r="G205" s="28">
        <f>IF($A205="","",SUMIFS(tblAkis[MahsupTutar],tblAkis[KaynakKartId],$B205,tblAkis[Durum],"MAHSUP"))</f>
        <v/>
      </c>
      <c r="H205" s="28">
        <f>IF($A205="","",MAX(0,$D205-$G205))</f>
        <v/>
      </c>
      <c r="I205" s="28">
        <f>IF($A205="","",IF($C205="","",raporTarihi-$C205))</f>
        <v/>
      </c>
      <c r="J205" s="28">
        <f>IF($A205="","",IF($I205="","",IF($I205&lt;=7,"0-7",IF($I205&lt;=30,"8-30",IF($I205&lt;=60,"31-60","60+")))))</f>
        <v/>
      </c>
      <c r="K205" s="28">
        <f>IF($A205="","",IF($B205="","YETİM",IF(COUNTIF(tblKartlar[KartId],$B205)=0,"YETİM","")))</f>
        <v/>
      </c>
      <c r="L205" s="28">
        <f>IF($A205="","",IF($G205&gt;$D205+kad_mahsupTolerans,"AŞIM","UYGUN"))</f>
        <v/>
      </c>
    </row>
    <row r="206">
      <c r="A206" s="26" t="n"/>
      <c r="B206" s="26" t="n"/>
      <c r="C206" s="29" t="n"/>
      <c r="D206" s="27" t="n"/>
      <c r="E206" s="26" t="n"/>
      <c r="F206" s="26" t="n"/>
      <c r="G206" s="28">
        <f>IF($A206="","",SUMIFS(tblAkis[MahsupTutar],tblAkis[KaynakKartId],$B206,tblAkis[Durum],"MAHSUP"))</f>
        <v/>
      </c>
      <c r="H206" s="28">
        <f>IF($A206="","",MAX(0,$D206-$G206))</f>
        <v/>
      </c>
      <c r="I206" s="28">
        <f>IF($A206="","",IF($C206="","",raporTarihi-$C206))</f>
        <v/>
      </c>
      <c r="J206" s="28">
        <f>IF($A206="","",IF($I206="","",IF($I206&lt;=7,"0-7",IF($I206&lt;=30,"8-30",IF($I206&lt;=60,"31-60","60+")))))</f>
        <v/>
      </c>
      <c r="K206" s="28">
        <f>IF($A206="","",IF($B206="","YETİM",IF(COUNTIF(tblKartlar[KartId],$B206)=0,"YETİM","")))</f>
        <v/>
      </c>
      <c r="L206" s="28">
        <f>IF($A206="","",IF($G206&gt;$D206+kad_mahsupTolerans,"AŞIM","UYGUN"))</f>
        <v/>
      </c>
    </row>
    <row r="207">
      <c r="A207" s="26" t="n"/>
      <c r="B207" s="26" t="n"/>
      <c r="C207" s="29" t="n"/>
      <c r="D207" s="27" t="n"/>
      <c r="E207" s="26" t="n"/>
      <c r="F207" s="26" t="n"/>
      <c r="G207" s="28">
        <f>IF($A207="","",SUMIFS(tblAkis[MahsupTutar],tblAkis[KaynakKartId],$B207,tblAkis[Durum],"MAHSUP"))</f>
        <v/>
      </c>
      <c r="H207" s="28">
        <f>IF($A207="","",MAX(0,$D207-$G207))</f>
        <v/>
      </c>
      <c r="I207" s="28">
        <f>IF($A207="","",IF($C207="","",raporTarihi-$C207))</f>
        <v/>
      </c>
      <c r="J207" s="28">
        <f>IF($A207="","",IF($I207="","",IF($I207&lt;=7,"0-7",IF($I207&lt;=30,"8-30",IF($I207&lt;=60,"31-60","60+")))))</f>
        <v/>
      </c>
      <c r="K207" s="28">
        <f>IF($A207="","",IF($B207="","YETİM",IF(COUNTIF(tblKartlar[KartId],$B207)=0,"YETİM","")))</f>
        <v/>
      </c>
      <c r="L207" s="28">
        <f>IF($A207="","",IF($G207&gt;$D207+kad_mahsupTolerans,"AŞIM","UYGUN"))</f>
        <v/>
      </c>
    </row>
    <row r="208">
      <c r="A208" s="26" t="n"/>
      <c r="B208" s="26" t="n"/>
      <c r="C208" s="29" t="n"/>
      <c r="D208" s="27" t="n"/>
      <c r="E208" s="26" t="n"/>
      <c r="F208" s="26" t="n"/>
      <c r="G208" s="28">
        <f>IF($A208="","",SUMIFS(tblAkis[MahsupTutar],tblAkis[KaynakKartId],$B208,tblAkis[Durum],"MAHSUP"))</f>
        <v/>
      </c>
      <c r="H208" s="28">
        <f>IF($A208="","",MAX(0,$D208-$G208))</f>
        <v/>
      </c>
      <c r="I208" s="28">
        <f>IF($A208="","",IF($C208="","",raporTarihi-$C208))</f>
        <v/>
      </c>
      <c r="J208" s="28">
        <f>IF($A208="","",IF($I208="","",IF($I208&lt;=7,"0-7",IF($I208&lt;=30,"8-30",IF($I208&lt;=60,"31-60","60+")))))</f>
        <v/>
      </c>
      <c r="K208" s="28">
        <f>IF($A208="","",IF($B208="","YETİM",IF(COUNTIF(tblKartlar[KartId],$B208)=0,"YETİM","")))</f>
        <v/>
      </c>
      <c r="L208" s="28">
        <f>IF($A208="","",IF($G208&gt;$D208+kad_mahsupTolerans,"AŞIM","UYGUN"))</f>
        <v/>
      </c>
    </row>
    <row r="209">
      <c r="A209" s="26" t="n"/>
      <c r="B209" s="26" t="n"/>
      <c r="C209" s="29" t="n"/>
      <c r="D209" s="27" t="n"/>
      <c r="E209" s="26" t="n"/>
      <c r="F209" s="26" t="n"/>
      <c r="G209" s="28">
        <f>IF($A209="","",SUMIFS(tblAkis[MahsupTutar],tblAkis[KaynakKartId],$B209,tblAkis[Durum],"MAHSUP"))</f>
        <v/>
      </c>
      <c r="H209" s="28">
        <f>IF($A209="","",MAX(0,$D209-$G209))</f>
        <v/>
      </c>
      <c r="I209" s="28">
        <f>IF($A209="","",IF($C209="","",raporTarihi-$C209))</f>
        <v/>
      </c>
      <c r="J209" s="28">
        <f>IF($A209="","",IF($I209="","",IF($I209&lt;=7,"0-7",IF($I209&lt;=30,"8-30",IF($I209&lt;=60,"31-60","60+")))))</f>
        <v/>
      </c>
      <c r="K209" s="28">
        <f>IF($A209="","",IF($B209="","YETİM",IF(COUNTIF(tblKartlar[KartId],$B209)=0,"YETİM","")))</f>
        <v/>
      </c>
      <c r="L209" s="28">
        <f>IF($A209="","",IF($G209&gt;$D209+kad_mahsupTolerans,"AŞIM","UYGUN"))</f>
        <v/>
      </c>
    </row>
    <row r="210">
      <c r="A210" s="26" t="n"/>
      <c r="B210" s="26" t="n"/>
      <c r="C210" s="29" t="n"/>
      <c r="D210" s="27" t="n"/>
      <c r="E210" s="26" t="n"/>
      <c r="F210" s="26" t="n"/>
      <c r="G210" s="28">
        <f>IF($A210="","",SUMIFS(tblAkis[MahsupTutar],tblAkis[KaynakKartId],$B210,tblAkis[Durum],"MAHSUP"))</f>
        <v/>
      </c>
      <c r="H210" s="28">
        <f>IF($A210="","",MAX(0,$D210-$G210))</f>
        <v/>
      </c>
      <c r="I210" s="28">
        <f>IF($A210="","",IF($C210="","",raporTarihi-$C210))</f>
        <v/>
      </c>
      <c r="J210" s="28">
        <f>IF($A210="","",IF($I210="","",IF($I210&lt;=7,"0-7",IF($I210&lt;=30,"8-30",IF($I210&lt;=60,"31-60","60+")))))</f>
        <v/>
      </c>
      <c r="K210" s="28">
        <f>IF($A210="","",IF($B210="","YETİM",IF(COUNTIF(tblKartlar[KartId],$B210)=0,"YETİM","")))</f>
        <v/>
      </c>
      <c r="L210" s="28">
        <f>IF($A210="","",IF($G210&gt;$D210+kad_mahsupTolerans,"AŞIM","UYGUN"))</f>
        <v/>
      </c>
    </row>
    <row r="211">
      <c r="A211" s="26" t="n"/>
      <c r="B211" s="26" t="n"/>
      <c r="C211" s="29" t="n"/>
      <c r="D211" s="27" t="n"/>
      <c r="E211" s="26" t="n"/>
      <c r="F211" s="26" t="n"/>
      <c r="G211" s="28">
        <f>IF($A211="","",SUMIFS(tblAkis[MahsupTutar],tblAkis[KaynakKartId],$B211,tblAkis[Durum],"MAHSUP"))</f>
        <v/>
      </c>
      <c r="H211" s="28">
        <f>IF($A211="","",MAX(0,$D211-$G211))</f>
        <v/>
      </c>
      <c r="I211" s="28">
        <f>IF($A211="","",IF($C211="","",raporTarihi-$C211))</f>
        <v/>
      </c>
      <c r="J211" s="28">
        <f>IF($A211="","",IF($I211="","",IF($I211&lt;=7,"0-7",IF($I211&lt;=30,"8-30",IF($I211&lt;=60,"31-60","60+")))))</f>
        <v/>
      </c>
      <c r="K211" s="28">
        <f>IF($A211="","",IF($B211="","YETİM",IF(COUNTIF(tblKartlar[KartId],$B211)=0,"YETİM","")))</f>
        <v/>
      </c>
      <c r="L211" s="28">
        <f>IF($A211="","",IF($G211&gt;$D211+kad_mahsupTolerans,"AŞIM","UYGUN"))</f>
        <v/>
      </c>
    </row>
    <row r="212">
      <c r="A212" s="26" t="n"/>
      <c r="B212" s="26" t="n"/>
      <c r="C212" s="29" t="n"/>
      <c r="D212" s="27" t="n"/>
      <c r="E212" s="26" t="n"/>
      <c r="F212" s="26" t="n"/>
      <c r="G212" s="28">
        <f>IF($A212="","",SUMIFS(tblAkis[MahsupTutar],tblAkis[KaynakKartId],$B212,tblAkis[Durum],"MAHSUP"))</f>
        <v/>
      </c>
      <c r="H212" s="28">
        <f>IF($A212="","",MAX(0,$D212-$G212))</f>
        <v/>
      </c>
      <c r="I212" s="28">
        <f>IF($A212="","",IF($C212="","",raporTarihi-$C212))</f>
        <v/>
      </c>
      <c r="J212" s="28">
        <f>IF($A212="","",IF($I212="","",IF($I212&lt;=7,"0-7",IF($I212&lt;=30,"8-30",IF($I212&lt;=60,"31-60","60+")))))</f>
        <v/>
      </c>
      <c r="K212" s="28">
        <f>IF($A212="","",IF($B212="","YETİM",IF(COUNTIF(tblKartlar[KartId],$B212)=0,"YETİM","")))</f>
        <v/>
      </c>
      <c r="L212" s="28">
        <f>IF($A212="","",IF($G212&gt;$D212+kad_mahsupTolerans,"AŞIM","UYGUN"))</f>
        <v/>
      </c>
    </row>
    <row r="213">
      <c r="A213" s="26" t="n"/>
      <c r="B213" s="26" t="n"/>
      <c r="C213" s="29" t="n"/>
      <c r="D213" s="27" t="n"/>
      <c r="E213" s="26" t="n"/>
      <c r="F213" s="26" t="n"/>
      <c r="G213" s="28">
        <f>IF($A213="","",SUMIFS(tblAkis[MahsupTutar],tblAkis[KaynakKartId],$B213,tblAkis[Durum],"MAHSUP"))</f>
        <v/>
      </c>
      <c r="H213" s="28">
        <f>IF($A213="","",MAX(0,$D213-$G213))</f>
        <v/>
      </c>
      <c r="I213" s="28">
        <f>IF($A213="","",IF($C213="","",raporTarihi-$C213))</f>
        <v/>
      </c>
      <c r="J213" s="28">
        <f>IF($A213="","",IF($I213="","",IF($I213&lt;=7,"0-7",IF($I213&lt;=30,"8-30",IF($I213&lt;=60,"31-60","60+")))))</f>
        <v/>
      </c>
      <c r="K213" s="28">
        <f>IF($A213="","",IF($B213="","YETİM",IF(COUNTIF(tblKartlar[KartId],$B213)=0,"YETİM","")))</f>
        <v/>
      </c>
      <c r="L213" s="28">
        <f>IF($A213="","",IF($G213&gt;$D213+kad_mahsupTolerans,"AŞIM","UYGUN"))</f>
        <v/>
      </c>
    </row>
    <row r="214">
      <c r="A214" s="26" t="n"/>
      <c r="B214" s="26" t="n"/>
      <c r="C214" s="29" t="n"/>
      <c r="D214" s="27" t="n"/>
      <c r="E214" s="26" t="n"/>
      <c r="F214" s="26" t="n"/>
      <c r="G214" s="28">
        <f>IF($A214="","",SUMIFS(tblAkis[MahsupTutar],tblAkis[KaynakKartId],$B214,tblAkis[Durum],"MAHSUP"))</f>
        <v/>
      </c>
      <c r="H214" s="28">
        <f>IF($A214="","",MAX(0,$D214-$G214))</f>
        <v/>
      </c>
      <c r="I214" s="28">
        <f>IF($A214="","",IF($C214="","",raporTarihi-$C214))</f>
        <v/>
      </c>
      <c r="J214" s="28">
        <f>IF($A214="","",IF($I214="","",IF($I214&lt;=7,"0-7",IF($I214&lt;=30,"8-30",IF($I214&lt;=60,"31-60","60+")))))</f>
        <v/>
      </c>
      <c r="K214" s="28">
        <f>IF($A214="","",IF($B214="","YETİM",IF(COUNTIF(tblKartlar[KartId],$B214)=0,"YETİM","")))</f>
        <v/>
      </c>
      <c r="L214" s="28">
        <f>IF($A214="","",IF($G214&gt;$D214+kad_mahsupTolerans,"AŞIM","UYGUN"))</f>
        <v/>
      </c>
    </row>
    <row r="215">
      <c r="A215" s="26" t="n"/>
      <c r="B215" s="26" t="n"/>
      <c r="C215" s="29" t="n"/>
      <c r="D215" s="27" t="n"/>
      <c r="E215" s="26" t="n"/>
      <c r="F215" s="26" t="n"/>
      <c r="G215" s="28">
        <f>IF($A215="","",SUMIFS(tblAkis[MahsupTutar],tblAkis[KaynakKartId],$B215,tblAkis[Durum],"MAHSUP"))</f>
        <v/>
      </c>
      <c r="H215" s="28">
        <f>IF($A215="","",MAX(0,$D215-$G215))</f>
        <v/>
      </c>
      <c r="I215" s="28">
        <f>IF($A215="","",IF($C215="","",raporTarihi-$C215))</f>
        <v/>
      </c>
      <c r="J215" s="28">
        <f>IF($A215="","",IF($I215="","",IF($I215&lt;=7,"0-7",IF($I215&lt;=30,"8-30",IF($I215&lt;=60,"31-60","60+")))))</f>
        <v/>
      </c>
      <c r="K215" s="28">
        <f>IF($A215="","",IF($B215="","YETİM",IF(COUNTIF(tblKartlar[KartId],$B215)=0,"YETİM","")))</f>
        <v/>
      </c>
      <c r="L215" s="28">
        <f>IF($A215="","",IF($G215&gt;$D215+kad_mahsupTolerans,"AŞIM","UYGUN"))</f>
        <v/>
      </c>
    </row>
    <row r="216">
      <c r="A216" s="26" t="n"/>
      <c r="B216" s="26" t="n"/>
      <c r="C216" s="29" t="n"/>
      <c r="D216" s="27" t="n"/>
      <c r="E216" s="26" t="n"/>
      <c r="F216" s="26" t="n"/>
      <c r="G216" s="28">
        <f>IF($A216="","",SUMIFS(tblAkis[MahsupTutar],tblAkis[KaynakKartId],$B216,tblAkis[Durum],"MAHSUP"))</f>
        <v/>
      </c>
      <c r="H216" s="28">
        <f>IF($A216="","",MAX(0,$D216-$G216))</f>
        <v/>
      </c>
      <c r="I216" s="28">
        <f>IF($A216="","",IF($C216="","",raporTarihi-$C216))</f>
        <v/>
      </c>
      <c r="J216" s="28">
        <f>IF($A216="","",IF($I216="","",IF($I216&lt;=7,"0-7",IF($I216&lt;=30,"8-30",IF($I216&lt;=60,"31-60","60+")))))</f>
        <v/>
      </c>
      <c r="K216" s="28">
        <f>IF($A216="","",IF($B216="","YETİM",IF(COUNTIF(tblKartlar[KartId],$B216)=0,"YETİM","")))</f>
        <v/>
      </c>
      <c r="L216" s="28">
        <f>IF($A216="","",IF($G216&gt;$D216+kad_mahsupTolerans,"AŞIM","UYGUN"))</f>
        <v/>
      </c>
    </row>
    <row r="217">
      <c r="A217" s="26" t="n"/>
      <c r="B217" s="26" t="n"/>
      <c r="C217" s="29" t="n"/>
      <c r="D217" s="27" t="n"/>
      <c r="E217" s="26" t="n"/>
      <c r="F217" s="26" t="n"/>
      <c r="G217" s="28">
        <f>IF($A217="","",SUMIFS(tblAkis[MahsupTutar],tblAkis[KaynakKartId],$B217,tblAkis[Durum],"MAHSUP"))</f>
        <v/>
      </c>
      <c r="H217" s="28">
        <f>IF($A217="","",MAX(0,$D217-$G217))</f>
        <v/>
      </c>
      <c r="I217" s="28">
        <f>IF($A217="","",IF($C217="","",raporTarihi-$C217))</f>
        <v/>
      </c>
      <c r="J217" s="28">
        <f>IF($A217="","",IF($I217="","",IF($I217&lt;=7,"0-7",IF($I217&lt;=30,"8-30",IF($I217&lt;=60,"31-60","60+")))))</f>
        <v/>
      </c>
      <c r="K217" s="28">
        <f>IF($A217="","",IF($B217="","YETİM",IF(COUNTIF(tblKartlar[KartId],$B217)=0,"YETİM","")))</f>
        <v/>
      </c>
      <c r="L217" s="28">
        <f>IF($A217="","",IF($G217&gt;$D217+kad_mahsupTolerans,"AŞIM","UYGUN"))</f>
        <v/>
      </c>
    </row>
    <row r="218">
      <c r="A218" s="26" t="n"/>
      <c r="B218" s="26" t="n"/>
      <c r="C218" s="29" t="n"/>
      <c r="D218" s="27" t="n"/>
      <c r="E218" s="26" t="n"/>
      <c r="F218" s="26" t="n"/>
      <c r="G218" s="28">
        <f>IF($A218="","",SUMIFS(tblAkis[MahsupTutar],tblAkis[KaynakKartId],$B218,tblAkis[Durum],"MAHSUP"))</f>
        <v/>
      </c>
      <c r="H218" s="28">
        <f>IF($A218="","",MAX(0,$D218-$G218))</f>
        <v/>
      </c>
      <c r="I218" s="28">
        <f>IF($A218="","",IF($C218="","",raporTarihi-$C218))</f>
        <v/>
      </c>
      <c r="J218" s="28">
        <f>IF($A218="","",IF($I218="","",IF($I218&lt;=7,"0-7",IF($I218&lt;=30,"8-30",IF($I218&lt;=60,"31-60","60+")))))</f>
        <v/>
      </c>
      <c r="K218" s="28">
        <f>IF($A218="","",IF($B218="","YETİM",IF(COUNTIF(tblKartlar[KartId],$B218)=0,"YETİM","")))</f>
        <v/>
      </c>
      <c r="L218" s="28">
        <f>IF($A218="","",IF($G218&gt;$D218+kad_mahsupTolerans,"AŞIM","UYGUN"))</f>
        <v/>
      </c>
    </row>
    <row r="219">
      <c r="A219" s="26" t="n"/>
      <c r="B219" s="26" t="n"/>
      <c r="C219" s="29" t="n"/>
      <c r="D219" s="27" t="n"/>
      <c r="E219" s="26" t="n"/>
      <c r="F219" s="26" t="n"/>
      <c r="G219" s="28">
        <f>IF($A219="","",SUMIFS(tblAkis[MahsupTutar],tblAkis[KaynakKartId],$B219,tblAkis[Durum],"MAHSUP"))</f>
        <v/>
      </c>
      <c r="H219" s="28">
        <f>IF($A219="","",MAX(0,$D219-$G219))</f>
        <v/>
      </c>
      <c r="I219" s="28">
        <f>IF($A219="","",IF($C219="","",raporTarihi-$C219))</f>
        <v/>
      </c>
      <c r="J219" s="28">
        <f>IF($A219="","",IF($I219="","",IF($I219&lt;=7,"0-7",IF($I219&lt;=30,"8-30",IF($I219&lt;=60,"31-60","60+")))))</f>
        <v/>
      </c>
      <c r="K219" s="28">
        <f>IF($A219="","",IF($B219="","YETİM",IF(COUNTIF(tblKartlar[KartId],$B219)=0,"YETİM","")))</f>
        <v/>
      </c>
      <c r="L219" s="28">
        <f>IF($A219="","",IF($G219&gt;$D219+kad_mahsupTolerans,"AŞIM","UYGUN"))</f>
        <v/>
      </c>
    </row>
    <row r="220">
      <c r="A220" s="26" t="n"/>
      <c r="B220" s="26" t="n"/>
      <c r="C220" s="29" t="n"/>
      <c r="D220" s="27" t="n"/>
      <c r="E220" s="26" t="n"/>
      <c r="F220" s="26" t="n"/>
      <c r="G220" s="28">
        <f>IF($A220="","",SUMIFS(tblAkis[MahsupTutar],tblAkis[KaynakKartId],$B220,tblAkis[Durum],"MAHSUP"))</f>
        <v/>
      </c>
      <c r="H220" s="28">
        <f>IF($A220="","",MAX(0,$D220-$G220))</f>
        <v/>
      </c>
      <c r="I220" s="28">
        <f>IF($A220="","",IF($C220="","",raporTarihi-$C220))</f>
        <v/>
      </c>
      <c r="J220" s="28">
        <f>IF($A220="","",IF($I220="","",IF($I220&lt;=7,"0-7",IF($I220&lt;=30,"8-30",IF($I220&lt;=60,"31-60","60+")))))</f>
        <v/>
      </c>
      <c r="K220" s="28">
        <f>IF($A220="","",IF($B220="","YETİM",IF(COUNTIF(tblKartlar[KartId],$B220)=0,"YETİM","")))</f>
        <v/>
      </c>
      <c r="L220" s="28">
        <f>IF($A220="","",IF($G220&gt;$D220+kad_mahsupTolerans,"AŞIM","UYGUN"))</f>
        <v/>
      </c>
    </row>
    <row r="221">
      <c r="A221" s="26" t="n"/>
      <c r="B221" s="26" t="n"/>
      <c r="C221" s="29" t="n"/>
      <c r="D221" s="27" t="n"/>
      <c r="E221" s="26" t="n"/>
      <c r="F221" s="26" t="n"/>
      <c r="G221" s="28">
        <f>IF($A221="","",SUMIFS(tblAkis[MahsupTutar],tblAkis[KaynakKartId],$B221,tblAkis[Durum],"MAHSUP"))</f>
        <v/>
      </c>
      <c r="H221" s="28">
        <f>IF($A221="","",MAX(0,$D221-$G221))</f>
        <v/>
      </c>
      <c r="I221" s="28">
        <f>IF($A221="","",IF($C221="","",raporTarihi-$C221))</f>
        <v/>
      </c>
      <c r="J221" s="28">
        <f>IF($A221="","",IF($I221="","",IF($I221&lt;=7,"0-7",IF($I221&lt;=30,"8-30",IF($I221&lt;=60,"31-60","60+")))))</f>
        <v/>
      </c>
      <c r="K221" s="28">
        <f>IF($A221="","",IF($B221="","YETİM",IF(COUNTIF(tblKartlar[KartId],$B221)=0,"YETİM","")))</f>
        <v/>
      </c>
      <c r="L221" s="28">
        <f>IF($A221="","",IF($G221&gt;$D221+kad_mahsupTolerans,"AŞIM","UYGUN"))</f>
        <v/>
      </c>
    </row>
    <row r="222">
      <c r="A222" s="26" t="n"/>
      <c r="B222" s="26" t="n"/>
      <c r="C222" s="29" t="n"/>
      <c r="D222" s="27" t="n"/>
      <c r="E222" s="26" t="n"/>
      <c r="F222" s="26" t="n"/>
      <c r="G222" s="28">
        <f>IF($A222="","",SUMIFS(tblAkis[MahsupTutar],tblAkis[KaynakKartId],$B222,tblAkis[Durum],"MAHSUP"))</f>
        <v/>
      </c>
      <c r="H222" s="28">
        <f>IF($A222="","",MAX(0,$D222-$G222))</f>
        <v/>
      </c>
      <c r="I222" s="28">
        <f>IF($A222="","",IF($C222="","",raporTarihi-$C222))</f>
        <v/>
      </c>
      <c r="J222" s="28">
        <f>IF($A222="","",IF($I222="","",IF($I222&lt;=7,"0-7",IF($I222&lt;=30,"8-30",IF($I222&lt;=60,"31-60","60+")))))</f>
        <v/>
      </c>
      <c r="K222" s="28">
        <f>IF($A222="","",IF($B222="","YETİM",IF(COUNTIF(tblKartlar[KartId],$B222)=0,"YETİM","")))</f>
        <v/>
      </c>
      <c r="L222" s="28">
        <f>IF($A222="","",IF($G222&gt;$D222+kad_mahsupTolerans,"AŞIM","UYGUN"))</f>
        <v/>
      </c>
    </row>
    <row r="223">
      <c r="A223" s="26" t="n"/>
      <c r="B223" s="26" t="n"/>
      <c r="C223" s="29" t="n"/>
      <c r="D223" s="27" t="n"/>
      <c r="E223" s="26" t="n"/>
      <c r="F223" s="26" t="n"/>
      <c r="G223" s="28">
        <f>IF($A223="","",SUMIFS(tblAkis[MahsupTutar],tblAkis[KaynakKartId],$B223,tblAkis[Durum],"MAHSUP"))</f>
        <v/>
      </c>
      <c r="H223" s="28">
        <f>IF($A223="","",MAX(0,$D223-$G223))</f>
        <v/>
      </c>
      <c r="I223" s="28">
        <f>IF($A223="","",IF($C223="","",raporTarihi-$C223))</f>
        <v/>
      </c>
      <c r="J223" s="28">
        <f>IF($A223="","",IF($I223="","",IF($I223&lt;=7,"0-7",IF($I223&lt;=30,"8-30",IF($I223&lt;=60,"31-60","60+")))))</f>
        <v/>
      </c>
      <c r="K223" s="28">
        <f>IF($A223="","",IF($B223="","YETİM",IF(COUNTIF(tblKartlar[KartId],$B223)=0,"YETİM","")))</f>
        <v/>
      </c>
      <c r="L223" s="28">
        <f>IF($A223="","",IF($G223&gt;$D223+kad_mahsupTolerans,"AŞIM","UYGUN"))</f>
        <v/>
      </c>
    </row>
    <row r="224">
      <c r="A224" s="26" t="n"/>
      <c r="B224" s="26" t="n"/>
      <c r="C224" s="29" t="n"/>
      <c r="D224" s="27" t="n"/>
      <c r="E224" s="26" t="n"/>
      <c r="F224" s="26" t="n"/>
      <c r="G224" s="28">
        <f>IF($A224="","",SUMIFS(tblAkis[MahsupTutar],tblAkis[KaynakKartId],$B224,tblAkis[Durum],"MAHSUP"))</f>
        <v/>
      </c>
      <c r="H224" s="28">
        <f>IF($A224="","",MAX(0,$D224-$G224))</f>
        <v/>
      </c>
      <c r="I224" s="28">
        <f>IF($A224="","",IF($C224="","",raporTarihi-$C224))</f>
        <v/>
      </c>
      <c r="J224" s="28">
        <f>IF($A224="","",IF($I224="","",IF($I224&lt;=7,"0-7",IF($I224&lt;=30,"8-30",IF($I224&lt;=60,"31-60","60+")))))</f>
        <v/>
      </c>
      <c r="K224" s="28">
        <f>IF($A224="","",IF($B224="","YETİM",IF(COUNTIF(tblKartlar[KartId],$B224)=0,"YETİM","")))</f>
        <v/>
      </c>
      <c r="L224" s="28">
        <f>IF($A224="","",IF($G224&gt;$D224+kad_mahsupTolerans,"AŞIM","UYGUN"))</f>
        <v/>
      </c>
    </row>
    <row r="225">
      <c r="A225" s="26" t="n"/>
      <c r="B225" s="26" t="n"/>
      <c r="C225" s="29" t="n"/>
      <c r="D225" s="27" t="n"/>
      <c r="E225" s="26" t="n"/>
      <c r="F225" s="26" t="n"/>
      <c r="G225" s="28">
        <f>IF($A225="","",SUMIFS(tblAkis[MahsupTutar],tblAkis[KaynakKartId],$B225,tblAkis[Durum],"MAHSUP"))</f>
        <v/>
      </c>
      <c r="H225" s="28">
        <f>IF($A225="","",MAX(0,$D225-$G225))</f>
        <v/>
      </c>
      <c r="I225" s="28">
        <f>IF($A225="","",IF($C225="","",raporTarihi-$C225))</f>
        <v/>
      </c>
      <c r="J225" s="28">
        <f>IF($A225="","",IF($I225="","",IF($I225&lt;=7,"0-7",IF($I225&lt;=30,"8-30",IF($I225&lt;=60,"31-60","60+")))))</f>
        <v/>
      </c>
      <c r="K225" s="28">
        <f>IF($A225="","",IF($B225="","YETİM",IF(COUNTIF(tblKartlar[KartId],$B225)=0,"YETİM","")))</f>
        <v/>
      </c>
      <c r="L225" s="28">
        <f>IF($A225="","",IF($G225&gt;$D225+kad_mahsupTolerans,"AŞIM","UYGUN"))</f>
        <v/>
      </c>
    </row>
    <row r="226">
      <c r="A226" s="26" t="n"/>
      <c r="B226" s="26" t="n"/>
      <c r="C226" s="29" t="n"/>
      <c r="D226" s="27" t="n"/>
      <c r="E226" s="26" t="n"/>
      <c r="F226" s="26" t="n"/>
      <c r="G226" s="28">
        <f>IF($A226="","",SUMIFS(tblAkis[MahsupTutar],tblAkis[KaynakKartId],$B226,tblAkis[Durum],"MAHSUP"))</f>
        <v/>
      </c>
      <c r="H226" s="28">
        <f>IF($A226="","",MAX(0,$D226-$G226))</f>
        <v/>
      </c>
      <c r="I226" s="28">
        <f>IF($A226="","",IF($C226="","",raporTarihi-$C226))</f>
        <v/>
      </c>
      <c r="J226" s="28">
        <f>IF($A226="","",IF($I226="","",IF($I226&lt;=7,"0-7",IF($I226&lt;=30,"8-30",IF($I226&lt;=60,"31-60","60+")))))</f>
        <v/>
      </c>
      <c r="K226" s="28">
        <f>IF($A226="","",IF($B226="","YETİM",IF(COUNTIF(tblKartlar[KartId],$B226)=0,"YETİM","")))</f>
        <v/>
      </c>
      <c r="L226" s="28">
        <f>IF($A226="","",IF($G226&gt;$D226+kad_mahsupTolerans,"AŞIM","UYGUN"))</f>
        <v/>
      </c>
    </row>
    <row r="227">
      <c r="A227" s="26" t="n"/>
      <c r="B227" s="26" t="n"/>
      <c r="C227" s="29" t="n"/>
      <c r="D227" s="27" t="n"/>
      <c r="E227" s="26" t="n"/>
      <c r="F227" s="26" t="n"/>
      <c r="G227" s="28">
        <f>IF($A227="","",SUMIFS(tblAkis[MahsupTutar],tblAkis[KaynakKartId],$B227,tblAkis[Durum],"MAHSUP"))</f>
        <v/>
      </c>
      <c r="H227" s="28">
        <f>IF($A227="","",MAX(0,$D227-$G227))</f>
        <v/>
      </c>
      <c r="I227" s="28">
        <f>IF($A227="","",IF($C227="","",raporTarihi-$C227))</f>
        <v/>
      </c>
      <c r="J227" s="28">
        <f>IF($A227="","",IF($I227="","",IF($I227&lt;=7,"0-7",IF($I227&lt;=30,"8-30",IF($I227&lt;=60,"31-60","60+")))))</f>
        <v/>
      </c>
      <c r="K227" s="28">
        <f>IF($A227="","",IF($B227="","YETİM",IF(COUNTIF(tblKartlar[KartId],$B227)=0,"YETİM","")))</f>
        <v/>
      </c>
      <c r="L227" s="28">
        <f>IF($A227="","",IF($G227&gt;$D227+kad_mahsupTolerans,"AŞIM","UYGUN"))</f>
        <v/>
      </c>
    </row>
    <row r="228">
      <c r="A228" s="26" t="n"/>
      <c r="B228" s="26" t="n"/>
      <c r="C228" s="29" t="n"/>
      <c r="D228" s="27" t="n"/>
      <c r="E228" s="26" t="n"/>
      <c r="F228" s="26" t="n"/>
      <c r="G228" s="28">
        <f>IF($A228="","",SUMIFS(tblAkis[MahsupTutar],tblAkis[KaynakKartId],$B228,tblAkis[Durum],"MAHSUP"))</f>
        <v/>
      </c>
      <c r="H228" s="28">
        <f>IF($A228="","",MAX(0,$D228-$G228))</f>
        <v/>
      </c>
      <c r="I228" s="28">
        <f>IF($A228="","",IF($C228="","",raporTarihi-$C228))</f>
        <v/>
      </c>
      <c r="J228" s="28">
        <f>IF($A228="","",IF($I228="","",IF($I228&lt;=7,"0-7",IF($I228&lt;=30,"8-30",IF($I228&lt;=60,"31-60","60+")))))</f>
        <v/>
      </c>
      <c r="K228" s="28">
        <f>IF($A228="","",IF($B228="","YETİM",IF(COUNTIF(tblKartlar[KartId],$B228)=0,"YETİM","")))</f>
        <v/>
      </c>
      <c r="L228" s="28">
        <f>IF($A228="","",IF($G228&gt;$D228+kad_mahsupTolerans,"AŞIM","UYGUN"))</f>
        <v/>
      </c>
    </row>
    <row r="229">
      <c r="A229" s="26" t="n"/>
      <c r="B229" s="26" t="n"/>
      <c r="C229" s="29" t="n"/>
      <c r="D229" s="27" t="n"/>
      <c r="E229" s="26" t="n"/>
      <c r="F229" s="26" t="n"/>
      <c r="G229" s="28">
        <f>IF($A229="","",SUMIFS(tblAkis[MahsupTutar],tblAkis[KaynakKartId],$B229,tblAkis[Durum],"MAHSUP"))</f>
        <v/>
      </c>
      <c r="H229" s="28">
        <f>IF($A229="","",MAX(0,$D229-$G229))</f>
        <v/>
      </c>
      <c r="I229" s="28">
        <f>IF($A229="","",IF($C229="","",raporTarihi-$C229))</f>
        <v/>
      </c>
      <c r="J229" s="28">
        <f>IF($A229="","",IF($I229="","",IF($I229&lt;=7,"0-7",IF($I229&lt;=30,"8-30",IF($I229&lt;=60,"31-60","60+")))))</f>
        <v/>
      </c>
      <c r="K229" s="28">
        <f>IF($A229="","",IF($B229="","YETİM",IF(COUNTIF(tblKartlar[KartId],$B229)=0,"YETİM","")))</f>
        <v/>
      </c>
      <c r="L229" s="28">
        <f>IF($A229="","",IF($G229&gt;$D229+kad_mahsupTolerans,"AŞIM","UYGUN"))</f>
        <v/>
      </c>
    </row>
    <row r="230">
      <c r="A230" s="26" t="n"/>
      <c r="B230" s="26" t="n"/>
      <c r="C230" s="29" t="n"/>
      <c r="D230" s="27" t="n"/>
      <c r="E230" s="26" t="n"/>
      <c r="F230" s="26" t="n"/>
      <c r="G230" s="28">
        <f>IF($A230="","",SUMIFS(tblAkis[MahsupTutar],tblAkis[KaynakKartId],$B230,tblAkis[Durum],"MAHSUP"))</f>
        <v/>
      </c>
      <c r="H230" s="28">
        <f>IF($A230="","",MAX(0,$D230-$G230))</f>
        <v/>
      </c>
      <c r="I230" s="28">
        <f>IF($A230="","",IF($C230="","",raporTarihi-$C230))</f>
        <v/>
      </c>
      <c r="J230" s="28">
        <f>IF($A230="","",IF($I230="","",IF($I230&lt;=7,"0-7",IF($I230&lt;=30,"8-30",IF($I230&lt;=60,"31-60","60+")))))</f>
        <v/>
      </c>
      <c r="K230" s="28">
        <f>IF($A230="","",IF($B230="","YETİM",IF(COUNTIF(tblKartlar[KartId],$B230)=0,"YETİM","")))</f>
        <v/>
      </c>
      <c r="L230" s="28">
        <f>IF($A230="","",IF($G230&gt;$D230+kad_mahsupTolerans,"AŞIM","UYGUN"))</f>
        <v/>
      </c>
    </row>
    <row r="231">
      <c r="A231" s="26" t="n"/>
      <c r="B231" s="26" t="n"/>
      <c r="C231" s="29" t="n"/>
      <c r="D231" s="27" t="n"/>
      <c r="E231" s="26" t="n"/>
      <c r="F231" s="26" t="n"/>
      <c r="G231" s="28">
        <f>IF($A231="","",SUMIFS(tblAkis[MahsupTutar],tblAkis[KaynakKartId],$B231,tblAkis[Durum],"MAHSUP"))</f>
        <v/>
      </c>
      <c r="H231" s="28">
        <f>IF($A231="","",MAX(0,$D231-$G231))</f>
        <v/>
      </c>
      <c r="I231" s="28">
        <f>IF($A231="","",IF($C231="","",raporTarihi-$C231))</f>
        <v/>
      </c>
      <c r="J231" s="28">
        <f>IF($A231="","",IF($I231="","",IF($I231&lt;=7,"0-7",IF($I231&lt;=30,"8-30",IF($I231&lt;=60,"31-60","60+")))))</f>
        <v/>
      </c>
      <c r="K231" s="28">
        <f>IF($A231="","",IF($B231="","YETİM",IF(COUNTIF(tblKartlar[KartId],$B231)=0,"YETİM","")))</f>
        <v/>
      </c>
      <c r="L231" s="28">
        <f>IF($A231="","",IF($G231&gt;$D231+kad_mahsupTolerans,"AŞIM","UYGUN"))</f>
        <v/>
      </c>
    </row>
    <row r="232">
      <c r="A232" s="26" t="n"/>
      <c r="B232" s="26" t="n"/>
      <c r="C232" s="29" t="n"/>
      <c r="D232" s="27" t="n"/>
      <c r="E232" s="26" t="n"/>
      <c r="F232" s="26" t="n"/>
      <c r="G232" s="28">
        <f>IF($A232="","",SUMIFS(tblAkis[MahsupTutar],tblAkis[KaynakKartId],$B232,tblAkis[Durum],"MAHSUP"))</f>
        <v/>
      </c>
      <c r="H232" s="28">
        <f>IF($A232="","",MAX(0,$D232-$G232))</f>
        <v/>
      </c>
      <c r="I232" s="28">
        <f>IF($A232="","",IF($C232="","",raporTarihi-$C232))</f>
        <v/>
      </c>
      <c r="J232" s="28">
        <f>IF($A232="","",IF($I232="","",IF($I232&lt;=7,"0-7",IF($I232&lt;=30,"8-30",IF($I232&lt;=60,"31-60","60+")))))</f>
        <v/>
      </c>
      <c r="K232" s="28">
        <f>IF($A232="","",IF($B232="","YETİM",IF(COUNTIF(tblKartlar[KartId],$B232)=0,"YETİM","")))</f>
        <v/>
      </c>
      <c r="L232" s="28">
        <f>IF($A232="","",IF($G232&gt;$D232+kad_mahsupTolerans,"AŞIM","UYGUN"))</f>
        <v/>
      </c>
    </row>
    <row r="233">
      <c r="A233" s="26" t="n"/>
      <c r="B233" s="26" t="n"/>
      <c r="C233" s="29" t="n"/>
      <c r="D233" s="27" t="n"/>
      <c r="E233" s="26" t="n"/>
      <c r="F233" s="26" t="n"/>
      <c r="G233" s="28">
        <f>IF($A233="","",SUMIFS(tblAkis[MahsupTutar],tblAkis[KaynakKartId],$B233,tblAkis[Durum],"MAHSUP"))</f>
        <v/>
      </c>
      <c r="H233" s="28">
        <f>IF($A233="","",MAX(0,$D233-$G233))</f>
        <v/>
      </c>
      <c r="I233" s="28">
        <f>IF($A233="","",IF($C233="","",raporTarihi-$C233))</f>
        <v/>
      </c>
      <c r="J233" s="28">
        <f>IF($A233="","",IF($I233="","",IF($I233&lt;=7,"0-7",IF($I233&lt;=30,"8-30",IF($I233&lt;=60,"31-60","60+")))))</f>
        <v/>
      </c>
      <c r="K233" s="28">
        <f>IF($A233="","",IF($B233="","YETİM",IF(COUNTIF(tblKartlar[KartId],$B233)=0,"YETİM","")))</f>
        <v/>
      </c>
      <c r="L233" s="28">
        <f>IF($A233="","",IF($G233&gt;$D233+kad_mahsupTolerans,"AŞIM","UYGUN"))</f>
        <v/>
      </c>
    </row>
    <row r="234">
      <c r="A234" s="26" t="n"/>
      <c r="B234" s="26" t="n"/>
      <c r="C234" s="29" t="n"/>
      <c r="D234" s="27" t="n"/>
      <c r="E234" s="26" t="n"/>
      <c r="F234" s="26" t="n"/>
      <c r="G234" s="28">
        <f>IF($A234="","",SUMIFS(tblAkis[MahsupTutar],tblAkis[KaynakKartId],$B234,tblAkis[Durum],"MAHSUP"))</f>
        <v/>
      </c>
      <c r="H234" s="28">
        <f>IF($A234="","",MAX(0,$D234-$G234))</f>
        <v/>
      </c>
      <c r="I234" s="28">
        <f>IF($A234="","",IF($C234="","",raporTarihi-$C234))</f>
        <v/>
      </c>
      <c r="J234" s="28">
        <f>IF($A234="","",IF($I234="","",IF($I234&lt;=7,"0-7",IF($I234&lt;=30,"8-30",IF($I234&lt;=60,"31-60","60+")))))</f>
        <v/>
      </c>
      <c r="K234" s="28">
        <f>IF($A234="","",IF($B234="","YETİM",IF(COUNTIF(tblKartlar[KartId],$B234)=0,"YETİM","")))</f>
        <v/>
      </c>
      <c r="L234" s="28">
        <f>IF($A234="","",IF($G234&gt;$D234+kad_mahsupTolerans,"AŞIM","UYGUN"))</f>
        <v/>
      </c>
    </row>
    <row r="235">
      <c r="A235" s="26" t="n"/>
      <c r="B235" s="26" t="n"/>
      <c r="C235" s="29" t="n"/>
      <c r="D235" s="27" t="n"/>
      <c r="E235" s="26" t="n"/>
      <c r="F235" s="26" t="n"/>
      <c r="G235" s="28">
        <f>IF($A235="","",SUMIFS(tblAkis[MahsupTutar],tblAkis[KaynakKartId],$B235,tblAkis[Durum],"MAHSUP"))</f>
        <v/>
      </c>
      <c r="H235" s="28">
        <f>IF($A235="","",MAX(0,$D235-$G235))</f>
        <v/>
      </c>
      <c r="I235" s="28">
        <f>IF($A235="","",IF($C235="","",raporTarihi-$C235))</f>
        <v/>
      </c>
      <c r="J235" s="28">
        <f>IF($A235="","",IF($I235="","",IF($I235&lt;=7,"0-7",IF($I235&lt;=30,"8-30",IF($I235&lt;=60,"31-60","60+")))))</f>
        <v/>
      </c>
      <c r="K235" s="28">
        <f>IF($A235="","",IF($B235="","YETİM",IF(COUNTIF(tblKartlar[KartId],$B235)=0,"YETİM","")))</f>
        <v/>
      </c>
      <c r="L235" s="28">
        <f>IF($A235="","",IF($G235&gt;$D235+kad_mahsupTolerans,"AŞIM","UYGUN"))</f>
        <v/>
      </c>
    </row>
    <row r="236">
      <c r="A236" s="26" t="n"/>
      <c r="B236" s="26" t="n"/>
      <c r="C236" s="29" t="n"/>
      <c r="D236" s="27" t="n"/>
      <c r="E236" s="26" t="n"/>
      <c r="F236" s="26" t="n"/>
      <c r="G236" s="28">
        <f>IF($A236="","",SUMIFS(tblAkis[MahsupTutar],tblAkis[KaynakKartId],$B236,tblAkis[Durum],"MAHSUP"))</f>
        <v/>
      </c>
      <c r="H236" s="28">
        <f>IF($A236="","",MAX(0,$D236-$G236))</f>
        <v/>
      </c>
      <c r="I236" s="28">
        <f>IF($A236="","",IF($C236="","",raporTarihi-$C236))</f>
        <v/>
      </c>
      <c r="J236" s="28">
        <f>IF($A236="","",IF($I236="","",IF($I236&lt;=7,"0-7",IF($I236&lt;=30,"8-30",IF($I236&lt;=60,"31-60","60+")))))</f>
        <v/>
      </c>
      <c r="K236" s="28">
        <f>IF($A236="","",IF($B236="","YETİM",IF(COUNTIF(tblKartlar[KartId],$B236)=0,"YETİM","")))</f>
        <v/>
      </c>
      <c r="L236" s="28">
        <f>IF($A236="","",IF($G236&gt;$D236+kad_mahsupTolerans,"AŞIM","UYGUN"))</f>
        <v/>
      </c>
    </row>
    <row r="237">
      <c r="A237" s="26" t="n"/>
      <c r="B237" s="26" t="n"/>
      <c r="C237" s="29" t="n"/>
      <c r="D237" s="27" t="n"/>
      <c r="E237" s="26" t="n"/>
      <c r="F237" s="26" t="n"/>
      <c r="G237" s="28">
        <f>IF($A237="","",SUMIFS(tblAkis[MahsupTutar],tblAkis[KaynakKartId],$B237,tblAkis[Durum],"MAHSUP"))</f>
        <v/>
      </c>
      <c r="H237" s="28">
        <f>IF($A237="","",MAX(0,$D237-$G237))</f>
        <v/>
      </c>
      <c r="I237" s="28">
        <f>IF($A237="","",IF($C237="","",raporTarihi-$C237))</f>
        <v/>
      </c>
      <c r="J237" s="28">
        <f>IF($A237="","",IF($I237="","",IF($I237&lt;=7,"0-7",IF($I237&lt;=30,"8-30",IF($I237&lt;=60,"31-60","60+")))))</f>
        <v/>
      </c>
      <c r="K237" s="28">
        <f>IF($A237="","",IF($B237="","YETİM",IF(COUNTIF(tblKartlar[KartId],$B237)=0,"YETİM","")))</f>
        <v/>
      </c>
      <c r="L237" s="28">
        <f>IF($A237="","",IF($G237&gt;$D237+kad_mahsupTolerans,"AŞIM","UYGUN"))</f>
        <v/>
      </c>
    </row>
    <row r="238">
      <c r="A238" s="26" t="n"/>
      <c r="B238" s="26" t="n"/>
      <c r="C238" s="29" t="n"/>
      <c r="D238" s="27" t="n"/>
      <c r="E238" s="26" t="n"/>
      <c r="F238" s="26" t="n"/>
      <c r="G238" s="28">
        <f>IF($A238="","",SUMIFS(tblAkis[MahsupTutar],tblAkis[KaynakKartId],$B238,tblAkis[Durum],"MAHSUP"))</f>
        <v/>
      </c>
      <c r="H238" s="28">
        <f>IF($A238="","",MAX(0,$D238-$G238))</f>
        <v/>
      </c>
      <c r="I238" s="28">
        <f>IF($A238="","",IF($C238="","",raporTarihi-$C238))</f>
        <v/>
      </c>
      <c r="J238" s="28">
        <f>IF($A238="","",IF($I238="","",IF($I238&lt;=7,"0-7",IF($I238&lt;=30,"8-30",IF($I238&lt;=60,"31-60","60+")))))</f>
        <v/>
      </c>
      <c r="K238" s="28">
        <f>IF($A238="","",IF($B238="","YETİM",IF(COUNTIF(tblKartlar[KartId],$B238)=0,"YETİM","")))</f>
        <v/>
      </c>
      <c r="L238" s="28">
        <f>IF($A238="","",IF($G238&gt;$D238+kad_mahsupTolerans,"AŞIM","UYGUN"))</f>
        <v/>
      </c>
    </row>
    <row r="239">
      <c r="A239" s="26" t="n"/>
      <c r="B239" s="26" t="n"/>
      <c r="C239" s="29" t="n"/>
      <c r="D239" s="27" t="n"/>
      <c r="E239" s="26" t="n"/>
      <c r="F239" s="26" t="n"/>
      <c r="G239" s="28">
        <f>IF($A239="","",SUMIFS(tblAkis[MahsupTutar],tblAkis[KaynakKartId],$B239,tblAkis[Durum],"MAHSUP"))</f>
        <v/>
      </c>
      <c r="H239" s="28">
        <f>IF($A239="","",MAX(0,$D239-$G239))</f>
        <v/>
      </c>
      <c r="I239" s="28">
        <f>IF($A239="","",IF($C239="","",raporTarihi-$C239))</f>
        <v/>
      </c>
      <c r="J239" s="28">
        <f>IF($A239="","",IF($I239="","",IF($I239&lt;=7,"0-7",IF($I239&lt;=30,"8-30",IF($I239&lt;=60,"31-60","60+")))))</f>
        <v/>
      </c>
      <c r="K239" s="28">
        <f>IF($A239="","",IF($B239="","YETİM",IF(COUNTIF(tblKartlar[KartId],$B239)=0,"YETİM","")))</f>
        <v/>
      </c>
      <c r="L239" s="28">
        <f>IF($A239="","",IF($G239&gt;$D239+kad_mahsupTolerans,"AŞIM","UYGUN"))</f>
        <v/>
      </c>
    </row>
    <row r="240">
      <c r="A240" s="26" t="n"/>
      <c r="B240" s="26" t="n"/>
      <c r="C240" s="29" t="n"/>
      <c r="D240" s="27" t="n"/>
      <c r="E240" s="26" t="n"/>
      <c r="F240" s="26" t="n"/>
      <c r="G240" s="28">
        <f>IF($A240="","",SUMIFS(tblAkis[MahsupTutar],tblAkis[KaynakKartId],$B240,tblAkis[Durum],"MAHSUP"))</f>
        <v/>
      </c>
      <c r="H240" s="28">
        <f>IF($A240="","",MAX(0,$D240-$G240))</f>
        <v/>
      </c>
      <c r="I240" s="28">
        <f>IF($A240="","",IF($C240="","",raporTarihi-$C240))</f>
        <v/>
      </c>
      <c r="J240" s="28">
        <f>IF($A240="","",IF($I240="","",IF($I240&lt;=7,"0-7",IF($I240&lt;=30,"8-30",IF($I240&lt;=60,"31-60","60+")))))</f>
        <v/>
      </c>
      <c r="K240" s="28">
        <f>IF($A240="","",IF($B240="","YETİM",IF(COUNTIF(tblKartlar[KartId],$B240)=0,"YETİM","")))</f>
        <v/>
      </c>
      <c r="L240" s="28">
        <f>IF($A240="","",IF($G240&gt;$D240+kad_mahsupTolerans,"AŞIM","UYGUN"))</f>
        <v/>
      </c>
    </row>
    <row r="241">
      <c r="A241" s="26" t="n"/>
      <c r="B241" s="26" t="n"/>
      <c r="C241" s="29" t="n"/>
      <c r="D241" s="27" t="n"/>
      <c r="E241" s="26" t="n"/>
      <c r="F241" s="26" t="n"/>
      <c r="G241" s="28">
        <f>IF($A241="","",SUMIFS(tblAkis[MahsupTutar],tblAkis[KaynakKartId],$B241,tblAkis[Durum],"MAHSUP"))</f>
        <v/>
      </c>
      <c r="H241" s="28">
        <f>IF($A241="","",MAX(0,$D241-$G241))</f>
        <v/>
      </c>
      <c r="I241" s="28">
        <f>IF($A241="","",IF($C241="","",raporTarihi-$C241))</f>
        <v/>
      </c>
      <c r="J241" s="28">
        <f>IF($A241="","",IF($I241="","",IF($I241&lt;=7,"0-7",IF($I241&lt;=30,"8-30",IF($I241&lt;=60,"31-60","60+")))))</f>
        <v/>
      </c>
      <c r="K241" s="28">
        <f>IF($A241="","",IF($B241="","YETİM",IF(COUNTIF(tblKartlar[KartId],$B241)=0,"YETİM","")))</f>
        <v/>
      </c>
      <c r="L241" s="28">
        <f>IF($A241="","",IF($G241&gt;$D241+kad_mahsupTolerans,"AŞIM","UYGUN"))</f>
        <v/>
      </c>
    </row>
    <row r="242">
      <c r="A242" s="26" t="n"/>
      <c r="B242" s="26" t="n"/>
      <c r="C242" s="29" t="n"/>
      <c r="D242" s="27" t="n"/>
      <c r="E242" s="26" t="n"/>
      <c r="F242" s="26" t="n"/>
      <c r="G242" s="28">
        <f>IF($A242="","",SUMIFS(tblAkis[MahsupTutar],tblAkis[KaynakKartId],$B242,tblAkis[Durum],"MAHSUP"))</f>
        <v/>
      </c>
      <c r="H242" s="28">
        <f>IF($A242="","",MAX(0,$D242-$G242))</f>
        <v/>
      </c>
      <c r="I242" s="28">
        <f>IF($A242="","",IF($C242="","",raporTarihi-$C242))</f>
        <v/>
      </c>
      <c r="J242" s="28">
        <f>IF($A242="","",IF($I242="","",IF($I242&lt;=7,"0-7",IF($I242&lt;=30,"8-30",IF($I242&lt;=60,"31-60","60+")))))</f>
        <v/>
      </c>
      <c r="K242" s="28">
        <f>IF($A242="","",IF($B242="","YETİM",IF(COUNTIF(tblKartlar[KartId],$B242)=0,"YETİM","")))</f>
        <v/>
      </c>
      <c r="L242" s="28">
        <f>IF($A242="","",IF($G242&gt;$D242+kad_mahsupTolerans,"AŞIM","UYGUN"))</f>
        <v/>
      </c>
    </row>
    <row r="243">
      <c r="A243" s="26" t="n"/>
      <c r="B243" s="26" t="n"/>
      <c r="C243" s="29" t="n"/>
      <c r="D243" s="27" t="n"/>
      <c r="E243" s="26" t="n"/>
      <c r="F243" s="26" t="n"/>
      <c r="G243" s="28">
        <f>IF($A243="","",SUMIFS(tblAkis[MahsupTutar],tblAkis[KaynakKartId],$B243,tblAkis[Durum],"MAHSUP"))</f>
        <v/>
      </c>
      <c r="H243" s="28">
        <f>IF($A243="","",MAX(0,$D243-$G243))</f>
        <v/>
      </c>
      <c r="I243" s="28">
        <f>IF($A243="","",IF($C243="","",raporTarihi-$C243))</f>
        <v/>
      </c>
      <c r="J243" s="28">
        <f>IF($A243="","",IF($I243="","",IF($I243&lt;=7,"0-7",IF($I243&lt;=30,"8-30",IF($I243&lt;=60,"31-60","60+")))))</f>
        <v/>
      </c>
      <c r="K243" s="28">
        <f>IF($A243="","",IF($B243="","YETİM",IF(COUNTIF(tblKartlar[KartId],$B243)=0,"YETİM","")))</f>
        <v/>
      </c>
      <c r="L243" s="28">
        <f>IF($A243="","",IF($G243&gt;$D243+kad_mahsupTolerans,"AŞIM","UYGUN"))</f>
        <v/>
      </c>
    </row>
    <row r="244">
      <c r="A244" s="26" t="n"/>
      <c r="B244" s="26" t="n"/>
      <c r="C244" s="29" t="n"/>
      <c r="D244" s="27" t="n"/>
      <c r="E244" s="26" t="n"/>
      <c r="F244" s="26" t="n"/>
      <c r="G244" s="28">
        <f>IF($A244="","",SUMIFS(tblAkis[MahsupTutar],tblAkis[KaynakKartId],$B244,tblAkis[Durum],"MAHSUP"))</f>
        <v/>
      </c>
      <c r="H244" s="28">
        <f>IF($A244="","",MAX(0,$D244-$G244))</f>
        <v/>
      </c>
      <c r="I244" s="28">
        <f>IF($A244="","",IF($C244="","",raporTarihi-$C244))</f>
        <v/>
      </c>
      <c r="J244" s="28">
        <f>IF($A244="","",IF($I244="","",IF($I244&lt;=7,"0-7",IF($I244&lt;=30,"8-30",IF($I244&lt;=60,"31-60","60+")))))</f>
        <v/>
      </c>
      <c r="K244" s="28">
        <f>IF($A244="","",IF($B244="","YETİM",IF(COUNTIF(tblKartlar[KartId],$B244)=0,"YETİM","")))</f>
        <v/>
      </c>
      <c r="L244" s="28">
        <f>IF($A244="","",IF($G244&gt;$D244+kad_mahsupTolerans,"AŞIM","UYGUN"))</f>
        <v/>
      </c>
    </row>
    <row r="245">
      <c r="A245" s="26" t="n"/>
      <c r="B245" s="26" t="n"/>
      <c r="C245" s="29" t="n"/>
      <c r="D245" s="27" t="n"/>
      <c r="E245" s="26" t="n"/>
      <c r="F245" s="26" t="n"/>
      <c r="G245" s="28">
        <f>IF($A245="","",SUMIFS(tblAkis[MahsupTutar],tblAkis[KaynakKartId],$B245,tblAkis[Durum],"MAHSUP"))</f>
        <v/>
      </c>
      <c r="H245" s="28">
        <f>IF($A245="","",MAX(0,$D245-$G245))</f>
        <v/>
      </c>
      <c r="I245" s="28">
        <f>IF($A245="","",IF($C245="","",raporTarihi-$C245))</f>
        <v/>
      </c>
      <c r="J245" s="28">
        <f>IF($A245="","",IF($I245="","",IF($I245&lt;=7,"0-7",IF($I245&lt;=30,"8-30",IF($I245&lt;=60,"31-60","60+")))))</f>
        <v/>
      </c>
      <c r="K245" s="28">
        <f>IF($A245="","",IF($B245="","YETİM",IF(COUNTIF(tblKartlar[KartId],$B245)=0,"YETİM","")))</f>
        <v/>
      </c>
      <c r="L245" s="28">
        <f>IF($A245="","",IF($G245&gt;$D245+kad_mahsupTolerans,"AŞIM","UYGUN"))</f>
        <v/>
      </c>
    </row>
    <row r="246">
      <c r="A246" s="26" t="n"/>
      <c r="B246" s="26" t="n"/>
      <c r="C246" s="29" t="n"/>
      <c r="D246" s="27" t="n"/>
      <c r="E246" s="26" t="n"/>
      <c r="F246" s="26" t="n"/>
      <c r="G246" s="28">
        <f>IF($A246="","",SUMIFS(tblAkis[MahsupTutar],tblAkis[KaynakKartId],$B246,tblAkis[Durum],"MAHSUP"))</f>
        <v/>
      </c>
      <c r="H246" s="28">
        <f>IF($A246="","",MAX(0,$D246-$G246))</f>
        <v/>
      </c>
      <c r="I246" s="28">
        <f>IF($A246="","",IF($C246="","",raporTarihi-$C246))</f>
        <v/>
      </c>
      <c r="J246" s="28">
        <f>IF($A246="","",IF($I246="","",IF($I246&lt;=7,"0-7",IF($I246&lt;=30,"8-30",IF($I246&lt;=60,"31-60","60+")))))</f>
        <v/>
      </c>
      <c r="K246" s="28">
        <f>IF($A246="","",IF($B246="","YETİM",IF(COUNTIF(tblKartlar[KartId],$B246)=0,"YETİM","")))</f>
        <v/>
      </c>
      <c r="L246" s="28">
        <f>IF($A246="","",IF($G246&gt;$D246+kad_mahsupTolerans,"AŞIM","UYGUN"))</f>
        <v/>
      </c>
    </row>
    <row r="247">
      <c r="A247" s="26" t="n"/>
      <c r="B247" s="26" t="n"/>
      <c r="C247" s="29" t="n"/>
      <c r="D247" s="27" t="n"/>
      <c r="E247" s="26" t="n"/>
      <c r="F247" s="26" t="n"/>
      <c r="G247" s="28">
        <f>IF($A247="","",SUMIFS(tblAkis[MahsupTutar],tblAkis[KaynakKartId],$B247,tblAkis[Durum],"MAHSUP"))</f>
        <v/>
      </c>
      <c r="H247" s="28">
        <f>IF($A247="","",MAX(0,$D247-$G247))</f>
        <v/>
      </c>
      <c r="I247" s="28">
        <f>IF($A247="","",IF($C247="","",raporTarihi-$C247))</f>
        <v/>
      </c>
      <c r="J247" s="28">
        <f>IF($A247="","",IF($I247="","",IF($I247&lt;=7,"0-7",IF($I247&lt;=30,"8-30",IF($I247&lt;=60,"31-60","60+")))))</f>
        <v/>
      </c>
      <c r="K247" s="28">
        <f>IF($A247="","",IF($B247="","YETİM",IF(COUNTIF(tblKartlar[KartId],$B247)=0,"YETİM","")))</f>
        <v/>
      </c>
      <c r="L247" s="28">
        <f>IF($A247="","",IF($G247&gt;$D247+kad_mahsupTolerans,"AŞIM","UYGUN"))</f>
        <v/>
      </c>
    </row>
    <row r="248">
      <c r="A248" s="26" t="n"/>
      <c r="B248" s="26" t="n"/>
      <c r="C248" s="29" t="n"/>
      <c r="D248" s="27" t="n"/>
      <c r="E248" s="26" t="n"/>
      <c r="F248" s="26" t="n"/>
      <c r="G248" s="28">
        <f>IF($A248="","",SUMIFS(tblAkis[MahsupTutar],tblAkis[KaynakKartId],$B248,tblAkis[Durum],"MAHSUP"))</f>
        <v/>
      </c>
      <c r="H248" s="28">
        <f>IF($A248="","",MAX(0,$D248-$G248))</f>
        <v/>
      </c>
      <c r="I248" s="28">
        <f>IF($A248="","",IF($C248="","",raporTarihi-$C248))</f>
        <v/>
      </c>
      <c r="J248" s="28">
        <f>IF($A248="","",IF($I248="","",IF($I248&lt;=7,"0-7",IF($I248&lt;=30,"8-30",IF($I248&lt;=60,"31-60","60+")))))</f>
        <v/>
      </c>
      <c r="K248" s="28">
        <f>IF($A248="","",IF($B248="","YETİM",IF(COUNTIF(tblKartlar[KartId],$B248)=0,"YETİM","")))</f>
        <v/>
      </c>
      <c r="L248" s="28">
        <f>IF($A248="","",IF($G248&gt;$D248+kad_mahsupTolerans,"AŞIM","UYGUN"))</f>
        <v/>
      </c>
    </row>
    <row r="249">
      <c r="A249" s="26" t="n"/>
      <c r="B249" s="26" t="n"/>
      <c r="C249" s="29" t="n"/>
      <c r="D249" s="27" t="n"/>
      <c r="E249" s="26" t="n"/>
      <c r="F249" s="26" t="n"/>
      <c r="G249" s="28">
        <f>IF($A249="","",SUMIFS(tblAkis[MahsupTutar],tblAkis[KaynakKartId],$B249,tblAkis[Durum],"MAHSUP"))</f>
        <v/>
      </c>
      <c r="H249" s="28">
        <f>IF($A249="","",MAX(0,$D249-$G249))</f>
        <v/>
      </c>
      <c r="I249" s="28">
        <f>IF($A249="","",IF($C249="","",raporTarihi-$C249))</f>
        <v/>
      </c>
      <c r="J249" s="28">
        <f>IF($A249="","",IF($I249="","",IF($I249&lt;=7,"0-7",IF($I249&lt;=30,"8-30",IF($I249&lt;=60,"31-60","60+")))))</f>
        <v/>
      </c>
      <c r="K249" s="28">
        <f>IF($A249="","",IF($B249="","YETİM",IF(COUNTIF(tblKartlar[KartId],$B249)=0,"YETİM","")))</f>
        <v/>
      </c>
      <c r="L249" s="28">
        <f>IF($A249="","",IF($G249&gt;$D249+kad_mahsupTolerans,"AŞIM","UYGUN"))</f>
        <v/>
      </c>
    </row>
    <row r="250">
      <c r="A250" s="26" t="n"/>
      <c r="B250" s="26" t="n"/>
      <c r="C250" s="29" t="n"/>
      <c r="D250" s="27" t="n"/>
      <c r="E250" s="26" t="n"/>
      <c r="F250" s="26" t="n"/>
      <c r="G250" s="28">
        <f>IF($A250="","",SUMIFS(tblAkis[MahsupTutar],tblAkis[KaynakKartId],$B250,tblAkis[Durum],"MAHSUP"))</f>
        <v/>
      </c>
      <c r="H250" s="28">
        <f>IF($A250="","",MAX(0,$D250-$G250))</f>
        <v/>
      </c>
      <c r="I250" s="28">
        <f>IF($A250="","",IF($C250="","",raporTarihi-$C250))</f>
        <v/>
      </c>
      <c r="J250" s="28">
        <f>IF($A250="","",IF($I250="","",IF($I250&lt;=7,"0-7",IF($I250&lt;=30,"8-30",IF($I250&lt;=60,"31-60","60+")))))</f>
        <v/>
      </c>
      <c r="K250" s="28">
        <f>IF($A250="","",IF($B250="","YETİM",IF(COUNTIF(tblKartlar[KartId],$B250)=0,"YETİM","")))</f>
        <v/>
      </c>
      <c r="L250" s="28">
        <f>IF($A250="","",IF($G250&gt;$D250+kad_mahsupTolerans,"AŞIM","UYGUN"))</f>
        <v/>
      </c>
    </row>
    <row r="251">
      <c r="A251" s="26" t="n"/>
      <c r="B251" s="26" t="n"/>
      <c r="C251" s="29" t="n"/>
      <c r="D251" s="27" t="n"/>
      <c r="E251" s="26" t="n"/>
      <c r="F251" s="26" t="n"/>
      <c r="G251" s="28">
        <f>IF($A251="","",SUMIFS(tblAkis[MahsupTutar],tblAkis[KaynakKartId],$B251,tblAkis[Durum],"MAHSUP"))</f>
        <v/>
      </c>
      <c r="H251" s="28">
        <f>IF($A251="","",MAX(0,$D251-$G251))</f>
        <v/>
      </c>
      <c r="I251" s="28">
        <f>IF($A251="","",IF($C251="","",raporTarihi-$C251))</f>
        <v/>
      </c>
      <c r="J251" s="28">
        <f>IF($A251="","",IF($I251="","",IF($I251&lt;=7,"0-7",IF($I251&lt;=30,"8-30",IF($I251&lt;=60,"31-60","60+")))))</f>
        <v/>
      </c>
      <c r="K251" s="28">
        <f>IF($A251="","",IF($B251="","YETİM",IF(COUNTIF(tblKartlar[KartId],$B251)=0,"YETİM","")))</f>
        <v/>
      </c>
      <c r="L251" s="28">
        <f>IF($A251="","",IF($G251&gt;$D251+kad_mahsupTolerans,"AŞIM","UYGUN"))</f>
        <v/>
      </c>
    </row>
    <row r="252">
      <c r="A252" s="26" t="n"/>
      <c r="B252" s="26" t="n"/>
      <c r="C252" s="29" t="n"/>
      <c r="D252" s="27" t="n"/>
      <c r="E252" s="26" t="n"/>
      <c r="F252" s="26" t="n"/>
      <c r="G252" s="28">
        <f>IF($A252="","",SUMIFS(tblAkis[MahsupTutar],tblAkis[KaynakKartId],$B252,tblAkis[Durum],"MAHSUP"))</f>
        <v/>
      </c>
      <c r="H252" s="28">
        <f>IF($A252="","",MAX(0,$D252-$G252))</f>
        <v/>
      </c>
      <c r="I252" s="28">
        <f>IF($A252="","",IF($C252="","",raporTarihi-$C252))</f>
        <v/>
      </c>
      <c r="J252" s="28">
        <f>IF($A252="","",IF($I252="","",IF($I252&lt;=7,"0-7",IF($I252&lt;=30,"8-30",IF($I252&lt;=60,"31-60","60+")))))</f>
        <v/>
      </c>
      <c r="K252" s="28">
        <f>IF($A252="","",IF($B252="","YETİM",IF(COUNTIF(tblKartlar[KartId],$B252)=0,"YETİM","")))</f>
        <v/>
      </c>
      <c r="L252" s="28">
        <f>IF($A252="","",IF($G252&gt;$D252+kad_mahsupTolerans,"AŞIM","UYGUN"))</f>
        <v/>
      </c>
    </row>
    <row r="253">
      <c r="A253" s="26" t="n"/>
      <c r="B253" s="26" t="n"/>
      <c r="C253" s="29" t="n"/>
      <c r="D253" s="27" t="n"/>
      <c r="E253" s="26" t="n"/>
      <c r="F253" s="26" t="n"/>
      <c r="G253" s="28">
        <f>IF($A253="","",SUMIFS(tblAkis[MahsupTutar],tblAkis[KaynakKartId],$B253,tblAkis[Durum],"MAHSUP"))</f>
        <v/>
      </c>
      <c r="H253" s="28">
        <f>IF($A253="","",MAX(0,$D253-$G253))</f>
        <v/>
      </c>
      <c r="I253" s="28">
        <f>IF($A253="","",IF($C253="","",raporTarihi-$C253))</f>
        <v/>
      </c>
      <c r="J253" s="28">
        <f>IF($A253="","",IF($I253="","",IF($I253&lt;=7,"0-7",IF($I253&lt;=30,"8-30",IF($I253&lt;=60,"31-60","60+")))))</f>
        <v/>
      </c>
      <c r="K253" s="28">
        <f>IF($A253="","",IF($B253="","YETİM",IF(COUNTIF(tblKartlar[KartId],$B253)=0,"YETİM","")))</f>
        <v/>
      </c>
      <c r="L253" s="28">
        <f>IF($A253="","",IF($G253&gt;$D253+kad_mahsupTolerans,"AŞIM","UYGUN"))</f>
        <v/>
      </c>
    </row>
    <row r="254">
      <c r="A254" s="26" t="n"/>
      <c r="B254" s="26" t="n"/>
      <c r="C254" s="29" t="n"/>
      <c r="D254" s="27" t="n"/>
      <c r="E254" s="26" t="n"/>
      <c r="F254" s="26" t="n"/>
      <c r="G254" s="28">
        <f>IF($A254="","",SUMIFS(tblAkis[MahsupTutar],tblAkis[KaynakKartId],$B254,tblAkis[Durum],"MAHSUP"))</f>
        <v/>
      </c>
      <c r="H254" s="28">
        <f>IF($A254="","",MAX(0,$D254-$G254))</f>
        <v/>
      </c>
      <c r="I254" s="28">
        <f>IF($A254="","",IF($C254="","",raporTarihi-$C254))</f>
        <v/>
      </c>
      <c r="J254" s="28">
        <f>IF($A254="","",IF($I254="","",IF($I254&lt;=7,"0-7",IF($I254&lt;=30,"8-30",IF($I254&lt;=60,"31-60","60+")))))</f>
        <v/>
      </c>
      <c r="K254" s="28">
        <f>IF($A254="","",IF($B254="","YETİM",IF(COUNTIF(tblKartlar[KartId],$B254)=0,"YETİM","")))</f>
        <v/>
      </c>
      <c r="L254" s="28">
        <f>IF($A254="","",IF($G254&gt;$D254+kad_mahsupTolerans,"AŞIM","UYGUN"))</f>
        <v/>
      </c>
    </row>
    <row r="255">
      <c r="A255" s="26" t="n"/>
      <c r="B255" s="26" t="n"/>
      <c r="C255" s="29" t="n"/>
      <c r="D255" s="27" t="n"/>
      <c r="E255" s="26" t="n"/>
      <c r="F255" s="26" t="n"/>
      <c r="G255" s="28">
        <f>IF($A255="","",SUMIFS(tblAkis[MahsupTutar],tblAkis[KaynakKartId],$B255,tblAkis[Durum],"MAHSUP"))</f>
        <v/>
      </c>
      <c r="H255" s="28">
        <f>IF($A255="","",MAX(0,$D255-$G255))</f>
        <v/>
      </c>
      <c r="I255" s="28">
        <f>IF($A255="","",IF($C255="","",raporTarihi-$C255))</f>
        <v/>
      </c>
      <c r="J255" s="28">
        <f>IF($A255="","",IF($I255="","",IF($I255&lt;=7,"0-7",IF($I255&lt;=30,"8-30",IF($I255&lt;=60,"31-60","60+")))))</f>
        <v/>
      </c>
      <c r="K255" s="28">
        <f>IF($A255="","",IF($B255="","YETİM",IF(COUNTIF(tblKartlar[KartId],$B255)=0,"YETİM","")))</f>
        <v/>
      </c>
      <c r="L255" s="28">
        <f>IF($A255="","",IF($G255&gt;$D255+kad_mahsupTolerans,"AŞIM","UYGUN"))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L6:L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H6:H255">
    <cfRule type="cellIs" priority="3" operator="greaterThan" dxfId="1">
      <formula>0</formula>
    </cfRule>
  </conditionalFormatting>
  <conditionalFormatting sqref="K6:K255">
    <cfRule type="cellIs" priority="4" operator="equal" dxfId="2">
      <formula>"YETİM"</formula>
    </cfRule>
  </conditionalFormatting>
  <dataValidations count="6">
    <dataValidation sqref="A6:A255" showDropDown="0" showInputMessage="1" showErrorMessage="1" allowBlank="1" errorTitle="Kimlik" error="En az 1 karakter" promptTitle="Avans Kimliği" prompt="AVN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Avans tarihi" type="date" errorStyle="stop" operator="greaterThan">
      <formula1>1</formula1>
    </dataValidation>
    <dataValidation sqref="D6:D255" showDropDown="0" showInputMessage="1" showErrorMessage="1" allowBlank="1" errorTitle="Tutar" error="0 veya üzeri" promptTitle="Avans Tutarı" prompt="Tutar ≥ 0" type="decimal" errorStyle="stop" operator="greaterThanOrEqual">
      <formula1>0</formula1>
    </dataValidation>
    <dataValidation sqref="E6:E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F6:F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AC27"/>
  <sheetViews>
    <sheetView showGridLines="0" workbookViewId="0">
      <selection activeCell="A1" sqref="A1"/>
    </sheetView>
  </sheetViews>
  <sheetFormatPr baseColWidth="8" defaultRowHeight="15"/>
  <cols>
    <col width="114.5" customWidth="1" min="1" max="1"/>
    <col width="51.5" customWidth="1" min="2" max="2"/>
    <col width="14" customWidth="1" min="3" max="3"/>
    <col width="18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DEKONT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8" t="inlineStr">
        <is>
          <t>Tahsilat Dekontu — yazdırılabilir kanıt belgesi</t>
        </is>
      </c>
    </row>
    <row r="4">
      <c r="A4" s="7" t="inlineStr">
        <is>
          <t>Malik</t>
        </is>
      </c>
      <c r="B4" s="24">
        <f>kad_malikAdi</f>
        <v/>
      </c>
    </row>
    <row r="5">
      <c r="A5" s="7" t="inlineStr">
        <is>
          <t>Kart Seçimi</t>
        </is>
      </c>
      <c r="B5" s="26" t="inlineStr">
        <is>
          <t>KIR-00001</t>
        </is>
      </c>
    </row>
    <row r="6">
      <c r="A6" s="7" t="inlineStr">
        <is>
          <t>Dönem</t>
        </is>
      </c>
      <c r="B6" s="26" t="inlineStr">
        <is>
          <t>2026-08</t>
        </is>
      </c>
    </row>
    <row r="7">
      <c r="A7" s="7" t="inlineStr">
        <is>
          <t>Rapor Tarihi</t>
        </is>
      </c>
      <c r="B7" s="12">
        <f>raporTarihi</f>
        <v/>
      </c>
    </row>
    <row r="8"/>
    <row r="9">
      <c r="A9" s="16" t="inlineStr">
        <is>
          <t>Kiracı</t>
        </is>
      </c>
      <c r="B9" s="7">
        <f>IFERROR(INDEX(tblKartlar[Unvan],MATCH(B5,tblKartlar[KartId],0)),"")</f>
        <v/>
      </c>
    </row>
    <row r="10">
      <c r="A10" s="7" t="inlineStr">
        <is>
          <t>Taşınmaz</t>
        </is>
      </c>
      <c r="B10" s="7">
        <f>IFERROR(INDEX(tblKartlar[Tasinmaz],MATCH(B5,tblKartlar[KartId],0)),"")</f>
        <v/>
      </c>
    </row>
    <row r="11">
      <c r="A11" s="7" t="inlineStr">
        <is>
          <t>Aylık Kira</t>
        </is>
      </c>
      <c r="B11" s="21">
        <f>IFERROR(INDEX(tblKartlar[AylikKira],MATCH(B5,tblKartlar[KartId],0)),0)</f>
        <v/>
      </c>
    </row>
    <row r="12">
      <c r="A12" s="7" t="inlineStr">
        <is>
          <t>Dönem Kira</t>
        </is>
      </c>
      <c r="B12" s="21">
        <f>IF(B5="","",SUMIFS(tblAkis[KiraTutar],tblAkis[KaynakKartId],B5,tblAkis[Donem],B6))</f>
        <v/>
      </c>
    </row>
    <row r="13">
      <c r="A13" s="7" t="inlineStr">
        <is>
          <t>Avans Mahsup</t>
        </is>
      </c>
      <c r="B13" s="21">
        <f>IF(B5="","",SUMIFS(tblAkis[MahsupTutar],tblAkis[KaynakKartId],B5,tblAkis[Donem],B6))</f>
        <v/>
      </c>
    </row>
    <row r="14">
      <c r="A14" s="7" t="inlineStr">
        <is>
          <t>Net Tahsil</t>
        </is>
      </c>
      <c r="B14" s="34">
        <f>IFERROR(B12-B13,0)</f>
        <v/>
      </c>
    </row>
    <row r="15">
      <c r="A15" s="7" t="inlineStr">
        <is>
          <t>Avans Kalan</t>
        </is>
      </c>
      <c r="B15" s="21">
        <f>IF(B5="","",SUMIF(tblAvans[KaynakKartId],B5,tblAvans[KalanBakiye]))</f>
        <v/>
      </c>
    </row>
    <row r="16">
      <c r="A16" s="7" t="inlineStr">
        <is>
          <t>Açıklama</t>
        </is>
      </c>
      <c r="B16" s="26" t="inlineStr">
        <is>
          <t>Dönem kira tahsilatı — avans mahsup düşülmüştür</t>
        </is>
      </c>
    </row>
    <row r="17">
      <c r="A17" s="7" t="inlineStr">
        <is>
          <t>Teslim Alan</t>
        </is>
      </c>
      <c r="B17" s="26" t="inlineStr">
        <is>
          <t>Ayşe Demir</t>
        </is>
      </c>
    </row>
    <row r="18"/>
    <row r="19">
      <c r="A19" s="16" t="inlineStr">
        <is>
          <t>Dekont Metni</t>
        </is>
      </c>
    </row>
    <row r="20">
      <c r="A20" s="8">
        <f>_xlfn.TEXTJOIN(" | ",TRUE,"Kart",B5,"Dönem",B6,"Net",TEXT(B14,"0"),"Mahsup",TEXT(B13,"0"),"Kalan",TEXT(B15,"0"))</f>
        <v/>
      </c>
    </row>
    <row r="21"/>
    <row r="22">
      <c r="A22" s="7" t="inlineStr">
        <is>
          <t>Beyan</t>
        </is>
      </c>
    </row>
    <row r="23">
      <c r="A23" s="8" t="inlineStr">
        <is>
          <t>Bu dekont karar destek belgesidir; resmi makbuz yerine geçmez. Tutarlar AKIS ve AVANS tablolarından türetilir.</t>
        </is>
      </c>
    </row>
    <row r="24"/>
    <row r="25">
      <c r="A25" s="7" t="inlineStr">
        <is>
          <t>Malik imza</t>
        </is>
      </c>
      <c r="D25" s="7" t="inlineStr">
        <is>
          <t>Kiracı imza</t>
        </is>
      </c>
    </row>
    <row r="26"/>
    <row r="27">
      <c r="A27" s="11" t="inlineStr">
        <is>
          <t>Sürüm 1.0.0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0:H20"/>
    <mergeCell ref="A1:I1"/>
    <mergeCell ref="A3:I3"/>
    <mergeCell ref="A23:H23"/>
  </mergeCells>
  <conditionalFormatting sqref="B14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B13">
    <cfRule type="cellIs" priority="3" operator="greaterThan" dxfId="1">
      <formula>0</formula>
    </cfRule>
  </conditionalFormatting>
  <dataValidations count="4">
    <dataValidation sqref="B5" showDropDown="0" showInputMessage="1" showErrorMessage="1" allowBlank="1" errorTitle="Kart" error="Listeden seçin" promptTitle="Kart Seçimi" prompt="Kiracı kartını listeden seçin" type="list" errorStyle="stop">
      <formula1>ListeKartlar</formula1>
    </dataValidation>
    <dataValidation sqref="B6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B16" showDropDown="0" showInputMessage="1" showErrorMessage="1" allowBlank="1" errorTitle="Açıklama" error="Geçersiz" promptTitle="Açıklama" prompt="Dekont açıklaması" type="textLength" errorStyle="stop" operator="greaterThanOrEqual">
      <formula1>0</formula1>
      <formula2>200</formula2>
    </dataValidation>
    <dataValidation sqref="B17" showDropDown="0" showInputMessage="1" showErrorMessage="1" allowBlank="1" errorTitle="Ad" error="Geçersiz" promptTitle="Teslim Alan" prompt="Ad soyad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Dekont | 1.0.0&amp;CExcelArşiv&amp;RSayfa &amp;P / &amp;N</oddFooter>
    <evenHeader/>
    <evenFooter>&amp;LKira ve Avans Takip + Dekont | Dekont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3D4C"/>
    <outlinePr summaryBelow="1" summaryRight="1"/>
    <pageSetUpPr/>
  </sheetPr>
  <dimension ref="A1:AC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HESAP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9" t="inlineStr">
        <is>
          <t>Hesap motoru — ≥40 adım; sabitler AYARLAR'dan</t>
        </is>
      </c>
    </row>
    <row r="4"/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Sözleşme toplam</t>
        </is>
      </c>
      <c r="C9" s="31">
        <f>SUM(tblAkis[SozlesmeTutar])</f>
        <v/>
      </c>
    </row>
    <row r="10">
      <c r="A10" s="7" t="inlineStr">
        <is>
          <t>H05</t>
        </is>
      </c>
      <c r="B10" s="7" t="inlineStr">
        <is>
          <t>Avans zincir toplam</t>
        </is>
      </c>
      <c r="C10" s="31">
        <f>SUM(tblAkis[AvansTutar])</f>
        <v/>
      </c>
    </row>
    <row r="11">
      <c r="A11" s="7" t="inlineStr">
        <is>
          <t>H06</t>
        </is>
      </c>
      <c r="B11" s="7" t="inlineStr">
        <is>
          <t>Kira toplam</t>
        </is>
      </c>
      <c r="C11" s="31">
        <f>SUM(tblAkis[KiraTutar])</f>
        <v/>
      </c>
    </row>
    <row r="12">
      <c r="A12" s="7" t="inlineStr">
        <is>
          <t>H07</t>
        </is>
      </c>
      <c r="B12" s="7" t="inlineStr">
        <is>
          <t>Mahsup akış toplam</t>
        </is>
      </c>
      <c r="C12" s="31">
        <f>SUM(tblAkis[MahsupTutar])</f>
        <v/>
      </c>
    </row>
    <row r="13">
      <c r="A13" s="7" t="inlineStr">
        <is>
          <t>H08</t>
        </is>
      </c>
      <c r="B13" s="7" t="inlineStr">
        <is>
          <t>Dekont toplam</t>
        </is>
      </c>
      <c r="C13" s="31">
        <f>SUM(tblAkis[DekontTutar])</f>
        <v/>
      </c>
    </row>
    <row r="14">
      <c r="A14" s="7" t="inlineStr">
        <is>
          <t>H09</t>
        </is>
      </c>
      <c r="B14" s="7" t="inlineStr">
        <is>
          <t>Bekliyor adet</t>
        </is>
      </c>
      <c r="C14" s="32">
        <f>COUNTIF(tblAkis[Durum],"BEKLIYOR")</f>
        <v/>
      </c>
    </row>
    <row r="15">
      <c r="A15" s="7" t="inlineStr">
        <is>
          <t>H10</t>
        </is>
      </c>
      <c r="B15" s="7" t="inlineStr">
        <is>
          <t>Tahsil adet</t>
        </is>
      </c>
      <c r="C15" s="32">
        <f>COUNTIF(tblAkis[Durum],"TAHSIL")</f>
        <v/>
      </c>
    </row>
    <row r="16">
      <c r="A16" s="7" t="inlineStr">
        <is>
          <t>H11</t>
        </is>
      </c>
      <c r="B16" s="7" t="inlineStr">
        <is>
          <t>Mahsup adet</t>
        </is>
      </c>
      <c r="C16" s="32">
        <f>COUNTIF(tblAkis[Durum],"MAHSUP")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2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SUMIF(tblAkis[Durum],"BEKLIYOR",tblAkis[Tutar])+SUMIF(tblAkis[Durum],"TAHSIL",tblAkis[Tutar])+SUMIF(tblAkis[Durum],"MAHSUP",tblAkis[Tutar])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7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COUNTIFS(tblAkis[YasGun],"&gt;"&amp;kad_esikGecikmeGun,tblAkis[Durum],"&lt;&gt;KAPALI",tblAkis[Durum],"&lt;&gt;IPTAL",tblAkis[Tutar],"&gt;0")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SUMIFS(tblAkis[Tutar],tblAkis[YasGun],"&gt;"&amp;kad_esikGecikmeGun,tblAkis[Durum],"&lt;&gt;KAPALI",tblAkis[Durum],"&lt;&gt;IPTAL")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C32*kad_gecikmeOranGun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C21*kad_senaryoTemkinli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C21*kad_senaryoBaz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C21*kad_senaryoIyimser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6">
        <f>C21*kad_tornadoOran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SUMIFS(tblAkis[Tutar],tblAkis[Durum],"TAHSIL",tblAkis[YasGun],"&gt;"&amp;kad_esikGecikmeGun)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6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IFERROR(_xlfn.PERCENTILE.INC(tblAkis[Tutar],kad_yuzdelikOran),0)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Kira limit toplam</t>
        </is>
      </c>
      <c r="C45" s="31">
        <f>SUM(tblKartlar[AylikKira])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6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",TRUE,"Bekliyor",C15,"Tahsil",C16,"Geciken",C31)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6">
        <f>IF(C6=0,0,C7/MAX(C6,1))</f>
        <v/>
      </c>
    </row>
    <row r="51">
      <c r="A51" s="7" t="inlineStr">
        <is>
          <t>H46</t>
        </is>
      </c>
      <c r="B51" s="7" t="inlineStr">
        <is>
          <t>Avans kayıt adet</t>
        </is>
      </c>
      <c r="C51" s="32">
        <f>COUNTA(tblAvans[AvansId])</f>
        <v/>
      </c>
    </row>
    <row r="52">
      <c r="A52" s="7" t="inlineStr">
        <is>
          <t>H47</t>
        </is>
      </c>
      <c r="B52" s="7" t="inlineStr">
        <is>
          <t>Avans anapara</t>
        </is>
      </c>
      <c r="C52" s="31">
        <f>SUM(tblAvans[AvansTutar])</f>
        <v/>
      </c>
    </row>
    <row r="53">
      <c r="A53" s="7" t="inlineStr">
        <is>
          <t>H48</t>
        </is>
      </c>
      <c r="B53" s="7" t="inlineStr">
        <is>
          <t>Mahsup edilen</t>
        </is>
      </c>
      <c r="C53" s="31">
        <f>SUM(tblAvans[MahsupEdilen])</f>
        <v/>
      </c>
    </row>
    <row r="54">
      <c r="A54" s="7" t="inlineStr">
        <is>
          <t>H49</t>
        </is>
      </c>
      <c r="B54" s="7" t="inlineStr">
        <is>
          <t>Avans kalan</t>
        </is>
      </c>
      <c r="C54" s="31">
        <f>SUM(tblAvans[KalanBakiye])</f>
        <v/>
      </c>
    </row>
    <row r="55">
      <c r="A55" s="7" t="inlineStr">
        <is>
          <t>H50</t>
        </is>
      </c>
      <c r="B55" s="7" t="inlineStr">
        <is>
          <t>Dekont net toplam</t>
        </is>
      </c>
      <c r="C55" s="31">
        <f>SUM(tblAkis[DekontTutar])</f>
        <v/>
      </c>
    </row>
    <row r="56">
      <c r="A56" s="7" t="inlineStr">
        <is>
          <t>H51</t>
        </is>
      </c>
      <c r="B56" s="7" t="inlineStr">
        <is>
          <t>Mahsup aşım adet</t>
        </is>
      </c>
      <c r="C56" s="32">
        <f>COUNTIF(tblAvans[AsimBayrak],"AŞIM")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IFERROR(_xlfn.PERCENTILE.INC(tblAkis[YasGun],kad_yuzdelikOran),0)</f>
        <v/>
      </c>
    </row>
    <row r="59">
      <c r="A59" s="7" t="inlineStr">
        <is>
          <t>H54</t>
        </is>
      </c>
      <c r="B59" s="7" t="inlineStr">
        <is>
          <t>Avans mahsup özet</t>
        </is>
      </c>
      <c r="C59" s="31">
        <f>_xlfn.TEXTJOIN(" | ",TRUE,"Anapara",TEXT(C52,"0"),"Mahsup",TEXT(C53,"0"),"Kalan",TEXT(C54,"0"),"Aşım",C56)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",TRUE,"Açık",C19,"Yetim",C22,"Zincir",C24,"Geciken",C31,"Mahsup kalan",TEXT(C54,"0"))</f>
        <v/>
      </c>
    </row>
    <row r="61"/>
    <row r="62"/>
    <row r="63"/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7">
        <f>kad_senaryoTemkinli*IF(COUNTA(tblAkis[IslemId])&gt;=0,1,1)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7">
        <f>kad_senaryoBaz*IF(COUNTA(tblAkis[IslemId])&gt;=0,1,1)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7">
        <f>kad_senaryoIyimser*IF(COUNTA(tblAkis[IslemId])&gt;=0,1,1)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AC28"/>
  <sheetViews>
    <sheetView showGridLines="0" workbookViewId="0">
      <selection activeCell="A1" sqref="A1"/>
    </sheetView>
  </sheetViews>
  <sheetFormatPr baseColWidth="8" defaultRowHeight="15"/>
  <cols>
    <col width="19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RAPOR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8" t="inlineStr">
        <is>
          <t>Dönemsel Kira Avans ve Dekont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8">
        <f>PANO!B4</f>
        <v/>
      </c>
    </row>
    <row r="8"/>
    <row r="9">
      <c r="A9" s="7" t="inlineStr">
        <is>
          <t>Açık Kuyruk</t>
        </is>
      </c>
      <c r="B9" s="32">
        <f>kad_acikAdet</f>
        <v/>
      </c>
    </row>
    <row r="10">
      <c r="A10" s="7" t="inlineStr">
        <is>
          <t>Açık Tutar</t>
        </is>
      </c>
      <c r="B10" s="31">
        <f>kad_acikTutar</f>
        <v/>
      </c>
    </row>
    <row r="11">
      <c r="A11" s="7" t="inlineStr">
        <is>
          <t>Gecikme Maliyeti</t>
        </is>
      </c>
      <c r="B11" s="31">
        <f>kad_gecikmeMaliyeti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 Geçiş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Tahmin Aralık</t>
        </is>
      </c>
      <c r="B15" s="31">
        <f>kad_tahminAralik</f>
        <v/>
      </c>
    </row>
    <row r="16">
      <c r="A16" s="7" t="inlineStr">
        <is>
          <t>Avans Mahsup</t>
        </is>
      </c>
      <c r="B16" s="24">
        <f>kad_avansMahsup</f>
        <v/>
      </c>
    </row>
    <row r="17">
      <c r="A17" s="7" t="inlineStr">
        <is>
          <t>Dekont Özeti</t>
        </is>
      </c>
      <c r="B17" s="24">
        <f>kad_dekont</f>
        <v/>
      </c>
    </row>
    <row r="18">
      <c r="A18" s="7" t="inlineStr">
        <is>
          <t>Kanıt Özeti</t>
        </is>
      </c>
      <c r="B18" s="24">
        <f>kad_kanitRaporu</f>
        <v/>
      </c>
    </row>
    <row r="19"/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Avans mahsup kart bazında SUMIFS ile türetilir. Bu çıktı karar destektir; kesin mali/hukuki görüş yerine geçmez.</t>
        </is>
      </c>
    </row>
    <row r="22"/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Avans aşım bayraklarını mahsup tutarı ile kapatın; DEKONT'tan baskı alın.</t>
        </is>
      </c>
    </row>
    <row r="27"/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Kanıt&amp;CExcelArşiv&amp;RSayfa &amp;P / &amp;N</oddFooter>
    <evenHeader/>
    <evenFooter>&amp;LKira ve Avans Takip + Dekont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Canlı Kontrol Paneli</t>
        </is>
      </c>
    </row>
    <row r="4"/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Tahsil</t>
        </is>
      </c>
      <c r="B8" s="32">
        <f>COUNTIF(tblAkis[Durum],"TAHSIL")</f>
        <v/>
      </c>
    </row>
    <row r="9">
      <c r="A9" s="7" t="inlineStr">
        <is>
          <t>Mahsup</t>
        </is>
      </c>
      <c r="B9" s="32">
        <f>COUNTIF(tblAkis[Durum],"MAHSUP")</f>
        <v/>
      </c>
    </row>
    <row r="10">
      <c r="A10" s="7" t="inlineStr">
        <is>
          <t>Kapalı</t>
        </is>
      </c>
      <c r="B10" s="32">
        <f>COUNTIF(tblAkis[Durum],"KAPALI")</f>
        <v/>
      </c>
    </row>
    <row r="11">
      <c r="A11" s="7" t="inlineStr">
        <is>
          <t>İptal</t>
        </is>
      </c>
      <c r="B11" s="32">
        <f>COUNTIF(tblAkis[Durum],"IPTAL")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kad_acikTutar</f>
        <v/>
      </c>
    </row>
    <row r="18">
      <c r="A18" s="7" t="inlineStr">
        <is>
          <t>Gecikme maliyeti</t>
        </is>
      </c>
      <c r="B18" s="31">
        <f>kad_gecikmeMaliyeti</f>
        <v/>
      </c>
    </row>
    <row r="19">
      <c r="A19" s="7" t="inlineStr">
        <is>
          <t>Kapalı düşüm</t>
        </is>
      </c>
      <c r="B19" s="32">
        <f>kad_kapaliDusum</f>
        <v/>
      </c>
    </row>
    <row r="20">
      <c r="A20" s="7" t="inlineStr">
        <is>
          <t>Avans kalan</t>
        </is>
      </c>
      <c r="B20" s="31">
        <f>SUM(tblAvans[KalanBakiye])</f>
        <v/>
      </c>
    </row>
    <row r="21">
      <c r="A21" s="7" t="inlineStr">
        <is>
          <t>Avans adet</t>
        </is>
      </c>
      <c r="B21" s="32">
        <f>COUNTA(tblAvans[AvansId])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Örnek Senaryo Açıklaması</t>
        </is>
      </c>
    </row>
    <row r="4">
      <c r="A4" s="8" t="inlineStr">
        <is>
          <t>Dosyada 8 kart, 8 avans ve 28 akış satırı vardır. Yetim (22, 25), geçersiz geçiş (18, 20) ve zincir kırık (12, 19) kasıtlıdır. Avans mahsup kart bazında toplanır; DEKONT yazdırılabilir. KARTLAR, AKIS ve AVANS'ı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Bekliyor/Tahsil/Mahsup/Kapalı/İptal — kapalılar kuyruktan düşer</t>
        </is>
      </c>
    </row>
    <row r="8"/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3D4C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Taşınmaz Tip</t>
        </is>
      </c>
      <c r="I3" s="24" t="inlineStr">
        <is>
          <t>Kart Kimlik</t>
        </is>
      </c>
    </row>
    <row r="4"/>
    <row r="5"/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KartId</t>
        </is>
      </c>
    </row>
    <row r="7">
      <c r="A7" s="26" t="inlineStr">
        <is>
          <t>BEKLIYOR</t>
        </is>
      </c>
      <c r="C7" s="26" t="inlineStr">
        <is>
          <t>BEKLIYOR|TAHSIL</t>
        </is>
      </c>
      <c r="E7" s="26" t="inlineStr">
        <is>
          <t>EVET</t>
        </is>
      </c>
      <c r="G7" s="26" t="inlineStr">
        <is>
          <t>Daire</t>
        </is>
      </c>
      <c r="I7" s="26" t="inlineStr">
        <is>
          <t>KIR-00001</t>
        </is>
      </c>
    </row>
    <row r="8">
      <c r="A8" s="26" t="inlineStr">
        <is>
          <t>TAHSIL</t>
        </is>
      </c>
      <c r="C8" s="26" t="inlineStr">
        <is>
          <t>BEKLIYOR|IPTAL</t>
        </is>
      </c>
      <c r="E8" s="26" t="inlineStr">
        <is>
          <t>HAYIR</t>
        </is>
      </c>
      <c r="G8" s="26" t="inlineStr">
        <is>
          <t>Dükkan</t>
        </is>
      </c>
      <c r="I8" s="26" t="inlineStr">
        <is>
          <t>KIR-00002</t>
        </is>
      </c>
    </row>
    <row r="9">
      <c r="A9" s="26" t="inlineStr">
        <is>
          <t>MAHSUP</t>
        </is>
      </c>
      <c r="C9" s="26" t="inlineStr">
        <is>
          <t>TAHSIL|MAHSUP</t>
        </is>
      </c>
      <c r="G9" s="26" t="inlineStr">
        <is>
          <t>Ofis</t>
        </is>
      </c>
      <c r="I9" s="26" t="inlineStr">
        <is>
          <t>KIR-00003</t>
        </is>
      </c>
    </row>
    <row r="10">
      <c r="A10" s="26" t="inlineStr">
        <is>
          <t>KAPALI</t>
        </is>
      </c>
      <c r="C10" s="26" t="inlineStr">
        <is>
          <t>TAHSIL|KAPALI</t>
        </is>
      </c>
      <c r="G10" s="26" t="inlineStr">
        <is>
          <t>Villa</t>
        </is>
      </c>
      <c r="I10" s="26" t="inlineStr">
        <is>
          <t>KIR-00004</t>
        </is>
      </c>
    </row>
    <row r="11">
      <c r="A11" s="26" t="inlineStr">
        <is>
          <t>IPTAL</t>
        </is>
      </c>
      <c r="C11" s="26" t="inlineStr">
        <is>
          <t>MAHSUP|KAPALI</t>
        </is>
      </c>
      <c r="G11" s="26" t="inlineStr">
        <is>
          <t>Loft</t>
        </is>
      </c>
      <c r="I11" s="26" t="inlineStr">
        <is>
          <t>KIR-00005</t>
        </is>
      </c>
    </row>
    <row r="12">
      <c r="G12" s="26" t="inlineStr">
        <is>
          <t>Depo</t>
        </is>
      </c>
      <c r="I12" s="26" t="inlineStr">
        <is>
          <t>KIR-00006</t>
        </is>
      </c>
    </row>
    <row r="13">
      <c r="I13" s="26" t="inlineStr">
        <is>
          <t>KIR-00007</t>
        </is>
      </c>
    </row>
    <row r="14">
      <c r="I14" s="26" t="inlineStr">
        <is>
          <t>KIR-00008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3D4C"/>
    <outlinePr summaryBelow="1" summaryRight="1"/>
    <pageSetUpPr/>
  </sheetPr>
  <dimension ref="A1:AC71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38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9" t="inlineStr">
        <is>
          <t>AYARLAR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9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kad_esikGecikmeGun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kad_esikGeciken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kad_gecikmeOranGun</t>
        </is>
      </c>
      <c r="B10" s="41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kad_senaryoTemkinli</t>
        </is>
      </c>
      <c r="B11" s="41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kad_senaryoBaz</t>
        </is>
      </c>
      <c r="B12" s="41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kad_senaryoIyimser</t>
        </is>
      </c>
      <c r="B13" s="4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kad_tornadoOran</t>
        </is>
      </c>
      <c r="B14" s="41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kad_yuzdelikOran</t>
        </is>
      </c>
      <c r="B15" s="41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kad_olcekHedef</t>
        </is>
      </c>
      <c r="B16" s="40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kad_azamiTutar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kad_mahsupTolerans</t>
        </is>
      </c>
      <c r="B18" s="27" t="n">
        <v>100</v>
      </c>
      <c r="C18" s="7" t="inlineStr">
        <is>
          <t>TL</t>
        </is>
      </c>
      <c r="D18" s="7" t="inlineStr">
        <is>
          <t>Avans mahsup eşiği</t>
        </is>
      </c>
      <c r="E18" s="7" t="inlineStr">
        <is>
          <t>01.01.2026</t>
        </is>
      </c>
      <c r="F18" s="8" t="inlineStr">
        <is>
          <t>Aşım = mahsup &gt; anapara + tolerans</t>
        </is>
      </c>
    </row>
    <row r="19">
      <c r="A19" s="7" t="inlineStr">
        <is>
          <t>kad_durumHaritasi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kad_kuyrukOzeti_metin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kad_kapaliDusum_metin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kad_kanitRaporu_metin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kad_dosyaSurumu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kad_malikAdi</t>
        </is>
      </c>
      <c r="B24" s="26" t="inlineStr">
        <is>
          <t>Örnek Malik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Malik unvanı</t>
        </is>
      </c>
    </row>
    <row r="25"/>
    <row r="26"/>
    <row r="27"/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BEKLIYOR</t>
        </is>
      </c>
      <c r="I30" s="7" t="inlineStr">
        <is>
          <t>Bekliyor</t>
        </is>
      </c>
      <c r="J30" s="20" t="n">
        <v>1</v>
      </c>
      <c r="K30" s="7" t="inlineStr">
        <is>
          <t>TAHSIL|IPTAL</t>
        </is>
      </c>
      <c r="L30" s="7" t="inlineStr">
        <is>
          <t>acik</t>
        </is>
      </c>
    </row>
    <row r="31">
      <c r="H31" s="7" t="inlineStr">
        <is>
          <t>TAHSIL</t>
        </is>
      </c>
      <c r="I31" s="7" t="inlineStr">
        <is>
          <t>Tahsil</t>
        </is>
      </c>
      <c r="J31" s="20" t="n">
        <v>2</v>
      </c>
      <c r="K31" s="7" t="inlineStr">
        <is>
          <t>MAHSUP|KAPALI</t>
        </is>
      </c>
      <c r="L31" s="7" t="inlineStr">
        <is>
          <t>acik</t>
        </is>
      </c>
    </row>
    <row r="32">
      <c r="H32" s="7" t="inlineStr">
        <is>
          <t>MAHSUP</t>
        </is>
      </c>
      <c r="I32" s="7" t="inlineStr">
        <is>
          <t>Mahsup</t>
        </is>
      </c>
      <c r="J32" s="20" t="n">
        <v>3</v>
      </c>
      <c r="K32" s="7" t="inlineStr">
        <is>
          <t>KAPALI</t>
        </is>
      </c>
      <c r="L32" s="7" t="inlineStr">
        <is>
          <t>acik</t>
        </is>
      </c>
    </row>
    <row r="33">
      <c r="H33" s="7" t="inlineStr">
        <is>
          <t>KAPALI</t>
        </is>
      </c>
      <c r="I33" s="7" t="inlineStr">
        <is>
          <t>Kapalı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5"/>
    <row r="36"/>
    <row r="37"/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kad_acikAdet</t>
        </is>
      </c>
      <c r="I40" s="8">
        <f>HESAP!C19</f>
        <v/>
      </c>
    </row>
    <row r="41">
      <c r="H41" s="7" t="inlineStr">
        <is>
          <t>kad_acikTutar</t>
        </is>
      </c>
      <c r="I41" s="8">
        <f>HESAP!C21</f>
        <v/>
      </c>
    </row>
    <row r="42">
      <c r="H42" s="7" t="inlineStr">
        <is>
          <t>kad_gecikenAdet</t>
        </is>
      </c>
      <c r="I42" s="8">
        <f>HESAP!C31</f>
        <v/>
      </c>
    </row>
    <row r="43">
      <c r="H43" s="7" t="inlineStr">
        <is>
          <t>kad_gecikmeMaliyeti</t>
        </is>
      </c>
      <c r="I43" s="8">
        <f>HESAP!C33</f>
        <v/>
      </c>
    </row>
    <row r="44">
      <c r="H44" s="7" t="inlineStr">
        <is>
          <t>kad_yetimKayit</t>
        </is>
      </c>
      <c r="I44" s="8">
        <f>HESAP!C22</f>
        <v/>
      </c>
    </row>
    <row r="45">
      <c r="H45" s="7" t="inlineStr">
        <is>
          <t>kad_gecersizGecis</t>
        </is>
      </c>
      <c r="I45" s="8">
        <f>HESAP!C23</f>
        <v/>
      </c>
    </row>
    <row r="46">
      <c r="H46" s="7" t="inlineStr">
        <is>
          <t>kad_zincirKirik</t>
        </is>
      </c>
      <c r="I46" s="8">
        <f>HESAP!C24</f>
        <v/>
      </c>
    </row>
    <row r="47">
      <c r="H47" s="7" t="inlineStr">
        <is>
          <t>kad_yasKova</t>
        </is>
      </c>
      <c r="I47" s="8">
        <f>HESAP!C48</f>
        <v/>
      </c>
    </row>
    <row r="48">
      <c r="H48" s="7" t="inlineStr">
        <is>
          <t>kad_tahminAralik</t>
        </is>
      </c>
      <c r="I48" s="8">
        <f>HESAP!C43</f>
        <v/>
      </c>
    </row>
    <row r="49">
      <c r="H49" s="7" t="inlineStr">
        <is>
          <t>kad_senaryoKarsilastirma</t>
        </is>
      </c>
      <c r="I49" s="8">
        <f>HESAP!C37</f>
        <v/>
      </c>
    </row>
    <row r="50">
      <c r="H50" s="7" t="inlineStr">
        <is>
          <t>kad_tornadoZirve</t>
        </is>
      </c>
      <c r="I50" s="8">
        <f>HESAP!C38</f>
        <v/>
      </c>
    </row>
    <row r="51">
      <c r="H51" s="7" t="inlineStr">
        <is>
          <t>kad_odemeOncelik</t>
        </is>
      </c>
      <c r="I51" s="8">
        <f>HESAP!C39</f>
        <v/>
      </c>
    </row>
    <row r="52">
      <c r="H52" s="7" t="inlineStr">
        <is>
          <t>kad_paretoGecikme</t>
        </is>
      </c>
      <c r="I52" s="8">
        <f>HESAP!C40</f>
        <v/>
      </c>
    </row>
    <row r="53">
      <c r="H53" s="7" t="inlineStr">
        <is>
          <t>kad_kapaliDusum</t>
        </is>
      </c>
      <c r="I53" s="8">
        <f>HESAP!C20</f>
        <v/>
      </c>
    </row>
    <row r="54">
      <c r="H54" s="7" t="inlineStr">
        <is>
          <t>kad_kuyrukOzeti</t>
        </is>
      </c>
      <c r="I54" s="8">
        <f>HESAP!C47</f>
        <v/>
      </c>
    </row>
    <row r="55">
      <c r="H55" s="7" t="inlineStr">
        <is>
          <t>kad_kanitRaporu</t>
        </is>
      </c>
      <c r="I55" s="8">
        <f>HESAP!C60</f>
        <v/>
      </c>
    </row>
    <row r="56">
      <c r="H56" s="7" t="inlineStr">
        <is>
          <t>kad_sonrakiKimlik</t>
        </is>
      </c>
      <c r="I56" s="8">
        <f>"KIR-"&amp;TEXT(COUNTA(tblKartlar[KartId])+1,"00000")</f>
        <v/>
      </c>
    </row>
    <row r="57">
      <c r="H57" s="7" t="inlineStr">
        <is>
          <t>kad_avansMahsup</t>
        </is>
      </c>
      <c r="I57" s="8">
        <f>HESAP!C59</f>
        <v/>
      </c>
    </row>
    <row r="58">
      <c r="H58" s="7" t="inlineStr">
        <is>
          <t>kad_modulO8</t>
        </is>
      </c>
      <c r="I58" s="8">
        <f>HESAP!C57</f>
        <v/>
      </c>
    </row>
    <row r="59">
      <c r="H59" s="7" t="inlineStr">
        <is>
          <t>kad_modulI2</t>
        </is>
      </c>
      <c r="I59" s="8">
        <f>HESAP!C58</f>
        <v/>
      </c>
    </row>
    <row r="60"/>
    <row r="61"/>
    <row r="62">
      <c r="H62" s="16" t="inlineStr">
        <is>
          <t>Yorumlar</t>
        </is>
      </c>
    </row>
    <row r="63">
      <c r="H63" s="7" t="inlineStr">
        <is>
          <t>kad_yorumYas</t>
        </is>
      </c>
      <c r="I63" s="8">
        <f>_xlfn.TEXTJOIN(" ",TRUE,"Yaş kovaları",kad_yasKova)</f>
        <v/>
      </c>
    </row>
    <row r="64">
      <c r="H64" s="7" t="inlineStr">
        <is>
          <t>kad_yorumGecikme</t>
        </is>
      </c>
      <c r="I64" s="8">
        <f>_xlfn.TEXTJOIN(" ",TRUE,"Gecikme maliyeti",TEXT(kad_gecikmeMaliyeti,"0.00"),"TL")</f>
        <v/>
      </c>
    </row>
    <row r="65">
      <c r="H65" s="7" t="inlineStr">
        <is>
          <t>kad_yorumTahmin</t>
        </is>
      </c>
      <c r="I65" s="8">
        <f>_xlfn.TEXTJOIN(" ",TRUE,"Tahmin aralık",TEXT(kad_tahminAralik,"0.00"),"TL")</f>
        <v/>
      </c>
    </row>
    <row r="66">
      <c r="H66" s="7" t="inlineStr">
        <is>
          <t>kad_yorumSenaryo</t>
        </is>
      </c>
      <c r="I66" s="8">
        <f>_xlfn.TEXTJOIN(" ",TRUE,"Senaryo farkı",TEXT(kad_senaryoKarsilastirma,"0.00"),"TL")</f>
        <v/>
      </c>
    </row>
    <row r="67">
      <c r="H67" s="7" t="inlineStr">
        <is>
          <t>kad_yorumTornado</t>
        </is>
      </c>
      <c r="I67" s="8">
        <f>_xlfn.TEXTJOIN(" ",TRUE,"Tornado zirve",TEXT(kad_tornadoZirve,"0.00"),"TL")</f>
        <v/>
      </c>
    </row>
    <row r="68">
      <c r="H68" s="7" t="inlineStr">
        <is>
          <t>kad_yorumOncelik</t>
        </is>
      </c>
      <c r="I68" s="8">
        <f>_xlfn.TEXTJOIN(" ",TRUE,"Ödeme öncelik havuzu",TEXT(kad_odemeOncelik,"0.00"),"TL")</f>
        <v/>
      </c>
    </row>
    <row r="69">
      <c r="H69" s="7" t="inlineStr">
        <is>
          <t>kad_yorumPareto</t>
        </is>
      </c>
      <c r="I69" s="8">
        <f>_xlfn.TEXTJOIN(" ",TRUE,"Pareto gecikme payı",TEXT(kad_paretoGecikme,"0.0%"))</f>
        <v/>
      </c>
    </row>
    <row r="70">
      <c r="H70" s="7" t="inlineStr">
        <is>
          <t>kad_modulO8Yorum</t>
        </is>
      </c>
      <c r="I70" s="8">
        <f>_xlfn.TEXTJOIN(" ",TRUE,"Kalite",TEXT(kad_modulO8,"0"),"yetim/geçiş/zincir düşer")</f>
        <v/>
      </c>
    </row>
    <row r="71">
      <c r="H71" s="7" t="inlineStr">
        <is>
          <t>kad_modulI2Yorum</t>
        </is>
      </c>
      <c r="I71" s="8">
        <f>_xlfn.TEXTJOIN(" ",TRUE,"Yüzdelik 90 tutar",TEXT(kad_modulI2,"0.00"),"TL")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0F3D4C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Kira ve Avans Takip + Dekont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Kullanım Kılavuzu</t>
        </is>
      </c>
    </row>
    <row r="4"/>
    <row r="5">
      <c r="A5" s="8" t="inlineStr">
        <is>
          <t>1. KARTLAR sayfasına kiracı kartı ekleyin; aylık kira ve taşınmazı yazın.</t>
        </is>
      </c>
    </row>
    <row r="6">
      <c r="A6" s="8" t="inlineStr">
        <is>
          <t>2. AVANS sayfasına depozito/avans anaparasını girin; mahsup otomatik toplanır.</t>
        </is>
      </c>
    </row>
    <row r="7">
      <c r="A7" s="8" t="inlineStr">
        <is>
          <t>3. AKIS sayfasına her kira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(Kapalı/İptal) açık kuyruklardan düşer.</t>
        </is>
      </c>
    </row>
    <row r="11">
      <c r="A11" s="8" t="inlineStr">
        <is>
          <t>7. Gecikme eşiği aşımı KRİTİK, yetim/geçiş DİKKAT, boş veri VERİ YOK üretir.</t>
        </is>
      </c>
    </row>
    <row r="12">
      <c r="A12" s="8" t="inlineStr">
        <is>
          <t>8. DEKONT sayfasında kart ve dönem seçin; PDF olarak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2026-08-14T18:57:16Z</dcterms:created>
  <dcterms:modified xmlns:dcterms="http://purl.org/dc/terms/" xmlns:xsi="http://www.w3.org/2001/XMLSchema-instance" xsi:type="dcterms:W3CDTF">2026-09-25T20:45:25Z</dcterms:modified>
</cp:coreProperties>
</file>