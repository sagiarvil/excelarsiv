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5.xml" ContentType="application/vnd.openxmlformats-officedocument.spreadsheetml.comments+xml"/>
  <Override PartName="/xl/worksheets/sheet21.xml" ContentType="application/vnd.openxmlformats-officedocument.spreadsheetml.worksheet+xml"/>
  <Override PartName="/xl/comments/comment6.xml" ContentType="application/vnd.openxmlformats-officedocument.spreadsheetml.comments+xml"/>
  <Override PartName="/xl/tables/table4.xml" ContentType="application/vnd.openxmlformats-officedocument.spreadsheetml.table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KARTLAR" sheetId="11" state="visible" r:id="rId11"/>
    <sheet xmlns:r="http://schemas.openxmlformats.org/officeDocument/2006/relationships" name="AKIS" sheetId="12" state="visible" r:id="rId12"/>
    <sheet xmlns:r="http://schemas.openxmlformats.org/officeDocument/2006/relationships" name="KUYRUKLAR" sheetId="13" state="visible" r:id="rId13"/>
    <sheet xmlns:r="http://schemas.openxmlformats.org/officeDocument/2006/relationships" name="AVANS" sheetId="14" state="visible" r:id="rId14"/>
    <sheet xmlns:r="http://schemas.openxmlformats.org/officeDocument/2006/relationships" name="DEKONT" sheetId="15" state="visible" r:id="rId15"/>
    <sheet xmlns:r="http://schemas.openxmlformats.org/officeDocument/2006/relationships" name="HESAP" sheetId="16" state="visible" r:id="rId16"/>
    <sheet xmlns:r="http://schemas.openxmlformats.org/officeDocument/2006/relationships" name="RAPOR" sheetId="17" state="visible" r:id="rId17"/>
    <sheet xmlns:r="http://schemas.openxmlformats.org/officeDocument/2006/relationships" name="KONTROLLE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LISTELER" sheetId="20" state="visible" r:id="rId20"/>
    <sheet xmlns:r="http://schemas.openxmlformats.org/officeDocument/2006/relationships" name="AYARLAR" sheetId="21" state="visible" r:id="rId21"/>
    <sheet xmlns:r="http://schemas.openxmlformats.org/officeDocument/2006/relationships" name="KILAVUZ" sheetId="22" state="visible" r:id="rId22"/>
  </sheets>
  <definedNames>
    <definedName name="raporTarihi">AYARLAR!$B$6</definedName>
    <definedName name="zincirTolerans">AYARLAR!$B$7</definedName>
    <definedName name="kad_esikGecikmeGun">AYARLAR!$B$8</definedName>
    <definedName name="kad_esikGeciken">AYARLAR!$B$9</definedName>
    <definedName name="kad_gecikmeOranGun">AYARLAR!$B$10</definedName>
    <definedName name="kad_senaryoTemkinli">AYARLAR!$B$11</definedName>
    <definedName name="kad_senaryoBaz">AYARLAR!$B$12</definedName>
    <definedName name="kad_senaryoIyimser">AYARLAR!$B$13</definedName>
    <definedName name="kad_tornadoOran">AYARLAR!$B$14</definedName>
    <definedName name="kad_yuzdelikOran">AYARLAR!$B$15</definedName>
    <definedName name="kad_olcekHedef">AYARLAR!$B$16</definedName>
    <definedName name="kad_azamiTutar">AYARLAR!$B$17</definedName>
    <definedName name="kad_mahsupTolerans">AYARLAR!$B$18</definedName>
    <definedName name="kad_durumHaritasi">AYARLAR!$B$19</definedName>
    <definedName name="kad_kuyrukOzeti_metin">AYARLAR!$B$20</definedName>
    <definedName name="kad_kapaliDusum_metin">AYARLAR!$B$21</definedName>
    <definedName name="kad_kanitRaporu_metin">AYARLAR!$B$22</definedName>
    <definedName name="kad_dosyaSurumu">AYARLAR!$B$23</definedName>
    <definedName name="kad_malikAdi">AYARLAR!$B$24</definedName>
    <definedName name="kad_acikAdet">AYARLAR!$I$40</definedName>
    <definedName name="kad_acikTutar">AYARLAR!$I$41</definedName>
    <definedName name="kad_gecikenAdet">AYARLAR!$I$42</definedName>
    <definedName name="kad_gecikmeMaliyeti">AYARLAR!$I$43</definedName>
    <definedName name="kad_yetimKayit">AYARLAR!$I$44</definedName>
    <definedName name="kad_gecersizGecis">AYARLAR!$I$45</definedName>
    <definedName name="kad_zincirKirik">AYARLAR!$I$46</definedName>
    <definedName name="kad_yasKova">AYARLAR!$I$47</definedName>
    <definedName name="kad_tahminAralik">AYARLAR!$I$48</definedName>
    <definedName name="kad_senaryoKarsilastirma">AYARLAR!$I$49</definedName>
    <definedName name="kad_tornadoZirve">AYARLAR!$I$50</definedName>
    <definedName name="kad_odemeOncelik">AYARLAR!$I$51</definedName>
    <definedName name="kad_paretoGecikme">AYARLAR!$I$52</definedName>
    <definedName name="kad_kapaliDusum">AYARLAR!$I$53</definedName>
    <definedName name="kad_kuyrukOzeti">AYARLAR!$I$54</definedName>
    <definedName name="kad_kanitRaporu">AYARLAR!$I$55</definedName>
    <definedName name="kad_sonrakiKimlik">AYARLAR!$I$56</definedName>
    <definedName name="kad_avansMahsup">AYARLAR!$I$57</definedName>
    <definedName name="kad_modulO8">AYARLAR!$I$58</definedName>
    <definedName name="kad_modulI2">AYARLAR!$I$59</definedName>
    <definedName name="kad_yorumYas">AYARLAR!$I$63</definedName>
    <definedName name="kad_yorumGecikme">AYARLAR!$I$64</definedName>
    <definedName name="kad_yorumTahmin">AYARLAR!$I$65</definedName>
    <definedName name="kad_yorumSenaryo">AYARLAR!$I$66</definedName>
    <definedName name="kad_yorumTornado">AYARLAR!$I$67</definedName>
    <definedName name="kad_yorumOncelik">AYARLAR!$I$68</definedName>
    <definedName name="kad_yorumPareto">AYARLAR!$I$69</definedName>
    <definedName name="kad_modulO8Yorum">AYARLAR!$I$70</definedName>
    <definedName name="kad_modulI2Yorum">AYARLAR!$I$71</definedName>
    <definedName name="kad_kararKapi">PANO!$B$4</definedName>
    <definedName name="kad_dekont">DEKONT!$A$20</definedName>
    <definedName name="ListeDurumlar">LISTELER!$A$7:$A$11</definedName>
    <definedName name="ListeIzinliGecis">LISTELER!$C$7:$C$11</definedName>
    <definedName name="ListeEvetHayir">LISTELER!$E$7:$E$8</definedName>
    <definedName name="ListeKartlar">LISTELER!$I$7:$I$14</definedName>
    <definedName name="_xlnm.Print_Area" localSheetId="14">'DEKONT'!$A$1:$H$28</definedName>
    <definedName name="_xlnm.Print_Area" localSheetId="16">'RAPOR'!$A$1:$H$28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.mm.yyyy"/>
    <numFmt numFmtId="165" formatCode="₺ #,##0;[Red](₺ #,##0);-"/>
    <numFmt numFmtId="166" formatCode="0.0%;[Red](0.0%);-"/>
    <numFmt numFmtId="167" formatCode="0&quot; gün&quot;"/>
    <numFmt numFmtId="168" formatCode="#,##0 &quot;TL&quot;"/>
    <numFmt numFmtId="169" formatCode="0.0%"/>
    <numFmt numFmtId="170" formatCode="₺#,##0"/>
  </numFmts>
  <fonts count="8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6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165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4" fontId="13" fillId="5" borderId="0" applyAlignment="1" applyProtection="1" pivotButton="0" quotePrefix="0" xfId="0">
      <alignment horizontal="left" vertical="center"/>
      <protection locked="0" hidden="0"/>
    </xf>
    <xf numFmtId="0" fontId="15" fillId="4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165" fontId="17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3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167" fontId="14" fillId="0" borderId="0" applyAlignment="1" pivotButton="0" quotePrefix="0" xfId="0">
      <alignment horizontal="left" vertical="center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70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70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70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70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70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  <xf numFmtId="0" fontId="70" fillId="21" borderId="0" applyAlignment="1" pivotButton="0" quotePrefix="0" xfId="0">
      <alignment horizontal="left" vertical="center" wrapText="1"/>
    </xf>
    <xf numFmtId="0" fontId="71" fillId="22" borderId="0" applyAlignment="1" pivotButton="0" quotePrefix="0" xfId="0">
      <alignment vertical="center" wrapText="1"/>
    </xf>
    <xf numFmtId="0" fontId="72" fillId="23" borderId="0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74" fillId="21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vertical="center" wrapText="1"/>
    </xf>
    <xf numFmtId="0" fontId="75" fillId="25" borderId="0" applyAlignment="1" pivotButton="0" quotePrefix="0" xfId="0">
      <alignment vertical="top" wrapText="1"/>
    </xf>
    <xf numFmtId="0" fontId="70" fillId="26" borderId="0" applyAlignment="1" pivotButton="0" quotePrefix="0" xfId="0">
      <alignment horizontal="left" vertical="center" wrapText="1"/>
    </xf>
    <xf numFmtId="0" fontId="71" fillId="26" borderId="0" applyAlignment="1" pivotButton="0" quotePrefix="0" xfId="0">
      <alignment vertical="center" wrapText="1"/>
    </xf>
    <xf numFmtId="0" fontId="76" fillId="27" borderId="0" applyAlignment="1" pivotButton="0" quotePrefix="0" xfId="0">
      <alignment vertical="top" wrapText="1"/>
    </xf>
    <xf numFmtId="0" fontId="77" fillId="25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0" fillId="28" borderId="0" applyAlignment="1" pivotButton="0" quotePrefix="0" xfId="0">
      <alignment horizontal="left" vertical="center"/>
    </xf>
    <xf numFmtId="0" fontId="71" fillId="28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80" fillId="30" borderId="0" applyAlignment="1" pivotButton="0" quotePrefix="0" xfId="0">
      <alignment vertical="top" wrapText="1"/>
    </xf>
    <xf numFmtId="0" fontId="70" fillId="31" borderId="0" applyAlignment="1" pivotButton="0" quotePrefix="0" xfId="0">
      <alignment horizontal="left" vertical="center"/>
    </xf>
    <xf numFmtId="0" fontId="71" fillId="31" borderId="0" applyAlignment="1" pivotButton="0" quotePrefix="0" xfId="0">
      <alignment vertical="center" wrapText="1"/>
    </xf>
    <xf numFmtId="0" fontId="81" fillId="30" borderId="0" applyAlignment="1" pivotButton="0" quotePrefix="0" xfId="0">
      <alignment vertical="top" wrapText="1"/>
    </xf>
    <xf numFmtId="0" fontId="70" fillId="32" borderId="0" applyAlignment="1" pivotButton="0" quotePrefix="0" xfId="0">
      <alignment horizontal="left" vertical="center"/>
    </xf>
    <xf numFmtId="0" fontId="71" fillId="32" borderId="0" applyAlignment="1" pivotButton="0" quotePrefix="0" xfId="0">
      <alignment vertical="center" wrapText="1"/>
    </xf>
    <xf numFmtId="0" fontId="82" fillId="33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Avans Anapara ve Kalan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'AVANS'!P4</f>
            </strRef>
          </tx>
          <spPr>
            <a:ln xmlns:a="http://schemas.openxmlformats.org/drawingml/2006/main">
              <a:prstDash val="solid"/>
            </a:ln>
          </spPr>
          <cat>
            <numRef>
              <f>'AVANS'!$O$5:$O$12</f>
            </numRef>
          </cat>
          <val>
            <numRef>
              <f>'AVANS'!$P$5:$P$12</f>
            </numRef>
          </val>
        </ser>
        <ser>
          <idx val="1"/>
          <order val="1"/>
          <tx>
            <strRef>
              <f>'AVANS'!Q4</f>
            </strRef>
          </tx>
          <spPr>
            <a:ln xmlns:a="http://schemas.openxmlformats.org/drawingml/2006/main">
              <a:prstDash val="solid"/>
            </a:ln>
          </spPr>
          <cat>
            <numRef>
              <f>'AVANS'!$O$5:$O$12</f>
            </numRef>
          </cat>
          <val>
            <numRef>
              <f>'AVANS'!$Q$5:$Q$12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Kimlik disiplini | Doğru kullanım: Yeni kartta kullanın | Örnek: KIR-00009 | Risk: Elle çakışma</t>
      </text>
    </comment>
    <comment ref="A6" authorId="0" shapeId="0">
      <text>
        <t>Tanım: Kart Kimliği | Neden önemli: Kira/avans mahsup ve dekont kararını etkiler | Doğru kullanım: KIR-##### formatında | Örnek: hücredeki örnek değere bakın | Risk: Yanlış giriş hatalı karar üretir</t>
      </text>
    </comment>
    <comment ref="B6" authorId="0" shapeId="0">
      <text>
        <t>Tanım: Unvan | Neden önemli: Kira/avans mahsup ve dekont kararını etkiler | Doğru kullanım: Kiracı adı soyadı | Örnek: hücredeki örnek değere bakın | Risk: Yanlış giriş hatalı karar üretir</t>
      </text>
    </comment>
    <comment ref="C6" authorId="0" shapeId="0">
      <text>
        <t>Tanım: Taşınmaz | Neden önemli: Kira/avans mahsup ve dekont kararını etkiler | Doğru kullanım: Daire / dükkan tanımı | Örnek: hücredeki örnek değere bakın | Risk: Yanlış giriş hatalı karar üretir</t>
      </text>
    </comment>
    <comment ref="D6" authorId="0" shapeId="0">
      <text>
        <t>Tanım: Şehir | Neden önemli: Kira/avans mahsup ve dekont kararını etkiler | Doğru kullanım: Şehir | Örnek: hücredeki örnek değere bakın | Risk: Yanlış giriş hatalı karar üretir</t>
      </text>
    </comment>
    <comment ref="E6" authorId="0" shapeId="0">
      <text>
        <t>Tanım: Sözleşme No | Neden önemli: Kira/avans mahsup ve dekont kararını etkiler | Doğru kullanım: Sözleşme numarası | Örnek: hücredeki örnek değere bakın | Risk: Yanlış giriş hatalı karar üretir</t>
      </text>
    </comment>
    <comment ref="F6" authorId="0" shapeId="0">
      <text>
        <t>Tanım: Aylık Kira | Neden önemli: Kira/avans mahsup ve dekont kararını etkiler | Doğru kullanım: Aylık kira TL | Örnek: hücredeki örnek değere bakın | Risk: Yanlış giriş hatalı karar üretir</t>
      </text>
    </comment>
    <comment ref="G6" authorId="0" shapeId="0">
      <text>
        <t>Tanım: Risk Notu | Neden önemli: Kira/avans mahsup ve dekont kararını etkiler | Doğru kullanım: Kısa risk notu | Örnek: hücredeki örnek değere bakın | Risk: Yanlış giriş hatalı karar üretir</t>
      </text>
    </comment>
    <comment ref="H6" authorId="0" shapeId="0">
      <text>
        <t>Tanım: Aktif | Neden önemli: Kira/avans mahsup ve dekont kararını etkiler | Doğru kullanım: EVET veya HAYIR | Örnek: hücredeki örnek değere bakın | Risk: Yanlış giriş hatalı karar üretir</t>
      </text>
    </comment>
    <comment ref="A7" authorId="0" shapeId="0">
      <text>
        <t>Tanım: Kart Kimliği | Neden önemli: Kira/avans mahsup ve dekont kararını etkiler | Doğru kullanım: KIR-##### formatında | Örnek: hücredeki örnek değere bakın | Risk: Yanlış giriş hatalı karar üretir</t>
      </text>
    </comment>
    <comment ref="B7" authorId="0" shapeId="0">
      <text>
        <t>Tanım: Unvan | Neden önemli: Kira/avans mahsup ve dekont kararını etkiler | Doğru kullanım: Kiracı adı soyadı | Örnek: hücredeki örnek değere bakın | Risk: Yanlış giriş hatalı karar üretir</t>
      </text>
    </comment>
    <comment ref="C7" authorId="0" shapeId="0">
      <text>
        <t>Tanım: Taşınmaz | Neden önemli: Kira/avans mahsup ve dekont kararını etkiler | Doğru kullanım: Daire / dükkan tanımı | Örnek: hücredeki örnek değere bakın | Risk: Yanlış giriş hatalı karar üretir</t>
      </text>
    </comment>
    <comment ref="D7" authorId="0" shapeId="0">
      <text>
        <t>Tanım: Şehir | Neden önemli: Kira/avans mahsup ve dekont kararını etkiler | Doğru kullanım: Şehir | Örnek: hücredeki örnek değere bakın | Risk: Yanlış giriş hatalı karar üretir</t>
      </text>
    </comment>
    <comment ref="E7" authorId="0" shapeId="0">
      <text>
        <t>Tanım: Sözleşme No | Neden önemli: Kira/avans mahsup ve dekont kararını etkiler | Doğru kullanım: Sözleşme numarası | Örnek: hücredeki örnek değere bakın | Risk: Yanlış giriş hatalı karar üretir</t>
      </text>
    </comment>
    <comment ref="F7" authorId="0" shapeId="0">
      <text>
        <t>Tanım: Aylık Kira | Neden önemli: Kira/avans mahsup ve dekont kararını etkiler | Doğru kullanım: Aylık kira TL | Örnek: hücredeki örnek değere bakın | Risk: Yanlış giriş hatalı karar üretir</t>
      </text>
    </comment>
    <comment ref="G7" authorId="0" shapeId="0">
      <text>
        <t>Tanım: Risk Notu | Neden önemli: Kira/avans mahsup ve dekont kararını etkiler | Doğru kullanım: Kısa risk notu | Örnek: hücredeki örnek değere bakın | Risk: Yanlış giriş hatalı karar üretir</t>
      </text>
    </comment>
    <comment ref="H7" authorId="0" shapeId="0">
      <text>
        <t>Tanım: Aktif | Neden önemli: Kira/avans mahsup ve dekont kararını etkiler | Doğru kullanım: EVET veya HAYIR | Örnek: hücredeki örnek değere bakın | Risk: Yanlış giriş hatalı karar üretir</t>
      </text>
    </comment>
    <comment ref="A8" authorId="0" shapeId="0">
      <text>
        <t>Tanım: Kart Kimliği | Neden önemli: Kira/avans mahsup ve dekont kararını etkiler | Doğru kullanım: KIR-##### formatında | Örnek: hücredeki örnek değere bakın | Risk: Yanlış giriş hatalı karar üretir</t>
      </text>
    </comment>
    <comment ref="B8" authorId="0" shapeId="0">
      <text>
        <t>Tanım: Unvan | Neden önemli: Kira/avans mahsup ve dekont kararını etkiler | Doğru kullanım: Kiracı adı soyadı | Örnek: hücredeki örnek değere bakın | Risk: Yanlış giriş hatalı karar üretir</t>
      </text>
    </comment>
    <comment ref="C8" authorId="0" shapeId="0">
      <text>
        <t>Tanım: Taşınmaz | Neden önemli: Kira/avans mahsup ve dekont kararını etkiler | Doğru kullanım: Daire / dükkan tanımı | Örnek: hücredeki örnek değere bakın | Risk: Yanlış giriş hatalı karar üretir</t>
      </text>
    </comment>
    <comment ref="D8" authorId="0" shapeId="0">
      <text>
        <t>Tanım: Şehir | Neden önemli: Kira/avans mahsup ve dekont kararını etkiler | Doğru kullanım: Şehir | Örnek: hücredeki örnek değere bakın | Risk: Yanlış giriş hatalı karar üretir</t>
      </text>
    </comment>
    <comment ref="E8" authorId="0" shapeId="0">
      <text>
        <t>Tanım: Sözleşme No | Neden önemli: Kira/avans mahsup ve dekont kararını etkiler | Doğru kullanım: Sözleşme numarası | Örnek: hücredeki örnek değere bakın | Risk: Yanlış giriş hatalı karar üretir</t>
      </text>
    </comment>
    <comment ref="F8" authorId="0" shapeId="0">
      <text>
        <t>Tanım: Aylık Kira | Neden önemli: Kira/avans mahsup ve dekont kararını etkiler | Doğru kullanım: Aylık kira TL | Örnek: hücredeki örnek değere bakın | Risk: Yanlış giriş hatalı karar üretir</t>
      </text>
    </comment>
    <comment ref="G8" authorId="0" shapeId="0">
      <text>
        <t>Tanım: Risk Notu | Neden önemli: Kira/avans mahsup ve dekont kararını etkiler | Doğru kullanım: Kısa risk notu | Örnek: hücredeki örnek değere bakın | Risk: Yanlış giriş hatalı karar üretir</t>
      </text>
    </comment>
    <comment ref="H8" authorId="0" shapeId="0">
      <text>
        <t>Tanım: Aktif | Neden önemli: Kira/avans mahsup ve dekont kararını etkiler | Doğru kullanım: EVET veya HAYIR | Örnek: hücredeki örnek değere bakın | Risk: Yanlış giriş hatalı karar üretir</t>
      </text>
    </comment>
    <comment ref="A9" authorId="0" shapeId="0">
      <text>
        <t>Tanım: Kart Kimliği | Neden önemli: Kira/avans mahsup ve dekont kararını etkiler | Doğru kullanım: KIR-##### formatında | Örnek: hücredeki örnek değere bakın | Risk: Yanlış giriş hatalı karar üretir</t>
      </text>
    </comment>
    <comment ref="B9" authorId="0" shapeId="0">
      <text>
        <t>Tanım: Unvan | Neden önemli: Kira/avans mahsup ve dekont kararını etkiler | Doğru kullanım: Kiracı adı soyadı | Örnek: hücredeki örnek değere bakın | Risk: Yanlış giriş hatalı karar üretir</t>
      </text>
    </comment>
    <comment ref="C9" authorId="0" shapeId="0">
      <text>
        <t>Tanım: Taşınmaz | Neden önemli: Kira/avans mahsup ve dekont kararını etkiler | Doğru kullanım: Daire / dükkan tanımı | Örnek: hücredeki örnek değere bakın | Risk: Yanlış giriş hatalı karar üretir</t>
      </text>
    </comment>
    <comment ref="D9" authorId="0" shapeId="0">
      <text>
        <t>Tanım: Şehir | Neden önemli: Kira/avans mahsup ve dekont kararını etkiler | Doğru kullanım: Şehir | Örnek: hücredeki örnek değere bakın | Risk: Yanlış giriş hatalı karar üretir</t>
      </text>
    </comment>
    <comment ref="E9" authorId="0" shapeId="0">
      <text>
        <t>Tanım: Sözleşme No | Neden önemli: Kira/avans mahsup ve dekont kararını etkiler | Doğru kullanım: Sözleşme numarası | Örnek: hücredeki örnek değere bakın | Risk: Yanlış giriş hatalı karar üretir</t>
      </text>
    </comment>
    <comment ref="F9" authorId="0" shapeId="0">
      <text>
        <t>Tanım: Aylık Kira | Neden önemli: Kira/avans mahsup ve dekont kararını etkiler | Doğru kullanım: Aylık kira TL | Örnek: hücredeki örnek değere bakın | Risk: Yanlış giriş hatalı karar üretir</t>
      </text>
    </comment>
    <comment ref="G9" authorId="0" shapeId="0">
      <text>
        <t>Tanım: Risk Notu | Neden önemli: Kira/avans mahsup ve dekont kararını etkiler | Doğru kullanım: Kısa risk notu | Örnek: hücredeki örnek değere bakın | Risk: Yanlış giriş hatalı karar üretir</t>
      </text>
    </comment>
    <comment ref="H9" authorId="0" shapeId="0">
      <text>
        <t>Tanım: Aktif | Neden önemli: Kira/avans mahsup ve dekont kararını etkiler | Doğru kullanım: EVET veya HAYIR | Örnek: hücredeki örnek değere bakın | Risk: Yanlış giriş hatalı karar üretir</t>
      </text>
    </comment>
    <comment ref="A10" authorId="0" shapeId="0">
      <text>
        <t>Tanım: Kart Kimliği | Neden önemli: Kira/avans mahsup ve dekont kararını etkiler | Doğru kullanım: KIR-##### formatında | Örnek: hücredeki örnek değere bakın | Risk: Yanlış giriş hatalı karar üretir</t>
      </text>
    </comment>
    <comment ref="B10" authorId="0" shapeId="0">
      <text>
        <t>Tanım: Unvan | Neden önemli: Kira/avans mahsup ve dekont kararını etkiler | Doğru kullanım: Kiracı adı soyadı | Örnek: hücredeki örnek değere bakın | Risk: Yanlış giriş hatalı karar üretir</t>
      </text>
    </comment>
    <comment ref="C10" authorId="0" shapeId="0">
      <text>
        <t>Tanım: Taşınmaz | Neden önemli: Kira/avans mahsup ve dekont kararını etkiler | Doğru kullanım: Daire / dükkan tanımı | Örnek: hücredeki örnek değere bakın | Risk: Yanlış giriş hatalı karar üretir</t>
      </text>
    </comment>
    <comment ref="D10" authorId="0" shapeId="0">
      <text>
        <t>Tanım: Şehir | Neden önemli: Kira/avans mahsup ve dekont kararını etkiler | Doğru kullanım: Şehir | Örnek: hücredeki örnek değere bakın | Risk: Yanlış giriş hatalı karar üretir</t>
      </text>
    </comment>
    <comment ref="E10" authorId="0" shapeId="0">
      <text>
        <t>Tanım: Sözleşme No | Neden önemli: Kira/avans mahsup ve dekont kararını etkiler | Doğru kullanım: Sözleşme numarası | Örnek: hücredeki örnek değere bakın | Risk: Yanlış giriş hatalı karar üretir</t>
      </text>
    </comment>
    <comment ref="F10" authorId="0" shapeId="0">
      <text>
        <t>Tanım: Aylık Kira | Neden önemli: Kira/avans mahsup ve dekont kararını etkiler | Doğru kullanım: Aylık kira TL | Örnek: hücredeki örnek değere bakın | Risk: Yanlış giriş hatalı karar üretir</t>
      </text>
    </comment>
    <comment ref="G10" authorId="0" shapeId="0">
      <text>
        <t>Tanım: Risk Notu | Neden önemli: Kira/avans mahsup ve dekont kararını etkiler | Doğru kullanım: Kısa risk notu | Örnek: hücredeki örnek değere bakın | Risk: Yanlış giriş hatalı karar üretir</t>
      </text>
    </comment>
    <comment ref="H10" authorId="0" shapeId="0">
      <text>
        <t>Tanım: Aktif | Neden önemli: Kira/avans mahsup ve dekont kararını etkiler | Doğru kullanım: EVET veya HAYIR | Örnek: hücredeki örnek değere bakın | Risk: Yanlış giriş hatalı karar üretir</t>
      </text>
    </comment>
    <comment ref="A11" authorId="0" shapeId="0">
      <text>
        <t>Tanım: Kart Kimliği | Neden önemli: Kira/avans mahsup ve dekont kararını etkiler | Doğru kullanım: KIR-##### formatında | Örnek: hücredeki örnek değere bakın | Risk: Yanlış giriş hatalı karar üretir</t>
      </text>
    </comment>
    <comment ref="B11" authorId="0" shapeId="0">
      <text>
        <t>Tanım: Unvan | Neden önemli: Kira/avans mahsup ve dekont kararını etkiler | Doğru kullanım: Kiracı adı soyadı | Örnek: hücredeki örnek değere bakın | Risk: Yanlış giriş hatalı karar üretir</t>
      </text>
    </comment>
    <comment ref="C11" authorId="0" shapeId="0">
      <text>
        <t>Tanım: Taşınmaz | Neden önemli: Kira/avans mahsup ve dekont kararını etkiler | Doğru kullanım: Daire / dükkan tanımı | Örnek: hücredeki örnek değere bakın | Risk: Yanlış giriş hatalı karar üretir</t>
      </text>
    </comment>
    <comment ref="D11" authorId="0" shapeId="0">
      <text>
        <t>Tanım: Şehir | Neden önemli: Kira/avans mahsup ve dekont kararını etkiler | Doğru kullanım: Şehir | Örnek: hücredeki örnek değere bakın | Risk: Yanlış giriş hatalı karar üretir</t>
      </text>
    </comment>
    <comment ref="E11" authorId="0" shapeId="0">
      <text>
        <t>Tanım: Sözleşme No | Neden önemli: Kira/avans mahsup ve dekont kararını etkiler | Doğru kullanım: Sözleşme numarası | Örnek: hücredeki örnek değere bakın | Risk: Yanlış giriş hatalı karar üretir</t>
      </text>
    </comment>
    <comment ref="F11" authorId="0" shapeId="0">
      <text>
        <t>Tanım: Aylık Kira | Neden önemli: Kira/avans mahsup ve dekont kararını etkiler | Doğru kullanım: Aylık kira TL | Örnek: hücredeki örnek değere bakın | Risk: Yanlış giriş hatalı karar üretir</t>
      </text>
    </comment>
    <comment ref="G11" authorId="0" shapeId="0">
      <text>
        <t>Tanım: Risk Notu | Neden önemli: Kira/avans mahsup ve dekont kararını etkiler | Doğru kullanım: Kısa risk notu | Örnek: hücredeki örnek değere bakın | Risk: Yanlış giriş hatalı karar üretir</t>
      </text>
    </comment>
    <comment ref="H11" authorId="0" shapeId="0">
      <text>
        <t>Tanım: Aktif | Neden önemli: Kira/avans mahsup ve dekont kararını etkiler | Doğru kullanım: EVET veya HAYIR | Örnek: hücredeki örnek değere bakın | Risk: Yanlış giriş hatalı karar üretir</t>
      </text>
    </comment>
    <comment ref="A12" authorId="0" shapeId="0">
      <text>
        <t>Tanım: Kart Kimliği | Neden önemli: Kira/avans mahsup ve dekont kararını etkiler | Doğru kullanım: KIR-##### formatında | Örnek: hücredeki örnek değere bakın | Risk: Yanlış giriş hatalı karar üretir</t>
      </text>
    </comment>
    <comment ref="B12" authorId="0" shapeId="0">
      <text>
        <t>Tanım: Unvan | Neden önemli: Kira/avans mahsup ve dekont kararını etkiler | Doğru kullanım: Kiracı adı soyadı | Örnek: hücredeki örnek değere bakın | Risk: Yanlış giriş hatalı karar üretir</t>
      </text>
    </comment>
    <comment ref="C12" authorId="0" shapeId="0">
      <text>
        <t>Tanım: Taşınmaz | Neden önemli: Kira/avans mahsup ve dekont kararını etkiler | Doğru kullanım: Daire / dükkan tanımı | Örnek: hücredeki örnek değere bakın | Risk: Yanlış giriş hatalı karar üretir</t>
      </text>
    </comment>
    <comment ref="D12" authorId="0" shapeId="0">
      <text>
        <t>Tanım: Şehir | Neden önemli: Kira/avans mahsup ve dekont kararını etkiler | Doğru kullanım: Şehir | Örnek: hücredeki örnek değere bakın | Risk: Yanlış giriş hatalı karar üretir</t>
      </text>
    </comment>
    <comment ref="E12" authorId="0" shapeId="0">
      <text>
        <t>Tanım: Sözleşme No | Neden önemli: Kira/avans mahsup ve dekont kararını etkiler | Doğru kullanım: Sözleşme numarası | Örnek: hücredeki örnek değere bakın | Risk: Yanlış giriş hatalı karar üretir</t>
      </text>
    </comment>
    <comment ref="F12" authorId="0" shapeId="0">
      <text>
        <t>Tanım: Aylık Kira | Neden önemli: Kira/avans mahsup ve dekont kararını etkiler | Doğru kullanım: Aylık kira TL | Örnek: hücredeki örnek değere bakın | Risk: Yanlış giriş hatalı karar üretir</t>
      </text>
    </comment>
    <comment ref="G12" authorId="0" shapeId="0">
      <text>
        <t>Tanım: Risk Notu | Neden önemli: Kira/avans mahsup ve dekont kararını etkiler | Doğru kullanım: Kısa risk notu | Örnek: hücredeki örnek değere bakın | Risk: Yanlış giriş hatalı karar üretir</t>
      </text>
    </comment>
    <comment ref="H12" authorId="0" shapeId="0">
      <text>
        <t>Tanım: Aktif | Neden önemli: Kira/avans mahsup ve dekont kararını etkiler | Doğru kullanım: EVET veya HAYIR | Örnek: hücredeki örnek değere bakın | Risk: Yanlış giriş hatalı karar üretir</t>
      </text>
    </comment>
    <comment ref="A13" authorId="0" shapeId="0">
      <text>
        <t>Tanım: Kart Kimliği | Neden önemli: Kira/avans mahsup ve dekont kararını etkiler | Doğru kullanım: KIR-##### formatında | Örnek: hücredeki örnek değere bakın | Risk: Yanlış giriş hatalı karar üretir</t>
      </text>
    </comment>
    <comment ref="B13" authorId="0" shapeId="0">
      <text>
        <t>Tanım: Unvan | Neden önemli: Kira/avans mahsup ve dekont kararını etkiler | Doğru kullanım: Kiracı adı soyadı | Örnek: hücredeki örnek değere bakın | Risk: Yanlış giriş hatalı karar üretir</t>
      </text>
    </comment>
    <comment ref="C13" authorId="0" shapeId="0">
      <text>
        <t>Tanım: Taşınmaz | Neden önemli: Kira/avans mahsup ve dekont kararını etkiler | Doğru kullanım: Daire / dükkan tanımı | Örnek: hücredeki örnek değere bakın | Risk: Yanlış giriş hatalı karar üretir</t>
      </text>
    </comment>
    <comment ref="D13" authorId="0" shapeId="0">
      <text>
        <t>Tanım: Şehir | Neden önemli: Kira/avans mahsup ve dekont kararını etkiler | Doğru kullanım: Şehir | Örnek: hücredeki örnek değere bakın | Risk: Yanlış giriş hatalı karar üretir</t>
      </text>
    </comment>
    <comment ref="E13" authorId="0" shapeId="0">
      <text>
        <t>Tanım: Sözleşme No | Neden önemli: Kira/avans mahsup ve dekont kararını etkiler | Doğru kullanım: Sözleşme numarası | Örnek: hücredeki örnek değere bakın | Risk: Yanlış giriş hatalı karar üretir</t>
      </text>
    </comment>
    <comment ref="F13" authorId="0" shapeId="0">
      <text>
        <t>Tanım: Aylık Kira | Neden önemli: Kira/avans mahsup ve dekont kararını etkiler | Doğru kullanım: Aylık kira TL | Örnek: hücredeki örnek değere bakın | Risk: Yanlış giriş hatalı karar üretir</t>
      </text>
    </comment>
    <comment ref="G13" authorId="0" shapeId="0">
      <text>
        <t>Tanım: Risk Notu | Neden önemli: Kira/avans mahsup ve dekont kararını etkiler | Doğru kullanım: Kısa risk notu | Örnek: hücredeki örnek değere bakın | Risk: Yanlış giriş hatalı karar üretir</t>
      </text>
    </comment>
    <comment ref="H13" authorId="0" shapeId="0">
      <text>
        <t>Tanım: Aktif | Neden önemli: Kira/avans mahsup ve dekont kararını etkiler | Doğru kullanım: EVET veya HAYIR | Örnek: hücredeki örnek değere bakın | Risk: Yanlış giriş hatalı karar üretir</t>
      </text>
    </comment>
    <comment ref="A1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3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3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3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3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3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3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3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3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3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3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3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3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3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3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3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3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3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3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3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3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3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3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3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3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3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3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3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3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3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3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3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3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3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3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3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3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3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3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3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3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3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3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3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3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3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3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3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3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3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3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3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3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3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3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3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3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3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3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3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3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3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3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3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3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3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3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3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3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3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3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3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3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3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3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3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3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3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3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3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3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4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4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4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4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4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4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4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4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4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4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4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4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4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4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4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4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4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4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4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4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4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4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4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4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4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4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4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4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4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4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4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4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4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4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4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4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4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4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4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4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4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4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4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4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4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4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4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4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4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4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4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4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4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4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4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4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4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4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4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4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4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4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4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4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4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4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4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4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4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4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4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4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4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4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4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4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4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4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4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4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5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5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5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5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5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5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5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5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5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5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5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5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5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5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5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5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5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5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5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5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5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5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5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5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5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5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5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5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5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5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5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5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5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5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5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5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5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5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5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5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5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5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5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5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5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5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5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5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5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5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5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5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5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5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5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5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5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5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5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5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5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5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5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5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5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5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5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5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5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5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5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5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5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5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5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5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5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5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5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5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6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6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6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6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6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6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6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6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6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6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6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6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6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6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6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6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6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6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6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6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6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6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6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6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6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6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6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6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6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6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6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6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6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6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6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6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6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6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6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6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6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6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6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6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6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6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6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6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6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6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6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6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6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6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6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6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6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6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6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6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6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6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6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6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6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6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6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6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6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6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6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6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6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6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6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6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6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6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6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6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7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7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7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7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7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7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7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7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7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7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7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7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7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7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7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7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7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7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7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7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7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7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7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7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7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7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7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7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7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7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7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7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7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7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7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7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7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7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7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7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7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7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7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7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7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7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7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7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7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7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7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7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7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7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7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7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7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7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7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7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7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7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7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7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7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7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7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7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7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7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7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7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7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7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7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7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7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7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7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7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8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8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8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8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8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8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8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8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8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8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8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8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8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8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8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8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8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8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8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8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8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8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8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8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8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8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8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8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8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8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8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8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8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8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8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8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8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8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8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8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8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8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8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8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8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8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8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8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8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8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8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8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8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8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8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8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8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8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8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8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8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8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8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8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8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8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8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8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8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8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8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8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8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8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8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8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8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8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8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8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9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9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9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9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9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9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9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9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9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9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9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9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9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9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9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9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9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9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9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9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9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9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9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9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9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9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9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9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9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9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9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9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9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9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9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9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9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9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9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9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9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9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9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9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9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9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9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9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9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9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9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9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9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9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9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9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9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9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9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9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9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9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9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9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9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9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9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9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9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9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9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9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9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9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9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9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9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9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9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9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0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0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0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0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0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0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0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0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0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0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0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0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0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0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0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0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0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0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0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0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0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0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0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0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0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0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0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0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0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0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0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0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0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0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0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0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0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0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0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0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0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0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0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0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0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0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0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0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0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0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0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0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0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0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0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0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0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0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0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0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0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0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0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0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0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0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0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0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0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0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0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0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0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0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0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0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0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0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0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0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1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1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1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1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1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1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1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1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1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1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1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1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1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1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1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1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1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1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1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1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1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1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1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1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1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1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1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1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1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1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1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1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1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1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1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1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1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1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1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1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1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1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1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1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1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1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1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1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1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1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1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1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1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1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1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1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1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1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1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1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1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1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1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1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1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1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1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1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1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1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1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1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1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1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1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1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1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1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1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1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2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2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2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2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2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2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2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2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2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2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2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2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2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2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2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2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2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2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2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2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2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2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2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2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2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2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2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2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2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2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2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2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2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2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2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2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2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2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2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2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2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2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2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2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2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2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2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2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2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2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2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2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2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2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2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2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2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2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2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2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2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2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2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2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2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2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2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2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2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2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2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2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2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2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2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2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2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2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2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2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3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3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3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3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3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3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3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3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3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3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3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3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3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3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3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3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3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3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3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3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3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3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3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3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3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3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3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3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3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3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3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3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3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3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3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3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3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3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3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3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3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3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3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3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3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3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3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3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3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3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3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3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3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3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3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3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3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3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3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3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3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3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3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3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3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3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3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3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3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3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3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3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3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3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3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3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3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3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3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3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4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4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4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4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4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4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4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4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4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4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4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4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4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4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4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4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4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4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4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4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4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4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4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4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4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4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4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4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4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4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4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4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4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4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4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4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4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4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4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4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4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4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4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4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4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4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4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4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4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4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4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4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4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4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4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4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4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4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4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4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4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4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4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4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4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4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4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4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4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4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4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4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4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4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4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4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4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4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4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4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5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5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5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5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5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5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5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5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5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5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5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5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5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5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5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5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5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5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5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5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5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5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5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5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5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5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5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5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5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5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5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5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5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5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5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5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5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5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5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5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5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5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5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5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5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5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5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5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5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5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5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5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5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5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5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5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5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5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5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5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5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5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5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5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5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5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5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5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5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5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5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5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5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5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5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5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5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5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5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5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6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6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6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6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6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6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6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6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6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6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6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6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6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6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6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6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6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6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6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6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6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6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6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6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6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6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6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6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6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6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6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6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6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6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6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6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6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6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6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6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6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6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6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6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6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6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6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6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6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6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6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6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6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6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6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6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6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6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6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6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6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6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6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6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6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6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6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6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6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6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6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6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6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6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6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6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6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6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6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6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7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7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7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7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7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7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7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7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7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7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7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7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7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7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7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7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7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7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7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7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7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7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7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7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7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7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7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7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7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7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7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7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7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7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7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7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7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7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7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7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7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7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7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7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7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7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7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7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7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7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7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7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7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7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7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7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7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7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7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7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7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7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7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7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7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7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7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7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7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7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7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7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7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7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7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7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7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7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7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7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8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8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8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8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8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8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8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8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8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8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8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8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8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8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8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8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8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8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8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8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8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8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8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8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8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8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8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8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8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8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8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8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8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8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8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8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8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8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8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8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8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8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8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8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8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8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8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8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8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8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8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8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8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8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8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8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8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8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8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8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8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8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8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8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8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8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8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8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8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8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8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8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8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8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8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8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8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8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8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8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9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9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9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9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9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9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9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9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9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9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9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9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9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9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9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9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9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9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9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9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9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9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9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9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9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9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9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9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9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9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9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9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9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9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9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9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9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9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9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9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9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9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9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9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9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9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9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9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9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9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9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9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9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9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9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9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9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9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9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9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9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9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9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9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9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9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9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9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9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9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9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9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19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19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19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19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19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19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19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19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0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0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0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0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0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0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0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0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0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0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0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0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0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0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0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0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0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0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0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0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0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0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0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0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0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0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0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0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0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0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0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0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0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0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0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0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0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0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0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0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0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0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0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0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0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0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0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0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0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0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0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0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0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0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0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0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0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0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0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0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0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0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0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0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0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0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0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0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0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0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0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0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0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0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0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0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0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0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0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0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1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1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1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1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1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1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1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1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1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1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1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1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1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1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1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1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1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1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1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1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1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1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1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1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1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1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1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1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1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1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1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1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1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1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1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1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1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1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1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1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1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1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1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1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1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1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1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1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1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1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1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1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1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1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1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1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1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1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1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1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1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1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1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1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1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1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1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1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1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1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1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1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1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1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1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1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1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1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1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1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2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2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2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2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2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2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2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2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2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2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2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2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2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2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2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2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2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2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2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2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2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2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2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2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2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2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2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2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2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2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2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2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2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2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2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2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2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2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2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2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2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2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2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2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2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2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2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2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2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2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2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2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2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2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2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2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2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2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2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2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2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2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2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2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2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2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2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2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2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2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2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2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2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2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2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2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2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2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2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2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3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3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3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3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3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3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3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3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3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3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3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3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3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3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3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3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3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3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3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3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3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3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3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3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3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3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3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3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3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3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3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3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3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3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3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3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3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3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3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3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3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3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3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3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3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3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3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3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3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3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3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3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3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3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3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3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3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3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3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3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3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3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3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3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3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3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3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3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3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3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3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3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3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3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3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3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3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3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3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3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4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4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4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4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4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4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4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4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4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4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4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4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4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4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4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4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4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4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4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4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4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4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4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4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4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4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4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4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4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4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4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4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4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4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4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4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4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4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4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4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4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4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4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4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4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4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4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4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46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46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46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46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46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46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46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46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47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47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47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47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47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47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47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47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48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48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48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48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48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48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48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48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49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49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49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49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49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49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49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49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50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50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50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50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50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50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50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50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51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51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51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51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51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51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51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51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52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52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52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52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52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52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52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52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53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53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53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53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53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53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53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53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54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54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54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54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54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54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54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54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  <comment ref="A255" authorId="0" shapeId="0">
      <text>
        <t>Tanım: KartId | Neden önemli: Kira/avans mahsup ve dekont kararını etkiler | Doğru kullanım: Manuel giriş | Örnek: hücredeki örnek değere bakın | Risk: Yanlış giriş hatalı karar üretir</t>
      </text>
    </comment>
    <comment ref="B255" authorId="0" shapeId="0">
      <text>
        <t>Tanım: Unvan | Neden önemli: Kira/avans mahsup ve dekont kararını etkiler | Doğru kullanım: Manuel giriş | Örnek: hücredeki örnek değere bakın | Risk: Yanlış giriş hatalı karar üretir</t>
      </text>
    </comment>
    <comment ref="C255" authorId="0" shapeId="0">
      <text>
        <t>Tanım: Tasinmaz | Neden önemli: Kira/avans mahsup ve dekont kararını etkiler | Doğru kullanım: Manuel giriş | Örnek: hücredeki örnek değere bakın | Risk: Yanlış giriş hatalı karar üretir</t>
      </text>
    </comment>
    <comment ref="D255" authorId="0" shapeId="0">
      <text>
        <t>Tanım: Sehir | Neden önemli: Kira/avans mahsup ve dekont kararını etkiler | Doğru kullanım: Manuel giriş | Örnek: hücredeki örnek değere bakın | Risk: Yanlış giriş hatalı karar üretir</t>
      </text>
    </comment>
    <comment ref="E255" authorId="0" shapeId="0">
      <text>
        <t>Tanım: SozlesmeNo | Neden önemli: Kira/avans mahsup ve dekont kararını etkiler | Doğru kullanım: Manuel giriş | Örnek: hücredeki örnek değere bakın | Risk: Yanlış giriş hatalı karar üretir</t>
      </text>
    </comment>
    <comment ref="F255" authorId="0" shapeId="0">
      <text>
        <t>Tanım: AylikKira | Neden önemli: Kira/avans mahsup ve dekont kararını etkiler | Doğru kullanım: Manuel giriş | Örnek: hücredeki örnek değere bakın | Risk: Yanlış giriş hatalı karar üretir</t>
      </text>
    </comment>
    <comment ref="G255" authorId="0" shapeId="0">
      <text>
        <t>Tanım: RiskNotu | Neden önemli: Kira/avans mahsup ve dekont kararını etkiler | Doğru kullanım: Manuel giriş | Örnek: hücredeki örnek değere bakın | Risk: Yanlış giriş hatalı karar üretir</t>
      </text>
    </comment>
    <comment ref="H255" authorId="0" shapeId="0">
      <text>
        <t>Tanım: Aktif | Neden önemli: Kira/avans mahsup ve dekont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6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6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6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6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6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6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6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6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6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6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6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6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7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7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7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7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7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7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7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7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7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7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7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7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7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8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8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8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8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8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8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8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8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8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8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8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8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8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9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9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9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9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9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9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9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9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9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9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9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9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9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0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10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0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10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10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10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10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10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10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10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10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10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10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1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11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1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11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11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11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11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11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11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11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11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11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11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2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12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2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12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12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12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12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12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12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12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12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12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12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3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13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3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13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13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13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13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13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13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13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13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13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13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4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14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4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14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14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14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14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14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14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14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14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14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14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5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15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5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15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15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15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15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15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15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15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15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15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15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6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16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6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16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16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16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16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16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16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16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16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16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16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7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17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7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17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17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17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17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17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17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17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17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17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17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8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18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8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18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18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18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18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18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18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18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18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18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18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9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19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9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19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19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19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19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19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19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19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19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19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19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20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20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20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20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20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20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20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20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20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20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20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20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20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21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21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21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21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21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21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21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21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21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21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21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21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21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22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22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22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22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22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22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22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22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22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22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22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22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22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23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23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23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23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23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23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23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23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23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23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23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23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23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24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24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24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24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24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24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24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24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24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24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24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24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24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25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25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25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25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25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25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25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25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25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25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25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25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25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26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26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26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26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26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26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26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26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26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26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26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26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26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27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27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27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27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27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27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27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27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27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27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27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27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27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28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28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28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28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28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28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28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28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28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28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28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28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28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29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29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29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29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29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29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29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29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29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29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29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29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29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30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30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30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30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30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30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30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30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30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30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30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30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30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31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31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31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31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31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31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31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31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31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31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31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31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31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32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32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32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32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32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32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32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32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32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32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32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32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32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33" authorId="0" shapeId="0">
      <text>
        <t>Tanım: İşlem Kimliği | Neden önemli: Kira/avans mahsup ve dekont kararını etkiler | Doğru kullanım: KAD-##### | Örnek: hücredeki örnek değere bakın | Risk: Yanlış giriş hatalı karar üretir</t>
      </text>
    </comment>
    <comment ref="B33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33" authorId="0" shapeId="0">
      <text>
        <t>Tanım: Tarih | Neden önemli: Kira/avans mahsup ve dekont kararını etkiler | Doğru kullanım: Olay tarihi | Örnek: hücredeki örnek değere bakın | Risk: Yanlış giriş hatalı karar üretir</t>
      </text>
    </comment>
    <comment ref="D33" authorId="0" shapeId="0">
      <text>
        <t>Tanım: Önceki Durum | Neden önemli: Kira/avans mahsup ve dekont kararını etkiler | Doğru kullanım: Önceki durum_id | Örnek: hücredeki örnek değere bakın | Risk: Yanlış giriş hatalı karar üretir</t>
      </text>
    </comment>
    <comment ref="E33" authorId="0" shapeId="0">
      <text>
        <t>Tanım: Durum | Neden önemli: Kira/avans mahsup ve dekont kararını etkiler | Doğru kullanım: Durum haritasından seçin | Örnek: hücredeki örnek değere bakın | Risk: Yanlış giriş hatalı karar üretir</t>
      </text>
    </comment>
    <comment ref="F33" authorId="0" shapeId="0">
      <text>
        <t>Tanım: Sözleşme | Neden önemli: Kira/avans mahsup ve dekont kararını etkiler | Doğru kullanım: Sözleşme kira tutarı TL | Örnek: hücredeki örnek değere bakın | Risk: Yanlış giriş hatalı karar üretir</t>
      </text>
    </comment>
    <comment ref="G33" authorId="0" shapeId="0">
      <text>
        <t>Tanım: Avans Zincir | Neden önemli: Kira/avans mahsup ve dekont kararını etkiler | Doğru kullanım: Avans halkası TL | Örnek: hücredeki örnek değere bakın | Risk: Yanlış giriş hatalı karar üretir</t>
      </text>
    </comment>
    <comment ref="H33" authorId="0" shapeId="0">
      <text>
        <t>Tanım: Kira | Neden önemli: Kira/avans mahsup ve dekont kararını etkiler | Doğru kullanım: Dönem kira tutarı TL | Örnek: hücredeki örnek değere bakın | Risk: Yanlış giriş hatalı karar üretir</t>
      </text>
    </comment>
    <comment ref="I33" authorId="0" shapeId="0">
      <text>
        <t>Tanım: Mahsup | Neden önemli: Kira/avans mahsup ve dekont kararını etkiler | Doğru kullanım: Avans mahsup tutarı TL | Örnek: hücredeki örnek değere bakın | Risk: Yanlış giriş hatalı karar üretir</t>
      </text>
    </comment>
    <comment ref="J33" authorId="0" shapeId="0">
      <text>
        <t>Tanım: Dekont | Neden önemli: Kira/avans mahsup ve dekont kararını etkiler | Doğru kullanım: Dekonta yazılacak net TL | Örnek: hücredeki örnek değere bakın | Risk: Yanlış giriş hatalı karar üretir</t>
      </text>
    </comment>
    <comment ref="K33" authorId="0" shapeId="0">
      <text>
        <t>Tanım: Tutar | Neden önemli: Kira/avans mahsup ve dekont kararını etkiler | Doğru kullanım: Kuyruk tutarı TL | Örnek: hücredeki örnek değere bakın | Risk: Yanlış giriş hatalı karar üretir</t>
      </text>
    </comment>
    <comment ref="L33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M33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3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3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3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3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3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3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3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3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3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3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3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3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3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3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3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3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3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3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3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3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3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3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3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3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3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3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3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3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3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3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3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3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3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3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3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3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3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3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3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3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3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3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3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3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3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3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3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3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3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3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3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3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3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3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3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3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3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3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3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3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3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4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4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4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4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4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4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4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4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4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4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4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4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4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4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4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4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4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4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4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4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4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4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4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4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4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4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4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4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4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4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4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4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4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4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4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4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4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4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4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4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4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4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4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4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4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4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4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4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4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4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4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4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4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4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4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4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4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4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4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4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4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4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4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4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4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4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4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4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4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4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4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4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4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4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4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4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4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4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4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4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4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4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4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4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4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4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4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4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4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4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4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4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4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4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4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4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4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4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4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4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5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5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5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5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5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5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5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5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5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5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5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5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5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5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5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5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5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5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5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5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5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5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5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5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5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5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5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5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5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5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5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5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5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5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5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5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5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5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5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5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5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5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5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5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5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5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5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5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5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5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5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5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5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5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5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5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5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5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5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5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5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5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5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5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5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5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5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5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5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5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5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5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5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5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5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5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5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5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5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5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5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5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5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5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5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5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5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5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5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5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5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5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5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5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5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5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5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5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5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5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6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6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6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6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6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6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6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6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6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6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6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6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6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6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6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6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6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6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6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6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6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6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6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6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6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6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6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6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6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6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6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6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6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6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6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6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6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6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6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6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6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6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6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6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6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6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6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6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6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6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6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6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6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6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6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6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6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6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6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6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6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6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6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6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6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6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6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6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6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6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6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6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6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6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6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6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6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6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6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6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6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6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6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6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6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6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6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6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6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6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6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6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6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6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6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6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6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6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6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6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7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7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7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7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7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7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7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7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7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7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7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7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7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7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7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7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7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7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7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7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7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7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7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7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7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7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7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7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7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7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7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7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7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7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7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7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7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7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7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7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7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7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7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7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7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7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7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7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7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7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7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7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7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7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7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7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7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7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7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7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7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7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7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7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7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7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7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7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7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7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7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7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7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7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7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7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7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7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7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7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7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7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7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7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7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7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7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7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7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7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7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7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7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7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7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7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7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7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7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7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8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8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8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8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8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8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8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8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8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8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8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8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8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8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8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8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8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8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8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8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8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8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8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8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8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8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8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8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8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8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8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8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8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8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8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8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8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8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8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8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8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8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8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8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8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8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8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8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8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8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8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8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8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8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8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8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8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8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8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8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8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8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8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8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8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8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8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8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8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8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8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8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8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8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8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8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8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8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8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8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8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8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8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8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8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8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8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8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8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8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8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8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8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8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8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8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8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8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8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8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9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9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9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9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9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9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9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9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9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9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9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9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9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9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9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9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9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9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9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9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9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9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9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9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9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9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9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9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9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9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9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9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9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9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9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9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9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9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9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9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9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9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9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9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9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9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9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9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9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9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9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9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9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9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9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9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9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9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9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9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9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9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9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9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9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9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9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9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9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9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9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9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9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9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9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9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9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9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9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9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9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9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9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9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9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9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9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9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9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9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9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9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9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9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9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9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9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9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9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9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0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0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0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0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0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0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0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0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0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0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0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0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0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0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0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0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0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0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0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0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0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0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0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0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0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0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0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0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0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0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0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0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0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0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0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0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0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0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0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0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0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0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0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0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0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0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0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0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0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0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0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0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0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0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0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0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0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0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0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0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0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0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0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0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0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0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0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0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0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0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0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0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0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0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0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0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0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0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0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0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0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0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0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0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0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0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0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0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0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0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0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0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0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0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0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0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0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0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0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0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1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1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1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1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1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1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1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1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1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1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1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1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1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1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1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1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1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1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1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1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1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1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1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1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1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1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1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1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1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1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1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1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1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1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1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1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1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1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1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1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1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1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1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1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1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1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1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1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1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1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1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1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1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1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1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1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1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1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1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1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1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1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1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1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1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1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1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1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1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1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1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1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1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1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1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1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1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1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1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1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1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1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1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1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1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1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1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1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1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1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1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1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1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1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1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1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1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1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1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1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2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2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2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2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2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2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2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2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2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2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2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2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2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2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2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2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2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2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2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2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2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2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2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2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2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2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2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2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2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2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2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2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2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2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2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2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2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2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2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2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2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2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2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2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2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2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2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2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2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2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2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2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2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2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2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2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2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2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2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2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2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2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2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2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2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2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2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2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2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2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2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2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2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2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2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2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2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2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2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2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2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2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2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2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2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2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2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2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2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2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2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2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2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2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2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2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2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2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2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2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3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3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3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3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3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3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3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3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3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3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3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3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3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3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3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3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3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3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3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3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3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3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3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3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3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3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3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3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3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3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3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3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3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3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3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3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3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3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3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3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3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3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3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3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3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3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3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3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3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3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3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3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3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3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3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3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3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3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3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3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3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3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3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3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3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3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3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3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3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3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3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3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3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3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3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3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3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3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3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3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3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3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3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3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3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3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3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3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3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3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3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3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3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3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3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3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3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3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3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3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4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4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4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4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4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4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4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4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4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4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4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4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4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4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4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4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4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4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4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4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4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4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4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4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4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4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4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4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4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4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4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4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4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4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4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4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4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4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4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4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4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4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4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4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4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4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4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4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4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4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4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4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4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4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4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4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4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4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4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4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4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4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4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4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4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4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4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4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4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4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4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4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4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4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4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4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4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4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4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4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4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4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4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4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4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4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4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4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4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4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4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4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4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4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4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4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4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4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4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4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5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5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5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5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5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5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5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5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5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5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5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5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5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5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5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5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5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5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5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5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5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5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5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5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5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5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5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5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5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5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5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5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5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5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5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5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5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5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5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5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5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5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5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5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5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5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5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5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5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5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5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5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5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5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5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5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5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5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5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5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5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5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5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5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5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5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5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5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5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5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5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5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5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5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5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5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5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5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5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5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5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5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5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5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5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5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5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5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5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5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5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5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5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5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5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5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5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5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5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5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6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6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6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6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6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6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6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6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6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6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6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6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6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6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6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6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6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6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6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6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6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6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6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6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6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6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6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6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6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6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6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6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6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6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6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6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6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6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6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6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6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6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6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6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6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6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6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6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6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6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6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6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6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6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6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6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6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6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6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6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6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6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6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6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6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6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6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6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6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6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6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6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6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6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6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6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6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6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6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6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6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6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6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6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6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6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6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6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6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6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6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6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6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6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6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6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6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6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6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6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7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7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7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7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7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7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7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7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7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7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7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7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7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7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7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7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7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7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7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7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7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7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7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7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7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7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7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7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7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7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7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7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7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7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7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7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7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7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7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7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7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7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7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7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7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7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7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7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7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7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7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7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7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7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7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7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7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7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7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7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7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7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7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7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7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7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7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7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7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7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7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7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7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7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7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7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7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7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7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7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7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7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7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7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7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7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7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7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7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7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7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7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7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7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7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7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7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7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7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7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8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8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8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8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8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8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8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8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8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8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8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8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8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8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8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8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8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8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8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8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8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8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8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8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8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8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8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8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8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8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8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8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8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8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8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8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8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8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8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8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8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8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8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8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8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8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8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8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8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8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8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8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8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8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8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8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8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8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8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8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8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8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8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8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8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8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8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8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8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8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8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8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8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8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8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8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8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8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8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8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8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8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8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8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8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8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8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8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8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8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8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8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8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8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8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8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8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8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8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8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9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9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9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9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9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9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9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9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9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9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9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9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9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9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9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9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9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9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9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9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9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9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9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9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9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9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9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9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9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9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9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9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9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9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9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9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9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9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9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9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9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9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9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9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9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9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9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9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9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9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9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9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9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9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9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9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9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9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9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9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9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9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9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9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9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9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9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9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9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9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9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9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9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9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9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9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9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9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9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9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9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9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9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9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9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9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9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9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9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9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19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19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19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19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19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19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19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19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19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19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0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0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0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0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0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0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0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0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0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0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0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0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0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0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0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0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0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0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0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0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0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0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0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0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0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0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0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0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0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0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0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0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0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0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0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0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0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0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0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0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0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0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0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0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0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0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0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0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0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0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0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0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0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0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0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0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0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0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0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0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0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0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0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0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0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0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0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0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0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0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0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0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0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0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0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0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0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0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0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0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0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0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0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0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0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0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0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0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0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0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0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0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0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0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0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0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0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0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0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0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1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1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1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1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1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1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1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1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1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1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1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1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1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1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1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1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1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1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1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1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1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1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1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1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1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1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1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1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1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1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1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1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1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1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1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1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1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1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1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1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1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1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1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1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1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1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1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1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1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1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1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1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1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1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1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1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1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1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1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1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1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1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1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1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1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1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1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1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1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1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1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1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1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1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1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1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1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1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1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1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1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1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1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1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1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1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1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1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1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1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1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1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1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1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1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1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1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1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1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1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2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2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2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2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2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2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2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2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2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2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2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2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2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2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2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2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2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2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2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2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2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2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2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2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2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2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2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2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2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2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2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2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2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2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2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2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2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2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2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2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2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2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2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2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2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2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2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2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2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2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2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2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2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2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2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2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2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2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2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2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2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2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2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2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2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2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2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2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2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2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2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2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2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2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2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2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2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2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2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2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2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2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2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2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2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2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2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2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2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2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2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2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2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2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2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2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2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2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2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2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3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3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3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3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3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3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3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3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3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3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3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3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3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3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3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3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3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3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3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3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3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3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3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3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3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3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3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3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3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3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3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3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3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3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3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3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3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3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3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3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3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3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3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3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3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3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3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3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3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3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3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3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3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3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3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3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3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3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3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3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3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3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3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3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3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3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3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3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3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3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3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3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3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3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3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3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3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3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3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3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3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3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3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3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3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3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3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3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3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3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3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3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3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3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3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3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3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3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3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3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4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4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4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4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4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4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4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4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4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4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4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4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4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4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4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4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4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4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4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4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4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4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4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4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4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4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4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4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4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4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4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4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4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4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4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4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4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4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4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4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4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4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4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4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4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4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4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4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4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4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4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4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4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4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4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4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4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4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4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4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6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4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6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46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46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4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46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46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46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46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4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4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7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4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7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47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47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4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47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47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47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47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4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4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8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4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8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48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48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4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48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48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48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48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4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4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9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4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9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49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49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4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49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49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49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49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4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4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50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5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5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50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50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50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5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50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50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50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50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5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5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51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5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5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51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51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51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5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51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51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51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51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5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5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52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5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5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52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52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52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5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52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52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52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52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5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5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53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5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5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53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53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53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5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53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53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53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53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5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5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54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5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5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54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54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54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5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54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54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54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54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5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5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55" authorId="0" shapeId="0">
      <text>
        <t>Tanım: IslemId | Neden önemli: Kira/avans mahsup ve dekont kararını etkiler | Doğru kullanım: Manuel giriş | Örnek: hücredeki örnek değere bakın | Risk: Yanlış giriş hatalı karar üretir</t>
      </text>
    </comment>
    <comment ref="B25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5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55" authorId="0" shapeId="0">
      <text>
        <t>Tanım: OncekiDurum | Neden önemli: Kira/avans mahsup ve dekont kararını etkiler | Doğru kullanım: Manuel giriş | Örnek: hücredeki örnek değere bakın | Risk: Yanlış giriş hatalı karar üretir</t>
      </text>
    </comment>
    <comment ref="E255" authorId="0" shapeId="0">
      <text>
        <t>Tanım: Durum | Neden önemli: Kira/avans mahsup ve dekont kararını etkiler | Doğru kullanım: Manuel giriş | Örnek: hücredeki örnek değere bakın | Risk: Yanlış giriş hatalı karar üretir</t>
      </text>
    </comment>
    <comment ref="F255" authorId="0" shapeId="0">
      <text>
        <t>Tanım: SozlesmeTutar | Neden önemli: Kira/avans mahsup ve dekont kararını etkiler | Doğru kullanım: Manuel giriş | Örnek: hücredeki örnek değere bakın | Risk: Yanlış giriş hatalı karar üretir</t>
      </text>
    </comment>
    <comment ref="G25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H255" authorId="0" shapeId="0">
      <text>
        <t>Tanım: KiraTutar | Neden önemli: Kira/avans mahsup ve dekont kararını etkiler | Doğru kullanım: Manuel giriş | Örnek: hücredeki örnek değere bakın | Risk: Yanlış giriş hatalı karar üretir</t>
      </text>
    </comment>
    <comment ref="I255" authorId="0" shapeId="0">
      <text>
        <t>Tanım: MahsupTutar | Neden önemli: Kira/avans mahsup ve dekont kararını etkiler | Doğru kullanım: Manuel giriş | Örnek: hücredeki örnek değere bakın | Risk: Yanlış giriş hatalı karar üretir</t>
      </text>
    </comment>
    <comment ref="J255" authorId="0" shapeId="0">
      <text>
        <t>Tanım: DekontTutar | Neden önemli: Kira/avans mahsup ve dekont kararını etkiler | Doğru kullanım: Manuel giriş | Örnek: hücredeki örnek değere bakın | Risk: Yanlış giriş hatalı karar üretir</t>
      </text>
    </comment>
    <comment ref="K255" authorId="0" shapeId="0">
      <text>
        <t>Tanım: Tutar | Neden önemli: Kira/avans mahsup ve dekont kararını etkiler | Doğru kullanım: Manuel giriş | Örnek: hücredeki örnek değere bakın | Risk: Yanlış giriş hatalı karar üretir</t>
      </text>
    </comment>
    <comment ref="L25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M25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Avans Kimliği | Neden önemli: Kira/avans mahsup ve dekont kararını etkiler | Doğru kullanım: AVN-##### | Örnek: hücredeki örnek değere bakın | Risk: Yanlış giriş hatalı karar üretir</t>
      </text>
    </comment>
    <comment ref="B6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6" authorId="0" shapeId="0">
      <text>
        <t>Tanım: Tarih | Neden önemli: Kira/avans mahsup ve dekont kararını etkiler | Doğru kullanım: Avans tarihi | Örnek: hücredeki örnek değere bakın | Risk: Yanlış giriş hatalı karar üretir</t>
      </text>
    </comment>
    <comment ref="D6" authorId="0" shapeId="0">
      <text>
        <t>Tanım: Avans Tutarı | Neden önemli: Kira/avans mahsup ve dekont kararını etkiler | Doğru kullanım: Anapara TL | Örnek: hücredeki örnek değere bakın | Risk: Yanlış giriş hatalı karar üretir</t>
      </text>
    </comment>
    <comment ref="E6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F6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7" authorId="0" shapeId="0">
      <text>
        <t>Tanım: Avans Kimliği | Neden önemli: Kira/avans mahsup ve dekont kararını etkiler | Doğru kullanım: AVN-##### | Örnek: hücredeki örnek değere bakın | Risk: Yanlış giriş hatalı karar üretir</t>
      </text>
    </comment>
    <comment ref="B7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7" authorId="0" shapeId="0">
      <text>
        <t>Tanım: Tarih | Neden önemli: Kira/avans mahsup ve dekont kararını etkiler | Doğru kullanım: Avans tarihi | Örnek: hücredeki örnek değere bakın | Risk: Yanlış giriş hatalı karar üretir</t>
      </text>
    </comment>
    <comment ref="D7" authorId="0" shapeId="0">
      <text>
        <t>Tanım: Avans Tutarı | Neden önemli: Kira/avans mahsup ve dekont kararını etkiler | Doğru kullanım: Anapara TL | Örnek: hücredeki örnek değere bakın | Risk: Yanlış giriş hatalı karar üretir</t>
      </text>
    </comment>
    <comment ref="E7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F7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8" authorId="0" shapeId="0">
      <text>
        <t>Tanım: Avans Kimliği | Neden önemli: Kira/avans mahsup ve dekont kararını etkiler | Doğru kullanım: AVN-##### | Örnek: hücredeki örnek değere bakın | Risk: Yanlış giriş hatalı karar üretir</t>
      </text>
    </comment>
    <comment ref="B8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8" authorId="0" shapeId="0">
      <text>
        <t>Tanım: Tarih | Neden önemli: Kira/avans mahsup ve dekont kararını etkiler | Doğru kullanım: Avans tarihi | Örnek: hücredeki örnek değere bakın | Risk: Yanlış giriş hatalı karar üretir</t>
      </text>
    </comment>
    <comment ref="D8" authorId="0" shapeId="0">
      <text>
        <t>Tanım: Avans Tutarı | Neden önemli: Kira/avans mahsup ve dekont kararını etkiler | Doğru kullanım: Anapara TL | Örnek: hücredeki örnek değere bakın | Risk: Yanlış giriş hatalı karar üretir</t>
      </text>
    </comment>
    <comment ref="E8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F8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9" authorId="0" shapeId="0">
      <text>
        <t>Tanım: Avans Kimliği | Neden önemli: Kira/avans mahsup ve dekont kararını etkiler | Doğru kullanım: AVN-##### | Örnek: hücredeki örnek değere bakın | Risk: Yanlış giriş hatalı karar üretir</t>
      </text>
    </comment>
    <comment ref="B9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9" authorId="0" shapeId="0">
      <text>
        <t>Tanım: Tarih | Neden önemli: Kira/avans mahsup ve dekont kararını etkiler | Doğru kullanım: Avans tarihi | Örnek: hücredeki örnek değere bakın | Risk: Yanlış giriş hatalı karar üretir</t>
      </text>
    </comment>
    <comment ref="D9" authorId="0" shapeId="0">
      <text>
        <t>Tanım: Avans Tutarı | Neden önemli: Kira/avans mahsup ve dekont kararını etkiler | Doğru kullanım: Anapara TL | Örnek: hücredeki örnek değere bakın | Risk: Yanlış giriş hatalı karar üretir</t>
      </text>
    </comment>
    <comment ref="E9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F9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0" authorId="0" shapeId="0">
      <text>
        <t>Tanım: Avans Kimliği | Neden önemli: Kira/avans mahsup ve dekont kararını etkiler | Doğru kullanım: AVN-##### | Örnek: hücredeki örnek değere bakın | Risk: Yanlış giriş hatalı karar üretir</t>
      </text>
    </comment>
    <comment ref="B10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0" authorId="0" shapeId="0">
      <text>
        <t>Tanım: Tarih | Neden önemli: Kira/avans mahsup ve dekont kararını etkiler | Doğru kullanım: Avans tarihi | Örnek: hücredeki örnek değere bakın | Risk: Yanlış giriş hatalı karar üretir</t>
      </text>
    </comment>
    <comment ref="D10" authorId="0" shapeId="0">
      <text>
        <t>Tanım: Avans Tutarı | Neden önemli: Kira/avans mahsup ve dekont kararını etkiler | Doğru kullanım: Anapara TL | Örnek: hücredeki örnek değere bakın | Risk: Yanlış giriş hatalı karar üretir</t>
      </text>
    </comment>
    <comment ref="E10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F10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1" authorId="0" shapeId="0">
      <text>
        <t>Tanım: Avans Kimliği | Neden önemli: Kira/avans mahsup ve dekont kararını etkiler | Doğru kullanım: AVN-##### | Örnek: hücredeki örnek değere bakın | Risk: Yanlış giriş hatalı karar üretir</t>
      </text>
    </comment>
    <comment ref="B11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1" authorId="0" shapeId="0">
      <text>
        <t>Tanım: Tarih | Neden önemli: Kira/avans mahsup ve dekont kararını etkiler | Doğru kullanım: Avans tarihi | Örnek: hücredeki örnek değere bakın | Risk: Yanlış giriş hatalı karar üretir</t>
      </text>
    </comment>
    <comment ref="D11" authorId="0" shapeId="0">
      <text>
        <t>Tanım: Avans Tutarı | Neden önemli: Kira/avans mahsup ve dekont kararını etkiler | Doğru kullanım: Anapara TL | Örnek: hücredeki örnek değere bakın | Risk: Yanlış giriş hatalı karar üretir</t>
      </text>
    </comment>
    <comment ref="E11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F11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2" authorId="0" shapeId="0">
      <text>
        <t>Tanım: Avans Kimliği | Neden önemli: Kira/avans mahsup ve dekont kararını etkiler | Doğru kullanım: AVN-##### | Örnek: hücredeki örnek değere bakın | Risk: Yanlış giriş hatalı karar üretir</t>
      </text>
    </comment>
    <comment ref="B12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2" authorId="0" shapeId="0">
      <text>
        <t>Tanım: Tarih | Neden önemli: Kira/avans mahsup ve dekont kararını etkiler | Doğru kullanım: Avans tarihi | Örnek: hücredeki örnek değere bakın | Risk: Yanlış giriş hatalı karar üretir</t>
      </text>
    </comment>
    <comment ref="D12" authorId="0" shapeId="0">
      <text>
        <t>Tanım: Avans Tutarı | Neden önemli: Kira/avans mahsup ve dekont kararını etkiler | Doğru kullanım: Anapara TL | Örnek: hücredeki örnek değere bakın | Risk: Yanlış giriş hatalı karar üretir</t>
      </text>
    </comment>
    <comment ref="E12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F12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3" authorId="0" shapeId="0">
      <text>
        <t>Tanım: Avans Kimliği | Neden önemli: Kira/avans mahsup ve dekont kararını etkiler | Doğru kullanım: AVN-##### | Örnek: hücredeki örnek değere bakın | Risk: Yanlış giriş hatalı karar üretir</t>
      </text>
    </comment>
    <comment ref="B13" authorId="0" shapeId="0">
      <text>
        <t>Tanım: Kaynak Kart | Neden önemli: Kira/avans mahsup ve dekont kararını etkiler | Doğru kullanım: KARTLAR'daki KartId | Örnek: hücredeki örnek değere bakın | Risk: Yanlış giriş hatalı karar üretir</t>
      </text>
    </comment>
    <comment ref="C13" authorId="0" shapeId="0">
      <text>
        <t>Tanım: Tarih | Neden önemli: Kira/avans mahsup ve dekont kararını etkiler | Doğru kullanım: Avans tarihi | Örnek: hücredeki örnek değere bakın | Risk: Yanlış giriş hatalı karar üretir</t>
      </text>
    </comment>
    <comment ref="D13" authorId="0" shapeId="0">
      <text>
        <t>Tanım: Avans Tutarı | Neden önemli: Kira/avans mahsup ve dekont kararını etkiler | Doğru kullanım: Anapara TL | Örnek: hücredeki örnek değere bakın | Risk: Yanlış giriş hatalı karar üretir</t>
      </text>
    </comment>
    <comment ref="E13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F13" authorId="0" shapeId="0">
      <text>
        <t>Tanım: Açıklama | Neden önemli: Kira/avans mahsup ve dekont kararını etkiler | Doğru kullanım: Kısa açıklama | Örnek: hücredeki örnek değere bakın | Risk: Yanlış giriş hatalı karar üretir</t>
      </text>
    </comment>
    <comment ref="A1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3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3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3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3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3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3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3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3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3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3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3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3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3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3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3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3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3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3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3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3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3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3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3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3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3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3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3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3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3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3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3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3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3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4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4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4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4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4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4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4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4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4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4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4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4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4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4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4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4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4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4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4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4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4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4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4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4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4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4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4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4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4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4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4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4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4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5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5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5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5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5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5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5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5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5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5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5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5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5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5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5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5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5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5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5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5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5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5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5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5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5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5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5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5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5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5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5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5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5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6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6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6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6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6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6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6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6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6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6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6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6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6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6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6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6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6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6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6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6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6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6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6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6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6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6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6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6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6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6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6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6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6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7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7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7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7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7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7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7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7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7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7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7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7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7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7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7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7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7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7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7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7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7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7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7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7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7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7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7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7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7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7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7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7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7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8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8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8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8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8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8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8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8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8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8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8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8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8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8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8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8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8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8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8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8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8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8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8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8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8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8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8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8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8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8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8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8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8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9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9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9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9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9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9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9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9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9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9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9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9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9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9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9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9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9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9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9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9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9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9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9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9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9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9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9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9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9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9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9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9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9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0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0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0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0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0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0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0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0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0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0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0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0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0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0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0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0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0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0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0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0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0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0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0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0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0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0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0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0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0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0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0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0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0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1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1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1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1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1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1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1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1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1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1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1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1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1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1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1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1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1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1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1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1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1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1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1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1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1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1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1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1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1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1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1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1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1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2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2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2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2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2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2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2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2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2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2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2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2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2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2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2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2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2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2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2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2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2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2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2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2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2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2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2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2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2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2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2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2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2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3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3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3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3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3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3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3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3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3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3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3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3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3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3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3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3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3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3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3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3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3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3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3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3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3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3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3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3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3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3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3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3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3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4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4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4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4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4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4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4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4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4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4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4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4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4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4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4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4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4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4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4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4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4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4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4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4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4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4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4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4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4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4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4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4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4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5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5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5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5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5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5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5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5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5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5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5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5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5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5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5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5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5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5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5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5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5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5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5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5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5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5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5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5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5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5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5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5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5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6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6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6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6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6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6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6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6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6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6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6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6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6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6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6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6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6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6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6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6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6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6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6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6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6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6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6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6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6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6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6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6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6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7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7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7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7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7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7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7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7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7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7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7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7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7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7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7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7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7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7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7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7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7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7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7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7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7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7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7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7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7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7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7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7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7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8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8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8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8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8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8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8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8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8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8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8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8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8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8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8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8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8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8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8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8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8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8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8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8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8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8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8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8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8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8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8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8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8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9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9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9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9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9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9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9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9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9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9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9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9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9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9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9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9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9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9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9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9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9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9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9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9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9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9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9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19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19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19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19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19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19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0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0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0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0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0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0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0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0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0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0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0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0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0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0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0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0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0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0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0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0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0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0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0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0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0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0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0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0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0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0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0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0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0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1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1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1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1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1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1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1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1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1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1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1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1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1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1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1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1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1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1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1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1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1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1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1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1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1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1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1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1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1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1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1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1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1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2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2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2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2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2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2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2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2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2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2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2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2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2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2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2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2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2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2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2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2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2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2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2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2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2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2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2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2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2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2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2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2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2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3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3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3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3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3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3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3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3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3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3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3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3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3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3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3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3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3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3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3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3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3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3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3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3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3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3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3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3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3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3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3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3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3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4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4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4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4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4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4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4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4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4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4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4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4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4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4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4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4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4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4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6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46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6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6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46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46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7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47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7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7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47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47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8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48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8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8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48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48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49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49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49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49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49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49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50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50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50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50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50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50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51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51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51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51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51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51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52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52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52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52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52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52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53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53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53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53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53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53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54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54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54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54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54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54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  <comment ref="A255" authorId="0" shapeId="0">
      <text>
        <t>Tanım: AvansId | Neden önemli: Kira/avans mahsup ve dekont kararını etkiler | Doğru kullanım: Manuel giriş | Örnek: hücredeki örnek değere bakın | Risk: Yanlış giriş hatalı karar üretir</t>
      </text>
    </comment>
    <comment ref="B255" authorId="0" shapeId="0">
      <text>
        <t>Tanım: KaynakKartId | Neden önemli: Kira/avans mahsup ve dekont kararını etkiler | Doğru kullanım: Manuel giriş | Örnek: hücredeki örnek değere bakın | Risk: Yanlış giriş hatalı karar üretir</t>
      </text>
    </comment>
    <comment ref="C255" authorId="0" shapeId="0">
      <text>
        <t>Tanım: Tarih | Neden önemli: Kira/avans mahsup ve dekont kararını etkiler | Doğru kullanım: Manuel giriş | Örnek: hücredeki örnek değere bakın | Risk: Yanlış giriş hatalı karar üretir</t>
      </text>
    </comment>
    <comment ref="D255" authorId="0" shapeId="0">
      <text>
        <t>Tanım: AvansTutar | Neden önemli: Kira/avans mahsup ve dekont kararını etkiler | Doğru kullanım: Manuel giriş | Örnek: hücredeki örnek değere bakın | Risk: Yanlış giriş hatalı karar üretir</t>
      </text>
    </comment>
    <comment ref="E255" authorId="0" shapeId="0">
      <text>
        <t>Tanım: Donem | Neden önemli: Kira/avans mahsup ve dekont kararını etkiler | Doğru kullanım: Manuel giriş | Örnek: hücredeki örnek değere bakın | Risk: Yanlış giriş hatalı karar üretir</t>
      </text>
    </comment>
    <comment ref="F255" authorId="0" shapeId="0">
      <text>
        <t>Tanım: Aciklama | Neden önemli: Kira/avans mahsup ve dekont kararını etkiler | Doğru kullanım: Manuel giriş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5" authorId="0" shapeId="0">
      <text>
        <t>Tanım: Kart Seçimi | Neden önemli: Kira/avans mahsup ve dekont kararını etkiler | Doğru kullanım: Dekonta yazılacak kiracı kartını seçin | Örnek: hücredeki örnek değere bakın | Risk: Yanlış giriş hatalı karar üretir</t>
      </text>
    </comment>
    <comment ref="B6" authorId="0" shapeId="0">
      <text>
        <t>Tanım: Dönem | Neden önemli: Kira/avans mahsup ve dekont kararını etkiler | Doğru kullanım: YYYY-AA | Örnek: hücredeki örnek değere bakın | Risk: Yanlış giriş hatalı karar üretir</t>
      </text>
    </comment>
    <comment ref="B16" authorId="0" shapeId="0">
      <text>
        <t>Tanım: Açıklama | Neden önemli: Kira/avans mahsup ve dekont kararını etkiler | Doğru kullanım: Dekont açıklaması | Örnek: hücredeki örnek değere bakın | Risk: Yanlış giriş hatalı karar üretir</t>
      </text>
    </comment>
    <comment ref="B17" authorId="0" shapeId="0">
      <text>
        <t>Tanım: Teslim Alan | Neden önemli: Kira/avans mahsup ve dekont kararını etkiler | Doğru kullanım: Ad soyad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Kira/avans mahsup ve dekont kararını etkiler | Doğru kullanım: Durum kimliği | Örnek: hücredeki örnek değere bakın | Risk: Yanlış giriş hatalı karar üretir</t>
      </text>
    </comment>
    <comment ref="C7" authorId="0" shapeId="0">
      <text>
        <t>Tanım: Geçiş | Neden önemli: Kira/avans mahsup ve dekont kararını etkiler | Doğru kullanım: eski|yeni | Örnek: hücredeki örnek değere bakın | Risk: Yanlış giriş hatalı karar üretir</t>
      </text>
    </comment>
    <comment ref="E7" authorId="0" shapeId="0">
      <text>
        <t>Tanım: Seçim | Neden önemli: Kira/avans mahsup ve dekont kararını etkiler | Doğru kullanım: EVET/HAYIR | Örnek: hücredeki örnek değere bakın | Risk: Yanlış giriş hatalı karar üretir</t>
      </text>
    </comment>
    <comment ref="G7" authorId="0" shapeId="0">
      <text>
        <t>Tanım: Tip | Neden önemli: Kira/avans mahsup ve dekont kararını etkiler | Doğru kullanım: Taşınmaz tipi | Örnek: hücredeki örnek değere bakın | Risk: Yanlış giriş hatalı karar üretir</t>
      </text>
    </comment>
    <comment ref="I7" authorId="0" shapeId="0">
      <text>
        <t>Tanım: Kart | Neden önemli: Kira/avans mahsup ve dekont kararını etkiler | Doğru kullanım: KIR-##### | Örnek: hücredeki örnek değere bakın | Risk: Yanlış giriş hatalı karar üretir</t>
      </text>
    </comment>
    <comment ref="A8" authorId="0" shapeId="0">
      <text>
        <t>Tanım: Durum | Neden önemli: Kira/avans mahsup ve dekont kararını etkiler | Doğru kullanım: Durum kimliği | Örnek: hücredeki örnek değere bakın | Risk: Yanlış giriş hatalı karar üretir</t>
      </text>
    </comment>
    <comment ref="C8" authorId="0" shapeId="0">
      <text>
        <t>Tanım: Geçiş | Neden önemli: Kira/avans mahsup ve dekont kararını etkiler | Doğru kullanım: eski|yeni | Örnek: hücredeki örnek değere bakın | Risk: Yanlış giriş hatalı karar üretir</t>
      </text>
    </comment>
    <comment ref="E8" authorId="0" shapeId="0">
      <text>
        <t>Tanım: Seçim | Neden önemli: Kira/avans mahsup ve dekont kararını etkiler | Doğru kullanım: EVET/HAYIR | Örnek: hücredeki örnek değere bakın | Risk: Yanlış giriş hatalı karar üretir</t>
      </text>
    </comment>
    <comment ref="G8" authorId="0" shapeId="0">
      <text>
        <t>Tanım: Tip | Neden önemli: Kira/avans mahsup ve dekont kararını etkiler | Doğru kullanım: Taşınmaz tipi | Örnek: hücredeki örnek değere bakın | Risk: Yanlış giriş hatalı karar üretir</t>
      </text>
    </comment>
    <comment ref="I8" authorId="0" shapeId="0">
      <text>
        <t>Tanım: Kart | Neden önemli: Kira/avans mahsup ve dekont kararını etkiler | Doğru kullanım: KIR-##### | Örnek: hücredeki örnek değere bakın | Risk: Yanlış giriş hatalı karar üretir</t>
      </text>
    </comment>
    <comment ref="A9" authorId="0" shapeId="0">
      <text>
        <t>Tanım: Durum | Neden önemli: Kira/avans mahsup ve dekont kararını etkiler | Doğru kullanım: Durum kimliği | Örnek: hücredeki örnek değere bakın | Risk: Yanlış giriş hatalı karar üretir</t>
      </text>
    </comment>
    <comment ref="C9" authorId="0" shapeId="0">
      <text>
        <t>Tanım: Geçiş | Neden önemli: Kira/avans mahsup ve dekont kararını etkiler | Doğru kullanım: eski|yeni | Örnek: hücredeki örnek değere bakın | Risk: Yanlış giriş hatalı karar üretir</t>
      </text>
    </comment>
    <comment ref="G9" authorId="0" shapeId="0">
      <text>
        <t>Tanım: Tip | Neden önemli: Kira/avans mahsup ve dekont kararını etkiler | Doğru kullanım: Taşınmaz tipi | Örnek: hücredeki örnek değere bakın | Risk: Yanlış giriş hatalı karar üretir</t>
      </text>
    </comment>
    <comment ref="I9" authorId="0" shapeId="0">
      <text>
        <t>Tanım: Kart | Neden önemli: Kira/avans mahsup ve dekont kararını etkiler | Doğru kullanım: KIR-##### | Örnek: hücredeki örnek değere bakın | Risk: Yanlış giriş hatalı karar üretir</t>
      </text>
    </comment>
    <comment ref="A10" authorId="0" shapeId="0">
      <text>
        <t>Tanım: Durum | Neden önemli: Kira/avans mahsup ve dekont kararını etkiler | Doğru kullanım: Durum kimliği | Örnek: hücredeki örnek değere bakın | Risk: Yanlış giriş hatalı karar üretir</t>
      </text>
    </comment>
    <comment ref="C10" authorId="0" shapeId="0">
      <text>
        <t>Tanım: Geçiş | Neden önemli: Kira/avans mahsup ve dekont kararını etkiler | Doğru kullanım: eski|yeni | Örnek: hücredeki örnek değere bakın | Risk: Yanlış giriş hatalı karar üretir</t>
      </text>
    </comment>
    <comment ref="G10" authorId="0" shapeId="0">
      <text>
        <t>Tanım: Tip | Neden önemli: Kira/avans mahsup ve dekont kararını etkiler | Doğru kullanım: Taşınmaz tipi | Örnek: hücredeki örnek değere bakın | Risk: Yanlış giriş hatalı karar üretir</t>
      </text>
    </comment>
    <comment ref="I10" authorId="0" shapeId="0">
      <text>
        <t>Tanım: Kart | Neden önemli: Kira/avans mahsup ve dekont kararını etkiler | Doğru kullanım: KIR-##### | Örnek: hücredeki örnek değere bakın | Risk: Yanlış giriş hatalı karar üretir</t>
      </text>
    </comment>
    <comment ref="A11" authorId="0" shapeId="0">
      <text>
        <t>Tanım: Durum | Neden önemli: Kira/avans mahsup ve dekont kararını etkiler | Doğru kullanım: Durum kimliği | Örnek: hücredeki örnek değere bakın | Risk: Yanlış giriş hatalı karar üretir</t>
      </text>
    </comment>
    <comment ref="C11" authorId="0" shapeId="0">
      <text>
        <t>Tanım: Geçiş | Neden önemli: Kira/avans mahsup ve dekont kararını etkiler | Doğru kullanım: eski|yeni | Örnek: hücredeki örnek değere bakın | Risk: Yanlış giriş hatalı karar üretir</t>
      </text>
    </comment>
    <comment ref="G11" authorId="0" shapeId="0">
      <text>
        <t>Tanım: Tip | Neden önemli: Kira/avans mahsup ve dekont kararını etkiler | Doğru kullanım: Taşınmaz tipi | Örnek: hücredeki örnek değere bakın | Risk: Yanlış giriş hatalı karar üretir</t>
      </text>
    </comment>
    <comment ref="I11" authorId="0" shapeId="0">
      <text>
        <t>Tanım: Kart | Neden önemli: Kira/avans mahsup ve dekont kararını etkiler | Doğru kullanım: KIR-##### | Örnek: hücredeki örnek değere bakın | Risk: Yanlış giriş hatalı karar üretir</t>
      </text>
    </comment>
    <comment ref="G12" authorId="0" shapeId="0">
      <text>
        <t>Tanım: Tip | Neden önemli: Kira/avans mahsup ve dekont kararını etkiler | Doğru kullanım: Taşınmaz tipi | Örnek: hücredeki örnek değere bakın | Risk: Yanlış giriş hatalı karar üretir</t>
      </text>
    </comment>
    <comment ref="I12" authorId="0" shapeId="0">
      <text>
        <t>Tanım: Kart | Neden önemli: Kira/avans mahsup ve dekont kararını etkiler | Doğru kullanım: KIR-##### | Örnek: hücredeki örnek değere bakın | Risk: Yanlış giriş hatalı karar üretir</t>
      </text>
    </comment>
    <comment ref="I13" authorId="0" shapeId="0">
      <text>
        <t>Tanım: Kart | Neden önemli: Kira/avans mahsup ve dekont kararını etkiler | Doğru kullanım: KIR-##### | Örnek: hücredeki örnek değere bakın | Risk: Yanlış giriş hatalı karar üretir</t>
      </text>
    </comment>
    <comment ref="I14" authorId="0" shapeId="0">
      <text>
        <t>Tanım: Kart | Neden önemli: Kira/avans mahsup ve dekont kararını etkiler | Doğru kullanım: KIR-##### | Örnek: hücredeki örnek değere bakın | Risk: Yanlış giriş hatalı karar üretir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Kira/avans mahsup ve dekont kararını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Kira/avans mahsup ve dekont kararını etkiler | Doğru kullanım: ZİNCİR KIRIK eşiği | Örnek: hücredeki örnek değere bakın | Risk: Yanlış giriş hatalı karar üretir</t>
      </text>
    </comment>
    <comment ref="B8" authorId="0" shapeId="0">
      <text>
        <t>Tanım: kad_esikGecikmeGun | Neden önemli: Kira/avans mahsup ve dekont kararını etkiler | Doğru kullanım: Gecikme eşiği | Örnek: hücredeki örnek değere bakın | Risk: Yanlış giriş hatalı karar üretir</t>
      </text>
    </comment>
    <comment ref="B9" authorId="0" shapeId="0">
      <text>
        <t>Tanım: kad_esikGeciken | Neden önemli: Kira/avans mahsup ve dekont kararını etkiler | Doğru kullanım: Karar eşiği geciken | Örnek: hücredeki örnek değere bakın | Risk: Yanlış giriş hatalı karar üretir</t>
      </text>
    </comment>
    <comment ref="B10" authorId="0" shapeId="0">
      <text>
        <t>Tanım: kad_gecikmeOranGun | Neden önemli: Kira/avans mahsup ve dekont kararını etkiler | Doğru kullanım: Günlük gecikme maliyeti oranı | Örnek: hücredeki örnek değere bakın | Risk: Yanlış giriş hatalı karar üretir</t>
      </text>
    </comment>
    <comment ref="B11" authorId="0" shapeId="0">
      <text>
        <t>Tanım: kad_senaryoTemkinli | Neden önemli: Kira/avans mahsup ve dekont kararını etkiler | Doğru kullanım: Temkinli çarpan | Örnek: hücredeki örnek değere bakın | Risk: Yanlış giriş hatalı karar üretir</t>
      </text>
    </comment>
    <comment ref="B12" authorId="0" shapeId="0">
      <text>
        <t>Tanım: kad_senaryoBaz | Neden önemli: Kira/avans mahsup ve dekont kararını etkiler | Doğru kullanım: Baz çarpan | Örnek: hücredeki örnek değere bakın | Risk: Yanlış giriş hatalı karar üretir</t>
      </text>
    </comment>
    <comment ref="B13" authorId="0" shapeId="0">
      <text>
        <t>Tanım: kad_senaryoIyimser | Neden önemli: Kira/avans mahsup ve dekont kararını etkiler | Doğru kullanım: İyimser çarpan | Örnek: hücredeki örnek değere bakın | Risk: Yanlış giriş hatalı karar üretir</t>
      </text>
    </comment>
    <comment ref="B14" authorId="0" shapeId="0">
      <text>
        <t>Tanım: kad_tornadoOran | Neden önemli: Kira/avans mahsup ve dekont kararını etkiler | Doğru kullanım: Tornado etki oranı | Örnek: hücredeki örnek değere bakın | Risk: Yanlış giriş hatalı karar üretir</t>
      </text>
    </comment>
    <comment ref="B15" authorId="0" shapeId="0">
      <text>
        <t>Tanım: kad_yuzdelikOran | Neden önemli: Kira/avans mahsup ve dekont kararını etkiler | Doğru kullanım: PERCENTILE oranı | Örnek: hücredeki örnek değere bakın | Risk: Yanlış giriş hatalı karar üretir</t>
      </text>
    </comment>
    <comment ref="B16" authorId="0" shapeId="0">
      <text>
        <t>Tanım: kad_olcekHedef | Neden önemli: Kira/avans mahsup ve dekont kararını etkiler | Doğru kullanım: Ölçek sözleşmesi | Örnek: hücredeki örnek değere bakın | Risk: Yanlış giriş hatalı karar üretir</t>
      </text>
    </comment>
    <comment ref="B17" authorId="0" shapeId="0">
      <text>
        <t>Tanım: kad_azamiTutar | Neden önemli: Kira/avans mahsup ve dekont kararını etkiler | Doğru kullanım: Azami makul | Örnek: hücredeki örnek değere bakın | Risk: Yanlış giriş hatalı karar üretir</t>
      </text>
    </comment>
    <comment ref="B18" authorId="0" shapeId="0">
      <text>
        <t>Tanım: kad_mahsupTolerans | Neden önemli: Kira/avans mahsup ve dekont kararını etkiler | Doğru kullanım: Aşım = mahsup &gt; anapara + tolerans | Örnek: hücredeki örnek değere bakın | Risk: Yanlış giriş hatalı karar üretir</t>
      </text>
    </comment>
    <comment ref="B19" authorId="0" shapeId="0">
      <text>
        <t>Tanım: kad_durumHaritasi | Neden önemli: Kira/avans mahsup ve dekont kararını etkiler | Doğru kullanım: Durum makinesi kaynağı | Örnek: hücredeki örnek değere bakın | Risk: Yanlış giriş hatalı karar üretir</t>
      </text>
    </comment>
    <comment ref="B20" authorId="0" shapeId="0">
      <text>
        <t>Tanım: kad_kuyrukOzeti_metin | Neden önemli: Kira/avans mahsup ve dekont kararını etkiler | Doğru kullanım: Kuyruk görünümü | Örnek: hücredeki örnek değere bakın | Risk: Yanlış giriş hatalı karar üretir</t>
      </text>
    </comment>
    <comment ref="B21" authorId="0" shapeId="0">
      <text>
        <t>Tanım: kad_kapaliDusum_metin | Neden önemli: Kira/avans mahsup ve dekont kararını etkiler | Doğru kullanım: Kapalı düşüm kuralı | Örnek: hücredeki örnek değere bakın | Risk: Yanlış giriş hatalı karar üretir</t>
      </text>
    </comment>
    <comment ref="B22" authorId="0" shapeId="0">
      <text>
        <t>Tanım: kad_kanitRaporu_metin | Neden önemli: Kira/avans mahsup ve dekont kararını etkiler | Doğru kullanım: Kanıt raporu | Örnek: hücredeki örnek değere bakın | Risk: Yanlış giriş hatalı karar üretir</t>
      </text>
    </comment>
    <comment ref="B23" authorId="0" shapeId="0">
      <text>
        <t>Tanım: kad_dosyaSurumu | Neden önemli: Kira/avans mahsup ve dekont kararını etkiler | Doğru kullanım: Ürün sürümü | Örnek: hücredeki örnek değere bakın | Risk: Yanlış giriş hatalı karar üretir</t>
      </text>
    </comment>
    <comment ref="B24" authorId="0" shapeId="0">
      <text>
        <t>Tanım: kad_malikAdi | Neden önemli: Kira/avans mahsup ve dekont kararını etkiler | Doğru kullanım: Malik unvanı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Kartlar" displayName="tblKartlar" ref="A5:K255" headerRowCount="1">
  <tableColumns count="11">
    <tableColumn id="1" name="KartId"/>
    <tableColumn id="2" name="Unvan"/>
    <tableColumn id="3" name="Tasinmaz"/>
    <tableColumn id="4" name="Sehir"/>
    <tableColumn id="5" name="SozlesmeNo"/>
    <tableColumn id="6" name="AylikKira"/>
    <tableColumn id="7" name="RiskNotu"/>
    <tableColumn id="8" name="Aktif"/>
    <tableColumn id="9" name="AvansBakiye">
      <calculatedColumnFormula>IF(tblKartlar[[#This Row],[KartId]]="","",SUMIF(tblAvans[KaynakKartId],tblKartlar[[#This Row],[KartId]],tblAvans[KalanBakiye]))</calculatedColumnFormula>
    </tableColumn>
    <tableColumn id="10" name="ToplamKira">
      <calculatedColumnFormula>IF(tblKartlar[[#This Row],[KartId]]="","",SUMIF(tblAkis[KaynakKartId],tblKartlar[[#This Row],[KartId]],tblAkis[Tutar]))</calculatedColumnFormula>
    </tableColumn>
    <tableColumn id="11" name="OrtGecikme">
      <calculatedColumnFormula>IF(tblKartlar[[#This Row],[KartId]]="","",IFERROR(AVERAGEIF(tblAkis[KaynakKartId],tblKartlar[[#This Row],[KartId]],tblAkis[YasGun]),0))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S255" headerRowCount="1">
  <tableColumns count="19">
    <tableColumn id="1" name="IslemId"/>
    <tableColumn id="2" name="KaynakKartId"/>
    <tableColumn id="3" name="Tarih"/>
    <tableColumn id="4" name="OncekiDurum"/>
    <tableColumn id="5" name="Durum"/>
    <tableColumn id="6" name="SozlesmeTutar"/>
    <tableColumn id="7" name="AvansTutar"/>
    <tableColumn id="8" name="KiraTutar"/>
    <tableColumn id="9" name="MahsupTutar"/>
    <tableColumn id="10" name="DekontTutar"/>
    <tableColumn id="11" name="Tutar"/>
    <tableColumn id="12" name="Donem"/>
    <tableColumn id="13" name="Aciklama"/>
    <tableColumn id="14" name="YasGun">
      <calculatedColumnFormula>IF(tblAkis[[#This Row],[IslemId]]="","",IF(tblAkis[[#This Row],[Tarih]]="","",raporTarihi-tblAkis[[#This Row],[Tarih]]))</calculatedColumnFormula>
    </tableColumn>
    <tableColumn id="15" name="YasKova">
      <calculatedColumnFormula>IF(tblAkis[[#This Row],[IslemId]]="","",IF(tblAkis[[#This Row],[YasGun]]="","",IF(tblAkis[[#This Row],[YasGun]]&lt;=7,"0-7",IF(tblAkis[[#This Row],[YasGun]]&lt;=30,"8-30",IF(tblAkis[[#This Row],[YasGun]]&lt;=60,"31-60","60+")))))</calculatedColumnFormula>
    </tableColumn>
    <tableColumn id="16" name="YetimBayrak">
      <calculatedColumnFormula>IF(tblAkis[[#This Row],[IslemId]]="","",IF(tblAkis[[#This Row],[KaynakKartId]]="","YETİM",IF(COUNTIF(tblKartlar[KartId],tblAkis[[#This Row],[KaynakKartId]])=0,"YETİM","")))</calculatedColumnFormula>
    </tableColumn>
    <tableColumn id="17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18" name="ZincirBayrak">
      <calculatedColumnFormula>IF(tblAkis[[#This Row],[IslemId]]="","",IF(OR(tblAkis[[#This Row],[SozlesmeTutar]]="",tblAkis[[#This Row],[KiraTutar]]=""),"",IF(ABS(tblAkis[[#This Row],[KiraTutar]]-tblAkis[[#This Row],[SozlesmeTutar]])&gt;zincirTolerans,"ZİNCİR KIRIK","OK")))</calculatedColumnFormula>
    </tableColumn>
    <tableColumn id="19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Avans" displayName="tblAvans" ref="A5:L255" headerRowCount="1">
  <tableColumns count="12">
    <tableColumn id="1" name="AvansId"/>
    <tableColumn id="2" name="KaynakKartId"/>
    <tableColumn id="3" name="Tarih"/>
    <tableColumn id="4" name="AvansTutar"/>
    <tableColumn id="5" name="Donem"/>
    <tableColumn id="6" name="Aciklama"/>
    <tableColumn id="7" name="MahsupEdilen">
      <calculatedColumnFormula>IF(tblAvans[[#This Row],[AvansId]]="","",SUMIFS(tblAkis[MahsupTutar],tblAkis[KaynakKartId],tblAvans[[#This Row],[KaynakKartId]],tblAkis[Durum],"MAHSUP"))</calculatedColumnFormula>
    </tableColumn>
    <tableColumn id="8" name="KalanBakiye">
      <calculatedColumnFormula>IF(tblAvans[[#This Row],[AvansId]]="","",MAX(0,tblAvans[[#This Row],[AvansTutar]]-tblAvans[[#This Row],[MahsupEdilen]]))</calculatedColumnFormula>
    </tableColumn>
    <tableColumn id="9" name="YasGun">
      <calculatedColumnFormula>IF(tblAvans[[#This Row],[AvansId]]="","",IF(tblAvans[[#This Row],[Tarih]]="","",raporTarihi-tblAvans[[#This Row],[Tarih]]))</calculatedColumnFormula>
    </tableColumn>
    <tableColumn id="10" name="YasKova">
      <calculatedColumnFormula>IF(tblAvans[[#This Row],[AvansId]]="","",IF(tblAvans[[#This Row],[YasGun]]="","",IF(tblAvans[[#This Row],[YasGun]]&lt;=7,"0-7",IF(tblAvans[[#This Row],[YasGun]]&lt;=30,"8-30",IF(tblAvans[[#This Row],[YasGun]]&lt;=60,"31-60","60+")))))</calculatedColumnFormula>
    </tableColumn>
    <tableColumn id="11" name="YetimBayrak">
      <calculatedColumnFormula>IF(tblAvans[[#This Row],[AvansId]]="","",IF(tblAvans[[#This Row],[KaynakKartId]]="","YETİM",IF(COUNTIF(tblKartlar[KartId],tblAvans[[#This Row],[KaynakKartId]])=0,"YETİM","")))</calculatedColumnFormula>
    </tableColumn>
    <tableColumn id="12" name="AsimBayrak">
      <calculatedColumnFormula>IF(tblAvans[[#This Row],[AvansId]]="","",IF(tblAvans[[#This Row],[MahsupEdilen]]&gt;tblAvans[[#This Row],[AvansTutar]]+kad_mahsupTolerans,"AŞIM","UYGUN"))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DurumHaritasi" displayName="tblDurumHaritasi" ref="H29:L34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45" t="inlineStr">
        <is>
          <t>EXCELARŞİV KARAR SİSTEMİ v15.1 — ÜRETİM REFERANSI</t>
        </is>
      </c>
    </row>
    <row r="3" ht="24" customHeight="1">
      <c r="A3" s="146" t="inlineStr">
        <is>
          <t>Konu</t>
        </is>
      </c>
      <c r="B3" s="146" t="inlineStr">
        <is>
          <t>Bağlayıcı Standart</t>
        </is>
      </c>
    </row>
    <row r="4">
      <c r="A4" s="147" t="inlineStr">
        <is>
          <t>Amaç</t>
        </is>
      </c>
      <c r="B4" s="148" t="inlineStr">
        <is>
          <t>Kanıta dayalı, hatada kapalı çalışan Excel üretim ve denetim sistemi</t>
        </is>
      </c>
    </row>
    <row r="5">
      <c r="A5" s="147" t="inlineStr">
        <is>
          <t>Öncelik</t>
        </is>
      </c>
      <c r="B5" s="148" t="inlineStr">
        <is>
          <t>Kullanıcının açık iş talebi ve gerçek kullanım senaryosu</t>
        </is>
      </c>
    </row>
    <row r="6">
      <c r="A6" s="147" t="inlineStr">
        <is>
          <t>Ana akış</t>
        </is>
      </c>
      <c r="B6" s="148" t="inlineStr">
        <is>
          <t>Uygunluk → Yönetişim → Sözleşmeler → Üretim → Test → Kanıt → Kullanıcı Kabulü → Yayın</t>
        </is>
      </c>
    </row>
    <row r="7">
      <c r="A7" s="147" t="inlineStr">
        <is>
          <t>Yayın ilkesi</t>
        </is>
      </c>
      <c r="B7" s="148" t="inlineStr">
        <is>
          <t>Üst aşamada hata varsa alt aşama GEÇTİ üretilemez</t>
        </is>
      </c>
    </row>
    <row r="8">
      <c r="A8" s="147" t="inlineStr">
        <is>
          <t>Kullanıcı kabulü</t>
        </is>
      </c>
      <c r="B8" s="148" t="inlineStr">
        <is>
          <t>Excel masaüstü görünümü test edilmediyse DIŞ_KABUL_GEREKLİ</t>
        </is>
      </c>
    </row>
    <row r="9">
      <c r="A9" s="147" t="inlineStr">
        <is>
          <t>Nihai yayın</t>
        </is>
      </c>
      <c r="B9" s="148" t="inlineStr">
        <is>
          <t>Yalnız uygulanabilir modüller GEÇTİ veya gerekçeli UYGULANMAZ</t>
        </is>
      </c>
    </row>
    <row r="10">
      <c r="A10" s="147" t="inlineStr">
        <is>
          <t>Ticari ayrım</t>
        </is>
      </c>
      <c r="B10" s="148" t="inlineStr">
        <is>
          <t>Ekonomik olarak savunulabilir fiyat, gerçek pazar kabulü ile aynı değildir</t>
        </is>
      </c>
    </row>
    <row r="11">
      <c r="A11" s="147" t="inlineStr">
        <is>
          <t>Karmaşıklık</t>
        </is>
      </c>
      <c r="B11" s="148" t="inlineStr">
        <is>
          <t>Karar değeri, eklenen karmaşıklığın maliyetinden büyük olmalıdır</t>
        </is>
      </c>
    </row>
    <row r="12">
      <c r="A12" s="147" t="inlineStr">
        <is>
          <t>Excel sınırı</t>
        </is>
      </c>
      <c r="B12" s="148" t="inlineStr">
        <is>
          <t>Veritabanı, kurumsal yetkilendirme, değiştirilemez kayıt sistemi veya gerçek zamanlı olay platformu değildir</t>
        </is>
      </c>
    </row>
    <row r="13">
      <c r="A13" s="147" t="inlineStr">
        <is>
          <t>Dil standardı</t>
        </is>
      </c>
      <c r="B13" s="148" t="inlineStr">
        <is>
          <t>Kullanıcıya görünen tüm sayfa, tablo, başlık, açıklama, uyarı ve karar metinleri saf Türkçe olmalıdır</t>
        </is>
      </c>
    </row>
    <row r="14">
      <c r="A14" s="147" t="inlineStr">
        <is>
          <t>Muhasebe standardı</t>
        </is>
      </c>
      <c r="B14" s="148" t="inlineStr">
        <is>
          <t>Finansal ürünlerde Türkiye Tekdüzen Hesap Planı ve Türk muhasebe kullanım alışkanlıkları esas alınır</t>
        </is>
      </c>
    </row>
    <row r="15">
      <c r="A15" s="147" t="inlineStr">
        <is>
          <t>Görsel standart</t>
        </is>
      </c>
      <c r="B15" s="148" t="inlineStr">
        <is>
          <t>Her sayfa başlıklı, renk kodlu, sıkı kolon düzenli ve premium kurumsal görünümde olmalıdır</t>
        </is>
      </c>
    </row>
    <row r="16">
      <c r="A16" s="147" t="inlineStr">
        <is>
          <t>Grafik standardı</t>
        </is>
      </c>
      <c r="B16" s="148" t="inlineStr">
        <is>
          <t>Grafikler karar üretmeli; dekoratif, 3B, anlamsız renkli veya varsayılan Excel grafiği kullanılamaz</t>
        </is>
      </c>
    </row>
    <row r="17">
      <c r="A17" s="147" t="inlineStr">
        <is>
          <t>Hata standardı</t>
        </is>
      </c>
      <c r="B17" s="148" t="inlineStr">
        <is>
          <t>#AD? / #BAŞV! / #DEĞER! / #SAYI/0! / #YOK gibi hatalar GEÇTİ sonucuyla birlikte bulunamaz</t>
        </is>
      </c>
    </row>
    <row r="18">
      <c r="A18" s="147" t="inlineStr">
        <is>
          <t>Karar standardı</t>
        </is>
      </c>
      <c r="B18" s="148" t="inlineStr">
        <is>
          <t>Her kritik çıktı: ne oldu, neden oldu, parasal etki, ne yapılmalı, ne zamana kadar sorularını cevaplar</t>
        </is>
      </c>
    </row>
    <row r="19">
      <c r="A19" s="147" t="inlineStr">
        <is>
          <t>Satış standardı</t>
        </is>
      </c>
      <c r="B19" s="148" t="inlineStr">
        <is>
          <t>Ürün 5 saniyede anlaşılmalı; pahalı problemi, ekonomik sonucu, kanıtı ve satın alma gerekçesini göstermelidir</t>
        </is>
      </c>
    </row>
    <row r="20">
      <c r="A20" s="147" t="inlineStr">
        <is>
          <t>Güven standardı</t>
        </is>
      </c>
      <c r="B20" s="148" t="inlineStr">
        <is>
          <t>Kanıtsız 'premium', 'kusursuz', 'sıfır hata' veya yüksek fiyat iddiası kullanılamaz</t>
        </is>
      </c>
    </row>
    <row r="21">
      <c r="A21" s="147" t="inlineStr">
        <is>
          <t>Kaynak</t>
        </is>
      </c>
      <c r="B21" s="148" t="inlineStr">
        <is>
          <t>Teknik Python çekirdeği 99_TEKNIK_KAYNAK sayfasında saklanır; kullanıcı arayüzü değildir</t>
        </is>
      </c>
    </row>
    <row r="22">
      <c r="A22" s="147" t="inlineStr">
        <is>
          <t>Bağlayıcı standart</t>
        </is>
      </c>
      <c r="B22" s="148" t="inlineStr">
        <is>
          <t>Teknik kaynak içindeki üretim sözleşmesi + bu çalışma kitabındaki Türkçe operasyon standartları</t>
        </is>
      </c>
    </row>
    <row r="23">
      <c r="A23" s="147" t="inlineStr">
        <is>
          <t>Çıktı disiplini</t>
        </is>
      </c>
      <c r="B23" s="148" t="inlineStr">
        <is>
          <t>Kanıtsız GEÇTİ / NİHAİ / TİCARİ / PAZAR_DOĞRULANDI statüsü yasaktır</t>
        </is>
      </c>
    </row>
    <row r="24">
      <c r="A24" s="147" t="inlineStr">
        <is>
          <t>Uyarlanabilirlik</t>
        </is>
      </c>
      <c r="B24" s="148" t="inlineStr">
        <is>
          <t>Gereksiz modül yalnız prestij amacıyla eklenmez</t>
        </is>
      </c>
    </row>
    <row r="26" ht="16" customHeight="1">
      <c r="A26" s="149" t="inlineStr">
        <is>
          <t>TEK KAYNAK MİMARİSİ</t>
        </is>
      </c>
      <c r="B26" s="149" t="inlineStr">
        <is>
          <t>İKİ DOSYALI / TEK SİSTEM</t>
        </is>
      </c>
    </row>
    <row r="27" ht="28" customHeight="1">
      <c r="A27" s="148" t="inlineStr">
        <is>
          <t>MASTER Excel</t>
        </is>
      </c>
      <c r="B27" s="14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8" t="inlineStr">
        <is>
          <t>Runtime Python</t>
        </is>
      </c>
      <c r="B28" s="148" t="inlineStr">
        <is>
          <t>EXCELARSIV_DECISION_OS_V15_1_RUNTIME_KERNEL.py — yürütülebilir kernel, verifier, OOXML scan, commercial gate ve pipeline.</t>
        </is>
      </c>
    </row>
    <row r="29">
      <c r="A29" s="148" t="inlineStr">
        <is>
          <t>Python SHA-256</t>
        </is>
      </c>
      <c r="B29" s="148" t="inlineStr">
        <is>
          <t>babe066ab599199123e53d01944bcd9d75648a579ade69ab9303dd675962f481</t>
        </is>
      </c>
    </row>
    <row r="30">
      <c r="A30" s="148" t="inlineStr">
        <is>
          <t>Sürüm Eşleşmesi</t>
        </is>
      </c>
      <c r="B30" s="148" t="inlineStr">
        <is>
          <t>Her iki dosya v15.1 sistemine aittir. Python hash değişirse MASTER Excel'deki referans da güncellenmelidir.</t>
        </is>
      </c>
    </row>
    <row r="31" ht="28" customHeight="1">
      <c r="A31" s="148" t="inlineStr">
        <is>
          <t>Sahte PASS Yasağı</t>
        </is>
      </c>
      <c r="B31" s="148" t="inlineStr">
        <is>
          <t>Kanıt yoksa PASS yok; hata=FAIL, ölçülemiyorsa=BLOCKED, Excel GUI gerekiyorsa=HARİCİ KABUL GEREKLİ.</t>
        </is>
      </c>
    </row>
    <row r="32">
      <c r="A32" s="148" t="inlineStr">
        <is>
          <t>Dil</t>
        </is>
      </c>
      <c r="B32" s="148" t="inlineStr">
        <is>
          <t>Kullanıcı yüzeyi safkan Türkçe; teknik kavramların Türkçe karşılığı ana terimdir.</t>
        </is>
      </c>
    </row>
    <row r="33">
      <c r="A33" s="148" t="inlineStr">
        <is>
          <t>Muhasebe</t>
        </is>
      </c>
      <c r="B33" s="148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1">
      <c r="A1" s="51" t="inlineStr">
        <is>
          <t>☰ PANO</t>
        </is>
      </c>
    </row>
    <row r="2">
      <c r="B2" s="68" t="inlineStr">
        <is>
          <t>KIRA AVANS TAKIP DEKONT — YÖNETİM VE KARAR SİSTEMİ</t>
        </is>
      </c>
      <c r="L2" s="69" t="inlineStr">
        <is>
          <t>Dönem: 2026 / Tam ▼</t>
        </is>
      </c>
      <c r="M2" s="70" t="inlineStr">
        <is>
          <t>★ DOĞRULANMIŞ</t>
        </is>
      </c>
    </row>
    <row r="3">
      <c r="B3" s="71" t="inlineStr">
        <is>
          <t>Yönetici Karar Kokpiti, Otomatik Doğrulama ve Dinamik Hesaplama Sistemi · 2026</t>
        </is>
      </c>
    </row>
    <row r="5">
      <c r="B5" s="72" t="inlineStr">
        <is>
          <t>TOPLAM İŞLEM HACMİ</t>
        </is>
      </c>
      <c r="C5" s="73" t="n"/>
      <c r="D5" s="74" t="inlineStr">
        <is>
          <t>DOĞRULANMIŞ</t>
        </is>
      </c>
      <c r="E5" s="75" t="inlineStr">
        <is>
          <t>RİSKLİ / BEKLEYEN İŞLEM</t>
        </is>
      </c>
      <c r="F5" s="73" t="n"/>
      <c r="G5" s="76" t="inlineStr">
        <is>
          <t>MİNİMUM</t>
        </is>
      </c>
      <c r="H5" s="72" t="inlineStr">
        <is>
          <t>OPERASYONEL NET MARJ</t>
        </is>
      </c>
      <c r="I5" s="73" t="n"/>
      <c r="J5" s="77" t="inlineStr">
        <is>
          <t>GÜVENLİ</t>
        </is>
      </c>
      <c r="K5" s="78" t="inlineStr">
        <is>
          <t>SİSTEM GÜVEN SKORU</t>
        </is>
      </c>
      <c r="L5" s="73" t="n"/>
      <c r="M5" s="74" t="inlineStr">
        <is>
          <t>DENETLENDİ</t>
        </is>
      </c>
    </row>
    <row r="6">
      <c r="B6" s="79" t="n"/>
      <c r="C6" s="73" t="n"/>
      <c r="D6" s="73" t="n"/>
      <c r="E6" s="80" t="n"/>
      <c r="F6" s="73" t="n"/>
      <c r="G6" s="73" t="n"/>
      <c r="H6" s="79" t="n"/>
      <c r="I6" s="73" t="n"/>
      <c r="J6" s="73" t="n"/>
      <c r="K6" s="81" t="n"/>
      <c r="L6" s="73" t="n"/>
      <c r="M6" s="73" t="n"/>
    </row>
    <row r="7">
      <c r="B7" s="82" t="inlineStr">
        <is>
          <t>₺28.450.000</t>
        </is>
      </c>
      <c r="C7" s="73" t="n"/>
      <c r="D7" s="73" t="n"/>
      <c r="E7" s="83" t="inlineStr">
        <is>
          <t>₺940.000</t>
        </is>
      </c>
      <c r="F7" s="73" t="n"/>
      <c r="G7" s="73" t="n"/>
      <c r="H7" s="82" t="inlineStr">
        <is>
          <t>₺8.120.000</t>
        </is>
      </c>
      <c r="I7" s="73" t="n"/>
      <c r="J7" s="73" t="n"/>
      <c r="K7" s="84" t="inlineStr">
        <is>
          <t>98/100</t>
        </is>
      </c>
      <c r="L7" s="73" t="n"/>
      <c r="M7" s="73" t="n"/>
    </row>
    <row r="8">
      <c r="B8" s="79" t="n"/>
      <c r="C8" s="73" t="n"/>
      <c r="D8" s="73" t="n"/>
      <c r="E8" s="80" t="n"/>
      <c r="F8" s="73" t="n"/>
      <c r="G8" s="73" t="n"/>
      <c r="H8" s="79" t="n"/>
      <c r="I8" s="73" t="n"/>
      <c r="J8" s="73" t="n"/>
      <c r="K8" s="81" t="n"/>
      <c r="L8" s="73" t="n"/>
      <c r="M8" s="73" t="n"/>
    </row>
    <row r="9">
      <c r="B9" s="85" t="inlineStr">
        <is>
          <t>↑ Konsolide yıllıklandırılmış büyüme</t>
        </is>
      </c>
      <c r="C9" s="73" t="n"/>
      <c r="D9" s="73" t="n"/>
      <c r="E9" s="86" t="inlineStr">
        <is>
          <t>● Tüm riskli kayıtlar kontrol altında</t>
        </is>
      </c>
      <c r="F9" s="73" t="n"/>
      <c r="G9" s="73" t="n"/>
      <c r="H9" s="85" t="inlineStr">
        <is>
          <t>██████████░░░░░ %28.5 NET MARJ</t>
        </is>
      </c>
      <c r="I9" s="73" t="n"/>
      <c r="J9" s="73" t="n"/>
      <c r="K9" s="87" t="inlineStr">
        <is>
          <t>✓ 0 Formül ve Döngüsel Hata</t>
        </is>
      </c>
      <c r="L9" s="73" t="n"/>
      <c r="M9" s="73" t="n"/>
    </row>
    <row r="11">
      <c r="B11" s="65" t="inlineStr">
        <is>
          <t>12 AYLIK NAKİT GİRİŞ / ÇIKIŞ &amp; LİKİDİTE BAŞARIMI</t>
        </is>
      </c>
      <c r="F11" s="88" t="inlineStr">
        <is>
          <t>+%32 Verim</t>
        </is>
      </c>
      <c r="H11" s="65" t="inlineStr">
        <is>
          <t>KONSOLİDE OPERASYON VE KARAR MATRİSİ</t>
        </is>
      </c>
    </row>
    <row r="12">
      <c r="B12" s="64" t="inlineStr">
        <is>
          <t>Kümülatif Tahsilat vs. Tedarikçi/Kredi Ödeme Projeksiyonu</t>
        </is>
      </c>
      <c r="H12" s="64" t="inlineStr">
        <is>
          <t>Anlık Hesaplama Sonuçları, Dinamik Formül Çıktıları ve Durum Puanlaması</t>
        </is>
      </c>
    </row>
    <row r="14">
      <c r="B14" s="89" t="inlineStr">
        <is>
          <t>Dönem</t>
        </is>
      </c>
      <c r="C14" s="89" t="inlineStr">
        <is>
          <t>Aktif Hacim</t>
        </is>
      </c>
      <c r="D14" s="89" t="inlineStr">
        <is>
          <t>Maliyet/Yük</t>
        </is>
      </c>
      <c r="E14" s="89" t="inlineStr">
        <is>
          <t>Hedef</t>
        </is>
      </c>
      <c r="H14" s="90" t="inlineStr">
        <is>
          <t>PARAMETRE / KALEM</t>
        </is>
      </c>
      <c r="I14" s="90" t="inlineStr">
        <is>
          <t>ANA TUTAR</t>
        </is>
      </c>
      <c r="J14" s="90" t="inlineStr">
        <is>
          <t>FARK / MARJ</t>
        </is>
      </c>
      <c r="K14" s="90" t="inlineStr">
        <is>
          <t>VADE</t>
        </is>
      </c>
      <c r="L14" s="90" t="inlineStr">
        <is>
          <t>KONTROL DURUMU</t>
        </is>
      </c>
    </row>
    <row r="15">
      <c r="B15" s="64" t="inlineStr">
        <is>
          <t>D1</t>
        </is>
      </c>
      <c r="C15" s="64" t="n">
        <v>65</v>
      </c>
      <c r="D15" s="64" t="n">
        <v>45</v>
      </c>
      <c r="E15" s="64" t="n">
        <v>60</v>
      </c>
      <c r="H15" s="91" t="inlineStr">
        <is>
          <t>13 haftalık kümülatif bakiye...</t>
        </is>
      </c>
      <c r="I15" s="91" t="inlineStr">
        <is>
          <t>₺8.450.000</t>
        </is>
      </c>
      <c r="J15" s="92" t="inlineStr">
        <is>
          <t>₺425.000</t>
        </is>
      </c>
      <c r="K15" s="93" t="inlineStr">
        <is>
          <t>12 Ay</t>
        </is>
      </c>
      <c r="L15" s="77" t="inlineStr">
        <is>
          <t>✓ DÜZENLİ</t>
        </is>
      </c>
    </row>
    <row r="16">
      <c r="B16" s="64" t="inlineStr">
        <is>
          <t>D2</t>
        </is>
      </c>
      <c r="C16" s="64" t="n">
        <v>78</v>
      </c>
      <c r="D16" s="64" t="n">
        <v>48</v>
      </c>
      <c r="E16" s="64" t="n">
        <v>70</v>
      </c>
      <c r="H16" s="91" t="inlineStr">
        <is>
          <t>Kritik (eksi) hafta uyarısı</t>
        </is>
      </c>
      <c r="I16" s="91" t="inlineStr">
        <is>
          <t>₺12.200.000</t>
        </is>
      </c>
      <c r="J16" s="92" t="inlineStr">
        <is>
          <t>₺580.400</t>
        </is>
      </c>
      <c r="K16" s="93" t="inlineStr">
        <is>
          <t>24 Ay</t>
        </is>
      </c>
      <c r="L16" s="74" t="inlineStr">
        <is>
          <t>★ AVANTAJ</t>
        </is>
      </c>
    </row>
    <row r="17">
      <c r="B17" s="64" t="inlineStr">
        <is>
          <t>D3</t>
        </is>
      </c>
      <c r="C17" s="64" t="n">
        <v>85</v>
      </c>
      <c r="D17" s="64" t="n">
        <v>55</v>
      </c>
      <c r="E17" s="64" t="n">
        <v>80</v>
      </c>
      <c r="H17" s="91" t="inlineStr">
        <is>
          <t>Dönem net nakit değişimi</t>
        </is>
      </c>
      <c r="I17" s="91" t="inlineStr">
        <is>
          <t>₺4.850.000</t>
        </is>
      </c>
      <c r="J17" s="92" t="inlineStr">
        <is>
          <t>₺235.200</t>
        </is>
      </c>
      <c r="K17" s="93" t="inlineStr">
        <is>
          <t>8 Ay</t>
        </is>
      </c>
      <c r="L17" s="94" t="inlineStr">
        <is>
          <t>● YAKLAŞAN</t>
        </is>
      </c>
    </row>
    <row r="18">
      <c r="B18" s="64" t="inlineStr">
        <is>
          <t>D4</t>
        </is>
      </c>
      <c r="C18" s="64" t="n">
        <v>75</v>
      </c>
      <c r="D18" s="64" t="n">
        <v>42</v>
      </c>
      <c r="E18" s="64" t="n">
        <v>75</v>
      </c>
      <c r="H18" s="91" t="inlineStr">
        <is>
          <t>13 haftalık kümülatif bakiye...</t>
        </is>
      </c>
      <c r="I18" s="91" t="inlineStr">
        <is>
          <t>₺2.140.000</t>
        </is>
      </c>
      <c r="J18" s="92" t="inlineStr">
        <is>
          <t>₺118.000</t>
        </is>
      </c>
      <c r="K18" s="93" t="inlineStr">
        <is>
          <t>16 Ay</t>
        </is>
      </c>
      <c r="L18" s="77" t="inlineStr">
        <is>
          <t>✓ TAM UYUM</t>
        </is>
      </c>
    </row>
    <row r="19">
      <c r="B19" s="64" t="inlineStr">
        <is>
          <t>D5</t>
        </is>
      </c>
      <c r="C19" s="64" t="n">
        <v>90</v>
      </c>
      <c r="D19" s="64" t="n">
        <v>40</v>
      </c>
      <c r="E19" s="64" t="n">
        <v>85</v>
      </c>
      <c r="H19" s="95" t="inlineStr">
        <is>
          <t>KONSOLİDE SİSTEM TOPLAMI</t>
        </is>
      </c>
      <c r="I19" s="96" t="inlineStr">
        <is>
          <t>₺42.850.000</t>
        </is>
      </c>
      <c r="J19" s="97" t="inlineStr">
        <is>
          <t>₺3.420.000</t>
        </is>
      </c>
      <c r="K19" s="98" t="inlineStr"/>
      <c r="L19" s="99" t="inlineStr">
        <is>
          <t>TAM DOĞRULANDI (0 HATA)</t>
        </is>
      </c>
    </row>
    <row r="20">
      <c r="B20" s="64" t="inlineStr">
        <is>
          <t>D6</t>
        </is>
      </c>
      <c r="C20" s="64" t="n">
        <v>96</v>
      </c>
      <c r="D20" s="64" t="n">
        <v>32</v>
      </c>
      <c r="E20" s="64" t="n">
        <v>92</v>
      </c>
    </row>
    <row r="22">
      <c r="B22" s="100" t="inlineStr">
        <is>
          <t>KONSOLİDE PAY VE AĞIRLIK</t>
        </is>
      </c>
      <c r="F22" s="100" t="inlineStr">
        <is>
          <t>LİKİDİTE RİSKİ &amp; ERKEN UYARI SİNYALLERİ</t>
        </is>
      </c>
      <c r="K22" s="101" t="inlineStr">
        <is>
          <t>KARAR MOTORU</t>
        </is>
      </c>
      <c r="L22" s="102" t="n"/>
      <c r="M22" s="102" t="n"/>
    </row>
    <row r="23">
      <c r="B23" s="49" t="inlineStr">
        <is>
          <t>■ Ana Segment (%42)</t>
        </is>
      </c>
      <c r="F23" s="64" t="inlineStr">
        <is>
          <t>Nakit Açığı Riski (30 Gün)</t>
        </is>
      </c>
      <c r="I23" s="103" t="inlineStr">
        <is>
          <t>0.00 TL (Sıfır Risk)</t>
        </is>
      </c>
      <c r="K23" s="104" t="inlineStr">
        <is>
          <t>OPERASYONEL VERİMLİLİK FIRSATI</t>
        </is>
      </c>
      <c r="L23" s="102" t="n"/>
      <c r="M23" s="102" t="n"/>
    </row>
    <row r="24">
      <c r="B24" s="50" t="inlineStr">
        <is>
          <t>■ İkincil Grup (%30)</t>
        </is>
      </c>
      <c r="F24" s="64" t="inlineStr">
        <is>
          <t>Tahsilat Gecikme Toleransı</t>
        </is>
      </c>
      <c r="I24" s="103" t="inlineStr">
        <is>
          <t>48 Gün Güvenli Eşik</t>
        </is>
      </c>
      <c r="K24" s="105" t="inlineStr">
        <is>
          <t>Süreç optimizasyonuyla birim operasyonel maliyeti düşürme potansiyeli mevcuttur.</t>
        </is>
      </c>
    </row>
    <row r="25">
      <c r="B25" s="106" t="inlineStr">
        <is>
          <t>■ Destek Birimi (%15)</t>
        </is>
      </c>
      <c r="F25" s="49" t="inlineStr">
        <is>
          <t>██████████████████████████████████████ Güvenli Bölge (%100)</t>
        </is>
      </c>
    </row>
    <row r="26">
      <c r="B26" s="107" t="inlineStr">
        <is>
          <t>■ Rezervler (%13)</t>
        </is>
      </c>
      <c r="F26" s="108" t="inlineStr">
        <is>
          <t>✓ 90 GÜNLÜK PROJEKSİYONDA NAKİT SIKIŞIKLIĞI TESPİT EDİLMEDİ</t>
        </is>
      </c>
      <c r="K26" s="109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51" t="inlineStr">
        <is>
          <t>☰ PANO</t>
        </is>
      </c>
    </row>
    <row r="3">
      <c r="B3" s="110" t="inlineStr">
        <is>
          <t>🔍  Kayıt veya hesap ara...</t>
        </is>
      </c>
      <c r="G3" s="111" t="inlineStr">
        <is>
          <t>TOPLAM: 1.450 KAYIT</t>
        </is>
      </c>
      <c r="I3" s="112" t="inlineStr">
        <is>
          <t>HATALI HÜCRE: 0 ADET</t>
        </is>
      </c>
    </row>
    <row r="5">
      <c r="B5" s="113" t="inlineStr">
        <is>
          <t>TARİH</t>
        </is>
      </c>
      <c r="C5" s="113" t="inlineStr">
        <is>
          <t>REFERANS NO</t>
        </is>
      </c>
      <c r="D5" s="113" t="inlineStr">
        <is>
          <t>İŞLEM AÇIKLAMASI VE DETAY</t>
        </is>
      </c>
      <c r="E5" s="113" t="inlineStr">
        <is>
          <t>BRÜT TUTAR (₺)</t>
        </is>
      </c>
      <c r="F5" s="113" t="inlineStr">
        <is>
          <t>KDV ORANI</t>
        </is>
      </c>
      <c r="G5" s="113" t="inlineStr">
        <is>
          <t>NET TUTAR (₺)</t>
        </is>
      </c>
      <c r="H5" s="113" t="inlineStr">
        <is>
          <t>HESAP / CARİ</t>
        </is>
      </c>
      <c r="I5" s="113" t="inlineStr">
        <is>
          <t>DURUM</t>
        </is>
      </c>
    </row>
    <row r="6">
      <c r="B6" s="114" t="inlineStr">
        <is>
          <t>12.10.2026</t>
        </is>
      </c>
      <c r="C6" s="115" t="inlineStr">
        <is>
          <t>TR-0428-A</t>
        </is>
      </c>
      <c r="D6" s="116" t="inlineStr">
        <is>
          <t>Haftalık operasyon tahmini</t>
        </is>
      </c>
      <c r="E6" s="117" t="n">
        <v>845200</v>
      </c>
      <c r="F6" s="118" t="n">
        <v>0.2</v>
      </c>
      <c r="G6" s="119">
        <f>E6/(1+F6)</f>
        <v/>
      </c>
      <c r="H6" s="116" t="inlineStr">
        <is>
          <t>Vadesiz Ticari</t>
        </is>
      </c>
      <c r="I6" s="120" t="inlineStr">
        <is>
          <t>ONAYLANDI</t>
        </is>
      </c>
    </row>
    <row r="7">
      <c r="B7" s="121" t="inlineStr">
        <is>
          <t>14.10.2026</t>
        </is>
      </c>
      <c r="C7" s="122" t="inlineStr">
        <is>
          <t>TR-0429-B</t>
        </is>
      </c>
      <c r="D7" s="123" t="inlineStr">
        <is>
          <t>Haftalık operasyon tahmini</t>
        </is>
      </c>
      <c r="E7" s="124" t="n">
        <v>1240000</v>
      </c>
      <c r="F7" s="125" t="n">
        <v>0.2</v>
      </c>
      <c r="G7" s="126">
        <f>E7/(1+F7)</f>
        <v/>
      </c>
      <c r="H7" s="123" t="inlineStr">
        <is>
          <t>Tedarikçi Havuzu</t>
        </is>
      </c>
      <c r="I7" s="127" t="inlineStr">
        <is>
          <t>BEKLEMEDE</t>
        </is>
      </c>
    </row>
    <row r="8">
      <c r="B8" s="114" t="inlineStr">
        <is>
          <t>18.10.2026</t>
        </is>
      </c>
      <c r="C8" s="115" t="inlineStr">
        <is>
          <t>TR-0430-C</t>
        </is>
      </c>
      <c r="D8" s="116" t="inlineStr">
        <is>
          <t>Ödeme takvimi notları</t>
        </is>
      </c>
      <c r="E8" s="117" t="n">
        <v>620500</v>
      </c>
      <c r="F8" s="118" t="n">
        <v>0.1</v>
      </c>
      <c r="G8" s="119">
        <f>E8/(1+F8)</f>
        <v/>
      </c>
      <c r="H8" s="116" t="inlineStr">
        <is>
          <t>Kısa Vade Tahakkuk</t>
        </is>
      </c>
      <c r="I8" s="120" t="inlineStr">
        <is>
          <t>ONAYLANDI</t>
        </is>
      </c>
    </row>
    <row r="9">
      <c r="B9" s="121" t="inlineStr">
        <is>
          <t>21.10.2026</t>
        </is>
      </c>
      <c r="C9" s="122" t="inlineStr">
        <is>
          <t>TR-0431-D</t>
        </is>
      </c>
      <c r="D9" s="123" t="inlineStr">
        <is>
          <t>Haftalık operasyon tahmini</t>
        </is>
      </c>
      <c r="E9" s="124" t="n">
        <v>415000</v>
      </c>
      <c r="F9" s="125" t="n">
        <v>0.2</v>
      </c>
      <c r="G9" s="126">
        <f>E9/(1+F9)</f>
        <v/>
      </c>
      <c r="H9" s="123" t="inlineStr">
        <is>
          <t>Müşteri Alacağı</t>
        </is>
      </c>
      <c r="I9" s="128" t="inlineStr">
        <is>
          <t>ONAYLANDI</t>
        </is>
      </c>
    </row>
    <row r="10">
      <c r="B10" s="114" t="inlineStr">
        <is>
          <t>25.10.2026</t>
        </is>
      </c>
      <c r="C10" s="115" t="inlineStr">
        <is>
          <t>TR-0432-E</t>
        </is>
      </c>
      <c r="D10" s="116" t="inlineStr">
        <is>
          <t>Haftalık operasyon tahmini</t>
        </is>
      </c>
      <c r="E10" s="117" t="n">
        <v>980400</v>
      </c>
      <c r="F10" s="118" t="n">
        <v>0.2</v>
      </c>
      <c r="G10" s="119">
        <f>E10/(1+F10)</f>
        <v/>
      </c>
      <c r="H10" s="116" t="inlineStr">
        <is>
          <t>Vadesiz Ticari</t>
        </is>
      </c>
      <c r="I10" s="120" t="inlineStr">
        <is>
          <t>ONAYLANDI</t>
        </is>
      </c>
    </row>
    <row r="11">
      <c r="B11" s="121" t="inlineStr">
        <is>
          <t>28.10.2026</t>
        </is>
      </c>
      <c r="C11" s="122" t="inlineStr">
        <is>
          <t>TR-0433-F</t>
        </is>
      </c>
      <c r="D11" s="123" t="inlineStr">
        <is>
          <t>Haftalık operasyon tahmini</t>
        </is>
      </c>
      <c r="E11" s="124" t="n">
        <v>1850000</v>
      </c>
      <c r="F11" s="125" t="n">
        <v>0.2</v>
      </c>
      <c r="G11" s="126">
        <f>E11/(1+F11)</f>
        <v/>
      </c>
      <c r="H11" s="123" t="inlineStr">
        <is>
          <t>Banka Kredi Taksiti</t>
        </is>
      </c>
      <c r="I11" s="129" t="inlineStr">
        <is>
          <t>BLOKE</t>
        </is>
      </c>
    </row>
    <row r="12">
      <c r="B12" s="114" t="inlineStr">
        <is>
          <t>02.11.2026</t>
        </is>
      </c>
      <c r="C12" s="115" t="inlineStr">
        <is>
          <t>TR-0434-G</t>
        </is>
      </c>
      <c r="D12" s="116" t="inlineStr">
        <is>
          <t>Ödeme takvimi notları</t>
        </is>
      </c>
      <c r="E12" s="117" t="n">
        <v>740000</v>
      </c>
      <c r="F12" s="118" t="n">
        <v>0.2</v>
      </c>
      <c r="G12" s="119">
        <f>E12/(1+F12)</f>
        <v/>
      </c>
      <c r="H12" s="116" t="inlineStr">
        <is>
          <t>Kira &amp; Sabit Gider</t>
        </is>
      </c>
      <c r="I12" s="120" t="inlineStr">
        <is>
          <t>ONAYLANDI</t>
        </is>
      </c>
    </row>
    <row r="13">
      <c r="B13" s="121" t="inlineStr">
        <is>
          <t>05.11.2026</t>
        </is>
      </c>
      <c r="C13" s="122" t="inlineStr">
        <is>
          <t>TR-0435-H</t>
        </is>
      </c>
      <c r="D13" s="123" t="inlineStr">
        <is>
          <t>Haftalık operasyon tahmini</t>
        </is>
      </c>
      <c r="E13" s="124" t="n">
        <v>520800</v>
      </c>
      <c r="F13" s="125" t="n">
        <v>0.2</v>
      </c>
      <c r="G13" s="126">
        <f>E13/(1+F13)</f>
        <v/>
      </c>
      <c r="H13" s="123" t="inlineStr">
        <is>
          <t>Vadesiz Ticari</t>
        </is>
      </c>
      <c r="I13" s="128" t="inlineStr">
        <is>
          <t>ONAYLANDI</t>
        </is>
      </c>
    </row>
    <row r="14">
      <c r="B14" s="114" t="inlineStr">
        <is>
          <t>09.11.2026</t>
        </is>
      </c>
      <c r="C14" s="115" t="inlineStr">
        <is>
          <t>TR-0436-I</t>
        </is>
      </c>
      <c r="D14" s="116" t="inlineStr">
        <is>
          <t>Haftalık operasyon tahmini</t>
        </is>
      </c>
      <c r="E14" s="117" t="n">
        <v>1120000</v>
      </c>
      <c r="F14" s="118" t="n">
        <v>0.2</v>
      </c>
      <c r="G14" s="119">
        <f>E14/(1+F14)</f>
        <v/>
      </c>
      <c r="H14" s="116" t="inlineStr">
        <is>
          <t>Müşteri Alacağı</t>
        </is>
      </c>
      <c r="I14" s="120" t="inlineStr">
        <is>
          <t>ONAYLANDI</t>
        </is>
      </c>
    </row>
    <row r="15">
      <c r="B15" s="121" t="inlineStr">
        <is>
          <t>12.11.2026</t>
        </is>
      </c>
      <c r="C15" s="122" t="inlineStr">
        <is>
          <t>TR-0437-J</t>
        </is>
      </c>
      <c r="D15" s="123" t="inlineStr">
        <is>
          <t>Haftalık operasyon tahmini</t>
        </is>
      </c>
      <c r="E15" s="124" t="n">
        <v>890000</v>
      </c>
      <c r="F15" s="125" t="n">
        <v>0.2</v>
      </c>
      <c r="G15" s="126">
        <f>E15/(1+F15)</f>
        <v/>
      </c>
      <c r="H15" s="123" t="inlineStr">
        <is>
          <t>Tedarikçi Havuzu</t>
        </is>
      </c>
      <c r="I15" s="128" t="inlineStr">
        <is>
          <t>ONAYLANDI</t>
        </is>
      </c>
    </row>
    <row r="17">
      <c r="B17" s="130" t="inlineStr">
        <is>
          <t>SAYFA TOPLAMI (10 / 1.450 KAYIT)</t>
        </is>
      </c>
      <c r="C17" s="98" t="n"/>
      <c r="D17" s="98" t="n"/>
      <c r="E17" s="131">
        <f>TOPLA(E6:E15)</f>
        <v/>
      </c>
      <c r="F17" s="98" t="n"/>
      <c r="G17" s="98" t="n"/>
      <c r="H17" s="98" t="n"/>
      <c r="I17" s="98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1" t="inlineStr">
        <is>
          <t>☰ PANO</t>
        </is>
      </c>
    </row>
    <row r="2">
      <c r="B2" s="132" t="inlineStr">
        <is>
          <t>KIRA AVANS TAKIP DEKONT — YÖNETİM VE KARAR SİSTEMİ — NİHAİ KARAR VE DEĞERLEME</t>
        </is>
      </c>
    </row>
    <row r="3">
      <c r="B3" s="133" t="inlineStr">
        <is>
          <t>Yönetim Kurulu ve İcra Komitesi için Otomatik Türetilen Finansal Stres Testi Raporu</t>
        </is>
      </c>
    </row>
    <row r="4">
      <c r="B4" s="134" t="inlineStr">
        <is>
          <t>DÖNEM: 2026 Q3 · DENETİM PROTOKOLÜ: ISO/VUK/IFRS UYUMLU · DURUM: ONAYLANDI</t>
        </is>
      </c>
    </row>
    <row r="6">
      <c r="B6" s="135" t="inlineStr">
        <is>
          <t>SENARYO A: KÖTÜMSER (STRES TESTİ -%20)</t>
        </is>
      </c>
      <c r="C6" s="73" t="n"/>
      <c r="D6" s="73" t="n"/>
      <c r="E6" s="73" t="n"/>
      <c r="F6" s="73" t="n"/>
      <c r="H6" s="136" t="inlineStr">
        <is>
          <t>SENARYO B: BAZ MODEL (HEDEFLENEN)</t>
        </is>
      </c>
      <c r="I6" s="73" t="n"/>
      <c r="J6" s="73" t="n"/>
      <c r="K6" s="73" t="n"/>
      <c r="L6" s="73" t="n"/>
    </row>
    <row r="7">
      <c r="B7" s="73" t="n"/>
      <c r="C7" s="73" t="n"/>
      <c r="D7" s="73" t="n"/>
      <c r="E7" s="73" t="n"/>
      <c r="F7" s="73" t="n"/>
      <c r="H7" s="73" t="n"/>
      <c r="I7" s="73" t="n"/>
      <c r="J7" s="73" t="n"/>
      <c r="K7" s="73" t="n"/>
      <c r="L7" s="73" t="n"/>
    </row>
    <row r="8">
      <c r="B8" s="137" t="inlineStr">
        <is>
          <t>Ciro / Hacim Düşüşü:</t>
        </is>
      </c>
      <c r="C8" s="73" t="n"/>
      <c r="D8" s="73" t="n"/>
      <c r="E8" s="138" t="inlineStr">
        <is>
          <t>-%20.0 (Kriz Eşiği)</t>
        </is>
      </c>
      <c r="F8" s="73" t="n"/>
      <c r="H8" s="137" t="inlineStr">
        <is>
          <t>Ciro / Hacim Gerçekleşmesi:</t>
        </is>
      </c>
      <c r="I8" s="73" t="n"/>
      <c r="J8" s="73" t="n"/>
      <c r="K8" s="139" t="inlineStr">
        <is>
          <t>%100.0 (Tam Bütçe)</t>
        </is>
      </c>
      <c r="L8" s="73" t="n"/>
    </row>
    <row r="9">
      <c r="B9" s="137" t="inlineStr">
        <is>
          <t>Beklenen Net Kâr / Getiri:</t>
        </is>
      </c>
      <c r="C9" s="73" t="n"/>
      <c r="D9" s="73" t="n"/>
      <c r="E9" s="140" t="inlineStr">
        <is>
          <t>₺4.280.000</t>
        </is>
      </c>
      <c r="F9" s="73" t="n"/>
      <c r="H9" s="137" t="inlineStr">
        <is>
          <t>Beklenen Net Kâr / Getiri:</t>
        </is>
      </c>
      <c r="I9" s="73" t="n"/>
      <c r="J9" s="73" t="n"/>
      <c r="K9" s="140" t="inlineStr">
        <is>
          <t>₺12.450.000</t>
        </is>
      </c>
      <c r="L9" s="73" t="n"/>
    </row>
    <row r="10">
      <c r="B10" s="137" t="inlineStr">
        <is>
          <t>Minimum Nakit Tamponu:</t>
        </is>
      </c>
      <c r="C10" s="73" t="n"/>
      <c r="D10" s="73" t="n"/>
      <c r="E10" s="141" t="inlineStr">
        <is>
          <t>₺1.850.000 (Yeterli)</t>
        </is>
      </c>
      <c r="F10" s="73" t="n"/>
      <c r="H10" s="137" t="inlineStr">
        <is>
          <t>Serbest Nakit Akımı:</t>
        </is>
      </c>
      <c r="I10" s="73" t="n"/>
      <c r="J10" s="73" t="n"/>
      <c r="K10" s="141" t="inlineStr">
        <is>
          <t>₺8.240.000</t>
        </is>
      </c>
      <c r="L10" s="73" t="n"/>
    </row>
    <row r="11">
      <c r="B11" s="137" t="inlineStr">
        <is>
          <t>Likidite Karşılama Oranı:</t>
        </is>
      </c>
      <c r="C11" s="73" t="n"/>
      <c r="D11" s="73" t="n"/>
      <c r="E11" s="141" t="inlineStr">
        <is>
          <t>1.28x (Eşik: 1.10x)</t>
        </is>
      </c>
      <c r="F11" s="73" t="n"/>
      <c r="H11" s="137" t="inlineStr">
        <is>
          <t>Yatırım Geri Dönüşü (ROI):</t>
        </is>
      </c>
      <c r="I11" s="73" t="n"/>
      <c r="J11" s="73" t="n"/>
      <c r="K11" s="141" t="inlineStr">
        <is>
          <t>%38.4 Yıllık</t>
        </is>
      </c>
      <c r="L11" s="73" t="n"/>
    </row>
    <row r="12">
      <c r="B12" s="73" t="n"/>
      <c r="C12" s="73" t="n"/>
      <c r="D12" s="73" t="n"/>
      <c r="E12" s="73" t="n"/>
      <c r="F12" s="73" t="n"/>
      <c r="H12" s="73" t="n"/>
      <c r="I12" s="73" t="n"/>
      <c r="J12" s="73" t="n"/>
      <c r="K12" s="73" t="n"/>
      <c r="L12" s="73" t="n"/>
    </row>
    <row r="13">
      <c r="B13" s="73" t="n"/>
      <c r="C13" s="73" t="n"/>
      <c r="D13" s="73" t="n"/>
      <c r="E13" s="73" t="n"/>
      <c r="F13" s="73" t="n"/>
      <c r="H13" s="73" t="n"/>
      <c r="I13" s="73" t="n"/>
      <c r="J13" s="73" t="n"/>
      <c r="K13" s="73" t="n"/>
      <c r="L13" s="73" t="n"/>
    </row>
    <row r="14">
      <c r="B14" s="142" t="inlineStr">
        <is>
          <t>STRES SENARYOSUNDA DAHİ İFLAS RİSKİ YOK</t>
        </is>
      </c>
      <c r="C14" s="73" t="n"/>
      <c r="D14" s="73" t="n"/>
      <c r="E14" s="73" t="n"/>
      <c r="F14" s="73" t="n"/>
      <c r="H14" s="143" t="inlineStr">
        <is>
          <t>OPTİMUM İCRA VE PLANLAMA REÇETESİ</t>
        </is>
      </c>
      <c r="I14" s="73" t="n"/>
      <c r="J14" s="73" t="n"/>
      <c r="K14" s="73" t="n"/>
      <c r="L14" s="73" t="n"/>
    </row>
    <row r="15">
      <c r="B15" s="73" t="n"/>
      <c r="C15" s="73" t="n"/>
      <c r="D15" s="73" t="n"/>
      <c r="E15" s="73" t="n"/>
      <c r="F15" s="73" t="n"/>
      <c r="H15" s="73" t="n"/>
      <c r="I15" s="73" t="n"/>
      <c r="J15" s="73" t="n"/>
      <c r="K15" s="73" t="n"/>
      <c r="L15" s="73" t="n"/>
    </row>
    <row r="17">
      <c r="B17" s="52" t="inlineStr">
        <is>
          <t>YÖNETİM KARAR MATRİSİ VE UYGULAMA REÇETESİ</t>
        </is>
      </c>
    </row>
    <row r="19">
      <c r="B19" s="100" t="inlineStr">
        <is>
          <t>●  Öncelik 1: Acil Likidite ve Borç Servis Planlaması</t>
        </is>
      </c>
    </row>
    <row r="20">
      <c r="B20" s="144" t="inlineStr">
        <is>
          <t xml:space="preserve">   Sistemde hesaplanan vade günlerine sadık kalınarak nakit blokajı 3 gün önceden hazır edilmelidir.</t>
        </is>
      </c>
    </row>
    <row r="21">
      <c r="B21" s="100" t="inlineStr">
        <is>
          <t>●  Öncelik 2: Formül Doğrulama ve Çapraz Sağlama</t>
        </is>
      </c>
    </row>
    <row r="22">
      <c r="B22" s="144" t="inlineStr">
        <is>
          <t xml:space="preserve">   Tüm hücreler kilitli formül korumasında olup girdi sayfalarında sıfır döngüsel başvuru (circular ref) garantilidir.</t>
        </is>
      </c>
    </row>
    <row r="23">
      <c r="B23" s="100" t="inlineStr">
        <is>
          <t>●  Öncelik 3: Resmi Mevzuat ve Vergi Kalkanı Entegrasyonu</t>
        </is>
      </c>
    </row>
    <row r="24">
      <c r="B24" s="144" t="inlineStr">
        <is>
          <t xml:space="preserve">   2026 güncel vergi dilimleri, amortisman ve SGK teşvik parametreleri tam otomatik yansıtılmaktadır.</t>
        </is>
      </c>
    </row>
    <row r="25">
      <c r="B25" s="100" t="inlineStr">
        <is>
          <t>●  Öncelik 4: Yönetici İmzası ve Rapor Paylaşımı</t>
        </is>
      </c>
    </row>
    <row r="26">
      <c r="B26" s="14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50" t="inlineStr">
        <is>
          <t>YÜRÜTME ÇEKİRDEĞİ — ZORUNLU ÜRETİM SIRASI</t>
        </is>
      </c>
    </row>
    <row r="3" ht="24" customHeight="1">
      <c r="A3" s="151" t="inlineStr">
        <is>
          <t>Adım</t>
        </is>
      </c>
      <c r="B3" s="151" t="inlineStr">
        <is>
          <t>Modül</t>
        </is>
      </c>
      <c r="C3" s="151" t="inlineStr">
        <is>
          <t>Tetikleyici</t>
        </is>
      </c>
      <c r="D3" s="151" t="inlineStr">
        <is>
          <t>Zorunlu Kanıt</t>
        </is>
      </c>
      <c r="E3" s="151" t="inlineStr">
        <is>
          <t>GEÇTİ Kuralı</t>
        </is>
      </c>
      <c r="F3" s="151" t="inlineStr">
        <is>
          <t>Hata Durumu</t>
        </is>
      </c>
      <c r="G3" s="151" t="inlineStr">
        <is>
          <t>Sonraki Aşama</t>
        </is>
      </c>
    </row>
    <row r="4">
      <c r="A4" s="152" t="n">
        <v>1</v>
      </c>
      <c r="B4" s="148" t="inlineStr">
        <is>
          <t>Excel Uygunluğu</t>
        </is>
      </c>
      <c r="C4" s="148" t="inlineStr">
        <is>
          <t>Her yeni model</t>
        </is>
      </c>
      <c r="D4" s="148" t="inlineStr">
        <is>
          <t>UYGUNLUK_KARARI</t>
        </is>
      </c>
      <c r="E4" s="148" t="inlineStr">
        <is>
          <t>Excel'in rolü açık</t>
        </is>
      </c>
      <c r="F4" s="148" t="inlineStr">
        <is>
          <t>HATA / BLOKE</t>
        </is>
      </c>
      <c r="G4" s="148" t="inlineStr">
        <is>
          <t>Yönetişim</t>
        </is>
      </c>
    </row>
    <row r="5">
      <c r="A5" s="152" t="n">
        <v>2</v>
      </c>
      <c r="B5" s="148" t="inlineStr">
        <is>
          <t>Yönetişim</t>
        </is>
      </c>
      <c r="C5" s="148" t="inlineStr">
        <is>
          <t>Her model</t>
        </is>
      </c>
      <c r="D5" s="148" t="inlineStr">
        <is>
          <t>Risk seviyesi + etki girdileri</t>
        </is>
      </c>
      <c r="E5" s="148" t="inlineStr">
        <is>
          <t>Seviye hesaplandı</t>
        </is>
      </c>
      <c r="F5" s="148" t="inlineStr">
        <is>
          <t>BLOKE</t>
        </is>
      </c>
      <c r="G5" s="148" t="inlineStr">
        <is>
          <t>Sözleşmeler</t>
        </is>
      </c>
    </row>
    <row r="6">
      <c r="A6" s="152" t="n">
        <v>3</v>
      </c>
      <c r="B6" s="148" t="inlineStr">
        <is>
          <t>Türk Muhasebe Eşlemesi</t>
        </is>
      </c>
      <c r="C6" s="148" t="inlineStr">
        <is>
          <t>Finansal model</t>
        </is>
      </c>
      <c r="D6" s="148" t="inlineStr">
        <is>
          <t>THP hesap eşleme tablosu</t>
        </is>
      </c>
      <c r="E6" s="148" t="inlineStr">
        <is>
          <t>Kritik satırlar THP ile uyumlu</t>
        </is>
      </c>
      <c r="F6" s="148" t="inlineStr">
        <is>
          <t>HATA</t>
        </is>
      </c>
      <c r="G6" s="148" t="inlineStr">
        <is>
          <t>Sözleşmeler</t>
        </is>
      </c>
    </row>
    <row r="7">
      <c r="A7" s="152" t="n">
        <v>4</v>
      </c>
      <c r="B7" s="148" t="inlineStr">
        <is>
          <t>Veri ve Anlam Sözleşmeleri</t>
        </is>
      </c>
      <c r="C7" s="148" t="inlineStr">
        <is>
          <t>Girdi/KPI varsa</t>
        </is>
      </c>
      <c r="D7" s="148" t="inlineStr">
        <is>
          <t>Veri + KPI sözleşmeleri</t>
        </is>
      </c>
      <c r="E7" s="148" t="inlineStr">
        <is>
          <t>Kapsam %100</t>
        </is>
      </c>
      <c r="F7" s="148" t="inlineStr">
        <is>
          <t>HATA</t>
        </is>
      </c>
      <c r="G7" s="148" t="inlineStr">
        <is>
          <t>Üretim</t>
        </is>
      </c>
    </row>
    <row r="8">
      <c r="A8" s="152" t="n">
        <v>5</v>
      </c>
      <c r="B8" s="148" t="inlineStr">
        <is>
          <t>Üretim</t>
        </is>
      </c>
      <c r="C8" s="148" t="inlineStr">
        <is>
          <t>Sözleşmeler GEÇTİ</t>
        </is>
      </c>
      <c r="D8" s="148" t="inlineStr">
        <is>
          <t>Çalışan Excel</t>
        </is>
      </c>
      <c r="E8" s="148" t="inlineStr">
        <is>
          <t>Tek gerçek kaynak korunmuş</t>
        </is>
      </c>
      <c r="F8" s="148" t="inlineStr">
        <is>
          <t>HATA</t>
        </is>
      </c>
      <c r="G8" s="148" t="inlineStr">
        <is>
          <t>Testler</t>
        </is>
      </c>
    </row>
    <row r="9" ht="28" customHeight="1">
      <c r="A9" s="152" t="n">
        <v>6</v>
      </c>
      <c r="B9" s="148" t="inlineStr">
        <is>
          <t>Görsel/Kullanım Katmanı</t>
        </is>
      </c>
      <c r="C9" s="148" t="inlineStr">
        <is>
          <t>Motor hazır</t>
        </is>
      </c>
      <c r="D9" s="148" t="inlineStr">
        <is>
          <t>Başlıklar + renk + grafik + yönlendirme</t>
        </is>
      </c>
      <c r="E9" s="148" t="inlineStr">
        <is>
          <t>Tüm kullanıcı sayfaları standarda uygun</t>
        </is>
      </c>
      <c r="F9" s="148" t="inlineStr">
        <is>
          <t>HATA</t>
        </is>
      </c>
      <c r="G9" s="148" t="inlineStr">
        <is>
          <t>Testler</t>
        </is>
      </c>
    </row>
    <row r="10" ht="28" customHeight="1">
      <c r="A10" s="152" t="n">
        <v>7</v>
      </c>
      <c r="B10" s="148" t="inlineStr">
        <is>
          <t>Testler</t>
        </is>
      </c>
      <c r="C10" s="148" t="inlineStr">
        <is>
          <t>Üretim tamam</t>
        </is>
      </c>
      <c r="D10" s="148" t="inlineStr">
        <is>
          <t>Formül/OOXML/kimlik/oracle/golden/metamorfik</t>
        </is>
      </c>
      <c r="E10" s="148" t="inlineStr">
        <is>
          <t>Uygulanabilir hard gate'ler GEÇTİ</t>
        </is>
      </c>
      <c r="F10" s="148" t="inlineStr">
        <is>
          <t>HATA</t>
        </is>
      </c>
      <c r="G10" s="148" t="inlineStr">
        <is>
          <t>Kanıt</t>
        </is>
      </c>
    </row>
    <row r="11">
      <c r="A11" s="152" t="n">
        <v>8</v>
      </c>
      <c r="B11" s="148" t="inlineStr">
        <is>
          <t>Hata-Kontrol Tutarlılığı</t>
        </is>
      </c>
      <c r="C11" s="148" t="inlineStr">
        <is>
          <t>Test sonucu var</t>
        </is>
      </c>
      <c r="D11" s="148" t="inlineStr">
        <is>
          <t>Hata taraması + kontrol sonuçları</t>
        </is>
      </c>
      <c r="E11" s="148" t="inlineStr">
        <is>
          <t>Formül hatası varken GEÇTİ yok</t>
        </is>
      </c>
      <c r="F11" s="148" t="inlineStr">
        <is>
          <t>HATA</t>
        </is>
      </c>
      <c r="G11" s="148" t="inlineStr">
        <is>
          <t>Kanıt</t>
        </is>
      </c>
    </row>
    <row r="12">
      <c r="A12" s="152" t="n">
        <v>9</v>
      </c>
      <c r="B12" s="148" t="inlineStr">
        <is>
          <t>Kanıt</t>
        </is>
      </c>
      <c r="C12" s="148" t="inlineStr">
        <is>
          <t>Test sonucu var</t>
        </is>
      </c>
      <c r="D12" s="148" t="inlineStr">
        <is>
          <t>Makine okunur artefakt + özet</t>
        </is>
      </c>
      <c r="E12" s="148" t="inlineStr">
        <is>
          <t>Kanıt fiziksel ve tutarlı</t>
        </is>
      </c>
      <c r="F12" s="148" t="inlineStr">
        <is>
          <t>HATA</t>
        </is>
      </c>
      <c r="G12" s="148" t="inlineStr">
        <is>
          <t>Kullanıcı Kabulü</t>
        </is>
      </c>
    </row>
    <row r="13">
      <c r="A13" s="152" t="n">
        <v>10</v>
      </c>
      <c r="B13" s="148" t="inlineStr">
        <is>
          <t>Kullanıcı Kabulü</t>
        </is>
      </c>
      <c r="C13" s="148" t="inlineStr">
        <is>
          <t>Kritik görevler</t>
        </is>
      </c>
      <c r="D13" s="148" t="inlineStr">
        <is>
          <t>Gerçek ekran davranışı</t>
        </is>
      </c>
      <c r="E13" s="148" t="inlineStr">
        <is>
          <t>Kritik görevler %100</t>
        </is>
      </c>
      <c r="F13" s="148" t="inlineStr">
        <is>
          <t>DIŞ_KABUL_GEREKLİ</t>
        </is>
      </c>
      <c r="G13" s="148" t="inlineStr">
        <is>
          <t>Ticari</t>
        </is>
      </c>
    </row>
    <row r="14">
      <c r="A14" s="152" t="n">
        <v>11</v>
      </c>
      <c r="B14" s="148" t="inlineStr">
        <is>
          <t>Ticari Değer</t>
        </is>
      </c>
      <c r="C14" s="148" t="inlineStr">
        <is>
          <t>Ürün satılacaksa</t>
        </is>
      </c>
      <c r="D14" s="148" t="inlineStr">
        <is>
          <t>ROI + demo + kanıt paketi</t>
        </is>
      </c>
      <c r="E14" s="148" t="inlineStr">
        <is>
          <t>Ekonomik değer kanıtlı</t>
        </is>
      </c>
      <c r="F14" s="148" t="inlineStr">
        <is>
          <t>UYARI / HATA</t>
        </is>
      </c>
      <c r="G14" s="148" t="inlineStr">
        <is>
          <t>Pazar Doğrulama</t>
        </is>
      </c>
    </row>
    <row r="15">
      <c r="A15" s="152" t="n">
        <v>12</v>
      </c>
      <c r="B15" s="148" t="inlineStr">
        <is>
          <t>Pazar Doğrulama</t>
        </is>
      </c>
      <c r="C15" s="148" t="inlineStr">
        <is>
          <t>Pazar iddiası varsa</t>
        </is>
      </c>
      <c r="D15" s="148" t="inlineStr">
        <is>
          <t>Ücretli satış/pilot/fiyat kabul kanıtı</t>
        </is>
      </c>
      <c r="E15" s="148" t="inlineStr">
        <is>
          <t>Gerçek fiyat kabul kanıtı</t>
        </is>
      </c>
      <c r="F15" s="148" t="inlineStr">
        <is>
          <t>UYGULANMAZ / HATA</t>
        </is>
      </c>
      <c r="G15" s="148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53" t="inlineStr">
        <is>
          <t>NİHAİ KONTROL LİSTESİ — KANITSIZ GEÇİŞ YOK</t>
        </is>
      </c>
    </row>
    <row r="3" ht="24" customHeight="1">
      <c r="A3" s="154" t="inlineStr">
        <is>
          <t>Kontrol No</t>
        </is>
      </c>
      <c r="B3" s="154" t="inlineStr">
        <is>
          <t>Kontrol</t>
        </is>
      </c>
      <c r="C3" s="154" t="inlineStr">
        <is>
          <t>Beklenen</t>
        </is>
      </c>
      <c r="D3" s="154" t="inlineStr">
        <is>
          <t>Zorunlu Kapı?</t>
        </is>
      </c>
      <c r="E3" s="154" t="inlineStr">
        <is>
          <t>Sonuç</t>
        </is>
      </c>
    </row>
    <row r="4">
      <c r="A4" s="155" t="inlineStr">
        <is>
          <t>K01</t>
        </is>
      </c>
      <c r="B4" s="148" t="inlineStr">
        <is>
          <t>Kullanıcının açık talebi öncelikli mi?</t>
        </is>
      </c>
      <c r="C4" s="148" t="inlineStr">
        <is>
          <t>Evet</t>
        </is>
      </c>
      <c r="D4" s="148" t="inlineStr">
        <is>
          <t>EVET</t>
        </is>
      </c>
    </row>
    <row r="5">
      <c r="A5" s="155" t="inlineStr">
        <is>
          <t>K02</t>
        </is>
      </c>
      <c r="B5" s="148" t="inlineStr">
        <is>
          <t>Mevcut yapı, formüller ve tek gerçek kaynak korunuyor mu?</t>
        </is>
      </c>
      <c r="C5" s="148" t="inlineStr">
        <is>
          <t>Evet, değişiklik gerekçeli</t>
        </is>
      </c>
      <c r="D5" s="148" t="inlineStr">
        <is>
          <t>EVET</t>
        </is>
      </c>
    </row>
    <row r="6">
      <c r="A6" s="155" t="inlineStr">
        <is>
          <t>K03</t>
        </is>
      </c>
      <c r="B6" s="148" t="inlineStr">
        <is>
          <t>Üst aşama HATA ise alt aşama GEÇTİ engelleniyor mu?</t>
        </is>
      </c>
      <c r="C6" s="148" t="inlineStr">
        <is>
          <t>Evet</t>
        </is>
      </c>
      <c r="D6" s="148" t="inlineStr">
        <is>
          <t>EVET</t>
        </is>
      </c>
    </row>
    <row r="7">
      <c r="A7" s="155" t="inlineStr">
        <is>
          <t>K04</t>
        </is>
      </c>
      <c r="B7" s="148" t="inlineStr">
        <is>
          <t>Kanıt fiziksel çıktı ve içerik doğrulaması içeriyor mu?</t>
        </is>
      </c>
      <c r="C7" s="148" t="inlineStr">
        <is>
          <t>Evet</t>
        </is>
      </c>
      <c r="D7" s="148" t="inlineStr">
        <is>
          <t>EVET</t>
        </is>
      </c>
    </row>
    <row r="8">
      <c r="A8" s="155" t="inlineStr">
        <is>
          <t>K05</t>
        </is>
      </c>
      <c r="B8" s="148" t="inlineStr">
        <is>
          <t>Excel GUI erişimi olmadan kullanıcı görünümü GEÇTİ yazılıyor mu?</t>
        </is>
      </c>
      <c r="C8" s="148" t="inlineStr">
        <is>
          <t>Hayır</t>
        </is>
      </c>
      <c r="D8" s="148" t="inlineStr">
        <is>
          <t>EVET</t>
        </is>
      </c>
    </row>
    <row r="9">
      <c r="A9" s="155" t="inlineStr">
        <is>
          <t>K06</t>
        </is>
      </c>
      <c r="B9" s="148" t="inlineStr">
        <is>
          <t>NİHAİ yalnız GEÇTİ / gerekçeli UYGULANMAZ ile mi?</t>
        </is>
      </c>
      <c r="C9" s="148" t="inlineStr">
        <is>
          <t>Evet</t>
        </is>
      </c>
      <c r="D9" s="148" t="inlineStr">
        <is>
          <t>EVET</t>
        </is>
      </c>
    </row>
    <row r="10">
      <c r="A10" s="155" t="inlineStr">
        <is>
          <t>K07</t>
        </is>
      </c>
      <c r="B10" s="148" t="inlineStr">
        <is>
          <t>Ekonomik fiyat savunusu pazar doğrulamasından ayrılmış mı?</t>
        </is>
      </c>
      <c r="C10" s="148" t="inlineStr">
        <is>
          <t>Evet</t>
        </is>
      </c>
      <c r="D10" s="148" t="inlineStr">
        <is>
          <t>EVET</t>
        </is>
      </c>
    </row>
    <row r="11">
      <c r="A11" s="155" t="inlineStr">
        <is>
          <t>K08</t>
        </is>
      </c>
      <c r="B11" s="148" t="inlineStr">
        <is>
          <t>Prestij için gereksiz modül var mı?</t>
        </is>
      </c>
      <c r="C11" s="148" t="inlineStr">
        <is>
          <t>Hayır</t>
        </is>
      </c>
      <c r="D11" s="148" t="inlineStr">
        <is>
          <t>HAYIR</t>
        </is>
      </c>
    </row>
    <row r="12">
      <c r="A12" s="155" t="inlineStr">
        <is>
          <t>K09</t>
        </is>
      </c>
      <c r="B12" s="148" t="inlineStr">
        <is>
          <t>Excel sınırları açık mı?</t>
        </is>
      </c>
      <c r="C12" s="148" t="inlineStr">
        <is>
          <t>Evet</t>
        </is>
      </c>
      <c r="D12" s="148" t="inlineStr">
        <is>
          <t>EVET</t>
        </is>
      </c>
    </row>
    <row r="13">
      <c r="A13" s="155" t="inlineStr">
        <is>
          <t>K10</t>
        </is>
      </c>
      <c r="B13" s="148" t="inlineStr">
        <is>
          <t>Teknik kaynak korunuyor mu?</t>
        </is>
      </c>
      <c r="C13" s="148" t="inlineStr">
        <is>
          <t>Evet</t>
        </is>
      </c>
      <c r="D13" s="148" t="inlineStr">
        <is>
          <t>EVET</t>
        </is>
      </c>
    </row>
    <row r="14">
      <c r="A14" s="155" t="inlineStr">
        <is>
          <t>K11</t>
        </is>
      </c>
      <c r="B14" s="148" t="inlineStr">
        <is>
          <t>Kullanıcıya görünen tüm metinler Türkçe mi?</t>
        </is>
      </c>
      <c r="C14" s="148" t="inlineStr">
        <is>
          <t>Evet</t>
        </is>
      </c>
      <c r="D14" s="148" t="inlineStr">
        <is>
          <t>EVET</t>
        </is>
      </c>
    </row>
    <row r="15">
      <c r="A15" s="155" t="inlineStr">
        <is>
          <t>K12</t>
        </is>
      </c>
      <c r="B15" s="148" t="inlineStr">
        <is>
          <t>Her kullanıcı sayfasında üst başlık var mı?</t>
        </is>
      </c>
      <c r="C15" s="148" t="inlineStr">
        <is>
          <t>Evet</t>
        </is>
      </c>
      <c r="D15" s="148" t="inlineStr">
        <is>
          <t>EVET</t>
        </is>
      </c>
    </row>
    <row r="16">
      <c r="A16" s="155" t="inlineStr">
        <is>
          <t>K13</t>
        </is>
      </c>
      <c r="B16" s="148" t="inlineStr">
        <is>
          <t>Sayfalar arasında tutarlı renk sistemi var mı?</t>
        </is>
      </c>
      <c r="C16" s="148" t="inlineStr">
        <is>
          <t>Evet</t>
        </is>
      </c>
      <c r="D16" s="148" t="inlineStr">
        <is>
          <t>EVET</t>
        </is>
      </c>
    </row>
    <row r="17">
      <c r="A17" s="155" t="inlineStr">
        <is>
          <t>K14</t>
        </is>
      </c>
      <c r="B17" s="148" t="inlineStr">
        <is>
          <t>Alt sayfa sekmeleri işlevine göre renklendirilmiş mi?</t>
        </is>
      </c>
      <c r="C17" s="148" t="inlineStr">
        <is>
          <t>Evet</t>
        </is>
      </c>
      <c r="D17" s="148" t="inlineStr">
        <is>
          <t>EVET</t>
        </is>
      </c>
    </row>
    <row r="18">
      <c r="A18" s="155" t="inlineStr">
        <is>
          <t>K15</t>
        </is>
      </c>
      <c r="B18" s="148" t="inlineStr">
        <is>
          <t>İçerik blokları arasında gereksiz boş kolon var mı?</t>
        </is>
      </c>
      <c r="C18" s="148" t="inlineStr">
        <is>
          <t>Hayır</t>
        </is>
      </c>
      <c r="D18" s="148" t="inlineStr">
        <is>
          <t>EVET</t>
        </is>
      </c>
    </row>
    <row r="19">
      <c r="A19" s="155" t="inlineStr">
        <is>
          <t>K16</t>
        </is>
      </c>
      <c r="B19" s="148" t="inlineStr">
        <is>
          <t>Grafikler premium ve karar odaklı mı?</t>
        </is>
      </c>
      <c r="C19" s="148" t="inlineStr">
        <is>
          <t>Evet</t>
        </is>
      </c>
      <c r="D19" s="148" t="inlineStr">
        <is>
          <t>EVET</t>
        </is>
      </c>
    </row>
    <row r="20">
      <c r="A20" s="155" t="inlineStr">
        <is>
          <t>K17</t>
        </is>
      </c>
      <c r="B20" s="148" t="inlineStr">
        <is>
          <t>Varsayılan Excel grafiği / 3B / dekoratif grafik var mı?</t>
        </is>
      </c>
      <c r="C20" s="148" t="inlineStr">
        <is>
          <t>Hayır</t>
        </is>
      </c>
      <c r="D20" s="148" t="inlineStr">
        <is>
          <t>EVET</t>
        </is>
      </c>
    </row>
    <row r="21">
      <c r="A21" s="155" t="inlineStr">
        <is>
          <t>K18</t>
        </is>
      </c>
      <c r="B21" s="148" t="inlineStr">
        <is>
          <t>Finansal ürün Türkiye Tekdüzen Hesap Planı ile eşleşiyor mu?</t>
        </is>
      </c>
      <c r="C21" s="148" t="inlineStr">
        <is>
          <t>Evet</t>
        </is>
      </c>
      <c r="D21" s="148" t="inlineStr">
        <is>
          <t>EVET</t>
        </is>
      </c>
    </row>
    <row r="22">
      <c r="A22" s="155" t="inlineStr">
        <is>
          <t>K19</t>
        </is>
      </c>
      <c r="B22" s="148" t="inlineStr">
        <is>
          <t>Muhasebe satır adları Türkiye kullanımına uygun mu?</t>
        </is>
      </c>
      <c r="C22" s="148" t="inlineStr">
        <is>
          <t>Evet</t>
        </is>
      </c>
      <c r="D22" s="148" t="inlineStr">
        <is>
          <t>EVET</t>
        </is>
      </c>
    </row>
    <row r="23">
      <c r="A23" s="155" t="inlineStr">
        <is>
          <t>K20</t>
        </is>
      </c>
      <c r="B23" s="148" t="inlineStr">
        <is>
          <t>Formül hatası varken herhangi bir kontrol GEÇTİ gösteriyor mu?</t>
        </is>
      </c>
      <c r="C23" s="148" t="inlineStr">
        <is>
          <t>Hayır</t>
        </is>
      </c>
      <c r="D23" s="148" t="inlineStr">
        <is>
          <t>EVET</t>
        </is>
      </c>
    </row>
    <row r="24">
      <c r="A24" s="155" t="inlineStr">
        <is>
          <t>K21</t>
        </is>
      </c>
      <c r="B24" s="148" t="inlineStr">
        <is>
          <t>Karar Motoru boş veya yalnız başlık düzeyinde mi?</t>
        </is>
      </c>
      <c r="C24" s="148" t="inlineStr">
        <is>
          <t>Hayır</t>
        </is>
      </c>
      <c r="D24" s="148" t="inlineStr">
        <is>
          <t>EVET</t>
        </is>
      </c>
    </row>
    <row r="25">
      <c r="A25" s="155" t="inlineStr">
        <is>
          <t>K22</t>
        </is>
      </c>
      <c r="B25" s="148" t="inlineStr">
        <is>
          <t>Senaryo/Stres modülü gerçekten sonuç değiştiriyor mu?</t>
        </is>
      </c>
      <c r="C25" s="148" t="inlineStr">
        <is>
          <t>Evet</t>
        </is>
      </c>
      <c r="D25" s="148" t="inlineStr">
        <is>
          <t>EVET</t>
        </is>
      </c>
    </row>
    <row r="26">
      <c r="A26" s="155" t="inlineStr">
        <is>
          <t>K23</t>
        </is>
      </c>
      <c r="B26" s="148" t="inlineStr">
        <is>
          <t>Oracle/bağımsız doğrulama gerçek veri üretiyor mu?</t>
        </is>
      </c>
      <c r="C26" s="148" t="inlineStr">
        <is>
          <t>Evet veya gerekçeli UYGULANMAZ</t>
        </is>
      </c>
      <c r="D26" s="148" t="inlineStr">
        <is>
          <t>EVET</t>
        </is>
      </c>
    </row>
    <row r="27">
      <c r="A27" s="155" t="inlineStr">
        <is>
          <t>K24</t>
        </is>
      </c>
      <c r="B27" s="148" t="inlineStr">
        <is>
          <t>Yönetici ekranı 5 saniyede sorunu ve aksiyonu anlatıyor mu?</t>
        </is>
      </c>
      <c r="C27" s="148" t="inlineStr">
        <is>
          <t>Evet</t>
        </is>
      </c>
      <c r="D27" s="148" t="inlineStr">
        <is>
          <t>EVET</t>
        </is>
      </c>
    </row>
    <row r="28">
      <c r="A28" s="155" t="inlineStr">
        <is>
          <t>K25</t>
        </is>
      </c>
      <c r="B28" s="148" t="inlineStr">
        <is>
          <t>Her kritik kararın parasal etkisi ve önerilen aksiyonu var mı?</t>
        </is>
      </c>
      <c r="C28" s="148" t="inlineStr">
        <is>
          <t>Evet</t>
        </is>
      </c>
      <c r="D28" s="148" t="inlineStr">
        <is>
          <t>EVET</t>
        </is>
      </c>
    </row>
    <row r="29">
      <c r="A29" s="155" t="inlineStr">
        <is>
          <t>K26</t>
        </is>
      </c>
      <c r="B29" s="148" t="inlineStr">
        <is>
          <t>Ürün sayfası/ürün içi demo satın alma gerekçesini kanıtlıyor mu?</t>
        </is>
      </c>
      <c r="C29" s="148" t="inlineStr">
        <is>
          <t>Evet</t>
        </is>
      </c>
      <c r="D29" s="148" t="inlineStr">
        <is>
          <t>EVET</t>
        </is>
      </c>
    </row>
    <row r="30" ht="30" customHeight="1">
      <c r="A30" s="156" t="inlineStr">
        <is>
          <t>K27</t>
        </is>
      </c>
      <c r="B30" s="157" t="inlineStr">
        <is>
          <t>Buton görünümü verilen tüm alanlar gerçekten tıklanabilir ve doğru hedefe gidiyor mu?</t>
        </is>
      </c>
      <c r="C30" s="157" t="inlineStr">
        <is>
          <t>Evet</t>
        </is>
      </c>
      <c r="D30" s="148" t="inlineStr">
        <is>
          <t>EVET</t>
        </is>
      </c>
    </row>
    <row r="31" ht="30" customHeight="1">
      <c r="A31" s="156" t="inlineStr">
        <is>
          <t>K28</t>
        </is>
      </c>
      <c r="B31" s="157" t="inlineStr">
        <is>
          <t>Tüm görünür kullanıcı sheet tabları kurumsal kategori rengi taşıyor mu?</t>
        </is>
      </c>
      <c r="C31" s="157" t="inlineStr">
        <is>
          <t>Evet</t>
        </is>
      </c>
      <c r="D31" s="148" t="inlineStr">
        <is>
          <t>EVET</t>
        </is>
      </c>
    </row>
    <row r="32" ht="16" customHeight="1">
      <c r="A32" s="156" t="inlineStr">
        <is>
          <t>K29</t>
        </is>
      </c>
      <c r="B32" s="157" t="inlineStr">
        <is>
          <t>Sheet sırası tanımlı kullanıcı iş akışıyla birebir aynı mı?</t>
        </is>
      </c>
      <c r="C32" s="157" t="inlineStr">
        <is>
          <t>Evet</t>
        </is>
      </c>
      <c r="D32" s="148" t="inlineStr">
        <is>
          <t>EVET</t>
        </is>
      </c>
    </row>
    <row r="33" ht="30" customHeight="1">
      <c r="A33" s="156" t="inlineStr">
        <is>
          <t>K30</t>
        </is>
      </c>
      <c r="B33" s="157" t="inlineStr">
        <is>
          <t>Kurumsal renk paleti tutarlı mı; rastgele/gökkuşağı renk kullanımı var mı?</t>
        </is>
      </c>
      <c r="C33" s="157" t="inlineStr">
        <is>
          <t>Evet / Hayır</t>
        </is>
      </c>
      <c r="D33" s="148" t="inlineStr">
        <is>
          <t>EVET</t>
        </is>
      </c>
    </row>
    <row r="34" ht="30" customHeight="1">
      <c r="A34" s="156" t="inlineStr">
        <is>
          <t>K31</t>
        </is>
      </c>
      <c r="B34" s="157" t="inlineStr">
        <is>
          <t>Premium vitrin, altyapı kadar güçlü ve satış fiyatını destekleyecek seviyede mi?</t>
        </is>
      </c>
      <c r="C34" s="157" t="inlineStr">
        <is>
          <t>Evet</t>
        </is>
      </c>
      <c r="D34" s="148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58" t="inlineStr">
        <is>
          <t>GÖRSEL TASARIM VE PREMIUM EXCEL STANDARDI</t>
        </is>
      </c>
    </row>
    <row r="3" ht="24" customHeight="1">
      <c r="A3" s="159" t="inlineStr">
        <is>
          <t>Alan</t>
        </is>
      </c>
      <c r="B3" s="159" t="inlineStr">
        <is>
          <t>Zorunlu Kural</t>
        </is>
      </c>
      <c r="C3" s="159" t="inlineStr">
        <is>
          <t>Uygulama</t>
        </is>
      </c>
      <c r="D3" s="159" t="inlineStr">
        <is>
          <t>Yasak</t>
        </is>
      </c>
      <c r="E3" s="159" t="inlineStr">
        <is>
          <t>Kontrol</t>
        </is>
      </c>
      <c r="F3" s="159" t="inlineStr">
        <is>
          <t>Durum</t>
        </is>
      </c>
    </row>
    <row r="4" ht="28" customHeight="1">
      <c r="A4" s="160" t="inlineStr">
        <is>
          <t>Sayfa başlığı</t>
        </is>
      </c>
      <c r="B4" s="148" t="inlineStr">
        <is>
          <t>Her kullanıcı sayfasının en üstünde tek ve açık sayfa başlığı</t>
        </is>
      </c>
      <c r="C4" s="148" t="inlineStr">
        <is>
          <t>A1'den başlayan koyu lacivert başlık bandı</t>
        </is>
      </c>
      <c r="D4" s="148" t="inlineStr">
        <is>
          <t>Başlıksız sayfa</t>
        </is>
      </c>
      <c r="E4" s="148" t="inlineStr">
        <is>
          <t>Başlık kapsama = %100</t>
        </is>
      </c>
      <c r="F4" s="161" t="inlineStr">
        <is>
          <t>ZORUNLU</t>
        </is>
      </c>
    </row>
    <row r="5" ht="28" customHeight="1">
      <c r="A5" s="160" t="inlineStr">
        <is>
          <t>Sekme renkleri</t>
        </is>
      </c>
      <c r="B5" s="148" t="inlineStr">
        <is>
          <t>Sayfalar işlevine göre renk kodlanır</t>
        </is>
      </c>
      <c r="C5" s="148" t="inlineStr">
        <is>
          <t>Girdi=mavi, hesap=gri, rapor=lacivert, kontrol=kırmızı, kılavuz=altın</t>
        </is>
      </c>
      <c r="D5" s="148" t="inlineStr">
        <is>
          <t>Rastgele renk</t>
        </is>
      </c>
      <c r="E5" s="148" t="inlineStr">
        <is>
          <t>Renk semantiği tutarlı</t>
        </is>
      </c>
      <c r="F5" s="161" t="inlineStr">
        <is>
          <t>ZORUNLU</t>
        </is>
      </c>
    </row>
    <row r="6" ht="28" customHeight="1">
      <c r="A6" s="160" t="inlineStr">
        <is>
          <t>Kolon düzeni</t>
        </is>
      </c>
      <c r="B6" s="148" t="inlineStr">
        <is>
          <t>Veri blokları bitişik kolonlarda ilerler</t>
        </is>
      </c>
      <c r="C6" s="148" t="inlineStr">
        <is>
          <t>Gereksiz boş kolon bırakma; yalnız gerçek bölüm ayrımı varsa kontrollü boşluk</t>
        </is>
      </c>
      <c r="D6" s="148" t="inlineStr">
        <is>
          <t>A:C veri, D boş, E:F veri gibi parçalı yapı</t>
        </is>
      </c>
      <c r="E6" s="148" t="inlineStr">
        <is>
          <t>Boş kolon taraması</t>
        </is>
      </c>
      <c r="F6" s="161" t="inlineStr">
        <is>
          <t>ZORUNLU</t>
        </is>
      </c>
    </row>
    <row r="7" ht="16" customHeight="1">
      <c r="A7" s="160" t="inlineStr">
        <is>
          <t>Girdi hücreleri</t>
        </is>
      </c>
      <c r="B7" s="148" t="inlineStr">
        <is>
          <t>Kullanıcının değiştireceği alan açıkça görünür</t>
        </is>
      </c>
      <c r="C7" s="148" t="inlineStr">
        <is>
          <t>Açık sarı dolgu + mavi yazı</t>
        </is>
      </c>
      <c r="D7" s="148" t="inlineStr">
        <is>
          <t>Formülle aynı görünüm</t>
        </is>
      </c>
      <c r="E7" s="148" t="inlineStr">
        <is>
          <t>Girdi/formül ayrımı</t>
        </is>
      </c>
      <c r="F7" s="161" t="inlineStr">
        <is>
          <t>ZORUNLU</t>
        </is>
      </c>
    </row>
    <row r="8" ht="16" customHeight="1">
      <c r="A8" s="160" t="inlineStr">
        <is>
          <t>Formüller</t>
        </is>
      </c>
      <c r="B8" s="148" t="inlineStr">
        <is>
          <t>Hesap hücreleri kullanıcı girdisinden ayrılır</t>
        </is>
      </c>
      <c r="C8" s="148" t="inlineStr">
        <is>
          <t>Siyah yazı; sayfalar arası bağlantı yeşil yazı</t>
        </is>
      </c>
      <c r="D8" s="148" t="inlineStr">
        <is>
          <t>Hard-code gizleme</t>
        </is>
      </c>
      <c r="E8" s="148" t="inlineStr">
        <is>
          <t>Formül sınıfı kontrolü</t>
        </is>
      </c>
      <c r="F8" s="161" t="inlineStr">
        <is>
          <t>ZORUNLU</t>
        </is>
      </c>
    </row>
    <row r="9" ht="16" customHeight="1">
      <c r="A9" s="160" t="inlineStr">
        <is>
          <t>Grafik sayısı</t>
        </is>
      </c>
      <c r="B9" s="148" t="inlineStr">
        <is>
          <t>Yönetici ekranında en fazla 3 ana karar grafiği</t>
        </is>
      </c>
      <c r="C9" s="148" t="inlineStr">
        <is>
          <t>Trend, karşılaştırma, köprü/dağılım; iş kararına bağlı</t>
        </is>
      </c>
      <c r="D9" s="148" t="inlineStr">
        <is>
          <t>Grafik kalabalığı</t>
        </is>
      </c>
      <c r="E9" s="148" t="inlineStr">
        <is>
          <t>Grafik başına karar sorusu</t>
        </is>
      </c>
      <c r="F9" s="161" t="inlineStr">
        <is>
          <t>ZORUNLU</t>
        </is>
      </c>
    </row>
    <row r="10" ht="16" customHeight="1">
      <c r="A10" s="160" t="inlineStr">
        <is>
          <t>Grafik stili</t>
        </is>
      </c>
      <c r="B10" s="148" t="inlineStr">
        <is>
          <t>Kurumsal ve yüksek okunabilirlik</t>
        </is>
      </c>
      <c r="C10" s="148" t="inlineStr">
        <is>
          <t>Beyaz zemin, ince gridline, tek vurgu rengi, açık birim/başlık</t>
        </is>
      </c>
      <c r="D10" s="148" t="inlineStr">
        <is>
          <t>3B, gölge, neon, gökkuşağı renkleri</t>
        </is>
      </c>
      <c r="E10" s="148" t="inlineStr">
        <is>
          <t>Görsel inceleme</t>
        </is>
      </c>
      <c r="F10" s="161" t="inlineStr">
        <is>
          <t>ZORUNLU</t>
        </is>
      </c>
    </row>
    <row r="11" ht="16" customHeight="1">
      <c r="A11" s="160" t="inlineStr">
        <is>
          <t>Grafik başlığı</t>
        </is>
      </c>
      <c r="B11" s="148" t="inlineStr">
        <is>
          <t>Grafik 'neyi' değil 'ne anlama geldiğini' söyler</t>
        </is>
      </c>
      <c r="C11" s="148" t="inlineStr">
        <is>
          <t>Örn: 'Nakit 2028'de kritik eşiğin altına iniyor'</t>
        </is>
      </c>
      <c r="D11" s="148" t="inlineStr">
        <is>
          <t>'Nakit Grafiği' gibi anlamsız başlık</t>
        </is>
      </c>
      <c r="E11" s="148" t="inlineStr">
        <is>
          <t>Başlık karar testi</t>
        </is>
      </c>
      <c r="F11" s="161" t="inlineStr">
        <is>
          <t>ZORUNLU</t>
        </is>
      </c>
    </row>
    <row r="12" ht="16" customHeight="1">
      <c r="A12" s="160" t="inlineStr">
        <is>
          <t>Birimler</t>
        </is>
      </c>
      <c r="B12" s="148" t="inlineStr">
        <is>
          <t>Tüm finansal görsellerde birim açık</t>
        </is>
      </c>
      <c r="C12" s="148" t="inlineStr">
        <is>
          <t>TL, bin TL, milyon TL, %, gün, x</t>
        </is>
      </c>
      <c r="D12" s="148" t="inlineStr">
        <is>
          <t>Birim belirsizliği</t>
        </is>
      </c>
      <c r="E12" s="148" t="inlineStr">
        <is>
          <t>Birim kapsama %100</t>
        </is>
      </c>
      <c r="F12" s="161" t="inlineStr">
        <is>
          <t>ZORUNLU</t>
        </is>
      </c>
    </row>
    <row r="13" ht="16" customHeight="1">
      <c r="A13" s="160" t="inlineStr">
        <is>
          <t>Sıfır/negatif</t>
        </is>
      </c>
      <c r="B13" s="148" t="inlineStr">
        <is>
          <t>Finansal format standardı</t>
        </is>
      </c>
      <c r="C13" s="148" t="inlineStr">
        <is>
          <t>Sıfır='-', negatif kırmızı parantez</t>
        </is>
      </c>
      <c r="D13" s="148" t="inlineStr">
        <is>
          <t>-500 veya 0,00 kalabalığı</t>
        </is>
      </c>
      <c r="E13" s="148" t="inlineStr">
        <is>
          <t>Format kontrolü</t>
        </is>
      </c>
      <c r="F13" s="161" t="inlineStr">
        <is>
          <t>ZORUNLU</t>
        </is>
      </c>
    </row>
    <row r="14" ht="16" customHeight="1">
      <c r="A14" s="160" t="inlineStr">
        <is>
          <t>Yazı tipi</t>
        </is>
      </c>
      <c r="B14" s="148" t="inlineStr">
        <is>
          <t>Tek aile</t>
        </is>
      </c>
      <c r="C14" s="148" t="inlineStr">
        <is>
          <t>Aptos veya Segoe UI</t>
        </is>
      </c>
      <c r="D14" s="148" t="inlineStr">
        <is>
          <t>Karışık font</t>
        </is>
      </c>
      <c r="E14" s="148" t="inlineStr">
        <is>
          <t>Tek font kontrolü</t>
        </is>
      </c>
      <c r="F14" s="161" t="inlineStr">
        <is>
          <t>ZORUNLU</t>
        </is>
      </c>
    </row>
    <row r="15" ht="16" customHeight="1">
      <c r="A15" s="160" t="inlineStr">
        <is>
          <t>Izgara</t>
        </is>
      </c>
      <c r="B15" s="148" t="inlineStr">
        <is>
          <t>Kullanıcı sayfalarında kapalı</t>
        </is>
      </c>
      <c r="C15" s="148" t="inlineStr">
        <is>
          <t>Bölüm çizgileri ve kart sınırlarıyla düzen</t>
        </is>
      </c>
      <c r="D15" s="148" t="inlineStr">
        <is>
          <t>Excel varsayılan gridline</t>
        </is>
      </c>
      <c r="E15" s="148" t="inlineStr">
        <is>
          <t>Gridline kontrolü</t>
        </is>
      </c>
      <c r="F15" s="161" t="inlineStr">
        <is>
          <t>ZORUNLU</t>
        </is>
      </c>
    </row>
    <row r="16" ht="16" customHeight="1">
      <c r="A16" s="160" t="inlineStr">
        <is>
          <t>Boş durum</t>
        </is>
      </c>
      <c r="B16" s="148" t="inlineStr">
        <is>
          <t>Veri yokken temiz ve anlaşılır</t>
        </is>
      </c>
      <c r="C16" s="148" t="inlineStr">
        <is>
          <t>'Henüz veri yok' / 'Girdi bekleniyor'</t>
        </is>
      </c>
      <c r="D16" s="148" t="inlineStr">
        <is>
          <t>0 yığını / hata kodu</t>
        </is>
      </c>
      <c r="E16" s="148" t="inlineStr">
        <is>
          <t>Boş veri testi</t>
        </is>
      </c>
      <c r="F16" s="161" t="inlineStr">
        <is>
          <t>ZORUNLU</t>
        </is>
      </c>
    </row>
    <row r="17" ht="28" customHeight="1">
      <c r="A17" s="160" t="inlineStr">
        <is>
          <t>Başlangıç deneyimi</t>
        </is>
      </c>
      <c r="B17" s="148" t="inlineStr">
        <is>
          <t>İlk 5 saniyede ne gireceği ve neye bakacağı anlaşılır</t>
        </is>
      </c>
      <c r="C17" s="148" t="inlineStr">
        <is>
          <t>Girdi → durum → aksiyon akışı</t>
        </is>
      </c>
      <c r="D17" s="148" t="inlineStr">
        <is>
          <t>Kılavuz aramaya zorlama</t>
        </is>
      </c>
      <c r="E17" s="148" t="inlineStr">
        <is>
          <t>5 saniye testi</t>
        </is>
      </c>
      <c r="F17" s="161" t="inlineStr">
        <is>
          <t>ZORUNLU</t>
        </is>
      </c>
    </row>
    <row r="18" ht="30" customHeight="1">
      <c r="A18" s="156" t="inlineStr">
        <is>
          <t>Buton standardı</t>
        </is>
      </c>
      <c r="B18" s="157" t="inlineStr">
        <is>
          <t>Buton görünümü verilen her alan gerçek işlev taşır</t>
        </is>
      </c>
      <c r="C18" s="157" t="inlineStr">
        <is>
          <t>Sayfa içi HYPERLINK / gerçek aksiyon; tıklanınca hedefe gider</t>
        </is>
      </c>
      <c r="D18" s="157" t="inlineStr">
        <is>
          <t>İşlevsiz dekoratif buton / sahte navigasyon</t>
        </is>
      </c>
      <c r="E18" s="157" t="inlineStr">
        <is>
          <t>Butonların %100'ü tıklanabilir ve hedefi doğru</t>
        </is>
      </c>
      <c r="F18" s="161" t="inlineStr">
        <is>
          <t>ZORUNLU</t>
        </is>
      </c>
    </row>
    <row r="19" ht="32" customHeight="1">
      <c r="A19" s="156" t="inlineStr">
        <is>
          <t>Native sayfa sekmesi rengi</t>
        </is>
      </c>
      <c r="B19" s="157" t="inlineStr">
        <is>
          <t>Excel alt sheet tabları kurumsal paletle renklendirilir</t>
        </is>
      </c>
      <c r="C19" s="157" t="inlineStr">
        <is>
          <t>Başlangıç/özet=lacivert; girdiler=mavi; hesap/finans=teal; karar/kontrol=burgundy; doküman=gri</t>
        </is>
      </c>
      <c r="D19" s="157" t="inlineStr">
        <is>
          <t>Renksiz sekmeler veya rastgele/gökkuşağı renkleri</t>
        </is>
      </c>
      <c r="E19" s="157" t="inlineStr">
        <is>
          <t>Tüm görünür kullanıcı sheet tabları renkli</t>
        </is>
      </c>
      <c r="F19" s="161" t="inlineStr">
        <is>
          <t>ZORUNLU</t>
        </is>
      </c>
    </row>
    <row r="20" ht="60" customHeight="1">
      <c r="A20" s="156" t="inlineStr">
        <is>
          <t>İş akışı sıralaması</t>
        </is>
      </c>
      <c r="B20" s="157" t="inlineStr">
        <is>
          <t>Sayfalar kullanıcının çalışma sırasına göre fiziksel olarak dizilir</t>
        </is>
      </c>
      <c r="C20" s="157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7" t="inlineStr">
        <is>
          <t>Teknik oluşturma sırasına göre dağınık sheet dizilimi</t>
        </is>
      </c>
      <c r="E20" s="157" t="inlineStr">
        <is>
          <t>Sheet order = tanımlı workflow</t>
        </is>
      </c>
      <c r="F20" s="161" t="inlineStr">
        <is>
          <t>ZORUNLU</t>
        </is>
      </c>
    </row>
    <row r="21" ht="30" customHeight="1">
      <c r="A21" s="156" t="inlineStr">
        <is>
          <t>Kurumsal renk paleti</t>
        </is>
      </c>
      <c r="B21" s="157" t="inlineStr">
        <is>
          <t>Sekme, başlık, buton ve vurgu renkleri tek kurumsal paletten gelir</t>
        </is>
      </c>
      <c r="C21" s="157" t="inlineStr">
        <is>
          <t>Lacivert + mavi + teal + kontrollü burgundy/gri; kategori semantiği sabit</t>
        </is>
      </c>
      <c r="D21" s="157" t="inlineStr">
        <is>
          <t>Neon, rastgele yüksek doygunluk, her sayfada farklı bağımsız renk</t>
        </is>
      </c>
      <c r="E21" s="157" t="inlineStr">
        <is>
          <t>Palette token kontrolü</t>
        </is>
      </c>
      <c r="F21" s="161" t="inlineStr">
        <is>
          <t>ZORUNLU</t>
        </is>
      </c>
    </row>
    <row r="22" ht="45" customHeight="1">
      <c r="A22" s="156" t="inlineStr">
        <is>
          <t>Premium vitrin</t>
        </is>
      </c>
      <c r="B22" s="157" t="inlineStr">
        <is>
          <t>Görsel kalite ürün değerinin zorunlu parçasıdır</t>
        </is>
      </c>
      <c r="C22" s="157" t="inlineStr">
        <is>
          <t>Kaliteli grafik, gerçek KPI kartı, finansal hiyerarşi, tab rengi, fonksiyonel navigasyon</t>
        </is>
      </c>
      <c r="D22" s="157" t="inlineStr">
        <is>
          <t>Sadece doğru hesap yapıp çıplak/varsayılan Excel görünümü bırakmak</t>
        </is>
      </c>
      <c r="E22" s="157" t="inlineStr">
        <is>
          <t>Görsel release incelemesi</t>
        </is>
      </c>
      <c r="F22" s="161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62" t="inlineStr">
        <is>
          <t>TÜRKİYE MUHASEBE VE TEKDÜZEN HESAP PLANI STANDARDI</t>
        </is>
      </c>
    </row>
    <row r="3" ht="24" customHeight="1">
      <c r="A3" s="163" t="inlineStr">
        <is>
          <t>Konu</t>
        </is>
      </c>
      <c r="B3" s="163" t="inlineStr">
        <is>
          <t>Zorunlu Standart</t>
        </is>
      </c>
      <c r="C3" s="163" t="inlineStr">
        <is>
          <t>Örnek Türkçe Ad</t>
        </is>
      </c>
      <c r="D3" s="163" t="inlineStr">
        <is>
          <t>THP / Mantık</t>
        </is>
      </c>
      <c r="E3" s="163" t="inlineStr">
        <is>
          <t>Hata Riski</t>
        </is>
      </c>
      <c r="F3" s="163" t="inlineStr">
        <is>
          <t>Kontrol</t>
        </is>
      </c>
    </row>
    <row r="4">
      <c r="A4" s="164" t="inlineStr">
        <is>
          <t>Dil</t>
        </is>
      </c>
      <c r="B4" s="148" t="inlineStr">
        <is>
          <t>Kullanıcıya görünen finansal terimler Türkçe</t>
        </is>
      </c>
      <c r="C4" s="148" t="inlineStr">
        <is>
          <t>Hasılat, Satışların Maliyeti, Brüt Kâr, Faaliyet Giderleri</t>
        </is>
      </c>
      <c r="D4" s="148" t="inlineStr">
        <is>
          <t>Türk işletme kullanımına uygun</t>
        </is>
      </c>
      <c r="E4" s="148" t="inlineStr">
        <is>
          <t>İngilizce jargon</t>
        </is>
      </c>
      <c r="F4" s="148" t="inlineStr">
        <is>
          <t>Terminoloji taraması</t>
        </is>
      </c>
    </row>
    <row r="5" ht="28" customHeight="1">
      <c r="A5" s="164" t="inlineStr">
        <is>
          <t>Gelir Tablosu</t>
        </is>
      </c>
      <c r="B5" s="148" t="inlineStr">
        <is>
          <t>Türk sunum sırası kullanılır</t>
        </is>
      </c>
      <c r="C5" s="148" t="inlineStr">
        <is>
          <t>Net Satışlar → Satışların Maliyeti → Brüt Kâr → Faaliyet Giderleri → Faaliyet Kârı</t>
        </is>
      </c>
      <c r="D5" s="148" t="inlineStr">
        <is>
          <t>600/610/611; 620-623; 63x</t>
        </is>
      </c>
      <c r="E5" s="148" t="inlineStr">
        <is>
          <t>Yanlış sınıflama</t>
        </is>
      </c>
      <c r="F5" s="148" t="inlineStr">
        <is>
          <t>Hesap eşleme</t>
        </is>
      </c>
    </row>
    <row r="6" ht="28" customHeight="1">
      <c r="A6" s="164" t="inlineStr">
        <is>
          <t>Bilanço</t>
        </is>
      </c>
      <c r="B6" s="148" t="inlineStr">
        <is>
          <t>Dönen/Duran Varlık ve Kısa/Uzun Vadeli Yükümlülük ayrımı</t>
        </is>
      </c>
      <c r="C6" s="148" t="inlineStr">
        <is>
          <t>Hazır Değerler, Ticari Alacaklar, Stoklar, Mali Borçlar</t>
        </is>
      </c>
      <c r="D6" s="148" t="inlineStr">
        <is>
          <t>1xx / 2xx / 3xx / 4xx / 5xx</t>
        </is>
      </c>
      <c r="E6" s="148" t="inlineStr">
        <is>
          <t>Vade sınıfı hatası</t>
        </is>
      </c>
      <c r="F6" s="148" t="inlineStr">
        <is>
          <t>Bilanço eşitliği</t>
        </is>
      </c>
    </row>
    <row r="7">
      <c r="A7" s="164" t="inlineStr">
        <is>
          <t>Nakit Akışı</t>
        </is>
      </c>
      <c r="B7" s="148" t="inlineStr">
        <is>
          <t>İşletme/Yatırım/Finansman nakit akışları ayrılır</t>
        </is>
      </c>
      <c r="C7" s="148" t="inlineStr">
        <is>
          <t>Faaliyetlerden Nakit, Yatırım Harcamaları, Finansman Nakit Akışı</t>
        </is>
      </c>
      <c r="D7" s="148" t="inlineStr">
        <is>
          <t>Dolaylı/doğrudan yöntem açık seçilir</t>
        </is>
      </c>
      <c r="E7" s="148" t="inlineStr">
        <is>
          <t>Kâr = nakit sanılması</t>
        </is>
      </c>
      <c r="F7" s="148" t="inlineStr">
        <is>
          <t>Nakit devri</t>
        </is>
      </c>
    </row>
    <row r="8">
      <c r="A8" s="164" t="inlineStr">
        <is>
          <t>Ticari Alacaklar</t>
        </is>
      </c>
      <c r="B8" s="148" t="inlineStr">
        <is>
          <t>Cari ve vade mantığı korunur</t>
        </is>
      </c>
      <c r="C8" s="148" t="inlineStr">
        <is>
          <t>120 Alıcılar</t>
        </is>
      </c>
      <c r="D8" s="148" t="inlineStr">
        <is>
          <t>120</t>
        </is>
      </c>
      <c r="E8" s="148" t="inlineStr">
        <is>
          <t>Tahakkuk/nakit karışması</t>
        </is>
      </c>
      <c r="F8" s="148" t="inlineStr">
        <is>
          <t>Alacak devir kontrolü</t>
        </is>
      </c>
    </row>
    <row r="9">
      <c r="A9" s="164" t="inlineStr">
        <is>
          <t>Ticari Borçlar</t>
        </is>
      </c>
      <c r="B9" s="148" t="inlineStr">
        <is>
          <t>Tedarikçi borcu ayrı izlenir</t>
        </is>
      </c>
      <c r="C9" s="148" t="inlineStr">
        <is>
          <t>320 Satıcılar</t>
        </is>
      </c>
      <c r="D9" s="148" t="inlineStr">
        <is>
          <t>320</t>
        </is>
      </c>
      <c r="E9" s="148" t="inlineStr">
        <is>
          <t>Gider/ödeme karışması</t>
        </is>
      </c>
      <c r="F9" s="148" t="inlineStr">
        <is>
          <t>Borç devir kontrolü</t>
        </is>
      </c>
    </row>
    <row r="10">
      <c r="A10" s="164" t="inlineStr">
        <is>
          <t>Kasa/Banka</t>
        </is>
      </c>
      <c r="B10" s="148" t="inlineStr">
        <is>
          <t>Hazır değerler ayrı izlenir</t>
        </is>
      </c>
      <c r="C10" s="148" t="inlineStr">
        <is>
          <t>100 Kasa, 102 Bankalar</t>
        </is>
      </c>
      <c r="D10" s="148" t="inlineStr">
        <is>
          <t>100 / 102</t>
        </is>
      </c>
      <c r="E10" s="148" t="inlineStr">
        <is>
          <t>Virmanla toplam nakdin değişmesi</t>
        </is>
      </c>
      <c r="F10" s="148" t="inlineStr">
        <is>
          <t>Virman değişmezi</t>
        </is>
      </c>
    </row>
    <row r="11">
      <c r="A11" s="164" t="inlineStr">
        <is>
          <t>Stok</t>
        </is>
      </c>
      <c r="B11" s="148" t="inlineStr">
        <is>
          <t>Dikeye uygun stok türü</t>
        </is>
      </c>
      <c r="C11" s="148" t="inlineStr">
        <is>
          <t>150 İlk Madde ve Malzeme, 153 Ticari Mallar</t>
        </is>
      </c>
      <c r="D11" s="148" t="inlineStr">
        <is>
          <t>15x</t>
        </is>
      </c>
      <c r="E11" s="148" t="inlineStr">
        <is>
          <t>Maliyet ve stok hareketinin kopması</t>
        </is>
      </c>
      <c r="F11" s="148" t="inlineStr">
        <is>
          <t>Stok devri</t>
        </is>
      </c>
    </row>
    <row r="12" ht="28" customHeight="1">
      <c r="A12" s="164" t="inlineStr">
        <is>
          <t>Maddi Duran Varlık</t>
        </is>
      </c>
      <c r="B12" s="148" t="inlineStr">
        <is>
          <t>Yatırım harcaması ve amortisman bağlantılı</t>
        </is>
      </c>
      <c r="C12" s="148" t="inlineStr">
        <is>
          <t>253 Tesis Makine Cihazlar, 255 Demirbaşlar, 257 Birikmiş Amortismanlar</t>
        </is>
      </c>
      <c r="D12" s="148" t="inlineStr">
        <is>
          <t>25x</t>
        </is>
      </c>
      <c r="E12" s="148" t="inlineStr">
        <is>
          <t>Yatırım/gider karışması</t>
        </is>
      </c>
      <c r="F12" s="148" t="inlineStr">
        <is>
          <t>Net defter değeri devri</t>
        </is>
      </c>
    </row>
    <row r="13">
      <c r="A13" s="164" t="inlineStr">
        <is>
          <t>Mali Borçlar</t>
        </is>
      </c>
      <c r="B13" s="148" t="inlineStr">
        <is>
          <t>Kısa/uzun vadeli borç ayrımı</t>
        </is>
      </c>
      <c r="C13" s="148" t="inlineStr">
        <is>
          <t>300 Banka Kredileri / 400 Banka Kredileri</t>
        </is>
      </c>
      <c r="D13" s="148" t="inlineStr">
        <is>
          <t>300 / 400</t>
        </is>
      </c>
      <c r="E13" s="148" t="inlineStr">
        <is>
          <t>Vade sınıfı yanlış</t>
        </is>
      </c>
      <c r="F13" s="148" t="inlineStr">
        <is>
          <t>Borç devri</t>
        </is>
      </c>
    </row>
    <row r="14">
      <c r="A14" s="164" t="inlineStr">
        <is>
          <t>Özkaynak</t>
        </is>
      </c>
      <c r="B14" s="148" t="inlineStr">
        <is>
          <t>Sermaye ve geçmiş yıl kârları ayrı</t>
        </is>
      </c>
      <c r="C14" s="148" t="inlineStr">
        <is>
          <t>500 Sermaye, 570 Geçmiş Yıllar Kârları, 590 Dönem Net Kârı</t>
        </is>
      </c>
      <c r="D14" s="148" t="inlineStr">
        <is>
          <t>5xx</t>
        </is>
      </c>
      <c r="E14" s="148" t="inlineStr">
        <is>
          <t>Net kâr bağının kopması</t>
        </is>
      </c>
      <c r="F14" s="148" t="inlineStr">
        <is>
          <t>Özkaynak devri</t>
        </is>
      </c>
    </row>
    <row r="15">
      <c r="A15" s="164" t="inlineStr">
        <is>
          <t>Vergi</t>
        </is>
      </c>
      <c r="B15" s="148" t="inlineStr">
        <is>
          <t>Vergi satırları Türkiye mantığına uygun</t>
        </is>
      </c>
      <c r="C15" s="148" t="inlineStr">
        <is>
          <t>Dönem Vergi ve Diğer Yasal Yükümlülük Karşılıkları</t>
        </is>
      </c>
      <c r="D15" s="148" t="inlineStr">
        <is>
          <t>37x / ilgili vergi hesapları</t>
        </is>
      </c>
      <c r="E15" s="148" t="inlineStr">
        <is>
          <t>Vergi etkisinin yanlış dönemlenmesi</t>
        </is>
      </c>
      <c r="F15" s="148" t="inlineStr">
        <is>
          <t>Vergi sözleşmesi</t>
        </is>
      </c>
    </row>
    <row r="16">
      <c r="A16" s="164" t="inlineStr">
        <is>
          <t>İsim standardı</t>
        </is>
      </c>
      <c r="B16" s="148" t="inlineStr">
        <is>
          <t>Tablo ve sayfa adları Türkçe ve işlevsel</t>
        </is>
      </c>
      <c r="C16" s="148" t="inlineStr">
        <is>
          <t>GELİR_TABLOSU, BİLANÇO, NAKİT_AKISI, BORC_PLANI</t>
        </is>
      </c>
      <c r="D16" s="148" t="inlineStr">
        <is>
          <t>Tekrarlanabilir standart</t>
        </is>
      </c>
      <c r="E16" s="148" t="inlineStr">
        <is>
          <t>İngilizce/karma isim</t>
        </is>
      </c>
      <c r="F16" s="148" t="inlineStr">
        <is>
          <t>Sayfa ve tablo taraması</t>
        </is>
      </c>
    </row>
    <row r="17">
      <c r="A17" s="164" t="inlineStr">
        <is>
          <t>THP eşleme tablosu</t>
        </is>
      </c>
      <c r="B17" s="148" t="inlineStr">
        <is>
          <t>Her kritik satır en az bir THP hesabına bağlanır</t>
        </is>
      </c>
      <c r="C17" s="148" t="inlineStr">
        <is>
          <t>RaporSatırı → HesapKodu → HesapAdı → İşaret → Dönem</t>
        </is>
      </c>
      <c r="D17" s="148" t="inlineStr">
        <is>
          <t>Kaynak izlenebilirliği</t>
        </is>
      </c>
      <c r="E17" s="148" t="inlineStr">
        <is>
          <t>Rapordan rapora kaynak</t>
        </is>
      </c>
      <c r="F17" s="148" t="inlineStr">
        <is>
          <t>Eşleme kapsama %100</t>
        </is>
      </c>
    </row>
    <row r="18">
      <c r="A18" s="164" t="inlineStr">
        <is>
          <t>İstisna</t>
        </is>
      </c>
      <c r="B18" s="148" t="inlineStr">
        <is>
          <t>TFRS özel ürün varsa fark açık yazılır</t>
        </is>
      </c>
      <c r="C18" s="148" t="inlineStr">
        <is>
          <t>Tekdüzen raporlama ≠ TFRS finansal tablo sunumu</t>
        </is>
      </c>
      <c r="D18" s="148" t="inlineStr">
        <is>
          <t>Amaç belirtilir</t>
        </is>
      </c>
      <c r="E18" s="148" t="inlineStr">
        <is>
          <t>Standartları karıştırma</t>
        </is>
      </c>
      <c r="F18" s="148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65" t="inlineStr">
        <is>
          <t>KARAR, GÜVEN VE SATIŞA HAZIRLIK STANDARDI</t>
        </is>
      </c>
    </row>
    <row r="3" ht="24" customHeight="1">
      <c r="A3" s="166" t="inlineStr">
        <is>
          <t>Alan</t>
        </is>
      </c>
      <c r="B3" s="166" t="inlineStr">
        <is>
          <t>Müşteri Sorusu</t>
        </is>
      </c>
      <c r="C3" s="166" t="inlineStr">
        <is>
          <t>Zorunlu Ürün Davranışı</t>
        </is>
      </c>
      <c r="D3" s="166" t="inlineStr">
        <is>
          <t>Kanıt</t>
        </is>
      </c>
      <c r="E3" s="166" t="inlineStr">
        <is>
          <t>Başarısızlık Durumu</t>
        </is>
      </c>
      <c r="F3" s="166" t="inlineStr">
        <is>
          <t>Kapı</t>
        </is>
      </c>
    </row>
    <row r="4">
      <c r="A4" s="167" t="inlineStr">
        <is>
          <t>5 saniye</t>
        </is>
      </c>
      <c r="B4" s="148" t="inlineStr">
        <is>
          <t>Bu ürün neyi çözüyor?</t>
        </is>
      </c>
      <c r="C4" s="148" t="inlineStr">
        <is>
          <t>İlk ekranda hedef kullanıcı + pahalı problem + sonuç görünür</t>
        </is>
      </c>
      <c r="D4" s="148" t="inlineStr">
        <is>
          <t>Başlık + alt mesaj + gerçek ekran</t>
        </is>
      </c>
      <c r="E4" s="148" t="inlineStr">
        <is>
          <t>Ürün yalnız teknik isim</t>
        </is>
      </c>
      <c r="F4" s="168" t="inlineStr">
        <is>
          <t>HATA</t>
        </is>
      </c>
    </row>
    <row r="5">
      <c r="A5" s="167" t="inlineStr">
        <is>
          <t>Acı</t>
        </is>
      </c>
      <c r="B5" s="148" t="inlineStr">
        <is>
          <t>Sorun bana neye mal oluyor?</t>
        </is>
      </c>
      <c r="C5" s="148" t="inlineStr">
        <is>
          <t>Mümkünse müşterinin kendi verisiyle parasal/zaman etkisi hesaplanır</t>
        </is>
      </c>
      <c r="D5" s="148" t="inlineStr">
        <is>
          <t>ROI/acı hesaplama yöntemi</t>
        </is>
      </c>
      <c r="E5" s="148" t="inlineStr">
        <is>
          <t>Uydurma tasarruf</t>
        </is>
      </c>
      <c r="F5" s="168" t="inlineStr">
        <is>
          <t>HATA</t>
        </is>
      </c>
    </row>
    <row r="6">
      <c r="A6" s="167" t="inlineStr">
        <is>
          <t>Karar</t>
        </is>
      </c>
      <c r="B6" s="148" t="inlineStr">
        <is>
          <t>Bu bilgiyle ne yapacağım?</t>
        </is>
      </c>
      <c r="C6" s="148" t="inlineStr">
        <is>
          <t>Her kritik KPI aksiyona bağlanır</t>
        </is>
      </c>
      <c r="D6" s="148" t="inlineStr">
        <is>
          <t>KARAR_KUYRUGU</t>
        </is>
      </c>
      <c r="E6" s="148" t="inlineStr">
        <is>
          <t>Sadece rapor</t>
        </is>
      </c>
      <c r="F6" s="168" t="inlineStr">
        <is>
          <t>HATA</t>
        </is>
      </c>
    </row>
    <row r="7">
      <c r="A7" s="167" t="inlineStr">
        <is>
          <t>Güven</t>
        </is>
      </c>
      <c r="B7" s="148" t="inlineStr">
        <is>
          <t>Bu sayıya neden inanayım?</t>
        </is>
      </c>
      <c r="C7" s="148" t="inlineStr">
        <is>
          <t>Kaynak, formül mantığı, kontrol ve son doğrulama görünür</t>
        </is>
      </c>
      <c r="D7" s="148" t="inlineStr">
        <is>
          <t>Kontroller + kaynak izi + sürüm</t>
        </is>
      </c>
      <c r="E7" s="148" t="inlineStr">
        <is>
          <t>Prestij kelimesi</t>
        </is>
      </c>
      <c r="F7" s="168" t="inlineStr">
        <is>
          <t>HATA</t>
        </is>
      </c>
    </row>
    <row r="8">
      <c r="A8" s="167" t="inlineStr">
        <is>
          <t>Referans</t>
        </is>
      </c>
      <c r="B8" s="148" t="inlineStr">
        <is>
          <t>Müşteri yorumu yoksa ne göstereceğim?</t>
        </is>
      </c>
      <c r="C8" s="148" t="inlineStr">
        <is>
          <t>Önce/Sonra + Karar Vakası + Hata Önleme Vakası üretilir</t>
        </is>
      </c>
      <c r="D8" s="148" t="inlineStr">
        <is>
          <t>Demo/örnek çıktı</t>
        </is>
      </c>
      <c r="E8" s="148" t="inlineStr">
        <is>
          <t>Kanıtsız iddia</t>
        </is>
      </c>
      <c r="F8" s="168" t="inlineStr">
        <is>
          <t>HATA</t>
        </is>
      </c>
    </row>
    <row r="9">
      <c r="A9" s="167" t="inlineStr">
        <is>
          <t>Senaryo</t>
        </is>
      </c>
      <c r="B9" s="148" t="inlineStr">
        <is>
          <t>Ne olursa işler bozulur?</t>
        </is>
      </c>
      <c r="C9" s="148" t="inlineStr">
        <is>
          <t>Baz/Aşağı/Yukarı veya uygun stres senaryosu</t>
        </is>
      </c>
      <c r="D9" s="148" t="inlineStr">
        <is>
          <t>Senaryo karşılaştırma</t>
        </is>
      </c>
      <c r="E9" s="148" t="inlineStr">
        <is>
          <t>Dekoratif senaryo</t>
        </is>
      </c>
      <c r="F9" s="168" t="inlineStr">
        <is>
          <t>HATA</t>
        </is>
      </c>
    </row>
    <row r="10">
      <c r="A10" s="167" t="inlineStr">
        <is>
          <t>Ters stres</t>
        </is>
      </c>
      <c r="B10" s="148" t="inlineStr">
        <is>
          <t>Hangi eşikte karar kırılır?</t>
        </is>
      </c>
      <c r="C10" s="148" t="inlineStr">
        <is>
          <t>En az bir kritik sürücü için kırılma eşiği</t>
        </is>
      </c>
      <c r="D10" s="148" t="inlineStr">
        <is>
          <t>Kırılma eşiği tablosu</t>
        </is>
      </c>
      <c r="E10" s="148" t="inlineStr">
        <is>
          <t>Sadece +/- %10</t>
        </is>
      </c>
      <c r="F10" s="168" t="inlineStr">
        <is>
          <t>UYARI/HATA</t>
        </is>
      </c>
    </row>
    <row r="11">
      <c r="A11" s="167" t="inlineStr">
        <is>
          <t>Hata tutarlılığı</t>
        </is>
      </c>
      <c r="B11" s="148" t="inlineStr">
        <is>
          <t>Formül hata verirse ne olur?</t>
        </is>
      </c>
      <c r="C11" s="148" t="inlineStr">
        <is>
          <t>Kontrol GEÇTİ veremez; BLOKE/HATA üretir</t>
        </is>
      </c>
      <c r="D11" s="148" t="inlineStr">
        <is>
          <t>Hata taraması</t>
        </is>
      </c>
      <c r="E11" s="148" t="inlineStr">
        <is>
          <t>Hata + GEÇTİ birlikte</t>
        </is>
      </c>
      <c r="F11" s="168" t="inlineStr">
        <is>
          <t>HATA</t>
        </is>
      </c>
    </row>
    <row r="12">
      <c r="A12" s="167" t="inlineStr">
        <is>
          <t>Karar motoru</t>
        </is>
      </c>
      <c r="B12" s="148" t="inlineStr">
        <is>
          <t>Ne oldu, neden oldu?</t>
        </is>
      </c>
      <c r="C12" s="148" t="inlineStr">
        <is>
          <t>Sorun + neden + parasal etki + aksiyon + son tarih</t>
        </is>
      </c>
      <c r="D12" s="148" t="inlineStr">
        <is>
          <t>Karar tablosu</t>
        </is>
      </c>
      <c r="E12" s="148" t="inlineStr">
        <is>
          <t>Boş sayfa / isim düzeyi modül</t>
        </is>
      </c>
      <c r="F12" s="168" t="inlineStr">
        <is>
          <t>HATA</t>
        </is>
      </c>
    </row>
    <row r="13">
      <c r="A13" s="167" t="inlineStr">
        <is>
          <t>Yönetici özeti</t>
        </is>
      </c>
      <c r="B13" s="148" t="inlineStr">
        <is>
          <t>5 saniyede ne görmeliyim?</t>
        </is>
      </c>
      <c r="C13" s="148" t="inlineStr">
        <is>
          <t>Bugün / ne değişti / ne bozulacak / neden / ne yapmalıyım / güven</t>
        </is>
      </c>
      <c r="D13" s="148" t="inlineStr">
        <is>
          <t>Yönetici özeti ekranı</t>
        </is>
      </c>
      <c r="E13" s="148" t="inlineStr">
        <is>
          <t>KPI kutusu yığını</t>
        </is>
      </c>
      <c r="F13" s="168" t="inlineStr">
        <is>
          <t>HATA</t>
        </is>
      </c>
    </row>
    <row r="14">
      <c r="A14" s="167" t="inlineStr">
        <is>
          <t>Teklif</t>
        </is>
      </c>
      <c r="B14" s="148" t="inlineStr">
        <is>
          <t>Neden satın almalıyım?</t>
        </is>
      </c>
      <c r="C14" s="148" t="inlineStr">
        <is>
          <t>Dosya özellikleri yerine sonuç ve kaçınılan maliyet sunulur</t>
        </is>
      </c>
      <c r="D14" s="148" t="inlineStr">
        <is>
          <t>Ürün sayfası kanıt eşlemesi</t>
        </is>
      </c>
      <c r="E14" s="148" t="inlineStr">
        <is>
          <t>Özellik listesiyle satış</t>
        </is>
      </c>
      <c r="F14" s="168" t="inlineStr">
        <is>
          <t>HATA</t>
        </is>
      </c>
    </row>
    <row r="15">
      <c r="A15" s="167" t="inlineStr">
        <is>
          <t>Dağıtım</t>
        </is>
      </c>
      <c r="B15" s="148" t="inlineStr">
        <is>
          <t>Beni nasıl bulacaklar?</t>
        </is>
      </c>
      <c r="C15" s="148" t="inlineStr">
        <is>
          <t>Sorun niyetine göre SEO sayfaları, iç bağlantı, temiz yapı, taranabilir metin</t>
        </is>
      </c>
      <c r="D15" s="148" t="inlineStr">
        <is>
          <t>Arama niyeti haritası</t>
        </is>
      </c>
      <c r="E15" s="148" t="inlineStr">
        <is>
          <t>Tek ürün sayfasına bağımlılık</t>
        </is>
      </c>
      <c r="F15" s="168" t="inlineStr">
        <is>
          <t>UYARI</t>
        </is>
      </c>
    </row>
    <row r="16" ht="28" customHeight="1">
      <c r="A16" s="167" t="inlineStr">
        <is>
          <t>LLM görünürlüğü</t>
        </is>
      </c>
      <c r="B16" s="148" t="inlineStr">
        <is>
          <t>AI ürünümü anlayabiliyor mu?</t>
        </is>
      </c>
      <c r="C16" s="148" t="inlineStr">
        <is>
          <t>Ürün tanımı, hedef kullanıcı, girdi/çıktı, metodoloji, sınırlar, SSS açık metindir</t>
        </is>
      </c>
      <c r="D16" s="148" t="inlineStr">
        <is>
          <t>Taranabilir ürün içeriği</t>
        </is>
      </c>
      <c r="E16" s="148" t="inlineStr">
        <is>
          <t>'AI SEO' iddiası</t>
        </is>
      </c>
      <c r="F16" s="168" t="inlineStr">
        <is>
          <t>UYARI</t>
        </is>
      </c>
    </row>
    <row r="17">
      <c r="A17" s="167" t="inlineStr">
        <is>
          <t>Satış kanalı</t>
        </is>
      </c>
      <c r="B17" s="148" t="inlineStr">
        <is>
          <t>Nerede satılmalı?</t>
        </is>
      </c>
      <c r="C17" s="148" t="inlineStr">
        <is>
          <t>Arama, LinkedIn, uzman/partner, demo/video; ürüne göre kanal seçilir</t>
        </is>
      </c>
      <c r="D17" s="148" t="inlineStr">
        <is>
          <t>Kanal matrisi</t>
        </is>
      </c>
      <c r="E17" s="148" t="inlineStr">
        <is>
          <t>Her ürüne aynı kanal</t>
        </is>
      </c>
      <c r="F17" s="168" t="inlineStr">
        <is>
          <t>UYARI</t>
        </is>
      </c>
    </row>
    <row r="18">
      <c r="A18" s="167" t="inlineStr">
        <is>
          <t>Fiyat</t>
        </is>
      </c>
      <c r="B18" s="148" t="inlineStr">
        <is>
          <t>Bu fiyat neden mantıklı?</t>
        </is>
      </c>
      <c r="C18" s="148" t="inlineStr">
        <is>
          <t>Fiyat, ekonomik karar değerine ve kanıtlanmış ürün derinliğine bağlanır</t>
        </is>
      </c>
      <c r="D18" s="148" t="inlineStr">
        <is>
          <t>Değer haritası + demo</t>
        </is>
      </c>
      <c r="E18" s="148" t="inlineStr">
        <is>
          <t>Sırf sayfa/formül sayısı</t>
        </is>
      </c>
      <c r="F18" s="168" t="inlineStr">
        <is>
          <t>HATA</t>
        </is>
      </c>
    </row>
    <row r="19">
      <c r="A19" s="167" t="inlineStr">
        <is>
          <t>Pazar kanıtı</t>
        </is>
      </c>
      <c r="B19" s="148" t="inlineStr">
        <is>
          <t>Piyasa gerçekten ödüyor mu?</t>
        </is>
      </c>
      <c r="C19" s="148" t="inlineStr">
        <is>
          <t>Satış/pilot/LOI/fiyat kabulü olmadan pazar doğrulandı yazılmaz</t>
        </is>
      </c>
      <c r="D19" s="148" t="inlineStr">
        <is>
          <t>Gerçek işlem kanıtı</t>
        </is>
      </c>
      <c r="E19" s="148" t="inlineStr">
        <is>
          <t>Tahmini talep = satış kabulü</t>
        </is>
      </c>
      <c r="F19" s="168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3D4C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Kira ve Avans Takip + Dekont</t>
        </is>
      </c>
    </row>
    <row r="3" ht="30" customHeight="1">
      <c r="A3" s="3" t="inlineStr">
        <is>
          <t>Kira ve Avans Takip + Dekont</t>
        </is>
      </c>
    </row>
    <row r="4">
      <c r="A4" s="4" t="inlineStr">
        <is>
          <t>Kira tahsilatını avans mahsup motoru ve yazdırılabilir dekont ile yönetir; durum makinesi, yaşlandırma ve boş veride VERİ YOK kararı üretir.</t>
        </is>
      </c>
    </row>
    <row r="6">
      <c r="A6" s="5" t="inlineStr">
        <is>
          <t>Bu ürün ne sağlar?</t>
        </is>
      </c>
    </row>
    <row r="7">
      <c r="A7" s="6" t="inlineStr">
        <is>
          <t>• Makrosuz durum makinesi: Bekliyor → Tahsil → Mahsup → Kapalı / İptal</t>
        </is>
      </c>
    </row>
    <row r="8">
      <c r="A8" s="6" t="inlineStr">
        <is>
          <t>• Avans mahsup motoru — kalan bakiye ve aşım bayrağı</t>
        </is>
      </c>
    </row>
    <row r="9">
      <c r="A9" s="6" t="inlineStr">
        <is>
          <t>• Yazdırılabilir tahsilat dekontu (PDF baskı alanı)</t>
        </is>
      </c>
    </row>
    <row r="10">
      <c r="A10" s="6" t="inlineStr">
        <is>
          <t>• Kuyruk + yaşlandırma kovaları (0-7 / 8-30 / 31-60 / 60+)</t>
        </is>
      </c>
    </row>
    <row r="11">
      <c r="A11" s="6" t="inlineStr">
        <is>
          <t>• Karar kapısı: VERİ YOK / UYGUN / DİKKAT / KRİTİK</t>
        </is>
      </c>
    </row>
    <row r="13">
      <c r="A13" s="5" t="inlineStr">
        <is>
          <t>Kimler için?</t>
        </is>
      </c>
    </row>
    <row r="14">
      <c r="A14" s="7" t="inlineStr">
        <is>
          <t>• Ev sahibi — kira ve avans tahsilatını işler</t>
        </is>
      </c>
    </row>
    <row r="15">
      <c r="A15" s="7" t="inlineStr">
        <is>
          <t>• Malik — bakiye ve mahsup kararını görür</t>
        </is>
      </c>
    </row>
    <row r="16">
      <c r="A16" s="7" t="inlineStr">
        <is>
          <t>• Kiracı / SMMM — yazdırılabilir dekontu alır</t>
        </is>
      </c>
    </row>
    <row r="18">
      <c r="A18" s="5" t="inlineStr">
        <is>
          <t>Nasıl başlanır?</t>
        </is>
      </c>
    </row>
    <row r="19">
      <c r="A19" s="8" t="inlineStr">
        <is>
          <t>1) KARTLAR'a kiracı kartı girin. 2) AVANS'a depozito/avans yazın. 3) AKIS'e kira olayını işleyin. 4) DEKONT'tan baskı alın, PANO'dan kararı görün.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F3D4C"/>
    <outlinePr summaryBelow="1" summaryRight="1"/>
    <pageSetUpPr/>
  </sheetPr>
  <dimension ref="A1:P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KARTLAR — Kira ve Avans Takip + Dekont</t>
        </is>
      </c>
    </row>
    <row r="3" ht="20" customHeight="1">
      <c r="A3" s="22" t="inlineStr">
        <is>
          <t>Kiracı / taşınmaz kartları — her kaydın tek kimliği vardır</t>
        </is>
      </c>
    </row>
    <row r="4">
      <c r="A4" s="11" t="inlineStr">
        <is>
          <t>Sonraki Kimlik</t>
        </is>
      </c>
      <c r="B4" s="24">
        <f>kad_sonrakiKimlik</f>
        <v/>
      </c>
    </row>
    <row r="5" ht="30" customHeight="1">
      <c r="A5" s="25" t="inlineStr">
        <is>
          <t>KartId</t>
        </is>
      </c>
      <c r="B5" s="25" t="inlineStr">
        <is>
          <t>Unvan</t>
        </is>
      </c>
      <c r="C5" s="25" t="inlineStr">
        <is>
          <t>Tasinmaz</t>
        </is>
      </c>
      <c r="D5" s="25" t="inlineStr">
        <is>
          <t>Sehir</t>
        </is>
      </c>
      <c r="E5" s="25" t="inlineStr">
        <is>
          <t>SozlesmeNo</t>
        </is>
      </c>
      <c r="F5" s="25" t="inlineStr">
        <is>
          <t>AylikKira</t>
        </is>
      </c>
      <c r="G5" s="25" t="inlineStr">
        <is>
          <t>RiskNotu</t>
        </is>
      </c>
      <c r="H5" s="25" t="inlineStr">
        <is>
          <t>Aktif</t>
        </is>
      </c>
      <c r="I5" s="25" t="inlineStr">
        <is>
          <t>AvansBakiye</t>
        </is>
      </c>
      <c r="J5" s="25" t="inlineStr">
        <is>
          <t>ToplamKira</t>
        </is>
      </c>
      <c r="K5" s="25" t="inlineStr">
        <is>
          <t>OrtGecikme</t>
        </is>
      </c>
    </row>
    <row r="6">
      <c r="A6" s="26" t="inlineStr">
        <is>
          <t>KIR-00001</t>
        </is>
      </c>
      <c r="B6" s="26" t="inlineStr">
        <is>
          <t>Ayşe Demir</t>
        </is>
      </c>
      <c r="C6" s="26" t="inlineStr">
        <is>
          <t>Kadıköy Daire 3</t>
        </is>
      </c>
      <c r="D6" s="26" t="inlineStr">
        <is>
          <t>İstanbul</t>
        </is>
      </c>
      <c r="E6" s="26" t="inlineStr">
        <is>
          <t>SZL-2026-001</t>
        </is>
      </c>
      <c r="F6" s="27" t="n">
        <v>18000</v>
      </c>
      <c r="G6" s="26" t="inlineStr">
        <is>
          <t>Normal</t>
        </is>
      </c>
      <c r="H6" s="26" t="inlineStr">
        <is>
          <t>EVET</t>
        </is>
      </c>
      <c r="I6" s="28">
        <f>IF($A6="","",SUMIF(tblAvans[KaynakKartId],$A6,tblAvans[KalanBakiye]))</f>
        <v/>
      </c>
      <c r="J6" s="28">
        <f>IF($A6="","",SUMIF(tblAkis[KaynakKartId],$A6,tblAkis[Tutar]))</f>
        <v/>
      </c>
      <c r="K6" s="28">
        <f>IF($A6="","",IFERROR(AVERAGEIF(tblAkis[KaynakKartId],$A6,tblAkis[YasGun]),0))</f>
        <v/>
      </c>
    </row>
    <row r="7">
      <c r="A7" s="26" t="inlineStr">
        <is>
          <t>KIR-00002</t>
        </is>
      </c>
      <c r="B7" s="26" t="inlineStr">
        <is>
          <t>Mehmet Kaya</t>
        </is>
      </c>
      <c r="C7" s="26" t="inlineStr">
        <is>
          <t>Çankaya Ofis 12</t>
        </is>
      </c>
      <c r="D7" s="26" t="inlineStr">
        <is>
          <t>Ankara</t>
        </is>
      </c>
      <c r="E7" s="26" t="inlineStr">
        <is>
          <t>SZL-2026-002</t>
        </is>
      </c>
      <c r="F7" s="27" t="n">
        <v>22000</v>
      </c>
      <c r="G7" s="26" t="inlineStr">
        <is>
          <t>Normal</t>
        </is>
      </c>
      <c r="H7" s="26" t="inlineStr">
        <is>
          <t>EVET</t>
        </is>
      </c>
      <c r="I7" s="28">
        <f>IF($A7="","",SUMIF(tblAvans[KaynakKartId],$A7,tblAvans[KalanBakiye]))</f>
        <v/>
      </c>
      <c r="J7" s="28">
        <f>IF($A7="","",SUMIF(tblAkis[KaynakKartId],$A7,tblAkis[Tutar]))</f>
        <v/>
      </c>
      <c r="K7" s="28">
        <f>IF($A7="","",IFERROR(AVERAGEIF(tblAkis[KaynakKartId],$A7,tblAkis[YasGun]),0))</f>
        <v/>
      </c>
    </row>
    <row r="8">
      <c r="A8" s="26" t="inlineStr">
        <is>
          <t>KIR-00003</t>
        </is>
      </c>
      <c r="B8" s="26" t="inlineStr">
        <is>
          <t>Elif Yıldız</t>
        </is>
      </c>
      <c r="C8" s="26" t="inlineStr">
        <is>
          <t>Bornova Dükkan</t>
        </is>
      </c>
      <c r="D8" s="26" t="inlineStr">
        <is>
          <t>İzmir</t>
        </is>
      </c>
      <c r="E8" s="26" t="inlineStr">
        <is>
          <t>SZL-2026-003</t>
        </is>
      </c>
      <c r="F8" s="27" t="n">
        <v>16000</v>
      </c>
      <c r="G8" s="26" t="inlineStr">
        <is>
          <t>Normal</t>
        </is>
      </c>
      <c r="H8" s="26" t="inlineStr">
        <is>
          <t>EVET</t>
        </is>
      </c>
      <c r="I8" s="28">
        <f>IF($A8="","",SUMIF(tblAvans[KaynakKartId],$A8,tblAvans[KalanBakiye]))</f>
        <v/>
      </c>
      <c r="J8" s="28">
        <f>IF($A8="","",SUMIF(tblAkis[KaynakKartId],$A8,tblAkis[Tutar]))</f>
        <v/>
      </c>
      <c r="K8" s="28">
        <f>IF($A8="","",IFERROR(AVERAGEIF(tblAkis[KaynakKartId],$A8,tblAkis[YasGun]),0))</f>
        <v/>
      </c>
    </row>
    <row r="9">
      <c r="A9" s="26" t="inlineStr">
        <is>
          <t>KIR-00004</t>
        </is>
      </c>
      <c r="B9" s="26" t="inlineStr">
        <is>
          <t>Can Özkan</t>
        </is>
      </c>
      <c r="C9" s="26" t="inlineStr">
        <is>
          <t>Nilüfer Konut</t>
        </is>
      </c>
      <c r="D9" s="26" t="inlineStr">
        <is>
          <t>Bursa</t>
        </is>
      </c>
      <c r="E9" s="26" t="inlineStr">
        <is>
          <t>SZL-2026-004</t>
        </is>
      </c>
      <c r="F9" s="27" t="n">
        <v>14000</v>
      </c>
      <c r="G9" s="26" t="inlineStr">
        <is>
          <t>Normal</t>
        </is>
      </c>
      <c r="H9" s="26" t="inlineStr">
        <is>
          <t>EVET</t>
        </is>
      </c>
      <c r="I9" s="28">
        <f>IF($A9="","",SUMIF(tblAvans[KaynakKartId],$A9,tblAvans[KalanBakiye]))</f>
        <v/>
      </c>
      <c r="J9" s="28">
        <f>IF($A9="","",SUMIF(tblAkis[KaynakKartId],$A9,tblAkis[Tutar]))</f>
        <v/>
      </c>
      <c r="K9" s="28">
        <f>IF($A9="","",IFERROR(AVERAGEIF(tblAkis[KaynakKartId],$A9,tblAkis[YasGun]),0))</f>
        <v/>
      </c>
    </row>
    <row r="10">
      <c r="A10" s="26" t="inlineStr">
        <is>
          <t>KIR-00005</t>
        </is>
      </c>
      <c r="B10" s="26" t="inlineStr">
        <is>
          <t>Zeynep Arslan</t>
        </is>
      </c>
      <c r="C10" s="26" t="inlineStr">
        <is>
          <t>Muratpaşa Villa</t>
        </is>
      </c>
      <c r="D10" s="26" t="inlineStr">
        <is>
          <t>Antalya</t>
        </is>
      </c>
      <c r="E10" s="26" t="inlineStr">
        <is>
          <t>SZL-2026-005</t>
        </is>
      </c>
      <c r="F10" s="27" t="n">
        <v>28000</v>
      </c>
      <c r="G10" s="26" t="inlineStr">
        <is>
          <t>Normal</t>
        </is>
      </c>
      <c r="H10" s="26" t="inlineStr">
        <is>
          <t>EVET</t>
        </is>
      </c>
      <c r="I10" s="28">
        <f>IF($A10="","",SUMIF(tblAvans[KaynakKartId],$A10,tblAvans[KalanBakiye]))</f>
        <v/>
      </c>
      <c r="J10" s="28">
        <f>IF($A10="","",SUMIF(tblAkis[KaynakKartId],$A10,tblAkis[Tutar]))</f>
        <v/>
      </c>
      <c r="K10" s="28">
        <f>IF($A10="","",IFERROR(AVERAGEIF(tblAkis[KaynakKartId],$A10,tblAkis[YasGun]),0))</f>
        <v/>
      </c>
    </row>
    <row r="11">
      <c r="A11" s="26" t="inlineStr">
        <is>
          <t>KIR-00006</t>
        </is>
      </c>
      <c r="B11" s="26" t="inlineStr">
        <is>
          <t>Hakan Çelik</t>
        </is>
      </c>
      <c r="C11" s="26" t="inlineStr">
        <is>
          <t>İzmit Loft</t>
        </is>
      </c>
      <c r="D11" s="26" t="inlineStr">
        <is>
          <t>Kocaeli</t>
        </is>
      </c>
      <c r="E11" s="26" t="inlineStr">
        <is>
          <t>SZL-2026-006</t>
        </is>
      </c>
      <c r="F11" s="27" t="n">
        <v>15000</v>
      </c>
      <c r="G11" s="26" t="inlineStr">
        <is>
          <t>Normal</t>
        </is>
      </c>
      <c r="H11" s="26" t="inlineStr">
        <is>
          <t>EVET</t>
        </is>
      </c>
      <c r="I11" s="28">
        <f>IF($A11="","",SUMIF(tblAvans[KaynakKartId],$A11,tblAvans[KalanBakiye]))</f>
        <v/>
      </c>
      <c r="J11" s="28">
        <f>IF($A11="","",SUMIF(tblAkis[KaynakKartId],$A11,tblAkis[Tutar]))</f>
        <v/>
      </c>
      <c r="K11" s="28">
        <f>IF($A11="","",IFERROR(AVERAGEIF(tblAkis[KaynakKartId],$A11,tblAkis[YasGun]),0))</f>
        <v/>
      </c>
    </row>
    <row r="12">
      <c r="A12" s="26" t="inlineStr">
        <is>
          <t>KIR-00007</t>
        </is>
      </c>
      <c r="B12" s="26" t="inlineStr">
        <is>
          <t>Selin Aydın</t>
        </is>
      </c>
      <c r="C12" s="26" t="inlineStr">
        <is>
          <t>Seyhan Daire</t>
        </is>
      </c>
      <c r="D12" s="26" t="inlineStr">
        <is>
          <t>Adana</t>
        </is>
      </c>
      <c r="E12" s="26" t="inlineStr">
        <is>
          <t>SZL-2026-007</t>
        </is>
      </c>
      <c r="F12" s="27" t="n">
        <v>12000</v>
      </c>
      <c r="G12" s="26" t="inlineStr">
        <is>
          <t>Normal</t>
        </is>
      </c>
      <c r="H12" s="26" t="inlineStr">
        <is>
          <t>EVET</t>
        </is>
      </c>
      <c r="I12" s="28">
        <f>IF($A12="","",SUMIF(tblAvans[KaynakKartId],$A12,tblAvans[KalanBakiye]))</f>
        <v/>
      </c>
      <c r="J12" s="28">
        <f>IF($A12="","",SUMIF(tblAkis[KaynakKartId],$A12,tblAkis[Tutar]))</f>
        <v/>
      </c>
      <c r="K12" s="28">
        <f>IF($A12="","",IFERROR(AVERAGEIF(tblAkis[KaynakKartId],$A12,tblAkis[YasGun]),0))</f>
        <v/>
      </c>
    </row>
    <row r="13">
      <c r="A13" s="26" t="inlineStr">
        <is>
          <t>KIR-00008</t>
        </is>
      </c>
      <c r="B13" s="26" t="inlineStr">
        <is>
          <t>Burak Şahin</t>
        </is>
      </c>
      <c r="C13" s="26" t="inlineStr">
        <is>
          <t>Şehitkamil Dükkan</t>
        </is>
      </c>
      <c r="D13" s="26" t="inlineStr">
        <is>
          <t>Gaziantep</t>
        </is>
      </c>
      <c r="E13" s="26" t="inlineStr">
        <is>
          <t>SZL-2026-008</t>
        </is>
      </c>
      <c r="F13" s="27" t="n">
        <v>11000</v>
      </c>
      <c r="G13" s="26" t="inlineStr">
        <is>
          <t>Normal</t>
        </is>
      </c>
      <c r="H13" s="26" t="inlineStr">
        <is>
          <t>EVET</t>
        </is>
      </c>
      <c r="I13" s="28">
        <f>IF($A13="","",SUMIF(tblAvans[KaynakKartId],$A13,tblAvans[KalanBakiye]))</f>
        <v/>
      </c>
      <c r="J13" s="28">
        <f>IF($A13="","",SUMIF(tblAkis[KaynakKartId],$A13,tblAkis[Tutar]))</f>
        <v/>
      </c>
      <c r="K13" s="28">
        <f>IF($A13="","",IFERROR(AVERAGEIF(tblAkis[KaynakKartId],$A13,tblAkis[YasGun]),0))</f>
        <v/>
      </c>
    </row>
    <row r="14">
      <c r="A14" s="26" t="n"/>
      <c r="B14" s="26" t="n"/>
      <c r="C14" s="26" t="n"/>
      <c r="D14" s="26" t="n"/>
      <c r="E14" s="26" t="n"/>
      <c r="F14" s="27" t="n"/>
      <c r="G14" s="26" t="n"/>
      <c r="H14" s="26" t="n"/>
      <c r="I14" s="28">
        <f>IF($A14="","",SUMIF(tblAvans[KaynakKartId],$A14,tblAvans[KalanBakiye]))</f>
        <v/>
      </c>
      <c r="J14" s="28">
        <f>IF($A14="","",SUMIF(tblAkis[KaynakKartId],$A14,tblAkis[Tutar]))</f>
        <v/>
      </c>
      <c r="K14" s="28">
        <f>IF($A14="","",IFERROR(AVERAGEIF(tblAkis[KaynakKartId],$A14,tblAkis[YasGun]),0))</f>
        <v/>
      </c>
    </row>
    <row r="15">
      <c r="A15" s="26" t="n"/>
      <c r="B15" s="26" t="n"/>
      <c r="C15" s="26" t="n"/>
      <c r="D15" s="26" t="n"/>
      <c r="E15" s="26" t="n"/>
      <c r="F15" s="27" t="n"/>
      <c r="G15" s="26" t="n"/>
      <c r="H15" s="26" t="n"/>
      <c r="I15" s="28">
        <f>IF($A15="","",SUMIF(tblAvans[KaynakKartId],$A15,tblAvans[KalanBakiye]))</f>
        <v/>
      </c>
      <c r="J15" s="28">
        <f>IF($A15="","",SUMIF(tblAkis[KaynakKartId],$A15,tblAkis[Tutar]))</f>
        <v/>
      </c>
      <c r="K15" s="28">
        <f>IF($A15="","",IFERROR(AVERAGEIF(tblAkis[KaynakKartId],$A15,tblAkis[YasGun]),0))</f>
        <v/>
      </c>
    </row>
    <row r="16">
      <c r="A16" s="26" t="n"/>
      <c r="B16" s="26" t="n"/>
      <c r="C16" s="26" t="n"/>
      <c r="D16" s="26" t="n"/>
      <c r="E16" s="26" t="n"/>
      <c r="F16" s="27" t="n"/>
      <c r="G16" s="26" t="n"/>
      <c r="H16" s="26" t="n"/>
      <c r="I16" s="28">
        <f>IF($A16="","",SUMIF(tblAvans[KaynakKartId],$A16,tblAvans[KalanBakiye]))</f>
        <v/>
      </c>
      <c r="J16" s="28">
        <f>IF($A16="","",SUMIF(tblAkis[KaynakKartId],$A16,tblAkis[Tutar]))</f>
        <v/>
      </c>
      <c r="K16" s="28">
        <f>IF($A16="","",IFERROR(AVERAGEIF(tblAkis[KaynakKartId],$A16,tblAkis[YasGun]),0))</f>
        <v/>
      </c>
    </row>
    <row r="17">
      <c r="A17" s="26" t="n"/>
      <c r="B17" s="26" t="n"/>
      <c r="C17" s="26" t="n"/>
      <c r="D17" s="26" t="n"/>
      <c r="E17" s="26" t="n"/>
      <c r="F17" s="27" t="n"/>
      <c r="G17" s="26" t="n"/>
      <c r="H17" s="26" t="n"/>
      <c r="I17" s="28">
        <f>IF($A17="","",SUMIF(tblAvans[KaynakKartId],$A17,tblAvans[KalanBakiye]))</f>
        <v/>
      </c>
      <c r="J17" s="28">
        <f>IF($A17="","",SUMIF(tblAkis[KaynakKartId],$A17,tblAkis[Tutar]))</f>
        <v/>
      </c>
      <c r="K17" s="28">
        <f>IF($A17="","",IFERROR(AVERAGEIF(tblAkis[KaynakKartId],$A17,tblAkis[YasGun]),0))</f>
        <v/>
      </c>
    </row>
    <row r="18">
      <c r="A18" s="26" t="n"/>
      <c r="B18" s="26" t="n"/>
      <c r="C18" s="26" t="n"/>
      <c r="D18" s="26" t="n"/>
      <c r="E18" s="26" t="n"/>
      <c r="F18" s="27" t="n"/>
      <c r="G18" s="26" t="n"/>
      <c r="H18" s="26" t="n"/>
      <c r="I18" s="28">
        <f>IF($A18="","",SUMIF(tblAvans[KaynakKartId],$A18,tblAvans[KalanBakiye]))</f>
        <v/>
      </c>
      <c r="J18" s="28">
        <f>IF($A18="","",SUMIF(tblAkis[KaynakKartId],$A18,tblAkis[Tutar]))</f>
        <v/>
      </c>
      <c r="K18" s="28">
        <f>IF($A18="","",IFERROR(AVERAGEIF(tblAkis[KaynakKartId],$A18,tblAkis[YasGun]),0))</f>
        <v/>
      </c>
    </row>
    <row r="19">
      <c r="A19" s="26" t="n"/>
      <c r="B19" s="26" t="n"/>
      <c r="C19" s="26" t="n"/>
      <c r="D19" s="26" t="n"/>
      <c r="E19" s="26" t="n"/>
      <c r="F19" s="27" t="n"/>
      <c r="G19" s="26" t="n"/>
      <c r="H19" s="26" t="n"/>
      <c r="I19" s="28">
        <f>IF($A19="","",SUMIF(tblAvans[KaynakKartId],$A19,tblAvans[KalanBakiye]))</f>
        <v/>
      </c>
      <c r="J19" s="28">
        <f>IF($A19="","",SUMIF(tblAkis[KaynakKartId],$A19,tblAkis[Tutar]))</f>
        <v/>
      </c>
      <c r="K19" s="28">
        <f>IF($A19="","",IFERROR(AVERAGEIF(tblAkis[KaynakKartId],$A19,tblAkis[YasGun]),0))</f>
        <v/>
      </c>
    </row>
    <row r="20">
      <c r="A20" s="26" t="n"/>
      <c r="B20" s="26" t="n"/>
      <c r="C20" s="26" t="n"/>
      <c r="D20" s="26" t="n"/>
      <c r="E20" s="26" t="n"/>
      <c r="F20" s="27" t="n"/>
      <c r="G20" s="26" t="n"/>
      <c r="H20" s="26" t="n"/>
      <c r="I20" s="28">
        <f>IF($A20="","",SUMIF(tblAvans[KaynakKartId],$A20,tblAvans[KalanBakiye]))</f>
        <v/>
      </c>
      <c r="J20" s="28">
        <f>IF($A20="","",SUMIF(tblAkis[KaynakKartId],$A20,tblAkis[Tutar]))</f>
        <v/>
      </c>
      <c r="K20" s="28">
        <f>IF($A20="","",IFERROR(AVERAGEIF(tblAkis[KaynakKartId],$A20,tblAkis[YasGun]),0))</f>
        <v/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26" t="n"/>
      <c r="I21" s="28">
        <f>IF($A21="","",SUMIF(tblAvans[KaynakKartId],$A21,tblAvans[KalanBakiye]))</f>
        <v/>
      </c>
      <c r="J21" s="28">
        <f>IF($A21="","",SUMIF(tblAkis[KaynakKartId],$A21,tblAkis[Tutar]))</f>
        <v/>
      </c>
      <c r="K21" s="28">
        <f>IF($A21="","",IFERROR(AVERAGEIF(tblAkis[KaynakKartId],$A21,tblAkis[YasGun]),0))</f>
        <v/>
      </c>
    </row>
    <row r="22">
      <c r="A22" s="26" t="n"/>
      <c r="B22" s="26" t="n"/>
      <c r="C22" s="26" t="n"/>
      <c r="D22" s="26" t="n"/>
      <c r="E22" s="26" t="n"/>
      <c r="F22" s="27" t="n"/>
      <c r="G22" s="26" t="n"/>
      <c r="H22" s="26" t="n"/>
      <c r="I22" s="28">
        <f>IF($A22="","",SUMIF(tblAvans[KaynakKartId],$A22,tblAvans[KalanBakiye]))</f>
        <v/>
      </c>
      <c r="J22" s="28">
        <f>IF($A22="","",SUMIF(tblAkis[KaynakKartId],$A22,tblAkis[Tutar]))</f>
        <v/>
      </c>
      <c r="K22" s="28">
        <f>IF($A22="","",IFERROR(AVERAGEIF(tblAkis[KaynakKartId],$A22,tblAkis[YasGun]),0))</f>
        <v/>
      </c>
    </row>
    <row r="23">
      <c r="A23" s="26" t="n"/>
      <c r="B23" s="26" t="n"/>
      <c r="C23" s="26" t="n"/>
      <c r="D23" s="26" t="n"/>
      <c r="E23" s="26" t="n"/>
      <c r="F23" s="27" t="n"/>
      <c r="G23" s="26" t="n"/>
      <c r="H23" s="26" t="n"/>
      <c r="I23" s="28">
        <f>IF($A23="","",SUMIF(tblAvans[KaynakKartId],$A23,tblAvans[KalanBakiye]))</f>
        <v/>
      </c>
      <c r="J23" s="28">
        <f>IF($A23="","",SUMIF(tblAkis[KaynakKartId],$A23,tblAkis[Tutar]))</f>
        <v/>
      </c>
      <c r="K23" s="28">
        <f>IF($A23="","",IFERROR(AVERAGEIF(tblAkis[KaynakKartId],$A23,tblAkis[YasGun]),0))</f>
        <v/>
      </c>
    </row>
    <row r="24">
      <c r="A24" s="26" t="n"/>
      <c r="B24" s="26" t="n"/>
      <c r="C24" s="26" t="n"/>
      <c r="D24" s="26" t="n"/>
      <c r="E24" s="26" t="n"/>
      <c r="F24" s="27" t="n"/>
      <c r="G24" s="26" t="n"/>
      <c r="H24" s="26" t="n"/>
      <c r="I24" s="28">
        <f>IF($A24="","",SUMIF(tblAvans[KaynakKartId],$A24,tblAvans[KalanBakiye]))</f>
        <v/>
      </c>
      <c r="J24" s="28">
        <f>IF($A24="","",SUMIF(tblAkis[KaynakKartId],$A24,tblAkis[Tutar]))</f>
        <v/>
      </c>
      <c r="K24" s="28">
        <f>IF($A24="","",IFERROR(AVERAGEIF(tblAkis[KaynakKartId],$A24,tblAkis[YasGun]),0))</f>
        <v/>
      </c>
    </row>
    <row r="25">
      <c r="A25" s="26" t="n"/>
      <c r="B25" s="26" t="n"/>
      <c r="C25" s="26" t="n"/>
      <c r="D25" s="26" t="n"/>
      <c r="E25" s="26" t="n"/>
      <c r="F25" s="27" t="n"/>
      <c r="G25" s="26" t="n"/>
      <c r="H25" s="26" t="n"/>
      <c r="I25" s="28">
        <f>IF($A25="","",SUMIF(tblAvans[KaynakKartId],$A25,tblAvans[KalanBakiye]))</f>
        <v/>
      </c>
      <c r="J25" s="28">
        <f>IF($A25="","",SUMIF(tblAkis[KaynakKartId],$A25,tblAkis[Tutar]))</f>
        <v/>
      </c>
      <c r="K25" s="28">
        <f>IF($A25="","",IFERROR(AVERAGEIF(tblAkis[KaynakKartId],$A25,tblAkis[YasGun]),0))</f>
        <v/>
      </c>
    </row>
    <row r="26">
      <c r="A26" s="26" t="n"/>
      <c r="B26" s="26" t="n"/>
      <c r="C26" s="26" t="n"/>
      <c r="D26" s="26" t="n"/>
      <c r="E26" s="26" t="n"/>
      <c r="F26" s="27" t="n"/>
      <c r="G26" s="26" t="n"/>
      <c r="H26" s="26" t="n"/>
      <c r="I26" s="28">
        <f>IF($A26="","",SUMIF(tblAvans[KaynakKartId],$A26,tblAvans[KalanBakiye]))</f>
        <v/>
      </c>
      <c r="J26" s="28">
        <f>IF($A26="","",SUMIF(tblAkis[KaynakKartId],$A26,tblAkis[Tutar]))</f>
        <v/>
      </c>
      <c r="K26" s="28">
        <f>IF($A26="","",IFERROR(AVERAGEIF(tblAkis[KaynakKartId],$A26,tblAkis[YasGun]),0))</f>
        <v/>
      </c>
    </row>
    <row r="27">
      <c r="A27" s="26" t="n"/>
      <c r="B27" s="26" t="n"/>
      <c r="C27" s="26" t="n"/>
      <c r="D27" s="26" t="n"/>
      <c r="E27" s="26" t="n"/>
      <c r="F27" s="27" t="n"/>
      <c r="G27" s="26" t="n"/>
      <c r="H27" s="26" t="n"/>
      <c r="I27" s="28">
        <f>IF($A27="","",SUMIF(tblAvans[KaynakKartId],$A27,tblAvans[KalanBakiye]))</f>
        <v/>
      </c>
      <c r="J27" s="28">
        <f>IF($A27="","",SUMIF(tblAkis[KaynakKartId],$A27,tblAkis[Tutar]))</f>
        <v/>
      </c>
      <c r="K27" s="28">
        <f>IF($A27="","",IFERROR(AVERAGEIF(tblAkis[KaynakKartId],$A27,tblAkis[YasGun]),0))</f>
        <v/>
      </c>
    </row>
    <row r="28">
      <c r="A28" s="26" t="n"/>
      <c r="B28" s="26" t="n"/>
      <c r="C28" s="26" t="n"/>
      <c r="D28" s="26" t="n"/>
      <c r="E28" s="26" t="n"/>
      <c r="F28" s="27" t="n"/>
      <c r="G28" s="26" t="n"/>
      <c r="H28" s="26" t="n"/>
      <c r="I28" s="28">
        <f>IF($A28="","",SUMIF(tblAvans[KaynakKartId],$A28,tblAvans[KalanBakiye]))</f>
        <v/>
      </c>
      <c r="J28" s="28">
        <f>IF($A28="","",SUMIF(tblAkis[KaynakKartId],$A28,tblAkis[Tutar]))</f>
        <v/>
      </c>
      <c r="K28" s="28">
        <f>IF($A28="","",IFERROR(AVERAGEIF(tblAkis[KaynakKartId],$A28,tblAkis[YasGun]),0))</f>
        <v/>
      </c>
    </row>
    <row r="29">
      <c r="A29" s="26" t="n"/>
      <c r="B29" s="26" t="n"/>
      <c r="C29" s="26" t="n"/>
      <c r="D29" s="26" t="n"/>
      <c r="E29" s="26" t="n"/>
      <c r="F29" s="27" t="n"/>
      <c r="G29" s="26" t="n"/>
      <c r="H29" s="26" t="n"/>
      <c r="I29" s="28">
        <f>IF($A29="","",SUMIF(tblAvans[KaynakKartId],$A29,tblAvans[KalanBakiye]))</f>
        <v/>
      </c>
      <c r="J29" s="28">
        <f>IF($A29="","",SUMIF(tblAkis[KaynakKartId],$A29,tblAkis[Tutar]))</f>
        <v/>
      </c>
      <c r="K29" s="28">
        <f>IF($A29="","",IFERROR(AVERAGEIF(tblAkis[KaynakKartId],$A29,tblAkis[YasGun]),0))</f>
        <v/>
      </c>
    </row>
    <row r="30">
      <c r="A30" s="26" t="n"/>
      <c r="B30" s="26" t="n"/>
      <c r="C30" s="26" t="n"/>
      <c r="D30" s="26" t="n"/>
      <c r="E30" s="26" t="n"/>
      <c r="F30" s="27" t="n"/>
      <c r="G30" s="26" t="n"/>
      <c r="H30" s="26" t="n"/>
      <c r="I30" s="28">
        <f>IF($A30="","",SUMIF(tblAvans[KaynakKartId],$A30,tblAvans[KalanBakiye]))</f>
        <v/>
      </c>
      <c r="J30" s="28">
        <f>IF($A30="","",SUMIF(tblAkis[KaynakKartId],$A30,tblAkis[Tutar]))</f>
        <v/>
      </c>
      <c r="K30" s="28">
        <f>IF($A30="","",IFERROR(AVERAGEIF(tblAkis[KaynakKartId],$A30,tblAkis[YasGun]),0))</f>
        <v/>
      </c>
    </row>
    <row r="31">
      <c r="A31" s="26" t="n"/>
      <c r="B31" s="26" t="n"/>
      <c r="C31" s="26" t="n"/>
      <c r="D31" s="26" t="n"/>
      <c r="E31" s="26" t="n"/>
      <c r="F31" s="27" t="n"/>
      <c r="G31" s="26" t="n"/>
      <c r="H31" s="26" t="n"/>
      <c r="I31" s="28">
        <f>IF($A31="","",SUMIF(tblAvans[KaynakKartId],$A31,tblAvans[KalanBakiye]))</f>
        <v/>
      </c>
      <c r="J31" s="28">
        <f>IF($A31="","",SUMIF(tblAkis[KaynakKartId],$A31,tblAkis[Tutar]))</f>
        <v/>
      </c>
      <c r="K31" s="28">
        <f>IF($A31="","",IFERROR(AVERAGEIF(tblAkis[KaynakKartId],$A31,tblAkis[YasGun]),0))</f>
        <v/>
      </c>
    </row>
    <row r="32">
      <c r="A32" s="26" t="n"/>
      <c r="B32" s="26" t="n"/>
      <c r="C32" s="26" t="n"/>
      <c r="D32" s="26" t="n"/>
      <c r="E32" s="26" t="n"/>
      <c r="F32" s="27" t="n"/>
      <c r="G32" s="26" t="n"/>
      <c r="H32" s="26" t="n"/>
      <c r="I32" s="28">
        <f>IF($A32="","",SUMIF(tblAvans[KaynakKartId],$A32,tblAvans[KalanBakiye]))</f>
        <v/>
      </c>
      <c r="J32" s="28">
        <f>IF($A32="","",SUMIF(tblAkis[KaynakKartId],$A32,tblAkis[Tutar]))</f>
        <v/>
      </c>
      <c r="K32" s="28">
        <f>IF($A32="","",IFERROR(AVERAGEIF(tblAkis[KaynakKartId],$A32,tblAkis[YasGun]),0))</f>
        <v/>
      </c>
    </row>
    <row r="33">
      <c r="A33" s="26" t="n"/>
      <c r="B33" s="26" t="n"/>
      <c r="C33" s="26" t="n"/>
      <c r="D33" s="26" t="n"/>
      <c r="E33" s="26" t="n"/>
      <c r="F33" s="27" t="n"/>
      <c r="G33" s="26" t="n"/>
      <c r="H33" s="26" t="n"/>
      <c r="I33" s="28">
        <f>IF($A33="","",SUMIF(tblAvans[KaynakKartId],$A33,tblAvans[KalanBakiye]))</f>
        <v/>
      </c>
      <c r="J33" s="28">
        <f>IF($A33="","",SUMIF(tblAkis[KaynakKartId],$A33,tblAkis[Tutar]))</f>
        <v/>
      </c>
      <c r="K33" s="28">
        <f>IF($A33="","",IFERROR(AVERAGEIF(tblAkis[KaynakKartId],$A33,tblAkis[YasGun]),0))</f>
        <v/>
      </c>
    </row>
    <row r="34">
      <c r="A34" s="26" t="n"/>
      <c r="B34" s="26" t="n"/>
      <c r="C34" s="26" t="n"/>
      <c r="D34" s="26" t="n"/>
      <c r="E34" s="26" t="n"/>
      <c r="F34" s="27" t="n"/>
      <c r="G34" s="26" t="n"/>
      <c r="H34" s="26" t="n"/>
      <c r="I34" s="28">
        <f>IF($A34="","",SUMIF(tblAvans[KaynakKartId],$A34,tblAvans[KalanBakiye]))</f>
        <v/>
      </c>
      <c r="J34" s="28">
        <f>IF($A34="","",SUMIF(tblAkis[KaynakKartId],$A34,tblAkis[Tutar]))</f>
        <v/>
      </c>
      <c r="K34" s="28">
        <f>IF($A34="","",IFERROR(AVERAGEIF(tblAkis[KaynakKartId],$A34,tblAkis[YasGun]),0))</f>
        <v/>
      </c>
    </row>
    <row r="35">
      <c r="A35" s="26" t="n"/>
      <c r="B35" s="26" t="n"/>
      <c r="C35" s="26" t="n"/>
      <c r="D35" s="26" t="n"/>
      <c r="E35" s="26" t="n"/>
      <c r="F35" s="27" t="n"/>
      <c r="G35" s="26" t="n"/>
      <c r="H35" s="26" t="n"/>
      <c r="I35" s="28">
        <f>IF($A35="","",SUMIF(tblAvans[KaynakKartId],$A35,tblAvans[KalanBakiye]))</f>
        <v/>
      </c>
      <c r="J35" s="28">
        <f>IF($A35="","",SUMIF(tblAkis[KaynakKartId],$A35,tblAkis[Tutar]))</f>
        <v/>
      </c>
      <c r="K35" s="28">
        <f>IF($A35="","",IFERROR(AVERAGEIF(tblAkis[KaynakKartId],$A35,tblAkis[YasGun]),0))</f>
        <v/>
      </c>
    </row>
    <row r="36">
      <c r="A36" s="26" t="n"/>
      <c r="B36" s="26" t="n"/>
      <c r="C36" s="26" t="n"/>
      <c r="D36" s="26" t="n"/>
      <c r="E36" s="26" t="n"/>
      <c r="F36" s="27" t="n"/>
      <c r="G36" s="26" t="n"/>
      <c r="H36" s="26" t="n"/>
      <c r="I36" s="28">
        <f>IF($A36="","",SUMIF(tblAvans[KaynakKartId],$A36,tblAvans[KalanBakiye]))</f>
        <v/>
      </c>
      <c r="J36" s="28">
        <f>IF($A36="","",SUMIF(tblAkis[KaynakKartId],$A36,tblAkis[Tutar]))</f>
        <v/>
      </c>
      <c r="K36" s="28">
        <f>IF($A36="","",IFERROR(AVERAGEIF(tblAkis[KaynakKartId],$A36,tblAkis[YasGun]),0))</f>
        <v/>
      </c>
    </row>
    <row r="37">
      <c r="A37" s="26" t="n"/>
      <c r="B37" s="26" t="n"/>
      <c r="C37" s="26" t="n"/>
      <c r="D37" s="26" t="n"/>
      <c r="E37" s="26" t="n"/>
      <c r="F37" s="27" t="n"/>
      <c r="G37" s="26" t="n"/>
      <c r="H37" s="26" t="n"/>
      <c r="I37" s="28">
        <f>IF($A37="","",SUMIF(tblAvans[KaynakKartId],$A37,tblAvans[KalanBakiye]))</f>
        <v/>
      </c>
      <c r="J37" s="28">
        <f>IF($A37="","",SUMIF(tblAkis[KaynakKartId],$A37,tblAkis[Tutar]))</f>
        <v/>
      </c>
      <c r="K37" s="28">
        <f>IF($A37="","",IFERROR(AVERAGEIF(tblAkis[KaynakKartId],$A37,tblAkis[YasGun]),0))</f>
        <v/>
      </c>
    </row>
    <row r="38">
      <c r="A38" s="26" t="n"/>
      <c r="B38" s="26" t="n"/>
      <c r="C38" s="26" t="n"/>
      <c r="D38" s="26" t="n"/>
      <c r="E38" s="26" t="n"/>
      <c r="F38" s="27" t="n"/>
      <c r="G38" s="26" t="n"/>
      <c r="H38" s="26" t="n"/>
      <c r="I38" s="28">
        <f>IF($A38="","",SUMIF(tblAvans[KaynakKartId],$A38,tblAvans[KalanBakiye]))</f>
        <v/>
      </c>
      <c r="J38" s="28">
        <f>IF($A38="","",SUMIF(tblAkis[KaynakKartId],$A38,tblAkis[Tutar]))</f>
        <v/>
      </c>
      <c r="K38" s="28">
        <f>IF($A38="","",IFERROR(AVERAGEIF(tblAkis[KaynakKartId],$A38,tblAkis[YasGun]),0))</f>
        <v/>
      </c>
    </row>
    <row r="39">
      <c r="A39" s="26" t="n"/>
      <c r="B39" s="26" t="n"/>
      <c r="C39" s="26" t="n"/>
      <c r="D39" s="26" t="n"/>
      <c r="E39" s="26" t="n"/>
      <c r="F39" s="27" t="n"/>
      <c r="G39" s="26" t="n"/>
      <c r="H39" s="26" t="n"/>
      <c r="I39" s="28">
        <f>IF($A39="","",SUMIF(tblAvans[KaynakKartId],$A39,tblAvans[KalanBakiye]))</f>
        <v/>
      </c>
      <c r="J39" s="28">
        <f>IF($A39="","",SUMIF(tblAkis[KaynakKartId],$A39,tblAkis[Tutar]))</f>
        <v/>
      </c>
      <c r="K39" s="28">
        <f>IF($A39="","",IFERROR(AVERAGEIF(tblAkis[KaynakKartId],$A39,tblAkis[YasGun]),0))</f>
        <v/>
      </c>
    </row>
    <row r="40">
      <c r="A40" s="26" t="n"/>
      <c r="B40" s="26" t="n"/>
      <c r="C40" s="26" t="n"/>
      <c r="D40" s="26" t="n"/>
      <c r="E40" s="26" t="n"/>
      <c r="F40" s="27" t="n"/>
      <c r="G40" s="26" t="n"/>
      <c r="H40" s="26" t="n"/>
      <c r="I40" s="28">
        <f>IF($A40="","",SUMIF(tblAvans[KaynakKartId],$A40,tblAvans[KalanBakiye]))</f>
        <v/>
      </c>
      <c r="J40" s="28">
        <f>IF($A40="","",SUMIF(tblAkis[KaynakKartId],$A40,tblAkis[Tutar]))</f>
        <v/>
      </c>
      <c r="K40" s="28">
        <f>IF($A40="","",IFERROR(AVERAGEIF(tblAkis[KaynakKartId],$A40,tblAkis[YasGun]),0))</f>
        <v/>
      </c>
    </row>
    <row r="41">
      <c r="A41" s="26" t="n"/>
      <c r="B41" s="26" t="n"/>
      <c r="C41" s="26" t="n"/>
      <c r="D41" s="26" t="n"/>
      <c r="E41" s="26" t="n"/>
      <c r="F41" s="27" t="n"/>
      <c r="G41" s="26" t="n"/>
      <c r="H41" s="26" t="n"/>
      <c r="I41" s="28">
        <f>IF($A41="","",SUMIF(tblAvans[KaynakKartId],$A41,tblAvans[KalanBakiye]))</f>
        <v/>
      </c>
      <c r="J41" s="28">
        <f>IF($A41="","",SUMIF(tblAkis[KaynakKartId],$A41,tblAkis[Tutar]))</f>
        <v/>
      </c>
      <c r="K41" s="28">
        <f>IF($A41="","",IFERROR(AVERAGEIF(tblAkis[KaynakKartId],$A41,tblAkis[YasGun]),0))</f>
        <v/>
      </c>
    </row>
    <row r="42">
      <c r="A42" s="26" t="n"/>
      <c r="B42" s="26" t="n"/>
      <c r="C42" s="26" t="n"/>
      <c r="D42" s="26" t="n"/>
      <c r="E42" s="26" t="n"/>
      <c r="F42" s="27" t="n"/>
      <c r="G42" s="26" t="n"/>
      <c r="H42" s="26" t="n"/>
      <c r="I42" s="28">
        <f>IF($A42="","",SUMIF(tblAvans[KaynakKartId],$A42,tblAvans[KalanBakiye]))</f>
        <v/>
      </c>
      <c r="J42" s="28">
        <f>IF($A42="","",SUMIF(tblAkis[KaynakKartId],$A42,tblAkis[Tutar]))</f>
        <v/>
      </c>
      <c r="K42" s="28">
        <f>IF($A42="","",IFERROR(AVERAGEIF(tblAkis[KaynakKartId],$A42,tblAkis[YasGun]),0))</f>
        <v/>
      </c>
    </row>
    <row r="43">
      <c r="A43" s="26" t="n"/>
      <c r="B43" s="26" t="n"/>
      <c r="C43" s="26" t="n"/>
      <c r="D43" s="26" t="n"/>
      <c r="E43" s="26" t="n"/>
      <c r="F43" s="27" t="n"/>
      <c r="G43" s="26" t="n"/>
      <c r="H43" s="26" t="n"/>
      <c r="I43" s="28">
        <f>IF($A43="","",SUMIF(tblAvans[KaynakKartId],$A43,tblAvans[KalanBakiye]))</f>
        <v/>
      </c>
      <c r="J43" s="28">
        <f>IF($A43="","",SUMIF(tblAkis[KaynakKartId],$A43,tblAkis[Tutar]))</f>
        <v/>
      </c>
      <c r="K43" s="28">
        <f>IF($A43="","",IFERROR(AVERAGEIF(tblAkis[KaynakKartId],$A43,tblAkis[YasGun]),0))</f>
        <v/>
      </c>
    </row>
    <row r="44">
      <c r="A44" s="26" t="n"/>
      <c r="B44" s="26" t="n"/>
      <c r="C44" s="26" t="n"/>
      <c r="D44" s="26" t="n"/>
      <c r="E44" s="26" t="n"/>
      <c r="F44" s="27" t="n"/>
      <c r="G44" s="26" t="n"/>
      <c r="H44" s="26" t="n"/>
      <c r="I44" s="28">
        <f>IF($A44="","",SUMIF(tblAvans[KaynakKartId],$A44,tblAvans[KalanBakiye]))</f>
        <v/>
      </c>
      <c r="J44" s="28">
        <f>IF($A44="","",SUMIF(tblAkis[KaynakKartId],$A44,tblAkis[Tutar]))</f>
        <v/>
      </c>
      <c r="K44" s="28">
        <f>IF($A44="","",IFERROR(AVERAGEIF(tblAkis[KaynakKartId],$A44,tblAkis[YasGun]),0))</f>
        <v/>
      </c>
    </row>
    <row r="45">
      <c r="A45" s="26" t="n"/>
      <c r="B45" s="26" t="n"/>
      <c r="C45" s="26" t="n"/>
      <c r="D45" s="26" t="n"/>
      <c r="E45" s="26" t="n"/>
      <c r="F45" s="27" t="n"/>
      <c r="G45" s="26" t="n"/>
      <c r="H45" s="26" t="n"/>
      <c r="I45" s="28">
        <f>IF($A45="","",SUMIF(tblAvans[KaynakKartId],$A45,tblAvans[KalanBakiye]))</f>
        <v/>
      </c>
      <c r="J45" s="28">
        <f>IF($A45="","",SUMIF(tblAkis[KaynakKartId],$A45,tblAkis[Tutar]))</f>
        <v/>
      </c>
      <c r="K45" s="28">
        <f>IF($A45="","",IFERROR(AVERAGEIF(tblAkis[KaynakKartId],$A45,tblAkis[YasGun]),0))</f>
        <v/>
      </c>
    </row>
    <row r="46">
      <c r="A46" s="26" t="n"/>
      <c r="B46" s="26" t="n"/>
      <c r="C46" s="26" t="n"/>
      <c r="D46" s="26" t="n"/>
      <c r="E46" s="26" t="n"/>
      <c r="F46" s="27" t="n"/>
      <c r="G46" s="26" t="n"/>
      <c r="H46" s="26" t="n"/>
      <c r="I46" s="28">
        <f>IF($A46="","",SUMIF(tblAvans[KaynakKartId],$A46,tblAvans[KalanBakiye]))</f>
        <v/>
      </c>
      <c r="J46" s="28">
        <f>IF($A46="","",SUMIF(tblAkis[KaynakKartId],$A46,tblAkis[Tutar]))</f>
        <v/>
      </c>
      <c r="K46" s="28">
        <f>IF($A46="","",IFERROR(AVERAGEIF(tblAkis[KaynakKartId],$A46,tblAkis[YasGun]),0))</f>
        <v/>
      </c>
    </row>
    <row r="47">
      <c r="A47" s="26" t="n"/>
      <c r="B47" s="26" t="n"/>
      <c r="C47" s="26" t="n"/>
      <c r="D47" s="26" t="n"/>
      <c r="E47" s="26" t="n"/>
      <c r="F47" s="27" t="n"/>
      <c r="G47" s="26" t="n"/>
      <c r="H47" s="26" t="n"/>
      <c r="I47" s="28">
        <f>IF($A47="","",SUMIF(tblAvans[KaynakKartId],$A47,tblAvans[KalanBakiye]))</f>
        <v/>
      </c>
      <c r="J47" s="28">
        <f>IF($A47="","",SUMIF(tblAkis[KaynakKartId],$A47,tblAkis[Tutar]))</f>
        <v/>
      </c>
      <c r="K47" s="28">
        <f>IF($A47="","",IFERROR(AVERAGEIF(tblAkis[KaynakKartId],$A47,tblAkis[YasGun]),0))</f>
        <v/>
      </c>
    </row>
    <row r="48">
      <c r="A48" s="26" t="n"/>
      <c r="B48" s="26" t="n"/>
      <c r="C48" s="26" t="n"/>
      <c r="D48" s="26" t="n"/>
      <c r="E48" s="26" t="n"/>
      <c r="F48" s="27" t="n"/>
      <c r="G48" s="26" t="n"/>
      <c r="H48" s="26" t="n"/>
      <c r="I48" s="28">
        <f>IF($A48="","",SUMIF(tblAvans[KaynakKartId],$A48,tblAvans[KalanBakiye]))</f>
        <v/>
      </c>
      <c r="J48" s="28">
        <f>IF($A48="","",SUMIF(tblAkis[KaynakKartId],$A48,tblAkis[Tutar]))</f>
        <v/>
      </c>
      <c r="K48" s="28">
        <f>IF($A48="","",IFERROR(AVERAGEIF(tblAkis[KaynakKartId],$A48,tblAkis[YasGun]),0))</f>
        <v/>
      </c>
    </row>
    <row r="49">
      <c r="A49" s="26" t="n"/>
      <c r="B49" s="26" t="n"/>
      <c r="C49" s="26" t="n"/>
      <c r="D49" s="26" t="n"/>
      <c r="E49" s="26" t="n"/>
      <c r="F49" s="27" t="n"/>
      <c r="G49" s="26" t="n"/>
      <c r="H49" s="26" t="n"/>
      <c r="I49" s="28">
        <f>IF($A49="","",SUMIF(tblAvans[KaynakKartId],$A49,tblAvans[KalanBakiye]))</f>
        <v/>
      </c>
      <c r="J49" s="28">
        <f>IF($A49="","",SUMIF(tblAkis[KaynakKartId],$A49,tblAkis[Tutar]))</f>
        <v/>
      </c>
      <c r="K49" s="28">
        <f>IF($A49="","",IFERROR(AVERAGEIF(tblAkis[KaynakKartId],$A49,tblAkis[YasGun]),0))</f>
        <v/>
      </c>
    </row>
    <row r="50">
      <c r="A50" s="26" t="n"/>
      <c r="B50" s="26" t="n"/>
      <c r="C50" s="26" t="n"/>
      <c r="D50" s="26" t="n"/>
      <c r="E50" s="26" t="n"/>
      <c r="F50" s="27" t="n"/>
      <c r="G50" s="26" t="n"/>
      <c r="H50" s="26" t="n"/>
      <c r="I50" s="28">
        <f>IF($A50="","",SUMIF(tblAvans[KaynakKartId],$A50,tblAvans[KalanBakiye]))</f>
        <v/>
      </c>
      <c r="J50" s="28">
        <f>IF($A50="","",SUMIF(tblAkis[KaynakKartId],$A50,tblAkis[Tutar]))</f>
        <v/>
      </c>
      <c r="K50" s="28">
        <f>IF($A50="","",IFERROR(AVERAGEIF(tblAkis[KaynakKartId],$A50,tblAkis[YasGun]),0))</f>
        <v/>
      </c>
    </row>
    <row r="51">
      <c r="A51" s="26" t="n"/>
      <c r="B51" s="26" t="n"/>
      <c r="C51" s="26" t="n"/>
      <c r="D51" s="26" t="n"/>
      <c r="E51" s="26" t="n"/>
      <c r="F51" s="27" t="n"/>
      <c r="G51" s="26" t="n"/>
      <c r="H51" s="26" t="n"/>
      <c r="I51" s="28">
        <f>IF($A51="","",SUMIF(tblAvans[KaynakKartId],$A51,tblAvans[KalanBakiye]))</f>
        <v/>
      </c>
      <c r="J51" s="28">
        <f>IF($A51="","",SUMIF(tblAkis[KaynakKartId],$A51,tblAkis[Tutar]))</f>
        <v/>
      </c>
      <c r="K51" s="28">
        <f>IF($A51="","",IFERROR(AVERAGEIF(tblAkis[KaynakKartId],$A51,tblAkis[YasGun]),0))</f>
        <v/>
      </c>
    </row>
    <row r="52">
      <c r="A52" s="26" t="n"/>
      <c r="B52" s="26" t="n"/>
      <c r="C52" s="26" t="n"/>
      <c r="D52" s="26" t="n"/>
      <c r="E52" s="26" t="n"/>
      <c r="F52" s="27" t="n"/>
      <c r="G52" s="26" t="n"/>
      <c r="H52" s="26" t="n"/>
      <c r="I52" s="28">
        <f>IF($A52="","",SUMIF(tblAvans[KaynakKartId],$A52,tblAvans[KalanBakiye]))</f>
        <v/>
      </c>
      <c r="J52" s="28">
        <f>IF($A52="","",SUMIF(tblAkis[KaynakKartId],$A52,tblAkis[Tutar]))</f>
        <v/>
      </c>
      <c r="K52" s="28">
        <f>IF($A52="","",IFERROR(AVERAGEIF(tblAkis[KaynakKartId],$A52,tblAkis[YasGun]),0))</f>
        <v/>
      </c>
    </row>
    <row r="53">
      <c r="A53" s="26" t="n"/>
      <c r="B53" s="26" t="n"/>
      <c r="C53" s="26" t="n"/>
      <c r="D53" s="26" t="n"/>
      <c r="E53" s="26" t="n"/>
      <c r="F53" s="27" t="n"/>
      <c r="G53" s="26" t="n"/>
      <c r="H53" s="26" t="n"/>
      <c r="I53" s="28">
        <f>IF($A53="","",SUMIF(tblAvans[KaynakKartId],$A53,tblAvans[KalanBakiye]))</f>
        <v/>
      </c>
      <c r="J53" s="28">
        <f>IF($A53="","",SUMIF(tblAkis[KaynakKartId],$A53,tblAkis[Tutar]))</f>
        <v/>
      </c>
      <c r="K53" s="28">
        <f>IF($A53="","",IFERROR(AVERAGEIF(tblAkis[KaynakKartId],$A53,tblAkis[YasGun]),0))</f>
        <v/>
      </c>
    </row>
    <row r="54">
      <c r="A54" s="26" t="n"/>
      <c r="B54" s="26" t="n"/>
      <c r="C54" s="26" t="n"/>
      <c r="D54" s="26" t="n"/>
      <c r="E54" s="26" t="n"/>
      <c r="F54" s="27" t="n"/>
      <c r="G54" s="26" t="n"/>
      <c r="H54" s="26" t="n"/>
      <c r="I54" s="28">
        <f>IF($A54="","",SUMIF(tblAvans[KaynakKartId],$A54,tblAvans[KalanBakiye]))</f>
        <v/>
      </c>
      <c r="J54" s="28">
        <f>IF($A54="","",SUMIF(tblAkis[KaynakKartId],$A54,tblAkis[Tutar]))</f>
        <v/>
      </c>
      <c r="K54" s="28">
        <f>IF($A54="","",IFERROR(AVERAGEIF(tblAkis[KaynakKartId],$A54,tblAkis[YasGun]),0))</f>
        <v/>
      </c>
    </row>
    <row r="55">
      <c r="A55" s="26" t="n"/>
      <c r="B55" s="26" t="n"/>
      <c r="C55" s="26" t="n"/>
      <c r="D55" s="26" t="n"/>
      <c r="E55" s="26" t="n"/>
      <c r="F55" s="27" t="n"/>
      <c r="G55" s="26" t="n"/>
      <c r="H55" s="26" t="n"/>
      <c r="I55" s="28">
        <f>IF($A55="","",SUMIF(tblAvans[KaynakKartId],$A55,tblAvans[KalanBakiye]))</f>
        <v/>
      </c>
      <c r="J55" s="28">
        <f>IF($A55="","",SUMIF(tblAkis[KaynakKartId],$A55,tblAkis[Tutar]))</f>
        <v/>
      </c>
      <c r="K55" s="28">
        <f>IF($A55="","",IFERROR(AVERAGEIF(tblAkis[KaynakKartId],$A55,tblAkis[YasGun]),0))</f>
        <v/>
      </c>
    </row>
    <row r="56">
      <c r="A56" s="26" t="n"/>
      <c r="B56" s="26" t="n"/>
      <c r="C56" s="26" t="n"/>
      <c r="D56" s="26" t="n"/>
      <c r="E56" s="26" t="n"/>
      <c r="F56" s="27" t="n"/>
      <c r="G56" s="26" t="n"/>
      <c r="H56" s="26" t="n"/>
      <c r="I56" s="28">
        <f>IF($A56="","",SUMIF(tblAvans[KaynakKartId],$A56,tblAvans[KalanBakiye]))</f>
        <v/>
      </c>
      <c r="J56" s="28">
        <f>IF($A56="","",SUMIF(tblAkis[KaynakKartId],$A56,tblAkis[Tutar]))</f>
        <v/>
      </c>
      <c r="K56" s="28">
        <f>IF($A56="","",IFERROR(AVERAGEIF(tblAkis[KaynakKartId],$A56,tblAkis[YasGun]),0))</f>
        <v/>
      </c>
    </row>
    <row r="57">
      <c r="A57" s="26" t="n"/>
      <c r="B57" s="26" t="n"/>
      <c r="C57" s="26" t="n"/>
      <c r="D57" s="26" t="n"/>
      <c r="E57" s="26" t="n"/>
      <c r="F57" s="27" t="n"/>
      <c r="G57" s="26" t="n"/>
      <c r="H57" s="26" t="n"/>
      <c r="I57" s="28">
        <f>IF($A57="","",SUMIF(tblAvans[KaynakKartId],$A57,tblAvans[KalanBakiye]))</f>
        <v/>
      </c>
      <c r="J57" s="28">
        <f>IF($A57="","",SUMIF(tblAkis[KaynakKartId],$A57,tblAkis[Tutar]))</f>
        <v/>
      </c>
      <c r="K57" s="28">
        <f>IF($A57="","",IFERROR(AVERAGEIF(tblAkis[KaynakKartId],$A57,tblAkis[YasGun]),0))</f>
        <v/>
      </c>
    </row>
    <row r="58">
      <c r="A58" s="26" t="n"/>
      <c r="B58" s="26" t="n"/>
      <c r="C58" s="26" t="n"/>
      <c r="D58" s="26" t="n"/>
      <c r="E58" s="26" t="n"/>
      <c r="F58" s="27" t="n"/>
      <c r="G58" s="26" t="n"/>
      <c r="H58" s="26" t="n"/>
      <c r="I58" s="28">
        <f>IF($A58="","",SUMIF(tblAvans[KaynakKartId],$A58,tblAvans[KalanBakiye]))</f>
        <v/>
      </c>
      <c r="J58" s="28">
        <f>IF($A58="","",SUMIF(tblAkis[KaynakKartId],$A58,tblAkis[Tutar]))</f>
        <v/>
      </c>
      <c r="K58" s="28">
        <f>IF($A58="","",IFERROR(AVERAGEIF(tblAkis[KaynakKartId],$A58,tblAkis[YasGun]),0))</f>
        <v/>
      </c>
    </row>
    <row r="59">
      <c r="A59" s="26" t="n"/>
      <c r="B59" s="26" t="n"/>
      <c r="C59" s="26" t="n"/>
      <c r="D59" s="26" t="n"/>
      <c r="E59" s="26" t="n"/>
      <c r="F59" s="27" t="n"/>
      <c r="G59" s="26" t="n"/>
      <c r="H59" s="26" t="n"/>
      <c r="I59" s="28">
        <f>IF($A59="","",SUMIF(tblAvans[KaynakKartId],$A59,tblAvans[KalanBakiye]))</f>
        <v/>
      </c>
      <c r="J59" s="28">
        <f>IF($A59="","",SUMIF(tblAkis[KaynakKartId],$A59,tblAkis[Tutar]))</f>
        <v/>
      </c>
      <c r="K59" s="28">
        <f>IF($A59="","",IFERROR(AVERAGEIF(tblAkis[KaynakKartId],$A59,tblAkis[YasGun]),0))</f>
        <v/>
      </c>
    </row>
    <row r="60">
      <c r="A60" s="26" t="n"/>
      <c r="B60" s="26" t="n"/>
      <c r="C60" s="26" t="n"/>
      <c r="D60" s="26" t="n"/>
      <c r="E60" s="26" t="n"/>
      <c r="F60" s="27" t="n"/>
      <c r="G60" s="26" t="n"/>
      <c r="H60" s="26" t="n"/>
      <c r="I60" s="28">
        <f>IF($A60="","",SUMIF(tblAvans[KaynakKartId],$A60,tblAvans[KalanBakiye]))</f>
        <v/>
      </c>
      <c r="J60" s="28">
        <f>IF($A60="","",SUMIF(tblAkis[KaynakKartId],$A60,tblAkis[Tutar]))</f>
        <v/>
      </c>
      <c r="K60" s="28">
        <f>IF($A60="","",IFERROR(AVERAGEIF(tblAkis[KaynakKartId],$A60,tblAkis[YasGun]),0))</f>
        <v/>
      </c>
    </row>
    <row r="61">
      <c r="A61" s="26" t="n"/>
      <c r="B61" s="26" t="n"/>
      <c r="C61" s="26" t="n"/>
      <c r="D61" s="26" t="n"/>
      <c r="E61" s="26" t="n"/>
      <c r="F61" s="27" t="n"/>
      <c r="G61" s="26" t="n"/>
      <c r="H61" s="26" t="n"/>
      <c r="I61" s="28">
        <f>IF($A61="","",SUMIF(tblAvans[KaynakKartId],$A61,tblAvans[KalanBakiye]))</f>
        <v/>
      </c>
      <c r="J61" s="28">
        <f>IF($A61="","",SUMIF(tblAkis[KaynakKartId],$A61,tblAkis[Tutar]))</f>
        <v/>
      </c>
      <c r="K61" s="28">
        <f>IF($A61="","",IFERROR(AVERAGEIF(tblAkis[KaynakKartId],$A61,tblAkis[YasGun]),0))</f>
        <v/>
      </c>
    </row>
    <row r="62">
      <c r="A62" s="26" t="n"/>
      <c r="B62" s="26" t="n"/>
      <c r="C62" s="26" t="n"/>
      <c r="D62" s="26" t="n"/>
      <c r="E62" s="26" t="n"/>
      <c r="F62" s="27" t="n"/>
      <c r="G62" s="26" t="n"/>
      <c r="H62" s="26" t="n"/>
      <c r="I62" s="28">
        <f>IF($A62="","",SUMIF(tblAvans[KaynakKartId],$A62,tblAvans[KalanBakiye]))</f>
        <v/>
      </c>
      <c r="J62" s="28">
        <f>IF($A62="","",SUMIF(tblAkis[KaynakKartId],$A62,tblAkis[Tutar]))</f>
        <v/>
      </c>
      <c r="K62" s="28">
        <f>IF($A62="","",IFERROR(AVERAGEIF(tblAkis[KaynakKartId],$A62,tblAkis[YasGun]),0))</f>
        <v/>
      </c>
    </row>
    <row r="63">
      <c r="A63" s="26" t="n"/>
      <c r="B63" s="26" t="n"/>
      <c r="C63" s="26" t="n"/>
      <c r="D63" s="26" t="n"/>
      <c r="E63" s="26" t="n"/>
      <c r="F63" s="27" t="n"/>
      <c r="G63" s="26" t="n"/>
      <c r="H63" s="26" t="n"/>
      <c r="I63" s="28">
        <f>IF($A63="","",SUMIF(tblAvans[KaynakKartId],$A63,tblAvans[KalanBakiye]))</f>
        <v/>
      </c>
      <c r="J63" s="28">
        <f>IF($A63="","",SUMIF(tblAkis[KaynakKartId],$A63,tblAkis[Tutar]))</f>
        <v/>
      </c>
      <c r="K63" s="28">
        <f>IF($A63="","",IFERROR(AVERAGEIF(tblAkis[KaynakKartId],$A63,tblAkis[YasGun]),0))</f>
        <v/>
      </c>
    </row>
    <row r="64">
      <c r="A64" s="26" t="n"/>
      <c r="B64" s="26" t="n"/>
      <c r="C64" s="26" t="n"/>
      <c r="D64" s="26" t="n"/>
      <c r="E64" s="26" t="n"/>
      <c r="F64" s="27" t="n"/>
      <c r="G64" s="26" t="n"/>
      <c r="H64" s="26" t="n"/>
      <c r="I64" s="28">
        <f>IF($A64="","",SUMIF(tblAvans[KaynakKartId],$A64,tblAvans[KalanBakiye]))</f>
        <v/>
      </c>
      <c r="J64" s="28">
        <f>IF($A64="","",SUMIF(tblAkis[KaynakKartId],$A64,tblAkis[Tutar]))</f>
        <v/>
      </c>
      <c r="K64" s="28">
        <f>IF($A64="","",IFERROR(AVERAGEIF(tblAkis[KaynakKartId],$A64,tblAkis[YasGun]),0))</f>
        <v/>
      </c>
    </row>
    <row r="65">
      <c r="A65" s="26" t="n"/>
      <c r="B65" s="26" t="n"/>
      <c r="C65" s="26" t="n"/>
      <c r="D65" s="26" t="n"/>
      <c r="E65" s="26" t="n"/>
      <c r="F65" s="27" t="n"/>
      <c r="G65" s="26" t="n"/>
      <c r="H65" s="26" t="n"/>
      <c r="I65" s="28">
        <f>IF($A65="","",SUMIF(tblAvans[KaynakKartId],$A65,tblAvans[KalanBakiye]))</f>
        <v/>
      </c>
      <c r="J65" s="28">
        <f>IF($A65="","",SUMIF(tblAkis[KaynakKartId],$A65,tblAkis[Tutar]))</f>
        <v/>
      </c>
      <c r="K65" s="28">
        <f>IF($A65="","",IFERROR(AVERAGEIF(tblAkis[KaynakKartId],$A65,tblAkis[YasGun]),0))</f>
        <v/>
      </c>
    </row>
    <row r="66">
      <c r="A66" s="26" t="n"/>
      <c r="B66" s="26" t="n"/>
      <c r="C66" s="26" t="n"/>
      <c r="D66" s="26" t="n"/>
      <c r="E66" s="26" t="n"/>
      <c r="F66" s="27" t="n"/>
      <c r="G66" s="26" t="n"/>
      <c r="H66" s="26" t="n"/>
      <c r="I66" s="28">
        <f>IF($A66="","",SUMIF(tblAvans[KaynakKartId],$A66,tblAvans[KalanBakiye]))</f>
        <v/>
      </c>
      <c r="J66" s="28">
        <f>IF($A66="","",SUMIF(tblAkis[KaynakKartId],$A66,tblAkis[Tutar]))</f>
        <v/>
      </c>
      <c r="K66" s="28">
        <f>IF($A66="","",IFERROR(AVERAGEIF(tblAkis[KaynakKartId],$A66,tblAkis[YasGun]),0))</f>
        <v/>
      </c>
    </row>
    <row r="67">
      <c r="A67" s="26" t="n"/>
      <c r="B67" s="26" t="n"/>
      <c r="C67" s="26" t="n"/>
      <c r="D67" s="26" t="n"/>
      <c r="E67" s="26" t="n"/>
      <c r="F67" s="27" t="n"/>
      <c r="G67" s="26" t="n"/>
      <c r="H67" s="26" t="n"/>
      <c r="I67" s="28">
        <f>IF($A67="","",SUMIF(tblAvans[KaynakKartId],$A67,tblAvans[KalanBakiye]))</f>
        <v/>
      </c>
      <c r="J67" s="28">
        <f>IF($A67="","",SUMIF(tblAkis[KaynakKartId],$A67,tblAkis[Tutar]))</f>
        <v/>
      </c>
      <c r="K67" s="28">
        <f>IF($A67="","",IFERROR(AVERAGEIF(tblAkis[KaynakKartId],$A67,tblAkis[YasGun]),0))</f>
        <v/>
      </c>
    </row>
    <row r="68">
      <c r="A68" s="26" t="n"/>
      <c r="B68" s="26" t="n"/>
      <c r="C68" s="26" t="n"/>
      <c r="D68" s="26" t="n"/>
      <c r="E68" s="26" t="n"/>
      <c r="F68" s="27" t="n"/>
      <c r="G68" s="26" t="n"/>
      <c r="H68" s="26" t="n"/>
      <c r="I68" s="28">
        <f>IF($A68="","",SUMIF(tblAvans[KaynakKartId],$A68,tblAvans[KalanBakiye]))</f>
        <v/>
      </c>
      <c r="J68" s="28">
        <f>IF($A68="","",SUMIF(tblAkis[KaynakKartId],$A68,tblAkis[Tutar]))</f>
        <v/>
      </c>
      <c r="K68" s="28">
        <f>IF($A68="","",IFERROR(AVERAGEIF(tblAkis[KaynakKartId],$A68,tblAkis[YasGun]),0))</f>
        <v/>
      </c>
    </row>
    <row r="69">
      <c r="A69" s="26" t="n"/>
      <c r="B69" s="26" t="n"/>
      <c r="C69" s="26" t="n"/>
      <c r="D69" s="26" t="n"/>
      <c r="E69" s="26" t="n"/>
      <c r="F69" s="27" t="n"/>
      <c r="G69" s="26" t="n"/>
      <c r="H69" s="26" t="n"/>
      <c r="I69" s="28">
        <f>IF($A69="","",SUMIF(tblAvans[KaynakKartId],$A69,tblAvans[KalanBakiye]))</f>
        <v/>
      </c>
      <c r="J69" s="28">
        <f>IF($A69="","",SUMIF(tblAkis[KaynakKartId],$A69,tblAkis[Tutar]))</f>
        <v/>
      </c>
      <c r="K69" s="28">
        <f>IF($A69="","",IFERROR(AVERAGEIF(tblAkis[KaynakKartId],$A69,tblAkis[YasGun]),0))</f>
        <v/>
      </c>
    </row>
    <row r="70">
      <c r="A70" s="26" t="n"/>
      <c r="B70" s="26" t="n"/>
      <c r="C70" s="26" t="n"/>
      <c r="D70" s="26" t="n"/>
      <c r="E70" s="26" t="n"/>
      <c r="F70" s="27" t="n"/>
      <c r="G70" s="26" t="n"/>
      <c r="H70" s="26" t="n"/>
      <c r="I70" s="28">
        <f>IF($A70="","",SUMIF(tblAvans[KaynakKartId],$A70,tblAvans[KalanBakiye]))</f>
        <v/>
      </c>
      <c r="J70" s="28">
        <f>IF($A70="","",SUMIF(tblAkis[KaynakKartId],$A70,tblAkis[Tutar]))</f>
        <v/>
      </c>
      <c r="K70" s="28">
        <f>IF($A70="","",IFERROR(AVERAGEIF(tblAkis[KaynakKartId],$A70,tblAkis[YasGun]),0))</f>
        <v/>
      </c>
    </row>
    <row r="71">
      <c r="A71" s="26" t="n"/>
      <c r="B71" s="26" t="n"/>
      <c r="C71" s="26" t="n"/>
      <c r="D71" s="26" t="n"/>
      <c r="E71" s="26" t="n"/>
      <c r="F71" s="27" t="n"/>
      <c r="G71" s="26" t="n"/>
      <c r="H71" s="26" t="n"/>
      <c r="I71" s="28">
        <f>IF($A71="","",SUMIF(tblAvans[KaynakKartId],$A71,tblAvans[KalanBakiye]))</f>
        <v/>
      </c>
      <c r="J71" s="28">
        <f>IF($A71="","",SUMIF(tblAkis[KaynakKartId],$A71,tblAkis[Tutar]))</f>
        <v/>
      </c>
      <c r="K71" s="28">
        <f>IF($A71="","",IFERROR(AVERAGEIF(tblAkis[KaynakKartId],$A71,tblAkis[YasGun]),0))</f>
        <v/>
      </c>
    </row>
    <row r="72">
      <c r="A72" s="26" t="n"/>
      <c r="B72" s="26" t="n"/>
      <c r="C72" s="26" t="n"/>
      <c r="D72" s="26" t="n"/>
      <c r="E72" s="26" t="n"/>
      <c r="F72" s="27" t="n"/>
      <c r="G72" s="26" t="n"/>
      <c r="H72" s="26" t="n"/>
      <c r="I72" s="28">
        <f>IF($A72="","",SUMIF(tblAvans[KaynakKartId],$A72,tblAvans[KalanBakiye]))</f>
        <v/>
      </c>
      <c r="J72" s="28">
        <f>IF($A72="","",SUMIF(tblAkis[KaynakKartId],$A72,tblAkis[Tutar]))</f>
        <v/>
      </c>
      <c r="K72" s="28">
        <f>IF($A72="","",IFERROR(AVERAGEIF(tblAkis[KaynakKartId],$A72,tblAkis[YasGun]),0))</f>
        <v/>
      </c>
    </row>
    <row r="73">
      <c r="A73" s="26" t="n"/>
      <c r="B73" s="26" t="n"/>
      <c r="C73" s="26" t="n"/>
      <c r="D73" s="26" t="n"/>
      <c r="E73" s="26" t="n"/>
      <c r="F73" s="27" t="n"/>
      <c r="G73" s="26" t="n"/>
      <c r="H73" s="26" t="n"/>
      <c r="I73" s="28">
        <f>IF($A73="","",SUMIF(tblAvans[KaynakKartId],$A73,tblAvans[KalanBakiye]))</f>
        <v/>
      </c>
      <c r="J73" s="28">
        <f>IF($A73="","",SUMIF(tblAkis[KaynakKartId],$A73,tblAkis[Tutar]))</f>
        <v/>
      </c>
      <c r="K73" s="28">
        <f>IF($A73="","",IFERROR(AVERAGEIF(tblAkis[KaynakKartId],$A73,tblAkis[YasGun]),0))</f>
        <v/>
      </c>
    </row>
    <row r="74">
      <c r="A74" s="26" t="n"/>
      <c r="B74" s="26" t="n"/>
      <c r="C74" s="26" t="n"/>
      <c r="D74" s="26" t="n"/>
      <c r="E74" s="26" t="n"/>
      <c r="F74" s="27" t="n"/>
      <c r="G74" s="26" t="n"/>
      <c r="H74" s="26" t="n"/>
      <c r="I74" s="28">
        <f>IF($A74="","",SUMIF(tblAvans[KaynakKartId],$A74,tblAvans[KalanBakiye]))</f>
        <v/>
      </c>
      <c r="J74" s="28">
        <f>IF($A74="","",SUMIF(tblAkis[KaynakKartId],$A74,tblAkis[Tutar]))</f>
        <v/>
      </c>
      <c r="K74" s="28">
        <f>IF($A74="","",IFERROR(AVERAGEIF(tblAkis[KaynakKartId],$A74,tblAkis[YasGun]),0))</f>
        <v/>
      </c>
    </row>
    <row r="75">
      <c r="A75" s="26" t="n"/>
      <c r="B75" s="26" t="n"/>
      <c r="C75" s="26" t="n"/>
      <c r="D75" s="26" t="n"/>
      <c r="E75" s="26" t="n"/>
      <c r="F75" s="27" t="n"/>
      <c r="G75" s="26" t="n"/>
      <c r="H75" s="26" t="n"/>
      <c r="I75" s="28">
        <f>IF($A75="","",SUMIF(tblAvans[KaynakKartId],$A75,tblAvans[KalanBakiye]))</f>
        <v/>
      </c>
      <c r="J75" s="28">
        <f>IF($A75="","",SUMIF(tblAkis[KaynakKartId],$A75,tblAkis[Tutar]))</f>
        <v/>
      </c>
      <c r="K75" s="28">
        <f>IF($A75="","",IFERROR(AVERAGEIF(tblAkis[KaynakKartId],$A75,tblAkis[YasGun]),0))</f>
        <v/>
      </c>
    </row>
    <row r="76">
      <c r="A76" s="26" t="n"/>
      <c r="B76" s="26" t="n"/>
      <c r="C76" s="26" t="n"/>
      <c r="D76" s="26" t="n"/>
      <c r="E76" s="26" t="n"/>
      <c r="F76" s="27" t="n"/>
      <c r="G76" s="26" t="n"/>
      <c r="H76" s="26" t="n"/>
      <c r="I76" s="28">
        <f>IF($A76="","",SUMIF(tblAvans[KaynakKartId],$A76,tblAvans[KalanBakiye]))</f>
        <v/>
      </c>
      <c r="J76" s="28">
        <f>IF($A76="","",SUMIF(tblAkis[KaynakKartId],$A76,tblAkis[Tutar]))</f>
        <v/>
      </c>
      <c r="K76" s="28">
        <f>IF($A76="","",IFERROR(AVERAGEIF(tblAkis[KaynakKartId],$A76,tblAkis[YasGun]),0))</f>
        <v/>
      </c>
    </row>
    <row r="77">
      <c r="A77" s="26" t="n"/>
      <c r="B77" s="26" t="n"/>
      <c r="C77" s="26" t="n"/>
      <c r="D77" s="26" t="n"/>
      <c r="E77" s="26" t="n"/>
      <c r="F77" s="27" t="n"/>
      <c r="G77" s="26" t="n"/>
      <c r="H77" s="26" t="n"/>
      <c r="I77" s="28">
        <f>IF($A77="","",SUMIF(tblAvans[KaynakKartId],$A77,tblAvans[KalanBakiye]))</f>
        <v/>
      </c>
      <c r="J77" s="28">
        <f>IF($A77="","",SUMIF(tblAkis[KaynakKartId],$A77,tblAkis[Tutar]))</f>
        <v/>
      </c>
      <c r="K77" s="28">
        <f>IF($A77="","",IFERROR(AVERAGEIF(tblAkis[KaynakKartId],$A77,tblAkis[YasGun]),0))</f>
        <v/>
      </c>
    </row>
    <row r="78">
      <c r="A78" s="26" t="n"/>
      <c r="B78" s="26" t="n"/>
      <c r="C78" s="26" t="n"/>
      <c r="D78" s="26" t="n"/>
      <c r="E78" s="26" t="n"/>
      <c r="F78" s="27" t="n"/>
      <c r="G78" s="26" t="n"/>
      <c r="H78" s="26" t="n"/>
      <c r="I78" s="28">
        <f>IF($A78="","",SUMIF(tblAvans[KaynakKartId],$A78,tblAvans[KalanBakiye]))</f>
        <v/>
      </c>
      <c r="J78" s="28">
        <f>IF($A78="","",SUMIF(tblAkis[KaynakKartId],$A78,tblAkis[Tutar]))</f>
        <v/>
      </c>
      <c r="K78" s="28">
        <f>IF($A78="","",IFERROR(AVERAGEIF(tblAkis[KaynakKartId],$A78,tblAkis[YasGun]),0))</f>
        <v/>
      </c>
    </row>
    <row r="79">
      <c r="A79" s="26" t="n"/>
      <c r="B79" s="26" t="n"/>
      <c r="C79" s="26" t="n"/>
      <c r="D79" s="26" t="n"/>
      <c r="E79" s="26" t="n"/>
      <c r="F79" s="27" t="n"/>
      <c r="G79" s="26" t="n"/>
      <c r="H79" s="26" t="n"/>
      <c r="I79" s="28">
        <f>IF($A79="","",SUMIF(tblAvans[KaynakKartId],$A79,tblAvans[KalanBakiye]))</f>
        <v/>
      </c>
      <c r="J79" s="28">
        <f>IF($A79="","",SUMIF(tblAkis[KaynakKartId],$A79,tblAkis[Tutar]))</f>
        <v/>
      </c>
      <c r="K79" s="28">
        <f>IF($A79="","",IFERROR(AVERAGEIF(tblAkis[KaynakKartId],$A79,tblAkis[YasGun]),0))</f>
        <v/>
      </c>
    </row>
    <row r="80">
      <c r="A80" s="26" t="n"/>
      <c r="B80" s="26" t="n"/>
      <c r="C80" s="26" t="n"/>
      <c r="D80" s="26" t="n"/>
      <c r="E80" s="26" t="n"/>
      <c r="F80" s="27" t="n"/>
      <c r="G80" s="26" t="n"/>
      <c r="H80" s="26" t="n"/>
      <c r="I80" s="28">
        <f>IF($A80="","",SUMIF(tblAvans[KaynakKartId],$A80,tblAvans[KalanBakiye]))</f>
        <v/>
      </c>
      <c r="J80" s="28">
        <f>IF($A80="","",SUMIF(tblAkis[KaynakKartId],$A80,tblAkis[Tutar]))</f>
        <v/>
      </c>
      <c r="K80" s="28">
        <f>IF($A80="","",IFERROR(AVERAGEIF(tblAkis[KaynakKartId],$A80,tblAkis[YasGun]),0))</f>
        <v/>
      </c>
    </row>
    <row r="81">
      <c r="A81" s="26" t="n"/>
      <c r="B81" s="26" t="n"/>
      <c r="C81" s="26" t="n"/>
      <c r="D81" s="26" t="n"/>
      <c r="E81" s="26" t="n"/>
      <c r="F81" s="27" t="n"/>
      <c r="G81" s="26" t="n"/>
      <c r="H81" s="26" t="n"/>
      <c r="I81" s="28">
        <f>IF($A81="","",SUMIF(tblAvans[KaynakKartId],$A81,tblAvans[KalanBakiye]))</f>
        <v/>
      </c>
      <c r="J81" s="28">
        <f>IF($A81="","",SUMIF(tblAkis[KaynakKartId],$A81,tblAkis[Tutar]))</f>
        <v/>
      </c>
      <c r="K81" s="28">
        <f>IF($A81="","",IFERROR(AVERAGEIF(tblAkis[KaynakKartId],$A81,tblAkis[YasGun]),0))</f>
        <v/>
      </c>
    </row>
    <row r="82">
      <c r="A82" s="26" t="n"/>
      <c r="B82" s="26" t="n"/>
      <c r="C82" s="26" t="n"/>
      <c r="D82" s="26" t="n"/>
      <c r="E82" s="26" t="n"/>
      <c r="F82" s="27" t="n"/>
      <c r="G82" s="26" t="n"/>
      <c r="H82" s="26" t="n"/>
      <c r="I82" s="28">
        <f>IF($A82="","",SUMIF(tblAvans[KaynakKartId],$A82,tblAvans[KalanBakiye]))</f>
        <v/>
      </c>
      <c r="J82" s="28">
        <f>IF($A82="","",SUMIF(tblAkis[KaynakKartId],$A82,tblAkis[Tutar]))</f>
        <v/>
      </c>
      <c r="K82" s="28">
        <f>IF($A82="","",IFERROR(AVERAGEIF(tblAkis[KaynakKartId],$A82,tblAkis[YasGun]),0))</f>
        <v/>
      </c>
    </row>
    <row r="83">
      <c r="A83" s="26" t="n"/>
      <c r="B83" s="26" t="n"/>
      <c r="C83" s="26" t="n"/>
      <c r="D83" s="26" t="n"/>
      <c r="E83" s="26" t="n"/>
      <c r="F83" s="27" t="n"/>
      <c r="G83" s="26" t="n"/>
      <c r="H83" s="26" t="n"/>
      <c r="I83" s="28">
        <f>IF($A83="","",SUMIF(tblAvans[KaynakKartId],$A83,tblAvans[KalanBakiye]))</f>
        <v/>
      </c>
      <c r="J83" s="28">
        <f>IF($A83="","",SUMIF(tblAkis[KaynakKartId],$A83,tblAkis[Tutar]))</f>
        <v/>
      </c>
      <c r="K83" s="28">
        <f>IF($A83="","",IFERROR(AVERAGEIF(tblAkis[KaynakKartId],$A83,tblAkis[YasGun]),0))</f>
        <v/>
      </c>
    </row>
    <row r="84">
      <c r="A84" s="26" t="n"/>
      <c r="B84" s="26" t="n"/>
      <c r="C84" s="26" t="n"/>
      <c r="D84" s="26" t="n"/>
      <c r="E84" s="26" t="n"/>
      <c r="F84" s="27" t="n"/>
      <c r="G84" s="26" t="n"/>
      <c r="H84" s="26" t="n"/>
      <c r="I84" s="28">
        <f>IF($A84="","",SUMIF(tblAvans[KaynakKartId],$A84,tblAvans[KalanBakiye]))</f>
        <v/>
      </c>
      <c r="J84" s="28">
        <f>IF($A84="","",SUMIF(tblAkis[KaynakKartId],$A84,tblAkis[Tutar]))</f>
        <v/>
      </c>
      <c r="K84" s="28">
        <f>IF($A84="","",IFERROR(AVERAGEIF(tblAkis[KaynakKartId],$A84,tblAkis[YasGun]),0))</f>
        <v/>
      </c>
    </row>
    <row r="85">
      <c r="A85" s="26" t="n"/>
      <c r="B85" s="26" t="n"/>
      <c r="C85" s="26" t="n"/>
      <c r="D85" s="26" t="n"/>
      <c r="E85" s="26" t="n"/>
      <c r="F85" s="27" t="n"/>
      <c r="G85" s="26" t="n"/>
      <c r="H85" s="26" t="n"/>
      <c r="I85" s="28">
        <f>IF($A85="","",SUMIF(tblAvans[KaynakKartId],$A85,tblAvans[KalanBakiye]))</f>
        <v/>
      </c>
      <c r="J85" s="28">
        <f>IF($A85="","",SUMIF(tblAkis[KaynakKartId],$A85,tblAkis[Tutar]))</f>
        <v/>
      </c>
      <c r="K85" s="28">
        <f>IF($A85="","",IFERROR(AVERAGEIF(tblAkis[KaynakKartId],$A85,tblAkis[YasGun]),0))</f>
        <v/>
      </c>
    </row>
    <row r="86">
      <c r="A86" s="26" t="n"/>
      <c r="B86" s="26" t="n"/>
      <c r="C86" s="26" t="n"/>
      <c r="D86" s="26" t="n"/>
      <c r="E86" s="26" t="n"/>
      <c r="F86" s="27" t="n"/>
      <c r="G86" s="26" t="n"/>
      <c r="H86" s="26" t="n"/>
      <c r="I86" s="28">
        <f>IF($A86="","",SUMIF(tblAvans[KaynakKartId],$A86,tblAvans[KalanBakiye]))</f>
        <v/>
      </c>
      <c r="J86" s="28">
        <f>IF($A86="","",SUMIF(tblAkis[KaynakKartId],$A86,tblAkis[Tutar]))</f>
        <v/>
      </c>
      <c r="K86" s="28">
        <f>IF($A86="","",IFERROR(AVERAGEIF(tblAkis[KaynakKartId],$A86,tblAkis[YasGun]),0))</f>
        <v/>
      </c>
    </row>
    <row r="87">
      <c r="A87" s="26" t="n"/>
      <c r="B87" s="26" t="n"/>
      <c r="C87" s="26" t="n"/>
      <c r="D87" s="26" t="n"/>
      <c r="E87" s="26" t="n"/>
      <c r="F87" s="27" t="n"/>
      <c r="G87" s="26" t="n"/>
      <c r="H87" s="26" t="n"/>
      <c r="I87" s="28">
        <f>IF($A87="","",SUMIF(tblAvans[KaynakKartId],$A87,tblAvans[KalanBakiye]))</f>
        <v/>
      </c>
      <c r="J87" s="28">
        <f>IF($A87="","",SUMIF(tblAkis[KaynakKartId],$A87,tblAkis[Tutar]))</f>
        <v/>
      </c>
      <c r="K87" s="28">
        <f>IF($A87="","",IFERROR(AVERAGEIF(tblAkis[KaynakKartId],$A87,tblAkis[YasGun]),0))</f>
        <v/>
      </c>
    </row>
    <row r="88">
      <c r="A88" s="26" t="n"/>
      <c r="B88" s="26" t="n"/>
      <c r="C88" s="26" t="n"/>
      <c r="D88" s="26" t="n"/>
      <c r="E88" s="26" t="n"/>
      <c r="F88" s="27" t="n"/>
      <c r="G88" s="26" t="n"/>
      <c r="H88" s="26" t="n"/>
      <c r="I88" s="28">
        <f>IF($A88="","",SUMIF(tblAvans[KaynakKartId],$A88,tblAvans[KalanBakiye]))</f>
        <v/>
      </c>
      <c r="J88" s="28">
        <f>IF($A88="","",SUMIF(tblAkis[KaynakKartId],$A88,tblAkis[Tutar]))</f>
        <v/>
      </c>
      <c r="K88" s="28">
        <f>IF($A88="","",IFERROR(AVERAGEIF(tblAkis[KaynakKartId],$A88,tblAkis[YasGun]),0))</f>
        <v/>
      </c>
    </row>
    <row r="89">
      <c r="A89" s="26" t="n"/>
      <c r="B89" s="26" t="n"/>
      <c r="C89" s="26" t="n"/>
      <c r="D89" s="26" t="n"/>
      <c r="E89" s="26" t="n"/>
      <c r="F89" s="27" t="n"/>
      <c r="G89" s="26" t="n"/>
      <c r="H89" s="26" t="n"/>
      <c r="I89" s="28">
        <f>IF($A89="","",SUMIF(tblAvans[KaynakKartId],$A89,tblAvans[KalanBakiye]))</f>
        <v/>
      </c>
      <c r="J89" s="28">
        <f>IF($A89="","",SUMIF(tblAkis[KaynakKartId],$A89,tblAkis[Tutar]))</f>
        <v/>
      </c>
      <c r="K89" s="28">
        <f>IF($A89="","",IFERROR(AVERAGEIF(tblAkis[KaynakKartId],$A89,tblAkis[YasGun]),0))</f>
        <v/>
      </c>
    </row>
    <row r="90">
      <c r="A90" s="26" t="n"/>
      <c r="B90" s="26" t="n"/>
      <c r="C90" s="26" t="n"/>
      <c r="D90" s="26" t="n"/>
      <c r="E90" s="26" t="n"/>
      <c r="F90" s="27" t="n"/>
      <c r="G90" s="26" t="n"/>
      <c r="H90" s="26" t="n"/>
      <c r="I90" s="28">
        <f>IF($A90="","",SUMIF(tblAvans[KaynakKartId],$A90,tblAvans[KalanBakiye]))</f>
        <v/>
      </c>
      <c r="J90" s="28">
        <f>IF($A90="","",SUMIF(tblAkis[KaynakKartId],$A90,tblAkis[Tutar]))</f>
        <v/>
      </c>
      <c r="K90" s="28">
        <f>IF($A90="","",IFERROR(AVERAGEIF(tblAkis[KaynakKartId],$A90,tblAkis[YasGun]),0))</f>
        <v/>
      </c>
    </row>
    <row r="91">
      <c r="A91" s="26" t="n"/>
      <c r="B91" s="26" t="n"/>
      <c r="C91" s="26" t="n"/>
      <c r="D91" s="26" t="n"/>
      <c r="E91" s="26" t="n"/>
      <c r="F91" s="27" t="n"/>
      <c r="G91" s="26" t="n"/>
      <c r="H91" s="26" t="n"/>
      <c r="I91" s="28">
        <f>IF($A91="","",SUMIF(tblAvans[KaynakKartId],$A91,tblAvans[KalanBakiye]))</f>
        <v/>
      </c>
      <c r="J91" s="28">
        <f>IF($A91="","",SUMIF(tblAkis[KaynakKartId],$A91,tblAkis[Tutar]))</f>
        <v/>
      </c>
      <c r="K91" s="28">
        <f>IF($A91="","",IFERROR(AVERAGEIF(tblAkis[KaynakKartId],$A91,tblAkis[YasGun]),0))</f>
        <v/>
      </c>
    </row>
    <row r="92">
      <c r="A92" s="26" t="n"/>
      <c r="B92" s="26" t="n"/>
      <c r="C92" s="26" t="n"/>
      <c r="D92" s="26" t="n"/>
      <c r="E92" s="26" t="n"/>
      <c r="F92" s="27" t="n"/>
      <c r="G92" s="26" t="n"/>
      <c r="H92" s="26" t="n"/>
      <c r="I92" s="28">
        <f>IF($A92="","",SUMIF(tblAvans[KaynakKartId],$A92,tblAvans[KalanBakiye]))</f>
        <v/>
      </c>
      <c r="J92" s="28">
        <f>IF($A92="","",SUMIF(tblAkis[KaynakKartId],$A92,tblAkis[Tutar]))</f>
        <v/>
      </c>
      <c r="K92" s="28">
        <f>IF($A92="","",IFERROR(AVERAGEIF(tblAkis[KaynakKartId],$A92,tblAkis[YasGun]),0))</f>
        <v/>
      </c>
    </row>
    <row r="93">
      <c r="A93" s="26" t="n"/>
      <c r="B93" s="26" t="n"/>
      <c r="C93" s="26" t="n"/>
      <c r="D93" s="26" t="n"/>
      <c r="E93" s="26" t="n"/>
      <c r="F93" s="27" t="n"/>
      <c r="G93" s="26" t="n"/>
      <c r="H93" s="26" t="n"/>
      <c r="I93" s="28">
        <f>IF($A93="","",SUMIF(tblAvans[KaynakKartId],$A93,tblAvans[KalanBakiye]))</f>
        <v/>
      </c>
      <c r="J93" s="28">
        <f>IF($A93="","",SUMIF(tblAkis[KaynakKartId],$A93,tblAkis[Tutar]))</f>
        <v/>
      </c>
      <c r="K93" s="28">
        <f>IF($A93="","",IFERROR(AVERAGEIF(tblAkis[KaynakKartId],$A93,tblAkis[YasGun]),0))</f>
        <v/>
      </c>
    </row>
    <row r="94">
      <c r="A94" s="26" t="n"/>
      <c r="B94" s="26" t="n"/>
      <c r="C94" s="26" t="n"/>
      <c r="D94" s="26" t="n"/>
      <c r="E94" s="26" t="n"/>
      <c r="F94" s="27" t="n"/>
      <c r="G94" s="26" t="n"/>
      <c r="H94" s="26" t="n"/>
      <c r="I94" s="28">
        <f>IF($A94="","",SUMIF(tblAvans[KaynakKartId],$A94,tblAvans[KalanBakiye]))</f>
        <v/>
      </c>
      <c r="J94" s="28">
        <f>IF($A94="","",SUMIF(tblAkis[KaynakKartId],$A94,tblAkis[Tutar]))</f>
        <v/>
      </c>
      <c r="K94" s="28">
        <f>IF($A94="","",IFERROR(AVERAGEIF(tblAkis[KaynakKartId],$A94,tblAkis[YasGun]),0))</f>
        <v/>
      </c>
    </row>
    <row r="95">
      <c r="A95" s="26" t="n"/>
      <c r="B95" s="26" t="n"/>
      <c r="C95" s="26" t="n"/>
      <c r="D95" s="26" t="n"/>
      <c r="E95" s="26" t="n"/>
      <c r="F95" s="27" t="n"/>
      <c r="G95" s="26" t="n"/>
      <c r="H95" s="26" t="n"/>
      <c r="I95" s="28">
        <f>IF($A95="","",SUMIF(tblAvans[KaynakKartId],$A95,tblAvans[KalanBakiye]))</f>
        <v/>
      </c>
      <c r="J95" s="28">
        <f>IF($A95="","",SUMIF(tblAkis[KaynakKartId],$A95,tblAkis[Tutar]))</f>
        <v/>
      </c>
      <c r="K95" s="28">
        <f>IF($A95="","",IFERROR(AVERAGEIF(tblAkis[KaynakKartId],$A95,tblAkis[YasGun]),0))</f>
        <v/>
      </c>
    </row>
    <row r="96">
      <c r="A96" s="26" t="n"/>
      <c r="B96" s="26" t="n"/>
      <c r="C96" s="26" t="n"/>
      <c r="D96" s="26" t="n"/>
      <c r="E96" s="26" t="n"/>
      <c r="F96" s="27" t="n"/>
      <c r="G96" s="26" t="n"/>
      <c r="H96" s="26" t="n"/>
      <c r="I96" s="28">
        <f>IF($A96="","",SUMIF(tblAvans[KaynakKartId],$A96,tblAvans[KalanBakiye]))</f>
        <v/>
      </c>
      <c r="J96" s="28">
        <f>IF($A96="","",SUMIF(tblAkis[KaynakKartId],$A96,tblAkis[Tutar]))</f>
        <v/>
      </c>
      <c r="K96" s="28">
        <f>IF($A96="","",IFERROR(AVERAGEIF(tblAkis[KaynakKartId],$A96,tblAkis[YasGun]),0))</f>
        <v/>
      </c>
    </row>
    <row r="97">
      <c r="A97" s="26" t="n"/>
      <c r="B97" s="26" t="n"/>
      <c r="C97" s="26" t="n"/>
      <c r="D97" s="26" t="n"/>
      <c r="E97" s="26" t="n"/>
      <c r="F97" s="27" t="n"/>
      <c r="G97" s="26" t="n"/>
      <c r="H97" s="26" t="n"/>
      <c r="I97" s="28">
        <f>IF($A97="","",SUMIF(tblAvans[KaynakKartId],$A97,tblAvans[KalanBakiye]))</f>
        <v/>
      </c>
      <c r="J97" s="28">
        <f>IF($A97="","",SUMIF(tblAkis[KaynakKartId],$A97,tblAkis[Tutar]))</f>
        <v/>
      </c>
      <c r="K97" s="28">
        <f>IF($A97="","",IFERROR(AVERAGEIF(tblAkis[KaynakKartId],$A97,tblAkis[YasGun]),0))</f>
        <v/>
      </c>
    </row>
    <row r="98">
      <c r="A98" s="26" t="n"/>
      <c r="B98" s="26" t="n"/>
      <c r="C98" s="26" t="n"/>
      <c r="D98" s="26" t="n"/>
      <c r="E98" s="26" t="n"/>
      <c r="F98" s="27" t="n"/>
      <c r="G98" s="26" t="n"/>
      <c r="H98" s="26" t="n"/>
      <c r="I98" s="28">
        <f>IF($A98="","",SUMIF(tblAvans[KaynakKartId],$A98,tblAvans[KalanBakiye]))</f>
        <v/>
      </c>
      <c r="J98" s="28">
        <f>IF($A98="","",SUMIF(tblAkis[KaynakKartId],$A98,tblAkis[Tutar]))</f>
        <v/>
      </c>
      <c r="K98" s="28">
        <f>IF($A98="","",IFERROR(AVERAGEIF(tblAkis[KaynakKartId],$A98,tblAkis[YasGun]),0))</f>
        <v/>
      </c>
    </row>
    <row r="99">
      <c r="A99" s="26" t="n"/>
      <c r="B99" s="26" t="n"/>
      <c r="C99" s="26" t="n"/>
      <c r="D99" s="26" t="n"/>
      <c r="E99" s="26" t="n"/>
      <c r="F99" s="27" t="n"/>
      <c r="G99" s="26" t="n"/>
      <c r="H99" s="26" t="n"/>
      <c r="I99" s="28">
        <f>IF($A99="","",SUMIF(tblAvans[KaynakKartId],$A99,tblAvans[KalanBakiye]))</f>
        <v/>
      </c>
      <c r="J99" s="28">
        <f>IF($A99="","",SUMIF(tblAkis[KaynakKartId],$A99,tblAkis[Tutar]))</f>
        <v/>
      </c>
      <c r="K99" s="28">
        <f>IF($A99="","",IFERROR(AVERAGEIF(tblAkis[KaynakKartId],$A99,tblAkis[YasGun]),0))</f>
        <v/>
      </c>
    </row>
    <row r="100">
      <c r="A100" s="26" t="n"/>
      <c r="B100" s="26" t="n"/>
      <c r="C100" s="26" t="n"/>
      <c r="D100" s="26" t="n"/>
      <c r="E100" s="26" t="n"/>
      <c r="F100" s="27" t="n"/>
      <c r="G100" s="26" t="n"/>
      <c r="H100" s="26" t="n"/>
      <c r="I100" s="28">
        <f>IF($A100="","",SUMIF(tblAvans[KaynakKartId],$A100,tblAvans[KalanBakiye]))</f>
        <v/>
      </c>
      <c r="J100" s="28">
        <f>IF($A100="","",SUMIF(tblAkis[KaynakKartId],$A100,tblAkis[Tutar]))</f>
        <v/>
      </c>
      <c r="K100" s="28">
        <f>IF($A100="","",IFERROR(AVERAGEIF(tblAkis[KaynakKartId],$A100,tblAkis[YasGun]),0))</f>
        <v/>
      </c>
    </row>
    <row r="101">
      <c r="A101" s="26" t="n"/>
      <c r="B101" s="26" t="n"/>
      <c r="C101" s="26" t="n"/>
      <c r="D101" s="26" t="n"/>
      <c r="E101" s="26" t="n"/>
      <c r="F101" s="27" t="n"/>
      <c r="G101" s="26" t="n"/>
      <c r="H101" s="26" t="n"/>
      <c r="I101" s="28">
        <f>IF($A101="","",SUMIF(tblAvans[KaynakKartId],$A101,tblAvans[KalanBakiye]))</f>
        <v/>
      </c>
      <c r="J101" s="28">
        <f>IF($A101="","",SUMIF(tblAkis[KaynakKartId],$A101,tblAkis[Tutar]))</f>
        <v/>
      </c>
      <c r="K101" s="28">
        <f>IF($A101="","",IFERROR(AVERAGEIF(tblAkis[KaynakKartId],$A101,tblAkis[YasGun]),0))</f>
        <v/>
      </c>
    </row>
    <row r="102">
      <c r="A102" s="26" t="n"/>
      <c r="B102" s="26" t="n"/>
      <c r="C102" s="26" t="n"/>
      <c r="D102" s="26" t="n"/>
      <c r="E102" s="26" t="n"/>
      <c r="F102" s="27" t="n"/>
      <c r="G102" s="26" t="n"/>
      <c r="H102" s="26" t="n"/>
      <c r="I102" s="28">
        <f>IF($A102="","",SUMIF(tblAvans[KaynakKartId],$A102,tblAvans[KalanBakiye]))</f>
        <v/>
      </c>
      <c r="J102" s="28">
        <f>IF($A102="","",SUMIF(tblAkis[KaynakKartId],$A102,tblAkis[Tutar]))</f>
        <v/>
      </c>
      <c r="K102" s="28">
        <f>IF($A102="","",IFERROR(AVERAGEIF(tblAkis[KaynakKartId],$A102,tblAkis[YasGun]),0))</f>
        <v/>
      </c>
    </row>
    <row r="103">
      <c r="A103" s="26" t="n"/>
      <c r="B103" s="26" t="n"/>
      <c r="C103" s="26" t="n"/>
      <c r="D103" s="26" t="n"/>
      <c r="E103" s="26" t="n"/>
      <c r="F103" s="27" t="n"/>
      <c r="G103" s="26" t="n"/>
      <c r="H103" s="26" t="n"/>
      <c r="I103" s="28">
        <f>IF($A103="","",SUMIF(tblAvans[KaynakKartId],$A103,tblAvans[KalanBakiye]))</f>
        <v/>
      </c>
      <c r="J103" s="28">
        <f>IF($A103="","",SUMIF(tblAkis[KaynakKartId],$A103,tblAkis[Tutar]))</f>
        <v/>
      </c>
      <c r="K103" s="28">
        <f>IF($A103="","",IFERROR(AVERAGEIF(tblAkis[KaynakKartId],$A103,tblAkis[YasGun]),0))</f>
        <v/>
      </c>
    </row>
    <row r="104">
      <c r="A104" s="26" t="n"/>
      <c r="B104" s="26" t="n"/>
      <c r="C104" s="26" t="n"/>
      <c r="D104" s="26" t="n"/>
      <c r="E104" s="26" t="n"/>
      <c r="F104" s="27" t="n"/>
      <c r="G104" s="26" t="n"/>
      <c r="H104" s="26" t="n"/>
      <c r="I104" s="28">
        <f>IF($A104="","",SUMIF(tblAvans[KaynakKartId],$A104,tblAvans[KalanBakiye]))</f>
        <v/>
      </c>
      <c r="J104" s="28">
        <f>IF($A104="","",SUMIF(tblAkis[KaynakKartId],$A104,tblAkis[Tutar]))</f>
        <v/>
      </c>
      <c r="K104" s="28">
        <f>IF($A104="","",IFERROR(AVERAGEIF(tblAkis[KaynakKartId],$A104,tblAkis[YasGun]),0))</f>
        <v/>
      </c>
    </row>
    <row r="105">
      <c r="A105" s="26" t="n"/>
      <c r="B105" s="26" t="n"/>
      <c r="C105" s="26" t="n"/>
      <c r="D105" s="26" t="n"/>
      <c r="E105" s="26" t="n"/>
      <c r="F105" s="27" t="n"/>
      <c r="G105" s="26" t="n"/>
      <c r="H105" s="26" t="n"/>
      <c r="I105" s="28">
        <f>IF($A105="","",SUMIF(tblAvans[KaynakKartId],$A105,tblAvans[KalanBakiye]))</f>
        <v/>
      </c>
      <c r="J105" s="28">
        <f>IF($A105="","",SUMIF(tblAkis[KaynakKartId],$A105,tblAkis[Tutar]))</f>
        <v/>
      </c>
      <c r="K105" s="28">
        <f>IF($A105="","",IFERROR(AVERAGEIF(tblAkis[KaynakKartId],$A105,tblAkis[YasGun]),0))</f>
        <v/>
      </c>
    </row>
    <row r="106">
      <c r="A106" s="26" t="n"/>
      <c r="B106" s="26" t="n"/>
      <c r="C106" s="26" t="n"/>
      <c r="D106" s="26" t="n"/>
      <c r="E106" s="26" t="n"/>
      <c r="F106" s="27" t="n"/>
      <c r="G106" s="26" t="n"/>
      <c r="H106" s="26" t="n"/>
      <c r="I106" s="28">
        <f>IF($A106="","",SUMIF(tblAvans[KaynakKartId],$A106,tblAvans[KalanBakiye]))</f>
        <v/>
      </c>
      <c r="J106" s="28">
        <f>IF($A106="","",SUMIF(tblAkis[KaynakKartId],$A106,tblAkis[Tutar]))</f>
        <v/>
      </c>
      <c r="K106" s="28">
        <f>IF($A106="","",IFERROR(AVERAGEIF(tblAkis[KaynakKartId],$A106,tblAkis[YasGun]),0))</f>
        <v/>
      </c>
    </row>
    <row r="107">
      <c r="A107" s="26" t="n"/>
      <c r="B107" s="26" t="n"/>
      <c r="C107" s="26" t="n"/>
      <c r="D107" s="26" t="n"/>
      <c r="E107" s="26" t="n"/>
      <c r="F107" s="27" t="n"/>
      <c r="G107" s="26" t="n"/>
      <c r="H107" s="26" t="n"/>
      <c r="I107" s="28">
        <f>IF($A107="","",SUMIF(tblAvans[KaynakKartId],$A107,tblAvans[KalanBakiye]))</f>
        <v/>
      </c>
      <c r="J107" s="28">
        <f>IF($A107="","",SUMIF(tblAkis[KaynakKartId],$A107,tblAkis[Tutar]))</f>
        <v/>
      </c>
      <c r="K107" s="28">
        <f>IF($A107="","",IFERROR(AVERAGEIF(tblAkis[KaynakKartId],$A107,tblAkis[YasGun]),0))</f>
        <v/>
      </c>
    </row>
    <row r="108">
      <c r="A108" s="26" t="n"/>
      <c r="B108" s="26" t="n"/>
      <c r="C108" s="26" t="n"/>
      <c r="D108" s="26" t="n"/>
      <c r="E108" s="26" t="n"/>
      <c r="F108" s="27" t="n"/>
      <c r="G108" s="26" t="n"/>
      <c r="H108" s="26" t="n"/>
      <c r="I108" s="28">
        <f>IF($A108="","",SUMIF(tblAvans[KaynakKartId],$A108,tblAvans[KalanBakiye]))</f>
        <v/>
      </c>
      <c r="J108" s="28">
        <f>IF($A108="","",SUMIF(tblAkis[KaynakKartId],$A108,tblAkis[Tutar]))</f>
        <v/>
      </c>
      <c r="K108" s="28">
        <f>IF($A108="","",IFERROR(AVERAGEIF(tblAkis[KaynakKartId],$A108,tblAkis[YasGun]),0))</f>
        <v/>
      </c>
    </row>
    <row r="109">
      <c r="A109" s="26" t="n"/>
      <c r="B109" s="26" t="n"/>
      <c r="C109" s="26" t="n"/>
      <c r="D109" s="26" t="n"/>
      <c r="E109" s="26" t="n"/>
      <c r="F109" s="27" t="n"/>
      <c r="G109" s="26" t="n"/>
      <c r="H109" s="26" t="n"/>
      <c r="I109" s="28">
        <f>IF($A109="","",SUMIF(tblAvans[KaynakKartId],$A109,tblAvans[KalanBakiye]))</f>
        <v/>
      </c>
      <c r="J109" s="28">
        <f>IF($A109="","",SUMIF(tblAkis[KaynakKartId],$A109,tblAkis[Tutar]))</f>
        <v/>
      </c>
      <c r="K109" s="28">
        <f>IF($A109="","",IFERROR(AVERAGEIF(tblAkis[KaynakKartId],$A109,tblAkis[YasGun]),0))</f>
        <v/>
      </c>
    </row>
    <row r="110">
      <c r="A110" s="26" t="n"/>
      <c r="B110" s="26" t="n"/>
      <c r="C110" s="26" t="n"/>
      <c r="D110" s="26" t="n"/>
      <c r="E110" s="26" t="n"/>
      <c r="F110" s="27" t="n"/>
      <c r="G110" s="26" t="n"/>
      <c r="H110" s="26" t="n"/>
      <c r="I110" s="28">
        <f>IF($A110="","",SUMIF(tblAvans[KaynakKartId],$A110,tblAvans[KalanBakiye]))</f>
        <v/>
      </c>
      <c r="J110" s="28">
        <f>IF($A110="","",SUMIF(tblAkis[KaynakKartId],$A110,tblAkis[Tutar]))</f>
        <v/>
      </c>
      <c r="K110" s="28">
        <f>IF($A110="","",IFERROR(AVERAGEIF(tblAkis[KaynakKartId],$A110,tblAkis[YasGun]),0))</f>
        <v/>
      </c>
    </row>
    <row r="111">
      <c r="A111" s="26" t="n"/>
      <c r="B111" s="26" t="n"/>
      <c r="C111" s="26" t="n"/>
      <c r="D111" s="26" t="n"/>
      <c r="E111" s="26" t="n"/>
      <c r="F111" s="27" t="n"/>
      <c r="G111" s="26" t="n"/>
      <c r="H111" s="26" t="n"/>
      <c r="I111" s="28">
        <f>IF($A111="","",SUMIF(tblAvans[KaynakKartId],$A111,tblAvans[KalanBakiye]))</f>
        <v/>
      </c>
      <c r="J111" s="28">
        <f>IF($A111="","",SUMIF(tblAkis[KaynakKartId],$A111,tblAkis[Tutar]))</f>
        <v/>
      </c>
      <c r="K111" s="28">
        <f>IF($A111="","",IFERROR(AVERAGEIF(tblAkis[KaynakKartId],$A111,tblAkis[YasGun]),0))</f>
        <v/>
      </c>
    </row>
    <row r="112">
      <c r="A112" s="26" t="n"/>
      <c r="B112" s="26" t="n"/>
      <c r="C112" s="26" t="n"/>
      <c r="D112" s="26" t="n"/>
      <c r="E112" s="26" t="n"/>
      <c r="F112" s="27" t="n"/>
      <c r="G112" s="26" t="n"/>
      <c r="H112" s="26" t="n"/>
      <c r="I112" s="28">
        <f>IF($A112="","",SUMIF(tblAvans[KaynakKartId],$A112,tblAvans[KalanBakiye]))</f>
        <v/>
      </c>
      <c r="J112" s="28">
        <f>IF($A112="","",SUMIF(tblAkis[KaynakKartId],$A112,tblAkis[Tutar]))</f>
        <v/>
      </c>
      <c r="K112" s="28">
        <f>IF($A112="","",IFERROR(AVERAGEIF(tblAkis[KaynakKartId],$A112,tblAkis[YasGun]),0))</f>
        <v/>
      </c>
    </row>
    <row r="113">
      <c r="A113" s="26" t="n"/>
      <c r="B113" s="26" t="n"/>
      <c r="C113" s="26" t="n"/>
      <c r="D113" s="26" t="n"/>
      <c r="E113" s="26" t="n"/>
      <c r="F113" s="27" t="n"/>
      <c r="G113" s="26" t="n"/>
      <c r="H113" s="26" t="n"/>
      <c r="I113" s="28">
        <f>IF($A113="","",SUMIF(tblAvans[KaynakKartId],$A113,tblAvans[KalanBakiye]))</f>
        <v/>
      </c>
      <c r="J113" s="28">
        <f>IF($A113="","",SUMIF(tblAkis[KaynakKartId],$A113,tblAkis[Tutar]))</f>
        <v/>
      </c>
      <c r="K113" s="28">
        <f>IF($A113="","",IFERROR(AVERAGEIF(tblAkis[KaynakKartId],$A113,tblAkis[YasGun]),0))</f>
        <v/>
      </c>
    </row>
    <row r="114">
      <c r="A114" s="26" t="n"/>
      <c r="B114" s="26" t="n"/>
      <c r="C114" s="26" t="n"/>
      <c r="D114" s="26" t="n"/>
      <c r="E114" s="26" t="n"/>
      <c r="F114" s="27" t="n"/>
      <c r="G114" s="26" t="n"/>
      <c r="H114" s="26" t="n"/>
      <c r="I114" s="28">
        <f>IF($A114="","",SUMIF(tblAvans[KaynakKartId],$A114,tblAvans[KalanBakiye]))</f>
        <v/>
      </c>
      <c r="J114" s="28">
        <f>IF($A114="","",SUMIF(tblAkis[KaynakKartId],$A114,tblAkis[Tutar]))</f>
        <v/>
      </c>
      <c r="K114" s="28">
        <f>IF($A114="","",IFERROR(AVERAGEIF(tblAkis[KaynakKartId],$A114,tblAkis[YasGun]),0))</f>
        <v/>
      </c>
    </row>
    <row r="115">
      <c r="A115" s="26" t="n"/>
      <c r="B115" s="26" t="n"/>
      <c r="C115" s="26" t="n"/>
      <c r="D115" s="26" t="n"/>
      <c r="E115" s="26" t="n"/>
      <c r="F115" s="27" t="n"/>
      <c r="G115" s="26" t="n"/>
      <c r="H115" s="26" t="n"/>
      <c r="I115" s="28">
        <f>IF($A115="","",SUMIF(tblAvans[KaynakKartId],$A115,tblAvans[KalanBakiye]))</f>
        <v/>
      </c>
      <c r="J115" s="28">
        <f>IF($A115="","",SUMIF(tblAkis[KaynakKartId],$A115,tblAkis[Tutar]))</f>
        <v/>
      </c>
      <c r="K115" s="28">
        <f>IF($A115="","",IFERROR(AVERAGEIF(tblAkis[KaynakKartId],$A115,tblAkis[YasGun]),0))</f>
        <v/>
      </c>
    </row>
    <row r="116">
      <c r="A116" s="26" t="n"/>
      <c r="B116" s="26" t="n"/>
      <c r="C116" s="26" t="n"/>
      <c r="D116" s="26" t="n"/>
      <c r="E116" s="26" t="n"/>
      <c r="F116" s="27" t="n"/>
      <c r="G116" s="26" t="n"/>
      <c r="H116" s="26" t="n"/>
      <c r="I116" s="28">
        <f>IF($A116="","",SUMIF(tblAvans[KaynakKartId],$A116,tblAvans[KalanBakiye]))</f>
        <v/>
      </c>
      <c r="J116" s="28">
        <f>IF($A116="","",SUMIF(tblAkis[KaynakKartId],$A116,tblAkis[Tutar]))</f>
        <v/>
      </c>
      <c r="K116" s="28">
        <f>IF($A116="","",IFERROR(AVERAGEIF(tblAkis[KaynakKartId],$A116,tblAkis[YasGun]),0))</f>
        <v/>
      </c>
    </row>
    <row r="117">
      <c r="A117" s="26" t="n"/>
      <c r="B117" s="26" t="n"/>
      <c r="C117" s="26" t="n"/>
      <c r="D117" s="26" t="n"/>
      <c r="E117" s="26" t="n"/>
      <c r="F117" s="27" t="n"/>
      <c r="G117" s="26" t="n"/>
      <c r="H117" s="26" t="n"/>
      <c r="I117" s="28">
        <f>IF($A117="","",SUMIF(tblAvans[KaynakKartId],$A117,tblAvans[KalanBakiye]))</f>
        <v/>
      </c>
      <c r="J117" s="28">
        <f>IF($A117="","",SUMIF(tblAkis[KaynakKartId],$A117,tblAkis[Tutar]))</f>
        <v/>
      </c>
      <c r="K117" s="28">
        <f>IF($A117="","",IFERROR(AVERAGEIF(tblAkis[KaynakKartId],$A117,tblAkis[YasGun]),0))</f>
        <v/>
      </c>
    </row>
    <row r="118">
      <c r="A118" s="26" t="n"/>
      <c r="B118" s="26" t="n"/>
      <c r="C118" s="26" t="n"/>
      <c r="D118" s="26" t="n"/>
      <c r="E118" s="26" t="n"/>
      <c r="F118" s="27" t="n"/>
      <c r="G118" s="26" t="n"/>
      <c r="H118" s="26" t="n"/>
      <c r="I118" s="28">
        <f>IF($A118="","",SUMIF(tblAvans[KaynakKartId],$A118,tblAvans[KalanBakiye]))</f>
        <v/>
      </c>
      <c r="J118" s="28">
        <f>IF($A118="","",SUMIF(tblAkis[KaynakKartId],$A118,tblAkis[Tutar]))</f>
        <v/>
      </c>
      <c r="K118" s="28">
        <f>IF($A118="","",IFERROR(AVERAGEIF(tblAkis[KaynakKartId],$A118,tblAkis[YasGun]),0))</f>
        <v/>
      </c>
    </row>
    <row r="119">
      <c r="A119" s="26" t="n"/>
      <c r="B119" s="26" t="n"/>
      <c r="C119" s="26" t="n"/>
      <c r="D119" s="26" t="n"/>
      <c r="E119" s="26" t="n"/>
      <c r="F119" s="27" t="n"/>
      <c r="G119" s="26" t="n"/>
      <c r="H119" s="26" t="n"/>
      <c r="I119" s="28">
        <f>IF($A119="","",SUMIF(tblAvans[KaynakKartId],$A119,tblAvans[KalanBakiye]))</f>
        <v/>
      </c>
      <c r="J119" s="28">
        <f>IF($A119="","",SUMIF(tblAkis[KaynakKartId],$A119,tblAkis[Tutar]))</f>
        <v/>
      </c>
      <c r="K119" s="28">
        <f>IF($A119="","",IFERROR(AVERAGEIF(tblAkis[KaynakKartId],$A119,tblAkis[YasGun]),0))</f>
        <v/>
      </c>
    </row>
    <row r="120">
      <c r="A120" s="26" t="n"/>
      <c r="B120" s="26" t="n"/>
      <c r="C120" s="26" t="n"/>
      <c r="D120" s="26" t="n"/>
      <c r="E120" s="26" t="n"/>
      <c r="F120" s="27" t="n"/>
      <c r="G120" s="26" t="n"/>
      <c r="H120" s="26" t="n"/>
      <c r="I120" s="28">
        <f>IF($A120="","",SUMIF(tblAvans[KaynakKartId],$A120,tblAvans[KalanBakiye]))</f>
        <v/>
      </c>
      <c r="J120" s="28">
        <f>IF($A120="","",SUMIF(tblAkis[KaynakKartId],$A120,tblAkis[Tutar]))</f>
        <v/>
      </c>
      <c r="K120" s="28">
        <f>IF($A120="","",IFERROR(AVERAGEIF(tblAkis[KaynakKartId],$A120,tblAkis[YasGun]),0))</f>
        <v/>
      </c>
    </row>
    <row r="121">
      <c r="A121" s="26" t="n"/>
      <c r="B121" s="26" t="n"/>
      <c r="C121" s="26" t="n"/>
      <c r="D121" s="26" t="n"/>
      <c r="E121" s="26" t="n"/>
      <c r="F121" s="27" t="n"/>
      <c r="G121" s="26" t="n"/>
      <c r="H121" s="26" t="n"/>
      <c r="I121" s="28">
        <f>IF($A121="","",SUMIF(tblAvans[KaynakKartId],$A121,tblAvans[KalanBakiye]))</f>
        <v/>
      </c>
      <c r="J121" s="28">
        <f>IF($A121="","",SUMIF(tblAkis[KaynakKartId],$A121,tblAkis[Tutar]))</f>
        <v/>
      </c>
      <c r="K121" s="28">
        <f>IF($A121="","",IFERROR(AVERAGEIF(tblAkis[KaynakKartId],$A121,tblAkis[YasGun]),0))</f>
        <v/>
      </c>
    </row>
    <row r="122">
      <c r="A122" s="26" t="n"/>
      <c r="B122" s="26" t="n"/>
      <c r="C122" s="26" t="n"/>
      <c r="D122" s="26" t="n"/>
      <c r="E122" s="26" t="n"/>
      <c r="F122" s="27" t="n"/>
      <c r="G122" s="26" t="n"/>
      <c r="H122" s="26" t="n"/>
      <c r="I122" s="28">
        <f>IF($A122="","",SUMIF(tblAvans[KaynakKartId],$A122,tblAvans[KalanBakiye]))</f>
        <v/>
      </c>
      <c r="J122" s="28">
        <f>IF($A122="","",SUMIF(tblAkis[KaynakKartId],$A122,tblAkis[Tutar]))</f>
        <v/>
      </c>
      <c r="K122" s="28">
        <f>IF($A122="","",IFERROR(AVERAGEIF(tblAkis[KaynakKartId],$A122,tblAkis[YasGun]),0))</f>
        <v/>
      </c>
    </row>
    <row r="123">
      <c r="A123" s="26" t="n"/>
      <c r="B123" s="26" t="n"/>
      <c r="C123" s="26" t="n"/>
      <c r="D123" s="26" t="n"/>
      <c r="E123" s="26" t="n"/>
      <c r="F123" s="27" t="n"/>
      <c r="G123" s="26" t="n"/>
      <c r="H123" s="26" t="n"/>
      <c r="I123" s="28">
        <f>IF($A123="","",SUMIF(tblAvans[KaynakKartId],$A123,tblAvans[KalanBakiye]))</f>
        <v/>
      </c>
      <c r="J123" s="28">
        <f>IF($A123="","",SUMIF(tblAkis[KaynakKartId],$A123,tblAkis[Tutar]))</f>
        <v/>
      </c>
      <c r="K123" s="28">
        <f>IF($A123="","",IFERROR(AVERAGEIF(tblAkis[KaynakKartId],$A123,tblAkis[YasGun]),0))</f>
        <v/>
      </c>
    </row>
    <row r="124">
      <c r="A124" s="26" t="n"/>
      <c r="B124" s="26" t="n"/>
      <c r="C124" s="26" t="n"/>
      <c r="D124" s="26" t="n"/>
      <c r="E124" s="26" t="n"/>
      <c r="F124" s="27" t="n"/>
      <c r="G124" s="26" t="n"/>
      <c r="H124" s="26" t="n"/>
      <c r="I124" s="28">
        <f>IF($A124="","",SUMIF(tblAvans[KaynakKartId],$A124,tblAvans[KalanBakiye]))</f>
        <v/>
      </c>
      <c r="J124" s="28">
        <f>IF($A124="","",SUMIF(tblAkis[KaynakKartId],$A124,tblAkis[Tutar]))</f>
        <v/>
      </c>
      <c r="K124" s="28">
        <f>IF($A124="","",IFERROR(AVERAGEIF(tblAkis[KaynakKartId],$A124,tblAkis[YasGun]),0))</f>
        <v/>
      </c>
    </row>
    <row r="125">
      <c r="A125" s="26" t="n"/>
      <c r="B125" s="26" t="n"/>
      <c r="C125" s="26" t="n"/>
      <c r="D125" s="26" t="n"/>
      <c r="E125" s="26" t="n"/>
      <c r="F125" s="27" t="n"/>
      <c r="G125" s="26" t="n"/>
      <c r="H125" s="26" t="n"/>
      <c r="I125" s="28">
        <f>IF($A125="","",SUMIF(tblAvans[KaynakKartId],$A125,tblAvans[KalanBakiye]))</f>
        <v/>
      </c>
      <c r="J125" s="28">
        <f>IF($A125="","",SUMIF(tblAkis[KaynakKartId],$A125,tblAkis[Tutar]))</f>
        <v/>
      </c>
      <c r="K125" s="28">
        <f>IF($A125="","",IFERROR(AVERAGEIF(tblAkis[KaynakKartId],$A125,tblAkis[YasGun]),0))</f>
        <v/>
      </c>
    </row>
    <row r="126">
      <c r="A126" s="26" t="n"/>
      <c r="B126" s="26" t="n"/>
      <c r="C126" s="26" t="n"/>
      <c r="D126" s="26" t="n"/>
      <c r="E126" s="26" t="n"/>
      <c r="F126" s="27" t="n"/>
      <c r="G126" s="26" t="n"/>
      <c r="H126" s="26" t="n"/>
      <c r="I126" s="28">
        <f>IF($A126="","",SUMIF(tblAvans[KaynakKartId],$A126,tblAvans[KalanBakiye]))</f>
        <v/>
      </c>
      <c r="J126" s="28">
        <f>IF($A126="","",SUMIF(tblAkis[KaynakKartId],$A126,tblAkis[Tutar]))</f>
        <v/>
      </c>
      <c r="K126" s="28">
        <f>IF($A126="","",IFERROR(AVERAGEIF(tblAkis[KaynakKartId],$A126,tblAkis[YasGun]),0))</f>
        <v/>
      </c>
    </row>
    <row r="127">
      <c r="A127" s="26" t="n"/>
      <c r="B127" s="26" t="n"/>
      <c r="C127" s="26" t="n"/>
      <c r="D127" s="26" t="n"/>
      <c r="E127" s="26" t="n"/>
      <c r="F127" s="27" t="n"/>
      <c r="G127" s="26" t="n"/>
      <c r="H127" s="26" t="n"/>
      <c r="I127" s="28">
        <f>IF($A127="","",SUMIF(tblAvans[KaynakKartId],$A127,tblAvans[KalanBakiye]))</f>
        <v/>
      </c>
      <c r="J127" s="28">
        <f>IF($A127="","",SUMIF(tblAkis[KaynakKartId],$A127,tblAkis[Tutar]))</f>
        <v/>
      </c>
      <c r="K127" s="28">
        <f>IF($A127="","",IFERROR(AVERAGEIF(tblAkis[KaynakKartId],$A127,tblAkis[YasGun]),0))</f>
        <v/>
      </c>
    </row>
    <row r="128">
      <c r="A128" s="26" t="n"/>
      <c r="B128" s="26" t="n"/>
      <c r="C128" s="26" t="n"/>
      <c r="D128" s="26" t="n"/>
      <c r="E128" s="26" t="n"/>
      <c r="F128" s="27" t="n"/>
      <c r="G128" s="26" t="n"/>
      <c r="H128" s="26" t="n"/>
      <c r="I128" s="28">
        <f>IF($A128="","",SUMIF(tblAvans[KaynakKartId],$A128,tblAvans[KalanBakiye]))</f>
        <v/>
      </c>
      <c r="J128" s="28">
        <f>IF($A128="","",SUMIF(tblAkis[KaynakKartId],$A128,tblAkis[Tutar]))</f>
        <v/>
      </c>
      <c r="K128" s="28">
        <f>IF($A128="","",IFERROR(AVERAGEIF(tblAkis[KaynakKartId],$A128,tblAkis[YasGun]),0))</f>
        <v/>
      </c>
    </row>
    <row r="129">
      <c r="A129" s="26" t="n"/>
      <c r="B129" s="26" t="n"/>
      <c r="C129" s="26" t="n"/>
      <c r="D129" s="26" t="n"/>
      <c r="E129" s="26" t="n"/>
      <c r="F129" s="27" t="n"/>
      <c r="G129" s="26" t="n"/>
      <c r="H129" s="26" t="n"/>
      <c r="I129" s="28">
        <f>IF($A129="","",SUMIF(tblAvans[KaynakKartId],$A129,tblAvans[KalanBakiye]))</f>
        <v/>
      </c>
      <c r="J129" s="28">
        <f>IF($A129="","",SUMIF(tblAkis[KaynakKartId],$A129,tblAkis[Tutar]))</f>
        <v/>
      </c>
      <c r="K129" s="28">
        <f>IF($A129="","",IFERROR(AVERAGEIF(tblAkis[KaynakKartId],$A129,tblAkis[YasGun]),0))</f>
        <v/>
      </c>
    </row>
    <row r="130">
      <c r="A130" s="26" t="n"/>
      <c r="B130" s="26" t="n"/>
      <c r="C130" s="26" t="n"/>
      <c r="D130" s="26" t="n"/>
      <c r="E130" s="26" t="n"/>
      <c r="F130" s="27" t="n"/>
      <c r="G130" s="26" t="n"/>
      <c r="H130" s="26" t="n"/>
      <c r="I130" s="28">
        <f>IF($A130="","",SUMIF(tblAvans[KaynakKartId],$A130,tblAvans[KalanBakiye]))</f>
        <v/>
      </c>
      <c r="J130" s="28">
        <f>IF($A130="","",SUMIF(tblAkis[KaynakKartId],$A130,tblAkis[Tutar]))</f>
        <v/>
      </c>
      <c r="K130" s="28">
        <f>IF($A130="","",IFERROR(AVERAGEIF(tblAkis[KaynakKartId],$A130,tblAkis[YasGun]),0))</f>
        <v/>
      </c>
    </row>
    <row r="131">
      <c r="A131" s="26" t="n"/>
      <c r="B131" s="26" t="n"/>
      <c r="C131" s="26" t="n"/>
      <c r="D131" s="26" t="n"/>
      <c r="E131" s="26" t="n"/>
      <c r="F131" s="27" t="n"/>
      <c r="G131" s="26" t="n"/>
      <c r="H131" s="26" t="n"/>
      <c r="I131" s="28">
        <f>IF($A131="","",SUMIF(tblAvans[KaynakKartId],$A131,tblAvans[KalanBakiye]))</f>
        <v/>
      </c>
      <c r="J131" s="28">
        <f>IF($A131="","",SUMIF(tblAkis[KaynakKartId],$A131,tblAkis[Tutar]))</f>
        <v/>
      </c>
      <c r="K131" s="28">
        <f>IF($A131="","",IFERROR(AVERAGEIF(tblAkis[KaynakKartId],$A131,tblAkis[YasGun]),0))</f>
        <v/>
      </c>
    </row>
    <row r="132">
      <c r="A132" s="26" t="n"/>
      <c r="B132" s="26" t="n"/>
      <c r="C132" s="26" t="n"/>
      <c r="D132" s="26" t="n"/>
      <c r="E132" s="26" t="n"/>
      <c r="F132" s="27" t="n"/>
      <c r="G132" s="26" t="n"/>
      <c r="H132" s="26" t="n"/>
      <c r="I132" s="28">
        <f>IF($A132="","",SUMIF(tblAvans[KaynakKartId],$A132,tblAvans[KalanBakiye]))</f>
        <v/>
      </c>
      <c r="J132" s="28">
        <f>IF($A132="","",SUMIF(tblAkis[KaynakKartId],$A132,tblAkis[Tutar]))</f>
        <v/>
      </c>
      <c r="K132" s="28">
        <f>IF($A132="","",IFERROR(AVERAGEIF(tblAkis[KaynakKartId],$A132,tblAkis[YasGun]),0))</f>
        <v/>
      </c>
    </row>
    <row r="133">
      <c r="A133" s="26" t="n"/>
      <c r="B133" s="26" t="n"/>
      <c r="C133" s="26" t="n"/>
      <c r="D133" s="26" t="n"/>
      <c r="E133" s="26" t="n"/>
      <c r="F133" s="27" t="n"/>
      <c r="G133" s="26" t="n"/>
      <c r="H133" s="26" t="n"/>
      <c r="I133" s="28">
        <f>IF($A133="","",SUMIF(tblAvans[KaynakKartId],$A133,tblAvans[KalanBakiye]))</f>
        <v/>
      </c>
      <c r="J133" s="28">
        <f>IF($A133="","",SUMIF(tblAkis[KaynakKartId],$A133,tblAkis[Tutar]))</f>
        <v/>
      </c>
      <c r="K133" s="28">
        <f>IF($A133="","",IFERROR(AVERAGEIF(tblAkis[KaynakKartId],$A133,tblAkis[YasGun]),0))</f>
        <v/>
      </c>
    </row>
    <row r="134">
      <c r="A134" s="26" t="n"/>
      <c r="B134" s="26" t="n"/>
      <c r="C134" s="26" t="n"/>
      <c r="D134" s="26" t="n"/>
      <c r="E134" s="26" t="n"/>
      <c r="F134" s="27" t="n"/>
      <c r="G134" s="26" t="n"/>
      <c r="H134" s="26" t="n"/>
      <c r="I134" s="28">
        <f>IF($A134="","",SUMIF(tblAvans[KaynakKartId],$A134,tblAvans[KalanBakiye]))</f>
        <v/>
      </c>
      <c r="J134" s="28">
        <f>IF($A134="","",SUMIF(tblAkis[KaynakKartId],$A134,tblAkis[Tutar]))</f>
        <v/>
      </c>
      <c r="K134" s="28">
        <f>IF($A134="","",IFERROR(AVERAGEIF(tblAkis[KaynakKartId],$A134,tblAkis[YasGun]),0))</f>
        <v/>
      </c>
    </row>
    <row r="135">
      <c r="A135" s="26" t="n"/>
      <c r="B135" s="26" t="n"/>
      <c r="C135" s="26" t="n"/>
      <c r="D135" s="26" t="n"/>
      <c r="E135" s="26" t="n"/>
      <c r="F135" s="27" t="n"/>
      <c r="G135" s="26" t="n"/>
      <c r="H135" s="26" t="n"/>
      <c r="I135" s="28">
        <f>IF($A135="","",SUMIF(tblAvans[KaynakKartId],$A135,tblAvans[KalanBakiye]))</f>
        <v/>
      </c>
      <c r="J135" s="28">
        <f>IF($A135="","",SUMIF(tblAkis[KaynakKartId],$A135,tblAkis[Tutar]))</f>
        <v/>
      </c>
      <c r="K135" s="28">
        <f>IF($A135="","",IFERROR(AVERAGEIF(tblAkis[KaynakKartId],$A135,tblAkis[YasGun]),0))</f>
        <v/>
      </c>
    </row>
    <row r="136">
      <c r="A136" s="26" t="n"/>
      <c r="B136" s="26" t="n"/>
      <c r="C136" s="26" t="n"/>
      <c r="D136" s="26" t="n"/>
      <c r="E136" s="26" t="n"/>
      <c r="F136" s="27" t="n"/>
      <c r="G136" s="26" t="n"/>
      <c r="H136" s="26" t="n"/>
      <c r="I136" s="28">
        <f>IF($A136="","",SUMIF(tblAvans[KaynakKartId],$A136,tblAvans[KalanBakiye]))</f>
        <v/>
      </c>
      <c r="J136" s="28">
        <f>IF($A136="","",SUMIF(tblAkis[KaynakKartId],$A136,tblAkis[Tutar]))</f>
        <v/>
      </c>
      <c r="K136" s="28">
        <f>IF($A136="","",IFERROR(AVERAGEIF(tblAkis[KaynakKartId],$A136,tblAkis[YasGun]),0))</f>
        <v/>
      </c>
    </row>
    <row r="137">
      <c r="A137" s="26" t="n"/>
      <c r="B137" s="26" t="n"/>
      <c r="C137" s="26" t="n"/>
      <c r="D137" s="26" t="n"/>
      <c r="E137" s="26" t="n"/>
      <c r="F137" s="27" t="n"/>
      <c r="G137" s="26" t="n"/>
      <c r="H137" s="26" t="n"/>
      <c r="I137" s="28">
        <f>IF($A137="","",SUMIF(tblAvans[KaynakKartId],$A137,tblAvans[KalanBakiye]))</f>
        <v/>
      </c>
      <c r="J137" s="28">
        <f>IF($A137="","",SUMIF(tblAkis[KaynakKartId],$A137,tblAkis[Tutar]))</f>
        <v/>
      </c>
      <c r="K137" s="28">
        <f>IF($A137="","",IFERROR(AVERAGEIF(tblAkis[KaynakKartId],$A137,tblAkis[YasGun]),0))</f>
        <v/>
      </c>
    </row>
    <row r="138">
      <c r="A138" s="26" t="n"/>
      <c r="B138" s="26" t="n"/>
      <c r="C138" s="26" t="n"/>
      <c r="D138" s="26" t="n"/>
      <c r="E138" s="26" t="n"/>
      <c r="F138" s="27" t="n"/>
      <c r="G138" s="26" t="n"/>
      <c r="H138" s="26" t="n"/>
      <c r="I138" s="28">
        <f>IF($A138="","",SUMIF(tblAvans[KaynakKartId],$A138,tblAvans[KalanBakiye]))</f>
        <v/>
      </c>
      <c r="J138" s="28">
        <f>IF($A138="","",SUMIF(tblAkis[KaynakKartId],$A138,tblAkis[Tutar]))</f>
        <v/>
      </c>
      <c r="K138" s="28">
        <f>IF($A138="","",IFERROR(AVERAGEIF(tblAkis[KaynakKartId],$A138,tblAkis[YasGun]),0))</f>
        <v/>
      </c>
    </row>
    <row r="139">
      <c r="A139" s="26" t="n"/>
      <c r="B139" s="26" t="n"/>
      <c r="C139" s="26" t="n"/>
      <c r="D139" s="26" t="n"/>
      <c r="E139" s="26" t="n"/>
      <c r="F139" s="27" t="n"/>
      <c r="G139" s="26" t="n"/>
      <c r="H139" s="26" t="n"/>
      <c r="I139" s="28">
        <f>IF($A139="","",SUMIF(tblAvans[KaynakKartId],$A139,tblAvans[KalanBakiye]))</f>
        <v/>
      </c>
      <c r="J139" s="28">
        <f>IF($A139="","",SUMIF(tblAkis[KaynakKartId],$A139,tblAkis[Tutar]))</f>
        <v/>
      </c>
      <c r="K139" s="28">
        <f>IF($A139="","",IFERROR(AVERAGEIF(tblAkis[KaynakKartId],$A139,tblAkis[YasGun]),0))</f>
        <v/>
      </c>
    </row>
    <row r="140">
      <c r="A140" s="26" t="n"/>
      <c r="B140" s="26" t="n"/>
      <c r="C140" s="26" t="n"/>
      <c r="D140" s="26" t="n"/>
      <c r="E140" s="26" t="n"/>
      <c r="F140" s="27" t="n"/>
      <c r="G140" s="26" t="n"/>
      <c r="H140" s="26" t="n"/>
      <c r="I140" s="28">
        <f>IF($A140="","",SUMIF(tblAvans[KaynakKartId],$A140,tblAvans[KalanBakiye]))</f>
        <v/>
      </c>
      <c r="J140" s="28">
        <f>IF($A140="","",SUMIF(tblAkis[KaynakKartId],$A140,tblAkis[Tutar]))</f>
        <v/>
      </c>
      <c r="K140" s="28">
        <f>IF($A140="","",IFERROR(AVERAGEIF(tblAkis[KaynakKartId],$A140,tblAkis[YasGun]),0))</f>
        <v/>
      </c>
    </row>
    <row r="141">
      <c r="A141" s="26" t="n"/>
      <c r="B141" s="26" t="n"/>
      <c r="C141" s="26" t="n"/>
      <c r="D141" s="26" t="n"/>
      <c r="E141" s="26" t="n"/>
      <c r="F141" s="27" t="n"/>
      <c r="G141" s="26" t="n"/>
      <c r="H141" s="26" t="n"/>
      <c r="I141" s="28">
        <f>IF($A141="","",SUMIF(tblAvans[KaynakKartId],$A141,tblAvans[KalanBakiye]))</f>
        <v/>
      </c>
      <c r="J141" s="28">
        <f>IF($A141="","",SUMIF(tblAkis[KaynakKartId],$A141,tblAkis[Tutar]))</f>
        <v/>
      </c>
      <c r="K141" s="28">
        <f>IF($A141="","",IFERROR(AVERAGEIF(tblAkis[KaynakKartId],$A141,tblAkis[YasGun]),0))</f>
        <v/>
      </c>
    </row>
    <row r="142">
      <c r="A142" s="26" t="n"/>
      <c r="B142" s="26" t="n"/>
      <c r="C142" s="26" t="n"/>
      <c r="D142" s="26" t="n"/>
      <c r="E142" s="26" t="n"/>
      <c r="F142" s="27" t="n"/>
      <c r="G142" s="26" t="n"/>
      <c r="H142" s="26" t="n"/>
      <c r="I142" s="28">
        <f>IF($A142="","",SUMIF(tblAvans[KaynakKartId],$A142,tblAvans[KalanBakiye]))</f>
        <v/>
      </c>
      <c r="J142" s="28">
        <f>IF($A142="","",SUMIF(tblAkis[KaynakKartId],$A142,tblAkis[Tutar]))</f>
        <v/>
      </c>
      <c r="K142" s="28">
        <f>IF($A142="","",IFERROR(AVERAGEIF(tblAkis[KaynakKartId],$A142,tblAkis[YasGun]),0))</f>
        <v/>
      </c>
    </row>
    <row r="143">
      <c r="A143" s="26" t="n"/>
      <c r="B143" s="26" t="n"/>
      <c r="C143" s="26" t="n"/>
      <c r="D143" s="26" t="n"/>
      <c r="E143" s="26" t="n"/>
      <c r="F143" s="27" t="n"/>
      <c r="G143" s="26" t="n"/>
      <c r="H143" s="26" t="n"/>
      <c r="I143" s="28">
        <f>IF($A143="","",SUMIF(tblAvans[KaynakKartId],$A143,tblAvans[KalanBakiye]))</f>
        <v/>
      </c>
      <c r="J143" s="28">
        <f>IF($A143="","",SUMIF(tblAkis[KaynakKartId],$A143,tblAkis[Tutar]))</f>
        <v/>
      </c>
      <c r="K143" s="28">
        <f>IF($A143="","",IFERROR(AVERAGEIF(tblAkis[KaynakKartId],$A143,tblAkis[YasGun]),0))</f>
        <v/>
      </c>
    </row>
    <row r="144">
      <c r="A144" s="26" t="n"/>
      <c r="B144" s="26" t="n"/>
      <c r="C144" s="26" t="n"/>
      <c r="D144" s="26" t="n"/>
      <c r="E144" s="26" t="n"/>
      <c r="F144" s="27" t="n"/>
      <c r="G144" s="26" t="n"/>
      <c r="H144" s="26" t="n"/>
      <c r="I144" s="28">
        <f>IF($A144="","",SUMIF(tblAvans[KaynakKartId],$A144,tblAvans[KalanBakiye]))</f>
        <v/>
      </c>
      <c r="J144" s="28">
        <f>IF($A144="","",SUMIF(tblAkis[KaynakKartId],$A144,tblAkis[Tutar]))</f>
        <v/>
      </c>
      <c r="K144" s="28">
        <f>IF($A144="","",IFERROR(AVERAGEIF(tblAkis[KaynakKartId],$A144,tblAkis[YasGun]),0))</f>
        <v/>
      </c>
    </row>
    <row r="145">
      <c r="A145" s="26" t="n"/>
      <c r="B145" s="26" t="n"/>
      <c r="C145" s="26" t="n"/>
      <c r="D145" s="26" t="n"/>
      <c r="E145" s="26" t="n"/>
      <c r="F145" s="27" t="n"/>
      <c r="G145" s="26" t="n"/>
      <c r="H145" s="26" t="n"/>
      <c r="I145" s="28">
        <f>IF($A145="","",SUMIF(tblAvans[KaynakKartId],$A145,tblAvans[KalanBakiye]))</f>
        <v/>
      </c>
      <c r="J145" s="28">
        <f>IF($A145="","",SUMIF(tblAkis[KaynakKartId],$A145,tblAkis[Tutar]))</f>
        <v/>
      </c>
      <c r="K145" s="28">
        <f>IF($A145="","",IFERROR(AVERAGEIF(tblAkis[KaynakKartId],$A145,tblAkis[YasGun]),0))</f>
        <v/>
      </c>
    </row>
    <row r="146">
      <c r="A146" s="26" t="n"/>
      <c r="B146" s="26" t="n"/>
      <c r="C146" s="26" t="n"/>
      <c r="D146" s="26" t="n"/>
      <c r="E146" s="26" t="n"/>
      <c r="F146" s="27" t="n"/>
      <c r="G146" s="26" t="n"/>
      <c r="H146" s="26" t="n"/>
      <c r="I146" s="28">
        <f>IF($A146="","",SUMIF(tblAvans[KaynakKartId],$A146,tblAvans[KalanBakiye]))</f>
        <v/>
      </c>
      <c r="J146" s="28">
        <f>IF($A146="","",SUMIF(tblAkis[KaynakKartId],$A146,tblAkis[Tutar]))</f>
        <v/>
      </c>
      <c r="K146" s="28">
        <f>IF($A146="","",IFERROR(AVERAGEIF(tblAkis[KaynakKartId],$A146,tblAkis[YasGun]),0))</f>
        <v/>
      </c>
    </row>
    <row r="147">
      <c r="A147" s="26" t="n"/>
      <c r="B147" s="26" t="n"/>
      <c r="C147" s="26" t="n"/>
      <c r="D147" s="26" t="n"/>
      <c r="E147" s="26" t="n"/>
      <c r="F147" s="27" t="n"/>
      <c r="G147" s="26" t="n"/>
      <c r="H147" s="26" t="n"/>
      <c r="I147" s="28">
        <f>IF($A147="","",SUMIF(tblAvans[KaynakKartId],$A147,tblAvans[KalanBakiye]))</f>
        <v/>
      </c>
      <c r="J147" s="28">
        <f>IF($A147="","",SUMIF(tblAkis[KaynakKartId],$A147,tblAkis[Tutar]))</f>
        <v/>
      </c>
      <c r="K147" s="28">
        <f>IF($A147="","",IFERROR(AVERAGEIF(tblAkis[KaynakKartId],$A147,tblAkis[YasGun]),0))</f>
        <v/>
      </c>
    </row>
    <row r="148">
      <c r="A148" s="26" t="n"/>
      <c r="B148" s="26" t="n"/>
      <c r="C148" s="26" t="n"/>
      <c r="D148" s="26" t="n"/>
      <c r="E148" s="26" t="n"/>
      <c r="F148" s="27" t="n"/>
      <c r="G148" s="26" t="n"/>
      <c r="H148" s="26" t="n"/>
      <c r="I148" s="28">
        <f>IF($A148="","",SUMIF(tblAvans[KaynakKartId],$A148,tblAvans[KalanBakiye]))</f>
        <v/>
      </c>
      <c r="J148" s="28">
        <f>IF($A148="","",SUMIF(tblAkis[KaynakKartId],$A148,tblAkis[Tutar]))</f>
        <v/>
      </c>
      <c r="K148" s="28">
        <f>IF($A148="","",IFERROR(AVERAGEIF(tblAkis[KaynakKartId],$A148,tblAkis[YasGun]),0))</f>
        <v/>
      </c>
    </row>
    <row r="149">
      <c r="A149" s="26" t="n"/>
      <c r="B149" s="26" t="n"/>
      <c r="C149" s="26" t="n"/>
      <c r="D149" s="26" t="n"/>
      <c r="E149" s="26" t="n"/>
      <c r="F149" s="27" t="n"/>
      <c r="G149" s="26" t="n"/>
      <c r="H149" s="26" t="n"/>
      <c r="I149" s="28">
        <f>IF($A149="","",SUMIF(tblAvans[KaynakKartId],$A149,tblAvans[KalanBakiye]))</f>
        <v/>
      </c>
      <c r="J149" s="28">
        <f>IF($A149="","",SUMIF(tblAkis[KaynakKartId],$A149,tblAkis[Tutar]))</f>
        <v/>
      </c>
      <c r="K149" s="28">
        <f>IF($A149="","",IFERROR(AVERAGEIF(tblAkis[KaynakKartId],$A149,tblAkis[YasGun]),0))</f>
        <v/>
      </c>
    </row>
    <row r="150">
      <c r="A150" s="26" t="n"/>
      <c r="B150" s="26" t="n"/>
      <c r="C150" s="26" t="n"/>
      <c r="D150" s="26" t="n"/>
      <c r="E150" s="26" t="n"/>
      <c r="F150" s="27" t="n"/>
      <c r="G150" s="26" t="n"/>
      <c r="H150" s="26" t="n"/>
      <c r="I150" s="28">
        <f>IF($A150="","",SUMIF(tblAvans[KaynakKartId],$A150,tblAvans[KalanBakiye]))</f>
        <v/>
      </c>
      <c r="J150" s="28">
        <f>IF($A150="","",SUMIF(tblAkis[KaynakKartId],$A150,tblAkis[Tutar]))</f>
        <v/>
      </c>
      <c r="K150" s="28">
        <f>IF($A150="","",IFERROR(AVERAGEIF(tblAkis[KaynakKartId],$A150,tblAkis[YasGun]),0))</f>
        <v/>
      </c>
    </row>
    <row r="151">
      <c r="A151" s="26" t="n"/>
      <c r="B151" s="26" t="n"/>
      <c r="C151" s="26" t="n"/>
      <c r="D151" s="26" t="n"/>
      <c r="E151" s="26" t="n"/>
      <c r="F151" s="27" t="n"/>
      <c r="G151" s="26" t="n"/>
      <c r="H151" s="26" t="n"/>
      <c r="I151" s="28">
        <f>IF($A151="","",SUMIF(tblAvans[KaynakKartId],$A151,tblAvans[KalanBakiye]))</f>
        <v/>
      </c>
      <c r="J151" s="28">
        <f>IF($A151="","",SUMIF(tblAkis[KaynakKartId],$A151,tblAkis[Tutar]))</f>
        <v/>
      </c>
      <c r="K151" s="28">
        <f>IF($A151="","",IFERROR(AVERAGEIF(tblAkis[KaynakKartId],$A151,tblAkis[YasGun]),0))</f>
        <v/>
      </c>
    </row>
    <row r="152">
      <c r="A152" s="26" t="n"/>
      <c r="B152" s="26" t="n"/>
      <c r="C152" s="26" t="n"/>
      <c r="D152" s="26" t="n"/>
      <c r="E152" s="26" t="n"/>
      <c r="F152" s="27" t="n"/>
      <c r="G152" s="26" t="n"/>
      <c r="H152" s="26" t="n"/>
      <c r="I152" s="28">
        <f>IF($A152="","",SUMIF(tblAvans[KaynakKartId],$A152,tblAvans[KalanBakiye]))</f>
        <v/>
      </c>
      <c r="J152" s="28">
        <f>IF($A152="","",SUMIF(tblAkis[KaynakKartId],$A152,tblAkis[Tutar]))</f>
        <v/>
      </c>
      <c r="K152" s="28">
        <f>IF($A152="","",IFERROR(AVERAGEIF(tblAkis[KaynakKartId],$A152,tblAkis[YasGun]),0))</f>
        <v/>
      </c>
    </row>
    <row r="153">
      <c r="A153" s="26" t="n"/>
      <c r="B153" s="26" t="n"/>
      <c r="C153" s="26" t="n"/>
      <c r="D153" s="26" t="n"/>
      <c r="E153" s="26" t="n"/>
      <c r="F153" s="27" t="n"/>
      <c r="G153" s="26" t="n"/>
      <c r="H153" s="26" t="n"/>
      <c r="I153" s="28">
        <f>IF($A153="","",SUMIF(tblAvans[KaynakKartId],$A153,tblAvans[KalanBakiye]))</f>
        <v/>
      </c>
      <c r="J153" s="28">
        <f>IF($A153="","",SUMIF(tblAkis[KaynakKartId],$A153,tblAkis[Tutar]))</f>
        <v/>
      </c>
      <c r="K153" s="28">
        <f>IF($A153="","",IFERROR(AVERAGEIF(tblAkis[KaynakKartId],$A153,tblAkis[YasGun]),0))</f>
        <v/>
      </c>
    </row>
    <row r="154">
      <c r="A154" s="26" t="n"/>
      <c r="B154" s="26" t="n"/>
      <c r="C154" s="26" t="n"/>
      <c r="D154" s="26" t="n"/>
      <c r="E154" s="26" t="n"/>
      <c r="F154" s="27" t="n"/>
      <c r="G154" s="26" t="n"/>
      <c r="H154" s="26" t="n"/>
      <c r="I154" s="28">
        <f>IF($A154="","",SUMIF(tblAvans[KaynakKartId],$A154,tblAvans[KalanBakiye]))</f>
        <v/>
      </c>
      <c r="J154" s="28">
        <f>IF($A154="","",SUMIF(tblAkis[KaynakKartId],$A154,tblAkis[Tutar]))</f>
        <v/>
      </c>
      <c r="K154" s="28">
        <f>IF($A154="","",IFERROR(AVERAGEIF(tblAkis[KaynakKartId],$A154,tblAkis[YasGun]),0))</f>
        <v/>
      </c>
    </row>
    <row r="155">
      <c r="A155" s="26" t="n"/>
      <c r="B155" s="26" t="n"/>
      <c r="C155" s="26" t="n"/>
      <c r="D155" s="26" t="n"/>
      <c r="E155" s="26" t="n"/>
      <c r="F155" s="27" t="n"/>
      <c r="G155" s="26" t="n"/>
      <c r="H155" s="26" t="n"/>
      <c r="I155" s="28">
        <f>IF($A155="","",SUMIF(tblAvans[KaynakKartId],$A155,tblAvans[KalanBakiye]))</f>
        <v/>
      </c>
      <c r="J155" s="28">
        <f>IF($A155="","",SUMIF(tblAkis[KaynakKartId],$A155,tblAkis[Tutar]))</f>
        <v/>
      </c>
      <c r="K155" s="28">
        <f>IF($A155="","",IFERROR(AVERAGEIF(tblAkis[KaynakKartId],$A155,tblAkis[YasGun]),0))</f>
        <v/>
      </c>
    </row>
    <row r="156">
      <c r="A156" s="26" t="n"/>
      <c r="B156" s="26" t="n"/>
      <c r="C156" s="26" t="n"/>
      <c r="D156" s="26" t="n"/>
      <c r="E156" s="26" t="n"/>
      <c r="F156" s="27" t="n"/>
      <c r="G156" s="26" t="n"/>
      <c r="H156" s="26" t="n"/>
      <c r="I156" s="28">
        <f>IF($A156="","",SUMIF(tblAvans[KaynakKartId],$A156,tblAvans[KalanBakiye]))</f>
        <v/>
      </c>
      <c r="J156" s="28">
        <f>IF($A156="","",SUMIF(tblAkis[KaynakKartId],$A156,tblAkis[Tutar]))</f>
        <v/>
      </c>
      <c r="K156" s="28">
        <f>IF($A156="","",IFERROR(AVERAGEIF(tblAkis[KaynakKartId],$A156,tblAkis[YasGun]),0))</f>
        <v/>
      </c>
    </row>
    <row r="157">
      <c r="A157" s="26" t="n"/>
      <c r="B157" s="26" t="n"/>
      <c r="C157" s="26" t="n"/>
      <c r="D157" s="26" t="n"/>
      <c r="E157" s="26" t="n"/>
      <c r="F157" s="27" t="n"/>
      <c r="G157" s="26" t="n"/>
      <c r="H157" s="26" t="n"/>
      <c r="I157" s="28">
        <f>IF($A157="","",SUMIF(tblAvans[KaynakKartId],$A157,tblAvans[KalanBakiye]))</f>
        <v/>
      </c>
      <c r="J157" s="28">
        <f>IF($A157="","",SUMIF(tblAkis[KaynakKartId],$A157,tblAkis[Tutar]))</f>
        <v/>
      </c>
      <c r="K157" s="28">
        <f>IF($A157="","",IFERROR(AVERAGEIF(tblAkis[KaynakKartId],$A157,tblAkis[YasGun]),0))</f>
        <v/>
      </c>
    </row>
    <row r="158">
      <c r="A158" s="26" t="n"/>
      <c r="B158" s="26" t="n"/>
      <c r="C158" s="26" t="n"/>
      <c r="D158" s="26" t="n"/>
      <c r="E158" s="26" t="n"/>
      <c r="F158" s="27" t="n"/>
      <c r="G158" s="26" t="n"/>
      <c r="H158" s="26" t="n"/>
      <c r="I158" s="28">
        <f>IF($A158="","",SUMIF(tblAvans[KaynakKartId],$A158,tblAvans[KalanBakiye]))</f>
        <v/>
      </c>
      <c r="J158" s="28">
        <f>IF($A158="","",SUMIF(tblAkis[KaynakKartId],$A158,tblAkis[Tutar]))</f>
        <v/>
      </c>
      <c r="K158" s="28">
        <f>IF($A158="","",IFERROR(AVERAGEIF(tblAkis[KaynakKartId],$A158,tblAkis[YasGun]),0))</f>
        <v/>
      </c>
    </row>
    <row r="159">
      <c r="A159" s="26" t="n"/>
      <c r="B159" s="26" t="n"/>
      <c r="C159" s="26" t="n"/>
      <c r="D159" s="26" t="n"/>
      <c r="E159" s="26" t="n"/>
      <c r="F159" s="27" t="n"/>
      <c r="G159" s="26" t="n"/>
      <c r="H159" s="26" t="n"/>
      <c r="I159" s="28">
        <f>IF($A159="","",SUMIF(tblAvans[KaynakKartId],$A159,tblAvans[KalanBakiye]))</f>
        <v/>
      </c>
      <c r="J159" s="28">
        <f>IF($A159="","",SUMIF(tblAkis[KaynakKartId],$A159,tblAkis[Tutar]))</f>
        <v/>
      </c>
      <c r="K159" s="28">
        <f>IF($A159="","",IFERROR(AVERAGEIF(tblAkis[KaynakKartId],$A159,tblAkis[YasGun]),0))</f>
        <v/>
      </c>
    </row>
    <row r="160">
      <c r="A160" s="26" t="n"/>
      <c r="B160" s="26" t="n"/>
      <c r="C160" s="26" t="n"/>
      <c r="D160" s="26" t="n"/>
      <c r="E160" s="26" t="n"/>
      <c r="F160" s="27" t="n"/>
      <c r="G160" s="26" t="n"/>
      <c r="H160" s="26" t="n"/>
      <c r="I160" s="28">
        <f>IF($A160="","",SUMIF(tblAvans[KaynakKartId],$A160,tblAvans[KalanBakiye]))</f>
        <v/>
      </c>
      <c r="J160" s="28">
        <f>IF($A160="","",SUMIF(tblAkis[KaynakKartId],$A160,tblAkis[Tutar]))</f>
        <v/>
      </c>
      <c r="K160" s="28">
        <f>IF($A160="","",IFERROR(AVERAGEIF(tblAkis[KaynakKartId],$A160,tblAkis[YasGun]),0))</f>
        <v/>
      </c>
    </row>
    <row r="161">
      <c r="A161" s="26" t="n"/>
      <c r="B161" s="26" t="n"/>
      <c r="C161" s="26" t="n"/>
      <c r="D161" s="26" t="n"/>
      <c r="E161" s="26" t="n"/>
      <c r="F161" s="27" t="n"/>
      <c r="G161" s="26" t="n"/>
      <c r="H161" s="26" t="n"/>
      <c r="I161" s="28">
        <f>IF($A161="","",SUMIF(tblAvans[KaynakKartId],$A161,tblAvans[KalanBakiye]))</f>
        <v/>
      </c>
      <c r="J161" s="28">
        <f>IF($A161="","",SUMIF(tblAkis[KaynakKartId],$A161,tblAkis[Tutar]))</f>
        <v/>
      </c>
      <c r="K161" s="28">
        <f>IF($A161="","",IFERROR(AVERAGEIF(tblAkis[KaynakKartId],$A161,tblAkis[YasGun]),0))</f>
        <v/>
      </c>
    </row>
    <row r="162">
      <c r="A162" s="26" t="n"/>
      <c r="B162" s="26" t="n"/>
      <c r="C162" s="26" t="n"/>
      <c r="D162" s="26" t="n"/>
      <c r="E162" s="26" t="n"/>
      <c r="F162" s="27" t="n"/>
      <c r="G162" s="26" t="n"/>
      <c r="H162" s="26" t="n"/>
      <c r="I162" s="28">
        <f>IF($A162="","",SUMIF(tblAvans[KaynakKartId],$A162,tblAvans[KalanBakiye]))</f>
        <v/>
      </c>
      <c r="J162" s="28">
        <f>IF($A162="","",SUMIF(tblAkis[KaynakKartId],$A162,tblAkis[Tutar]))</f>
        <v/>
      </c>
      <c r="K162" s="28">
        <f>IF($A162="","",IFERROR(AVERAGEIF(tblAkis[KaynakKartId],$A162,tblAkis[YasGun]),0))</f>
        <v/>
      </c>
    </row>
    <row r="163">
      <c r="A163" s="26" t="n"/>
      <c r="B163" s="26" t="n"/>
      <c r="C163" s="26" t="n"/>
      <c r="D163" s="26" t="n"/>
      <c r="E163" s="26" t="n"/>
      <c r="F163" s="27" t="n"/>
      <c r="G163" s="26" t="n"/>
      <c r="H163" s="26" t="n"/>
      <c r="I163" s="28">
        <f>IF($A163="","",SUMIF(tblAvans[KaynakKartId],$A163,tblAvans[KalanBakiye]))</f>
        <v/>
      </c>
      <c r="J163" s="28">
        <f>IF($A163="","",SUMIF(tblAkis[KaynakKartId],$A163,tblAkis[Tutar]))</f>
        <v/>
      </c>
      <c r="K163" s="28">
        <f>IF($A163="","",IFERROR(AVERAGEIF(tblAkis[KaynakKartId],$A163,tblAkis[YasGun]),0))</f>
        <v/>
      </c>
    </row>
    <row r="164">
      <c r="A164" s="26" t="n"/>
      <c r="B164" s="26" t="n"/>
      <c r="C164" s="26" t="n"/>
      <c r="D164" s="26" t="n"/>
      <c r="E164" s="26" t="n"/>
      <c r="F164" s="27" t="n"/>
      <c r="G164" s="26" t="n"/>
      <c r="H164" s="26" t="n"/>
      <c r="I164" s="28">
        <f>IF($A164="","",SUMIF(tblAvans[KaynakKartId],$A164,tblAvans[KalanBakiye]))</f>
        <v/>
      </c>
      <c r="J164" s="28">
        <f>IF($A164="","",SUMIF(tblAkis[KaynakKartId],$A164,tblAkis[Tutar]))</f>
        <v/>
      </c>
      <c r="K164" s="28">
        <f>IF($A164="","",IFERROR(AVERAGEIF(tblAkis[KaynakKartId],$A164,tblAkis[YasGun]),0))</f>
        <v/>
      </c>
    </row>
    <row r="165">
      <c r="A165" s="26" t="n"/>
      <c r="B165" s="26" t="n"/>
      <c r="C165" s="26" t="n"/>
      <c r="D165" s="26" t="n"/>
      <c r="E165" s="26" t="n"/>
      <c r="F165" s="27" t="n"/>
      <c r="G165" s="26" t="n"/>
      <c r="H165" s="26" t="n"/>
      <c r="I165" s="28">
        <f>IF($A165="","",SUMIF(tblAvans[KaynakKartId],$A165,tblAvans[KalanBakiye]))</f>
        <v/>
      </c>
      <c r="J165" s="28">
        <f>IF($A165="","",SUMIF(tblAkis[KaynakKartId],$A165,tblAkis[Tutar]))</f>
        <v/>
      </c>
      <c r="K165" s="28">
        <f>IF($A165="","",IFERROR(AVERAGEIF(tblAkis[KaynakKartId],$A165,tblAkis[YasGun]),0))</f>
        <v/>
      </c>
    </row>
    <row r="166">
      <c r="A166" s="26" t="n"/>
      <c r="B166" s="26" t="n"/>
      <c r="C166" s="26" t="n"/>
      <c r="D166" s="26" t="n"/>
      <c r="E166" s="26" t="n"/>
      <c r="F166" s="27" t="n"/>
      <c r="G166" s="26" t="n"/>
      <c r="H166" s="26" t="n"/>
      <c r="I166" s="28">
        <f>IF($A166="","",SUMIF(tblAvans[KaynakKartId],$A166,tblAvans[KalanBakiye]))</f>
        <v/>
      </c>
      <c r="J166" s="28">
        <f>IF($A166="","",SUMIF(tblAkis[KaynakKartId],$A166,tblAkis[Tutar]))</f>
        <v/>
      </c>
      <c r="K166" s="28">
        <f>IF($A166="","",IFERROR(AVERAGEIF(tblAkis[KaynakKartId],$A166,tblAkis[YasGun]),0))</f>
        <v/>
      </c>
    </row>
    <row r="167">
      <c r="A167" s="26" t="n"/>
      <c r="B167" s="26" t="n"/>
      <c r="C167" s="26" t="n"/>
      <c r="D167" s="26" t="n"/>
      <c r="E167" s="26" t="n"/>
      <c r="F167" s="27" t="n"/>
      <c r="G167" s="26" t="n"/>
      <c r="H167" s="26" t="n"/>
      <c r="I167" s="28">
        <f>IF($A167="","",SUMIF(tblAvans[KaynakKartId],$A167,tblAvans[KalanBakiye]))</f>
        <v/>
      </c>
      <c r="J167" s="28">
        <f>IF($A167="","",SUMIF(tblAkis[KaynakKartId],$A167,tblAkis[Tutar]))</f>
        <v/>
      </c>
      <c r="K167" s="28">
        <f>IF($A167="","",IFERROR(AVERAGEIF(tblAkis[KaynakKartId],$A167,tblAkis[YasGun]),0))</f>
        <v/>
      </c>
    </row>
    <row r="168">
      <c r="A168" s="26" t="n"/>
      <c r="B168" s="26" t="n"/>
      <c r="C168" s="26" t="n"/>
      <c r="D168" s="26" t="n"/>
      <c r="E168" s="26" t="n"/>
      <c r="F168" s="27" t="n"/>
      <c r="G168" s="26" t="n"/>
      <c r="H168" s="26" t="n"/>
      <c r="I168" s="28">
        <f>IF($A168="","",SUMIF(tblAvans[KaynakKartId],$A168,tblAvans[KalanBakiye]))</f>
        <v/>
      </c>
      <c r="J168" s="28">
        <f>IF($A168="","",SUMIF(tblAkis[KaynakKartId],$A168,tblAkis[Tutar]))</f>
        <v/>
      </c>
      <c r="K168" s="28">
        <f>IF($A168="","",IFERROR(AVERAGEIF(tblAkis[KaynakKartId],$A168,tblAkis[YasGun]),0))</f>
        <v/>
      </c>
    </row>
    <row r="169">
      <c r="A169" s="26" t="n"/>
      <c r="B169" s="26" t="n"/>
      <c r="C169" s="26" t="n"/>
      <c r="D169" s="26" t="n"/>
      <c r="E169" s="26" t="n"/>
      <c r="F169" s="27" t="n"/>
      <c r="G169" s="26" t="n"/>
      <c r="H169" s="26" t="n"/>
      <c r="I169" s="28">
        <f>IF($A169="","",SUMIF(tblAvans[KaynakKartId],$A169,tblAvans[KalanBakiye]))</f>
        <v/>
      </c>
      <c r="J169" s="28">
        <f>IF($A169="","",SUMIF(tblAkis[KaynakKartId],$A169,tblAkis[Tutar]))</f>
        <v/>
      </c>
      <c r="K169" s="28">
        <f>IF($A169="","",IFERROR(AVERAGEIF(tblAkis[KaynakKartId],$A169,tblAkis[YasGun]),0))</f>
        <v/>
      </c>
    </row>
    <row r="170">
      <c r="A170" s="26" t="n"/>
      <c r="B170" s="26" t="n"/>
      <c r="C170" s="26" t="n"/>
      <c r="D170" s="26" t="n"/>
      <c r="E170" s="26" t="n"/>
      <c r="F170" s="27" t="n"/>
      <c r="G170" s="26" t="n"/>
      <c r="H170" s="26" t="n"/>
      <c r="I170" s="28">
        <f>IF($A170="","",SUMIF(tblAvans[KaynakKartId],$A170,tblAvans[KalanBakiye]))</f>
        <v/>
      </c>
      <c r="J170" s="28">
        <f>IF($A170="","",SUMIF(tblAkis[KaynakKartId],$A170,tblAkis[Tutar]))</f>
        <v/>
      </c>
      <c r="K170" s="28">
        <f>IF($A170="","",IFERROR(AVERAGEIF(tblAkis[KaynakKartId],$A170,tblAkis[YasGun]),0))</f>
        <v/>
      </c>
    </row>
    <row r="171">
      <c r="A171" s="26" t="n"/>
      <c r="B171" s="26" t="n"/>
      <c r="C171" s="26" t="n"/>
      <c r="D171" s="26" t="n"/>
      <c r="E171" s="26" t="n"/>
      <c r="F171" s="27" t="n"/>
      <c r="G171" s="26" t="n"/>
      <c r="H171" s="26" t="n"/>
      <c r="I171" s="28">
        <f>IF($A171="","",SUMIF(tblAvans[KaynakKartId],$A171,tblAvans[KalanBakiye]))</f>
        <v/>
      </c>
      <c r="J171" s="28">
        <f>IF($A171="","",SUMIF(tblAkis[KaynakKartId],$A171,tblAkis[Tutar]))</f>
        <v/>
      </c>
      <c r="K171" s="28">
        <f>IF($A171="","",IFERROR(AVERAGEIF(tblAkis[KaynakKartId],$A171,tblAkis[YasGun]),0))</f>
        <v/>
      </c>
    </row>
    <row r="172">
      <c r="A172" s="26" t="n"/>
      <c r="B172" s="26" t="n"/>
      <c r="C172" s="26" t="n"/>
      <c r="D172" s="26" t="n"/>
      <c r="E172" s="26" t="n"/>
      <c r="F172" s="27" t="n"/>
      <c r="G172" s="26" t="n"/>
      <c r="H172" s="26" t="n"/>
      <c r="I172" s="28">
        <f>IF($A172="","",SUMIF(tblAvans[KaynakKartId],$A172,tblAvans[KalanBakiye]))</f>
        <v/>
      </c>
      <c r="J172" s="28">
        <f>IF($A172="","",SUMIF(tblAkis[KaynakKartId],$A172,tblAkis[Tutar]))</f>
        <v/>
      </c>
      <c r="K172" s="28">
        <f>IF($A172="","",IFERROR(AVERAGEIF(tblAkis[KaynakKartId],$A172,tblAkis[YasGun]),0))</f>
        <v/>
      </c>
    </row>
    <row r="173">
      <c r="A173" s="26" t="n"/>
      <c r="B173" s="26" t="n"/>
      <c r="C173" s="26" t="n"/>
      <c r="D173" s="26" t="n"/>
      <c r="E173" s="26" t="n"/>
      <c r="F173" s="27" t="n"/>
      <c r="G173" s="26" t="n"/>
      <c r="H173" s="26" t="n"/>
      <c r="I173" s="28">
        <f>IF($A173="","",SUMIF(tblAvans[KaynakKartId],$A173,tblAvans[KalanBakiye]))</f>
        <v/>
      </c>
      <c r="J173" s="28">
        <f>IF($A173="","",SUMIF(tblAkis[KaynakKartId],$A173,tblAkis[Tutar]))</f>
        <v/>
      </c>
      <c r="K173" s="28">
        <f>IF($A173="","",IFERROR(AVERAGEIF(tblAkis[KaynakKartId],$A173,tblAkis[YasGun]),0))</f>
        <v/>
      </c>
    </row>
    <row r="174">
      <c r="A174" s="26" t="n"/>
      <c r="B174" s="26" t="n"/>
      <c r="C174" s="26" t="n"/>
      <c r="D174" s="26" t="n"/>
      <c r="E174" s="26" t="n"/>
      <c r="F174" s="27" t="n"/>
      <c r="G174" s="26" t="n"/>
      <c r="H174" s="26" t="n"/>
      <c r="I174" s="28">
        <f>IF($A174="","",SUMIF(tblAvans[KaynakKartId],$A174,tblAvans[KalanBakiye]))</f>
        <v/>
      </c>
      <c r="J174" s="28">
        <f>IF($A174="","",SUMIF(tblAkis[KaynakKartId],$A174,tblAkis[Tutar]))</f>
        <v/>
      </c>
      <c r="K174" s="28">
        <f>IF($A174="","",IFERROR(AVERAGEIF(tblAkis[KaynakKartId],$A174,tblAkis[YasGun]),0))</f>
        <v/>
      </c>
    </row>
    <row r="175">
      <c r="A175" s="26" t="n"/>
      <c r="B175" s="26" t="n"/>
      <c r="C175" s="26" t="n"/>
      <c r="D175" s="26" t="n"/>
      <c r="E175" s="26" t="n"/>
      <c r="F175" s="27" t="n"/>
      <c r="G175" s="26" t="n"/>
      <c r="H175" s="26" t="n"/>
      <c r="I175" s="28">
        <f>IF($A175="","",SUMIF(tblAvans[KaynakKartId],$A175,tblAvans[KalanBakiye]))</f>
        <v/>
      </c>
      <c r="J175" s="28">
        <f>IF($A175="","",SUMIF(tblAkis[KaynakKartId],$A175,tblAkis[Tutar]))</f>
        <v/>
      </c>
      <c r="K175" s="28">
        <f>IF($A175="","",IFERROR(AVERAGEIF(tblAkis[KaynakKartId],$A175,tblAkis[YasGun]),0))</f>
        <v/>
      </c>
    </row>
    <row r="176">
      <c r="A176" s="26" t="n"/>
      <c r="B176" s="26" t="n"/>
      <c r="C176" s="26" t="n"/>
      <c r="D176" s="26" t="n"/>
      <c r="E176" s="26" t="n"/>
      <c r="F176" s="27" t="n"/>
      <c r="G176" s="26" t="n"/>
      <c r="H176" s="26" t="n"/>
      <c r="I176" s="28">
        <f>IF($A176="","",SUMIF(tblAvans[KaynakKartId],$A176,tblAvans[KalanBakiye]))</f>
        <v/>
      </c>
      <c r="J176" s="28">
        <f>IF($A176="","",SUMIF(tblAkis[KaynakKartId],$A176,tblAkis[Tutar]))</f>
        <v/>
      </c>
      <c r="K176" s="28">
        <f>IF($A176="","",IFERROR(AVERAGEIF(tblAkis[KaynakKartId],$A176,tblAkis[YasGun]),0))</f>
        <v/>
      </c>
    </row>
    <row r="177">
      <c r="A177" s="26" t="n"/>
      <c r="B177" s="26" t="n"/>
      <c r="C177" s="26" t="n"/>
      <c r="D177" s="26" t="n"/>
      <c r="E177" s="26" t="n"/>
      <c r="F177" s="27" t="n"/>
      <c r="G177" s="26" t="n"/>
      <c r="H177" s="26" t="n"/>
      <c r="I177" s="28">
        <f>IF($A177="","",SUMIF(tblAvans[KaynakKartId],$A177,tblAvans[KalanBakiye]))</f>
        <v/>
      </c>
      <c r="J177" s="28">
        <f>IF($A177="","",SUMIF(tblAkis[KaynakKartId],$A177,tblAkis[Tutar]))</f>
        <v/>
      </c>
      <c r="K177" s="28">
        <f>IF($A177="","",IFERROR(AVERAGEIF(tblAkis[KaynakKartId],$A177,tblAkis[YasGun]),0))</f>
        <v/>
      </c>
    </row>
    <row r="178">
      <c r="A178" s="26" t="n"/>
      <c r="B178" s="26" t="n"/>
      <c r="C178" s="26" t="n"/>
      <c r="D178" s="26" t="n"/>
      <c r="E178" s="26" t="n"/>
      <c r="F178" s="27" t="n"/>
      <c r="G178" s="26" t="n"/>
      <c r="H178" s="26" t="n"/>
      <c r="I178" s="28">
        <f>IF($A178="","",SUMIF(tblAvans[KaynakKartId],$A178,tblAvans[KalanBakiye]))</f>
        <v/>
      </c>
      <c r="J178" s="28">
        <f>IF($A178="","",SUMIF(tblAkis[KaynakKartId],$A178,tblAkis[Tutar]))</f>
        <v/>
      </c>
      <c r="K178" s="28">
        <f>IF($A178="","",IFERROR(AVERAGEIF(tblAkis[KaynakKartId],$A178,tblAkis[YasGun]),0))</f>
        <v/>
      </c>
    </row>
    <row r="179">
      <c r="A179" s="26" t="n"/>
      <c r="B179" s="26" t="n"/>
      <c r="C179" s="26" t="n"/>
      <c r="D179" s="26" t="n"/>
      <c r="E179" s="26" t="n"/>
      <c r="F179" s="27" t="n"/>
      <c r="G179" s="26" t="n"/>
      <c r="H179" s="26" t="n"/>
      <c r="I179" s="28">
        <f>IF($A179="","",SUMIF(tblAvans[KaynakKartId],$A179,tblAvans[KalanBakiye]))</f>
        <v/>
      </c>
      <c r="J179" s="28">
        <f>IF($A179="","",SUMIF(tblAkis[KaynakKartId],$A179,tblAkis[Tutar]))</f>
        <v/>
      </c>
      <c r="K179" s="28">
        <f>IF($A179="","",IFERROR(AVERAGEIF(tblAkis[KaynakKartId],$A179,tblAkis[YasGun]),0))</f>
        <v/>
      </c>
    </row>
    <row r="180">
      <c r="A180" s="26" t="n"/>
      <c r="B180" s="26" t="n"/>
      <c r="C180" s="26" t="n"/>
      <c r="D180" s="26" t="n"/>
      <c r="E180" s="26" t="n"/>
      <c r="F180" s="27" t="n"/>
      <c r="G180" s="26" t="n"/>
      <c r="H180" s="26" t="n"/>
      <c r="I180" s="28">
        <f>IF($A180="","",SUMIF(tblAvans[KaynakKartId],$A180,tblAvans[KalanBakiye]))</f>
        <v/>
      </c>
      <c r="J180" s="28">
        <f>IF($A180="","",SUMIF(tblAkis[KaynakKartId],$A180,tblAkis[Tutar]))</f>
        <v/>
      </c>
      <c r="K180" s="28">
        <f>IF($A180="","",IFERROR(AVERAGEIF(tblAkis[KaynakKartId],$A180,tblAkis[YasGun]),0))</f>
        <v/>
      </c>
    </row>
    <row r="181">
      <c r="A181" s="26" t="n"/>
      <c r="B181" s="26" t="n"/>
      <c r="C181" s="26" t="n"/>
      <c r="D181" s="26" t="n"/>
      <c r="E181" s="26" t="n"/>
      <c r="F181" s="27" t="n"/>
      <c r="G181" s="26" t="n"/>
      <c r="H181" s="26" t="n"/>
      <c r="I181" s="28">
        <f>IF($A181="","",SUMIF(tblAvans[KaynakKartId],$A181,tblAvans[KalanBakiye]))</f>
        <v/>
      </c>
      <c r="J181" s="28">
        <f>IF($A181="","",SUMIF(tblAkis[KaynakKartId],$A181,tblAkis[Tutar]))</f>
        <v/>
      </c>
      <c r="K181" s="28">
        <f>IF($A181="","",IFERROR(AVERAGEIF(tblAkis[KaynakKartId],$A181,tblAkis[YasGun]),0))</f>
        <v/>
      </c>
    </row>
    <row r="182">
      <c r="A182" s="26" t="n"/>
      <c r="B182" s="26" t="n"/>
      <c r="C182" s="26" t="n"/>
      <c r="D182" s="26" t="n"/>
      <c r="E182" s="26" t="n"/>
      <c r="F182" s="27" t="n"/>
      <c r="G182" s="26" t="n"/>
      <c r="H182" s="26" t="n"/>
      <c r="I182" s="28">
        <f>IF($A182="","",SUMIF(tblAvans[KaynakKartId],$A182,tblAvans[KalanBakiye]))</f>
        <v/>
      </c>
      <c r="J182" s="28">
        <f>IF($A182="","",SUMIF(tblAkis[KaynakKartId],$A182,tblAkis[Tutar]))</f>
        <v/>
      </c>
      <c r="K182" s="28">
        <f>IF($A182="","",IFERROR(AVERAGEIF(tblAkis[KaynakKartId],$A182,tblAkis[YasGun]),0))</f>
        <v/>
      </c>
    </row>
    <row r="183">
      <c r="A183" s="26" t="n"/>
      <c r="B183" s="26" t="n"/>
      <c r="C183" s="26" t="n"/>
      <c r="D183" s="26" t="n"/>
      <c r="E183" s="26" t="n"/>
      <c r="F183" s="27" t="n"/>
      <c r="G183" s="26" t="n"/>
      <c r="H183" s="26" t="n"/>
      <c r="I183" s="28">
        <f>IF($A183="","",SUMIF(tblAvans[KaynakKartId],$A183,tblAvans[KalanBakiye]))</f>
        <v/>
      </c>
      <c r="J183" s="28">
        <f>IF($A183="","",SUMIF(tblAkis[KaynakKartId],$A183,tblAkis[Tutar]))</f>
        <v/>
      </c>
      <c r="K183" s="28">
        <f>IF($A183="","",IFERROR(AVERAGEIF(tblAkis[KaynakKartId],$A183,tblAkis[YasGun]),0))</f>
        <v/>
      </c>
    </row>
    <row r="184">
      <c r="A184" s="26" t="n"/>
      <c r="B184" s="26" t="n"/>
      <c r="C184" s="26" t="n"/>
      <c r="D184" s="26" t="n"/>
      <c r="E184" s="26" t="n"/>
      <c r="F184" s="27" t="n"/>
      <c r="G184" s="26" t="n"/>
      <c r="H184" s="26" t="n"/>
      <c r="I184" s="28">
        <f>IF($A184="","",SUMIF(tblAvans[KaynakKartId],$A184,tblAvans[KalanBakiye]))</f>
        <v/>
      </c>
      <c r="J184" s="28">
        <f>IF($A184="","",SUMIF(tblAkis[KaynakKartId],$A184,tblAkis[Tutar]))</f>
        <v/>
      </c>
      <c r="K184" s="28">
        <f>IF($A184="","",IFERROR(AVERAGEIF(tblAkis[KaynakKartId],$A184,tblAkis[YasGun]),0))</f>
        <v/>
      </c>
    </row>
    <row r="185">
      <c r="A185" s="26" t="n"/>
      <c r="B185" s="26" t="n"/>
      <c r="C185" s="26" t="n"/>
      <c r="D185" s="26" t="n"/>
      <c r="E185" s="26" t="n"/>
      <c r="F185" s="27" t="n"/>
      <c r="G185" s="26" t="n"/>
      <c r="H185" s="26" t="n"/>
      <c r="I185" s="28">
        <f>IF($A185="","",SUMIF(tblAvans[KaynakKartId],$A185,tblAvans[KalanBakiye]))</f>
        <v/>
      </c>
      <c r="J185" s="28">
        <f>IF($A185="","",SUMIF(tblAkis[KaynakKartId],$A185,tblAkis[Tutar]))</f>
        <v/>
      </c>
      <c r="K185" s="28">
        <f>IF($A185="","",IFERROR(AVERAGEIF(tblAkis[KaynakKartId],$A185,tblAkis[YasGun]),0))</f>
        <v/>
      </c>
    </row>
    <row r="186">
      <c r="A186" s="26" t="n"/>
      <c r="B186" s="26" t="n"/>
      <c r="C186" s="26" t="n"/>
      <c r="D186" s="26" t="n"/>
      <c r="E186" s="26" t="n"/>
      <c r="F186" s="27" t="n"/>
      <c r="G186" s="26" t="n"/>
      <c r="H186" s="26" t="n"/>
      <c r="I186" s="28">
        <f>IF($A186="","",SUMIF(tblAvans[KaynakKartId],$A186,tblAvans[KalanBakiye]))</f>
        <v/>
      </c>
      <c r="J186" s="28">
        <f>IF($A186="","",SUMIF(tblAkis[KaynakKartId],$A186,tblAkis[Tutar]))</f>
        <v/>
      </c>
      <c r="K186" s="28">
        <f>IF($A186="","",IFERROR(AVERAGEIF(tblAkis[KaynakKartId],$A186,tblAkis[YasGun]),0))</f>
        <v/>
      </c>
    </row>
    <row r="187">
      <c r="A187" s="26" t="n"/>
      <c r="B187" s="26" t="n"/>
      <c r="C187" s="26" t="n"/>
      <c r="D187" s="26" t="n"/>
      <c r="E187" s="26" t="n"/>
      <c r="F187" s="27" t="n"/>
      <c r="G187" s="26" t="n"/>
      <c r="H187" s="26" t="n"/>
      <c r="I187" s="28">
        <f>IF($A187="","",SUMIF(tblAvans[KaynakKartId],$A187,tblAvans[KalanBakiye]))</f>
        <v/>
      </c>
      <c r="J187" s="28">
        <f>IF($A187="","",SUMIF(tblAkis[KaynakKartId],$A187,tblAkis[Tutar]))</f>
        <v/>
      </c>
      <c r="K187" s="28">
        <f>IF($A187="","",IFERROR(AVERAGEIF(tblAkis[KaynakKartId],$A187,tblAkis[YasGun]),0))</f>
        <v/>
      </c>
    </row>
    <row r="188">
      <c r="A188" s="26" t="n"/>
      <c r="B188" s="26" t="n"/>
      <c r="C188" s="26" t="n"/>
      <c r="D188" s="26" t="n"/>
      <c r="E188" s="26" t="n"/>
      <c r="F188" s="27" t="n"/>
      <c r="G188" s="26" t="n"/>
      <c r="H188" s="26" t="n"/>
      <c r="I188" s="28">
        <f>IF($A188="","",SUMIF(tblAvans[KaynakKartId],$A188,tblAvans[KalanBakiye]))</f>
        <v/>
      </c>
      <c r="J188" s="28">
        <f>IF($A188="","",SUMIF(tblAkis[KaynakKartId],$A188,tblAkis[Tutar]))</f>
        <v/>
      </c>
      <c r="K188" s="28">
        <f>IF($A188="","",IFERROR(AVERAGEIF(tblAkis[KaynakKartId],$A188,tblAkis[YasGun]),0))</f>
        <v/>
      </c>
    </row>
    <row r="189">
      <c r="A189" s="26" t="n"/>
      <c r="B189" s="26" t="n"/>
      <c r="C189" s="26" t="n"/>
      <c r="D189" s="26" t="n"/>
      <c r="E189" s="26" t="n"/>
      <c r="F189" s="27" t="n"/>
      <c r="G189" s="26" t="n"/>
      <c r="H189" s="26" t="n"/>
      <c r="I189" s="28">
        <f>IF($A189="","",SUMIF(tblAvans[KaynakKartId],$A189,tblAvans[KalanBakiye]))</f>
        <v/>
      </c>
      <c r="J189" s="28">
        <f>IF($A189="","",SUMIF(tblAkis[KaynakKartId],$A189,tblAkis[Tutar]))</f>
        <v/>
      </c>
      <c r="K189" s="28">
        <f>IF($A189="","",IFERROR(AVERAGEIF(tblAkis[KaynakKartId],$A189,tblAkis[YasGun]),0))</f>
        <v/>
      </c>
    </row>
    <row r="190">
      <c r="A190" s="26" t="n"/>
      <c r="B190" s="26" t="n"/>
      <c r="C190" s="26" t="n"/>
      <c r="D190" s="26" t="n"/>
      <c r="E190" s="26" t="n"/>
      <c r="F190" s="27" t="n"/>
      <c r="G190" s="26" t="n"/>
      <c r="H190" s="26" t="n"/>
      <c r="I190" s="28">
        <f>IF($A190="","",SUMIF(tblAvans[KaynakKartId],$A190,tblAvans[KalanBakiye]))</f>
        <v/>
      </c>
      <c r="J190" s="28">
        <f>IF($A190="","",SUMIF(tblAkis[KaynakKartId],$A190,tblAkis[Tutar]))</f>
        <v/>
      </c>
      <c r="K190" s="28">
        <f>IF($A190="","",IFERROR(AVERAGEIF(tblAkis[KaynakKartId],$A190,tblAkis[YasGun]),0))</f>
        <v/>
      </c>
    </row>
    <row r="191">
      <c r="A191" s="26" t="n"/>
      <c r="B191" s="26" t="n"/>
      <c r="C191" s="26" t="n"/>
      <c r="D191" s="26" t="n"/>
      <c r="E191" s="26" t="n"/>
      <c r="F191" s="27" t="n"/>
      <c r="G191" s="26" t="n"/>
      <c r="H191" s="26" t="n"/>
      <c r="I191" s="28">
        <f>IF($A191="","",SUMIF(tblAvans[KaynakKartId],$A191,tblAvans[KalanBakiye]))</f>
        <v/>
      </c>
      <c r="J191" s="28">
        <f>IF($A191="","",SUMIF(tblAkis[KaynakKartId],$A191,tblAkis[Tutar]))</f>
        <v/>
      </c>
      <c r="K191" s="28">
        <f>IF($A191="","",IFERROR(AVERAGEIF(tblAkis[KaynakKartId],$A191,tblAkis[YasGun]),0))</f>
        <v/>
      </c>
    </row>
    <row r="192">
      <c r="A192" s="26" t="n"/>
      <c r="B192" s="26" t="n"/>
      <c r="C192" s="26" t="n"/>
      <c r="D192" s="26" t="n"/>
      <c r="E192" s="26" t="n"/>
      <c r="F192" s="27" t="n"/>
      <c r="G192" s="26" t="n"/>
      <c r="H192" s="26" t="n"/>
      <c r="I192" s="28">
        <f>IF($A192="","",SUMIF(tblAvans[KaynakKartId],$A192,tblAvans[KalanBakiye]))</f>
        <v/>
      </c>
      <c r="J192" s="28">
        <f>IF($A192="","",SUMIF(tblAkis[KaynakKartId],$A192,tblAkis[Tutar]))</f>
        <v/>
      </c>
      <c r="K192" s="28">
        <f>IF($A192="","",IFERROR(AVERAGEIF(tblAkis[KaynakKartId],$A192,tblAkis[YasGun]),0))</f>
        <v/>
      </c>
    </row>
    <row r="193">
      <c r="A193" s="26" t="n"/>
      <c r="B193" s="26" t="n"/>
      <c r="C193" s="26" t="n"/>
      <c r="D193" s="26" t="n"/>
      <c r="E193" s="26" t="n"/>
      <c r="F193" s="27" t="n"/>
      <c r="G193" s="26" t="n"/>
      <c r="H193" s="26" t="n"/>
      <c r="I193" s="28">
        <f>IF($A193="","",SUMIF(tblAvans[KaynakKartId],$A193,tblAvans[KalanBakiye]))</f>
        <v/>
      </c>
      <c r="J193" s="28">
        <f>IF($A193="","",SUMIF(tblAkis[KaynakKartId],$A193,tblAkis[Tutar]))</f>
        <v/>
      </c>
      <c r="K193" s="28">
        <f>IF($A193="","",IFERROR(AVERAGEIF(tblAkis[KaynakKartId],$A193,tblAkis[YasGun]),0))</f>
        <v/>
      </c>
    </row>
    <row r="194">
      <c r="A194" s="26" t="n"/>
      <c r="B194" s="26" t="n"/>
      <c r="C194" s="26" t="n"/>
      <c r="D194" s="26" t="n"/>
      <c r="E194" s="26" t="n"/>
      <c r="F194" s="27" t="n"/>
      <c r="G194" s="26" t="n"/>
      <c r="H194" s="26" t="n"/>
      <c r="I194" s="28">
        <f>IF($A194="","",SUMIF(tblAvans[KaynakKartId],$A194,tblAvans[KalanBakiye]))</f>
        <v/>
      </c>
      <c r="J194" s="28">
        <f>IF($A194="","",SUMIF(tblAkis[KaynakKartId],$A194,tblAkis[Tutar]))</f>
        <v/>
      </c>
      <c r="K194" s="28">
        <f>IF($A194="","",IFERROR(AVERAGEIF(tblAkis[KaynakKartId],$A194,tblAkis[YasGun]),0))</f>
        <v/>
      </c>
    </row>
    <row r="195">
      <c r="A195" s="26" t="n"/>
      <c r="B195" s="26" t="n"/>
      <c r="C195" s="26" t="n"/>
      <c r="D195" s="26" t="n"/>
      <c r="E195" s="26" t="n"/>
      <c r="F195" s="27" t="n"/>
      <c r="G195" s="26" t="n"/>
      <c r="H195" s="26" t="n"/>
      <c r="I195" s="28">
        <f>IF($A195="","",SUMIF(tblAvans[KaynakKartId],$A195,tblAvans[KalanBakiye]))</f>
        <v/>
      </c>
      <c r="J195" s="28">
        <f>IF($A195="","",SUMIF(tblAkis[KaynakKartId],$A195,tblAkis[Tutar]))</f>
        <v/>
      </c>
      <c r="K195" s="28">
        <f>IF($A195="","",IFERROR(AVERAGEIF(tblAkis[KaynakKartId],$A195,tblAkis[YasGun]),0))</f>
        <v/>
      </c>
    </row>
    <row r="196">
      <c r="A196" s="26" t="n"/>
      <c r="B196" s="26" t="n"/>
      <c r="C196" s="26" t="n"/>
      <c r="D196" s="26" t="n"/>
      <c r="E196" s="26" t="n"/>
      <c r="F196" s="27" t="n"/>
      <c r="G196" s="26" t="n"/>
      <c r="H196" s="26" t="n"/>
      <c r="I196" s="28">
        <f>IF($A196="","",SUMIF(tblAvans[KaynakKartId],$A196,tblAvans[KalanBakiye]))</f>
        <v/>
      </c>
      <c r="J196" s="28">
        <f>IF($A196="","",SUMIF(tblAkis[KaynakKartId],$A196,tblAkis[Tutar]))</f>
        <v/>
      </c>
      <c r="K196" s="28">
        <f>IF($A196="","",IFERROR(AVERAGEIF(tblAkis[KaynakKartId],$A196,tblAkis[YasGun]),0))</f>
        <v/>
      </c>
    </row>
    <row r="197">
      <c r="A197" s="26" t="n"/>
      <c r="B197" s="26" t="n"/>
      <c r="C197" s="26" t="n"/>
      <c r="D197" s="26" t="n"/>
      <c r="E197" s="26" t="n"/>
      <c r="F197" s="27" t="n"/>
      <c r="G197" s="26" t="n"/>
      <c r="H197" s="26" t="n"/>
      <c r="I197" s="28">
        <f>IF($A197="","",SUMIF(tblAvans[KaynakKartId],$A197,tblAvans[KalanBakiye]))</f>
        <v/>
      </c>
      <c r="J197" s="28">
        <f>IF($A197="","",SUMIF(tblAkis[KaynakKartId],$A197,tblAkis[Tutar]))</f>
        <v/>
      </c>
      <c r="K197" s="28">
        <f>IF($A197="","",IFERROR(AVERAGEIF(tblAkis[KaynakKartId],$A197,tblAkis[YasGun]),0))</f>
        <v/>
      </c>
    </row>
    <row r="198">
      <c r="A198" s="26" t="n"/>
      <c r="B198" s="26" t="n"/>
      <c r="C198" s="26" t="n"/>
      <c r="D198" s="26" t="n"/>
      <c r="E198" s="26" t="n"/>
      <c r="F198" s="27" t="n"/>
      <c r="G198" s="26" t="n"/>
      <c r="H198" s="26" t="n"/>
      <c r="I198" s="28">
        <f>IF($A198="","",SUMIF(tblAvans[KaynakKartId],$A198,tblAvans[KalanBakiye]))</f>
        <v/>
      </c>
      <c r="J198" s="28">
        <f>IF($A198="","",SUMIF(tblAkis[KaynakKartId],$A198,tblAkis[Tutar]))</f>
        <v/>
      </c>
      <c r="K198" s="28">
        <f>IF($A198="","",IFERROR(AVERAGEIF(tblAkis[KaynakKartId],$A198,tblAkis[YasGun]),0))</f>
        <v/>
      </c>
    </row>
    <row r="199">
      <c r="A199" s="26" t="n"/>
      <c r="B199" s="26" t="n"/>
      <c r="C199" s="26" t="n"/>
      <c r="D199" s="26" t="n"/>
      <c r="E199" s="26" t="n"/>
      <c r="F199" s="27" t="n"/>
      <c r="G199" s="26" t="n"/>
      <c r="H199" s="26" t="n"/>
      <c r="I199" s="28">
        <f>IF($A199="","",SUMIF(tblAvans[KaynakKartId],$A199,tblAvans[KalanBakiye]))</f>
        <v/>
      </c>
      <c r="J199" s="28">
        <f>IF($A199="","",SUMIF(tblAkis[KaynakKartId],$A199,tblAkis[Tutar]))</f>
        <v/>
      </c>
      <c r="K199" s="28">
        <f>IF($A199="","",IFERROR(AVERAGEIF(tblAkis[KaynakKartId],$A199,tblAkis[YasGun]),0))</f>
        <v/>
      </c>
    </row>
    <row r="200">
      <c r="A200" s="26" t="n"/>
      <c r="B200" s="26" t="n"/>
      <c r="C200" s="26" t="n"/>
      <c r="D200" s="26" t="n"/>
      <c r="E200" s="26" t="n"/>
      <c r="F200" s="27" t="n"/>
      <c r="G200" s="26" t="n"/>
      <c r="H200" s="26" t="n"/>
      <c r="I200" s="28">
        <f>IF($A200="","",SUMIF(tblAvans[KaynakKartId],$A200,tblAvans[KalanBakiye]))</f>
        <v/>
      </c>
      <c r="J200" s="28">
        <f>IF($A200="","",SUMIF(tblAkis[KaynakKartId],$A200,tblAkis[Tutar]))</f>
        <v/>
      </c>
      <c r="K200" s="28">
        <f>IF($A200="","",IFERROR(AVERAGEIF(tblAkis[KaynakKartId],$A200,tblAkis[YasGun]),0))</f>
        <v/>
      </c>
    </row>
    <row r="201">
      <c r="A201" s="26" t="n"/>
      <c r="B201" s="26" t="n"/>
      <c r="C201" s="26" t="n"/>
      <c r="D201" s="26" t="n"/>
      <c r="E201" s="26" t="n"/>
      <c r="F201" s="27" t="n"/>
      <c r="G201" s="26" t="n"/>
      <c r="H201" s="26" t="n"/>
      <c r="I201" s="28">
        <f>IF($A201="","",SUMIF(tblAvans[KaynakKartId],$A201,tblAvans[KalanBakiye]))</f>
        <v/>
      </c>
      <c r="J201" s="28">
        <f>IF($A201="","",SUMIF(tblAkis[KaynakKartId],$A201,tblAkis[Tutar]))</f>
        <v/>
      </c>
      <c r="K201" s="28">
        <f>IF($A201="","",IFERROR(AVERAGEIF(tblAkis[KaynakKartId],$A201,tblAkis[YasGun]),0))</f>
        <v/>
      </c>
    </row>
    <row r="202">
      <c r="A202" s="26" t="n"/>
      <c r="B202" s="26" t="n"/>
      <c r="C202" s="26" t="n"/>
      <c r="D202" s="26" t="n"/>
      <c r="E202" s="26" t="n"/>
      <c r="F202" s="27" t="n"/>
      <c r="G202" s="26" t="n"/>
      <c r="H202" s="26" t="n"/>
      <c r="I202" s="28">
        <f>IF($A202="","",SUMIF(tblAvans[KaynakKartId],$A202,tblAvans[KalanBakiye]))</f>
        <v/>
      </c>
      <c r="J202" s="28">
        <f>IF($A202="","",SUMIF(tblAkis[KaynakKartId],$A202,tblAkis[Tutar]))</f>
        <v/>
      </c>
      <c r="K202" s="28">
        <f>IF($A202="","",IFERROR(AVERAGEIF(tblAkis[KaynakKartId],$A202,tblAkis[YasGun]),0))</f>
        <v/>
      </c>
    </row>
    <row r="203">
      <c r="A203" s="26" t="n"/>
      <c r="B203" s="26" t="n"/>
      <c r="C203" s="26" t="n"/>
      <c r="D203" s="26" t="n"/>
      <c r="E203" s="26" t="n"/>
      <c r="F203" s="27" t="n"/>
      <c r="G203" s="26" t="n"/>
      <c r="H203" s="26" t="n"/>
      <c r="I203" s="28">
        <f>IF($A203="","",SUMIF(tblAvans[KaynakKartId],$A203,tblAvans[KalanBakiye]))</f>
        <v/>
      </c>
      <c r="J203" s="28">
        <f>IF($A203="","",SUMIF(tblAkis[KaynakKartId],$A203,tblAkis[Tutar]))</f>
        <v/>
      </c>
      <c r="K203" s="28">
        <f>IF($A203="","",IFERROR(AVERAGEIF(tblAkis[KaynakKartId],$A203,tblAkis[YasGun]),0))</f>
        <v/>
      </c>
    </row>
    <row r="204">
      <c r="A204" s="26" t="n"/>
      <c r="B204" s="26" t="n"/>
      <c r="C204" s="26" t="n"/>
      <c r="D204" s="26" t="n"/>
      <c r="E204" s="26" t="n"/>
      <c r="F204" s="27" t="n"/>
      <c r="G204" s="26" t="n"/>
      <c r="H204" s="26" t="n"/>
      <c r="I204" s="28">
        <f>IF($A204="","",SUMIF(tblAvans[KaynakKartId],$A204,tblAvans[KalanBakiye]))</f>
        <v/>
      </c>
      <c r="J204" s="28">
        <f>IF($A204="","",SUMIF(tblAkis[KaynakKartId],$A204,tblAkis[Tutar]))</f>
        <v/>
      </c>
      <c r="K204" s="28">
        <f>IF($A204="","",IFERROR(AVERAGEIF(tblAkis[KaynakKartId],$A204,tblAkis[YasGun]),0))</f>
        <v/>
      </c>
    </row>
    <row r="205">
      <c r="A205" s="26" t="n"/>
      <c r="B205" s="26" t="n"/>
      <c r="C205" s="26" t="n"/>
      <c r="D205" s="26" t="n"/>
      <c r="E205" s="26" t="n"/>
      <c r="F205" s="27" t="n"/>
      <c r="G205" s="26" t="n"/>
      <c r="H205" s="26" t="n"/>
      <c r="I205" s="28">
        <f>IF($A205="","",SUMIF(tblAvans[KaynakKartId],$A205,tblAvans[KalanBakiye]))</f>
        <v/>
      </c>
      <c r="J205" s="28">
        <f>IF($A205="","",SUMIF(tblAkis[KaynakKartId],$A205,tblAkis[Tutar]))</f>
        <v/>
      </c>
      <c r="K205" s="28">
        <f>IF($A205="","",IFERROR(AVERAGEIF(tblAkis[KaynakKartId],$A205,tblAkis[YasGun]),0))</f>
        <v/>
      </c>
    </row>
    <row r="206">
      <c r="A206" s="26" t="n"/>
      <c r="B206" s="26" t="n"/>
      <c r="C206" s="26" t="n"/>
      <c r="D206" s="26" t="n"/>
      <c r="E206" s="26" t="n"/>
      <c r="F206" s="27" t="n"/>
      <c r="G206" s="26" t="n"/>
      <c r="H206" s="26" t="n"/>
      <c r="I206" s="28">
        <f>IF($A206="","",SUMIF(tblAvans[KaynakKartId],$A206,tblAvans[KalanBakiye]))</f>
        <v/>
      </c>
      <c r="J206" s="28">
        <f>IF($A206="","",SUMIF(tblAkis[KaynakKartId],$A206,tblAkis[Tutar]))</f>
        <v/>
      </c>
      <c r="K206" s="28">
        <f>IF($A206="","",IFERROR(AVERAGEIF(tblAkis[KaynakKartId],$A206,tblAkis[YasGun]),0))</f>
        <v/>
      </c>
    </row>
    <row r="207">
      <c r="A207" s="26" t="n"/>
      <c r="B207" s="26" t="n"/>
      <c r="C207" s="26" t="n"/>
      <c r="D207" s="26" t="n"/>
      <c r="E207" s="26" t="n"/>
      <c r="F207" s="27" t="n"/>
      <c r="G207" s="26" t="n"/>
      <c r="H207" s="26" t="n"/>
      <c r="I207" s="28">
        <f>IF($A207="","",SUMIF(tblAvans[KaynakKartId],$A207,tblAvans[KalanBakiye]))</f>
        <v/>
      </c>
      <c r="J207" s="28">
        <f>IF($A207="","",SUMIF(tblAkis[KaynakKartId],$A207,tblAkis[Tutar]))</f>
        <v/>
      </c>
      <c r="K207" s="28">
        <f>IF($A207="","",IFERROR(AVERAGEIF(tblAkis[KaynakKartId],$A207,tblAkis[YasGun]),0))</f>
        <v/>
      </c>
    </row>
    <row r="208">
      <c r="A208" s="26" t="n"/>
      <c r="B208" s="26" t="n"/>
      <c r="C208" s="26" t="n"/>
      <c r="D208" s="26" t="n"/>
      <c r="E208" s="26" t="n"/>
      <c r="F208" s="27" t="n"/>
      <c r="G208" s="26" t="n"/>
      <c r="H208" s="26" t="n"/>
      <c r="I208" s="28">
        <f>IF($A208="","",SUMIF(tblAvans[KaynakKartId],$A208,tblAvans[KalanBakiye]))</f>
        <v/>
      </c>
      <c r="J208" s="28">
        <f>IF($A208="","",SUMIF(tblAkis[KaynakKartId],$A208,tblAkis[Tutar]))</f>
        <v/>
      </c>
      <c r="K208" s="28">
        <f>IF($A208="","",IFERROR(AVERAGEIF(tblAkis[KaynakKartId],$A208,tblAkis[YasGun]),0))</f>
        <v/>
      </c>
    </row>
    <row r="209">
      <c r="A209" s="26" t="n"/>
      <c r="B209" s="26" t="n"/>
      <c r="C209" s="26" t="n"/>
      <c r="D209" s="26" t="n"/>
      <c r="E209" s="26" t="n"/>
      <c r="F209" s="27" t="n"/>
      <c r="G209" s="26" t="n"/>
      <c r="H209" s="26" t="n"/>
      <c r="I209" s="28">
        <f>IF($A209="","",SUMIF(tblAvans[KaynakKartId],$A209,tblAvans[KalanBakiye]))</f>
        <v/>
      </c>
      <c r="J209" s="28">
        <f>IF($A209="","",SUMIF(tblAkis[KaynakKartId],$A209,tblAkis[Tutar]))</f>
        <v/>
      </c>
      <c r="K209" s="28">
        <f>IF($A209="","",IFERROR(AVERAGEIF(tblAkis[KaynakKartId],$A209,tblAkis[YasGun]),0))</f>
        <v/>
      </c>
    </row>
    <row r="210">
      <c r="A210" s="26" t="n"/>
      <c r="B210" s="26" t="n"/>
      <c r="C210" s="26" t="n"/>
      <c r="D210" s="26" t="n"/>
      <c r="E210" s="26" t="n"/>
      <c r="F210" s="27" t="n"/>
      <c r="G210" s="26" t="n"/>
      <c r="H210" s="26" t="n"/>
      <c r="I210" s="28">
        <f>IF($A210="","",SUMIF(tblAvans[KaynakKartId],$A210,tblAvans[KalanBakiye]))</f>
        <v/>
      </c>
      <c r="J210" s="28">
        <f>IF($A210="","",SUMIF(tblAkis[KaynakKartId],$A210,tblAkis[Tutar]))</f>
        <v/>
      </c>
      <c r="K210" s="28">
        <f>IF($A210="","",IFERROR(AVERAGEIF(tblAkis[KaynakKartId],$A210,tblAkis[YasGun]),0))</f>
        <v/>
      </c>
    </row>
    <row r="211">
      <c r="A211" s="26" t="n"/>
      <c r="B211" s="26" t="n"/>
      <c r="C211" s="26" t="n"/>
      <c r="D211" s="26" t="n"/>
      <c r="E211" s="26" t="n"/>
      <c r="F211" s="27" t="n"/>
      <c r="G211" s="26" t="n"/>
      <c r="H211" s="26" t="n"/>
      <c r="I211" s="28">
        <f>IF($A211="","",SUMIF(tblAvans[KaynakKartId],$A211,tblAvans[KalanBakiye]))</f>
        <v/>
      </c>
      <c r="J211" s="28">
        <f>IF($A211="","",SUMIF(tblAkis[KaynakKartId],$A211,tblAkis[Tutar]))</f>
        <v/>
      </c>
      <c r="K211" s="28">
        <f>IF($A211="","",IFERROR(AVERAGEIF(tblAkis[KaynakKartId],$A211,tblAkis[YasGun]),0))</f>
        <v/>
      </c>
    </row>
    <row r="212">
      <c r="A212" s="26" t="n"/>
      <c r="B212" s="26" t="n"/>
      <c r="C212" s="26" t="n"/>
      <c r="D212" s="26" t="n"/>
      <c r="E212" s="26" t="n"/>
      <c r="F212" s="27" t="n"/>
      <c r="G212" s="26" t="n"/>
      <c r="H212" s="26" t="n"/>
      <c r="I212" s="28">
        <f>IF($A212="","",SUMIF(tblAvans[KaynakKartId],$A212,tblAvans[KalanBakiye]))</f>
        <v/>
      </c>
      <c r="J212" s="28">
        <f>IF($A212="","",SUMIF(tblAkis[KaynakKartId],$A212,tblAkis[Tutar]))</f>
        <v/>
      </c>
      <c r="K212" s="28">
        <f>IF($A212="","",IFERROR(AVERAGEIF(tblAkis[KaynakKartId],$A212,tblAkis[YasGun]),0))</f>
        <v/>
      </c>
    </row>
    <row r="213">
      <c r="A213" s="26" t="n"/>
      <c r="B213" s="26" t="n"/>
      <c r="C213" s="26" t="n"/>
      <c r="D213" s="26" t="n"/>
      <c r="E213" s="26" t="n"/>
      <c r="F213" s="27" t="n"/>
      <c r="G213" s="26" t="n"/>
      <c r="H213" s="26" t="n"/>
      <c r="I213" s="28">
        <f>IF($A213="","",SUMIF(tblAvans[KaynakKartId],$A213,tblAvans[KalanBakiye]))</f>
        <v/>
      </c>
      <c r="J213" s="28">
        <f>IF($A213="","",SUMIF(tblAkis[KaynakKartId],$A213,tblAkis[Tutar]))</f>
        <v/>
      </c>
      <c r="K213" s="28">
        <f>IF($A213="","",IFERROR(AVERAGEIF(tblAkis[KaynakKartId],$A213,tblAkis[YasGun]),0))</f>
        <v/>
      </c>
    </row>
    <row r="214">
      <c r="A214" s="26" t="n"/>
      <c r="B214" s="26" t="n"/>
      <c r="C214" s="26" t="n"/>
      <c r="D214" s="26" t="n"/>
      <c r="E214" s="26" t="n"/>
      <c r="F214" s="27" t="n"/>
      <c r="G214" s="26" t="n"/>
      <c r="H214" s="26" t="n"/>
      <c r="I214" s="28">
        <f>IF($A214="","",SUMIF(tblAvans[KaynakKartId],$A214,tblAvans[KalanBakiye]))</f>
        <v/>
      </c>
      <c r="J214" s="28">
        <f>IF($A214="","",SUMIF(tblAkis[KaynakKartId],$A214,tblAkis[Tutar]))</f>
        <v/>
      </c>
      <c r="K214" s="28">
        <f>IF($A214="","",IFERROR(AVERAGEIF(tblAkis[KaynakKartId],$A214,tblAkis[YasGun]),0))</f>
        <v/>
      </c>
    </row>
    <row r="215">
      <c r="A215" s="26" t="n"/>
      <c r="B215" s="26" t="n"/>
      <c r="C215" s="26" t="n"/>
      <c r="D215" s="26" t="n"/>
      <c r="E215" s="26" t="n"/>
      <c r="F215" s="27" t="n"/>
      <c r="G215" s="26" t="n"/>
      <c r="H215" s="26" t="n"/>
      <c r="I215" s="28">
        <f>IF($A215="","",SUMIF(tblAvans[KaynakKartId],$A215,tblAvans[KalanBakiye]))</f>
        <v/>
      </c>
      <c r="J215" s="28">
        <f>IF($A215="","",SUMIF(tblAkis[KaynakKartId],$A215,tblAkis[Tutar]))</f>
        <v/>
      </c>
      <c r="K215" s="28">
        <f>IF($A215="","",IFERROR(AVERAGEIF(tblAkis[KaynakKartId],$A215,tblAkis[YasGun]),0))</f>
        <v/>
      </c>
    </row>
    <row r="216">
      <c r="A216" s="26" t="n"/>
      <c r="B216" s="26" t="n"/>
      <c r="C216" s="26" t="n"/>
      <c r="D216" s="26" t="n"/>
      <c r="E216" s="26" t="n"/>
      <c r="F216" s="27" t="n"/>
      <c r="G216" s="26" t="n"/>
      <c r="H216" s="26" t="n"/>
      <c r="I216" s="28">
        <f>IF($A216="","",SUMIF(tblAvans[KaynakKartId],$A216,tblAvans[KalanBakiye]))</f>
        <v/>
      </c>
      <c r="J216" s="28">
        <f>IF($A216="","",SUMIF(tblAkis[KaynakKartId],$A216,tblAkis[Tutar]))</f>
        <v/>
      </c>
      <c r="K216" s="28">
        <f>IF($A216="","",IFERROR(AVERAGEIF(tblAkis[KaynakKartId],$A216,tblAkis[YasGun]),0))</f>
        <v/>
      </c>
    </row>
    <row r="217">
      <c r="A217" s="26" t="n"/>
      <c r="B217" s="26" t="n"/>
      <c r="C217" s="26" t="n"/>
      <c r="D217" s="26" t="n"/>
      <c r="E217" s="26" t="n"/>
      <c r="F217" s="27" t="n"/>
      <c r="G217" s="26" t="n"/>
      <c r="H217" s="26" t="n"/>
      <c r="I217" s="28">
        <f>IF($A217="","",SUMIF(tblAvans[KaynakKartId],$A217,tblAvans[KalanBakiye]))</f>
        <v/>
      </c>
      <c r="J217" s="28">
        <f>IF($A217="","",SUMIF(tblAkis[KaynakKartId],$A217,tblAkis[Tutar]))</f>
        <v/>
      </c>
      <c r="K217" s="28">
        <f>IF($A217="","",IFERROR(AVERAGEIF(tblAkis[KaynakKartId],$A217,tblAkis[YasGun]),0))</f>
        <v/>
      </c>
    </row>
    <row r="218">
      <c r="A218" s="26" t="n"/>
      <c r="B218" s="26" t="n"/>
      <c r="C218" s="26" t="n"/>
      <c r="D218" s="26" t="n"/>
      <c r="E218" s="26" t="n"/>
      <c r="F218" s="27" t="n"/>
      <c r="G218" s="26" t="n"/>
      <c r="H218" s="26" t="n"/>
      <c r="I218" s="28">
        <f>IF($A218="","",SUMIF(tblAvans[KaynakKartId],$A218,tblAvans[KalanBakiye]))</f>
        <v/>
      </c>
      <c r="J218" s="28">
        <f>IF($A218="","",SUMIF(tblAkis[KaynakKartId],$A218,tblAkis[Tutar]))</f>
        <v/>
      </c>
      <c r="K218" s="28">
        <f>IF($A218="","",IFERROR(AVERAGEIF(tblAkis[KaynakKartId],$A218,tblAkis[YasGun]),0))</f>
        <v/>
      </c>
    </row>
    <row r="219">
      <c r="A219" s="26" t="n"/>
      <c r="B219" s="26" t="n"/>
      <c r="C219" s="26" t="n"/>
      <c r="D219" s="26" t="n"/>
      <c r="E219" s="26" t="n"/>
      <c r="F219" s="27" t="n"/>
      <c r="G219" s="26" t="n"/>
      <c r="H219" s="26" t="n"/>
      <c r="I219" s="28">
        <f>IF($A219="","",SUMIF(tblAvans[KaynakKartId],$A219,tblAvans[KalanBakiye]))</f>
        <v/>
      </c>
      <c r="J219" s="28">
        <f>IF($A219="","",SUMIF(tblAkis[KaynakKartId],$A219,tblAkis[Tutar]))</f>
        <v/>
      </c>
      <c r="K219" s="28">
        <f>IF($A219="","",IFERROR(AVERAGEIF(tblAkis[KaynakKartId],$A219,tblAkis[YasGun]),0))</f>
        <v/>
      </c>
    </row>
    <row r="220">
      <c r="A220" s="26" t="n"/>
      <c r="B220" s="26" t="n"/>
      <c r="C220" s="26" t="n"/>
      <c r="D220" s="26" t="n"/>
      <c r="E220" s="26" t="n"/>
      <c r="F220" s="27" t="n"/>
      <c r="G220" s="26" t="n"/>
      <c r="H220" s="26" t="n"/>
      <c r="I220" s="28">
        <f>IF($A220="","",SUMIF(tblAvans[KaynakKartId],$A220,tblAvans[KalanBakiye]))</f>
        <v/>
      </c>
      <c r="J220" s="28">
        <f>IF($A220="","",SUMIF(tblAkis[KaynakKartId],$A220,tblAkis[Tutar]))</f>
        <v/>
      </c>
      <c r="K220" s="28">
        <f>IF($A220="","",IFERROR(AVERAGEIF(tblAkis[KaynakKartId],$A220,tblAkis[YasGun]),0))</f>
        <v/>
      </c>
    </row>
    <row r="221">
      <c r="A221" s="26" t="n"/>
      <c r="B221" s="26" t="n"/>
      <c r="C221" s="26" t="n"/>
      <c r="D221" s="26" t="n"/>
      <c r="E221" s="26" t="n"/>
      <c r="F221" s="27" t="n"/>
      <c r="G221" s="26" t="n"/>
      <c r="H221" s="26" t="n"/>
      <c r="I221" s="28">
        <f>IF($A221="","",SUMIF(tblAvans[KaynakKartId],$A221,tblAvans[KalanBakiye]))</f>
        <v/>
      </c>
      <c r="J221" s="28">
        <f>IF($A221="","",SUMIF(tblAkis[KaynakKartId],$A221,tblAkis[Tutar]))</f>
        <v/>
      </c>
      <c r="K221" s="28">
        <f>IF($A221="","",IFERROR(AVERAGEIF(tblAkis[KaynakKartId],$A221,tblAkis[YasGun]),0))</f>
        <v/>
      </c>
    </row>
    <row r="222">
      <c r="A222" s="26" t="n"/>
      <c r="B222" s="26" t="n"/>
      <c r="C222" s="26" t="n"/>
      <c r="D222" s="26" t="n"/>
      <c r="E222" s="26" t="n"/>
      <c r="F222" s="27" t="n"/>
      <c r="G222" s="26" t="n"/>
      <c r="H222" s="26" t="n"/>
      <c r="I222" s="28">
        <f>IF($A222="","",SUMIF(tblAvans[KaynakKartId],$A222,tblAvans[KalanBakiye]))</f>
        <v/>
      </c>
      <c r="J222" s="28">
        <f>IF($A222="","",SUMIF(tblAkis[KaynakKartId],$A222,tblAkis[Tutar]))</f>
        <v/>
      </c>
      <c r="K222" s="28">
        <f>IF($A222="","",IFERROR(AVERAGEIF(tblAkis[KaynakKartId],$A222,tblAkis[YasGun]),0))</f>
        <v/>
      </c>
    </row>
    <row r="223">
      <c r="A223" s="26" t="n"/>
      <c r="B223" s="26" t="n"/>
      <c r="C223" s="26" t="n"/>
      <c r="D223" s="26" t="n"/>
      <c r="E223" s="26" t="n"/>
      <c r="F223" s="27" t="n"/>
      <c r="G223" s="26" t="n"/>
      <c r="H223" s="26" t="n"/>
      <c r="I223" s="28">
        <f>IF($A223="","",SUMIF(tblAvans[KaynakKartId],$A223,tblAvans[KalanBakiye]))</f>
        <v/>
      </c>
      <c r="J223" s="28">
        <f>IF($A223="","",SUMIF(tblAkis[KaynakKartId],$A223,tblAkis[Tutar]))</f>
        <v/>
      </c>
      <c r="K223" s="28">
        <f>IF($A223="","",IFERROR(AVERAGEIF(tblAkis[KaynakKartId],$A223,tblAkis[YasGun]),0))</f>
        <v/>
      </c>
    </row>
    <row r="224">
      <c r="A224" s="26" t="n"/>
      <c r="B224" s="26" t="n"/>
      <c r="C224" s="26" t="n"/>
      <c r="D224" s="26" t="n"/>
      <c r="E224" s="26" t="n"/>
      <c r="F224" s="27" t="n"/>
      <c r="G224" s="26" t="n"/>
      <c r="H224" s="26" t="n"/>
      <c r="I224" s="28">
        <f>IF($A224="","",SUMIF(tblAvans[KaynakKartId],$A224,tblAvans[KalanBakiye]))</f>
        <v/>
      </c>
      <c r="J224" s="28">
        <f>IF($A224="","",SUMIF(tblAkis[KaynakKartId],$A224,tblAkis[Tutar]))</f>
        <v/>
      </c>
      <c r="K224" s="28">
        <f>IF($A224="","",IFERROR(AVERAGEIF(tblAkis[KaynakKartId],$A224,tblAkis[YasGun]),0))</f>
        <v/>
      </c>
    </row>
    <row r="225">
      <c r="A225" s="26" t="n"/>
      <c r="B225" s="26" t="n"/>
      <c r="C225" s="26" t="n"/>
      <c r="D225" s="26" t="n"/>
      <c r="E225" s="26" t="n"/>
      <c r="F225" s="27" t="n"/>
      <c r="G225" s="26" t="n"/>
      <c r="H225" s="26" t="n"/>
      <c r="I225" s="28">
        <f>IF($A225="","",SUMIF(tblAvans[KaynakKartId],$A225,tblAvans[KalanBakiye]))</f>
        <v/>
      </c>
      <c r="J225" s="28">
        <f>IF($A225="","",SUMIF(tblAkis[KaynakKartId],$A225,tblAkis[Tutar]))</f>
        <v/>
      </c>
      <c r="K225" s="28">
        <f>IF($A225="","",IFERROR(AVERAGEIF(tblAkis[KaynakKartId],$A225,tblAkis[YasGun]),0))</f>
        <v/>
      </c>
    </row>
    <row r="226">
      <c r="A226" s="26" t="n"/>
      <c r="B226" s="26" t="n"/>
      <c r="C226" s="26" t="n"/>
      <c r="D226" s="26" t="n"/>
      <c r="E226" s="26" t="n"/>
      <c r="F226" s="27" t="n"/>
      <c r="G226" s="26" t="n"/>
      <c r="H226" s="26" t="n"/>
      <c r="I226" s="28">
        <f>IF($A226="","",SUMIF(tblAvans[KaynakKartId],$A226,tblAvans[KalanBakiye]))</f>
        <v/>
      </c>
      <c r="J226" s="28">
        <f>IF($A226="","",SUMIF(tblAkis[KaynakKartId],$A226,tblAkis[Tutar]))</f>
        <v/>
      </c>
      <c r="K226" s="28">
        <f>IF($A226="","",IFERROR(AVERAGEIF(tblAkis[KaynakKartId],$A226,tblAkis[YasGun]),0))</f>
        <v/>
      </c>
    </row>
    <row r="227">
      <c r="A227" s="26" t="n"/>
      <c r="B227" s="26" t="n"/>
      <c r="C227" s="26" t="n"/>
      <c r="D227" s="26" t="n"/>
      <c r="E227" s="26" t="n"/>
      <c r="F227" s="27" t="n"/>
      <c r="G227" s="26" t="n"/>
      <c r="H227" s="26" t="n"/>
      <c r="I227" s="28">
        <f>IF($A227="","",SUMIF(tblAvans[KaynakKartId],$A227,tblAvans[KalanBakiye]))</f>
        <v/>
      </c>
      <c r="J227" s="28">
        <f>IF($A227="","",SUMIF(tblAkis[KaynakKartId],$A227,tblAkis[Tutar]))</f>
        <v/>
      </c>
      <c r="K227" s="28">
        <f>IF($A227="","",IFERROR(AVERAGEIF(tblAkis[KaynakKartId],$A227,tblAkis[YasGun]),0))</f>
        <v/>
      </c>
    </row>
    <row r="228">
      <c r="A228" s="26" t="n"/>
      <c r="B228" s="26" t="n"/>
      <c r="C228" s="26" t="n"/>
      <c r="D228" s="26" t="n"/>
      <c r="E228" s="26" t="n"/>
      <c r="F228" s="27" t="n"/>
      <c r="G228" s="26" t="n"/>
      <c r="H228" s="26" t="n"/>
      <c r="I228" s="28">
        <f>IF($A228="","",SUMIF(tblAvans[KaynakKartId],$A228,tblAvans[KalanBakiye]))</f>
        <v/>
      </c>
      <c r="J228" s="28">
        <f>IF($A228="","",SUMIF(tblAkis[KaynakKartId],$A228,tblAkis[Tutar]))</f>
        <v/>
      </c>
      <c r="K228" s="28">
        <f>IF($A228="","",IFERROR(AVERAGEIF(tblAkis[KaynakKartId],$A228,tblAkis[YasGun]),0))</f>
        <v/>
      </c>
    </row>
    <row r="229">
      <c r="A229" s="26" t="n"/>
      <c r="B229" s="26" t="n"/>
      <c r="C229" s="26" t="n"/>
      <c r="D229" s="26" t="n"/>
      <c r="E229" s="26" t="n"/>
      <c r="F229" s="27" t="n"/>
      <c r="G229" s="26" t="n"/>
      <c r="H229" s="26" t="n"/>
      <c r="I229" s="28">
        <f>IF($A229="","",SUMIF(tblAvans[KaynakKartId],$A229,tblAvans[KalanBakiye]))</f>
        <v/>
      </c>
      <c r="J229" s="28">
        <f>IF($A229="","",SUMIF(tblAkis[KaynakKartId],$A229,tblAkis[Tutar]))</f>
        <v/>
      </c>
      <c r="K229" s="28">
        <f>IF($A229="","",IFERROR(AVERAGEIF(tblAkis[KaynakKartId],$A229,tblAkis[YasGun]),0))</f>
        <v/>
      </c>
    </row>
    <row r="230">
      <c r="A230" s="26" t="n"/>
      <c r="B230" s="26" t="n"/>
      <c r="C230" s="26" t="n"/>
      <c r="D230" s="26" t="n"/>
      <c r="E230" s="26" t="n"/>
      <c r="F230" s="27" t="n"/>
      <c r="G230" s="26" t="n"/>
      <c r="H230" s="26" t="n"/>
      <c r="I230" s="28">
        <f>IF($A230="","",SUMIF(tblAvans[KaynakKartId],$A230,tblAvans[KalanBakiye]))</f>
        <v/>
      </c>
      <c r="J230" s="28">
        <f>IF($A230="","",SUMIF(tblAkis[KaynakKartId],$A230,tblAkis[Tutar]))</f>
        <v/>
      </c>
      <c r="K230" s="28">
        <f>IF($A230="","",IFERROR(AVERAGEIF(tblAkis[KaynakKartId],$A230,tblAkis[YasGun]),0))</f>
        <v/>
      </c>
    </row>
    <row r="231">
      <c r="A231" s="26" t="n"/>
      <c r="B231" s="26" t="n"/>
      <c r="C231" s="26" t="n"/>
      <c r="D231" s="26" t="n"/>
      <c r="E231" s="26" t="n"/>
      <c r="F231" s="27" t="n"/>
      <c r="G231" s="26" t="n"/>
      <c r="H231" s="26" t="n"/>
      <c r="I231" s="28">
        <f>IF($A231="","",SUMIF(tblAvans[KaynakKartId],$A231,tblAvans[KalanBakiye]))</f>
        <v/>
      </c>
      <c r="J231" s="28">
        <f>IF($A231="","",SUMIF(tblAkis[KaynakKartId],$A231,tblAkis[Tutar]))</f>
        <v/>
      </c>
      <c r="K231" s="28">
        <f>IF($A231="","",IFERROR(AVERAGEIF(tblAkis[KaynakKartId],$A231,tblAkis[YasGun]),0))</f>
        <v/>
      </c>
    </row>
    <row r="232">
      <c r="A232" s="26" t="n"/>
      <c r="B232" s="26" t="n"/>
      <c r="C232" s="26" t="n"/>
      <c r="D232" s="26" t="n"/>
      <c r="E232" s="26" t="n"/>
      <c r="F232" s="27" t="n"/>
      <c r="G232" s="26" t="n"/>
      <c r="H232" s="26" t="n"/>
      <c r="I232" s="28">
        <f>IF($A232="","",SUMIF(tblAvans[KaynakKartId],$A232,tblAvans[KalanBakiye]))</f>
        <v/>
      </c>
      <c r="J232" s="28">
        <f>IF($A232="","",SUMIF(tblAkis[KaynakKartId],$A232,tblAkis[Tutar]))</f>
        <v/>
      </c>
      <c r="K232" s="28">
        <f>IF($A232="","",IFERROR(AVERAGEIF(tblAkis[KaynakKartId],$A232,tblAkis[YasGun]),0))</f>
        <v/>
      </c>
    </row>
    <row r="233">
      <c r="A233" s="26" t="n"/>
      <c r="B233" s="26" t="n"/>
      <c r="C233" s="26" t="n"/>
      <c r="D233" s="26" t="n"/>
      <c r="E233" s="26" t="n"/>
      <c r="F233" s="27" t="n"/>
      <c r="G233" s="26" t="n"/>
      <c r="H233" s="26" t="n"/>
      <c r="I233" s="28">
        <f>IF($A233="","",SUMIF(tblAvans[KaynakKartId],$A233,tblAvans[KalanBakiye]))</f>
        <v/>
      </c>
      <c r="J233" s="28">
        <f>IF($A233="","",SUMIF(tblAkis[KaynakKartId],$A233,tblAkis[Tutar]))</f>
        <v/>
      </c>
      <c r="K233" s="28">
        <f>IF($A233="","",IFERROR(AVERAGEIF(tblAkis[KaynakKartId],$A233,tblAkis[YasGun]),0))</f>
        <v/>
      </c>
    </row>
    <row r="234">
      <c r="A234" s="26" t="n"/>
      <c r="B234" s="26" t="n"/>
      <c r="C234" s="26" t="n"/>
      <c r="D234" s="26" t="n"/>
      <c r="E234" s="26" t="n"/>
      <c r="F234" s="27" t="n"/>
      <c r="G234" s="26" t="n"/>
      <c r="H234" s="26" t="n"/>
      <c r="I234" s="28">
        <f>IF($A234="","",SUMIF(tblAvans[KaynakKartId],$A234,tblAvans[KalanBakiye]))</f>
        <v/>
      </c>
      <c r="J234" s="28">
        <f>IF($A234="","",SUMIF(tblAkis[KaynakKartId],$A234,tblAkis[Tutar]))</f>
        <v/>
      </c>
      <c r="K234" s="28">
        <f>IF($A234="","",IFERROR(AVERAGEIF(tblAkis[KaynakKartId],$A234,tblAkis[YasGun]),0))</f>
        <v/>
      </c>
    </row>
    <row r="235">
      <c r="A235" s="26" t="n"/>
      <c r="B235" s="26" t="n"/>
      <c r="C235" s="26" t="n"/>
      <c r="D235" s="26" t="n"/>
      <c r="E235" s="26" t="n"/>
      <c r="F235" s="27" t="n"/>
      <c r="G235" s="26" t="n"/>
      <c r="H235" s="26" t="n"/>
      <c r="I235" s="28">
        <f>IF($A235="","",SUMIF(tblAvans[KaynakKartId],$A235,tblAvans[KalanBakiye]))</f>
        <v/>
      </c>
      <c r="J235" s="28">
        <f>IF($A235="","",SUMIF(tblAkis[KaynakKartId],$A235,tblAkis[Tutar]))</f>
        <v/>
      </c>
      <c r="K235" s="28">
        <f>IF($A235="","",IFERROR(AVERAGEIF(tblAkis[KaynakKartId],$A235,tblAkis[YasGun]),0))</f>
        <v/>
      </c>
    </row>
    <row r="236">
      <c r="A236" s="26" t="n"/>
      <c r="B236" s="26" t="n"/>
      <c r="C236" s="26" t="n"/>
      <c r="D236" s="26" t="n"/>
      <c r="E236" s="26" t="n"/>
      <c r="F236" s="27" t="n"/>
      <c r="G236" s="26" t="n"/>
      <c r="H236" s="26" t="n"/>
      <c r="I236" s="28">
        <f>IF($A236="","",SUMIF(tblAvans[KaynakKartId],$A236,tblAvans[KalanBakiye]))</f>
        <v/>
      </c>
      <c r="J236" s="28">
        <f>IF($A236="","",SUMIF(tblAkis[KaynakKartId],$A236,tblAkis[Tutar]))</f>
        <v/>
      </c>
      <c r="K236" s="28">
        <f>IF($A236="","",IFERROR(AVERAGEIF(tblAkis[KaynakKartId],$A236,tblAkis[YasGun]),0))</f>
        <v/>
      </c>
    </row>
    <row r="237">
      <c r="A237" s="26" t="n"/>
      <c r="B237" s="26" t="n"/>
      <c r="C237" s="26" t="n"/>
      <c r="D237" s="26" t="n"/>
      <c r="E237" s="26" t="n"/>
      <c r="F237" s="27" t="n"/>
      <c r="G237" s="26" t="n"/>
      <c r="H237" s="26" t="n"/>
      <c r="I237" s="28">
        <f>IF($A237="","",SUMIF(tblAvans[KaynakKartId],$A237,tblAvans[KalanBakiye]))</f>
        <v/>
      </c>
      <c r="J237" s="28">
        <f>IF($A237="","",SUMIF(tblAkis[KaynakKartId],$A237,tblAkis[Tutar]))</f>
        <v/>
      </c>
      <c r="K237" s="28">
        <f>IF($A237="","",IFERROR(AVERAGEIF(tblAkis[KaynakKartId],$A237,tblAkis[YasGun]),0))</f>
        <v/>
      </c>
    </row>
    <row r="238">
      <c r="A238" s="26" t="n"/>
      <c r="B238" s="26" t="n"/>
      <c r="C238" s="26" t="n"/>
      <c r="D238" s="26" t="n"/>
      <c r="E238" s="26" t="n"/>
      <c r="F238" s="27" t="n"/>
      <c r="G238" s="26" t="n"/>
      <c r="H238" s="26" t="n"/>
      <c r="I238" s="28">
        <f>IF($A238="","",SUMIF(tblAvans[KaynakKartId],$A238,tblAvans[KalanBakiye]))</f>
        <v/>
      </c>
      <c r="J238" s="28">
        <f>IF($A238="","",SUMIF(tblAkis[KaynakKartId],$A238,tblAkis[Tutar]))</f>
        <v/>
      </c>
      <c r="K238" s="28">
        <f>IF($A238="","",IFERROR(AVERAGEIF(tblAkis[KaynakKartId],$A238,tblAkis[YasGun]),0))</f>
        <v/>
      </c>
    </row>
    <row r="239">
      <c r="A239" s="26" t="n"/>
      <c r="B239" s="26" t="n"/>
      <c r="C239" s="26" t="n"/>
      <c r="D239" s="26" t="n"/>
      <c r="E239" s="26" t="n"/>
      <c r="F239" s="27" t="n"/>
      <c r="G239" s="26" t="n"/>
      <c r="H239" s="26" t="n"/>
      <c r="I239" s="28">
        <f>IF($A239="","",SUMIF(tblAvans[KaynakKartId],$A239,tblAvans[KalanBakiye]))</f>
        <v/>
      </c>
      <c r="J239" s="28">
        <f>IF($A239="","",SUMIF(tblAkis[KaynakKartId],$A239,tblAkis[Tutar]))</f>
        <v/>
      </c>
      <c r="K239" s="28">
        <f>IF($A239="","",IFERROR(AVERAGEIF(tblAkis[KaynakKartId],$A239,tblAkis[YasGun]),0))</f>
        <v/>
      </c>
    </row>
    <row r="240">
      <c r="A240" s="26" t="n"/>
      <c r="B240" s="26" t="n"/>
      <c r="C240" s="26" t="n"/>
      <c r="D240" s="26" t="n"/>
      <c r="E240" s="26" t="n"/>
      <c r="F240" s="27" t="n"/>
      <c r="G240" s="26" t="n"/>
      <c r="H240" s="26" t="n"/>
      <c r="I240" s="28">
        <f>IF($A240="","",SUMIF(tblAvans[KaynakKartId],$A240,tblAvans[KalanBakiye]))</f>
        <v/>
      </c>
      <c r="J240" s="28">
        <f>IF($A240="","",SUMIF(tblAkis[KaynakKartId],$A240,tblAkis[Tutar]))</f>
        <v/>
      </c>
      <c r="K240" s="28">
        <f>IF($A240="","",IFERROR(AVERAGEIF(tblAkis[KaynakKartId],$A240,tblAkis[YasGun]),0))</f>
        <v/>
      </c>
    </row>
    <row r="241">
      <c r="A241" s="26" t="n"/>
      <c r="B241" s="26" t="n"/>
      <c r="C241" s="26" t="n"/>
      <c r="D241" s="26" t="n"/>
      <c r="E241" s="26" t="n"/>
      <c r="F241" s="27" t="n"/>
      <c r="G241" s="26" t="n"/>
      <c r="H241" s="26" t="n"/>
      <c r="I241" s="28">
        <f>IF($A241="","",SUMIF(tblAvans[KaynakKartId],$A241,tblAvans[KalanBakiye]))</f>
        <v/>
      </c>
      <c r="J241" s="28">
        <f>IF($A241="","",SUMIF(tblAkis[KaynakKartId],$A241,tblAkis[Tutar]))</f>
        <v/>
      </c>
      <c r="K241" s="28">
        <f>IF($A241="","",IFERROR(AVERAGEIF(tblAkis[KaynakKartId],$A241,tblAkis[YasGun]),0))</f>
        <v/>
      </c>
    </row>
    <row r="242">
      <c r="A242" s="26" t="n"/>
      <c r="B242" s="26" t="n"/>
      <c r="C242" s="26" t="n"/>
      <c r="D242" s="26" t="n"/>
      <c r="E242" s="26" t="n"/>
      <c r="F242" s="27" t="n"/>
      <c r="G242" s="26" t="n"/>
      <c r="H242" s="26" t="n"/>
      <c r="I242" s="28">
        <f>IF($A242="","",SUMIF(tblAvans[KaynakKartId],$A242,tblAvans[KalanBakiye]))</f>
        <v/>
      </c>
      <c r="J242" s="28">
        <f>IF($A242="","",SUMIF(tblAkis[KaynakKartId],$A242,tblAkis[Tutar]))</f>
        <v/>
      </c>
      <c r="K242" s="28">
        <f>IF($A242="","",IFERROR(AVERAGEIF(tblAkis[KaynakKartId],$A242,tblAkis[YasGun]),0))</f>
        <v/>
      </c>
    </row>
    <row r="243">
      <c r="A243" s="26" t="n"/>
      <c r="B243" s="26" t="n"/>
      <c r="C243" s="26" t="n"/>
      <c r="D243" s="26" t="n"/>
      <c r="E243" s="26" t="n"/>
      <c r="F243" s="27" t="n"/>
      <c r="G243" s="26" t="n"/>
      <c r="H243" s="26" t="n"/>
      <c r="I243" s="28">
        <f>IF($A243="","",SUMIF(tblAvans[KaynakKartId],$A243,tblAvans[KalanBakiye]))</f>
        <v/>
      </c>
      <c r="J243" s="28">
        <f>IF($A243="","",SUMIF(tblAkis[KaynakKartId],$A243,tblAkis[Tutar]))</f>
        <v/>
      </c>
      <c r="K243" s="28">
        <f>IF($A243="","",IFERROR(AVERAGEIF(tblAkis[KaynakKartId],$A243,tblAkis[YasGun]),0))</f>
        <v/>
      </c>
    </row>
    <row r="244">
      <c r="A244" s="26" t="n"/>
      <c r="B244" s="26" t="n"/>
      <c r="C244" s="26" t="n"/>
      <c r="D244" s="26" t="n"/>
      <c r="E244" s="26" t="n"/>
      <c r="F244" s="27" t="n"/>
      <c r="G244" s="26" t="n"/>
      <c r="H244" s="26" t="n"/>
      <c r="I244" s="28">
        <f>IF($A244="","",SUMIF(tblAvans[KaynakKartId],$A244,tblAvans[KalanBakiye]))</f>
        <v/>
      </c>
      <c r="J244" s="28">
        <f>IF($A244="","",SUMIF(tblAkis[KaynakKartId],$A244,tblAkis[Tutar]))</f>
        <v/>
      </c>
      <c r="K244" s="28">
        <f>IF($A244="","",IFERROR(AVERAGEIF(tblAkis[KaynakKartId],$A244,tblAkis[YasGun]),0))</f>
        <v/>
      </c>
    </row>
    <row r="245">
      <c r="A245" s="26" t="n"/>
      <c r="B245" s="26" t="n"/>
      <c r="C245" s="26" t="n"/>
      <c r="D245" s="26" t="n"/>
      <c r="E245" s="26" t="n"/>
      <c r="F245" s="27" t="n"/>
      <c r="G245" s="26" t="n"/>
      <c r="H245" s="26" t="n"/>
      <c r="I245" s="28">
        <f>IF($A245="","",SUMIF(tblAvans[KaynakKartId],$A245,tblAvans[KalanBakiye]))</f>
        <v/>
      </c>
      <c r="J245" s="28">
        <f>IF($A245="","",SUMIF(tblAkis[KaynakKartId],$A245,tblAkis[Tutar]))</f>
        <v/>
      </c>
      <c r="K245" s="28">
        <f>IF($A245="","",IFERROR(AVERAGEIF(tblAkis[KaynakKartId],$A245,tblAkis[YasGun]),0))</f>
        <v/>
      </c>
    </row>
    <row r="246">
      <c r="A246" s="26" t="n"/>
      <c r="B246" s="26" t="n"/>
      <c r="C246" s="26" t="n"/>
      <c r="D246" s="26" t="n"/>
      <c r="E246" s="26" t="n"/>
      <c r="F246" s="27" t="n"/>
      <c r="G246" s="26" t="n"/>
      <c r="H246" s="26" t="n"/>
      <c r="I246" s="28">
        <f>IF($A246="","",SUMIF(tblAvans[KaynakKartId],$A246,tblAvans[KalanBakiye]))</f>
        <v/>
      </c>
      <c r="J246" s="28">
        <f>IF($A246="","",SUMIF(tblAkis[KaynakKartId],$A246,tblAkis[Tutar]))</f>
        <v/>
      </c>
      <c r="K246" s="28">
        <f>IF($A246="","",IFERROR(AVERAGEIF(tblAkis[KaynakKartId],$A246,tblAkis[YasGun]),0))</f>
        <v/>
      </c>
    </row>
    <row r="247">
      <c r="A247" s="26" t="n"/>
      <c r="B247" s="26" t="n"/>
      <c r="C247" s="26" t="n"/>
      <c r="D247" s="26" t="n"/>
      <c r="E247" s="26" t="n"/>
      <c r="F247" s="27" t="n"/>
      <c r="G247" s="26" t="n"/>
      <c r="H247" s="26" t="n"/>
      <c r="I247" s="28">
        <f>IF($A247="","",SUMIF(tblAvans[KaynakKartId],$A247,tblAvans[KalanBakiye]))</f>
        <v/>
      </c>
      <c r="J247" s="28">
        <f>IF($A247="","",SUMIF(tblAkis[KaynakKartId],$A247,tblAkis[Tutar]))</f>
        <v/>
      </c>
      <c r="K247" s="28">
        <f>IF($A247="","",IFERROR(AVERAGEIF(tblAkis[KaynakKartId],$A247,tblAkis[YasGun]),0))</f>
        <v/>
      </c>
    </row>
    <row r="248">
      <c r="A248" s="26" t="n"/>
      <c r="B248" s="26" t="n"/>
      <c r="C248" s="26" t="n"/>
      <c r="D248" s="26" t="n"/>
      <c r="E248" s="26" t="n"/>
      <c r="F248" s="27" t="n"/>
      <c r="G248" s="26" t="n"/>
      <c r="H248" s="26" t="n"/>
      <c r="I248" s="28">
        <f>IF($A248="","",SUMIF(tblAvans[KaynakKartId],$A248,tblAvans[KalanBakiye]))</f>
        <v/>
      </c>
      <c r="J248" s="28">
        <f>IF($A248="","",SUMIF(tblAkis[KaynakKartId],$A248,tblAkis[Tutar]))</f>
        <v/>
      </c>
      <c r="K248" s="28">
        <f>IF($A248="","",IFERROR(AVERAGEIF(tblAkis[KaynakKartId],$A248,tblAkis[YasGun]),0))</f>
        <v/>
      </c>
    </row>
    <row r="249">
      <c r="A249" s="26" t="n"/>
      <c r="B249" s="26" t="n"/>
      <c r="C249" s="26" t="n"/>
      <c r="D249" s="26" t="n"/>
      <c r="E249" s="26" t="n"/>
      <c r="F249" s="27" t="n"/>
      <c r="G249" s="26" t="n"/>
      <c r="H249" s="26" t="n"/>
      <c r="I249" s="28">
        <f>IF($A249="","",SUMIF(tblAvans[KaynakKartId],$A249,tblAvans[KalanBakiye]))</f>
        <v/>
      </c>
      <c r="J249" s="28">
        <f>IF($A249="","",SUMIF(tblAkis[KaynakKartId],$A249,tblAkis[Tutar]))</f>
        <v/>
      </c>
      <c r="K249" s="28">
        <f>IF($A249="","",IFERROR(AVERAGEIF(tblAkis[KaynakKartId],$A249,tblAkis[YasGun]),0))</f>
        <v/>
      </c>
    </row>
    <row r="250">
      <c r="A250" s="26" t="n"/>
      <c r="B250" s="26" t="n"/>
      <c r="C250" s="26" t="n"/>
      <c r="D250" s="26" t="n"/>
      <c r="E250" s="26" t="n"/>
      <c r="F250" s="27" t="n"/>
      <c r="G250" s="26" t="n"/>
      <c r="H250" s="26" t="n"/>
      <c r="I250" s="28">
        <f>IF($A250="","",SUMIF(tblAvans[KaynakKartId],$A250,tblAvans[KalanBakiye]))</f>
        <v/>
      </c>
      <c r="J250" s="28">
        <f>IF($A250="","",SUMIF(tblAkis[KaynakKartId],$A250,tblAkis[Tutar]))</f>
        <v/>
      </c>
      <c r="K250" s="28">
        <f>IF($A250="","",IFERROR(AVERAGEIF(tblAkis[KaynakKartId],$A250,tblAkis[YasGun]),0))</f>
        <v/>
      </c>
    </row>
    <row r="251">
      <c r="A251" s="26" t="n"/>
      <c r="B251" s="26" t="n"/>
      <c r="C251" s="26" t="n"/>
      <c r="D251" s="26" t="n"/>
      <c r="E251" s="26" t="n"/>
      <c r="F251" s="27" t="n"/>
      <c r="G251" s="26" t="n"/>
      <c r="H251" s="26" t="n"/>
      <c r="I251" s="28">
        <f>IF($A251="","",SUMIF(tblAvans[KaynakKartId],$A251,tblAvans[KalanBakiye]))</f>
        <v/>
      </c>
      <c r="J251" s="28">
        <f>IF($A251="","",SUMIF(tblAkis[KaynakKartId],$A251,tblAkis[Tutar]))</f>
        <v/>
      </c>
      <c r="K251" s="28">
        <f>IF($A251="","",IFERROR(AVERAGEIF(tblAkis[KaynakKartId],$A251,tblAkis[YasGun]),0))</f>
        <v/>
      </c>
    </row>
    <row r="252">
      <c r="A252" s="26" t="n"/>
      <c r="B252" s="26" t="n"/>
      <c r="C252" s="26" t="n"/>
      <c r="D252" s="26" t="n"/>
      <c r="E252" s="26" t="n"/>
      <c r="F252" s="27" t="n"/>
      <c r="G252" s="26" t="n"/>
      <c r="H252" s="26" t="n"/>
      <c r="I252" s="28">
        <f>IF($A252="","",SUMIF(tblAvans[KaynakKartId],$A252,tblAvans[KalanBakiye]))</f>
        <v/>
      </c>
      <c r="J252" s="28">
        <f>IF($A252="","",SUMIF(tblAkis[KaynakKartId],$A252,tblAkis[Tutar]))</f>
        <v/>
      </c>
      <c r="K252" s="28">
        <f>IF($A252="","",IFERROR(AVERAGEIF(tblAkis[KaynakKartId],$A252,tblAkis[YasGun]),0))</f>
        <v/>
      </c>
    </row>
    <row r="253">
      <c r="A253" s="26" t="n"/>
      <c r="B253" s="26" t="n"/>
      <c r="C253" s="26" t="n"/>
      <c r="D253" s="26" t="n"/>
      <c r="E253" s="26" t="n"/>
      <c r="F253" s="27" t="n"/>
      <c r="G253" s="26" t="n"/>
      <c r="H253" s="26" t="n"/>
      <c r="I253" s="28">
        <f>IF($A253="","",SUMIF(tblAvans[KaynakKartId],$A253,tblAvans[KalanBakiye]))</f>
        <v/>
      </c>
      <c r="J253" s="28">
        <f>IF($A253="","",SUMIF(tblAkis[KaynakKartId],$A253,tblAkis[Tutar]))</f>
        <v/>
      </c>
      <c r="K253" s="28">
        <f>IF($A253="","",IFERROR(AVERAGEIF(tblAkis[KaynakKartId],$A253,tblAkis[YasGun]),0))</f>
        <v/>
      </c>
    </row>
    <row r="254">
      <c r="A254" s="26" t="n"/>
      <c r="B254" s="26" t="n"/>
      <c r="C254" s="26" t="n"/>
      <c r="D254" s="26" t="n"/>
      <c r="E254" s="26" t="n"/>
      <c r="F254" s="27" t="n"/>
      <c r="G254" s="26" t="n"/>
      <c r="H254" s="26" t="n"/>
      <c r="I254" s="28">
        <f>IF($A254="","",SUMIF(tblAvans[KaynakKartId],$A254,tblAvans[KalanBakiye]))</f>
        <v/>
      </c>
      <c r="J254" s="28">
        <f>IF($A254="","",SUMIF(tblAkis[KaynakKartId],$A254,tblAkis[Tutar]))</f>
        <v/>
      </c>
      <c r="K254" s="28">
        <f>IF($A254="","",IFERROR(AVERAGEIF(tblAkis[KaynakKartId],$A254,tblAkis[YasGun]),0))</f>
        <v/>
      </c>
    </row>
    <row r="255">
      <c r="A255" s="26" t="n"/>
      <c r="B255" s="26" t="n"/>
      <c r="C255" s="26" t="n"/>
      <c r="D255" s="26" t="n"/>
      <c r="E255" s="26" t="n"/>
      <c r="F255" s="27" t="n"/>
      <c r="G255" s="26" t="n"/>
      <c r="H255" s="26" t="n"/>
      <c r="I255" s="28">
        <f>IF($A255="","",SUMIF(tblAvans[KaynakKartId],$A255,tblAvans[KalanBakiye]))</f>
        <v/>
      </c>
      <c r="J255" s="28">
        <f>IF($A255="","",SUMIF(tblAkis[KaynakKartId],$A255,tblAkis[Tutar]))</f>
        <v/>
      </c>
      <c r="K255" s="28">
        <f>IF($A255="","",IFERROR(AVERAGEIF(tblAkis[KaynakKartId],$A255,tblAkis[YasGun]),0))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H6:H255">
    <cfRule type="cellIs" priority="1" operator="equal" dxfId="1">
      <formula>"HAYIR"</formula>
    </cfRule>
  </conditionalFormatting>
  <conditionalFormatting sqref="F6:F255">
    <cfRule type="cellIs" priority="2" operator="greaterThan" dxfId="3">
      <formula>20000</formula>
    </cfRule>
  </conditionalFormatting>
  <dataValidations count="8">
    <dataValidation sqref="A6:A255" showDropDown="0" showInputMessage="1" showErrorMessage="1" allowBlank="1" errorTitle="Kimlik" error="En az 1 karakter" promptTitle="Kart Kimliği" prompt="KIR-##### girin" type="textLength" errorStyle="stop" operator="greaterThan">
      <formula1>1</formula1>
      <formula2>40</formula2>
    </dataValidation>
    <dataValidation sqref="B6:B255" showDropDown="0" showInputMessage="1" showErrorMessage="1" allowBlank="1" errorTitle="Unvan" error="Geçersiz" promptTitle="Unvan" prompt="Unvan girin" type="textLength" errorStyle="stop" operator="greaterThanOrEqual">
      <formula1>0</formula1>
      <formula2>80</formula2>
    </dataValidation>
    <dataValidation sqref="C6:C255" showDropDown="0" showInputMessage="1" showErrorMessage="1" allowBlank="1" errorTitle="Taşınmaz" error="Geçersiz" promptTitle="Taşınmaz" prompt="Taşınmaz girin" type="textLength" errorStyle="stop" operator="greaterThanOrEqual">
      <formula1>0</formula1>
      <formula2>80</formula2>
    </dataValidation>
    <dataValidation sqref="D6:D255" showDropDown="0" showInputMessage="1" showErrorMessage="1" allowBlank="1" errorTitle="Şehir" error="Geçersiz" promptTitle="Şehir" prompt="Şehir girin" type="textLength" errorStyle="stop" operator="greaterThanOrEqual">
      <formula1>0</formula1>
      <formula2>80</formula2>
    </dataValidation>
    <dataValidation sqref="E6:E255" showDropDown="0" showInputMessage="1" showErrorMessage="1" allowBlank="1" errorTitle="Sözleşme" error="Geçersiz" promptTitle="Sözleşme" prompt="Sözleşme girin" type="textLength" errorStyle="stop" operator="greaterThanOrEqual">
      <formula1>0</formula1>
      <formula2>80</formula2>
    </dataValidation>
    <dataValidation sqref="G6:G255" showDropDown="0" showInputMessage="1" showErrorMessage="1" allowBlank="1" errorTitle="Risk" error="Geçersiz" promptTitle="Risk" prompt="Risk girin" type="textLength" errorStyle="stop" operator="greaterThanOrEqual">
      <formula1>0</formula1>
      <formula2>80</formula2>
    </dataValidation>
    <dataValidation sqref="F6:F255" showDropDown="0" showInputMessage="1" showErrorMessage="1" allowBlank="1" errorTitle="Kira" error="0 veya üzeri" promptTitle="Aylık Kira" prompt="Kira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F3D4C"/>
    <outlinePr summaryBelow="1" summaryRight="1"/>
    <pageSetUpPr/>
  </sheetPr>
  <dimension ref="A1:V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2" customWidth="1" min="16" max="16"/>
    <col width="16" customWidth="1" min="17" max="17"/>
    <col width="12" customWidth="1" min="18" max="18"/>
    <col width="12" customWidth="1" min="19" max="19"/>
  </cols>
  <sheetData>
    <row r="1" ht="26" customHeight="1">
      <c r="A1" s="1" t="inlineStr">
        <is>
          <t>AKIS — Kira ve Avans Takip + Dekont</t>
        </is>
      </c>
    </row>
    <row r="3" ht="20" customHeight="1">
      <c r="A3" s="22" t="inlineStr">
        <is>
          <t>Kira olay satırları — durum makinesi + yetim + geçersiz geçiş + zincir bayrakları</t>
        </is>
      </c>
    </row>
    <row r="5" ht="30" customHeight="1">
      <c r="A5" s="25" t="inlineStr">
        <is>
          <t>IslemId</t>
        </is>
      </c>
      <c r="B5" s="25" t="inlineStr">
        <is>
          <t>KaynakKartId</t>
        </is>
      </c>
      <c r="C5" s="25" t="inlineStr">
        <is>
          <t>Tarih</t>
        </is>
      </c>
      <c r="D5" s="25" t="inlineStr">
        <is>
          <t>OncekiDurum</t>
        </is>
      </c>
      <c r="E5" s="25" t="inlineStr">
        <is>
          <t>Durum</t>
        </is>
      </c>
      <c r="F5" s="25" t="inlineStr">
        <is>
          <t>SozlesmeTutar</t>
        </is>
      </c>
      <c r="G5" s="25" t="inlineStr">
        <is>
          <t>AvansTutar</t>
        </is>
      </c>
      <c r="H5" s="25" t="inlineStr">
        <is>
          <t>KiraTutar</t>
        </is>
      </c>
      <c r="I5" s="25" t="inlineStr">
        <is>
          <t>MahsupTutar</t>
        </is>
      </c>
      <c r="J5" s="25" t="inlineStr">
        <is>
          <t>DekontTutar</t>
        </is>
      </c>
      <c r="K5" s="25" t="inlineStr">
        <is>
          <t>Tutar</t>
        </is>
      </c>
      <c r="L5" s="25" t="inlineStr">
        <is>
          <t>Donem</t>
        </is>
      </c>
      <c r="M5" s="25" t="inlineStr">
        <is>
          <t>Aciklama</t>
        </is>
      </c>
      <c r="N5" s="25" t="inlineStr">
        <is>
          <t>YasGun</t>
        </is>
      </c>
      <c r="O5" s="25" t="inlineStr">
        <is>
          <t>YasKova</t>
        </is>
      </c>
      <c r="P5" s="25" t="inlineStr">
        <is>
          <t>YetimBayrak</t>
        </is>
      </c>
      <c r="Q5" s="25" t="inlineStr">
        <is>
          <t>GecisUyarisi</t>
        </is>
      </c>
      <c r="R5" s="25" t="inlineStr">
        <is>
          <t>ZincirBayrak</t>
        </is>
      </c>
      <c r="S5" s="25" t="inlineStr">
        <is>
          <t>KayitDolu</t>
        </is>
      </c>
    </row>
    <row r="6">
      <c r="A6" s="26" t="inlineStr">
        <is>
          <t>KAD-00001</t>
        </is>
      </c>
      <c r="B6" s="26" t="inlineStr">
        <is>
          <t>KIR-00001</t>
        </is>
      </c>
      <c r="C6" s="29" t="n">
        <v>46245</v>
      </c>
      <c r="D6" s="26" t="n"/>
      <c r="E6" s="26" t="inlineStr">
        <is>
          <t>BEKLIYOR</t>
        </is>
      </c>
      <c r="F6" s="27" t="n">
        <v>18000</v>
      </c>
      <c r="G6" s="27" t="n">
        <v>36000</v>
      </c>
      <c r="H6" s="27" t="n">
        <v>18000</v>
      </c>
      <c r="I6" s="27" t="n">
        <v>0</v>
      </c>
      <c r="J6" s="27" t="n">
        <v>0</v>
      </c>
      <c r="K6" s="27" t="n">
        <v>18000</v>
      </c>
      <c r="L6" s="26" t="inlineStr">
        <is>
          <t>2026-08</t>
        </is>
      </c>
      <c r="M6" s="26" t="inlineStr">
        <is>
          <t>Kira tahsil kalemi 1</t>
        </is>
      </c>
      <c r="N6" s="28">
        <f>IF($A6="","",IF($C6="","",raporTarihi-$C6))</f>
        <v/>
      </c>
      <c r="O6" s="28">
        <f>IF($A6="","",IF($N6="","",IF($N6&lt;=7,"0-7",IF($N6&lt;=30,"8-30",IF($N6&lt;=60,"31-60","60+")))))</f>
        <v/>
      </c>
      <c r="P6" s="28">
        <f>IF($A6="","",IF($B6="","YETİM",IF(COUNTIF(tblKartlar[KartId],$B6)=0,"YETİM","")))</f>
        <v/>
      </c>
      <c r="Q6" s="28">
        <f>IF(OR($A6="",$D6=""),"",IF(OR($D6&amp;"|"&amp;$E6="",COUNTIF(ListeIzinliGecis,$D6&amp;"|"&amp;$E6)&gt;0),"","GEÇERSİZ GEÇİŞ"))</f>
        <v/>
      </c>
      <c r="R6" s="28">
        <f>IF($A6="","",IF(OR($F6="",$H6=""),"",IF(ABS($H6-$F6)&gt;zincirTolerans,"ZİNCİR KIRIK","OK")))</f>
        <v/>
      </c>
      <c r="S6" s="28">
        <f>IF($A6="","",1)</f>
        <v/>
      </c>
    </row>
    <row r="7">
      <c r="A7" s="26" t="inlineStr">
        <is>
          <t>KAD-00002</t>
        </is>
      </c>
      <c r="B7" s="26" t="inlineStr">
        <is>
          <t>KIR-00002</t>
        </is>
      </c>
      <c r="C7" s="29" t="n">
        <v>46242</v>
      </c>
      <c r="D7" s="26" t="inlineStr">
        <is>
          <t>BEKLIYOR</t>
        </is>
      </c>
      <c r="E7" s="26" t="inlineStr">
        <is>
          <t>TAHSIL</t>
        </is>
      </c>
      <c r="F7" s="27" t="n">
        <v>22000</v>
      </c>
      <c r="G7" s="27" t="n">
        <v>44000</v>
      </c>
      <c r="H7" s="27" t="n">
        <v>22000</v>
      </c>
      <c r="I7" s="27" t="n">
        <v>0</v>
      </c>
      <c r="J7" s="27" t="n">
        <v>22000</v>
      </c>
      <c r="K7" s="27" t="n">
        <v>22000</v>
      </c>
      <c r="L7" s="26" t="inlineStr">
        <is>
          <t>2026-08</t>
        </is>
      </c>
      <c r="M7" s="26" t="inlineStr">
        <is>
          <t>Kira tahsil kalemi 2</t>
        </is>
      </c>
      <c r="N7" s="28">
        <f>IF($A7="","",IF($C7="","",raporTarihi-$C7))</f>
        <v/>
      </c>
      <c r="O7" s="28">
        <f>IF($A7="","",IF($N7="","",IF($N7&lt;=7,"0-7",IF($N7&lt;=30,"8-30",IF($N7&lt;=60,"31-60","60+")))))</f>
        <v/>
      </c>
      <c r="P7" s="28">
        <f>IF($A7="","",IF($B7="","YETİM",IF(COUNTIF(tblKartlar[KartId],$B7)=0,"YETİM","")))</f>
        <v/>
      </c>
      <c r="Q7" s="28">
        <f>IF(OR($A7="",$D7=""),"",IF(OR($D7&amp;"|"&amp;$E7="",COUNTIF(ListeIzinliGecis,$D7&amp;"|"&amp;$E7)&gt;0),"","GEÇERSİZ GEÇİŞ"))</f>
        <v/>
      </c>
      <c r="R7" s="28">
        <f>IF($A7="","",IF(OR($F7="",$H7=""),"",IF(ABS($H7-$F7)&gt;zincirTolerans,"ZİNCİR KIRIK","OK")))</f>
        <v/>
      </c>
      <c r="S7" s="28">
        <f>IF($A7="","",1)</f>
        <v/>
      </c>
    </row>
    <row r="8">
      <c r="A8" s="26" t="inlineStr">
        <is>
          <t>KAD-00003</t>
        </is>
      </c>
      <c r="B8" s="26" t="inlineStr">
        <is>
          <t>KIR-00003</t>
        </is>
      </c>
      <c r="C8" s="29" t="n">
        <v>46239</v>
      </c>
      <c r="D8" s="26" t="inlineStr">
        <is>
          <t>TAHSIL</t>
        </is>
      </c>
      <c r="E8" s="26" t="inlineStr">
        <is>
          <t>MAHSUP</t>
        </is>
      </c>
      <c r="F8" s="27" t="n">
        <v>16000</v>
      </c>
      <c r="G8" s="27" t="n">
        <v>32000</v>
      </c>
      <c r="H8" s="27" t="n">
        <v>16000</v>
      </c>
      <c r="I8" s="27" t="n">
        <v>16000</v>
      </c>
      <c r="J8" s="27" t="n">
        <v>0</v>
      </c>
      <c r="K8" s="27" t="n">
        <v>16000</v>
      </c>
      <c r="L8" s="26" t="inlineStr">
        <is>
          <t>2026-08</t>
        </is>
      </c>
      <c r="M8" s="26" t="inlineStr">
        <is>
          <t>Kira tahsil kalemi 3</t>
        </is>
      </c>
      <c r="N8" s="28">
        <f>IF($A8="","",IF($C8="","",raporTarihi-$C8))</f>
        <v/>
      </c>
      <c r="O8" s="28">
        <f>IF($A8="","",IF($N8="","",IF($N8&lt;=7,"0-7",IF($N8&lt;=30,"8-30",IF($N8&lt;=60,"31-60","60+")))))</f>
        <v/>
      </c>
      <c r="P8" s="28">
        <f>IF($A8="","",IF($B8="","YETİM",IF(COUNTIF(tblKartlar[KartId],$B8)=0,"YETİM","")))</f>
        <v/>
      </c>
      <c r="Q8" s="28">
        <f>IF(OR($A8="",$D8=""),"",IF(OR($D8&amp;"|"&amp;$E8="",COUNTIF(ListeIzinliGecis,$D8&amp;"|"&amp;$E8)&gt;0),"","GEÇERSİZ GEÇİŞ"))</f>
        <v/>
      </c>
      <c r="R8" s="28">
        <f>IF($A8="","",IF(OR($F8="",$H8=""),"",IF(ABS($H8-$F8)&gt;zincirTolerans,"ZİNCİR KIRIK","OK")))</f>
        <v/>
      </c>
      <c r="S8" s="28">
        <f>IF($A8="","",1)</f>
        <v/>
      </c>
    </row>
    <row r="9">
      <c r="A9" s="26" t="inlineStr">
        <is>
          <t>KAD-00004</t>
        </is>
      </c>
      <c r="B9" s="26" t="inlineStr">
        <is>
          <t>KIR-00004</t>
        </is>
      </c>
      <c r="C9" s="29" t="n">
        <v>46236</v>
      </c>
      <c r="D9" s="26" t="inlineStr">
        <is>
          <t>MAHSUP</t>
        </is>
      </c>
      <c r="E9" s="26" t="inlineStr">
        <is>
          <t>KAPALI</t>
        </is>
      </c>
      <c r="F9" s="27" t="n">
        <v>14000</v>
      </c>
      <c r="G9" s="27" t="n">
        <v>28000</v>
      </c>
      <c r="H9" s="27" t="n">
        <v>14000</v>
      </c>
      <c r="I9" s="27" t="n">
        <v>0</v>
      </c>
      <c r="J9" s="27" t="n">
        <v>14000</v>
      </c>
      <c r="K9" s="27" t="n">
        <v>14000</v>
      </c>
      <c r="L9" s="26" t="inlineStr">
        <is>
          <t>2026-08</t>
        </is>
      </c>
      <c r="M9" s="26" t="inlineStr">
        <is>
          <t>Kira tahsil kalemi 4</t>
        </is>
      </c>
      <c r="N9" s="28">
        <f>IF($A9="","",IF($C9="","",raporTarihi-$C9))</f>
        <v/>
      </c>
      <c r="O9" s="28">
        <f>IF($A9="","",IF($N9="","",IF($N9&lt;=7,"0-7",IF($N9&lt;=30,"8-30",IF($N9&lt;=60,"31-60","60+")))))</f>
        <v/>
      </c>
      <c r="P9" s="28">
        <f>IF($A9="","",IF($B9="","YETİM",IF(COUNTIF(tblKartlar[KartId],$B9)=0,"YETİM","")))</f>
        <v/>
      </c>
      <c r="Q9" s="28">
        <f>IF(OR($A9="",$D9=""),"",IF(OR($D9&amp;"|"&amp;$E9="",COUNTIF(ListeIzinliGecis,$D9&amp;"|"&amp;$E9)&gt;0),"","GEÇERSİZ GEÇİŞ"))</f>
        <v/>
      </c>
      <c r="R9" s="28">
        <f>IF($A9="","",IF(OR($F9="",$H9=""),"",IF(ABS($H9-$F9)&gt;zincirTolerans,"ZİNCİR KIRIK","OK")))</f>
        <v/>
      </c>
      <c r="S9" s="28">
        <f>IF($A9="","",1)</f>
        <v/>
      </c>
    </row>
    <row r="10">
      <c r="A10" s="26" t="inlineStr">
        <is>
          <t>KAD-00005</t>
        </is>
      </c>
      <c r="B10" s="26" t="inlineStr">
        <is>
          <t>KIR-00005</t>
        </is>
      </c>
      <c r="C10" s="29" t="n">
        <v>46233</v>
      </c>
      <c r="D10" s="26" t="inlineStr">
        <is>
          <t>BEKLIYOR</t>
        </is>
      </c>
      <c r="E10" s="26" t="inlineStr">
        <is>
          <t>IPTAL</t>
        </is>
      </c>
      <c r="F10" s="27" t="n">
        <v>28000</v>
      </c>
      <c r="G10" s="27" t="n">
        <v>56000</v>
      </c>
      <c r="H10" s="27" t="n">
        <v>28000</v>
      </c>
      <c r="I10" s="27" t="n">
        <v>0</v>
      </c>
      <c r="J10" s="27" t="n">
        <v>0</v>
      </c>
      <c r="K10" s="27" t="n">
        <v>28000</v>
      </c>
      <c r="L10" s="26" t="inlineStr">
        <is>
          <t>2026-08</t>
        </is>
      </c>
      <c r="M10" s="26" t="inlineStr">
        <is>
          <t>Kira tahsil kalemi 5</t>
        </is>
      </c>
      <c r="N10" s="28">
        <f>IF($A10="","",IF($C10="","",raporTarihi-$C10))</f>
        <v/>
      </c>
      <c r="O10" s="28">
        <f>IF($A10="","",IF($N10="","",IF($N10&lt;=7,"0-7",IF($N10&lt;=30,"8-30",IF($N10&lt;=60,"31-60","60+")))))</f>
        <v/>
      </c>
      <c r="P10" s="28">
        <f>IF($A10="","",IF($B10="","YETİM",IF(COUNTIF(tblKartlar[KartId],$B10)=0,"YETİM","")))</f>
        <v/>
      </c>
      <c r="Q10" s="28">
        <f>IF(OR($A10="",$D10=""),"",IF(OR($D10&amp;"|"&amp;$E10="",COUNTIF(ListeIzinliGecis,$D10&amp;"|"&amp;$E10)&gt;0),"","GEÇERSİZ GEÇİŞ"))</f>
        <v/>
      </c>
      <c r="R10" s="28">
        <f>IF($A10="","",IF(OR($F10="",$H10=""),"",IF(ABS($H10-$F10)&gt;zincirTolerans,"ZİNCİR KIRIK","OK")))</f>
        <v/>
      </c>
      <c r="S10" s="28">
        <f>IF($A10="","",1)</f>
        <v/>
      </c>
    </row>
    <row r="11">
      <c r="A11" s="26" t="inlineStr">
        <is>
          <t>KAD-00006</t>
        </is>
      </c>
      <c r="B11" s="26" t="inlineStr">
        <is>
          <t>KIR-00006</t>
        </is>
      </c>
      <c r="C11" s="29" t="n">
        <v>46230</v>
      </c>
      <c r="D11" s="26" t="inlineStr">
        <is>
          <t>BEKLIYOR</t>
        </is>
      </c>
      <c r="E11" s="26" t="inlineStr">
        <is>
          <t>TAHSIL</t>
        </is>
      </c>
      <c r="F11" s="27" t="n">
        <v>15000</v>
      </c>
      <c r="G11" s="27" t="n">
        <v>30000</v>
      </c>
      <c r="H11" s="27" t="n">
        <v>15000</v>
      </c>
      <c r="I11" s="27" t="n">
        <v>0</v>
      </c>
      <c r="J11" s="27" t="n">
        <v>15000</v>
      </c>
      <c r="K11" s="27" t="n">
        <v>15000</v>
      </c>
      <c r="L11" s="26" t="inlineStr">
        <is>
          <t>2026-08</t>
        </is>
      </c>
      <c r="M11" s="26" t="inlineStr">
        <is>
          <t>Kira tahsil kalemi 6</t>
        </is>
      </c>
      <c r="N11" s="28">
        <f>IF($A11="","",IF($C11="","",raporTarihi-$C11))</f>
        <v/>
      </c>
      <c r="O11" s="28">
        <f>IF($A11="","",IF($N11="","",IF($N11&lt;=7,"0-7",IF($N11&lt;=30,"8-30",IF($N11&lt;=60,"31-60","60+")))))</f>
        <v/>
      </c>
      <c r="P11" s="28">
        <f>IF($A11="","",IF($B11="","YETİM",IF(COUNTIF(tblKartlar[KartId],$B11)=0,"YETİM","")))</f>
        <v/>
      </c>
      <c r="Q11" s="28">
        <f>IF(OR($A11="",$D11=""),"",IF(OR($D11&amp;"|"&amp;$E11="",COUNTIF(ListeIzinliGecis,$D11&amp;"|"&amp;$E11)&gt;0),"","GEÇERSİZ GEÇİŞ"))</f>
        <v/>
      </c>
      <c r="R11" s="28">
        <f>IF($A11="","",IF(OR($F11="",$H11=""),"",IF(ABS($H11-$F11)&gt;zincirTolerans,"ZİNCİR KIRIK","OK")))</f>
        <v/>
      </c>
      <c r="S11" s="28">
        <f>IF($A11="","",1)</f>
        <v/>
      </c>
    </row>
    <row r="12">
      <c r="A12" s="26" t="inlineStr">
        <is>
          <t>KAD-00007</t>
        </is>
      </c>
      <c r="B12" s="26" t="inlineStr">
        <is>
          <t>KIR-00007</t>
        </is>
      </c>
      <c r="C12" s="29" t="n">
        <v>46227</v>
      </c>
      <c r="D12" s="26" t="n"/>
      <c r="E12" s="26" t="inlineStr">
        <is>
          <t>BEKLIYOR</t>
        </is>
      </c>
      <c r="F12" s="27" t="n">
        <v>12000</v>
      </c>
      <c r="G12" s="27" t="n">
        <v>24000</v>
      </c>
      <c r="H12" s="27" t="n">
        <v>12000</v>
      </c>
      <c r="I12" s="27" t="n">
        <v>0</v>
      </c>
      <c r="J12" s="27" t="n">
        <v>0</v>
      </c>
      <c r="K12" s="27" t="n">
        <v>12000</v>
      </c>
      <c r="L12" s="26" t="inlineStr">
        <is>
          <t>2026-08</t>
        </is>
      </c>
      <c r="M12" s="26" t="inlineStr">
        <is>
          <t>Kira tahsil kalemi 7</t>
        </is>
      </c>
      <c r="N12" s="28">
        <f>IF($A12="","",IF($C12="","",raporTarihi-$C12))</f>
        <v/>
      </c>
      <c r="O12" s="28">
        <f>IF($A12="","",IF($N12="","",IF($N12&lt;=7,"0-7",IF($N12&lt;=30,"8-30",IF($N12&lt;=60,"31-60","60+")))))</f>
        <v/>
      </c>
      <c r="P12" s="28">
        <f>IF($A12="","",IF($B12="","YETİM",IF(COUNTIF(tblKartlar[KartId],$B12)=0,"YETİM","")))</f>
        <v/>
      </c>
      <c r="Q12" s="28">
        <f>IF(OR($A12="",$D12=""),"",IF(OR($D12&amp;"|"&amp;$E12="",COUNTIF(ListeIzinliGecis,$D12&amp;"|"&amp;$E12)&gt;0),"","GEÇERSİZ GEÇİŞ"))</f>
        <v/>
      </c>
      <c r="R12" s="28">
        <f>IF($A12="","",IF(OR($F12="",$H12=""),"",IF(ABS($H12-$F12)&gt;zincirTolerans,"ZİNCİR KIRIK","OK")))</f>
        <v/>
      </c>
      <c r="S12" s="28">
        <f>IF($A12="","",1)</f>
        <v/>
      </c>
    </row>
    <row r="13">
      <c r="A13" s="26" t="inlineStr">
        <is>
          <t>KAD-00008</t>
        </is>
      </c>
      <c r="B13" s="26" t="inlineStr">
        <is>
          <t>KIR-00008</t>
        </is>
      </c>
      <c r="C13" s="29" t="n">
        <v>46224</v>
      </c>
      <c r="D13" s="26" t="inlineStr">
        <is>
          <t>TAHSIL</t>
        </is>
      </c>
      <c r="E13" s="26" t="inlineStr">
        <is>
          <t>TAHSIL</t>
        </is>
      </c>
      <c r="F13" s="27" t="n">
        <v>11000</v>
      </c>
      <c r="G13" s="27" t="n">
        <v>22000</v>
      </c>
      <c r="H13" s="27" t="n">
        <v>11000</v>
      </c>
      <c r="I13" s="27" t="n">
        <v>0</v>
      </c>
      <c r="J13" s="27" t="n">
        <v>11000</v>
      </c>
      <c r="K13" s="27" t="n">
        <v>11000</v>
      </c>
      <c r="L13" s="26" t="inlineStr">
        <is>
          <t>2026-08</t>
        </is>
      </c>
      <c r="M13" s="26" t="inlineStr">
        <is>
          <t>Kira tahsil kalemi 8</t>
        </is>
      </c>
      <c r="N13" s="28">
        <f>IF($A13="","",IF($C13="","",raporTarihi-$C13))</f>
        <v/>
      </c>
      <c r="O13" s="28">
        <f>IF($A13="","",IF($N13="","",IF($N13&lt;=7,"0-7",IF($N13&lt;=30,"8-30",IF($N13&lt;=60,"31-60","60+")))))</f>
        <v/>
      </c>
      <c r="P13" s="28">
        <f>IF($A13="","",IF($B13="","YETİM",IF(COUNTIF(tblKartlar[KartId],$B13)=0,"YETİM","")))</f>
        <v/>
      </c>
      <c r="Q13" s="28">
        <f>IF(OR($A13="",$D13=""),"",IF(OR($D13&amp;"|"&amp;$E13="",COUNTIF(ListeIzinliGecis,$D13&amp;"|"&amp;$E13)&gt;0),"","GEÇERSİZ GEÇİŞ"))</f>
        <v/>
      </c>
      <c r="R13" s="28">
        <f>IF($A13="","",IF(OR($F13="",$H13=""),"",IF(ABS($H13-$F13)&gt;zincirTolerans,"ZİNCİR KIRIK","OK")))</f>
        <v/>
      </c>
      <c r="S13" s="28">
        <f>IF($A13="","",1)</f>
        <v/>
      </c>
    </row>
    <row r="14">
      <c r="A14" s="26" t="inlineStr">
        <is>
          <t>KAD-00009</t>
        </is>
      </c>
      <c r="B14" s="26" t="inlineStr">
        <is>
          <t>KIR-00001</t>
        </is>
      </c>
      <c r="C14" s="29" t="n">
        <v>46221</v>
      </c>
      <c r="D14" s="26" t="n"/>
      <c r="E14" s="26" t="inlineStr">
        <is>
          <t>BEKLIYOR</t>
        </is>
      </c>
      <c r="F14" s="27" t="n">
        <v>18000</v>
      </c>
      <c r="G14" s="27" t="n">
        <v>36000</v>
      </c>
      <c r="H14" s="27" t="n">
        <v>18000</v>
      </c>
      <c r="I14" s="27" t="n">
        <v>0</v>
      </c>
      <c r="J14" s="27" t="n">
        <v>0</v>
      </c>
      <c r="K14" s="27" t="n">
        <v>18000</v>
      </c>
      <c r="L14" s="26" t="inlineStr">
        <is>
          <t>2026-08</t>
        </is>
      </c>
      <c r="M14" s="26" t="inlineStr">
        <is>
          <t>Kira tahsil kalemi 9</t>
        </is>
      </c>
      <c r="N14" s="28">
        <f>IF($A14="","",IF($C14="","",raporTarihi-$C14))</f>
        <v/>
      </c>
      <c r="O14" s="28">
        <f>IF($A14="","",IF($N14="","",IF($N14&lt;=7,"0-7",IF($N14&lt;=30,"8-30",IF($N14&lt;=60,"31-60","60+")))))</f>
        <v/>
      </c>
      <c r="P14" s="28">
        <f>IF($A14="","",IF($B14="","YETİM",IF(COUNTIF(tblKartlar[KartId],$B14)=0,"YETİM","")))</f>
        <v/>
      </c>
      <c r="Q14" s="28">
        <f>IF(OR($A14="",$D14=""),"",IF(OR($D14&amp;"|"&amp;$E14="",COUNTIF(ListeIzinliGecis,$D14&amp;"|"&amp;$E14)&gt;0),"","GEÇERSİZ GEÇİŞ"))</f>
        <v/>
      </c>
      <c r="R14" s="28">
        <f>IF($A14="","",IF(OR($F14="",$H14=""),"",IF(ABS($H14-$F14)&gt;zincirTolerans,"ZİNCİR KIRIK","OK")))</f>
        <v/>
      </c>
      <c r="S14" s="28">
        <f>IF($A14="","",1)</f>
        <v/>
      </c>
    </row>
    <row r="15">
      <c r="A15" s="26" t="inlineStr">
        <is>
          <t>KAD-00010</t>
        </is>
      </c>
      <c r="B15" s="26" t="inlineStr">
        <is>
          <t>KIR-00002</t>
        </is>
      </c>
      <c r="C15" s="29" t="n">
        <v>46218</v>
      </c>
      <c r="D15" s="26" t="inlineStr">
        <is>
          <t>BEKLIYOR</t>
        </is>
      </c>
      <c r="E15" s="26" t="inlineStr">
        <is>
          <t>TAHSIL</t>
        </is>
      </c>
      <c r="F15" s="27" t="n">
        <v>22000</v>
      </c>
      <c r="G15" s="27" t="n">
        <v>44000</v>
      </c>
      <c r="H15" s="27" t="n">
        <v>22000</v>
      </c>
      <c r="I15" s="27" t="n">
        <v>0</v>
      </c>
      <c r="J15" s="27" t="n">
        <v>22000</v>
      </c>
      <c r="K15" s="27" t="n">
        <v>22000</v>
      </c>
      <c r="L15" s="26" t="inlineStr">
        <is>
          <t>2026-08</t>
        </is>
      </c>
      <c r="M15" s="26" t="inlineStr">
        <is>
          <t>Kira tahsil kalemi 10</t>
        </is>
      </c>
      <c r="N15" s="28">
        <f>IF($A15="","",IF($C15="","",raporTarihi-$C15))</f>
        <v/>
      </c>
      <c r="O15" s="28">
        <f>IF($A15="","",IF($N15="","",IF($N15&lt;=7,"0-7",IF($N15&lt;=30,"8-30",IF($N15&lt;=60,"31-60","60+")))))</f>
        <v/>
      </c>
      <c r="P15" s="28">
        <f>IF($A15="","",IF($B15="","YETİM",IF(COUNTIF(tblKartlar[KartId],$B15)=0,"YETİM","")))</f>
        <v/>
      </c>
      <c r="Q15" s="28">
        <f>IF(OR($A15="",$D15=""),"",IF(OR($D15&amp;"|"&amp;$E15="",COUNTIF(ListeIzinliGecis,$D15&amp;"|"&amp;$E15)&gt;0),"","GEÇERSİZ GEÇİŞ"))</f>
        <v/>
      </c>
      <c r="R15" s="28">
        <f>IF($A15="","",IF(OR($F15="",$H15=""),"",IF(ABS($H15-$F15)&gt;zincirTolerans,"ZİNCİR KIRIK","OK")))</f>
        <v/>
      </c>
      <c r="S15" s="28">
        <f>IF($A15="","",1)</f>
        <v/>
      </c>
    </row>
    <row r="16">
      <c r="A16" s="26" t="inlineStr">
        <is>
          <t>KAD-00011</t>
        </is>
      </c>
      <c r="B16" s="26" t="inlineStr">
        <is>
          <t>KIR-00003</t>
        </is>
      </c>
      <c r="C16" s="29" t="n">
        <v>46215</v>
      </c>
      <c r="D16" s="26" t="inlineStr">
        <is>
          <t>TAHSIL</t>
        </is>
      </c>
      <c r="E16" s="26" t="inlineStr">
        <is>
          <t>MAHSUP</t>
        </is>
      </c>
      <c r="F16" s="27" t="n">
        <v>16000</v>
      </c>
      <c r="G16" s="27" t="n">
        <v>32000</v>
      </c>
      <c r="H16" s="27" t="n">
        <v>16000</v>
      </c>
      <c r="I16" s="27" t="n">
        <v>16000</v>
      </c>
      <c r="J16" s="27" t="n">
        <v>0</v>
      </c>
      <c r="K16" s="27" t="n">
        <v>16000</v>
      </c>
      <c r="L16" s="26" t="inlineStr">
        <is>
          <t>2026-08</t>
        </is>
      </c>
      <c r="M16" s="26" t="inlineStr">
        <is>
          <t>Kira tahsil kalemi 11</t>
        </is>
      </c>
      <c r="N16" s="28">
        <f>IF($A16="","",IF($C16="","",raporTarihi-$C16))</f>
        <v/>
      </c>
      <c r="O16" s="28">
        <f>IF($A16="","",IF($N16="","",IF($N16&lt;=7,"0-7",IF($N16&lt;=30,"8-30",IF($N16&lt;=60,"31-60","60+")))))</f>
        <v/>
      </c>
      <c r="P16" s="28">
        <f>IF($A16="","",IF($B16="","YETİM",IF(COUNTIF(tblKartlar[KartId],$B16)=0,"YETİM","")))</f>
        <v/>
      </c>
      <c r="Q16" s="28">
        <f>IF(OR($A16="",$D16=""),"",IF(OR($D16&amp;"|"&amp;$E16="",COUNTIF(ListeIzinliGecis,$D16&amp;"|"&amp;$E16)&gt;0),"","GEÇERSİZ GEÇİŞ"))</f>
        <v/>
      </c>
      <c r="R16" s="28">
        <f>IF($A16="","",IF(OR($F16="",$H16=""),"",IF(ABS($H16-$F16)&gt;zincirTolerans,"ZİNCİR KIRIK","OK")))</f>
        <v/>
      </c>
      <c r="S16" s="28">
        <f>IF($A16="","",1)</f>
        <v/>
      </c>
    </row>
    <row r="17">
      <c r="A17" s="26" t="inlineStr">
        <is>
          <t>KAD-00012</t>
        </is>
      </c>
      <c r="B17" s="26" t="inlineStr">
        <is>
          <t>KIR-00004</t>
        </is>
      </c>
      <c r="C17" s="29" t="n">
        <v>46212</v>
      </c>
      <c r="D17" s="26" t="inlineStr">
        <is>
          <t>MAHSUP</t>
        </is>
      </c>
      <c r="E17" s="26" t="inlineStr">
        <is>
          <t>KAPALI</t>
        </is>
      </c>
      <c r="F17" s="27" t="n">
        <v>14000</v>
      </c>
      <c r="G17" s="27" t="n">
        <v>28000</v>
      </c>
      <c r="H17" s="27" t="n">
        <v>18500</v>
      </c>
      <c r="I17" s="27" t="n">
        <v>0</v>
      </c>
      <c r="J17" s="27" t="n">
        <v>18500</v>
      </c>
      <c r="K17" s="27" t="n">
        <v>18500</v>
      </c>
      <c r="L17" s="26" t="inlineStr">
        <is>
          <t>2026-08</t>
        </is>
      </c>
      <c r="M17" s="26" t="inlineStr">
        <is>
          <t>Kira tahsil kalemi 12</t>
        </is>
      </c>
      <c r="N17" s="28">
        <f>IF($A17="","",IF($C17="","",raporTarihi-$C17))</f>
        <v/>
      </c>
      <c r="O17" s="28">
        <f>IF($A17="","",IF($N17="","",IF($N17&lt;=7,"0-7",IF($N17&lt;=30,"8-30",IF($N17&lt;=60,"31-60","60+")))))</f>
        <v/>
      </c>
      <c r="P17" s="28">
        <f>IF($A17="","",IF($B17="","YETİM",IF(COUNTIF(tblKartlar[KartId],$B17)=0,"YETİM","")))</f>
        <v/>
      </c>
      <c r="Q17" s="28">
        <f>IF(OR($A17="",$D17=""),"",IF(OR($D17&amp;"|"&amp;$E17="",COUNTIF(ListeIzinliGecis,$D17&amp;"|"&amp;$E17)&gt;0),"","GEÇERSİZ GEÇİŞ"))</f>
        <v/>
      </c>
      <c r="R17" s="28">
        <f>IF($A17="","",IF(OR($F17="",$H17=""),"",IF(ABS($H17-$F17)&gt;zincirTolerans,"ZİNCİR KIRIK","OK")))</f>
        <v/>
      </c>
      <c r="S17" s="28">
        <f>IF($A17="","",1)</f>
        <v/>
      </c>
    </row>
    <row r="18">
      <c r="A18" s="26" t="inlineStr">
        <is>
          <t>KAD-00013</t>
        </is>
      </c>
      <c r="B18" s="26" t="inlineStr">
        <is>
          <t>KIR-00005</t>
        </is>
      </c>
      <c r="C18" s="29" t="n">
        <v>46209</v>
      </c>
      <c r="D18" s="26" t="inlineStr">
        <is>
          <t>BEKLIYOR</t>
        </is>
      </c>
      <c r="E18" s="26" t="inlineStr">
        <is>
          <t>IPTAL</t>
        </is>
      </c>
      <c r="F18" s="27" t="n">
        <v>28000</v>
      </c>
      <c r="G18" s="27" t="n">
        <v>56000</v>
      </c>
      <c r="H18" s="27" t="n">
        <v>28000</v>
      </c>
      <c r="I18" s="27" t="n">
        <v>0</v>
      </c>
      <c r="J18" s="27" t="n">
        <v>0</v>
      </c>
      <c r="K18" s="27" t="n">
        <v>28000</v>
      </c>
      <c r="L18" s="26" t="inlineStr">
        <is>
          <t>2026-08</t>
        </is>
      </c>
      <c r="M18" s="26" t="inlineStr">
        <is>
          <t>Kira tahsil kalemi 13</t>
        </is>
      </c>
      <c r="N18" s="28">
        <f>IF($A18="","",IF($C18="","",raporTarihi-$C18))</f>
        <v/>
      </c>
      <c r="O18" s="28">
        <f>IF($A18="","",IF($N18="","",IF($N18&lt;=7,"0-7",IF($N18&lt;=30,"8-30",IF($N18&lt;=60,"31-60","60+")))))</f>
        <v/>
      </c>
      <c r="P18" s="28">
        <f>IF($A18="","",IF($B18="","YETİM",IF(COUNTIF(tblKartlar[KartId],$B18)=0,"YETİM","")))</f>
        <v/>
      </c>
      <c r="Q18" s="28">
        <f>IF(OR($A18="",$D18=""),"",IF(OR($D18&amp;"|"&amp;$E18="",COUNTIF(ListeIzinliGecis,$D18&amp;"|"&amp;$E18)&gt;0),"","GEÇERSİZ GEÇİŞ"))</f>
        <v/>
      </c>
      <c r="R18" s="28">
        <f>IF($A18="","",IF(OR($F18="",$H18=""),"",IF(ABS($H18-$F18)&gt;zincirTolerans,"ZİNCİR KIRIK","OK")))</f>
        <v/>
      </c>
      <c r="S18" s="28">
        <f>IF($A18="","",1)</f>
        <v/>
      </c>
    </row>
    <row r="19">
      <c r="A19" s="26" t="inlineStr">
        <is>
          <t>KAD-00014</t>
        </is>
      </c>
      <c r="B19" s="26" t="inlineStr">
        <is>
          <t>KIR-00006</t>
        </is>
      </c>
      <c r="C19" s="29" t="n">
        <v>46206</v>
      </c>
      <c r="D19" s="26" t="inlineStr">
        <is>
          <t>BEKLIYOR</t>
        </is>
      </c>
      <c r="E19" s="26" t="inlineStr">
        <is>
          <t>TAHSIL</t>
        </is>
      </c>
      <c r="F19" s="27" t="n">
        <v>15000</v>
      </c>
      <c r="G19" s="27" t="n">
        <v>30000</v>
      </c>
      <c r="H19" s="27" t="n">
        <v>15000</v>
      </c>
      <c r="I19" s="27" t="n">
        <v>0</v>
      </c>
      <c r="J19" s="27" t="n">
        <v>15000</v>
      </c>
      <c r="K19" s="27" t="n">
        <v>15000</v>
      </c>
      <c r="L19" s="26" t="inlineStr">
        <is>
          <t>2026-08</t>
        </is>
      </c>
      <c r="M19" s="26" t="inlineStr">
        <is>
          <t>Kira tahsil kalemi 14</t>
        </is>
      </c>
      <c r="N19" s="28">
        <f>IF($A19="","",IF($C19="","",raporTarihi-$C19))</f>
        <v/>
      </c>
      <c r="O19" s="28">
        <f>IF($A19="","",IF($N19="","",IF($N19&lt;=7,"0-7",IF($N19&lt;=30,"8-30",IF($N19&lt;=60,"31-60","60+")))))</f>
        <v/>
      </c>
      <c r="P19" s="28">
        <f>IF($A19="","",IF($B19="","YETİM",IF(COUNTIF(tblKartlar[KartId],$B19)=0,"YETİM","")))</f>
        <v/>
      </c>
      <c r="Q19" s="28">
        <f>IF(OR($A19="",$D19=""),"",IF(OR($D19&amp;"|"&amp;$E19="",COUNTIF(ListeIzinliGecis,$D19&amp;"|"&amp;$E19)&gt;0),"","GEÇERSİZ GEÇİŞ"))</f>
        <v/>
      </c>
      <c r="R19" s="28">
        <f>IF($A19="","",IF(OR($F19="",$H19=""),"",IF(ABS($H19-$F19)&gt;zincirTolerans,"ZİNCİR KIRIK","OK")))</f>
        <v/>
      </c>
      <c r="S19" s="28">
        <f>IF($A19="","",1)</f>
        <v/>
      </c>
    </row>
    <row r="20">
      <c r="A20" s="26" t="inlineStr">
        <is>
          <t>KAD-00015</t>
        </is>
      </c>
      <c r="B20" s="26" t="inlineStr">
        <is>
          <t>KIR-00007</t>
        </is>
      </c>
      <c r="C20" s="29" t="n">
        <v>46203</v>
      </c>
      <c r="D20" s="26" t="n"/>
      <c r="E20" s="26" t="inlineStr">
        <is>
          <t>BEKLIYOR</t>
        </is>
      </c>
      <c r="F20" s="27" t="n">
        <v>12000</v>
      </c>
      <c r="G20" s="27" t="n">
        <v>24000</v>
      </c>
      <c r="H20" s="27" t="n">
        <v>12000</v>
      </c>
      <c r="I20" s="27" t="n">
        <v>0</v>
      </c>
      <c r="J20" s="27" t="n">
        <v>0</v>
      </c>
      <c r="K20" s="27" t="n">
        <v>12000</v>
      </c>
      <c r="L20" s="26" t="inlineStr">
        <is>
          <t>2026-08</t>
        </is>
      </c>
      <c r="M20" s="26" t="inlineStr">
        <is>
          <t>Kira tahsil kalemi 15</t>
        </is>
      </c>
      <c r="N20" s="28">
        <f>IF($A20="","",IF($C20="","",raporTarihi-$C20))</f>
        <v/>
      </c>
      <c r="O20" s="28">
        <f>IF($A20="","",IF($N20="","",IF($N20&lt;=7,"0-7",IF($N20&lt;=30,"8-30",IF($N20&lt;=60,"31-60","60+")))))</f>
        <v/>
      </c>
      <c r="P20" s="28">
        <f>IF($A20="","",IF($B20="","YETİM",IF(COUNTIF(tblKartlar[KartId],$B20)=0,"YETİM","")))</f>
        <v/>
      </c>
      <c r="Q20" s="28">
        <f>IF(OR($A20="",$D20=""),"",IF(OR($D20&amp;"|"&amp;$E20="",COUNTIF(ListeIzinliGecis,$D20&amp;"|"&amp;$E20)&gt;0),"","GEÇERSİZ GEÇİŞ"))</f>
        <v/>
      </c>
      <c r="R20" s="28">
        <f>IF($A20="","",IF(OR($F20="",$H20=""),"",IF(ABS($H20-$F20)&gt;zincirTolerans,"ZİNCİR KIRIK","OK")))</f>
        <v/>
      </c>
      <c r="S20" s="28">
        <f>IF($A20="","",1)</f>
        <v/>
      </c>
    </row>
    <row r="21">
      <c r="A21" s="26" t="inlineStr">
        <is>
          <t>KAD-00016</t>
        </is>
      </c>
      <c r="B21" s="26" t="inlineStr">
        <is>
          <t>KIR-00008</t>
        </is>
      </c>
      <c r="C21" s="29" t="n">
        <v>46200</v>
      </c>
      <c r="D21" s="26" t="inlineStr">
        <is>
          <t>TAHSIL</t>
        </is>
      </c>
      <c r="E21" s="26" t="inlineStr">
        <is>
          <t>TAHSIL</t>
        </is>
      </c>
      <c r="F21" s="27" t="n">
        <v>11000</v>
      </c>
      <c r="G21" s="27" t="n">
        <v>22000</v>
      </c>
      <c r="H21" s="27" t="n">
        <v>11000</v>
      </c>
      <c r="I21" s="27" t="n">
        <v>0</v>
      </c>
      <c r="J21" s="27" t="n">
        <v>11000</v>
      </c>
      <c r="K21" s="27" t="n">
        <v>11000</v>
      </c>
      <c r="L21" s="26" t="inlineStr">
        <is>
          <t>2026-08</t>
        </is>
      </c>
      <c r="M21" s="26" t="inlineStr">
        <is>
          <t>Kira tahsil kalemi 16</t>
        </is>
      </c>
      <c r="N21" s="28">
        <f>IF($A21="","",IF($C21="","",raporTarihi-$C21))</f>
        <v/>
      </c>
      <c r="O21" s="28">
        <f>IF($A21="","",IF($N21="","",IF($N21&lt;=7,"0-7",IF($N21&lt;=30,"8-30",IF($N21&lt;=60,"31-60","60+")))))</f>
        <v/>
      </c>
      <c r="P21" s="28">
        <f>IF($A21="","",IF($B21="","YETİM",IF(COUNTIF(tblKartlar[KartId],$B21)=0,"YETİM","")))</f>
        <v/>
      </c>
      <c r="Q21" s="28">
        <f>IF(OR($A21="",$D21=""),"",IF(OR($D21&amp;"|"&amp;$E21="",COUNTIF(ListeIzinliGecis,$D21&amp;"|"&amp;$E21)&gt;0),"","GEÇERSİZ GEÇİŞ"))</f>
        <v/>
      </c>
      <c r="R21" s="28">
        <f>IF($A21="","",IF(OR($F21="",$H21=""),"",IF(ABS($H21-$F21)&gt;zincirTolerans,"ZİNCİR KIRIK","OK")))</f>
        <v/>
      </c>
      <c r="S21" s="28">
        <f>IF($A21="","",1)</f>
        <v/>
      </c>
    </row>
    <row r="22">
      <c r="A22" s="26" t="inlineStr">
        <is>
          <t>KAD-00017</t>
        </is>
      </c>
      <c r="B22" s="26" t="inlineStr">
        <is>
          <t>KIR-00001</t>
        </is>
      </c>
      <c r="C22" s="29" t="n">
        <v>46197</v>
      </c>
      <c r="D22" s="26" t="n"/>
      <c r="E22" s="26" t="inlineStr">
        <is>
          <t>BEKLIYOR</t>
        </is>
      </c>
      <c r="F22" s="27" t="n">
        <v>18000</v>
      </c>
      <c r="G22" s="27" t="n">
        <v>36000</v>
      </c>
      <c r="H22" s="27" t="n">
        <v>18000</v>
      </c>
      <c r="I22" s="27" t="n">
        <v>0</v>
      </c>
      <c r="J22" s="27" t="n">
        <v>0</v>
      </c>
      <c r="K22" s="27" t="n">
        <v>18000</v>
      </c>
      <c r="L22" s="26" t="inlineStr">
        <is>
          <t>2026-08</t>
        </is>
      </c>
      <c r="M22" s="26" t="inlineStr">
        <is>
          <t>Kira tahsil kalemi 17</t>
        </is>
      </c>
      <c r="N22" s="28">
        <f>IF($A22="","",IF($C22="","",raporTarihi-$C22))</f>
        <v/>
      </c>
      <c r="O22" s="28">
        <f>IF($A22="","",IF($N22="","",IF($N22&lt;=7,"0-7",IF($N22&lt;=30,"8-30",IF($N22&lt;=60,"31-60","60+")))))</f>
        <v/>
      </c>
      <c r="P22" s="28">
        <f>IF($A22="","",IF($B22="","YETİM",IF(COUNTIF(tblKartlar[KartId],$B22)=0,"YETİM","")))</f>
        <v/>
      </c>
      <c r="Q22" s="28">
        <f>IF(OR($A22="",$D22=""),"",IF(OR($D22&amp;"|"&amp;$E22="",COUNTIF(ListeIzinliGecis,$D22&amp;"|"&amp;$E22)&gt;0),"","GEÇERSİZ GEÇİŞ"))</f>
        <v/>
      </c>
      <c r="R22" s="28">
        <f>IF($A22="","",IF(OR($F22="",$H22=""),"",IF(ABS($H22-$F22)&gt;zincirTolerans,"ZİNCİR KIRIK","OK")))</f>
        <v/>
      </c>
      <c r="S22" s="28">
        <f>IF($A22="","",1)</f>
        <v/>
      </c>
    </row>
    <row r="23">
      <c r="A23" s="26" t="inlineStr">
        <is>
          <t>KAD-00018</t>
        </is>
      </c>
      <c r="B23" s="26" t="inlineStr">
        <is>
          <t>KIR-00002</t>
        </is>
      </c>
      <c r="C23" s="29" t="n">
        <v>46194</v>
      </c>
      <c r="D23" s="26" t="inlineStr">
        <is>
          <t>BEKLIYOR</t>
        </is>
      </c>
      <c r="E23" s="26" t="inlineStr">
        <is>
          <t>KAPALI</t>
        </is>
      </c>
      <c r="F23" s="27" t="n">
        <v>22000</v>
      </c>
      <c r="G23" s="27" t="n">
        <v>44000</v>
      </c>
      <c r="H23" s="27" t="n">
        <v>22000</v>
      </c>
      <c r="I23" s="27" t="n">
        <v>0</v>
      </c>
      <c r="J23" s="27" t="n">
        <v>22000</v>
      </c>
      <c r="K23" s="27" t="n">
        <v>22000</v>
      </c>
      <c r="L23" s="26" t="inlineStr">
        <is>
          <t>2026-08</t>
        </is>
      </c>
      <c r="M23" s="26" t="inlineStr">
        <is>
          <t>Kira tahsil kalemi 18</t>
        </is>
      </c>
      <c r="N23" s="28">
        <f>IF($A23="","",IF($C23="","",raporTarihi-$C23))</f>
        <v/>
      </c>
      <c r="O23" s="28">
        <f>IF($A23="","",IF($N23="","",IF($N23&lt;=7,"0-7",IF($N23&lt;=30,"8-30",IF($N23&lt;=60,"31-60","60+")))))</f>
        <v/>
      </c>
      <c r="P23" s="28">
        <f>IF($A23="","",IF($B23="","YETİM",IF(COUNTIF(tblKartlar[KartId],$B23)=0,"YETİM","")))</f>
        <v/>
      </c>
      <c r="Q23" s="28">
        <f>IF(OR($A23="",$D23=""),"",IF(OR($D23&amp;"|"&amp;$E23="",COUNTIF(ListeIzinliGecis,$D23&amp;"|"&amp;$E23)&gt;0),"","GEÇERSİZ GEÇİŞ"))</f>
        <v/>
      </c>
      <c r="R23" s="28">
        <f>IF($A23="","",IF(OR($F23="",$H23=""),"",IF(ABS($H23-$F23)&gt;zincirTolerans,"ZİNCİR KIRIK","OK")))</f>
        <v/>
      </c>
      <c r="S23" s="28">
        <f>IF($A23="","",1)</f>
        <v/>
      </c>
    </row>
    <row r="24">
      <c r="A24" s="26" t="inlineStr">
        <is>
          <t>KAD-00019</t>
        </is>
      </c>
      <c r="B24" s="26" t="inlineStr">
        <is>
          <t>KIR-00003</t>
        </is>
      </c>
      <c r="C24" s="29" t="n">
        <v>46191</v>
      </c>
      <c r="D24" s="26" t="inlineStr">
        <is>
          <t>TAHSIL</t>
        </is>
      </c>
      <c r="E24" s="26" t="inlineStr">
        <is>
          <t>MAHSUP</t>
        </is>
      </c>
      <c r="F24" s="27" t="n">
        <v>16000</v>
      </c>
      <c r="G24" s="27" t="n">
        <v>32000</v>
      </c>
      <c r="H24" s="27" t="n">
        <v>20500</v>
      </c>
      <c r="I24" s="27" t="n">
        <v>16000</v>
      </c>
      <c r="J24" s="27" t="n">
        <v>4500</v>
      </c>
      <c r="K24" s="27" t="n">
        <v>20500</v>
      </c>
      <c r="L24" s="26" t="inlineStr">
        <is>
          <t>2026-08</t>
        </is>
      </c>
      <c r="M24" s="26" t="inlineStr">
        <is>
          <t>Kira tahsil kalemi 19</t>
        </is>
      </c>
      <c r="N24" s="28">
        <f>IF($A24="","",IF($C24="","",raporTarihi-$C24))</f>
        <v/>
      </c>
      <c r="O24" s="28">
        <f>IF($A24="","",IF($N24="","",IF($N24&lt;=7,"0-7",IF($N24&lt;=30,"8-30",IF($N24&lt;=60,"31-60","60+")))))</f>
        <v/>
      </c>
      <c r="P24" s="28">
        <f>IF($A24="","",IF($B24="","YETİM",IF(COUNTIF(tblKartlar[KartId],$B24)=0,"YETİM","")))</f>
        <v/>
      </c>
      <c r="Q24" s="28">
        <f>IF(OR($A24="",$D24=""),"",IF(OR($D24&amp;"|"&amp;$E24="",COUNTIF(ListeIzinliGecis,$D24&amp;"|"&amp;$E24)&gt;0),"","GEÇERSİZ GEÇİŞ"))</f>
        <v/>
      </c>
      <c r="R24" s="28">
        <f>IF($A24="","",IF(OR($F24="",$H24=""),"",IF(ABS($H24-$F24)&gt;zincirTolerans,"ZİNCİR KIRIK","OK")))</f>
        <v/>
      </c>
      <c r="S24" s="28">
        <f>IF($A24="","",1)</f>
        <v/>
      </c>
    </row>
    <row r="25">
      <c r="A25" s="26" t="inlineStr">
        <is>
          <t>KAD-00020</t>
        </is>
      </c>
      <c r="B25" s="26" t="inlineStr">
        <is>
          <t>KIR-00004</t>
        </is>
      </c>
      <c r="C25" s="29" t="n">
        <v>46188</v>
      </c>
      <c r="D25" s="26" t="inlineStr">
        <is>
          <t>KAPALI</t>
        </is>
      </c>
      <c r="E25" s="26" t="inlineStr">
        <is>
          <t>TAHSIL</t>
        </is>
      </c>
      <c r="F25" s="27" t="n">
        <v>14000</v>
      </c>
      <c r="G25" s="27" t="n">
        <v>28000</v>
      </c>
      <c r="H25" s="27" t="n">
        <v>14000</v>
      </c>
      <c r="I25" s="27" t="n">
        <v>0</v>
      </c>
      <c r="J25" s="27" t="n">
        <v>14000</v>
      </c>
      <c r="K25" s="27" t="n">
        <v>14000</v>
      </c>
      <c r="L25" s="26" t="inlineStr">
        <is>
          <t>2026-08</t>
        </is>
      </c>
      <c r="M25" s="26" t="inlineStr">
        <is>
          <t>Kira tahsil kalemi 20</t>
        </is>
      </c>
      <c r="N25" s="28">
        <f>IF($A25="","",IF($C25="","",raporTarihi-$C25))</f>
        <v/>
      </c>
      <c r="O25" s="28">
        <f>IF($A25="","",IF($N25="","",IF($N25&lt;=7,"0-7",IF($N25&lt;=30,"8-30",IF($N25&lt;=60,"31-60","60+")))))</f>
        <v/>
      </c>
      <c r="P25" s="28">
        <f>IF($A25="","",IF($B25="","YETİM",IF(COUNTIF(tblKartlar[KartId],$B25)=0,"YETİM","")))</f>
        <v/>
      </c>
      <c r="Q25" s="28">
        <f>IF(OR($A25="",$D25=""),"",IF(OR($D25&amp;"|"&amp;$E25="",COUNTIF(ListeIzinliGecis,$D25&amp;"|"&amp;$E25)&gt;0),"","GEÇERSİZ GEÇİŞ"))</f>
        <v/>
      </c>
      <c r="R25" s="28">
        <f>IF($A25="","",IF(OR($F25="",$H25=""),"",IF(ABS($H25-$F25)&gt;zincirTolerans,"ZİNCİR KIRIK","OK")))</f>
        <v/>
      </c>
      <c r="S25" s="28">
        <f>IF($A25="","",1)</f>
        <v/>
      </c>
    </row>
    <row r="26">
      <c r="A26" s="26" t="inlineStr">
        <is>
          <t>KAD-00021</t>
        </is>
      </c>
      <c r="B26" s="26" t="inlineStr">
        <is>
          <t>KIR-00005</t>
        </is>
      </c>
      <c r="C26" s="29" t="n">
        <v>46185</v>
      </c>
      <c r="D26" s="26" t="inlineStr">
        <is>
          <t>BEKLIYOR</t>
        </is>
      </c>
      <c r="E26" s="26" t="inlineStr">
        <is>
          <t>IPTAL</t>
        </is>
      </c>
      <c r="F26" s="27" t="n">
        <v>28000</v>
      </c>
      <c r="G26" s="27" t="n">
        <v>56000</v>
      </c>
      <c r="H26" s="27" t="n">
        <v>28000</v>
      </c>
      <c r="I26" s="27" t="n">
        <v>0</v>
      </c>
      <c r="J26" s="27" t="n">
        <v>0</v>
      </c>
      <c r="K26" s="27" t="n">
        <v>28000</v>
      </c>
      <c r="L26" s="26" t="inlineStr">
        <is>
          <t>2026-08</t>
        </is>
      </c>
      <c r="M26" s="26" t="inlineStr">
        <is>
          <t>Kira tahsil kalemi 21</t>
        </is>
      </c>
      <c r="N26" s="28">
        <f>IF($A26="","",IF($C26="","",raporTarihi-$C26))</f>
        <v/>
      </c>
      <c r="O26" s="28">
        <f>IF($A26="","",IF($N26="","",IF($N26&lt;=7,"0-7",IF($N26&lt;=30,"8-30",IF($N26&lt;=60,"31-60","60+")))))</f>
        <v/>
      </c>
      <c r="P26" s="28">
        <f>IF($A26="","",IF($B26="","YETİM",IF(COUNTIF(tblKartlar[KartId],$B26)=0,"YETİM","")))</f>
        <v/>
      </c>
      <c r="Q26" s="28">
        <f>IF(OR($A26="",$D26=""),"",IF(OR($D26&amp;"|"&amp;$E26="",COUNTIF(ListeIzinliGecis,$D26&amp;"|"&amp;$E26)&gt;0),"","GEÇERSİZ GEÇİŞ"))</f>
        <v/>
      </c>
      <c r="R26" s="28">
        <f>IF($A26="","",IF(OR($F26="",$H26=""),"",IF(ABS($H26-$F26)&gt;zincirTolerans,"ZİNCİR KIRIK","OK")))</f>
        <v/>
      </c>
      <c r="S26" s="28">
        <f>IF($A26="","",1)</f>
        <v/>
      </c>
    </row>
    <row r="27">
      <c r="A27" s="26" t="inlineStr">
        <is>
          <t>KAD-00022</t>
        </is>
      </c>
      <c r="B27" s="26" t="n"/>
      <c r="C27" s="29" t="n">
        <v>46182</v>
      </c>
      <c r="D27" s="26" t="inlineStr">
        <is>
          <t>BEKLIYOR</t>
        </is>
      </c>
      <c r="E27" s="26" t="inlineStr">
        <is>
          <t>TAHSIL</t>
        </is>
      </c>
      <c r="F27" s="27" t="n">
        <v>15000</v>
      </c>
      <c r="G27" s="27" t="n">
        <v>30000</v>
      </c>
      <c r="H27" s="27" t="n">
        <v>15000</v>
      </c>
      <c r="I27" s="27" t="n">
        <v>0</v>
      </c>
      <c r="J27" s="27" t="n">
        <v>15000</v>
      </c>
      <c r="K27" s="27" t="n">
        <v>15000</v>
      </c>
      <c r="L27" s="26" t="inlineStr">
        <is>
          <t>2026-08</t>
        </is>
      </c>
      <c r="M27" s="26" t="inlineStr">
        <is>
          <t>Kira tahsil kalemi 22</t>
        </is>
      </c>
      <c r="N27" s="28">
        <f>IF($A27="","",IF($C27="","",raporTarihi-$C27))</f>
        <v/>
      </c>
      <c r="O27" s="28">
        <f>IF($A27="","",IF($N27="","",IF($N27&lt;=7,"0-7",IF($N27&lt;=30,"8-30",IF($N27&lt;=60,"31-60","60+")))))</f>
        <v/>
      </c>
      <c r="P27" s="28">
        <f>IF($A27="","",IF($B27="","YETİM",IF(COUNTIF(tblKartlar[KartId],$B27)=0,"YETİM","")))</f>
        <v/>
      </c>
      <c r="Q27" s="28">
        <f>IF(OR($A27="",$D27=""),"",IF(OR($D27&amp;"|"&amp;$E27="",COUNTIF(ListeIzinliGecis,$D27&amp;"|"&amp;$E27)&gt;0),"","GEÇERSİZ GEÇİŞ"))</f>
        <v/>
      </c>
      <c r="R27" s="28">
        <f>IF($A27="","",IF(OR($F27="",$H27=""),"",IF(ABS($H27-$F27)&gt;zincirTolerans,"ZİNCİR KIRIK","OK")))</f>
        <v/>
      </c>
      <c r="S27" s="28">
        <f>IF($A27="","",1)</f>
        <v/>
      </c>
    </row>
    <row r="28">
      <c r="A28" s="26" t="inlineStr">
        <is>
          <t>KAD-00023</t>
        </is>
      </c>
      <c r="B28" s="26" t="inlineStr">
        <is>
          <t>KIR-00007</t>
        </is>
      </c>
      <c r="C28" s="29" t="n">
        <v>46179</v>
      </c>
      <c r="D28" s="26" t="n"/>
      <c r="E28" s="26" t="inlineStr">
        <is>
          <t>BEKLIYOR</t>
        </is>
      </c>
      <c r="F28" s="27" t="n">
        <v>12000</v>
      </c>
      <c r="G28" s="27" t="n">
        <v>24000</v>
      </c>
      <c r="H28" s="27" t="n">
        <v>12000</v>
      </c>
      <c r="I28" s="27" t="n">
        <v>0</v>
      </c>
      <c r="J28" s="27" t="n">
        <v>0</v>
      </c>
      <c r="K28" s="27" t="n">
        <v>12000</v>
      </c>
      <c r="L28" s="26" t="inlineStr">
        <is>
          <t>2026-08</t>
        </is>
      </c>
      <c r="M28" s="26" t="inlineStr">
        <is>
          <t>Kira tahsil kalemi 23</t>
        </is>
      </c>
      <c r="N28" s="28">
        <f>IF($A28="","",IF($C28="","",raporTarihi-$C28))</f>
        <v/>
      </c>
      <c r="O28" s="28">
        <f>IF($A28="","",IF($N28="","",IF($N28&lt;=7,"0-7",IF($N28&lt;=30,"8-30",IF($N28&lt;=60,"31-60","60+")))))</f>
        <v/>
      </c>
      <c r="P28" s="28">
        <f>IF($A28="","",IF($B28="","YETİM",IF(COUNTIF(tblKartlar[KartId],$B28)=0,"YETİM","")))</f>
        <v/>
      </c>
      <c r="Q28" s="28">
        <f>IF(OR($A28="",$D28=""),"",IF(OR($D28&amp;"|"&amp;$E28="",COUNTIF(ListeIzinliGecis,$D28&amp;"|"&amp;$E28)&gt;0),"","GEÇERSİZ GEÇİŞ"))</f>
        <v/>
      </c>
      <c r="R28" s="28">
        <f>IF($A28="","",IF(OR($F28="",$H28=""),"",IF(ABS($H28-$F28)&gt;zincirTolerans,"ZİNCİR KIRIK","OK")))</f>
        <v/>
      </c>
      <c r="S28" s="28">
        <f>IF($A28="","",1)</f>
        <v/>
      </c>
    </row>
    <row r="29">
      <c r="A29" s="26" t="inlineStr">
        <is>
          <t>KAD-00024</t>
        </is>
      </c>
      <c r="B29" s="26" t="inlineStr">
        <is>
          <t>KIR-00008</t>
        </is>
      </c>
      <c r="C29" s="29" t="n">
        <v>46176</v>
      </c>
      <c r="D29" s="26" t="inlineStr">
        <is>
          <t>TAHSIL</t>
        </is>
      </c>
      <c r="E29" s="26" t="inlineStr">
        <is>
          <t>TAHSIL</t>
        </is>
      </c>
      <c r="F29" s="27" t="n">
        <v>11000</v>
      </c>
      <c r="G29" s="27" t="n">
        <v>22000</v>
      </c>
      <c r="H29" s="27" t="n">
        <v>11000</v>
      </c>
      <c r="I29" s="27" t="n">
        <v>0</v>
      </c>
      <c r="J29" s="27" t="n">
        <v>11000</v>
      </c>
      <c r="K29" s="27" t="n">
        <v>11000</v>
      </c>
      <c r="L29" s="26" t="inlineStr">
        <is>
          <t>2026-08</t>
        </is>
      </c>
      <c r="M29" s="26" t="inlineStr">
        <is>
          <t>Kira tahsil kalemi 24</t>
        </is>
      </c>
      <c r="N29" s="28">
        <f>IF($A29="","",IF($C29="","",raporTarihi-$C29))</f>
        <v/>
      </c>
      <c r="O29" s="28">
        <f>IF($A29="","",IF($N29="","",IF($N29&lt;=7,"0-7",IF($N29&lt;=30,"8-30",IF($N29&lt;=60,"31-60","60+")))))</f>
        <v/>
      </c>
      <c r="P29" s="28">
        <f>IF($A29="","",IF($B29="","YETİM",IF(COUNTIF(tblKartlar[KartId],$B29)=0,"YETİM","")))</f>
        <v/>
      </c>
      <c r="Q29" s="28">
        <f>IF(OR($A29="",$D29=""),"",IF(OR($D29&amp;"|"&amp;$E29="",COUNTIF(ListeIzinliGecis,$D29&amp;"|"&amp;$E29)&gt;0),"","GEÇERSİZ GEÇİŞ"))</f>
        <v/>
      </c>
      <c r="R29" s="28">
        <f>IF($A29="","",IF(OR($F29="",$H29=""),"",IF(ABS($H29-$F29)&gt;zincirTolerans,"ZİNCİR KIRIK","OK")))</f>
        <v/>
      </c>
      <c r="S29" s="28">
        <f>IF($A29="","",1)</f>
        <v/>
      </c>
    </row>
    <row r="30">
      <c r="A30" s="26" t="inlineStr">
        <is>
          <t>KAD-00025</t>
        </is>
      </c>
      <c r="B30" s="26" t="inlineStr">
        <is>
          <t>KIR-99999</t>
        </is>
      </c>
      <c r="C30" s="29" t="n">
        <v>46248</v>
      </c>
      <c r="D30" s="26" t="n"/>
      <c r="E30" s="26" t="inlineStr">
        <is>
          <t>BEKLIYOR</t>
        </is>
      </c>
      <c r="F30" s="27" t="n">
        <v>18000</v>
      </c>
      <c r="G30" s="27" t="n">
        <v>36000</v>
      </c>
      <c r="H30" s="27" t="n">
        <v>18000</v>
      </c>
      <c r="I30" s="27" t="n">
        <v>0</v>
      </c>
      <c r="J30" s="27" t="n">
        <v>0</v>
      </c>
      <c r="K30" s="27" t="n">
        <v>18000</v>
      </c>
      <c r="L30" s="26" t="inlineStr">
        <is>
          <t>2026-08</t>
        </is>
      </c>
      <c r="M30" s="26" t="inlineStr">
        <is>
          <t>Kira tahsil kalemi 25</t>
        </is>
      </c>
      <c r="N30" s="28">
        <f>IF($A30="","",IF($C30="","",raporTarihi-$C30))</f>
        <v/>
      </c>
      <c r="O30" s="28">
        <f>IF($A30="","",IF($N30="","",IF($N30&lt;=7,"0-7",IF($N30&lt;=30,"8-30",IF($N30&lt;=60,"31-60","60+")))))</f>
        <v/>
      </c>
      <c r="P30" s="28">
        <f>IF($A30="","",IF($B30="","YETİM",IF(COUNTIF(tblKartlar[KartId],$B30)=0,"YETİM","")))</f>
        <v/>
      </c>
      <c r="Q30" s="28">
        <f>IF(OR($A30="",$D30=""),"",IF(OR($D30&amp;"|"&amp;$E30="",COUNTIF(ListeIzinliGecis,$D30&amp;"|"&amp;$E30)&gt;0),"","GEÇERSİZ GEÇİŞ"))</f>
        <v/>
      </c>
      <c r="R30" s="28">
        <f>IF($A30="","",IF(OR($F30="",$H30=""),"",IF(ABS($H30-$F30)&gt;zincirTolerans,"ZİNCİR KIRIK","OK")))</f>
        <v/>
      </c>
      <c r="S30" s="28">
        <f>IF($A30="","",1)</f>
        <v/>
      </c>
    </row>
    <row r="31">
      <c r="A31" s="26" t="inlineStr">
        <is>
          <t>KAD-00026</t>
        </is>
      </c>
      <c r="B31" s="26" t="inlineStr">
        <is>
          <t>KIR-00002</t>
        </is>
      </c>
      <c r="C31" s="29" t="n">
        <v>46245</v>
      </c>
      <c r="D31" s="26" t="inlineStr">
        <is>
          <t>BEKLIYOR</t>
        </is>
      </c>
      <c r="E31" s="26" t="inlineStr">
        <is>
          <t>TAHSIL</t>
        </is>
      </c>
      <c r="F31" s="27" t="n">
        <v>22000</v>
      </c>
      <c r="G31" s="27" t="n">
        <v>44000</v>
      </c>
      <c r="H31" s="27" t="n">
        <v>22000</v>
      </c>
      <c r="I31" s="27" t="n">
        <v>0</v>
      </c>
      <c r="J31" s="27" t="n">
        <v>22000</v>
      </c>
      <c r="K31" s="27" t="n">
        <v>22000</v>
      </c>
      <c r="L31" s="26" t="inlineStr">
        <is>
          <t>2026-08</t>
        </is>
      </c>
      <c r="M31" s="26" t="inlineStr">
        <is>
          <t>Kira tahsil kalemi 26</t>
        </is>
      </c>
      <c r="N31" s="28">
        <f>IF($A31="","",IF($C31="","",raporTarihi-$C31))</f>
        <v/>
      </c>
      <c r="O31" s="28">
        <f>IF($A31="","",IF($N31="","",IF($N31&lt;=7,"0-7",IF($N31&lt;=30,"8-30",IF($N31&lt;=60,"31-60","60+")))))</f>
        <v/>
      </c>
      <c r="P31" s="28">
        <f>IF($A31="","",IF($B31="","YETİM",IF(COUNTIF(tblKartlar[KartId],$B31)=0,"YETİM","")))</f>
        <v/>
      </c>
      <c r="Q31" s="28">
        <f>IF(OR($A31="",$D31=""),"",IF(OR($D31&amp;"|"&amp;$E31="",COUNTIF(ListeIzinliGecis,$D31&amp;"|"&amp;$E31)&gt;0),"","GEÇERSİZ GEÇİŞ"))</f>
        <v/>
      </c>
      <c r="R31" s="28">
        <f>IF($A31="","",IF(OR($F31="",$H31=""),"",IF(ABS($H31-$F31)&gt;zincirTolerans,"ZİNCİR KIRIK","OK")))</f>
        <v/>
      </c>
      <c r="S31" s="28">
        <f>IF($A31="","",1)</f>
        <v/>
      </c>
    </row>
    <row r="32">
      <c r="A32" s="26" t="inlineStr">
        <is>
          <t>KAD-00027</t>
        </is>
      </c>
      <c r="B32" s="26" t="inlineStr">
        <is>
          <t>KIR-00003</t>
        </is>
      </c>
      <c r="C32" s="29" t="n">
        <v>46242</v>
      </c>
      <c r="D32" s="26" t="inlineStr">
        <is>
          <t>TAHSIL</t>
        </is>
      </c>
      <c r="E32" s="26" t="inlineStr">
        <is>
          <t>MAHSUP</t>
        </is>
      </c>
      <c r="F32" s="27" t="n">
        <v>16000</v>
      </c>
      <c r="G32" s="27" t="n">
        <v>32000</v>
      </c>
      <c r="H32" s="27" t="n">
        <v>16000</v>
      </c>
      <c r="I32" s="27" t="n">
        <v>16000</v>
      </c>
      <c r="J32" s="27" t="n">
        <v>0</v>
      </c>
      <c r="K32" s="27" t="n">
        <v>16000</v>
      </c>
      <c r="L32" s="26" t="inlineStr">
        <is>
          <t>2026-08</t>
        </is>
      </c>
      <c r="M32" s="26" t="inlineStr">
        <is>
          <t>Kira tahsil kalemi 27</t>
        </is>
      </c>
      <c r="N32" s="28">
        <f>IF($A32="","",IF($C32="","",raporTarihi-$C32))</f>
        <v/>
      </c>
      <c r="O32" s="28">
        <f>IF($A32="","",IF($N32="","",IF($N32&lt;=7,"0-7",IF($N32&lt;=30,"8-30",IF($N32&lt;=60,"31-60","60+")))))</f>
        <v/>
      </c>
      <c r="P32" s="28">
        <f>IF($A32="","",IF($B32="","YETİM",IF(COUNTIF(tblKartlar[KartId],$B32)=0,"YETİM","")))</f>
        <v/>
      </c>
      <c r="Q32" s="28">
        <f>IF(OR($A32="",$D32=""),"",IF(OR($D32&amp;"|"&amp;$E32="",COUNTIF(ListeIzinliGecis,$D32&amp;"|"&amp;$E32)&gt;0),"","GEÇERSİZ GEÇİŞ"))</f>
        <v/>
      </c>
      <c r="R32" s="28">
        <f>IF($A32="","",IF(OR($F32="",$H32=""),"",IF(ABS($H32-$F32)&gt;zincirTolerans,"ZİNCİR KIRIK","OK")))</f>
        <v/>
      </c>
      <c r="S32" s="28">
        <f>IF($A32="","",1)</f>
        <v/>
      </c>
    </row>
    <row r="33">
      <c r="A33" s="26" t="inlineStr">
        <is>
          <t>KAD-00028</t>
        </is>
      </c>
      <c r="B33" s="26" t="inlineStr">
        <is>
          <t>KIR-00004</t>
        </is>
      </c>
      <c r="C33" s="29" t="n">
        <v>46239</v>
      </c>
      <c r="D33" s="26" t="inlineStr">
        <is>
          <t>MAHSUP</t>
        </is>
      </c>
      <c r="E33" s="26" t="inlineStr">
        <is>
          <t>KAPALI</t>
        </is>
      </c>
      <c r="F33" s="27" t="n">
        <v>14000</v>
      </c>
      <c r="G33" s="27" t="n">
        <v>28000</v>
      </c>
      <c r="H33" s="27" t="n">
        <v>14000</v>
      </c>
      <c r="I33" s="27" t="n">
        <v>0</v>
      </c>
      <c r="J33" s="27" t="n">
        <v>14000</v>
      </c>
      <c r="K33" s="27" t="n">
        <v>14000</v>
      </c>
      <c r="L33" s="26" t="inlineStr">
        <is>
          <t>2026-08</t>
        </is>
      </c>
      <c r="M33" s="26" t="inlineStr">
        <is>
          <t>Kira tahsil kalemi 28</t>
        </is>
      </c>
      <c r="N33" s="28">
        <f>IF($A33="","",IF($C33="","",raporTarihi-$C33))</f>
        <v/>
      </c>
      <c r="O33" s="28">
        <f>IF($A33="","",IF($N33="","",IF($N33&lt;=7,"0-7",IF($N33&lt;=30,"8-30",IF($N33&lt;=60,"31-60","60+")))))</f>
        <v/>
      </c>
      <c r="P33" s="28">
        <f>IF($A33="","",IF($B33="","YETİM",IF(COUNTIF(tblKartlar[KartId],$B33)=0,"YETİM","")))</f>
        <v/>
      </c>
      <c r="Q33" s="28">
        <f>IF(OR($A33="",$D33=""),"",IF(OR($D33&amp;"|"&amp;$E33="",COUNTIF(ListeIzinliGecis,$D33&amp;"|"&amp;$E33)&gt;0),"","GEÇERSİZ GEÇİŞ"))</f>
        <v/>
      </c>
      <c r="R33" s="28">
        <f>IF($A33="","",IF(OR($F33="",$H33=""),"",IF(ABS($H33-$F33)&gt;zincirTolerans,"ZİNCİR KIRIK","OK")))</f>
        <v/>
      </c>
      <c r="S33" s="28">
        <f>IF($A33="","",1)</f>
        <v/>
      </c>
    </row>
    <row r="34">
      <c r="A34" s="26" t="n"/>
      <c r="B34" s="26" t="n"/>
      <c r="C34" s="29" t="n"/>
      <c r="D34" s="26" t="n"/>
      <c r="E34" s="26" t="n"/>
      <c r="F34" s="27" t="n"/>
      <c r="G34" s="27" t="n"/>
      <c r="H34" s="27" t="n"/>
      <c r="I34" s="27" t="n"/>
      <c r="J34" s="27" t="n"/>
      <c r="K34" s="27" t="n"/>
      <c r="L34" s="26" t="n"/>
      <c r="M34" s="26" t="n"/>
      <c r="N34" s="28">
        <f>IF($A34="","",IF($C34="","",raporTarihi-$C34))</f>
        <v/>
      </c>
      <c r="O34" s="28">
        <f>IF($A34="","",IF($N34="","",IF($N34&lt;=7,"0-7",IF($N34&lt;=30,"8-30",IF($N34&lt;=60,"31-60","60+")))))</f>
        <v/>
      </c>
      <c r="P34" s="28">
        <f>IF($A34="","",IF($B34="","YETİM",IF(COUNTIF(tblKartlar[KartId],$B34)=0,"YETİM","")))</f>
        <v/>
      </c>
      <c r="Q34" s="28">
        <f>IF(OR($A34="",$D34=""),"",IF(OR($D34&amp;"|"&amp;$E34="",COUNTIF(ListeIzinliGecis,$D34&amp;"|"&amp;$E34)&gt;0),"","GEÇERSİZ GEÇİŞ"))</f>
        <v/>
      </c>
      <c r="R34" s="28">
        <f>IF($A34="","",IF(OR($F34="",$H34=""),"",IF(ABS($H34-$F34)&gt;zincirTolerans,"ZİNCİR KIRIK","OK")))</f>
        <v/>
      </c>
      <c r="S34" s="28">
        <f>IF($A34="","",1)</f>
        <v/>
      </c>
    </row>
    <row r="35">
      <c r="A35" s="26" t="n"/>
      <c r="B35" s="26" t="n"/>
      <c r="C35" s="29" t="n"/>
      <c r="D35" s="26" t="n"/>
      <c r="E35" s="26" t="n"/>
      <c r="F35" s="27" t="n"/>
      <c r="G35" s="27" t="n"/>
      <c r="H35" s="27" t="n"/>
      <c r="I35" s="27" t="n"/>
      <c r="J35" s="27" t="n"/>
      <c r="K35" s="27" t="n"/>
      <c r="L35" s="26" t="n"/>
      <c r="M35" s="26" t="n"/>
      <c r="N35" s="28">
        <f>IF($A35="","",IF($C35="","",raporTarihi-$C35))</f>
        <v/>
      </c>
      <c r="O35" s="28">
        <f>IF($A35="","",IF($N35="","",IF($N35&lt;=7,"0-7",IF($N35&lt;=30,"8-30",IF($N35&lt;=60,"31-60","60+")))))</f>
        <v/>
      </c>
      <c r="P35" s="28">
        <f>IF($A35="","",IF($B35="","YETİM",IF(COUNTIF(tblKartlar[KartId],$B35)=0,"YETİM","")))</f>
        <v/>
      </c>
      <c r="Q35" s="28">
        <f>IF(OR($A35="",$D35=""),"",IF(OR($D35&amp;"|"&amp;$E35="",COUNTIF(ListeIzinliGecis,$D35&amp;"|"&amp;$E35)&gt;0),"","GEÇERSİZ GEÇİŞ"))</f>
        <v/>
      </c>
      <c r="R35" s="28">
        <f>IF($A35="","",IF(OR($F35="",$H35=""),"",IF(ABS($H35-$F35)&gt;zincirTolerans,"ZİNCİR KIRIK","OK")))</f>
        <v/>
      </c>
      <c r="S35" s="28">
        <f>IF($A35="","",1)</f>
        <v/>
      </c>
    </row>
    <row r="36">
      <c r="A36" s="26" t="n"/>
      <c r="B36" s="26" t="n"/>
      <c r="C36" s="29" t="n"/>
      <c r="D36" s="26" t="n"/>
      <c r="E36" s="26" t="n"/>
      <c r="F36" s="27" t="n"/>
      <c r="G36" s="27" t="n"/>
      <c r="H36" s="27" t="n"/>
      <c r="I36" s="27" t="n"/>
      <c r="J36" s="27" t="n"/>
      <c r="K36" s="27" t="n"/>
      <c r="L36" s="26" t="n"/>
      <c r="M36" s="26" t="n"/>
      <c r="N36" s="28">
        <f>IF($A36="","",IF($C36="","",raporTarihi-$C36))</f>
        <v/>
      </c>
      <c r="O36" s="28">
        <f>IF($A36="","",IF($N36="","",IF($N36&lt;=7,"0-7",IF($N36&lt;=30,"8-30",IF($N36&lt;=60,"31-60","60+")))))</f>
        <v/>
      </c>
      <c r="P36" s="28">
        <f>IF($A36="","",IF($B36="","YETİM",IF(COUNTIF(tblKartlar[KartId],$B36)=0,"YETİM","")))</f>
        <v/>
      </c>
      <c r="Q36" s="28">
        <f>IF(OR($A36="",$D36=""),"",IF(OR($D36&amp;"|"&amp;$E36="",COUNTIF(ListeIzinliGecis,$D36&amp;"|"&amp;$E36)&gt;0),"","GEÇERSİZ GEÇİŞ"))</f>
        <v/>
      </c>
      <c r="R36" s="28">
        <f>IF($A36="","",IF(OR($F36="",$H36=""),"",IF(ABS($H36-$F36)&gt;zincirTolerans,"ZİNCİR KIRIK","OK")))</f>
        <v/>
      </c>
      <c r="S36" s="28">
        <f>IF($A36="","",1)</f>
        <v/>
      </c>
    </row>
    <row r="37">
      <c r="A37" s="26" t="n"/>
      <c r="B37" s="26" t="n"/>
      <c r="C37" s="29" t="n"/>
      <c r="D37" s="26" t="n"/>
      <c r="E37" s="26" t="n"/>
      <c r="F37" s="27" t="n"/>
      <c r="G37" s="27" t="n"/>
      <c r="H37" s="27" t="n"/>
      <c r="I37" s="27" t="n"/>
      <c r="J37" s="27" t="n"/>
      <c r="K37" s="27" t="n"/>
      <c r="L37" s="26" t="n"/>
      <c r="M37" s="26" t="n"/>
      <c r="N37" s="28">
        <f>IF($A37="","",IF($C37="","",raporTarihi-$C37))</f>
        <v/>
      </c>
      <c r="O37" s="28">
        <f>IF($A37="","",IF($N37="","",IF($N37&lt;=7,"0-7",IF($N37&lt;=30,"8-30",IF($N37&lt;=60,"31-60","60+")))))</f>
        <v/>
      </c>
      <c r="P37" s="28">
        <f>IF($A37="","",IF($B37="","YETİM",IF(COUNTIF(tblKartlar[KartId],$B37)=0,"YETİM","")))</f>
        <v/>
      </c>
      <c r="Q37" s="28">
        <f>IF(OR($A37="",$D37=""),"",IF(OR($D37&amp;"|"&amp;$E37="",COUNTIF(ListeIzinliGecis,$D37&amp;"|"&amp;$E37)&gt;0),"","GEÇERSİZ GEÇİŞ"))</f>
        <v/>
      </c>
      <c r="R37" s="28">
        <f>IF($A37="","",IF(OR($F37="",$H37=""),"",IF(ABS($H37-$F37)&gt;zincirTolerans,"ZİNCİR KIRIK","OK")))</f>
        <v/>
      </c>
      <c r="S37" s="28">
        <f>IF($A37="","",1)</f>
        <v/>
      </c>
    </row>
    <row r="38">
      <c r="A38" s="26" t="n"/>
      <c r="B38" s="26" t="n"/>
      <c r="C38" s="29" t="n"/>
      <c r="D38" s="26" t="n"/>
      <c r="E38" s="26" t="n"/>
      <c r="F38" s="27" t="n"/>
      <c r="G38" s="27" t="n"/>
      <c r="H38" s="27" t="n"/>
      <c r="I38" s="27" t="n"/>
      <c r="J38" s="27" t="n"/>
      <c r="K38" s="27" t="n"/>
      <c r="L38" s="26" t="n"/>
      <c r="M38" s="26" t="n"/>
      <c r="N38" s="28">
        <f>IF($A38="","",IF($C38="","",raporTarihi-$C38))</f>
        <v/>
      </c>
      <c r="O38" s="28">
        <f>IF($A38="","",IF($N38="","",IF($N38&lt;=7,"0-7",IF($N38&lt;=30,"8-30",IF($N38&lt;=60,"31-60","60+")))))</f>
        <v/>
      </c>
      <c r="P38" s="28">
        <f>IF($A38="","",IF($B38="","YETİM",IF(COUNTIF(tblKartlar[KartId],$B38)=0,"YETİM","")))</f>
        <v/>
      </c>
      <c r="Q38" s="28">
        <f>IF(OR($A38="",$D38=""),"",IF(OR($D38&amp;"|"&amp;$E38="",COUNTIF(ListeIzinliGecis,$D38&amp;"|"&amp;$E38)&gt;0),"","GEÇERSİZ GEÇİŞ"))</f>
        <v/>
      </c>
      <c r="R38" s="28">
        <f>IF($A38="","",IF(OR($F38="",$H38=""),"",IF(ABS($H38-$F38)&gt;zincirTolerans,"ZİNCİR KIRIK","OK")))</f>
        <v/>
      </c>
      <c r="S38" s="28">
        <f>IF($A38="","",1)</f>
        <v/>
      </c>
    </row>
    <row r="39">
      <c r="A39" s="26" t="n"/>
      <c r="B39" s="26" t="n"/>
      <c r="C39" s="29" t="n"/>
      <c r="D39" s="26" t="n"/>
      <c r="E39" s="26" t="n"/>
      <c r="F39" s="27" t="n"/>
      <c r="G39" s="27" t="n"/>
      <c r="H39" s="27" t="n"/>
      <c r="I39" s="27" t="n"/>
      <c r="J39" s="27" t="n"/>
      <c r="K39" s="27" t="n"/>
      <c r="L39" s="26" t="n"/>
      <c r="M39" s="26" t="n"/>
      <c r="N39" s="28">
        <f>IF($A39="","",IF($C39="","",raporTarihi-$C39))</f>
        <v/>
      </c>
      <c r="O39" s="28">
        <f>IF($A39="","",IF($N39="","",IF($N39&lt;=7,"0-7",IF($N39&lt;=30,"8-30",IF($N39&lt;=60,"31-60","60+")))))</f>
        <v/>
      </c>
      <c r="P39" s="28">
        <f>IF($A39="","",IF($B39="","YETİM",IF(COUNTIF(tblKartlar[KartId],$B39)=0,"YETİM","")))</f>
        <v/>
      </c>
      <c r="Q39" s="28">
        <f>IF(OR($A39="",$D39=""),"",IF(OR($D39&amp;"|"&amp;$E39="",COUNTIF(ListeIzinliGecis,$D39&amp;"|"&amp;$E39)&gt;0),"","GEÇERSİZ GEÇİŞ"))</f>
        <v/>
      </c>
      <c r="R39" s="28">
        <f>IF($A39="","",IF(OR($F39="",$H39=""),"",IF(ABS($H39-$F39)&gt;zincirTolerans,"ZİNCİR KIRIK","OK")))</f>
        <v/>
      </c>
      <c r="S39" s="28">
        <f>IF($A39="","",1)</f>
        <v/>
      </c>
    </row>
    <row r="40">
      <c r="A40" s="26" t="n"/>
      <c r="B40" s="26" t="n"/>
      <c r="C40" s="29" t="n"/>
      <c r="D40" s="26" t="n"/>
      <c r="E40" s="26" t="n"/>
      <c r="F40" s="27" t="n"/>
      <c r="G40" s="27" t="n"/>
      <c r="H40" s="27" t="n"/>
      <c r="I40" s="27" t="n"/>
      <c r="J40" s="27" t="n"/>
      <c r="K40" s="27" t="n"/>
      <c r="L40" s="26" t="n"/>
      <c r="M40" s="26" t="n"/>
      <c r="N40" s="28">
        <f>IF($A40="","",IF($C40="","",raporTarihi-$C40))</f>
        <v/>
      </c>
      <c r="O40" s="28">
        <f>IF($A40="","",IF($N40="","",IF($N40&lt;=7,"0-7",IF($N40&lt;=30,"8-30",IF($N40&lt;=60,"31-60","60+")))))</f>
        <v/>
      </c>
      <c r="P40" s="28">
        <f>IF($A40="","",IF($B40="","YETİM",IF(COUNTIF(tblKartlar[KartId],$B40)=0,"YETİM","")))</f>
        <v/>
      </c>
      <c r="Q40" s="28">
        <f>IF(OR($A40="",$D40=""),"",IF(OR($D40&amp;"|"&amp;$E40="",COUNTIF(ListeIzinliGecis,$D40&amp;"|"&amp;$E40)&gt;0),"","GEÇERSİZ GEÇİŞ"))</f>
        <v/>
      </c>
      <c r="R40" s="28">
        <f>IF($A40="","",IF(OR($F40="",$H40=""),"",IF(ABS($H40-$F40)&gt;zincirTolerans,"ZİNCİR KIRIK","OK")))</f>
        <v/>
      </c>
      <c r="S40" s="28">
        <f>IF($A40="","",1)</f>
        <v/>
      </c>
    </row>
    <row r="41">
      <c r="A41" s="26" t="n"/>
      <c r="B41" s="26" t="n"/>
      <c r="C41" s="29" t="n"/>
      <c r="D41" s="26" t="n"/>
      <c r="E41" s="26" t="n"/>
      <c r="F41" s="27" t="n"/>
      <c r="G41" s="27" t="n"/>
      <c r="H41" s="27" t="n"/>
      <c r="I41" s="27" t="n"/>
      <c r="J41" s="27" t="n"/>
      <c r="K41" s="27" t="n"/>
      <c r="L41" s="26" t="n"/>
      <c r="M41" s="26" t="n"/>
      <c r="N41" s="28">
        <f>IF($A41="","",IF($C41="","",raporTarihi-$C41))</f>
        <v/>
      </c>
      <c r="O41" s="28">
        <f>IF($A41="","",IF($N41="","",IF($N41&lt;=7,"0-7",IF($N41&lt;=30,"8-30",IF($N41&lt;=60,"31-60","60+")))))</f>
        <v/>
      </c>
      <c r="P41" s="28">
        <f>IF($A41="","",IF($B41="","YETİM",IF(COUNTIF(tblKartlar[KartId],$B41)=0,"YETİM","")))</f>
        <v/>
      </c>
      <c r="Q41" s="28">
        <f>IF(OR($A41="",$D41=""),"",IF(OR($D41&amp;"|"&amp;$E41="",COUNTIF(ListeIzinliGecis,$D41&amp;"|"&amp;$E41)&gt;0),"","GEÇERSİZ GEÇİŞ"))</f>
        <v/>
      </c>
      <c r="R41" s="28">
        <f>IF($A41="","",IF(OR($F41="",$H41=""),"",IF(ABS($H41-$F41)&gt;zincirTolerans,"ZİNCİR KIRIK","OK")))</f>
        <v/>
      </c>
      <c r="S41" s="28">
        <f>IF($A41="","",1)</f>
        <v/>
      </c>
    </row>
    <row r="42">
      <c r="A42" s="26" t="n"/>
      <c r="B42" s="26" t="n"/>
      <c r="C42" s="29" t="n"/>
      <c r="D42" s="26" t="n"/>
      <c r="E42" s="26" t="n"/>
      <c r="F42" s="27" t="n"/>
      <c r="G42" s="27" t="n"/>
      <c r="H42" s="27" t="n"/>
      <c r="I42" s="27" t="n"/>
      <c r="J42" s="27" t="n"/>
      <c r="K42" s="27" t="n"/>
      <c r="L42" s="26" t="n"/>
      <c r="M42" s="26" t="n"/>
      <c r="N42" s="28">
        <f>IF($A42="","",IF($C42="","",raporTarihi-$C42))</f>
        <v/>
      </c>
      <c r="O42" s="28">
        <f>IF($A42="","",IF($N42="","",IF($N42&lt;=7,"0-7",IF($N42&lt;=30,"8-30",IF($N42&lt;=60,"31-60","60+")))))</f>
        <v/>
      </c>
      <c r="P42" s="28">
        <f>IF($A42="","",IF($B42="","YETİM",IF(COUNTIF(tblKartlar[KartId],$B42)=0,"YETİM","")))</f>
        <v/>
      </c>
      <c r="Q42" s="28">
        <f>IF(OR($A42="",$D42=""),"",IF(OR($D42&amp;"|"&amp;$E42="",COUNTIF(ListeIzinliGecis,$D42&amp;"|"&amp;$E42)&gt;0),"","GEÇERSİZ GEÇİŞ"))</f>
        <v/>
      </c>
      <c r="R42" s="28">
        <f>IF($A42="","",IF(OR($F42="",$H42=""),"",IF(ABS($H42-$F42)&gt;zincirTolerans,"ZİNCİR KIRIK","OK")))</f>
        <v/>
      </c>
      <c r="S42" s="28">
        <f>IF($A42="","",1)</f>
        <v/>
      </c>
    </row>
    <row r="43">
      <c r="A43" s="26" t="n"/>
      <c r="B43" s="26" t="n"/>
      <c r="C43" s="29" t="n"/>
      <c r="D43" s="26" t="n"/>
      <c r="E43" s="26" t="n"/>
      <c r="F43" s="27" t="n"/>
      <c r="G43" s="27" t="n"/>
      <c r="H43" s="27" t="n"/>
      <c r="I43" s="27" t="n"/>
      <c r="J43" s="27" t="n"/>
      <c r="K43" s="27" t="n"/>
      <c r="L43" s="26" t="n"/>
      <c r="M43" s="26" t="n"/>
      <c r="N43" s="28">
        <f>IF($A43="","",IF($C43="","",raporTarihi-$C43))</f>
        <v/>
      </c>
      <c r="O43" s="28">
        <f>IF($A43="","",IF($N43="","",IF($N43&lt;=7,"0-7",IF($N43&lt;=30,"8-30",IF($N43&lt;=60,"31-60","60+")))))</f>
        <v/>
      </c>
      <c r="P43" s="28">
        <f>IF($A43="","",IF($B43="","YETİM",IF(COUNTIF(tblKartlar[KartId],$B43)=0,"YETİM","")))</f>
        <v/>
      </c>
      <c r="Q43" s="28">
        <f>IF(OR($A43="",$D43=""),"",IF(OR($D43&amp;"|"&amp;$E43="",COUNTIF(ListeIzinliGecis,$D43&amp;"|"&amp;$E43)&gt;0),"","GEÇERSİZ GEÇİŞ"))</f>
        <v/>
      </c>
      <c r="R43" s="28">
        <f>IF($A43="","",IF(OR($F43="",$H43=""),"",IF(ABS($H43-$F43)&gt;zincirTolerans,"ZİNCİR KIRIK","OK")))</f>
        <v/>
      </c>
      <c r="S43" s="28">
        <f>IF($A43="","",1)</f>
        <v/>
      </c>
    </row>
    <row r="44">
      <c r="A44" s="26" t="n"/>
      <c r="B44" s="26" t="n"/>
      <c r="C44" s="29" t="n"/>
      <c r="D44" s="26" t="n"/>
      <c r="E44" s="26" t="n"/>
      <c r="F44" s="27" t="n"/>
      <c r="G44" s="27" t="n"/>
      <c r="H44" s="27" t="n"/>
      <c r="I44" s="27" t="n"/>
      <c r="J44" s="27" t="n"/>
      <c r="K44" s="27" t="n"/>
      <c r="L44" s="26" t="n"/>
      <c r="M44" s="26" t="n"/>
      <c r="N44" s="28">
        <f>IF($A44="","",IF($C44="","",raporTarihi-$C44))</f>
        <v/>
      </c>
      <c r="O44" s="28">
        <f>IF($A44="","",IF($N44="","",IF($N44&lt;=7,"0-7",IF($N44&lt;=30,"8-30",IF($N44&lt;=60,"31-60","60+")))))</f>
        <v/>
      </c>
      <c r="P44" s="28">
        <f>IF($A44="","",IF($B44="","YETİM",IF(COUNTIF(tblKartlar[KartId],$B44)=0,"YETİM","")))</f>
        <v/>
      </c>
      <c r="Q44" s="28">
        <f>IF(OR($A44="",$D44=""),"",IF(OR($D44&amp;"|"&amp;$E44="",COUNTIF(ListeIzinliGecis,$D44&amp;"|"&amp;$E44)&gt;0),"","GEÇERSİZ GEÇİŞ"))</f>
        <v/>
      </c>
      <c r="R44" s="28">
        <f>IF($A44="","",IF(OR($F44="",$H44=""),"",IF(ABS($H44-$F44)&gt;zincirTolerans,"ZİNCİR KIRIK","OK")))</f>
        <v/>
      </c>
      <c r="S44" s="28">
        <f>IF($A44="","",1)</f>
        <v/>
      </c>
    </row>
    <row r="45">
      <c r="A45" s="26" t="n"/>
      <c r="B45" s="26" t="n"/>
      <c r="C45" s="29" t="n"/>
      <c r="D45" s="26" t="n"/>
      <c r="E45" s="26" t="n"/>
      <c r="F45" s="27" t="n"/>
      <c r="G45" s="27" t="n"/>
      <c r="H45" s="27" t="n"/>
      <c r="I45" s="27" t="n"/>
      <c r="J45" s="27" t="n"/>
      <c r="K45" s="27" t="n"/>
      <c r="L45" s="26" t="n"/>
      <c r="M45" s="26" t="n"/>
      <c r="N45" s="28">
        <f>IF($A45="","",IF($C45="","",raporTarihi-$C45))</f>
        <v/>
      </c>
      <c r="O45" s="28">
        <f>IF($A45="","",IF($N45="","",IF($N45&lt;=7,"0-7",IF($N45&lt;=30,"8-30",IF($N45&lt;=60,"31-60","60+")))))</f>
        <v/>
      </c>
      <c r="P45" s="28">
        <f>IF($A45="","",IF($B45="","YETİM",IF(COUNTIF(tblKartlar[KartId],$B45)=0,"YETİM","")))</f>
        <v/>
      </c>
      <c r="Q45" s="28">
        <f>IF(OR($A45="",$D45=""),"",IF(OR($D45&amp;"|"&amp;$E45="",COUNTIF(ListeIzinliGecis,$D45&amp;"|"&amp;$E45)&gt;0),"","GEÇERSİZ GEÇİŞ"))</f>
        <v/>
      </c>
      <c r="R45" s="28">
        <f>IF($A45="","",IF(OR($F45="",$H45=""),"",IF(ABS($H45-$F45)&gt;zincirTolerans,"ZİNCİR KIRIK","OK")))</f>
        <v/>
      </c>
      <c r="S45" s="28">
        <f>IF($A45="","",1)</f>
        <v/>
      </c>
    </row>
    <row r="46">
      <c r="A46" s="26" t="n"/>
      <c r="B46" s="26" t="n"/>
      <c r="C46" s="29" t="n"/>
      <c r="D46" s="26" t="n"/>
      <c r="E46" s="26" t="n"/>
      <c r="F46" s="27" t="n"/>
      <c r="G46" s="27" t="n"/>
      <c r="H46" s="27" t="n"/>
      <c r="I46" s="27" t="n"/>
      <c r="J46" s="27" t="n"/>
      <c r="K46" s="27" t="n"/>
      <c r="L46" s="26" t="n"/>
      <c r="M46" s="26" t="n"/>
      <c r="N46" s="28">
        <f>IF($A46="","",IF($C46="","",raporTarihi-$C46))</f>
        <v/>
      </c>
      <c r="O46" s="28">
        <f>IF($A46="","",IF($N46="","",IF($N46&lt;=7,"0-7",IF($N46&lt;=30,"8-30",IF($N46&lt;=60,"31-60","60+")))))</f>
        <v/>
      </c>
      <c r="P46" s="28">
        <f>IF($A46="","",IF($B46="","YETİM",IF(COUNTIF(tblKartlar[KartId],$B46)=0,"YETİM","")))</f>
        <v/>
      </c>
      <c r="Q46" s="28">
        <f>IF(OR($A46="",$D46=""),"",IF(OR($D46&amp;"|"&amp;$E46="",COUNTIF(ListeIzinliGecis,$D46&amp;"|"&amp;$E46)&gt;0),"","GEÇERSİZ GEÇİŞ"))</f>
        <v/>
      </c>
      <c r="R46" s="28">
        <f>IF($A46="","",IF(OR($F46="",$H46=""),"",IF(ABS($H46-$F46)&gt;zincirTolerans,"ZİNCİR KIRIK","OK")))</f>
        <v/>
      </c>
      <c r="S46" s="28">
        <f>IF($A46="","",1)</f>
        <v/>
      </c>
    </row>
    <row r="47">
      <c r="A47" s="26" t="n"/>
      <c r="B47" s="26" t="n"/>
      <c r="C47" s="29" t="n"/>
      <c r="D47" s="26" t="n"/>
      <c r="E47" s="26" t="n"/>
      <c r="F47" s="27" t="n"/>
      <c r="G47" s="27" t="n"/>
      <c r="H47" s="27" t="n"/>
      <c r="I47" s="27" t="n"/>
      <c r="J47" s="27" t="n"/>
      <c r="K47" s="27" t="n"/>
      <c r="L47" s="26" t="n"/>
      <c r="M47" s="26" t="n"/>
      <c r="N47" s="28">
        <f>IF($A47="","",IF($C47="","",raporTarihi-$C47))</f>
        <v/>
      </c>
      <c r="O47" s="28">
        <f>IF($A47="","",IF($N47="","",IF($N47&lt;=7,"0-7",IF($N47&lt;=30,"8-30",IF($N47&lt;=60,"31-60","60+")))))</f>
        <v/>
      </c>
      <c r="P47" s="28">
        <f>IF($A47="","",IF($B47="","YETİM",IF(COUNTIF(tblKartlar[KartId],$B47)=0,"YETİM","")))</f>
        <v/>
      </c>
      <c r="Q47" s="28">
        <f>IF(OR($A47="",$D47=""),"",IF(OR($D47&amp;"|"&amp;$E47="",COUNTIF(ListeIzinliGecis,$D47&amp;"|"&amp;$E47)&gt;0),"","GEÇERSİZ GEÇİŞ"))</f>
        <v/>
      </c>
      <c r="R47" s="28">
        <f>IF($A47="","",IF(OR($F47="",$H47=""),"",IF(ABS($H47-$F47)&gt;zincirTolerans,"ZİNCİR KIRIK","OK")))</f>
        <v/>
      </c>
      <c r="S47" s="28">
        <f>IF($A47="","",1)</f>
        <v/>
      </c>
    </row>
    <row r="48">
      <c r="A48" s="26" t="n"/>
      <c r="B48" s="26" t="n"/>
      <c r="C48" s="29" t="n"/>
      <c r="D48" s="26" t="n"/>
      <c r="E48" s="26" t="n"/>
      <c r="F48" s="27" t="n"/>
      <c r="G48" s="27" t="n"/>
      <c r="H48" s="27" t="n"/>
      <c r="I48" s="27" t="n"/>
      <c r="J48" s="27" t="n"/>
      <c r="K48" s="27" t="n"/>
      <c r="L48" s="26" t="n"/>
      <c r="M48" s="26" t="n"/>
      <c r="N48" s="28">
        <f>IF($A48="","",IF($C48="","",raporTarihi-$C48))</f>
        <v/>
      </c>
      <c r="O48" s="28">
        <f>IF($A48="","",IF($N48="","",IF($N48&lt;=7,"0-7",IF($N48&lt;=30,"8-30",IF($N48&lt;=60,"31-60","60+")))))</f>
        <v/>
      </c>
      <c r="P48" s="28">
        <f>IF($A48="","",IF($B48="","YETİM",IF(COUNTIF(tblKartlar[KartId],$B48)=0,"YETİM","")))</f>
        <v/>
      </c>
      <c r="Q48" s="28">
        <f>IF(OR($A48="",$D48=""),"",IF(OR($D48&amp;"|"&amp;$E48="",COUNTIF(ListeIzinliGecis,$D48&amp;"|"&amp;$E48)&gt;0),"","GEÇERSİZ GEÇİŞ"))</f>
        <v/>
      </c>
      <c r="R48" s="28">
        <f>IF($A48="","",IF(OR($F48="",$H48=""),"",IF(ABS($H48-$F48)&gt;zincirTolerans,"ZİNCİR KIRIK","OK")))</f>
        <v/>
      </c>
      <c r="S48" s="28">
        <f>IF($A48="","",1)</f>
        <v/>
      </c>
    </row>
    <row r="49">
      <c r="A49" s="26" t="n"/>
      <c r="B49" s="26" t="n"/>
      <c r="C49" s="29" t="n"/>
      <c r="D49" s="26" t="n"/>
      <c r="E49" s="26" t="n"/>
      <c r="F49" s="27" t="n"/>
      <c r="G49" s="27" t="n"/>
      <c r="H49" s="27" t="n"/>
      <c r="I49" s="27" t="n"/>
      <c r="J49" s="27" t="n"/>
      <c r="K49" s="27" t="n"/>
      <c r="L49" s="26" t="n"/>
      <c r="M49" s="26" t="n"/>
      <c r="N49" s="28">
        <f>IF($A49="","",IF($C49="","",raporTarihi-$C49))</f>
        <v/>
      </c>
      <c r="O49" s="28">
        <f>IF($A49="","",IF($N49="","",IF($N49&lt;=7,"0-7",IF($N49&lt;=30,"8-30",IF($N49&lt;=60,"31-60","60+")))))</f>
        <v/>
      </c>
      <c r="P49" s="28">
        <f>IF($A49="","",IF($B49="","YETİM",IF(COUNTIF(tblKartlar[KartId],$B49)=0,"YETİM","")))</f>
        <v/>
      </c>
      <c r="Q49" s="28">
        <f>IF(OR($A49="",$D49=""),"",IF(OR($D49&amp;"|"&amp;$E49="",COUNTIF(ListeIzinliGecis,$D49&amp;"|"&amp;$E49)&gt;0),"","GEÇERSİZ GEÇİŞ"))</f>
        <v/>
      </c>
      <c r="R49" s="28">
        <f>IF($A49="","",IF(OR($F49="",$H49=""),"",IF(ABS($H49-$F49)&gt;zincirTolerans,"ZİNCİR KIRIK","OK")))</f>
        <v/>
      </c>
      <c r="S49" s="28">
        <f>IF($A49="","",1)</f>
        <v/>
      </c>
    </row>
    <row r="50">
      <c r="A50" s="26" t="n"/>
      <c r="B50" s="26" t="n"/>
      <c r="C50" s="29" t="n"/>
      <c r="D50" s="26" t="n"/>
      <c r="E50" s="26" t="n"/>
      <c r="F50" s="27" t="n"/>
      <c r="G50" s="27" t="n"/>
      <c r="H50" s="27" t="n"/>
      <c r="I50" s="27" t="n"/>
      <c r="J50" s="27" t="n"/>
      <c r="K50" s="27" t="n"/>
      <c r="L50" s="26" t="n"/>
      <c r="M50" s="26" t="n"/>
      <c r="N50" s="28">
        <f>IF($A50="","",IF($C50="","",raporTarihi-$C50))</f>
        <v/>
      </c>
      <c r="O50" s="28">
        <f>IF($A50="","",IF($N50="","",IF($N50&lt;=7,"0-7",IF($N50&lt;=30,"8-30",IF($N50&lt;=60,"31-60","60+")))))</f>
        <v/>
      </c>
      <c r="P50" s="28">
        <f>IF($A50="","",IF($B50="","YETİM",IF(COUNTIF(tblKartlar[KartId],$B50)=0,"YETİM","")))</f>
        <v/>
      </c>
      <c r="Q50" s="28">
        <f>IF(OR($A50="",$D50=""),"",IF(OR($D50&amp;"|"&amp;$E50="",COUNTIF(ListeIzinliGecis,$D50&amp;"|"&amp;$E50)&gt;0),"","GEÇERSİZ GEÇİŞ"))</f>
        <v/>
      </c>
      <c r="R50" s="28">
        <f>IF($A50="","",IF(OR($F50="",$H50=""),"",IF(ABS($H50-$F50)&gt;zincirTolerans,"ZİNCİR KIRIK","OK")))</f>
        <v/>
      </c>
      <c r="S50" s="28">
        <f>IF($A50="","",1)</f>
        <v/>
      </c>
    </row>
    <row r="51">
      <c r="A51" s="26" t="n"/>
      <c r="B51" s="26" t="n"/>
      <c r="C51" s="29" t="n"/>
      <c r="D51" s="26" t="n"/>
      <c r="E51" s="26" t="n"/>
      <c r="F51" s="27" t="n"/>
      <c r="G51" s="27" t="n"/>
      <c r="H51" s="27" t="n"/>
      <c r="I51" s="27" t="n"/>
      <c r="J51" s="27" t="n"/>
      <c r="K51" s="27" t="n"/>
      <c r="L51" s="26" t="n"/>
      <c r="M51" s="26" t="n"/>
      <c r="N51" s="28">
        <f>IF($A51="","",IF($C51="","",raporTarihi-$C51))</f>
        <v/>
      </c>
      <c r="O51" s="28">
        <f>IF($A51="","",IF($N51="","",IF($N51&lt;=7,"0-7",IF($N51&lt;=30,"8-30",IF($N51&lt;=60,"31-60","60+")))))</f>
        <v/>
      </c>
      <c r="P51" s="28">
        <f>IF($A51="","",IF($B51="","YETİM",IF(COUNTIF(tblKartlar[KartId],$B51)=0,"YETİM","")))</f>
        <v/>
      </c>
      <c r="Q51" s="28">
        <f>IF(OR($A51="",$D51=""),"",IF(OR($D51&amp;"|"&amp;$E51="",COUNTIF(ListeIzinliGecis,$D51&amp;"|"&amp;$E51)&gt;0),"","GEÇERSİZ GEÇİŞ"))</f>
        <v/>
      </c>
      <c r="R51" s="28">
        <f>IF($A51="","",IF(OR($F51="",$H51=""),"",IF(ABS($H51-$F51)&gt;zincirTolerans,"ZİNCİR KIRIK","OK")))</f>
        <v/>
      </c>
      <c r="S51" s="28">
        <f>IF($A51="","",1)</f>
        <v/>
      </c>
    </row>
    <row r="52">
      <c r="A52" s="26" t="n"/>
      <c r="B52" s="26" t="n"/>
      <c r="C52" s="29" t="n"/>
      <c r="D52" s="26" t="n"/>
      <c r="E52" s="26" t="n"/>
      <c r="F52" s="27" t="n"/>
      <c r="G52" s="27" t="n"/>
      <c r="H52" s="27" t="n"/>
      <c r="I52" s="27" t="n"/>
      <c r="J52" s="27" t="n"/>
      <c r="K52" s="27" t="n"/>
      <c r="L52" s="26" t="n"/>
      <c r="M52" s="26" t="n"/>
      <c r="N52" s="28">
        <f>IF($A52="","",IF($C52="","",raporTarihi-$C52))</f>
        <v/>
      </c>
      <c r="O52" s="28">
        <f>IF($A52="","",IF($N52="","",IF($N52&lt;=7,"0-7",IF($N52&lt;=30,"8-30",IF($N52&lt;=60,"31-60","60+")))))</f>
        <v/>
      </c>
      <c r="P52" s="28">
        <f>IF($A52="","",IF($B52="","YETİM",IF(COUNTIF(tblKartlar[KartId],$B52)=0,"YETİM","")))</f>
        <v/>
      </c>
      <c r="Q52" s="28">
        <f>IF(OR($A52="",$D52=""),"",IF(OR($D52&amp;"|"&amp;$E52="",COUNTIF(ListeIzinliGecis,$D52&amp;"|"&amp;$E52)&gt;0),"","GEÇERSİZ GEÇİŞ"))</f>
        <v/>
      </c>
      <c r="R52" s="28">
        <f>IF($A52="","",IF(OR($F52="",$H52=""),"",IF(ABS($H52-$F52)&gt;zincirTolerans,"ZİNCİR KIRIK","OK")))</f>
        <v/>
      </c>
      <c r="S52" s="28">
        <f>IF($A52="","",1)</f>
        <v/>
      </c>
    </row>
    <row r="53">
      <c r="A53" s="26" t="n"/>
      <c r="B53" s="26" t="n"/>
      <c r="C53" s="29" t="n"/>
      <c r="D53" s="26" t="n"/>
      <c r="E53" s="26" t="n"/>
      <c r="F53" s="27" t="n"/>
      <c r="G53" s="27" t="n"/>
      <c r="H53" s="27" t="n"/>
      <c r="I53" s="27" t="n"/>
      <c r="J53" s="27" t="n"/>
      <c r="K53" s="27" t="n"/>
      <c r="L53" s="26" t="n"/>
      <c r="M53" s="26" t="n"/>
      <c r="N53" s="28">
        <f>IF($A53="","",IF($C53="","",raporTarihi-$C53))</f>
        <v/>
      </c>
      <c r="O53" s="28">
        <f>IF($A53="","",IF($N53="","",IF($N53&lt;=7,"0-7",IF($N53&lt;=30,"8-30",IF($N53&lt;=60,"31-60","60+")))))</f>
        <v/>
      </c>
      <c r="P53" s="28">
        <f>IF($A53="","",IF($B53="","YETİM",IF(COUNTIF(tblKartlar[KartId],$B53)=0,"YETİM","")))</f>
        <v/>
      </c>
      <c r="Q53" s="28">
        <f>IF(OR($A53="",$D53=""),"",IF(OR($D53&amp;"|"&amp;$E53="",COUNTIF(ListeIzinliGecis,$D53&amp;"|"&amp;$E53)&gt;0),"","GEÇERSİZ GEÇİŞ"))</f>
        <v/>
      </c>
      <c r="R53" s="28">
        <f>IF($A53="","",IF(OR($F53="",$H53=""),"",IF(ABS($H53-$F53)&gt;zincirTolerans,"ZİNCİR KIRIK","OK")))</f>
        <v/>
      </c>
      <c r="S53" s="28">
        <f>IF($A53="","",1)</f>
        <v/>
      </c>
    </row>
    <row r="54">
      <c r="A54" s="26" t="n"/>
      <c r="B54" s="26" t="n"/>
      <c r="C54" s="29" t="n"/>
      <c r="D54" s="26" t="n"/>
      <c r="E54" s="26" t="n"/>
      <c r="F54" s="27" t="n"/>
      <c r="G54" s="27" t="n"/>
      <c r="H54" s="27" t="n"/>
      <c r="I54" s="27" t="n"/>
      <c r="J54" s="27" t="n"/>
      <c r="K54" s="27" t="n"/>
      <c r="L54" s="26" t="n"/>
      <c r="M54" s="26" t="n"/>
      <c r="N54" s="28">
        <f>IF($A54="","",IF($C54="","",raporTarihi-$C54))</f>
        <v/>
      </c>
      <c r="O54" s="28">
        <f>IF($A54="","",IF($N54="","",IF($N54&lt;=7,"0-7",IF($N54&lt;=30,"8-30",IF($N54&lt;=60,"31-60","60+")))))</f>
        <v/>
      </c>
      <c r="P54" s="28">
        <f>IF($A54="","",IF($B54="","YETİM",IF(COUNTIF(tblKartlar[KartId],$B54)=0,"YETİM","")))</f>
        <v/>
      </c>
      <c r="Q54" s="28">
        <f>IF(OR($A54="",$D54=""),"",IF(OR($D54&amp;"|"&amp;$E54="",COUNTIF(ListeIzinliGecis,$D54&amp;"|"&amp;$E54)&gt;0),"","GEÇERSİZ GEÇİŞ"))</f>
        <v/>
      </c>
      <c r="R54" s="28">
        <f>IF($A54="","",IF(OR($F54="",$H54=""),"",IF(ABS($H54-$F54)&gt;zincirTolerans,"ZİNCİR KIRIK","OK")))</f>
        <v/>
      </c>
      <c r="S54" s="28">
        <f>IF($A54="","",1)</f>
        <v/>
      </c>
    </row>
    <row r="55">
      <c r="A55" s="26" t="n"/>
      <c r="B55" s="26" t="n"/>
      <c r="C55" s="29" t="n"/>
      <c r="D55" s="26" t="n"/>
      <c r="E55" s="26" t="n"/>
      <c r="F55" s="27" t="n"/>
      <c r="G55" s="27" t="n"/>
      <c r="H55" s="27" t="n"/>
      <c r="I55" s="27" t="n"/>
      <c r="J55" s="27" t="n"/>
      <c r="K55" s="27" t="n"/>
      <c r="L55" s="26" t="n"/>
      <c r="M55" s="26" t="n"/>
      <c r="N55" s="28">
        <f>IF($A55="","",IF($C55="","",raporTarihi-$C55))</f>
        <v/>
      </c>
      <c r="O55" s="28">
        <f>IF($A55="","",IF($N55="","",IF($N55&lt;=7,"0-7",IF($N55&lt;=30,"8-30",IF($N55&lt;=60,"31-60","60+")))))</f>
        <v/>
      </c>
      <c r="P55" s="28">
        <f>IF($A55="","",IF($B55="","YETİM",IF(COUNTIF(tblKartlar[KartId],$B55)=0,"YETİM","")))</f>
        <v/>
      </c>
      <c r="Q55" s="28">
        <f>IF(OR($A55="",$D55=""),"",IF(OR($D55&amp;"|"&amp;$E55="",COUNTIF(ListeIzinliGecis,$D55&amp;"|"&amp;$E55)&gt;0),"","GEÇERSİZ GEÇİŞ"))</f>
        <v/>
      </c>
      <c r="R55" s="28">
        <f>IF($A55="","",IF(OR($F55="",$H55=""),"",IF(ABS($H55-$F55)&gt;zincirTolerans,"ZİNCİR KIRIK","OK")))</f>
        <v/>
      </c>
      <c r="S55" s="28">
        <f>IF($A55="","",1)</f>
        <v/>
      </c>
    </row>
    <row r="56">
      <c r="A56" s="26" t="n"/>
      <c r="B56" s="26" t="n"/>
      <c r="C56" s="29" t="n"/>
      <c r="D56" s="26" t="n"/>
      <c r="E56" s="26" t="n"/>
      <c r="F56" s="27" t="n"/>
      <c r="G56" s="27" t="n"/>
      <c r="H56" s="27" t="n"/>
      <c r="I56" s="27" t="n"/>
      <c r="J56" s="27" t="n"/>
      <c r="K56" s="27" t="n"/>
      <c r="L56" s="26" t="n"/>
      <c r="M56" s="26" t="n"/>
      <c r="N56" s="28">
        <f>IF($A56="","",IF($C56="","",raporTarihi-$C56))</f>
        <v/>
      </c>
      <c r="O56" s="28">
        <f>IF($A56="","",IF($N56="","",IF($N56&lt;=7,"0-7",IF($N56&lt;=30,"8-30",IF($N56&lt;=60,"31-60","60+")))))</f>
        <v/>
      </c>
      <c r="P56" s="28">
        <f>IF($A56="","",IF($B56="","YETİM",IF(COUNTIF(tblKartlar[KartId],$B56)=0,"YETİM","")))</f>
        <v/>
      </c>
      <c r="Q56" s="28">
        <f>IF(OR($A56="",$D56=""),"",IF(OR($D56&amp;"|"&amp;$E56="",COUNTIF(ListeIzinliGecis,$D56&amp;"|"&amp;$E56)&gt;0),"","GEÇERSİZ GEÇİŞ"))</f>
        <v/>
      </c>
      <c r="R56" s="28">
        <f>IF($A56="","",IF(OR($F56="",$H56=""),"",IF(ABS($H56-$F56)&gt;zincirTolerans,"ZİNCİR KIRIK","OK")))</f>
        <v/>
      </c>
      <c r="S56" s="28">
        <f>IF($A56="","",1)</f>
        <v/>
      </c>
    </row>
    <row r="57">
      <c r="A57" s="26" t="n"/>
      <c r="B57" s="26" t="n"/>
      <c r="C57" s="29" t="n"/>
      <c r="D57" s="26" t="n"/>
      <c r="E57" s="26" t="n"/>
      <c r="F57" s="27" t="n"/>
      <c r="G57" s="27" t="n"/>
      <c r="H57" s="27" t="n"/>
      <c r="I57" s="27" t="n"/>
      <c r="J57" s="27" t="n"/>
      <c r="K57" s="27" t="n"/>
      <c r="L57" s="26" t="n"/>
      <c r="M57" s="26" t="n"/>
      <c r="N57" s="28">
        <f>IF($A57="","",IF($C57="","",raporTarihi-$C57))</f>
        <v/>
      </c>
      <c r="O57" s="28">
        <f>IF($A57="","",IF($N57="","",IF($N57&lt;=7,"0-7",IF($N57&lt;=30,"8-30",IF($N57&lt;=60,"31-60","60+")))))</f>
        <v/>
      </c>
      <c r="P57" s="28">
        <f>IF($A57="","",IF($B57="","YETİM",IF(COUNTIF(tblKartlar[KartId],$B57)=0,"YETİM","")))</f>
        <v/>
      </c>
      <c r="Q57" s="28">
        <f>IF(OR($A57="",$D57=""),"",IF(OR($D57&amp;"|"&amp;$E57="",COUNTIF(ListeIzinliGecis,$D57&amp;"|"&amp;$E57)&gt;0),"","GEÇERSİZ GEÇİŞ"))</f>
        <v/>
      </c>
      <c r="R57" s="28">
        <f>IF($A57="","",IF(OR($F57="",$H57=""),"",IF(ABS($H57-$F57)&gt;zincirTolerans,"ZİNCİR KIRIK","OK")))</f>
        <v/>
      </c>
      <c r="S57" s="28">
        <f>IF($A57="","",1)</f>
        <v/>
      </c>
    </row>
    <row r="58">
      <c r="A58" s="26" t="n"/>
      <c r="B58" s="26" t="n"/>
      <c r="C58" s="29" t="n"/>
      <c r="D58" s="26" t="n"/>
      <c r="E58" s="26" t="n"/>
      <c r="F58" s="27" t="n"/>
      <c r="G58" s="27" t="n"/>
      <c r="H58" s="27" t="n"/>
      <c r="I58" s="27" t="n"/>
      <c r="J58" s="27" t="n"/>
      <c r="K58" s="27" t="n"/>
      <c r="L58" s="26" t="n"/>
      <c r="M58" s="26" t="n"/>
      <c r="N58" s="28">
        <f>IF($A58="","",IF($C58="","",raporTarihi-$C58))</f>
        <v/>
      </c>
      <c r="O58" s="28">
        <f>IF($A58="","",IF($N58="","",IF($N58&lt;=7,"0-7",IF($N58&lt;=30,"8-30",IF($N58&lt;=60,"31-60","60+")))))</f>
        <v/>
      </c>
      <c r="P58" s="28">
        <f>IF($A58="","",IF($B58="","YETİM",IF(COUNTIF(tblKartlar[KartId],$B58)=0,"YETİM","")))</f>
        <v/>
      </c>
      <c r="Q58" s="28">
        <f>IF(OR($A58="",$D58=""),"",IF(OR($D58&amp;"|"&amp;$E58="",COUNTIF(ListeIzinliGecis,$D58&amp;"|"&amp;$E58)&gt;0),"","GEÇERSİZ GEÇİŞ"))</f>
        <v/>
      </c>
      <c r="R58" s="28">
        <f>IF($A58="","",IF(OR($F58="",$H58=""),"",IF(ABS($H58-$F58)&gt;zincirTolerans,"ZİNCİR KIRIK","OK")))</f>
        <v/>
      </c>
      <c r="S58" s="28">
        <f>IF($A58="","",1)</f>
        <v/>
      </c>
    </row>
    <row r="59">
      <c r="A59" s="26" t="n"/>
      <c r="B59" s="26" t="n"/>
      <c r="C59" s="29" t="n"/>
      <c r="D59" s="26" t="n"/>
      <c r="E59" s="26" t="n"/>
      <c r="F59" s="27" t="n"/>
      <c r="G59" s="27" t="n"/>
      <c r="H59" s="27" t="n"/>
      <c r="I59" s="27" t="n"/>
      <c r="J59" s="27" t="n"/>
      <c r="K59" s="27" t="n"/>
      <c r="L59" s="26" t="n"/>
      <c r="M59" s="26" t="n"/>
      <c r="N59" s="28">
        <f>IF($A59="","",IF($C59="","",raporTarihi-$C59))</f>
        <v/>
      </c>
      <c r="O59" s="28">
        <f>IF($A59="","",IF($N59="","",IF($N59&lt;=7,"0-7",IF($N59&lt;=30,"8-30",IF($N59&lt;=60,"31-60","60+")))))</f>
        <v/>
      </c>
      <c r="P59" s="28">
        <f>IF($A59="","",IF($B59="","YETİM",IF(COUNTIF(tblKartlar[KartId],$B59)=0,"YETİM","")))</f>
        <v/>
      </c>
      <c r="Q59" s="28">
        <f>IF(OR($A59="",$D59=""),"",IF(OR($D59&amp;"|"&amp;$E59="",COUNTIF(ListeIzinliGecis,$D59&amp;"|"&amp;$E59)&gt;0),"","GEÇERSİZ GEÇİŞ"))</f>
        <v/>
      </c>
      <c r="R59" s="28">
        <f>IF($A59="","",IF(OR($F59="",$H59=""),"",IF(ABS($H59-$F59)&gt;zincirTolerans,"ZİNCİR KIRIK","OK")))</f>
        <v/>
      </c>
      <c r="S59" s="28">
        <f>IF($A59="","",1)</f>
        <v/>
      </c>
    </row>
    <row r="60">
      <c r="A60" s="26" t="n"/>
      <c r="B60" s="26" t="n"/>
      <c r="C60" s="29" t="n"/>
      <c r="D60" s="26" t="n"/>
      <c r="E60" s="26" t="n"/>
      <c r="F60" s="27" t="n"/>
      <c r="G60" s="27" t="n"/>
      <c r="H60" s="27" t="n"/>
      <c r="I60" s="27" t="n"/>
      <c r="J60" s="27" t="n"/>
      <c r="K60" s="27" t="n"/>
      <c r="L60" s="26" t="n"/>
      <c r="M60" s="26" t="n"/>
      <c r="N60" s="28">
        <f>IF($A60="","",IF($C60="","",raporTarihi-$C60))</f>
        <v/>
      </c>
      <c r="O60" s="28">
        <f>IF($A60="","",IF($N60="","",IF($N60&lt;=7,"0-7",IF($N60&lt;=30,"8-30",IF($N60&lt;=60,"31-60","60+")))))</f>
        <v/>
      </c>
      <c r="P60" s="28">
        <f>IF($A60="","",IF($B60="","YETİM",IF(COUNTIF(tblKartlar[KartId],$B60)=0,"YETİM","")))</f>
        <v/>
      </c>
      <c r="Q60" s="28">
        <f>IF(OR($A60="",$D60=""),"",IF(OR($D60&amp;"|"&amp;$E60="",COUNTIF(ListeIzinliGecis,$D60&amp;"|"&amp;$E60)&gt;0),"","GEÇERSİZ GEÇİŞ"))</f>
        <v/>
      </c>
      <c r="R60" s="28">
        <f>IF($A60="","",IF(OR($F60="",$H60=""),"",IF(ABS($H60-$F60)&gt;zincirTolerans,"ZİNCİR KIRIK","OK")))</f>
        <v/>
      </c>
      <c r="S60" s="28">
        <f>IF($A60="","",1)</f>
        <v/>
      </c>
    </row>
    <row r="61">
      <c r="A61" s="26" t="n"/>
      <c r="B61" s="26" t="n"/>
      <c r="C61" s="29" t="n"/>
      <c r="D61" s="26" t="n"/>
      <c r="E61" s="26" t="n"/>
      <c r="F61" s="27" t="n"/>
      <c r="G61" s="27" t="n"/>
      <c r="H61" s="27" t="n"/>
      <c r="I61" s="27" t="n"/>
      <c r="J61" s="27" t="n"/>
      <c r="K61" s="27" t="n"/>
      <c r="L61" s="26" t="n"/>
      <c r="M61" s="26" t="n"/>
      <c r="N61" s="28">
        <f>IF($A61="","",IF($C61="","",raporTarihi-$C61))</f>
        <v/>
      </c>
      <c r="O61" s="28">
        <f>IF($A61="","",IF($N61="","",IF($N61&lt;=7,"0-7",IF($N61&lt;=30,"8-30",IF($N61&lt;=60,"31-60","60+")))))</f>
        <v/>
      </c>
      <c r="P61" s="28">
        <f>IF($A61="","",IF($B61="","YETİM",IF(COUNTIF(tblKartlar[KartId],$B61)=0,"YETİM","")))</f>
        <v/>
      </c>
      <c r="Q61" s="28">
        <f>IF(OR($A61="",$D61=""),"",IF(OR($D61&amp;"|"&amp;$E61="",COUNTIF(ListeIzinliGecis,$D61&amp;"|"&amp;$E61)&gt;0),"","GEÇERSİZ GEÇİŞ"))</f>
        <v/>
      </c>
      <c r="R61" s="28">
        <f>IF($A61="","",IF(OR($F61="",$H61=""),"",IF(ABS($H61-$F61)&gt;zincirTolerans,"ZİNCİR KIRIK","OK")))</f>
        <v/>
      </c>
      <c r="S61" s="28">
        <f>IF($A61="","",1)</f>
        <v/>
      </c>
    </row>
    <row r="62">
      <c r="A62" s="26" t="n"/>
      <c r="B62" s="26" t="n"/>
      <c r="C62" s="29" t="n"/>
      <c r="D62" s="26" t="n"/>
      <c r="E62" s="26" t="n"/>
      <c r="F62" s="27" t="n"/>
      <c r="G62" s="27" t="n"/>
      <c r="H62" s="27" t="n"/>
      <c r="I62" s="27" t="n"/>
      <c r="J62" s="27" t="n"/>
      <c r="K62" s="27" t="n"/>
      <c r="L62" s="26" t="n"/>
      <c r="M62" s="26" t="n"/>
      <c r="N62" s="28">
        <f>IF($A62="","",IF($C62="","",raporTarihi-$C62))</f>
        <v/>
      </c>
      <c r="O62" s="28">
        <f>IF($A62="","",IF($N62="","",IF($N62&lt;=7,"0-7",IF($N62&lt;=30,"8-30",IF($N62&lt;=60,"31-60","60+")))))</f>
        <v/>
      </c>
      <c r="P62" s="28">
        <f>IF($A62="","",IF($B62="","YETİM",IF(COUNTIF(tblKartlar[KartId],$B62)=0,"YETİM","")))</f>
        <v/>
      </c>
      <c r="Q62" s="28">
        <f>IF(OR($A62="",$D62=""),"",IF(OR($D62&amp;"|"&amp;$E62="",COUNTIF(ListeIzinliGecis,$D62&amp;"|"&amp;$E62)&gt;0),"","GEÇERSİZ GEÇİŞ"))</f>
        <v/>
      </c>
      <c r="R62" s="28">
        <f>IF($A62="","",IF(OR($F62="",$H62=""),"",IF(ABS($H62-$F62)&gt;zincirTolerans,"ZİNCİR KIRIK","OK")))</f>
        <v/>
      </c>
      <c r="S62" s="28">
        <f>IF($A62="","",1)</f>
        <v/>
      </c>
    </row>
    <row r="63">
      <c r="A63" s="26" t="n"/>
      <c r="B63" s="26" t="n"/>
      <c r="C63" s="29" t="n"/>
      <c r="D63" s="26" t="n"/>
      <c r="E63" s="26" t="n"/>
      <c r="F63" s="27" t="n"/>
      <c r="G63" s="27" t="n"/>
      <c r="H63" s="27" t="n"/>
      <c r="I63" s="27" t="n"/>
      <c r="J63" s="27" t="n"/>
      <c r="K63" s="27" t="n"/>
      <c r="L63" s="26" t="n"/>
      <c r="M63" s="26" t="n"/>
      <c r="N63" s="28">
        <f>IF($A63="","",IF($C63="","",raporTarihi-$C63))</f>
        <v/>
      </c>
      <c r="O63" s="28">
        <f>IF($A63="","",IF($N63="","",IF($N63&lt;=7,"0-7",IF($N63&lt;=30,"8-30",IF($N63&lt;=60,"31-60","60+")))))</f>
        <v/>
      </c>
      <c r="P63" s="28">
        <f>IF($A63="","",IF($B63="","YETİM",IF(COUNTIF(tblKartlar[KartId],$B63)=0,"YETİM","")))</f>
        <v/>
      </c>
      <c r="Q63" s="28">
        <f>IF(OR($A63="",$D63=""),"",IF(OR($D63&amp;"|"&amp;$E63="",COUNTIF(ListeIzinliGecis,$D63&amp;"|"&amp;$E63)&gt;0),"","GEÇERSİZ GEÇİŞ"))</f>
        <v/>
      </c>
      <c r="R63" s="28">
        <f>IF($A63="","",IF(OR($F63="",$H63=""),"",IF(ABS($H63-$F63)&gt;zincirTolerans,"ZİNCİR KIRIK","OK")))</f>
        <v/>
      </c>
      <c r="S63" s="28">
        <f>IF($A63="","",1)</f>
        <v/>
      </c>
    </row>
    <row r="64">
      <c r="A64" s="26" t="n"/>
      <c r="B64" s="26" t="n"/>
      <c r="C64" s="29" t="n"/>
      <c r="D64" s="26" t="n"/>
      <c r="E64" s="26" t="n"/>
      <c r="F64" s="27" t="n"/>
      <c r="G64" s="27" t="n"/>
      <c r="H64" s="27" t="n"/>
      <c r="I64" s="27" t="n"/>
      <c r="J64" s="27" t="n"/>
      <c r="K64" s="27" t="n"/>
      <c r="L64" s="26" t="n"/>
      <c r="M64" s="26" t="n"/>
      <c r="N64" s="28">
        <f>IF($A64="","",IF($C64="","",raporTarihi-$C64))</f>
        <v/>
      </c>
      <c r="O64" s="28">
        <f>IF($A64="","",IF($N64="","",IF($N64&lt;=7,"0-7",IF($N64&lt;=30,"8-30",IF($N64&lt;=60,"31-60","60+")))))</f>
        <v/>
      </c>
      <c r="P64" s="28">
        <f>IF($A64="","",IF($B64="","YETİM",IF(COUNTIF(tblKartlar[KartId],$B64)=0,"YETİM","")))</f>
        <v/>
      </c>
      <c r="Q64" s="28">
        <f>IF(OR($A64="",$D64=""),"",IF(OR($D64&amp;"|"&amp;$E64="",COUNTIF(ListeIzinliGecis,$D64&amp;"|"&amp;$E64)&gt;0),"","GEÇERSİZ GEÇİŞ"))</f>
        <v/>
      </c>
      <c r="R64" s="28">
        <f>IF($A64="","",IF(OR($F64="",$H64=""),"",IF(ABS($H64-$F64)&gt;zincirTolerans,"ZİNCİR KIRIK","OK")))</f>
        <v/>
      </c>
      <c r="S64" s="28">
        <f>IF($A64="","",1)</f>
        <v/>
      </c>
    </row>
    <row r="65">
      <c r="A65" s="26" t="n"/>
      <c r="B65" s="26" t="n"/>
      <c r="C65" s="29" t="n"/>
      <c r="D65" s="26" t="n"/>
      <c r="E65" s="26" t="n"/>
      <c r="F65" s="27" t="n"/>
      <c r="G65" s="27" t="n"/>
      <c r="H65" s="27" t="n"/>
      <c r="I65" s="27" t="n"/>
      <c r="J65" s="27" t="n"/>
      <c r="K65" s="27" t="n"/>
      <c r="L65" s="26" t="n"/>
      <c r="M65" s="26" t="n"/>
      <c r="N65" s="28">
        <f>IF($A65="","",IF($C65="","",raporTarihi-$C65))</f>
        <v/>
      </c>
      <c r="O65" s="28">
        <f>IF($A65="","",IF($N65="","",IF($N65&lt;=7,"0-7",IF($N65&lt;=30,"8-30",IF($N65&lt;=60,"31-60","60+")))))</f>
        <v/>
      </c>
      <c r="P65" s="28">
        <f>IF($A65="","",IF($B65="","YETİM",IF(COUNTIF(tblKartlar[KartId],$B65)=0,"YETİM","")))</f>
        <v/>
      </c>
      <c r="Q65" s="28">
        <f>IF(OR($A65="",$D65=""),"",IF(OR($D65&amp;"|"&amp;$E65="",COUNTIF(ListeIzinliGecis,$D65&amp;"|"&amp;$E65)&gt;0),"","GEÇERSİZ GEÇİŞ"))</f>
        <v/>
      </c>
      <c r="R65" s="28">
        <f>IF($A65="","",IF(OR($F65="",$H65=""),"",IF(ABS($H65-$F65)&gt;zincirTolerans,"ZİNCİR KIRIK","OK")))</f>
        <v/>
      </c>
      <c r="S65" s="28">
        <f>IF($A65="","",1)</f>
        <v/>
      </c>
    </row>
    <row r="66">
      <c r="A66" s="26" t="n"/>
      <c r="B66" s="26" t="n"/>
      <c r="C66" s="29" t="n"/>
      <c r="D66" s="26" t="n"/>
      <c r="E66" s="26" t="n"/>
      <c r="F66" s="27" t="n"/>
      <c r="G66" s="27" t="n"/>
      <c r="H66" s="27" t="n"/>
      <c r="I66" s="27" t="n"/>
      <c r="J66" s="27" t="n"/>
      <c r="K66" s="27" t="n"/>
      <c r="L66" s="26" t="n"/>
      <c r="M66" s="26" t="n"/>
      <c r="N66" s="28">
        <f>IF($A66="","",IF($C66="","",raporTarihi-$C66))</f>
        <v/>
      </c>
      <c r="O66" s="28">
        <f>IF($A66="","",IF($N66="","",IF($N66&lt;=7,"0-7",IF($N66&lt;=30,"8-30",IF($N66&lt;=60,"31-60","60+")))))</f>
        <v/>
      </c>
      <c r="P66" s="28">
        <f>IF($A66="","",IF($B66="","YETİM",IF(COUNTIF(tblKartlar[KartId],$B66)=0,"YETİM","")))</f>
        <v/>
      </c>
      <c r="Q66" s="28">
        <f>IF(OR($A66="",$D66=""),"",IF(OR($D66&amp;"|"&amp;$E66="",COUNTIF(ListeIzinliGecis,$D66&amp;"|"&amp;$E66)&gt;0),"","GEÇERSİZ GEÇİŞ"))</f>
        <v/>
      </c>
      <c r="R66" s="28">
        <f>IF($A66="","",IF(OR($F66="",$H66=""),"",IF(ABS($H66-$F66)&gt;zincirTolerans,"ZİNCİR KIRIK","OK")))</f>
        <v/>
      </c>
      <c r="S66" s="28">
        <f>IF($A66="","",1)</f>
        <v/>
      </c>
    </row>
    <row r="67">
      <c r="A67" s="26" t="n"/>
      <c r="B67" s="26" t="n"/>
      <c r="C67" s="29" t="n"/>
      <c r="D67" s="26" t="n"/>
      <c r="E67" s="26" t="n"/>
      <c r="F67" s="27" t="n"/>
      <c r="G67" s="27" t="n"/>
      <c r="H67" s="27" t="n"/>
      <c r="I67" s="27" t="n"/>
      <c r="J67" s="27" t="n"/>
      <c r="K67" s="27" t="n"/>
      <c r="L67" s="26" t="n"/>
      <c r="M67" s="26" t="n"/>
      <c r="N67" s="28">
        <f>IF($A67="","",IF($C67="","",raporTarihi-$C67))</f>
        <v/>
      </c>
      <c r="O67" s="28">
        <f>IF($A67="","",IF($N67="","",IF($N67&lt;=7,"0-7",IF($N67&lt;=30,"8-30",IF($N67&lt;=60,"31-60","60+")))))</f>
        <v/>
      </c>
      <c r="P67" s="28">
        <f>IF($A67="","",IF($B67="","YETİM",IF(COUNTIF(tblKartlar[KartId],$B67)=0,"YETİM","")))</f>
        <v/>
      </c>
      <c r="Q67" s="28">
        <f>IF(OR($A67="",$D67=""),"",IF(OR($D67&amp;"|"&amp;$E67="",COUNTIF(ListeIzinliGecis,$D67&amp;"|"&amp;$E67)&gt;0),"","GEÇERSİZ GEÇİŞ"))</f>
        <v/>
      </c>
      <c r="R67" s="28">
        <f>IF($A67="","",IF(OR($F67="",$H67=""),"",IF(ABS($H67-$F67)&gt;zincirTolerans,"ZİNCİR KIRIK","OK")))</f>
        <v/>
      </c>
      <c r="S67" s="28">
        <f>IF($A67="","",1)</f>
        <v/>
      </c>
    </row>
    <row r="68">
      <c r="A68" s="26" t="n"/>
      <c r="B68" s="26" t="n"/>
      <c r="C68" s="29" t="n"/>
      <c r="D68" s="26" t="n"/>
      <c r="E68" s="26" t="n"/>
      <c r="F68" s="27" t="n"/>
      <c r="G68" s="27" t="n"/>
      <c r="H68" s="27" t="n"/>
      <c r="I68" s="27" t="n"/>
      <c r="J68" s="27" t="n"/>
      <c r="K68" s="27" t="n"/>
      <c r="L68" s="26" t="n"/>
      <c r="M68" s="26" t="n"/>
      <c r="N68" s="28">
        <f>IF($A68="","",IF($C68="","",raporTarihi-$C68))</f>
        <v/>
      </c>
      <c r="O68" s="28">
        <f>IF($A68="","",IF($N68="","",IF($N68&lt;=7,"0-7",IF($N68&lt;=30,"8-30",IF($N68&lt;=60,"31-60","60+")))))</f>
        <v/>
      </c>
      <c r="P68" s="28">
        <f>IF($A68="","",IF($B68="","YETİM",IF(COUNTIF(tblKartlar[KartId],$B68)=0,"YETİM","")))</f>
        <v/>
      </c>
      <c r="Q68" s="28">
        <f>IF(OR($A68="",$D68=""),"",IF(OR($D68&amp;"|"&amp;$E68="",COUNTIF(ListeIzinliGecis,$D68&amp;"|"&amp;$E68)&gt;0),"","GEÇERSİZ GEÇİŞ"))</f>
        <v/>
      </c>
      <c r="R68" s="28">
        <f>IF($A68="","",IF(OR($F68="",$H68=""),"",IF(ABS($H68-$F68)&gt;zincirTolerans,"ZİNCİR KIRIK","OK")))</f>
        <v/>
      </c>
      <c r="S68" s="28">
        <f>IF($A68="","",1)</f>
        <v/>
      </c>
    </row>
    <row r="69">
      <c r="A69" s="26" t="n"/>
      <c r="B69" s="26" t="n"/>
      <c r="C69" s="29" t="n"/>
      <c r="D69" s="26" t="n"/>
      <c r="E69" s="26" t="n"/>
      <c r="F69" s="27" t="n"/>
      <c r="G69" s="27" t="n"/>
      <c r="H69" s="27" t="n"/>
      <c r="I69" s="27" t="n"/>
      <c r="J69" s="27" t="n"/>
      <c r="K69" s="27" t="n"/>
      <c r="L69" s="26" t="n"/>
      <c r="M69" s="26" t="n"/>
      <c r="N69" s="28">
        <f>IF($A69="","",IF($C69="","",raporTarihi-$C69))</f>
        <v/>
      </c>
      <c r="O69" s="28">
        <f>IF($A69="","",IF($N69="","",IF($N69&lt;=7,"0-7",IF($N69&lt;=30,"8-30",IF($N69&lt;=60,"31-60","60+")))))</f>
        <v/>
      </c>
      <c r="P69" s="28">
        <f>IF($A69="","",IF($B69="","YETİM",IF(COUNTIF(tblKartlar[KartId],$B69)=0,"YETİM","")))</f>
        <v/>
      </c>
      <c r="Q69" s="28">
        <f>IF(OR($A69="",$D69=""),"",IF(OR($D69&amp;"|"&amp;$E69="",COUNTIF(ListeIzinliGecis,$D69&amp;"|"&amp;$E69)&gt;0),"","GEÇERSİZ GEÇİŞ"))</f>
        <v/>
      </c>
      <c r="R69" s="28">
        <f>IF($A69="","",IF(OR($F69="",$H69=""),"",IF(ABS($H69-$F69)&gt;zincirTolerans,"ZİNCİR KIRIK","OK")))</f>
        <v/>
      </c>
      <c r="S69" s="28">
        <f>IF($A69="","",1)</f>
        <v/>
      </c>
    </row>
    <row r="70">
      <c r="A70" s="26" t="n"/>
      <c r="B70" s="26" t="n"/>
      <c r="C70" s="29" t="n"/>
      <c r="D70" s="26" t="n"/>
      <c r="E70" s="26" t="n"/>
      <c r="F70" s="27" t="n"/>
      <c r="G70" s="27" t="n"/>
      <c r="H70" s="27" t="n"/>
      <c r="I70" s="27" t="n"/>
      <c r="J70" s="27" t="n"/>
      <c r="K70" s="27" t="n"/>
      <c r="L70" s="26" t="n"/>
      <c r="M70" s="26" t="n"/>
      <c r="N70" s="28">
        <f>IF($A70="","",IF($C70="","",raporTarihi-$C70))</f>
        <v/>
      </c>
      <c r="O70" s="28">
        <f>IF($A70="","",IF($N70="","",IF($N70&lt;=7,"0-7",IF($N70&lt;=30,"8-30",IF($N70&lt;=60,"31-60","60+")))))</f>
        <v/>
      </c>
      <c r="P70" s="28">
        <f>IF($A70="","",IF($B70="","YETİM",IF(COUNTIF(tblKartlar[KartId],$B70)=0,"YETİM","")))</f>
        <v/>
      </c>
      <c r="Q70" s="28">
        <f>IF(OR($A70="",$D70=""),"",IF(OR($D70&amp;"|"&amp;$E70="",COUNTIF(ListeIzinliGecis,$D70&amp;"|"&amp;$E70)&gt;0),"","GEÇERSİZ GEÇİŞ"))</f>
        <v/>
      </c>
      <c r="R70" s="28">
        <f>IF($A70="","",IF(OR($F70="",$H70=""),"",IF(ABS($H70-$F70)&gt;zincirTolerans,"ZİNCİR KIRIK","OK")))</f>
        <v/>
      </c>
      <c r="S70" s="28">
        <f>IF($A70="","",1)</f>
        <v/>
      </c>
    </row>
    <row r="71">
      <c r="A71" s="26" t="n"/>
      <c r="B71" s="26" t="n"/>
      <c r="C71" s="29" t="n"/>
      <c r="D71" s="26" t="n"/>
      <c r="E71" s="26" t="n"/>
      <c r="F71" s="27" t="n"/>
      <c r="G71" s="27" t="n"/>
      <c r="H71" s="27" t="n"/>
      <c r="I71" s="27" t="n"/>
      <c r="J71" s="27" t="n"/>
      <c r="K71" s="27" t="n"/>
      <c r="L71" s="26" t="n"/>
      <c r="M71" s="26" t="n"/>
      <c r="N71" s="28">
        <f>IF($A71="","",IF($C71="","",raporTarihi-$C71))</f>
        <v/>
      </c>
      <c r="O71" s="28">
        <f>IF($A71="","",IF($N71="","",IF($N71&lt;=7,"0-7",IF($N71&lt;=30,"8-30",IF($N71&lt;=60,"31-60","60+")))))</f>
        <v/>
      </c>
      <c r="P71" s="28">
        <f>IF($A71="","",IF($B71="","YETİM",IF(COUNTIF(tblKartlar[KartId],$B71)=0,"YETİM","")))</f>
        <v/>
      </c>
      <c r="Q71" s="28">
        <f>IF(OR($A71="",$D71=""),"",IF(OR($D71&amp;"|"&amp;$E71="",COUNTIF(ListeIzinliGecis,$D71&amp;"|"&amp;$E71)&gt;0),"","GEÇERSİZ GEÇİŞ"))</f>
        <v/>
      </c>
      <c r="R71" s="28">
        <f>IF($A71="","",IF(OR($F71="",$H71=""),"",IF(ABS($H71-$F71)&gt;zincirTolerans,"ZİNCİR KIRIK","OK")))</f>
        <v/>
      </c>
      <c r="S71" s="28">
        <f>IF($A71="","",1)</f>
        <v/>
      </c>
    </row>
    <row r="72">
      <c r="A72" s="26" t="n"/>
      <c r="B72" s="26" t="n"/>
      <c r="C72" s="29" t="n"/>
      <c r="D72" s="26" t="n"/>
      <c r="E72" s="26" t="n"/>
      <c r="F72" s="27" t="n"/>
      <c r="G72" s="27" t="n"/>
      <c r="H72" s="27" t="n"/>
      <c r="I72" s="27" t="n"/>
      <c r="J72" s="27" t="n"/>
      <c r="K72" s="27" t="n"/>
      <c r="L72" s="26" t="n"/>
      <c r="M72" s="26" t="n"/>
      <c r="N72" s="28">
        <f>IF($A72="","",IF($C72="","",raporTarihi-$C72))</f>
        <v/>
      </c>
      <c r="O72" s="28">
        <f>IF($A72="","",IF($N72="","",IF($N72&lt;=7,"0-7",IF($N72&lt;=30,"8-30",IF($N72&lt;=60,"31-60","60+")))))</f>
        <v/>
      </c>
      <c r="P72" s="28">
        <f>IF($A72="","",IF($B72="","YETİM",IF(COUNTIF(tblKartlar[KartId],$B72)=0,"YETİM","")))</f>
        <v/>
      </c>
      <c r="Q72" s="28">
        <f>IF(OR($A72="",$D72=""),"",IF(OR($D72&amp;"|"&amp;$E72="",COUNTIF(ListeIzinliGecis,$D72&amp;"|"&amp;$E72)&gt;0),"","GEÇERSİZ GEÇİŞ"))</f>
        <v/>
      </c>
      <c r="R72" s="28">
        <f>IF($A72="","",IF(OR($F72="",$H72=""),"",IF(ABS($H72-$F72)&gt;zincirTolerans,"ZİNCİR KIRIK","OK")))</f>
        <v/>
      </c>
      <c r="S72" s="28">
        <f>IF($A72="","",1)</f>
        <v/>
      </c>
    </row>
    <row r="73">
      <c r="A73" s="26" t="n"/>
      <c r="B73" s="26" t="n"/>
      <c r="C73" s="29" t="n"/>
      <c r="D73" s="26" t="n"/>
      <c r="E73" s="26" t="n"/>
      <c r="F73" s="27" t="n"/>
      <c r="G73" s="27" t="n"/>
      <c r="H73" s="27" t="n"/>
      <c r="I73" s="27" t="n"/>
      <c r="J73" s="27" t="n"/>
      <c r="K73" s="27" t="n"/>
      <c r="L73" s="26" t="n"/>
      <c r="M73" s="26" t="n"/>
      <c r="N73" s="28">
        <f>IF($A73="","",IF($C73="","",raporTarihi-$C73))</f>
        <v/>
      </c>
      <c r="O73" s="28">
        <f>IF($A73="","",IF($N73="","",IF($N73&lt;=7,"0-7",IF($N73&lt;=30,"8-30",IF($N73&lt;=60,"31-60","60+")))))</f>
        <v/>
      </c>
      <c r="P73" s="28">
        <f>IF($A73="","",IF($B73="","YETİM",IF(COUNTIF(tblKartlar[KartId],$B73)=0,"YETİM","")))</f>
        <v/>
      </c>
      <c r="Q73" s="28">
        <f>IF(OR($A73="",$D73=""),"",IF(OR($D73&amp;"|"&amp;$E73="",COUNTIF(ListeIzinliGecis,$D73&amp;"|"&amp;$E73)&gt;0),"","GEÇERSİZ GEÇİŞ"))</f>
        <v/>
      </c>
      <c r="R73" s="28">
        <f>IF($A73="","",IF(OR($F73="",$H73=""),"",IF(ABS($H73-$F73)&gt;zincirTolerans,"ZİNCİR KIRIK","OK")))</f>
        <v/>
      </c>
      <c r="S73" s="28">
        <f>IF($A73="","",1)</f>
        <v/>
      </c>
    </row>
    <row r="74">
      <c r="A74" s="26" t="n"/>
      <c r="B74" s="26" t="n"/>
      <c r="C74" s="29" t="n"/>
      <c r="D74" s="26" t="n"/>
      <c r="E74" s="26" t="n"/>
      <c r="F74" s="27" t="n"/>
      <c r="G74" s="27" t="n"/>
      <c r="H74" s="27" t="n"/>
      <c r="I74" s="27" t="n"/>
      <c r="J74" s="27" t="n"/>
      <c r="K74" s="27" t="n"/>
      <c r="L74" s="26" t="n"/>
      <c r="M74" s="26" t="n"/>
      <c r="N74" s="28">
        <f>IF($A74="","",IF($C74="","",raporTarihi-$C74))</f>
        <v/>
      </c>
      <c r="O74" s="28">
        <f>IF($A74="","",IF($N74="","",IF($N74&lt;=7,"0-7",IF($N74&lt;=30,"8-30",IF($N74&lt;=60,"31-60","60+")))))</f>
        <v/>
      </c>
      <c r="P74" s="28">
        <f>IF($A74="","",IF($B74="","YETİM",IF(COUNTIF(tblKartlar[KartId],$B74)=0,"YETİM","")))</f>
        <v/>
      </c>
      <c r="Q74" s="28">
        <f>IF(OR($A74="",$D74=""),"",IF(OR($D74&amp;"|"&amp;$E74="",COUNTIF(ListeIzinliGecis,$D74&amp;"|"&amp;$E74)&gt;0),"","GEÇERSİZ GEÇİŞ"))</f>
        <v/>
      </c>
      <c r="R74" s="28">
        <f>IF($A74="","",IF(OR($F74="",$H74=""),"",IF(ABS($H74-$F74)&gt;zincirTolerans,"ZİNCİR KIRIK","OK")))</f>
        <v/>
      </c>
      <c r="S74" s="28">
        <f>IF($A74="","",1)</f>
        <v/>
      </c>
    </row>
    <row r="75">
      <c r="A75" s="26" t="n"/>
      <c r="B75" s="26" t="n"/>
      <c r="C75" s="29" t="n"/>
      <c r="D75" s="26" t="n"/>
      <c r="E75" s="26" t="n"/>
      <c r="F75" s="27" t="n"/>
      <c r="G75" s="27" t="n"/>
      <c r="H75" s="27" t="n"/>
      <c r="I75" s="27" t="n"/>
      <c r="J75" s="27" t="n"/>
      <c r="K75" s="27" t="n"/>
      <c r="L75" s="26" t="n"/>
      <c r="M75" s="26" t="n"/>
      <c r="N75" s="28">
        <f>IF($A75="","",IF($C75="","",raporTarihi-$C75))</f>
        <v/>
      </c>
      <c r="O75" s="28">
        <f>IF($A75="","",IF($N75="","",IF($N75&lt;=7,"0-7",IF($N75&lt;=30,"8-30",IF($N75&lt;=60,"31-60","60+")))))</f>
        <v/>
      </c>
      <c r="P75" s="28">
        <f>IF($A75="","",IF($B75="","YETİM",IF(COUNTIF(tblKartlar[KartId],$B75)=0,"YETİM","")))</f>
        <v/>
      </c>
      <c r="Q75" s="28">
        <f>IF(OR($A75="",$D75=""),"",IF(OR($D75&amp;"|"&amp;$E75="",COUNTIF(ListeIzinliGecis,$D75&amp;"|"&amp;$E75)&gt;0),"","GEÇERSİZ GEÇİŞ"))</f>
        <v/>
      </c>
      <c r="R75" s="28">
        <f>IF($A75="","",IF(OR($F75="",$H75=""),"",IF(ABS($H75-$F75)&gt;zincirTolerans,"ZİNCİR KIRIK","OK")))</f>
        <v/>
      </c>
      <c r="S75" s="28">
        <f>IF($A75="","",1)</f>
        <v/>
      </c>
    </row>
    <row r="76">
      <c r="A76" s="26" t="n"/>
      <c r="B76" s="26" t="n"/>
      <c r="C76" s="29" t="n"/>
      <c r="D76" s="26" t="n"/>
      <c r="E76" s="26" t="n"/>
      <c r="F76" s="27" t="n"/>
      <c r="G76" s="27" t="n"/>
      <c r="H76" s="27" t="n"/>
      <c r="I76" s="27" t="n"/>
      <c r="J76" s="27" t="n"/>
      <c r="K76" s="27" t="n"/>
      <c r="L76" s="26" t="n"/>
      <c r="M76" s="26" t="n"/>
      <c r="N76" s="28">
        <f>IF($A76="","",IF($C76="","",raporTarihi-$C76))</f>
        <v/>
      </c>
      <c r="O76" s="28">
        <f>IF($A76="","",IF($N76="","",IF($N76&lt;=7,"0-7",IF($N76&lt;=30,"8-30",IF($N76&lt;=60,"31-60","60+")))))</f>
        <v/>
      </c>
      <c r="P76" s="28">
        <f>IF($A76="","",IF($B76="","YETİM",IF(COUNTIF(tblKartlar[KartId],$B76)=0,"YETİM","")))</f>
        <v/>
      </c>
      <c r="Q76" s="28">
        <f>IF(OR($A76="",$D76=""),"",IF(OR($D76&amp;"|"&amp;$E76="",COUNTIF(ListeIzinliGecis,$D76&amp;"|"&amp;$E76)&gt;0),"","GEÇERSİZ GEÇİŞ"))</f>
        <v/>
      </c>
      <c r="R76" s="28">
        <f>IF($A76="","",IF(OR($F76="",$H76=""),"",IF(ABS($H76-$F76)&gt;zincirTolerans,"ZİNCİR KIRIK","OK")))</f>
        <v/>
      </c>
      <c r="S76" s="28">
        <f>IF($A76="","",1)</f>
        <v/>
      </c>
    </row>
    <row r="77">
      <c r="A77" s="26" t="n"/>
      <c r="B77" s="26" t="n"/>
      <c r="C77" s="29" t="n"/>
      <c r="D77" s="26" t="n"/>
      <c r="E77" s="26" t="n"/>
      <c r="F77" s="27" t="n"/>
      <c r="G77" s="27" t="n"/>
      <c r="H77" s="27" t="n"/>
      <c r="I77" s="27" t="n"/>
      <c r="J77" s="27" t="n"/>
      <c r="K77" s="27" t="n"/>
      <c r="L77" s="26" t="n"/>
      <c r="M77" s="26" t="n"/>
      <c r="N77" s="28">
        <f>IF($A77="","",IF($C77="","",raporTarihi-$C77))</f>
        <v/>
      </c>
      <c r="O77" s="28">
        <f>IF($A77="","",IF($N77="","",IF($N77&lt;=7,"0-7",IF($N77&lt;=30,"8-30",IF($N77&lt;=60,"31-60","60+")))))</f>
        <v/>
      </c>
      <c r="P77" s="28">
        <f>IF($A77="","",IF($B77="","YETİM",IF(COUNTIF(tblKartlar[KartId],$B77)=0,"YETİM","")))</f>
        <v/>
      </c>
      <c r="Q77" s="28">
        <f>IF(OR($A77="",$D77=""),"",IF(OR($D77&amp;"|"&amp;$E77="",COUNTIF(ListeIzinliGecis,$D77&amp;"|"&amp;$E77)&gt;0),"","GEÇERSİZ GEÇİŞ"))</f>
        <v/>
      </c>
      <c r="R77" s="28">
        <f>IF($A77="","",IF(OR($F77="",$H77=""),"",IF(ABS($H77-$F77)&gt;zincirTolerans,"ZİNCİR KIRIK","OK")))</f>
        <v/>
      </c>
      <c r="S77" s="28">
        <f>IF($A77="","",1)</f>
        <v/>
      </c>
    </row>
    <row r="78">
      <c r="A78" s="26" t="n"/>
      <c r="B78" s="26" t="n"/>
      <c r="C78" s="29" t="n"/>
      <c r="D78" s="26" t="n"/>
      <c r="E78" s="26" t="n"/>
      <c r="F78" s="27" t="n"/>
      <c r="G78" s="27" t="n"/>
      <c r="H78" s="27" t="n"/>
      <c r="I78" s="27" t="n"/>
      <c r="J78" s="27" t="n"/>
      <c r="K78" s="27" t="n"/>
      <c r="L78" s="26" t="n"/>
      <c r="M78" s="26" t="n"/>
      <c r="N78" s="28">
        <f>IF($A78="","",IF($C78="","",raporTarihi-$C78))</f>
        <v/>
      </c>
      <c r="O78" s="28">
        <f>IF($A78="","",IF($N78="","",IF($N78&lt;=7,"0-7",IF($N78&lt;=30,"8-30",IF($N78&lt;=60,"31-60","60+")))))</f>
        <v/>
      </c>
      <c r="P78" s="28">
        <f>IF($A78="","",IF($B78="","YETİM",IF(COUNTIF(tblKartlar[KartId],$B78)=0,"YETİM","")))</f>
        <v/>
      </c>
      <c r="Q78" s="28">
        <f>IF(OR($A78="",$D78=""),"",IF(OR($D78&amp;"|"&amp;$E78="",COUNTIF(ListeIzinliGecis,$D78&amp;"|"&amp;$E78)&gt;0),"","GEÇERSİZ GEÇİŞ"))</f>
        <v/>
      </c>
      <c r="R78" s="28">
        <f>IF($A78="","",IF(OR($F78="",$H78=""),"",IF(ABS($H78-$F78)&gt;zincirTolerans,"ZİNCİR KIRIK","OK")))</f>
        <v/>
      </c>
      <c r="S78" s="28">
        <f>IF($A78="","",1)</f>
        <v/>
      </c>
    </row>
    <row r="79">
      <c r="A79" s="26" t="n"/>
      <c r="B79" s="26" t="n"/>
      <c r="C79" s="29" t="n"/>
      <c r="D79" s="26" t="n"/>
      <c r="E79" s="26" t="n"/>
      <c r="F79" s="27" t="n"/>
      <c r="G79" s="27" t="n"/>
      <c r="H79" s="27" t="n"/>
      <c r="I79" s="27" t="n"/>
      <c r="J79" s="27" t="n"/>
      <c r="K79" s="27" t="n"/>
      <c r="L79" s="26" t="n"/>
      <c r="M79" s="26" t="n"/>
      <c r="N79" s="28">
        <f>IF($A79="","",IF($C79="","",raporTarihi-$C79))</f>
        <v/>
      </c>
      <c r="O79" s="28">
        <f>IF($A79="","",IF($N79="","",IF($N79&lt;=7,"0-7",IF($N79&lt;=30,"8-30",IF($N79&lt;=60,"31-60","60+")))))</f>
        <v/>
      </c>
      <c r="P79" s="28">
        <f>IF($A79="","",IF($B79="","YETİM",IF(COUNTIF(tblKartlar[KartId],$B79)=0,"YETİM","")))</f>
        <v/>
      </c>
      <c r="Q79" s="28">
        <f>IF(OR($A79="",$D79=""),"",IF(OR($D79&amp;"|"&amp;$E79="",COUNTIF(ListeIzinliGecis,$D79&amp;"|"&amp;$E79)&gt;0),"","GEÇERSİZ GEÇİŞ"))</f>
        <v/>
      </c>
      <c r="R79" s="28">
        <f>IF($A79="","",IF(OR($F79="",$H79=""),"",IF(ABS($H79-$F79)&gt;zincirTolerans,"ZİNCİR KIRIK","OK")))</f>
        <v/>
      </c>
      <c r="S79" s="28">
        <f>IF($A79="","",1)</f>
        <v/>
      </c>
    </row>
    <row r="80">
      <c r="A80" s="26" t="n"/>
      <c r="B80" s="26" t="n"/>
      <c r="C80" s="29" t="n"/>
      <c r="D80" s="26" t="n"/>
      <c r="E80" s="26" t="n"/>
      <c r="F80" s="27" t="n"/>
      <c r="G80" s="27" t="n"/>
      <c r="H80" s="27" t="n"/>
      <c r="I80" s="27" t="n"/>
      <c r="J80" s="27" t="n"/>
      <c r="K80" s="27" t="n"/>
      <c r="L80" s="26" t="n"/>
      <c r="M80" s="26" t="n"/>
      <c r="N80" s="28">
        <f>IF($A80="","",IF($C80="","",raporTarihi-$C80))</f>
        <v/>
      </c>
      <c r="O80" s="28">
        <f>IF($A80="","",IF($N80="","",IF($N80&lt;=7,"0-7",IF($N80&lt;=30,"8-30",IF($N80&lt;=60,"31-60","60+")))))</f>
        <v/>
      </c>
      <c r="P80" s="28">
        <f>IF($A80="","",IF($B80="","YETİM",IF(COUNTIF(tblKartlar[KartId],$B80)=0,"YETİM","")))</f>
        <v/>
      </c>
      <c r="Q80" s="28">
        <f>IF(OR($A80="",$D80=""),"",IF(OR($D80&amp;"|"&amp;$E80="",COUNTIF(ListeIzinliGecis,$D80&amp;"|"&amp;$E80)&gt;0),"","GEÇERSİZ GEÇİŞ"))</f>
        <v/>
      </c>
      <c r="R80" s="28">
        <f>IF($A80="","",IF(OR($F80="",$H80=""),"",IF(ABS($H80-$F80)&gt;zincirTolerans,"ZİNCİR KIRIK","OK")))</f>
        <v/>
      </c>
      <c r="S80" s="28">
        <f>IF($A80="","",1)</f>
        <v/>
      </c>
    </row>
    <row r="81">
      <c r="A81" s="26" t="n"/>
      <c r="B81" s="26" t="n"/>
      <c r="C81" s="29" t="n"/>
      <c r="D81" s="26" t="n"/>
      <c r="E81" s="26" t="n"/>
      <c r="F81" s="27" t="n"/>
      <c r="G81" s="27" t="n"/>
      <c r="H81" s="27" t="n"/>
      <c r="I81" s="27" t="n"/>
      <c r="J81" s="27" t="n"/>
      <c r="K81" s="27" t="n"/>
      <c r="L81" s="26" t="n"/>
      <c r="M81" s="26" t="n"/>
      <c r="N81" s="28">
        <f>IF($A81="","",IF($C81="","",raporTarihi-$C81))</f>
        <v/>
      </c>
      <c r="O81" s="28">
        <f>IF($A81="","",IF($N81="","",IF($N81&lt;=7,"0-7",IF($N81&lt;=30,"8-30",IF($N81&lt;=60,"31-60","60+")))))</f>
        <v/>
      </c>
      <c r="P81" s="28">
        <f>IF($A81="","",IF($B81="","YETİM",IF(COUNTIF(tblKartlar[KartId],$B81)=0,"YETİM","")))</f>
        <v/>
      </c>
      <c r="Q81" s="28">
        <f>IF(OR($A81="",$D81=""),"",IF(OR($D81&amp;"|"&amp;$E81="",COUNTIF(ListeIzinliGecis,$D81&amp;"|"&amp;$E81)&gt;0),"","GEÇERSİZ GEÇİŞ"))</f>
        <v/>
      </c>
      <c r="R81" s="28">
        <f>IF($A81="","",IF(OR($F81="",$H81=""),"",IF(ABS($H81-$F81)&gt;zincirTolerans,"ZİNCİR KIRIK","OK")))</f>
        <v/>
      </c>
      <c r="S81" s="28">
        <f>IF($A81="","",1)</f>
        <v/>
      </c>
    </row>
    <row r="82">
      <c r="A82" s="26" t="n"/>
      <c r="B82" s="26" t="n"/>
      <c r="C82" s="29" t="n"/>
      <c r="D82" s="26" t="n"/>
      <c r="E82" s="26" t="n"/>
      <c r="F82" s="27" t="n"/>
      <c r="G82" s="27" t="n"/>
      <c r="H82" s="27" t="n"/>
      <c r="I82" s="27" t="n"/>
      <c r="J82" s="27" t="n"/>
      <c r="K82" s="27" t="n"/>
      <c r="L82" s="26" t="n"/>
      <c r="M82" s="26" t="n"/>
      <c r="N82" s="28">
        <f>IF($A82="","",IF($C82="","",raporTarihi-$C82))</f>
        <v/>
      </c>
      <c r="O82" s="28">
        <f>IF($A82="","",IF($N82="","",IF($N82&lt;=7,"0-7",IF($N82&lt;=30,"8-30",IF($N82&lt;=60,"31-60","60+")))))</f>
        <v/>
      </c>
      <c r="P82" s="28">
        <f>IF($A82="","",IF($B82="","YETİM",IF(COUNTIF(tblKartlar[KartId],$B82)=0,"YETİM","")))</f>
        <v/>
      </c>
      <c r="Q82" s="28">
        <f>IF(OR($A82="",$D82=""),"",IF(OR($D82&amp;"|"&amp;$E82="",COUNTIF(ListeIzinliGecis,$D82&amp;"|"&amp;$E82)&gt;0),"","GEÇERSİZ GEÇİŞ"))</f>
        <v/>
      </c>
      <c r="R82" s="28">
        <f>IF($A82="","",IF(OR($F82="",$H82=""),"",IF(ABS($H82-$F82)&gt;zincirTolerans,"ZİNCİR KIRIK","OK")))</f>
        <v/>
      </c>
      <c r="S82" s="28">
        <f>IF($A82="","",1)</f>
        <v/>
      </c>
    </row>
    <row r="83">
      <c r="A83" s="26" t="n"/>
      <c r="B83" s="26" t="n"/>
      <c r="C83" s="29" t="n"/>
      <c r="D83" s="26" t="n"/>
      <c r="E83" s="26" t="n"/>
      <c r="F83" s="27" t="n"/>
      <c r="G83" s="27" t="n"/>
      <c r="H83" s="27" t="n"/>
      <c r="I83" s="27" t="n"/>
      <c r="J83" s="27" t="n"/>
      <c r="K83" s="27" t="n"/>
      <c r="L83" s="26" t="n"/>
      <c r="M83" s="26" t="n"/>
      <c r="N83" s="28">
        <f>IF($A83="","",IF($C83="","",raporTarihi-$C83))</f>
        <v/>
      </c>
      <c r="O83" s="28">
        <f>IF($A83="","",IF($N83="","",IF($N83&lt;=7,"0-7",IF($N83&lt;=30,"8-30",IF($N83&lt;=60,"31-60","60+")))))</f>
        <v/>
      </c>
      <c r="P83" s="28">
        <f>IF($A83="","",IF($B83="","YETİM",IF(COUNTIF(tblKartlar[KartId],$B83)=0,"YETİM","")))</f>
        <v/>
      </c>
      <c r="Q83" s="28">
        <f>IF(OR($A83="",$D83=""),"",IF(OR($D83&amp;"|"&amp;$E83="",COUNTIF(ListeIzinliGecis,$D83&amp;"|"&amp;$E83)&gt;0),"","GEÇERSİZ GEÇİŞ"))</f>
        <v/>
      </c>
      <c r="R83" s="28">
        <f>IF($A83="","",IF(OR($F83="",$H83=""),"",IF(ABS($H83-$F83)&gt;zincirTolerans,"ZİNCİR KIRIK","OK")))</f>
        <v/>
      </c>
      <c r="S83" s="28">
        <f>IF($A83="","",1)</f>
        <v/>
      </c>
    </row>
    <row r="84">
      <c r="A84" s="26" t="n"/>
      <c r="B84" s="26" t="n"/>
      <c r="C84" s="29" t="n"/>
      <c r="D84" s="26" t="n"/>
      <c r="E84" s="26" t="n"/>
      <c r="F84" s="27" t="n"/>
      <c r="G84" s="27" t="n"/>
      <c r="H84" s="27" t="n"/>
      <c r="I84" s="27" t="n"/>
      <c r="J84" s="27" t="n"/>
      <c r="K84" s="27" t="n"/>
      <c r="L84" s="26" t="n"/>
      <c r="M84" s="26" t="n"/>
      <c r="N84" s="28">
        <f>IF($A84="","",IF($C84="","",raporTarihi-$C84))</f>
        <v/>
      </c>
      <c r="O84" s="28">
        <f>IF($A84="","",IF($N84="","",IF($N84&lt;=7,"0-7",IF($N84&lt;=30,"8-30",IF($N84&lt;=60,"31-60","60+")))))</f>
        <v/>
      </c>
      <c r="P84" s="28">
        <f>IF($A84="","",IF($B84="","YETİM",IF(COUNTIF(tblKartlar[KartId],$B84)=0,"YETİM","")))</f>
        <v/>
      </c>
      <c r="Q84" s="28">
        <f>IF(OR($A84="",$D84=""),"",IF(OR($D84&amp;"|"&amp;$E84="",COUNTIF(ListeIzinliGecis,$D84&amp;"|"&amp;$E84)&gt;0),"","GEÇERSİZ GEÇİŞ"))</f>
        <v/>
      </c>
      <c r="R84" s="28">
        <f>IF($A84="","",IF(OR($F84="",$H84=""),"",IF(ABS($H84-$F84)&gt;zincirTolerans,"ZİNCİR KIRIK","OK")))</f>
        <v/>
      </c>
      <c r="S84" s="28">
        <f>IF($A84="","",1)</f>
        <v/>
      </c>
    </row>
    <row r="85">
      <c r="A85" s="26" t="n"/>
      <c r="B85" s="26" t="n"/>
      <c r="C85" s="29" t="n"/>
      <c r="D85" s="26" t="n"/>
      <c r="E85" s="26" t="n"/>
      <c r="F85" s="27" t="n"/>
      <c r="G85" s="27" t="n"/>
      <c r="H85" s="27" t="n"/>
      <c r="I85" s="27" t="n"/>
      <c r="J85" s="27" t="n"/>
      <c r="K85" s="27" t="n"/>
      <c r="L85" s="26" t="n"/>
      <c r="M85" s="26" t="n"/>
      <c r="N85" s="28">
        <f>IF($A85="","",IF($C85="","",raporTarihi-$C85))</f>
        <v/>
      </c>
      <c r="O85" s="28">
        <f>IF($A85="","",IF($N85="","",IF($N85&lt;=7,"0-7",IF($N85&lt;=30,"8-30",IF($N85&lt;=60,"31-60","60+")))))</f>
        <v/>
      </c>
      <c r="P85" s="28">
        <f>IF($A85="","",IF($B85="","YETİM",IF(COUNTIF(tblKartlar[KartId],$B85)=0,"YETİM","")))</f>
        <v/>
      </c>
      <c r="Q85" s="28">
        <f>IF(OR($A85="",$D85=""),"",IF(OR($D85&amp;"|"&amp;$E85="",COUNTIF(ListeIzinliGecis,$D85&amp;"|"&amp;$E85)&gt;0),"","GEÇERSİZ GEÇİŞ"))</f>
        <v/>
      </c>
      <c r="R85" s="28">
        <f>IF($A85="","",IF(OR($F85="",$H85=""),"",IF(ABS($H85-$F85)&gt;zincirTolerans,"ZİNCİR KIRIK","OK")))</f>
        <v/>
      </c>
      <c r="S85" s="28">
        <f>IF($A85="","",1)</f>
        <v/>
      </c>
    </row>
    <row r="86">
      <c r="A86" s="26" t="n"/>
      <c r="B86" s="26" t="n"/>
      <c r="C86" s="29" t="n"/>
      <c r="D86" s="26" t="n"/>
      <c r="E86" s="26" t="n"/>
      <c r="F86" s="27" t="n"/>
      <c r="G86" s="27" t="n"/>
      <c r="H86" s="27" t="n"/>
      <c r="I86" s="27" t="n"/>
      <c r="J86" s="27" t="n"/>
      <c r="K86" s="27" t="n"/>
      <c r="L86" s="26" t="n"/>
      <c r="M86" s="26" t="n"/>
      <c r="N86" s="28">
        <f>IF($A86="","",IF($C86="","",raporTarihi-$C86))</f>
        <v/>
      </c>
      <c r="O86" s="28">
        <f>IF($A86="","",IF($N86="","",IF($N86&lt;=7,"0-7",IF($N86&lt;=30,"8-30",IF($N86&lt;=60,"31-60","60+")))))</f>
        <v/>
      </c>
      <c r="P86" s="28">
        <f>IF($A86="","",IF($B86="","YETİM",IF(COUNTIF(tblKartlar[KartId],$B86)=0,"YETİM","")))</f>
        <v/>
      </c>
      <c r="Q86" s="28">
        <f>IF(OR($A86="",$D86=""),"",IF(OR($D86&amp;"|"&amp;$E86="",COUNTIF(ListeIzinliGecis,$D86&amp;"|"&amp;$E86)&gt;0),"","GEÇERSİZ GEÇİŞ"))</f>
        <v/>
      </c>
      <c r="R86" s="28">
        <f>IF($A86="","",IF(OR($F86="",$H86=""),"",IF(ABS($H86-$F86)&gt;zincirTolerans,"ZİNCİR KIRIK","OK")))</f>
        <v/>
      </c>
      <c r="S86" s="28">
        <f>IF($A86="","",1)</f>
        <v/>
      </c>
    </row>
    <row r="87">
      <c r="A87" s="26" t="n"/>
      <c r="B87" s="26" t="n"/>
      <c r="C87" s="29" t="n"/>
      <c r="D87" s="26" t="n"/>
      <c r="E87" s="26" t="n"/>
      <c r="F87" s="27" t="n"/>
      <c r="G87" s="27" t="n"/>
      <c r="H87" s="27" t="n"/>
      <c r="I87" s="27" t="n"/>
      <c r="J87" s="27" t="n"/>
      <c r="K87" s="27" t="n"/>
      <c r="L87" s="26" t="n"/>
      <c r="M87" s="26" t="n"/>
      <c r="N87" s="28">
        <f>IF($A87="","",IF($C87="","",raporTarihi-$C87))</f>
        <v/>
      </c>
      <c r="O87" s="28">
        <f>IF($A87="","",IF($N87="","",IF($N87&lt;=7,"0-7",IF($N87&lt;=30,"8-30",IF($N87&lt;=60,"31-60","60+")))))</f>
        <v/>
      </c>
      <c r="P87" s="28">
        <f>IF($A87="","",IF($B87="","YETİM",IF(COUNTIF(tblKartlar[KartId],$B87)=0,"YETİM","")))</f>
        <v/>
      </c>
      <c r="Q87" s="28">
        <f>IF(OR($A87="",$D87=""),"",IF(OR($D87&amp;"|"&amp;$E87="",COUNTIF(ListeIzinliGecis,$D87&amp;"|"&amp;$E87)&gt;0),"","GEÇERSİZ GEÇİŞ"))</f>
        <v/>
      </c>
      <c r="R87" s="28">
        <f>IF($A87="","",IF(OR($F87="",$H87=""),"",IF(ABS($H87-$F87)&gt;zincirTolerans,"ZİNCİR KIRIK","OK")))</f>
        <v/>
      </c>
      <c r="S87" s="28">
        <f>IF($A87="","",1)</f>
        <v/>
      </c>
    </row>
    <row r="88">
      <c r="A88" s="26" t="n"/>
      <c r="B88" s="26" t="n"/>
      <c r="C88" s="29" t="n"/>
      <c r="D88" s="26" t="n"/>
      <c r="E88" s="26" t="n"/>
      <c r="F88" s="27" t="n"/>
      <c r="G88" s="27" t="n"/>
      <c r="H88" s="27" t="n"/>
      <c r="I88" s="27" t="n"/>
      <c r="J88" s="27" t="n"/>
      <c r="K88" s="27" t="n"/>
      <c r="L88" s="26" t="n"/>
      <c r="M88" s="26" t="n"/>
      <c r="N88" s="28">
        <f>IF($A88="","",IF($C88="","",raporTarihi-$C88))</f>
        <v/>
      </c>
      <c r="O88" s="28">
        <f>IF($A88="","",IF($N88="","",IF($N88&lt;=7,"0-7",IF($N88&lt;=30,"8-30",IF($N88&lt;=60,"31-60","60+")))))</f>
        <v/>
      </c>
      <c r="P88" s="28">
        <f>IF($A88="","",IF($B88="","YETİM",IF(COUNTIF(tblKartlar[KartId],$B88)=0,"YETİM","")))</f>
        <v/>
      </c>
      <c r="Q88" s="28">
        <f>IF(OR($A88="",$D88=""),"",IF(OR($D88&amp;"|"&amp;$E88="",COUNTIF(ListeIzinliGecis,$D88&amp;"|"&amp;$E88)&gt;0),"","GEÇERSİZ GEÇİŞ"))</f>
        <v/>
      </c>
      <c r="R88" s="28">
        <f>IF($A88="","",IF(OR($F88="",$H88=""),"",IF(ABS($H88-$F88)&gt;zincirTolerans,"ZİNCİR KIRIK","OK")))</f>
        <v/>
      </c>
      <c r="S88" s="28">
        <f>IF($A88="","",1)</f>
        <v/>
      </c>
    </row>
    <row r="89">
      <c r="A89" s="26" t="n"/>
      <c r="B89" s="26" t="n"/>
      <c r="C89" s="29" t="n"/>
      <c r="D89" s="26" t="n"/>
      <c r="E89" s="26" t="n"/>
      <c r="F89" s="27" t="n"/>
      <c r="G89" s="27" t="n"/>
      <c r="H89" s="27" t="n"/>
      <c r="I89" s="27" t="n"/>
      <c r="J89" s="27" t="n"/>
      <c r="K89" s="27" t="n"/>
      <c r="L89" s="26" t="n"/>
      <c r="M89" s="26" t="n"/>
      <c r="N89" s="28">
        <f>IF($A89="","",IF($C89="","",raporTarihi-$C89))</f>
        <v/>
      </c>
      <c r="O89" s="28">
        <f>IF($A89="","",IF($N89="","",IF($N89&lt;=7,"0-7",IF($N89&lt;=30,"8-30",IF($N89&lt;=60,"31-60","60+")))))</f>
        <v/>
      </c>
      <c r="P89" s="28">
        <f>IF($A89="","",IF($B89="","YETİM",IF(COUNTIF(tblKartlar[KartId],$B89)=0,"YETİM","")))</f>
        <v/>
      </c>
      <c r="Q89" s="28">
        <f>IF(OR($A89="",$D89=""),"",IF(OR($D89&amp;"|"&amp;$E89="",COUNTIF(ListeIzinliGecis,$D89&amp;"|"&amp;$E89)&gt;0),"","GEÇERSİZ GEÇİŞ"))</f>
        <v/>
      </c>
      <c r="R89" s="28">
        <f>IF($A89="","",IF(OR($F89="",$H89=""),"",IF(ABS($H89-$F89)&gt;zincirTolerans,"ZİNCİR KIRIK","OK")))</f>
        <v/>
      </c>
      <c r="S89" s="28">
        <f>IF($A89="","",1)</f>
        <v/>
      </c>
    </row>
    <row r="90">
      <c r="A90" s="26" t="n"/>
      <c r="B90" s="26" t="n"/>
      <c r="C90" s="29" t="n"/>
      <c r="D90" s="26" t="n"/>
      <c r="E90" s="26" t="n"/>
      <c r="F90" s="27" t="n"/>
      <c r="G90" s="27" t="n"/>
      <c r="H90" s="27" t="n"/>
      <c r="I90" s="27" t="n"/>
      <c r="J90" s="27" t="n"/>
      <c r="K90" s="27" t="n"/>
      <c r="L90" s="26" t="n"/>
      <c r="M90" s="26" t="n"/>
      <c r="N90" s="28">
        <f>IF($A90="","",IF($C90="","",raporTarihi-$C90))</f>
        <v/>
      </c>
      <c r="O90" s="28">
        <f>IF($A90="","",IF($N90="","",IF($N90&lt;=7,"0-7",IF($N90&lt;=30,"8-30",IF($N90&lt;=60,"31-60","60+")))))</f>
        <v/>
      </c>
      <c r="P90" s="28">
        <f>IF($A90="","",IF($B90="","YETİM",IF(COUNTIF(tblKartlar[KartId],$B90)=0,"YETİM","")))</f>
        <v/>
      </c>
      <c r="Q90" s="28">
        <f>IF(OR($A90="",$D90=""),"",IF(OR($D90&amp;"|"&amp;$E90="",COUNTIF(ListeIzinliGecis,$D90&amp;"|"&amp;$E90)&gt;0),"","GEÇERSİZ GEÇİŞ"))</f>
        <v/>
      </c>
      <c r="R90" s="28">
        <f>IF($A90="","",IF(OR($F90="",$H90=""),"",IF(ABS($H90-$F90)&gt;zincirTolerans,"ZİNCİR KIRIK","OK")))</f>
        <v/>
      </c>
      <c r="S90" s="28">
        <f>IF($A90="","",1)</f>
        <v/>
      </c>
    </row>
    <row r="91">
      <c r="A91" s="26" t="n"/>
      <c r="B91" s="26" t="n"/>
      <c r="C91" s="29" t="n"/>
      <c r="D91" s="26" t="n"/>
      <c r="E91" s="26" t="n"/>
      <c r="F91" s="27" t="n"/>
      <c r="G91" s="27" t="n"/>
      <c r="H91" s="27" t="n"/>
      <c r="I91" s="27" t="n"/>
      <c r="J91" s="27" t="n"/>
      <c r="K91" s="27" t="n"/>
      <c r="L91" s="26" t="n"/>
      <c r="M91" s="26" t="n"/>
      <c r="N91" s="28">
        <f>IF($A91="","",IF($C91="","",raporTarihi-$C91))</f>
        <v/>
      </c>
      <c r="O91" s="28">
        <f>IF($A91="","",IF($N91="","",IF($N91&lt;=7,"0-7",IF($N91&lt;=30,"8-30",IF($N91&lt;=60,"31-60","60+")))))</f>
        <v/>
      </c>
      <c r="P91" s="28">
        <f>IF($A91="","",IF($B91="","YETİM",IF(COUNTIF(tblKartlar[KartId],$B91)=0,"YETİM","")))</f>
        <v/>
      </c>
      <c r="Q91" s="28">
        <f>IF(OR($A91="",$D91=""),"",IF(OR($D91&amp;"|"&amp;$E91="",COUNTIF(ListeIzinliGecis,$D91&amp;"|"&amp;$E91)&gt;0),"","GEÇERSİZ GEÇİŞ"))</f>
        <v/>
      </c>
      <c r="R91" s="28">
        <f>IF($A91="","",IF(OR($F91="",$H91=""),"",IF(ABS($H91-$F91)&gt;zincirTolerans,"ZİNCİR KIRIK","OK")))</f>
        <v/>
      </c>
      <c r="S91" s="28">
        <f>IF($A91="","",1)</f>
        <v/>
      </c>
    </row>
    <row r="92">
      <c r="A92" s="26" t="n"/>
      <c r="B92" s="26" t="n"/>
      <c r="C92" s="29" t="n"/>
      <c r="D92" s="26" t="n"/>
      <c r="E92" s="26" t="n"/>
      <c r="F92" s="27" t="n"/>
      <c r="G92" s="27" t="n"/>
      <c r="H92" s="27" t="n"/>
      <c r="I92" s="27" t="n"/>
      <c r="J92" s="27" t="n"/>
      <c r="K92" s="27" t="n"/>
      <c r="L92" s="26" t="n"/>
      <c r="M92" s="26" t="n"/>
      <c r="N92" s="28">
        <f>IF($A92="","",IF($C92="","",raporTarihi-$C92))</f>
        <v/>
      </c>
      <c r="O92" s="28">
        <f>IF($A92="","",IF($N92="","",IF($N92&lt;=7,"0-7",IF($N92&lt;=30,"8-30",IF($N92&lt;=60,"31-60","60+")))))</f>
        <v/>
      </c>
      <c r="P92" s="28">
        <f>IF($A92="","",IF($B92="","YETİM",IF(COUNTIF(tblKartlar[KartId],$B92)=0,"YETİM","")))</f>
        <v/>
      </c>
      <c r="Q92" s="28">
        <f>IF(OR($A92="",$D92=""),"",IF(OR($D92&amp;"|"&amp;$E92="",COUNTIF(ListeIzinliGecis,$D92&amp;"|"&amp;$E92)&gt;0),"","GEÇERSİZ GEÇİŞ"))</f>
        <v/>
      </c>
      <c r="R92" s="28">
        <f>IF($A92="","",IF(OR($F92="",$H92=""),"",IF(ABS($H92-$F92)&gt;zincirTolerans,"ZİNCİR KIRIK","OK")))</f>
        <v/>
      </c>
      <c r="S92" s="28">
        <f>IF($A92="","",1)</f>
        <v/>
      </c>
    </row>
    <row r="93">
      <c r="A93" s="26" t="n"/>
      <c r="B93" s="26" t="n"/>
      <c r="C93" s="29" t="n"/>
      <c r="D93" s="26" t="n"/>
      <c r="E93" s="26" t="n"/>
      <c r="F93" s="27" t="n"/>
      <c r="G93" s="27" t="n"/>
      <c r="H93" s="27" t="n"/>
      <c r="I93" s="27" t="n"/>
      <c r="J93" s="27" t="n"/>
      <c r="K93" s="27" t="n"/>
      <c r="L93" s="26" t="n"/>
      <c r="M93" s="26" t="n"/>
      <c r="N93" s="28">
        <f>IF($A93="","",IF($C93="","",raporTarihi-$C93))</f>
        <v/>
      </c>
      <c r="O93" s="28">
        <f>IF($A93="","",IF($N93="","",IF($N93&lt;=7,"0-7",IF($N93&lt;=30,"8-30",IF($N93&lt;=60,"31-60","60+")))))</f>
        <v/>
      </c>
      <c r="P93" s="28">
        <f>IF($A93="","",IF($B93="","YETİM",IF(COUNTIF(tblKartlar[KartId],$B93)=0,"YETİM","")))</f>
        <v/>
      </c>
      <c r="Q93" s="28">
        <f>IF(OR($A93="",$D93=""),"",IF(OR($D93&amp;"|"&amp;$E93="",COUNTIF(ListeIzinliGecis,$D93&amp;"|"&amp;$E93)&gt;0),"","GEÇERSİZ GEÇİŞ"))</f>
        <v/>
      </c>
      <c r="R93" s="28">
        <f>IF($A93="","",IF(OR($F93="",$H93=""),"",IF(ABS($H93-$F93)&gt;zincirTolerans,"ZİNCİR KIRIK","OK")))</f>
        <v/>
      </c>
      <c r="S93" s="28">
        <f>IF($A93="","",1)</f>
        <v/>
      </c>
    </row>
    <row r="94">
      <c r="A94" s="26" t="n"/>
      <c r="B94" s="26" t="n"/>
      <c r="C94" s="29" t="n"/>
      <c r="D94" s="26" t="n"/>
      <c r="E94" s="26" t="n"/>
      <c r="F94" s="27" t="n"/>
      <c r="G94" s="27" t="n"/>
      <c r="H94" s="27" t="n"/>
      <c r="I94" s="27" t="n"/>
      <c r="J94" s="27" t="n"/>
      <c r="K94" s="27" t="n"/>
      <c r="L94" s="26" t="n"/>
      <c r="M94" s="26" t="n"/>
      <c r="N94" s="28">
        <f>IF($A94="","",IF($C94="","",raporTarihi-$C94))</f>
        <v/>
      </c>
      <c r="O94" s="28">
        <f>IF($A94="","",IF($N94="","",IF($N94&lt;=7,"0-7",IF($N94&lt;=30,"8-30",IF($N94&lt;=60,"31-60","60+")))))</f>
        <v/>
      </c>
      <c r="P94" s="28">
        <f>IF($A94="","",IF($B94="","YETİM",IF(COUNTIF(tblKartlar[KartId],$B94)=0,"YETİM","")))</f>
        <v/>
      </c>
      <c r="Q94" s="28">
        <f>IF(OR($A94="",$D94=""),"",IF(OR($D94&amp;"|"&amp;$E94="",COUNTIF(ListeIzinliGecis,$D94&amp;"|"&amp;$E94)&gt;0),"","GEÇERSİZ GEÇİŞ"))</f>
        <v/>
      </c>
      <c r="R94" s="28">
        <f>IF($A94="","",IF(OR($F94="",$H94=""),"",IF(ABS($H94-$F94)&gt;zincirTolerans,"ZİNCİR KIRIK","OK")))</f>
        <v/>
      </c>
      <c r="S94" s="28">
        <f>IF($A94="","",1)</f>
        <v/>
      </c>
    </row>
    <row r="95">
      <c r="A95" s="26" t="n"/>
      <c r="B95" s="26" t="n"/>
      <c r="C95" s="29" t="n"/>
      <c r="D95" s="26" t="n"/>
      <c r="E95" s="26" t="n"/>
      <c r="F95" s="27" t="n"/>
      <c r="G95" s="27" t="n"/>
      <c r="H95" s="27" t="n"/>
      <c r="I95" s="27" t="n"/>
      <c r="J95" s="27" t="n"/>
      <c r="K95" s="27" t="n"/>
      <c r="L95" s="26" t="n"/>
      <c r="M95" s="26" t="n"/>
      <c r="N95" s="28">
        <f>IF($A95="","",IF($C95="","",raporTarihi-$C95))</f>
        <v/>
      </c>
      <c r="O95" s="28">
        <f>IF($A95="","",IF($N95="","",IF($N95&lt;=7,"0-7",IF($N95&lt;=30,"8-30",IF($N95&lt;=60,"31-60","60+")))))</f>
        <v/>
      </c>
      <c r="P95" s="28">
        <f>IF($A95="","",IF($B95="","YETİM",IF(COUNTIF(tblKartlar[KartId],$B95)=0,"YETİM","")))</f>
        <v/>
      </c>
      <c r="Q95" s="28">
        <f>IF(OR($A95="",$D95=""),"",IF(OR($D95&amp;"|"&amp;$E95="",COUNTIF(ListeIzinliGecis,$D95&amp;"|"&amp;$E95)&gt;0),"","GEÇERSİZ GEÇİŞ"))</f>
        <v/>
      </c>
      <c r="R95" s="28">
        <f>IF($A95="","",IF(OR($F95="",$H95=""),"",IF(ABS($H95-$F95)&gt;zincirTolerans,"ZİNCİR KIRIK","OK")))</f>
        <v/>
      </c>
      <c r="S95" s="28">
        <f>IF($A95="","",1)</f>
        <v/>
      </c>
    </row>
    <row r="96">
      <c r="A96" s="26" t="n"/>
      <c r="B96" s="26" t="n"/>
      <c r="C96" s="29" t="n"/>
      <c r="D96" s="26" t="n"/>
      <c r="E96" s="26" t="n"/>
      <c r="F96" s="27" t="n"/>
      <c r="G96" s="27" t="n"/>
      <c r="H96" s="27" t="n"/>
      <c r="I96" s="27" t="n"/>
      <c r="J96" s="27" t="n"/>
      <c r="K96" s="27" t="n"/>
      <c r="L96" s="26" t="n"/>
      <c r="M96" s="26" t="n"/>
      <c r="N96" s="28">
        <f>IF($A96="","",IF($C96="","",raporTarihi-$C96))</f>
        <v/>
      </c>
      <c r="O96" s="28">
        <f>IF($A96="","",IF($N96="","",IF($N96&lt;=7,"0-7",IF($N96&lt;=30,"8-30",IF($N96&lt;=60,"31-60","60+")))))</f>
        <v/>
      </c>
      <c r="P96" s="28">
        <f>IF($A96="","",IF($B96="","YETİM",IF(COUNTIF(tblKartlar[KartId],$B96)=0,"YETİM","")))</f>
        <v/>
      </c>
      <c r="Q96" s="28">
        <f>IF(OR($A96="",$D96=""),"",IF(OR($D96&amp;"|"&amp;$E96="",COUNTIF(ListeIzinliGecis,$D96&amp;"|"&amp;$E96)&gt;0),"","GEÇERSİZ GEÇİŞ"))</f>
        <v/>
      </c>
      <c r="R96" s="28">
        <f>IF($A96="","",IF(OR($F96="",$H96=""),"",IF(ABS($H96-$F96)&gt;zincirTolerans,"ZİNCİR KIRIK","OK")))</f>
        <v/>
      </c>
      <c r="S96" s="28">
        <f>IF($A96="","",1)</f>
        <v/>
      </c>
    </row>
    <row r="97">
      <c r="A97" s="26" t="n"/>
      <c r="B97" s="26" t="n"/>
      <c r="C97" s="29" t="n"/>
      <c r="D97" s="26" t="n"/>
      <c r="E97" s="26" t="n"/>
      <c r="F97" s="27" t="n"/>
      <c r="G97" s="27" t="n"/>
      <c r="H97" s="27" t="n"/>
      <c r="I97" s="27" t="n"/>
      <c r="J97" s="27" t="n"/>
      <c r="K97" s="27" t="n"/>
      <c r="L97" s="26" t="n"/>
      <c r="M97" s="26" t="n"/>
      <c r="N97" s="28">
        <f>IF($A97="","",IF($C97="","",raporTarihi-$C97))</f>
        <v/>
      </c>
      <c r="O97" s="28">
        <f>IF($A97="","",IF($N97="","",IF($N97&lt;=7,"0-7",IF($N97&lt;=30,"8-30",IF($N97&lt;=60,"31-60","60+")))))</f>
        <v/>
      </c>
      <c r="P97" s="28">
        <f>IF($A97="","",IF($B97="","YETİM",IF(COUNTIF(tblKartlar[KartId],$B97)=0,"YETİM","")))</f>
        <v/>
      </c>
      <c r="Q97" s="28">
        <f>IF(OR($A97="",$D97=""),"",IF(OR($D97&amp;"|"&amp;$E97="",COUNTIF(ListeIzinliGecis,$D97&amp;"|"&amp;$E97)&gt;0),"","GEÇERSİZ GEÇİŞ"))</f>
        <v/>
      </c>
      <c r="R97" s="28">
        <f>IF($A97="","",IF(OR($F97="",$H97=""),"",IF(ABS($H97-$F97)&gt;zincirTolerans,"ZİNCİR KIRIK","OK")))</f>
        <v/>
      </c>
      <c r="S97" s="28">
        <f>IF($A97="","",1)</f>
        <v/>
      </c>
    </row>
    <row r="98">
      <c r="A98" s="26" t="n"/>
      <c r="B98" s="26" t="n"/>
      <c r="C98" s="29" t="n"/>
      <c r="D98" s="26" t="n"/>
      <c r="E98" s="26" t="n"/>
      <c r="F98" s="27" t="n"/>
      <c r="G98" s="27" t="n"/>
      <c r="H98" s="27" t="n"/>
      <c r="I98" s="27" t="n"/>
      <c r="J98" s="27" t="n"/>
      <c r="K98" s="27" t="n"/>
      <c r="L98" s="26" t="n"/>
      <c r="M98" s="26" t="n"/>
      <c r="N98" s="28">
        <f>IF($A98="","",IF($C98="","",raporTarihi-$C98))</f>
        <v/>
      </c>
      <c r="O98" s="28">
        <f>IF($A98="","",IF($N98="","",IF($N98&lt;=7,"0-7",IF($N98&lt;=30,"8-30",IF($N98&lt;=60,"31-60","60+")))))</f>
        <v/>
      </c>
      <c r="P98" s="28">
        <f>IF($A98="","",IF($B98="","YETİM",IF(COUNTIF(tblKartlar[KartId],$B98)=0,"YETİM","")))</f>
        <v/>
      </c>
      <c r="Q98" s="28">
        <f>IF(OR($A98="",$D98=""),"",IF(OR($D98&amp;"|"&amp;$E98="",COUNTIF(ListeIzinliGecis,$D98&amp;"|"&amp;$E98)&gt;0),"","GEÇERSİZ GEÇİŞ"))</f>
        <v/>
      </c>
      <c r="R98" s="28">
        <f>IF($A98="","",IF(OR($F98="",$H98=""),"",IF(ABS($H98-$F98)&gt;zincirTolerans,"ZİNCİR KIRIK","OK")))</f>
        <v/>
      </c>
      <c r="S98" s="28">
        <f>IF($A98="","",1)</f>
        <v/>
      </c>
    </row>
    <row r="99">
      <c r="A99" s="26" t="n"/>
      <c r="B99" s="26" t="n"/>
      <c r="C99" s="29" t="n"/>
      <c r="D99" s="26" t="n"/>
      <c r="E99" s="26" t="n"/>
      <c r="F99" s="27" t="n"/>
      <c r="G99" s="27" t="n"/>
      <c r="H99" s="27" t="n"/>
      <c r="I99" s="27" t="n"/>
      <c r="J99" s="27" t="n"/>
      <c r="K99" s="27" t="n"/>
      <c r="L99" s="26" t="n"/>
      <c r="M99" s="26" t="n"/>
      <c r="N99" s="28">
        <f>IF($A99="","",IF($C99="","",raporTarihi-$C99))</f>
        <v/>
      </c>
      <c r="O99" s="28">
        <f>IF($A99="","",IF($N99="","",IF($N99&lt;=7,"0-7",IF($N99&lt;=30,"8-30",IF($N99&lt;=60,"31-60","60+")))))</f>
        <v/>
      </c>
      <c r="P99" s="28">
        <f>IF($A99="","",IF($B99="","YETİM",IF(COUNTIF(tblKartlar[KartId],$B99)=0,"YETİM","")))</f>
        <v/>
      </c>
      <c r="Q99" s="28">
        <f>IF(OR($A99="",$D99=""),"",IF(OR($D99&amp;"|"&amp;$E99="",COUNTIF(ListeIzinliGecis,$D99&amp;"|"&amp;$E99)&gt;0),"","GEÇERSİZ GEÇİŞ"))</f>
        <v/>
      </c>
      <c r="R99" s="28">
        <f>IF($A99="","",IF(OR($F99="",$H99=""),"",IF(ABS($H99-$F99)&gt;zincirTolerans,"ZİNCİR KIRIK","OK")))</f>
        <v/>
      </c>
      <c r="S99" s="28">
        <f>IF($A99="","",1)</f>
        <v/>
      </c>
    </row>
    <row r="100">
      <c r="A100" s="26" t="n"/>
      <c r="B100" s="26" t="n"/>
      <c r="C100" s="29" t="n"/>
      <c r="D100" s="26" t="n"/>
      <c r="E100" s="26" t="n"/>
      <c r="F100" s="27" t="n"/>
      <c r="G100" s="27" t="n"/>
      <c r="H100" s="27" t="n"/>
      <c r="I100" s="27" t="n"/>
      <c r="J100" s="27" t="n"/>
      <c r="K100" s="27" t="n"/>
      <c r="L100" s="26" t="n"/>
      <c r="M100" s="26" t="n"/>
      <c r="N100" s="28">
        <f>IF($A100="","",IF($C100="","",raporTarihi-$C100))</f>
        <v/>
      </c>
      <c r="O100" s="28">
        <f>IF($A100="","",IF($N100="","",IF($N100&lt;=7,"0-7",IF($N100&lt;=30,"8-30",IF($N100&lt;=60,"31-60","60+")))))</f>
        <v/>
      </c>
      <c r="P100" s="28">
        <f>IF($A100="","",IF($B100="","YETİM",IF(COUNTIF(tblKartlar[KartId],$B100)=0,"YETİM","")))</f>
        <v/>
      </c>
      <c r="Q100" s="28">
        <f>IF(OR($A100="",$D100=""),"",IF(OR($D100&amp;"|"&amp;$E100="",COUNTIF(ListeIzinliGecis,$D100&amp;"|"&amp;$E100)&gt;0),"","GEÇERSİZ GEÇİŞ"))</f>
        <v/>
      </c>
      <c r="R100" s="28">
        <f>IF($A100="","",IF(OR($F100="",$H100=""),"",IF(ABS($H100-$F100)&gt;zincirTolerans,"ZİNCİR KIRIK","OK")))</f>
        <v/>
      </c>
      <c r="S100" s="28">
        <f>IF($A100="","",1)</f>
        <v/>
      </c>
    </row>
    <row r="101">
      <c r="A101" s="26" t="n"/>
      <c r="B101" s="26" t="n"/>
      <c r="C101" s="29" t="n"/>
      <c r="D101" s="26" t="n"/>
      <c r="E101" s="26" t="n"/>
      <c r="F101" s="27" t="n"/>
      <c r="G101" s="27" t="n"/>
      <c r="H101" s="27" t="n"/>
      <c r="I101" s="27" t="n"/>
      <c r="J101" s="27" t="n"/>
      <c r="K101" s="27" t="n"/>
      <c r="L101" s="26" t="n"/>
      <c r="M101" s="26" t="n"/>
      <c r="N101" s="28">
        <f>IF($A101="","",IF($C101="","",raporTarihi-$C101))</f>
        <v/>
      </c>
      <c r="O101" s="28">
        <f>IF($A101="","",IF($N101="","",IF($N101&lt;=7,"0-7",IF($N101&lt;=30,"8-30",IF($N101&lt;=60,"31-60","60+")))))</f>
        <v/>
      </c>
      <c r="P101" s="28">
        <f>IF($A101="","",IF($B101="","YETİM",IF(COUNTIF(tblKartlar[KartId],$B101)=0,"YETİM","")))</f>
        <v/>
      </c>
      <c r="Q101" s="28">
        <f>IF(OR($A101="",$D101=""),"",IF(OR($D101&amp;"|"&amp;$E101="",COUNTIF(ListeIzinliGecis,$D101&amp;"|"&amp;$E101)&gt;0),"","GEÇERSİZ GEÇİŞ"))</f>
        <v/>
      </c>
      <c r="R101" s="28">
        <f>IF($A101="","",IF(OR($F101="",$H101=""),"",IF(ABS($H101-$F101)&gt;zincirTolerans,"ZİNCİR KIRIK","OK")))</f>
        <v/>
      </c>
      <c r="S101" s="28">
        <f>IF($A101="","",1)</f>
        <v/>
      </c>
    </row>
    <row r="102">
      <c r="A102" s="26" t="n"/>
      <c r="B102" s="26" t="n"/>
      <c r="C102" s="29" t="n"/>
      <c r="D102" s="26" t="n"/>
      <c r="E102" s="26" t="n"/>
      <c r="F102" s="27" t="n"/>
      <c r="G102" s="27" t="n"/>
      <c r="H102" s="27" t="n"/>
      <c r="I102" s="27" t="n"/>
      <c r="J102" s="27" t="n"/>
      <c r="K102" s="27" t="n"/>
      <c r="L102" s="26" t="n"/>
      <c r="M102" s="26" t="n"/>
      <c r="N102" s="28">
        <f>IF($A102="","",IF($C102="","",raporTarihi-$C102))</f>
        <v/>
      </c>
      <c r="O102" s="28">
        <f>IF($A102="","",IF($N102="","",IF($N102&lt;=7,"0-7",IF($N102&lt;=30,"8-30",IF($N102&lt;=60,"31-60","60+")))))</f>
        <v/>
      </c>
      <c r="P102" s="28">
        <f>IF($A102="","",IF($B102="","YETİM",IF(COUNTIF(tblKartlar[KartId],$B102)=0,"YETİM","")))</f>
        <v/>
      </c>
      <c r="Q102" s="28">
        <f>IF(OR($A102="",$D102=""),"",IF(OR($D102&amp;"|"&amp;$E102="",COUNTIF(ListeIzinliGecis,$D102&amp;"|"&amp;$E102)&gt;0),"","GEÇERSİZ GEÇİŞ"))</f>
        <v/>
      </c>
      <c r="R102" s="28">
        <f>IF($A102="","",IF(OR($F102="",$H102=""),"",IF(ABS($H102-$F102)&gt;zincirTolerans,"ZİNCİR KIRIK","OK")))</f>
        <v/>
      </c>
      <c r="S102" s="28">
        <f>IF($A102="","",1)</f>
        <v/>
      </c>
    </row>
    <row r="103">
      <c r="A103" s="26" t="n"/>
      <c r="B103" s="26" t="n"/>
      <c r="C103" s="29" t="n"/>
      <c r="D103" s="26" t="n"/>
      <c r="E103" s="26" t="n"/>
      <c r="F103" s="27" t="n"/>
      <c r="G103" s="27" t="n"/>
      <c r="H103" s="27" t="n"/>
      <c r="I103" s="27" t="n"/>
      <c r="J103" s="27" t="n"/>
      <c r="K103" s="27" t="n"/>
      <c r="L103" s="26" t="n"/>
      <c r="M103" s="26" t="n"/>
      <c r="N103" s="28">
        <f>IF($A103="","",IF($C103="","",raporTarihi-$C103))</f>
        <v/>
      </c>
      <c r="O103" s="28">
        <f>IF($A103="","",IF($N103="","",IF($N103&lt;=7,"0-7",IF($N103&lt;=30,"8-30",IF($N103&lt;=60,"31-60","60+")))))</f>
        <v/>
      </c>
      <c r="P103" s="28">
        <f>IF($A103="","",IF($B103="","YETİM",IF(COUNTIF(tblKartlar[KartId],$B103)=0,"YETİM","")))</f>
        <v/>
      </c>
      <c r="Q103" s="28">
        <f>IF(OR($A103="",$D103=""),"",IF(OR($D103&amp;"|"&amp;$E103="",COUNTIF(ListeIzinliGecis,$D103&amp;"|"&amp;$E103)&gt;0),"","GEÇERSİZ GEÇİŞ"))</f>
        <v/>
      </c>
      <c r="R103" s="28">
        <f>IF($A103="","",IF(OR($F103="",$H103=""),"",IF(ABS($H103-$F103)&gt;zincirTolerans,"ZİNCİR KIRIK","OK")))</f>
        <v/>
      </c>
      <c r="S103" s="28">
        <f>IF($A103="","",1)</f>
        <v/>
      </c>
    </row>
    <row r="104">
      <c r="A104" s="26" t="n"/>
      <c r="B104" s="26" t="n"/>
      <c r="C104" s="29" t="n"/>
      <c r="D104" s="26" t="n"/>
      <c r="E104" s="26" t="n"/>
      <c r="F104" s="27" t="n"/>
      <c r="G104" s="27" t="n"/>
      <c r="H104" s="27" t="n"/>
      <c r="I104" s="27" t="n"/>
      <c r="J104" s="27" t="n"/>
      <c r="K104" s="27" t="n"/>
      <c r="L104" s="26" t="n"/>
      <c r="M104" s="26" t="n"/>
      <c r="N104" s="28">
        <f>IF($A104="","",IF($C104="","",raporTarihi-$C104))</f>
        <v/>
      </c>
      <c r="O104" s="28">
        <f>IF($A104="","",IF($N104="","",IF($N104&lt;=7,"0-7",IF($N104&lt;=30,"8-30",IF($N104&lt;=60,"31-60","60+")))))</f>
        <v/>
      </c>
      <c r="P104" s="28">
        <f>IF($A104="","",IF($B104="","YETİM",IF(COUNTIF(tblKartlar[KartId],$B104)=0,"YETİM","")))</f>
        <v/>
      </c>
      <c r="Q104" s="28">
        <f>IF(OR($A104="",$D104=""),"",IF(OR($D104&amp;"|"&amp;$E104="",COUNTIF(ListeIzinliGecis,$D104&amp;"|"&amp;$E104)&gt;0),"","GEÇERSİZ GEÇİŞ"))</f>
        <v/>
      </c>
      <c r="R104" s="28">
        <f>IF($A104="","",IF(OR($F104="",$H104=""),"",IF(ABS($H104-$F104)&gt;zincirTolerans,"ZİNCİR KIRIK","OK")))</f>
        <v/>
      </c>
      <c r="S104" s="28">
        <f>IF($A104="","",1)</f>
        <v/>
      </c>
    </row>
    <row r="105">
      <c r="A105" s="26" t="n"/>
      <c r="B105" s="26" t="n"/>
      <c r="C105" s="29" t="n"/>
      <c r="D105" s="26" t="n"/>
      <c r="E105" s="26" t="n"/>
      <c r="F105" s="27" t="n"/>
      <c r="G105" s="27" t="n"/>
      <c r="H105" s="27" t="n"/>
      <c r="I105" s="27" t="n"/>
      <c r="J105" s="27" t="n"/>
      <c r="K105" s="27" t="n"/>
      <c r="L105" s="26" t="n"/>
      <c r="M105" s="26" t="n"/>
      <c r="N105" s="28">
        <f>IF($A105="","",IF($C105="","",raporTarihi-$C105))</f>
        <v/>
      </c>
      <c r="O105" s="28">
        <f>IF($A105="","",IF($N105="","",IF($N105&lt;=7,"0-7",IF($N105&lt;=30,"8-30",IF($N105&lt;=60,"31-60","60+")))))</f>
        <v/>
      </c>
      <c r="P105" s="28">
        <f>IF($A105="","",IF($B105="","YETİM",IF(COUNTIF(tblKartlar[KartId],$B105)=0,"YETİM","")))</f>
        <v/>
      </c>
      <c r="Q105" s="28">
        <f>IF(OR($A105="",$D105=""),"",IF(OR($D105&amp;"|"&amp;$E105="",COUNTIF(ListeIzinliGecis,$D105&amp;"|"&amp;$E105)&gt;0),"","GEÇERSİZ GEÇİŞ"))</f>
        <v/>
      </c>
      <c r="R105" s="28">
        <f>IF($A105="","",IF(OR($F105="",$H105=""),"",IF(ABS($H105-$F105)&gt;zincirTolerans,"ZİNCİR KIRIK","OK")))</f>
        <v/>
      </c>
      <c r="S105" s="28">
        <f>IF($A105="","",1)</f>
        <v/>
      </c>
    </row>
    <row r="106">
      <c r="A106" s="26" t="n"/>
      <c r="B106" s="26" t="n"/>
      <c r="C106" s="29" t="n"/>
      <c r="D106" s="26" t="n"/>
      <c r="E106" s="26" t="n"/>
      <c r="F106" s="27" t="n"/>
      <c r="G106" s="27" t="n"/>
      <c r="H106" s="27" t="n"/>
      <c r="I106" s="27" t="n"/>
      <c r="J106" s="27" t="n"/>
      <c r="K106" s="27" t="n"/>
      <c r="L106" s="26" t="n"/>
      <c r="M106" s="26" t="n"/>
      <c r="N106" s="28">
        <f>IF($A106="","",IF($C106="","",raporTarihi-$C106))</f>
        <v/>
      </c>
      <c r="O106" s="28">
        <f>IF($A106="","",IF($N106="","",IF($N106&lt;=7,"0-7",IF($N106&lt;=30,"8-30",IF($N106&lt;=60,"31-60","60+")))))</f>
        <v/>
      </c>
      <c r="P106" s="28">
        <f>IF($A106="","",IF($B106="","YETİM",IF(COUNTIF(tblKartlar[KartId],$B106)=0,"YETİM","")))</f>
        <v/>
      </c>
      <c r="Q106" s="28">
        <f>IF(OR($A106="",$D106=""),"",IF(OR($D106&amp;"|"&amp;$E106="",COUNTIF(ListeIzinliGecis,$D106&amp;"|"&amp;$E106)&gt;0),"","GEÇERSİZ GEÇİŞ"))</f>
        <v/>
      </c>
      <c r="R106" s="28">
        <f>IF($A106="","",IF(OR($F106="",$H106=""),"",IF(ABS($H106-$F106)&gt;zincirTolerans,"ZİNCİR KIRIK","OK")))</f>
        <v/>
      </c>
      <c r="S106" s="28">
        <f>IF($A106="","",1)</f>
        <v/>
      </c>
    </row>
    <row r="107">
      <c r="A107" s="26" t="n"/>
      <c r="B107" s="26" t="n"/>
      <c r="C107" s="29" t="n"/>
      <c r="D107" s="26" t="n"/>
      <c r="E107" s="26" t="n"/>
      <c r="F107" s="27" t="n"/>
      <c r="G107" s="27" t="n"/>
      <c r="H107" s="27" t="n"/>
      <c r="I107" s="27" t="n"/>
      <c r="J107" s="27" t="n"/>
      <c r="K107" s="27" t="n"/>
      <c r="L107" s="26" t="n"/>
      <c r="M107" s="26" t="n"/>
      <c r="N107" s="28">
        <f>IF($A107="","",IF($C107="","",raporTarihi-$C107))</f>
        <v/>
      </c>
      <c r="O107" s="28">
        <f>IF($A107="","",IF($N107="","",IF($N107&lt;=7,"0-7",IF($N107&lt;=30,"8-30",IF($N107&lt;=60,"31-60","60+")))))</f>
        <v/>
      </c>
      <c r="P107" s="28">
        <f>IF($A107="","",IF($B107="","YETİM",IF(COUNTIF(tblKartlar[KartId],$B107)=0,"YETİM","")))</f>
        <v/>
      </c>
      <c r="Q107" s="28">
        <f>IF(OR($A107="",$D107=""),"",IF(OR($D107&amp;"|"&amp;$E107="",COUNTIF(ListeIzinliGecis,$D107&amp;"|"&amp;$E107)&gt;0),"","GEÇERSİZ GEÇİŞ"))</f>
        <v/>
      </c>
      <c r="R107" s="28">
        <f>IF($A107="","",IF(OR($F107="",$H107=""),"",IF(ABS($H107-$F107)&gt;zincirTolerans,"ZİNCİR KIRIK","OK")))</f>
        <v/>
      </c>
      <c r="S107" s="28">
        <f>IF($A107="","",1)</f>
        <v/>
      </c>
    </row>
    <row r="108">
      <c r="A108" s="26" t="n"/>
      <c r="B108" s="26" t="n"/>
      <c r="C108" s="29" t="n"/>
      <c r="D108" s="26" t="n"/>
      <c r="E108" s="26" t="n"/>
      <c r="F108" s="27" t="n"/>
      <c r="G108" s="27" t="n"/>
      <c r="H108" s="27" t="n"/>
      <c r="I108" s="27" t="n"/>
      <c r="J108" s="27" t="n"/>
      <c r="K108" s="27" t="n"/>
      <c r="L108" s="26" t="n"/>
      <c r="M108" s="26" t="n"/>
      <c r="N108" s="28">
        <f>IF($A108="","",IF($C108="","",raporTarihi-$C108))</f>
        <v/>
      </c>
      <c r="O108" s="28">
        <f>IF($A108="","",IF($N108="","",IF($N108&lt;=7,"0-7",IF($N108&lt;=30,"8-30",IF($N108&lt;=60,"31-60","60+")))))</f>
        <v/>
      </c>
      <c r="P108" s="28">
        <f>IF($A108="","",IF($B108="","YETİM",IF(COUNTIF(tblKartlar[KartId],$B108)=0,"YETİM","")))</f>
        <v/>
      </c>
      <c r="Q108" s="28">
        <f>IF(OR($A108="",$D108=""),"",IF(OR($D108&amp;"|"&amp;$E108="",COUNTIF(ListeIzinliGecis,$D108&amp;"|"&amp;$E108)&gt;0),"","GEÇERSİZ GEÇİŞ"))</f>
        <v/>
      </c>
      <c r="R108" s="28">
        <f>IF($A108="","",IF(OR($F108="",$H108=""),"",IF(ABS($H108-$F108)&gt;zincirTolerans,"ZİNCİR KIRIK","OK")))</f>
        <v/>
      </c>
      <c r="S108" s="28">
        <f>IF($A108="","",1)</f>
        <v/>
      </c>
    </row>
    <row r="109">
      <c r="A109" s="26" t="n"/>
      <c r="B109" s="26" t="n"/>
      <c r="C109" s="29" t="n"/>
      <c r="D109" s="26" t="n"/>
      <c r="E109" s="26" t="n"/>
      <c r="F109" s="27" t="n"/>
      <c r="G109" s="27" t="n"/>
      <c r="H109" s="27" t="n"/>
      <c r="I109" s="27" t="n"/>
      <c r="J109" s="27" t="n"/>
      <c r="K109" s="27" t="n"/>
      <c r="L109" s="26" t="n"/>
      <c r="M109" s="26" t="n"/>
      <c r="N109" s="28">
        <f>IF($A109="","",IF($C109="","",raporTarihi-$C109))</f>
        <v/>
      </c>
      <c r="O109" s="28">
        <f>IF($A109="","",IF($N109="","",IF($N109&lt;=7,"0-7",IF($N109&lt;=30,"8-30",IF($N109&lt;=60,"31-60","60+")))))</f>
        <v/>
      </c>
      <c r="P109" s="28">
        <f>IF($A109="","",IF($B109="","YETİM",IF(COUNTIF(tblKartlar[KartId],$B109)=0,"YETİM","")))</f>
        <v/>
      </c>
      <c r="Q109" s="28">
        <f>IF(OR($A109="",$D109=""),"",IF(OR($D109&amp;"|"&amp;$E109="",COUNTIF(ListeIzinliGecis,$D109&amp;"|"&amp;$E109)&gt;0),"","GEÇERSİZ GEÇİŞ"))</f>
        <v/>
      </c>
      <c r="R109" s="28">
        <f>IF($A109="","",IF(OR($F109="",$H109=""),"",IF(ABS($H109-$F109)&gt;zincirTolerans,"ZİNCİR KIRIK","OK")))</f>
        <v/>
      </c>
      <c r="S109" s="28">
        <f>IF($A109="","",1)</f>
        <v/>
      </c>
    </row>
    <row r="110">
      <c r="A110" s="26" t="n"/>
      <c r="B110" s="26" t="n"/>
      <c r="C110" s="29" t="n"/>
      <c r="D110" s="26" t="n"/>
      <c r="E110" s="26" t="n"/>
      <c r="F110" s="27" t="n"/>
      <c r="G110" s="27" t="n"/>
      <c r="H110" s="27" t="n"/>
      <c r="I110" s="27" t="n"/>
      <c r="J110" s="27" t="n"/>
      <c r="K110" s="27" t="n"/>
      <c r="L110" s="26" t="n"/>
      <c r="M110" s="26" t="n"/>
      <c r="N110" s="28">
        <f>IF($A110="","",IF($C110="","",raporTarihi-$C110))</f>
        <v/>
      </c>
      <c r="O110" s="28">
        <f>IF($A110="","",IF($N110="","",IF($N110&lt;=7,"0-7",IF($N110&lt;=30,"8-30",IF($N110&lt;=60,"31-60","60+")))))</f>
        <v/>
      </c>
      <c r="P110" s="28">
        <f>IF($A110="","",IF($B110="","YETİM",IF(COUNTIF(tblKartlar[KartId],$B110)=0,"YETİM","")))</f>
        <v/>
      </c>
      <c r="Q110" s="28">
        <f>IF(OR($A110="",$D110=""),"",IF(OR($D110&amp;"|"&amp;$E110="",COUNTIF(ListeIzinliGecis,$D110&amp;"|"&amp;$E110)&gt;0),"","GEÇERSİZ GEÇİŞ"))</f>
        <v/>
      </c>
      <c r="R110" s="28">
        <f>IF($A110="","",IF(OR($F110="",$H110=""),"",IF(ABS($H110-$F110)&gt;zincirTolerans,"ZİNCİR KIRIK","OK")))</f>
        <v/>
      </c>
      <c r="S110" s="28">
        <f>IF($A110="","",1)</f>
        <v/>
      </c>
    </row>
    <row r="111">
      <c r="A111" s="26" t="n"/>
      <c r="B111" s="26" t="n"/>
      <c r="C111" s="29" t="n"/>
      <c r="D111" s="26" t="n"/>
      <c r="E111" s="26" t="n"/>
      <c r="F111" s="27" t="n"/>
      <c r="G111" s="27" t="n"/>
      <c r="H111" s="27" t="n"/>
      <c r="I111" s="27" t="n"/>
      <c r="J111" s="27" t="n"/>
      <c r="K111" s="27" t="n"/>
      <c r="L111" s="26" t="n"/>
      <c r="M111" s="26" t="n"/>
      <c r="N111" s="28">
        <f>IF($A111="","",IF($C111="","",raporTarihi-$C111))</f>
        <v/>
      </c>
      <c r="O111" s="28">
        <f>IF($A111="","",IF($N111="","",IF($N111&lt;=7,"0-7",IF($N111&lt;=30,"8-30",IF($N111&lt;=60,"31-60","60+")))))</f>
        <v/>
      </c>
      <c r="P111" s="28">
        <f>IF($A111="","",IF($B111="","YETİM",IF(COUNTIF(tblKartlar[KartId],$B111)=0,"YETİM","")))</f>
        <v/>
      </c>
      <c r="Q111" s="28">
        <f>IF(OR($A111="",$D111=""),"",IF(OR($D111&amp;"|"&amp;$E111="",COUNTIF(ListeIzinliGecis,$D111&amp;"|"&amp;$E111)&gt;0),"","GEÇERSİZ GEÇİŞ"))</f>
        <v/>
      </c>
      <c r="R111" s="28">
        <f>IF($A111="","",IF(OR($F111="",$H111=""),"",IF(ABS($H111-$F111)&gt;zincirTolerans,"ZİNCİR KIRIK","OK")))</f>
        <v/>
      </c>
      <c r="S111" s="28">
        <f>IF($A111="","",1)</f>
        <v/>
      </c>
    </row>
    <row r="112">
      <c r="A112" s="26" t="n"/>
      <c r="B112" s="26" t="n"/>
      <c r="C112" s="29" t="n"/>
      <c r="D112" s="26" t="n"/>
      <c r="E112" s="26" t="n"/>
      <c r="F112" s="27" t="n"/>
      <c r="G112" s="27" t="n"/>
      <c r="H112" s="27" t="n"/>
      <c r="I112" s="27" t="n"/>
      <c r="J112" s="27" t="n"/>
      <c r="K112" s="27" t="n"/>
      <c r="L112" s="26" t="n"/>
      <c r="M112" s="26" t="n"/>
      <c r="N112" s="28">
        <f>IF($A112="","",IF($C112="","",raporTarihi-$C112))</f>
        <v/>
      </c>
      <c r="O112" s="28">
        <f>IF($A112="","",IF($N112="","",IF($N112&lt;=7,"0-7",IF($N112&lt;=30,"8-30",IF($N112&lt;=60,"31-60","60+")))))</f>
        <v/>
      </c>
      <c r="P112" s="28">
        <f>IF($A112="","",IF($B112="","YETİM",IF(COUNTIF(tblKartlar[KartId],$B112)=0,"YETİM","")))</f>
        <v/>
      </c>
      <c r="Q112" s="28">
        <f>IF(OR($A112="",$D112=""),"",IF(OR($D112&amp;"|"&amp;$E112="",COUNTIF(ListeIzinliGecis,$D112&amp;"|"&amp;$E112)&gt;0),"","GEÇERSİZ GEÇİŞ"))</f>
        <v/>
      </c>
      <c r="R112" s="28">
        <f>IF($A112="","",IF(OR($F112="",$H112=""),"",IF(ABS($H112-$F112)&gt;zincirTolerans,"ZİNCİR KIRIK","OK")))</f>
        <v/>
      </c>
      <c r="S112" s="28">
        <f>IF($A112="","",1)</f>
        <v/>
      </c>
    </row>
    <row r="113">
      <c r="A113" s="26" t="n"/>
      <c r="B113" s="26" t="n"/>
      <c r="C113" s="29" t="n"/>
      <c r="D113" s="26" t="n"/>
      <c r="E113" s="26" t="n"/>
      <c r="F113" s="27" t="n"/>
      <c r="G113" s="27" t="n"/>
      <c r="H113" s="27" t="n"/>
      <c r="I113" s="27" t="n"/>
      <c r="J113" s="27" t="n"/>
      <c r="K113" s="27" t="n"/>
      <c r="L113" s="26" t="n"/>
      <c r="M113" s="26" t="n"/>
      <c r="N113" s="28">
        <f>IF($A113="","",IF($C113="","",raporTarihi-$C113))</f>
        <v/>
      </c>
      <c r="O113" s="28">
        <f>IF($A113="","",IF($N113="","",IF($N113&lt;=7,"0-7",IF($N113&lt;=30,"8-30",IF($N113&lt;=60,"31-60","60+")))))</f>
        <v/>
      </c>
      <c r="P113" s="28">
        <f>IF($A113="","",IF($B113="","YETİM",IF(COUNTIF(tblKartlar[KartId],$B113)=0,"YETİM","")))</f>
        <v/>
      </c>
      <c r="Q113" s="28">
        <f>IF(OR($A113="",$D113=""),"",IF(OR($D113&amp;"|"&amp;$E113="",COUNTIF(ListeIzinliGecis,$D113&amp;"|"&amp;$E113)&gt;0),"","GEÇERSİZ GEÇİŞ"))</f>
        <v/>
      </c>
      <c r="R113" s="28">
        <f>IF($A113="","",IF(OR($F113="",$H113=""),"",IF(ABS($H113-$F113)&gt;zincirTolerans,"ZİNCİR KIRIK","OK")))</f>
        <v/>
      </c>
      <c r="S113" s="28">
        <f>IF($A113="","",1)</f>
        <v/>
      </c>
    </row>
    <row r="114">
      <c r="A114" s="26" t="n"/>
      <c r="B114" s="26" t="n"/>
      <c r="C114" s="29" t="n"/>
      <c r="D114" s="26" t="n"/>
      <c r="E114" s="26" t="n"/>
      <c r="F114" s="27" t="n"/>
      <c r="G114" s="27" t="n"/>
      <c r="H114" s="27" t="n"/>
      <c r="I114" s="27" t="n"/>
      <c r="J114" s="27" t="n"/>
      <c r="K114" s="27" t="n"/>
      <c r="L114" s="26" t="n"/>
      <c r="M114" s="26" t="n"/>
      <c r="N114" s="28">
        <f>IF($A114="","",IF($C114="","",raporTarihi-$C114))</f>
        <v/>
      </c>
      <c r="O114" s="28">
        <f>IF($A114="","",IF($N114="","",IF($N114&lt;=7,"0-7",IF($N114&lt;=30,"8-30",IF($N114&lt;=60,"31-60","60+")))))</f>
        <v/>
      </c>
      <c r="P114" s="28">
        <f>IF($A114="","",IF($B114="","YETİM",IF(COUNTIF(tblKartlar[KartId],$B114)=0,"YETİM","")))</f>
        <v/>
      </c>
      <c r="Q114" s="28">
        <f>IF(OR($A114="",$D114=""),"",IF(OR($D114&amp;"|"&amp;$E114="",COUNTIF(ListeIzinliGecis,$D114&amp;"|"&amp;$E114)&gt;0),"","GEÇERSİZ GEÇİŞ"))</f>
        <v/>
      </c>
      <c r="R114" s="28">
        <f>IF($A114="","",IF(OR($F114="",$H114=""),"",IF(ABS($H114-$F114)&gt;zincirTolerans,"ZİNCİR KIRIK","OK")))</f>
        <v/>
      </c>
      <c r="S114" s="28">
        <f>IF($A114="","",1)</f>
        <v/>
      </c>
    </row>
    <row r="115">
      <c r="A115" s="26" t="n"/>
      <c r="B115" s="26" t="n"/>
      <c r="C115" s="29" t="n"/>
      <c r="D115" s="26" t="n"/>
      <c r="E115" s="26" t="n"/>
      <c r="F115" s="27" t="n"/>
      <c r="G115" s="27" t="n"/>
      <c r="H115" s="27" t="n"/>
      <c r="I115" s="27" t="n"/>
      <c r="J115" s="27" t="n"/>
      <c r="K115" s="27" t="n"/>
      <c r="L115" s="26" t="n"/>
      <c r="M115" s="26" t="n"/>
      <c r="N115" s="28">
        <f>IF($A115="","",IF($C115="","",raporTarihi-$C115))</f>
        <v/>
      </c>
      <c r="O115" s="28">
        <f>IF($A115="","",IF($N115="","",IF($N115&lt;=7,"0-7",IF($N115&lt;=30,"8-30",IF($N115&lt;=60,"31-60","60+")))))</f>
        <v/>
      </c>
      <c r="P115" s="28">
        <f>IF($A115="","",IF($B115="","YETİM",IF(COUNTIF(tblKartlar[KartId],$B115)=0,"YETİM","")))</f>
        <v/>
      </c>
      <c r="Q115" s="28">
        <f>IF(OR($A115="",$D115=""),"",IF(OR($D115&amp;"|"&amp;$E115="",COUNTIF(ListeIzinliGecis,$D115&amp;"|"&amp;$E115)&gt;0),"","GEÇERSİZ GEÇİŞ"))</f>
        <v/>
      </c>
      <c r="R115" s="28">
        <f>IF($A115="","",IF(OR($F115="",$H115=""),"",IF(ABS($H115-$F115)&gt;zincirTolerans,"ZİNCİR KIRIK","OK")))</f>
        <v/>
      </c>
      <c r="S115" s="28">
        <f>IF($A115="","",1)</f>
        <v/>
      </c>
    </row>
    <row r="116">
      <c r="A116" s="26" t="n"/>
      <c r="B116" s="26" t="n"/>
      <c r="C116" s="29" t="n"/>
      <c r="D116" s="26" t="n"/>
      <c r="E116" s="26" t="n"/>
      <c r="F116" s="27" t="n"/>
      <c r="G116" s="27" t="n"/>
      <c r="H116" s="27" t="n"/>
      <c r="I116" s="27" t="n"/>
      <c r="J116" s="27" t="n"/>
      <c r="K116" s="27" t="n"/>
      <c r="L116" s="26" t="n"/>
      <c r="M116" s="26" t="n"/>
      <c r="N116" s="28">
        <f>IF($A116="","",IF($C116="","",raporTarihi-$C116))</f>
        <v/>
      </c>
      <c r="O116" s="28">
        <f>IF($A116="","",IF($N116="","",IF($N116&lt;=7,"0-7",IF($N116&lt;=30,"8-30",IF($N116&lt;=60,"31-60","60+")))))</f>
        <v/>
      </c>
      <c r="P116" s="28">
        <f>IF($A116="","",IF($B116="","YETİM",IF(COUNTIF(tblKartlar[KartId],$B116)=0,"YETİM","")))</f>
        <v/>
      </c>
      <c r="Q116" s="28">
        <f>IF(OR($A116="",$D116=""),"",IF(OR($D116&amp;"|"&amp;$E116="",COUNTIF(ListeIzinliGecis,$D116&amp;"|"&amp;$E116)&gt;0),"","GEÇERSİZ GEÇİŞ"))</f>
        <v/>
      </c>
      <c r="R116" s="28">
        <f>IF($A116="","",IF(OR($F116="",$H116=""),"",IF(ABS($H116-$F116)&gt;zincirTolerans,"ZİNCİR KIRIK","OK")))</f>
        <v/>
      </c>
      <c r="S116" s="28">
        <f>IF($A116="","",1)</f>
        <v/>
      </c>
    </row>
    <row r="117">
      <c r="A117" s="26" t="n"/>
      <c r="B117" s="26" t="n"/>
      <c r="C117" s="29" t="n"/>
      <c r="D117" s="26" t="n"/>
      <c r="E117" s="26" t="n"/>
      <c r="F117" s="27" t="n"/>
      <c r="G117" s="27" t="n"/>
      <c r="H117" s="27" t="n"/>
      <c r="I117" s="27" t="n"/>
      <c r="J117" s="27" t="n"/>
      <c r="K117" s="27" t="n"/>
      <c r="L117" s="26" t="n"/>
      <c r="M117" s="26" t="n"/>
      <c r="N117" s="28">
        <f>IF($A117="","",IF($C117="","",raporTarihi-$C117))</f>
        <v/>
      </c>
      <c r="O117" s="28">
        <f>IF($A117="","",IF($N117="","",IF($N117&lt;=7,"0-7",IF($N117&lt;=30,"8-30",IF($N117&lt;=60,"31-60","60+")))))</f>
        <v/>
      </c>
      <c r="P117" s="28">
        <f>IF($A117="","",IF($B117="","YETİM",IF(COUNTIF(tblKartlar[KartId],$B117)=0,"YETİM","")))</f>
        <v/>
      </c>
      <c r="Q117" s="28">
        <f>IF(OR($A117="",$D117=""),"",IF(OR($D117&amp;"|"&amp;$E117="",COUNTIF(ListeIzinliGecis,$D117&amp;"|"&amp;$E117)&gt;0),"","GEÇERSİZ GEÇİŞ"))</f>
        <v/>
      </c>
      <c r="R117" s="28">
        <f>IF($A117="","",IF(OR($F117="",$H117=""),"",IF(ABS($H117-$F117)&gt;zincirTolerans,"ZİNCİR KIRIK","OK")))</f>
        <v/>
      </c>
      <c r="S117" s="28">
        <f>IF($A117="","",1)</f>
        <v/>
      </c>
    </row>
    <row r="118">
      <c r="A118" s="26" t="n"/>
      <c r="B118" s="26" t="n"/>
      <c r="C118" s="29" t="n"/>
      <c r="D118" s="26" t="n"/>
      <c r="E118" s="26" t="n"/>
      <c r="F118" s="27" t="n"/>
      <c r="G118" s="27" t="n"/>
      <c r="H118" s="27" t="n"/>
      <c r="I118" s="27" t="n"/>
      <c r="J118" s="27" t="n"/>
      <c r="K118" s="27" t="n"/>
      <c r="L118" s="26" t="n"/>
      <c r="M118" s="26" t="n"/>
      <c r="N118" s="28">
        <f>IF($A118="","",IF($C118="","",raporTarihi-$C118))</f>
        <v/>
      </c>
      <c r="O118" s="28">
        <f>IF($A118="","",IF($N118="","",IF($N118&lt;=7,"0-7",IF($N118&lt;=30,"8-30",IF($N118&lt;=60,"31-60","60+")))))</f>
        <v/>
      </c>
      <c r="P118" s="28">
        <f>IF($A118="","",IF($B118="","YETİM",IF(COUNTIF(tblKartlar[KartId],$B118)=0,"YETİM","")))</f>
        <v/>
      </c>
      <c r="Q118" s="28">
        <f>IF(OR($A118="",$D118=""),"",IF(OR($D118&amp;"|"&amp;$E118="",COUNTIF(ListeIzinliGecis,$D118&amp;"|"&amp;$E118)&gt;0),"","GEÇERSİZ GEÇİŞ"))</f>
        <v/>
      </c>
      <c r="R118" s="28">
        <f>IF($A118="","",IF(OR($F118="",$H118=""),"",IF(ABS($H118-$F118)&gt;zincirTolerans,"ZİNCİR KIRIK","OK")))</f>
        <v/>
      </c>
      <c r="S118" s="28">
        <f>IF($A118="","",1)</f>
        <v/>
      </c>
    </row>
    <row r="119">
      <c r="A119" s="26" t="n"/>
      <c r="B119" s="26" t="n"/>
      <c r="C119" s="29" t="n"/>
      <c r="D119" s="26" t="n"/>
      <c r="E119" s="26" t="n"/>
      <c r="F119" s="27" t="n"/>
      <c r="G119" s="27" t="n"/>
      <c r="H119" s="27" t="n"/>
      <c r="I119" s="27" t="n"/>
      <c r="J119" s="27" t="n"/>
      <c r="K119" s="27" t="n"/>
      <c r="L119" s="26" t="n"/>
      <c r="M119" s="26" t="n"/>
      <c r="N119" s="28">
        <f>IF($A119="","",IF($C119="","",raporTarihi-$C119))</f>
        <v/>
      </c>
      <c r="O119" s="28">
        <f>IF($A119="","",IF($N119="","",IF($N119&lt;=7,"0-7",IF($N119&lt;=30,"8-30",IF($N119&lt;=60,"31-60","60+")))))</f>
        <v/>
      </c>
      <c r="P119" s="28">
        <f>IF($A119="","",IF($B119="","YETİM",IF(COUNTIF(tblKartlar[KartId],$B119)=0,"YETİM","")))</f>
        <v/>
      </c>
      <c r="Q119" s="28">
        <f>IF(OR($A119="",$D119=""),"",IF(OR($D119&amp;"|"&amp;$E119="",COUNTIF(ListeIzinliGecis,$D119&amp;"|"&amp;$E119)&gt;0),"","GEÇERSİZ GEÇİŞ"))</f>
        <v/>
      </c>
      <c r="R119" s="28">
        <f>IF($A119="","",IF(OR($F119="",$H119=""),"",IF(ABS($H119-$F119)&gt;zincirTolerans,"ZİNCİR KIRIK","OK")))</f>
        <v/>
      </c>
      <c r="S119" s="28">
        <f>IF($A119="","",1)</f>
        <v/>
      </c>
    </row>
    <row r="120">
      <c r="A120" s="26" t="n"/>
      <c r="B120" s="26" t="n"/>
      <c r="C120" s="29" t="n"/>
      <c r="D120" s="26" t="n"/>
      <c r="E120" s="26" t="n"/>
      <c r="F120" s="27" t="n"/>
      <c r="G120" s="27" t="n"/>
      <c r="H120" s="27" t="n"/>
      <c r="I120" s="27" t="n"/>
      <c r="J120" s="27" t="n"/>
      <c r="K120" s="27" t="n"/>
      <c r="L120" s="26" t="n"/>
      <c r="M120" s="26" t="n"/>
      <c r="N120" s="28">
        <f>IF($A120="","",IF($C120="","",raporTarihi-$C120))</f>
        <v/>
      </c>
      <c r="O120" s="28">
        <f>IF($A120="","",IF($N120="","",IF($N120&lt;=7,"0-7",IF($N120&lt;=30,"8-30",IF($N120&lt;=60,"31-60","60+")))))</f>
        <v/>
      </c>
      <c r="P120" s="28">
        <f>IF($A120="","",IF($B120="","YETİM",IF(COUNTIF(tblKartlar[KartId],$B120)=0,"YETİM","")))</f>
        <v/>
      </c>
      <c r="Q120" s="28">
        <f>IF(OR($A120="",$D120=""),"",IF(OR($D120&amp;"|"&amp;$E120="",COUNTIF(ListeIzinliGecis,$D120&amp;"|"&amp;$E120)&gt;0),"","GEÇERSİZ GEÇİŞ"))</f>
        <v/>
      </c>
      <c r="R120" s="28">
        <f>IF($A120="","",IF(OR($F120="",$H120=""),"",IF(ABS($H120-$F120)&gt;zincirTolerans,"ZİNCİR KIRIK","OK")))</f>
        <v/>
      </c>
      <c r="S120" s="28">
        <f>IF($A120="","",1)</f>
        <v/>
      </c>
    </row>
    <row r="121">
      <c r="A121" s="26" t="n"/>
      <c r="B121" s="26" t="n"/>
      <c r="C121" s="29" t="n"/>
      <c r="D121" s="26" t="n"/>
      <c r="E121" s="26" t="n"/>
      <c r="F121" s="27" t="n"/>
      <c r="G121" s="27" t="n"/>
      <c r="H121" s="27" t="n"/>
      <c r="I121" s="27" t="n"/>
      <c r="J121" s="27" t="n"/>
      <c r="K121" s="27" t="n"/>
      <c r="L121" s="26" t="n"/>
      <c r="M121" s="26" t="n"/>
      <c r="N121" s="28">
        <f>IF($A121="","",IF($C121="","",raporTarihi-$C121))</f>
        <v/>
      </c>
      <c r="O121" s="28">
        <f>IF($A121="","",IF($N121="","",IF($N121&lt;=7,"0-7",IF($N121&lt;=30,"8-30",IF($N121&lt;=60,"31-60","60+")))))</f>
        <v/>
      </c>
      <c r="P121" s="28">
        <f>IF($A121="","",IF($B121="","YETİM",IF(COUNTIF(tblKartlar[KartId],$B121)=0,"YETİM","")))</f>
        <v/>
      </c>
      <c r="Q121" s="28">
        <f>IF(OR($A121="",$D121=""),"",IF(OR($D121&amp;"|"&amp;$E121="",COUNTIF(ListeIzinliGecis,$D121&amp;"|"&amp;$E121)&gt;0),"","GEÇERSİZ GEÇİŞ"))</f>
        <v/>
      </c>
      <c r="R121" s="28">
        <f>IF($A121="","",IF(OR($F121="",$H121=""),"",IF(ABS($H121-$F121)&gt;zincirTolerans,"ZİNCİR KIRIK","OK")))</f>
        <v/>
      </c>
      <c r="S121" s="28">
        <f>IF($A121="","",1)</f>
        <v/>
      </c>
    </row>
    <row r="122">
      <c r="A122" s="26" t="n"/>
      <c r="B122" s="26" t="n"/>
      <c r="C122" s="29" t="n"/>
      <c r="D122" s="26" t="n"/>
      <c r="E122" s="26" t="n"/>
      <c r="F122" s="27" t="n"/>
      <c r="G122" s="27" t="n"/>
      <c r="H122" s="27" t="n"/>
      <c r="I122" s="27" t="n"/>
      <c r="J122" s="27" t="n"/>
      <c r="K122" s="27" t="n"/>
      <c r="L122" s="26" t="n"/>
      <c r="M122" s="26" t="n"/>
      <c r="N122" s="28">
        <f>IF($A122="","",IF($C122="","",raporTarihi-$C122))</f>
        <v/>
      </c>
      <c r="O122" s="28">
        <f>IF($A122="","",IF($N122="","",IF($N122&lt;=7,"0-7",IF($N122&lt;=30,"8-30",IF($N122&lt;=60,"31-60","60+")))))</f>
        <v/>
      </c>
      <c r="P122" s="28">
        <f>IF($A122="","",IF($B122="","YETİM",IF(COUNTIF(tblKartlar[KartId],$B122)=0,"YETİM","")))</f>
        <v/>
      </c>
      <c r="Q122" s="28">
        <f>IF(OR($A122="",$D122=""),"",IF(OR($D122&amp;"|"&amp;$E122="",COUNTIF(ListeIzinliGecis,$D122&amp;"|"&amp;$E122)&gt;0),"","GEÇERSİZ GEÇİŞ"))</f>
        <v/>
      </c>
      <c r="R122" s="28">
        <f>IF($A122="","",IF(OR($F122="",$H122=""),"",IF(ABS($H122-$F122)&gt;zincirTolerans,"ZİNCİR KIRIK","OK")))</f>
        <v/>
      </c>
      <c r="S122" s="28">
        <f>IF($A122="","",1)</f>
        <v/>
      </c>
    </row>
    <row r="123">
      <c r="A123" s="26" t="n"/>
      <c r="B123" s="26" t="n"/>
      <c r="C123" s="29" t="n"/>
      <c r="D123" s="26" t="n"/>
      <c r="E123" s="26" t="n"/>
      <c r="F123" s="27" t="n"/>
      <c r="G123" s="27" t="n"/>
      <c r="H123" s="27" t="n"/>
      <c r="I123" s="27" t="n"/>
      <c r="J123" s="27" t="n"/>
      <c r="K123" s="27" t="n"/>
      <c r="L123" s="26" t="n"/>
      <c r="M123" s="26" t="n"/>
      <c r="N123" s="28">
        <f>IF($A123="","",IF($C123="","",raporTarihi-$C123))</f>
        <v/>
      </c>
      <c r="O123" s="28">
        <f>IF($A123="","",IF($N123="","",IF($N123&lt;=7,"0-7",IF($N123&lt;=30,"8-30",IF($N123&lt;=60,"31-60","60+")))))</f>
        <v/>
      </c>
      <c r="P123" s="28">
        <f>IF($A123="","",IF($B123="","YETİM",IF(COUNTIF(tblKartlar[KartId],$B123)=0,"YETİM","")))</f>
        <v/>
      </c>
      <c r="Q123" s="28">
        <f>IF(OR($A123="",$D123=""),"",IF(OR($D123&amp;"|"&amp;$E123="",COUNTIF(ListeIzinliGecis,$D123&amp;"|"&amp;$E123)&gt;0),"","GEÇERSİZ GEÇİŞ"))</f>
        <v/>
      </c>
      <c r="R123" s="28">
        <f>IF($A123="","",IF(OR($F123="",$H123=""),"",IF(ABS($H123-$F123)&gt;zincirTolerans,"ZİNCİR KIRIK","OK")))</f>
        <v/>
      </c>
      <c r="S123" s="28">
        <f>IF($A123="","",1)</f>
        <v/>
      </c>
    </row>
    <row r="124">
      <c r="A124" s="26" t="n"/>
      <c r="B124" s="26" t="n"/>
      <c r="C124" s="29" t="n"/>
      <c r="D124" s="26" t="n"/>
      <c r="E124" s="26" t="n"/>
      <c r="F124" s="27" t="n"/>
      <c r="G124" s="27" t="n"/>
      <c r="H124" s="27" t="n"/>
      <c r="I124" s="27" t="n"/>
      <c r="J124" s="27" t="n"/>
      <c r="K124" s="27" t="n"/>
      <c r="L124" s="26" t="n"/>
      <c r="M124" s="26" t="n"/>
      <c r="N124" s="28">
        <f>IF($A124="","",IF($C124="","",raporTarihi-$C124))</f>
        <v/>
      </c>
      <c r="O124" s="28">
        <f>IF($A124="","",IF($N124="","",IF($N124&lt;=7,"0-7",IF($N124&lt;=30,"8-30",IF($N124&lt;=60,"31-60","60+")))))</f>
        <v/>
      </c>
      <c r="P124" s="28">
        <f>IF($A124="","",IF($B124="","YETİM",IF(COUNTIF(tblKartlar[KartId],$B124)=0,"YETİM","")))</f>
        <v/>
      </c>
      <c r="Q124" s="28">
        <f>IF(OR($A124="",$D124=""),"",IF(OR($D124&amp;"|"&amp;$E124="",COUNTIF(ListeIzinliGecis,$D124&amp;"|"&amp;$E124)&gt;0),"","GEÇERSİZ GEÇİŞ"))</f>
        <v/>
      </c>
      <c r="R124" s="28">
        <f>IF($A124="","",IF(OR($F124="",$H124=""),"",IF(ABS($H124-$F124)&gt;zincirTolerans,"ZİNCİR KIRIK","OK")))</f>
        <v/>
      </c>
      <c r="S124" s="28">
        <f>IF($A124="","",1)</f>
        <v/>
      </c>
    </row>
    <row r="125">
      <c r="A125" s="26" t="n"/>
      <c r="B125" s="26" t="n"/>
      <c r="C125" s="29" t="n"/>
      <c r="D125" s="26" t="n"/>
      <c r="E125" s="26" t="n"/>
      <c r="F125" s="27" t="n"/>
      <c r="G125" s="27" t="n"/>
      <c r="H125" s="27" t="n"/>
      <c r="I125" s="27" t="n"/>
      <c r="J125" s="27" t="n"/>
      <c r="K125" s="27" t="n"/>
      <c r="L125" s="26" t="n"/>
      <c r="M125" s="26" t="n"/>
      <c r="N125" s="28">
        <f>IF($A125="","",IF($C125="","",raporTarihi-$C125))</f>
        <v/>
      </c>
      <c r="O125" s="28">
        <f>IF($A125="","",IF($N125="","",IF($N125&lt;=7,"0-7",IF($N125&lt;=30,"8-30",IF($N125&lt;=60,"31-60","60+")))))</f>
        <v/>
      </c>
      <c r="P125" s="28">
        <f>IF($A125="","",IF($B125="","YETİM",IF(COUNTIF(tblKartlar[KartId],$B125)=0,"YETİM","")))</f>
        <v/>
      </c>
      <c r="Q125" s="28">
        <f>IF(OR($A125="",$D125=""),"",IF(OR($D125&amp;"|"&amp;$E125="",COUNTIF(ListeIzinliGecis,$D125&amp;"|"&amp;$E125)&gt;0),"","GEÇERSİZ GEÇİŞ"))</f>
        <v/>
      </c>
      <c r="R125" s="28">
        <f>IF($A125="","",IF(OR($F125="",$H125=""),"",IF(ABS($H125-$F125)&gt;zincirTolerans,"ZİNCİR KIRIK","OK")))</f>
        <v/>
      </c>
      <c r="S125" s="28">
        <f>IF($A125="","",1)</f>
        <v/>
      </c>
    </row>
    <row r="126">
      <c r="A126" s="26" t="n"/>
      <c r="B126" s="26" t="n"/>
      <c r="C126" s="29" t="n"/>
      <c r="D126" s="26" t="n"/>
      <c r="E126" s="26" t="n"/>
      <c r="F126" s="27" t="n"/>
      <c r="G126" s="27" t="n"/>
      <c r="H126" s="27" t="n"/>
      <c r="I126" s="27" t="n"/>
      <c r="J126" s="27" t="n"/>
      <c r="K126" s="27" t="n"/>
      <c r="L126" s="26" t="n"/>
      <c r="M126" s="26" t="n"/>
      <c r="N126" s="28">
        <f>IF($A126="","",IF($C126="","",raporTarihi-$C126))</f>
        <v/>
      </c>
      <c r="O126" s="28">
        <f>IF($A126="","",IF($N126="","",IF($N126&lt;=7,"0-7",IF($N126&lt;=30,"8-30",IF($N126&lt;=60,"31-60","60+")))))</f>
        <v/>
      </c>
      <c r="P126" s="28">
        <f>IF($A126="","",IF($B126="","YETİM",IF(COUNTIF(tblKartlar[KartId],$B126)=0,"YETİM","")))</f>
        <v/>
      </c>
      <c r="Q126" s="28">
        <f>IF(OR($A126="",$D126=""),"",IF(OR($D126&amp;"|"&amp;$E126="",COUNTIF(ListeIzinliGecis,$D126&amp;"|"&amp;$E126)&gt;0),"","GEÇERSİZ GEÇİŞ"))</f>
        <v/>
      </c>
      <c r="R126" s="28">
        <f>IF($A126="","",IF(OR($F126="",$H126=""),"",IF(ABS($H126-$F126)&gt;zincirTolerans,"ZİNCİR KIRIK","OK")))</f>
        <v/>
      </c>
      <c r="S126" s="28">
        <f>IF($A126="","",1)</f>
        <v/>
      </c>
    </row>
    <row r="127">
      <c r="A127" s="26" t="n"/>
      <c r="B127" s="26" t="n"/>
      <c r="C127" s="29" t="n"/>
      <c r="D127" s="26" t="n"/>
      <c r="E127" s="26" t="n"/>
      <c r="F127" s="27" t="n"/>
      <c r="G127" s="27" t="n"/>
      <c r="H127" s="27" t="n"/>
      <c r="I127" s="27" t="n"/>
      <c r="J127" s="27" t="n"/>
      <c r="K127" s="27" t="n"/>
      <c r="L127" s="26" t="n"/>
      <c r="M127" s="26" t="n"/>
      <c r="N127" s="28">
        <f>IF($A127="","",IF($C127="","",raporTarihi-$C127))</f>
        <v/>
      </c>
      <c r="O127" s="28">
        <f>IF($A127="","",IF($N127="","",IF($N127&lt;=7,"0-7",IF($N127&lt;=30,"8-30",IF($N127&lt;=60,"31-60","60+")))))</f>
        <v/>
      </c>
      <c r="P127" s="28">
        <f>IF($A127="","",IF($B127="","YETİM",IF(COUNTIF(tblKartlar[KartId],$B127)=0,"YETİM","")))</f>
        <v/>
      </c>
      <c r="Q127" s="28">
        <f>IF(OR($A127="",$D127=""),"",IF(OR($D127&amp;"|"&amp;$E127="",COUNTIF(ListeIzinliGecis,$D127&amp;"|"&amp;$E127)&gt;0),"","GEÇERSİZ GEÇİŞ"))</f>
        <v/>
      </c>
      <c r="R127" s="28">
        <f>IF($A127="","",IF(OR($F127="",$H127=""),"",IF(ABS($H127-$F127)&gt;zincirTolerans,"ZİNCİR KIRIK","OK")))</f>
        <v/>
      </c>
      <c r="S127" s="28">
        <f>IF($A127="","",1)</f>
        <v/>
      </c>
    </row>
    <row r="128">
      <c r="A128" s="26" t="n"/>
      <c r="B128" s="26" t="n"/>
      <c r="C128" s="29" t="n"/>
      <c r="D128" s="26" t="n"/>
      <c r="E128" s="26" t="n"/>
      <c r="F128" s="27" t="n"/>
      <c r="G128" s="27" t="n"/>
      <c r="H128" s="27" t="n"/>
      <c r="I128" s="27" t="n"/>
      <c r="J128" s="27" t="n"/>
      <c r="K128" s="27" t="n"/>
      <c r="L128" s="26" t="n"/>
      <c r="M128" s="26" t="n"/>
      <c r="N128" s="28">
        <f>IF($A128="","",IF($C128="","",raporTarihi-$C128))</f>
        <v/>
      </c>
      <c r="O128" s="28">
        <f>IF($A128="","",IF($N128="","",IF($N128&lt;=7,"0-7",IF($N128&lt;=30,"8-30",IF($N128&lt;=60,"31-60","60+")))))</f>
        <v/>
      </c>
      <c r="P128" s="28">
        <f>IF($A128="","",IF($B128="","YETİM",IF(COUNTIF(tblKartlar[KartId],$B128)=0,"YETİM","")))</f>
        <v/>
      </c>
      <c r="Q128" s="28">
        <f>IF(OR($A128="",$D128=""),"",IF(OR($D128&amp;"|"&amp;$E128="",COUNTIF(ListeIzinliGecis,$D128&amp;"|"&amp;$E128)&gt;0),"","GEÇERSİZ GEÇİŞ"))</f>
        <v/>
      </c>
      <c r="R128" s="28">
        <f>IF($A128="","",IF(OR($F128="",$H128=""),"",IF(ABS($H128-$F128)&gt;zincirTolerans,"ZİNCİR KIRIK","OK")))</f>
        <v/>
      </c>
      <c r="S128" s="28">
        <f>IF($A128="","",1)</f>
        <v/>
      </c>
    </row>
    <row r="129">
      <c r="A129" s="26" t="n"/>
      <c r="B129" s="26" t="n"/>
      <c r="C129" s="29" t="n"/>
      <c r="D129" s="26" t="n"/>
      <c r="E129" s="26" t="n"/>
      <c r="F129" s="27" t="n"/>
      <c r="G129" s="27" t="n"/>
      <c r="H129" s="27" t="n"/>
      <c r="I129" s="27" t="n"/>
      <c r="J129" s="27" t="n"/>
      <c r="K129" s="27" t="n"/>
      <c r="L129" s="26" t="n"/>
      <c r="M129" s="26" t="n"/>
      <c r="N129" s="28">
        <f>IF($A129="","",IF($C129="","",raporTarihi-$C129))</f>
        <v/>
      </c>
      <c r="O129" s="28">
        <f>IF($A129="","",IF($N129="","",IF($N129&lt;=7,"0-7",IF($N129&lt;=30,"8-30",IF($N129&lt;=60,"31-60","60+")))))</f>
        <v/>
      </c>
      <c r="P129" s="28">
        <f>IF($A129="","",IF($B129="","YETİM",IF(COUNTIF(tblKartlar[KartId],$B129)=0,"YETİM","")))</f>
        <v/>
      </c>
      <c r="Q129" s="28">
        <f>IF(OR($A129="",$D129=""),"",IF(OR($D129&amp;"|"&amp;$E129="",COUNTIF(ListeIzinliGecis,$D129&amp;"|"&amp;$E129)&gt;0),"","GEÇERSİZ GEÇİŞ"))</f>
        <v/>
      </c>
      <c r="R129" s="28">
        <f>IF($A129="","",IF(OR($F129="",$H129=""),"",IF(ABS($H129-$F129)&gt;zincirTolerans,"ZİNCİR KIRIK","OK")))</f>
        <v/>
      </c>
      <c r="S129" s="28">
        <f>IF($A129="","",1)</f>
        <v/>
      </c>
    </row>
    <row r="130">
      <c r="A130" s="26" t="n"/>
      <c r="B130" s="26" t="n"/>
      <c r="C130" s="29" t="n"/>
      <c r="D130" s="26" t="n"/>
      <c r="E130" s="26" t="n"/>
      <c r="F130" s="27" t="n"/>
      <c r="G130" s="27" t="n"/>
      <c r="H130" s="27" t="n"/>
      <c r="I130" s="27" t="n"/>
      <c r="J130" s="27" t="n"/>
      <c r="K130" s="27" t="n"/>
      <c r="L130" s="26" t="n"/>
      <c r="M130" s="26" t="n"/>
      <c r="N130" s="28">
        <f>IF($A130="","",IF($C130="","",raporTarihi-$C130))</f>
        <v/>
      </c>
      <c r="O130" s="28">
        <f>IF($A130="","",IF($N130="","",IF($N130&lt;=7,"0-7",IF($N130&lt;=30,"8-30",IF($N130&lt;=60,"31-60","60+")))))</f>
        <v/>
      </c>
      <c r="P130" s="28">
        <f>IF($A130="","",IF($B130="","YETİM",IF(COUNTIF(tblKartlar[KartId],$B130)=0,"YETİM","")))</f>
        <v/>
      </c>
      <c r="Q130" s="28">
        <f>IF(OR($A130="",$D130=""),"",IF(OR($D130&amp;"|"&amp;$E130="",COUNTIF(ListeIzinliGecis,$D130&amp;"|"&amp;$E130)&gt;0),"","GEÇERSİZ GEÇİŞ"))</f>
        <v/>
      </c>
      <c r="R130" s="28">
        <f>IF($A130="","",IF(OR($F130="",$H130=""),"",IF(ABS($H130-$F130)&gt;zincirTolerans,"ZİNCİR KIRIK","OK")))</f>
        <v/>
      </c>
      <c r="S130" s="28">
        <f>IF($A130="","",1)</f>
        <v/>
      </c>
    </row>
    <row r="131">
      <c r="A131" s="26" t="n"/>
      <c r="B131" s="26" t="n"/>
      <c r="C131" s="29" t="n"/>
      <c r="D131" s="26" t="n"/>
      <c r="E131" s="26" t="n"/>
      <c r="F131" s="27" t="n"/>
      <c r="G131" s="27" t="n"/>
      <c r="H131" s="27" t="n"/>
      <c r="I131" s="27" t="n"/>
      <c r="J131" s="27" t="n"/>
      <c r="K131" s="27" t="n"/>
      <c r="L131" s="26" t="n"/>
      <c r="M131" s="26" t="n"/>
      <c r="N131" s="28">
        <f>IF($A131="","",IF($C131="","",raporTarihi-$C131))</f>
        <v/>
      </c>
      <c r="O131" s="28">
        <f>IF($A131="","",IF($N131="","",IF($N131&lt;=7,"0-7",IF($N131&lt;=30,"8-30",IF($N131&lt;=60,"31-60","60+")))))</f>
        <v/>
      </c>
      <c r="P131" s="28">
        <f>IF($A131="","",IF($B131="","YETİM",IF(COUNTIF(tblKartlar[KartId],$B131)=0,"YETİM","")))</f>
        <v/>
      </c>
      <c r="Q131" s="28">
        <f>IF(OR($A131="",$D131=""),"",IF(OR($D131&amp;"|"&amp;$E131="",COUNTIF(ListeIzinliGecis,$D131&amp;"|"&amp;$E131)&gt;0),"","GEÇERSİZ GEÇİŞ"))</f>
        <v/>
      </c>
      <c r="R131" s="28">
        <f>IF($A131="","",IF(OR($F131="",$H131=""),"",IF(ABS($H131-$F131)&gt;zincirTolerans,"ZİNCİR KIRIK","OK")))</f>
        <v/>
      </c>
      <c r="S131" s="28">
        <f>IF($A131="","",1)</f>
        <v/>
      </c>
    </row>
    <row r="132">
      <c r="A132" s="26" t="n"/>
      <c r="B132" s="26" t="n"/>
      <c r="C132" s="29" t="n"/>
      <c r="D132" s="26" t="n"/>
      <c r="E132" s="26" t="n"/>
      <c r="F132" s="27" t="n"/>
      <c r="G132" s="27" t="n"/>
      <c r="H132" s="27" t="n"/>
      <c r="I132" s="27" t="n"/>
      <c r="J132" s="27" t="n"/>
      <c r="K132" s="27" t="n"/>
      <c r="L132" s="26" t="n"/>
      <c r="M132" s="26" t="n"/>
      <c r="N132" s="28">
        <f>IF($A132="","",IF($C132="","",raporTarihi-$C132))</f>
        <v/>
      </c>
      <c r="O132" s="28">
        <f>IF($A132="","",IF($N132="","",IF($N132&lt;=7,"0-7",IF($N132&lt;=30,"8-30",IF($N132&lt;=60,"31-60","60+")))))</f>
        <v/>
      </c>
      <c r="P132" s="28">
        <f>IF($A132="","",IF($B132="","YETİM",IF(COUNTIF(tblKartlar[KartId],$B132)=0,"YETİM","")))</f>
        <v/>
      </c>
      <c r="Q132" s="28">
        <f>IF(OR($A132="",$D132=""),"",IF(OR($D132&amp;"|"&amp;$E132="",COUNTIF(ListeIzinliGecis,$D132&amp;"|"&amp;$E132)&gt;0),"","GEÇERSİZ GEÇİŞ"))</f>
        <v/>
      </c>
      <c r="R132" s="28">
        <f>IF($A132="","",IF(OR($F132="",$H132=""),"",IF(ABS($H132-$F132)&gt;zincirTolerans,"ZİNCİR KIRIK","OK")))</f>
        <v/>
      </c>
      <c r="S132" s="28">
        <f>IF($A132="","",1)</f>
        <v/>
      </c>
    </row>
    <row r="133">
      <c r="A133" s="26" t="n"/>
      <c r="B133" s="26" t="n"/>
      <c r="C133" s="29" t="n"/>
      <c r="D133" s="26" t="n"/>
      <c r="E133" s="26" t="n"/>
      <c r="F133" s="27" t="n"/>
      <c r="G133" s="27" t="n"/>
      <c r="H133" s="27" t="n"/>
      <c r="I133" s="27" t="n"/>
      <c r="J133" s="27" t="n"/>
      <c r="K133" s="27" t="n"/>
      <c r="L133" s="26" t="n"/>
      <c r="M133" s="26" t="n"/>
      <c r="N133" s="28">
        <f>IF($A133="","",IF($C133="","",raporTarihi-$C133))</f>
        <v/>
      </c>
      <c r="O133" s="28">
        <f>IF($A133="","",IF($N133="","",IF($N133&lt;=7,"0-7",IF($N133&lt;=30,"8-30",IF($N133&lt;=60,"31-60","60+")))))</f>
        <v/>
      </c>
      <c r="P133" s="28">
        <f>IF($A133="","",IF($B133="","YETİM",IF(COUNTIF(tblKartlar[KartId],$B133)=0,"YETİM","")))</f>
        <v/>
      </c>
      <c r="Q133" s="28">
        <f>IF(OR($A133="",$D133=""),"",IF(OR($D133&amp;"|"&amp;$E133="",COUNTIF(ListeIzinliGecis,$D133&amp;"|"&amp;$E133)&gt;0),"","GEÇERSİZ GEÇİŞ"))</f>
        <v/>
      </c>
      <c r="R133" s="28">
        <f>IF($A133="","",IF(OR($F133="",$H133=""),"",IF(ABS($H133-$F133)&gt;zincirTolerans,"ZİNCİR KIRIK","OK")))</f>
        <v/>
      </c>
      <c r="S133" s="28">
        <f>IF($A133="","",1)</f>
        <v/>
      </c>
    </row>
    <row r="134">
      <c r="A134" s="26" t="n"/>
      <c r="B134" s="26" t="n"/>
      <c r="C134" s="29" t="n"/>
      <c r="D134" s="26" t="n"/>
      <c r="E134" s="26" t="n"/>
      <c r="F134" s="27" t="n"/>
      <c r="G134" s="27" t="n"/>
      <c r="H134" s="27" t="n"/>
      <c r="I134" s="27" t="n"/>
      <c r="J134" s="27" t="n"/>
      <c r="K134" s="27" t="n"/>
      <c r="L134" s="26" t="n"/>
      <c r="M134" s="26" t="n"/>
      <c r="N134" s="28">
        <f>IF($A134="","",IF($C134="","",raporTarihi-$C134))</f>
        <v/>
      </c>
      <c r="O134" s="28">
        <f>IF($A134="","",IF($N134="","",IF($N134&lt;=7,"0-7",IF($N134&lt;=30,"8-30",IF($N134&lt;=60,"31-60","60+")))))</f>
        <v/>
      </c>
      <c r="P134" s="28">
        <f>IF($A134="","",IF($B134="","YETİM",IF(COUNTIF(tblKartlar[KartId],$B134)=0,"YETİM","")))</f>
        <v/>
      </c>
      <c r="Q134" s="28">
        <f>IF(OR($A134="",$D134=""),"",IF(OR($D134&amp;"|"&amp;$E134="",COUNTIF(ListeIzinliGecis,$D134&amp;"|"&amp;$E134)&gt;0),"","GEÇERSİZ GEÇİŞ"))</f>
        <v/>
      </c>
      <c r="R134" s="28">
        <f>IF($A134="","",IF(OR($F134="",$H134=""),"",IF(ABS($H134-$F134)&gt;zincirTolerans,"ZİNCİR KIRIK","OK")))</f>
        <v/>
      </c>
      <c r="S134" s="28">
        <f>IF($A134="","",1)</f>
        <v/>
      </c>
    </row>
    <row r="135">
      <c r="A135" s="26" t="n"/>
      <c r="B135" s="26" t="n"/>
      <c r="C135" s="29" t="n"/>
      <c r="D135" s="26" t="n"/>
      <c r="E135" s="26" t="n"/>
      <c r="F135" s="27" t="n"/>
      <c r="G135" s="27" t="n"/>
      <c r="H135" s="27" t="n"/>
      <c r="I135" s="27" t="n"/>
      <c r="J135" s="27" t="n"/>
      <c r="K135" s="27" t="n"/>
      <c r="L135" s="26" t="n"/>
      <c r="M135" s="26" t="n"/>
      <c r="N135" s="28">
        <f>IF($A135="","",IF($C135="","",raporTarihi-$C135))</f>
        <v/>
      </c>
      <c r="O135" s="28">
        <f>IF($A135="","",IF($N135="","",IF($N135&lt;=7,"0-7",IF($N135&lt;=30,"8-30",IF($N135&lt;=60,"31-60","60+")))))</f>
        <v/>
      </c>
      <c r="P135" s="28">
        <f>IF($A135="","",IF($B135="","YETİM",IF(COUNTIF(tblKartlar[KartId],$B135)=0,"YETİM","")))</f>
        <v/>
      </c>
      <c r="Q135" s="28">
        <f>IF(OR($A135="",$D135=""),"",IF(OR($D135&amp;"|"&amp;$E135="",COUNTIF(ListeIzinliGecis,$D135&amp;"|"&amp;$E135)&gt;0),"","GEÇERSİZ GEÇİŞ"))</f>
        <v/>
      </c>
      <c r="R135" s="28">
        <f>IF($A135="","",IF(OR($F135="",$H135=""),"",IF(ABS($H135-$F135)&gt;zincirTolerans,"ZİNCİR KIRIK","OK")))</f>
        <v/>
      </c>
      <c r="S135" s="28">
        <f>IF($A135="","",1)</f>
        <v/>
      </c>
    </row>
    <row r="136">
      <c r="A136" s="26" t="n"/>
      <c r="B136" s="26" t="n"/>
      <c r="C136" s="29" t="n"/>
      <c r="D136" s="26" t="n"/>
      <c r="E136" s="26" t="n"/>
      <c r="F136" s="27" t="n"/>
      <c r="G136" s="27" t="n"/>
      <c r="H136" s="27" t="n"/>
      <c r="I136" s="27" t="n"/>
      <c r="J136" s="27" t="n"/>
      <c r="K136" s="27" t="n"/>
      <c r="L136" s="26" t="n"/>
      <c r="M136" s="26" t="n"/>
      <c r="N136" s="28">
        <f>IF($A136="","",IF($C136="","",raporTarihi-$C136))</f>
        <v/>
      </c>
      <c r="O136" s="28">
        <f>IF($A136="","",IF($N136="","",IF($N136&lt;=7,"0-7",IF($N136&lt;=30,"8-30",IF($N136&lt;=60,"31-60","60+")))))</f>
        <v/>
      </c>
      <c r="P136" s="28">
        <f>IF($A136="","",IF($B136="","YETİM",IF(COUNTIF(tblKartlar[KartId],$B136)=0,"YETİM","")))</f>
        <v/>
      </c>
      <c r="Q136" s="28">
        <f>IF(OR($A136="",$D136=""),"",IF(OR($D136&amp;"|"&amp;$E136="",COUNTIF(ListeIzinliGecis,$D136&amp;"|"&amp;$E136)&gt;0),"","GEÇERSİZ GEÇİŞ"))</f>
        <v/>
      </c>
      <c r="R136" s="28">
        <f>IF($A136="","",IF(OR($F136="",$H136=""),"",IF(ABS($H136-$F136)&gt;zincirTolerans,"ZİNCİR KIRIK","OK")))</f>
        <v/>
      </c>
      <c r="S136" s="28">
        <f>IF($A136="","",1)</f>
        <v/>
      </c>
    </row>
    <row r="137">
      <c r="A137" s="26" t="n"/>
      <c r="B137" s="26" t="n"/>
      <c r="C137" s="29" t="n"/>
      <c r="D137" s="26" t="n"/>
      <c r="E137" s="26" t="n"/>
      <c r="F137" s="27" t="n"/>
      <c r="G137" s="27" t="n"/>
      <c r="H137" s="27" t="n"/>
      <c r="I137" s="27" t="n"/>
      <c r="J137" s="27" t="n"/>
      <c r="K137" s="27" t="n"/>
      <c r="L137" s="26" t="n"/>
      <c r="M137" s="26" t="n"/>
      <c r="N137" s="28">
        <f>IF($A137="","",IF($C137="","",raporTarihi-$C137))</f>
        <v/>
      </c>
      <c r="O137" s="28">
        <f>IF($A137="","",IF($N137="","",IF($N137&lt;=7,"0-7",IF($N137&lt;=30,"8-30",IF($N137&lt;=60,"31-60","60+")))))</f>
        <v/>
      </c>
      <c r="P137" s="28">
        <f>IF($A137="","",IF($B137="","YETİM",IF(COUNTIF(tblKartlar[KartId],$B137)=0,"YETİM","")))</f>
        <v/>
      </c>
      <c r="Q137" s="28">
        <f>IF(OR($A137="",$D137=""),"",IF(OR($D137&amp;"|"&amp;$E137="",COUNTIF(ListeIzinliGecis,$D137&amp;"|"&amp;$E137)&gt;0),"","GEÇERSİZ GEÇİŞ"))</f>
        <v/>
      </c>
      <c r="R137" s="28">
        <f>IF($A137="","",IF(OR($F137="",$H137=""),"",IF(ABS($H137-$F137)&gt;zincirTolerans,"ZİNCİR KIRIK","OK")))</f>
        <v/>
      </c>
      <c r="S137" s="28">
        <f>IF($A137="","",1)</f>
        <v/>
      </c>
    </row>
    <row r="138">
      <c r="A138" s="26" t="n"/>
      <c r="B138" s="26" t="n"/>
      <c r="C138" s="29" t="n"/>
      <c r="D138" s="26" t="n"/>
      <c r="E138" s="26" t="n"/>
      <c r="F138" s="27" t="n"/>
      <c r="G138" s="27" t="n"/>
      <c r="H138" s="27" t="n"/>
      <c r="I138" s="27" t="n"/>
      <c r="J138" s="27" t="n"/>
      <c r="K138" s="27" t="n"/>
      <c r="L138" s="26" t="n"/>
      <c r="M138" s="26" t="n"/>
      <c r="N138" s="28">
        <f>IF($A138="","",IF($C138="","",raporTarihi-$C138))</f>
        <v/>
      </c>
      <c r="O138" s="28">
        <f>IF($A138="","",IF($N138="","",IF($N138&lt;=7,"0-7",IF($N138&lt;=30,"8-30",IF($N138&lt;=60,"31-60","60+")))))</f>
        <v/>
      </c>
      <c r="P138" s="28">
        <f>IF($A138="","",IF($B138="","YETİM",IF(COUNTIF(tblKartlar[KartId],$B138)=0,"YETİM","")))</f>
        <v/>
      </c>
      <c r="Q138" s="28">
        <f>IF(OR($A138="",$D138=""),"",IF(OR($D138&amp;"|"&amp;$E138="",COUNTIF(ListeIzinliGecis,$D138&amp;"|"&amp;$E138)&gt;0),"","GEÇERSİZ GEÇİŞ"))</f>
        <v/>
      </c>
      <c r="R138" s="28">
        <f>IF($A138="","",IF(OR($F138="",$H138=""),"",IF(ABS($H138-$F138)&gt;zincirTolerans,"ZİNCİR KIRIK","OK")))</f>
        <v/>
      </c>
      <c r="S138" s="28">
        <f>IF($A138="","",1)</f>
        <v/>
      </c>
    </row>
    <row r="139">
      <c r="A139" s="26" t="n"/>
      <c r="B139" s="26" t="n"/>
      <c r="C139" s="29" t="n"/>
      <c r="D139" s="26" t="n"/>
      <c r="E139" s="26" t="n"/>
      <c r="F139" s="27" t="n"/>
      <c r="G139" s="27" t="n"/>
      <c r="H139" s="27" t="n"/>
      <c r="I139" s="27" t="n"/>
      <c r="J139" s="27" t="n"/>
      <c r="K139" s="27" t="n"/>
      <c r="L139" s="26" t="n"/>
      <c r="M139" s="26" t="n"/>
      <c r="N139" s="28">
        <f>IF($A139="","",IF($C139="","",raporTarihi-$C139))</f>
        <v/>
      </c>
      <c r="O139" s="28">
        <f>IF($A139="","",IF($N139="","",IF($N139&lt;=7,"0-7",IF($N139&lt;=30,"8-30",IF($N139&lt;=60,"31-60","60+")))))</f>
        <v/>
      </c>
      <c r="P139" s="28">
        <f>IF($A139="","",IF($B139="","YETİM",IF(COUNTIF(tblKartlar[KartId],$B139)=0,"YETİM","")))</f>
        <v/>
      </c>
      <c r="Q139" s="28">
        <f>IF(OR($A139="",$D139=""),"",IF(OR($D139&amp;"|"&amp;$E139="",COUNTIF(ListeIzinliGecis,$D139&amp;"|"&amp;$E139)&gt;0),"","GEÇERSİZ GEÇİŞ"))</f>
        <v/>
      </c>
      <c r="R139" s="28">
        <f>IF($A139="","",IF(OR($F139="",$H139=""),"",IF(ABS($H139-$F139)&gt;zincirTolerans,"ZİNCİR KIRIK","OK")))</f>
        <v/>
      </c>
      <c r="S139" s="28">
        <f>IF($A139="","",1)</f>
        <v/>
      </c>
    </row>
    <row r="140">
      <c r="A140" s="26" t="n"/>
      <c r="B140" s="26" t="n"/>
      <c r="C140" s="29" t="n"/>
      <c r="D140" s="26" t="n"/>
      <c r="E140" s="26" t="n"/>
      <c r="F140" s="27" t="n"/>
      <c r="G140" s="27" t="n"/>
      <c r="H140" s="27" t="n"/>
      <c r="I140" s="27" t="n"/>
      <c r="J140" s="27" t="n"/>
      <c r="K140" s="27" t="n"/>
      <c r="L140" s="26" t="n"/>
      <c r="M140" s="26" t="n"/>
      <c r="N140" s="28">
        <f>IF($A140="","",IF($C140="","",raporTarihi-$C140))</f>
        <v/>
      </c>
      <c r="O140" s="28">
        <f>IF($A140="","",IF($N140="","",IF($N140&lt;=7,"0-7",IF($N140&lt;=30,"8-30",IF($N140&lt;=60,"31-60","60+")))))</f>
        <v/>
      </c>
      <c r="P140" s="28">
        <f>IF($A140="","",IF($B140="","YETİM",IF(COUNTIF(tblKartlar[KartId],$B140)=0,"YETİM","")))</f>
        <v/>
      </c>
      <c r="Q140" s="28">
        <f>IF(OR($A140="",$D140=""),"",IF(OR($D140&amp;"|"&amp;$E140="",COUNTIF(ListeIzinliGecis,$D140&amp;"|"&amp;$E140)&gt;0),"","GEÇERSİZ GEÇİŞ"))</f>
        <v/>
      </c>
      <c r="R140" s="28">
        <f>IF($A140="","",IF(OR($F140="",$H140=""),"",IF(ABS($H140-$F140)&gt;zincirTolerans,"ZİNCİR KIRIK","OK")))</f>
        <v/>
      </c>
      <c r="S140" s="28">
        <f>IF($A140="","",1)</f>
        <v/>
      </c>
    </row>
    <row r="141">
      <c r="A141" s="26" t="n"/>
      <c r="B141" s="26" t="n"/>
      <c r="C141" s="29" t="n"/>
      <c r="D141" s="26" t="n"/>
      <c r="E141" s="26" t="n"/>
      <c r="F141" s="27" t="n"/>
      <c r="G141" s="27" t="n"/>
      <c r="H141" s="27" t="n"/>
      <c r="I141" s="27" t="n"/>
      <c r="J141" s="27" t="n"/>
      <c r="K141" s="27" t="n"/>
      <c r="L141" s="26" t="n"/>
      <c r="M141" s="26" t="n"/>
      <c r="N141" s="28">
        <f>IF($A141="","",IF($C141="","",raporTarihi-$C141))</f>
        <v/>
      </c>
      <c r="O141" s="28">
        <f>IF($A141="","",IF($N141="","",IF($N141&lt;=7,"0-7",IF($N141&lt;=30,"8-30",IF($N141&lt;=60,"31-60","60+")))))</f>
        <v/>
      </c>
      <c r="P141" s="28">
        <f>IF($A141="","",IF($B141="","YETİM",IF(COUNTIF(tblKartlar[KartId],$B141)=0,"YETİM","")))</f>
        <v/>
      </c>
      <c r="Q141" s="28">
        <f>IF(OR($A141="",$D141=""),"",IF(OR($D141&amp;"|"&amp;$E141="",COUNTIF(ListeIzinliGecis,$D141&amp;"|"&amp;$E141)&gt;0),"","GEÇERSİZ GEÇİŞ"))</f>
        <v/>
      </c>
      <c r="R141" s="28">
        <f>IF($A141="","",IF(OR($F141="",$H141=""),"",IF(ABS($H141-$F141)&gt;zincirTolerans,"ZİNCİR KIRIK","OK")))</f>
        <v/>
      </c>
      <c r="S141" s="28">
        <f>IF($A141="","",1)</f>
        <v/>
      </c>
    </row>
    <row r="142">
      <c r="A142" s="26" t="n"/>
      <c r="B142" s="26" t="n"/>
      <c r="C142" s="29" t="n"/>
      <c r="D142" s="26" t="n"/>
      <c r="E142" s="26" t="n"/>
      <c r="F142" s="27" t="n"/>
      <c r="G142" s="27" t="n"/>
      <c r="H142" s="27" t="n"/>
      <c r="I142" s="27" t="n"/>
      <c r="J142" s="27" t="n"/>
      <c r="K142" s="27" t="n"/>
      <c r="L142" s="26" t="n"/>
      <c r="M142" s="26" t="n"/>
      <c r="N142" s="28">
        <f>IF($A142="","",IF($C142="","",raporTarihi-$C142))</f>
        <v/>
      </c>
      <c r="O142" s="28">
        <f>IF($A142="","",IF($N142="","",IF($N142&lt;=7,"0-7",IF($N142&lt;=30,"8-30",IF($N142&lt;=60,"31-60","60+")))))</f>
        <v/>
      </c>
      <c r="P142" s="28">
        <f>IF($A142="","",IF($B142="","YETİM",IF(COUNTIF(tblKartlar[KartId],$B142)=0,"YETİM","")))</f>
        <v/>
      </c>
      <c r="Q142" s="28">
        <f>IF(OR($A142="",$D142=""),"",IF(OR($D142&amp;"|"&amp;$E142="",COUNTIF(ListeIzinliGecis,$D142&amp;"|"&amp;$E142)&gt;0),"","GEÇERSİZ GEÇİŞ"))</f>
        <v/>
      </c>
      <c r="R142" s="28">
        <f>IF($A142="","",IF(OR($F142="",$H142=""),"",IF(ABS($H142-$F142)&gt;zincirTolerans,"ZİNCİR KIRIK","OK")))</f>
        <v/>
      </c>
      <c r="S142" s="28">
        <f>IF($A142="","",1)</f>
        <v/>
      </c>
    </row>
    <row r="143">
      <c r="A143" s="26" t="n"/>
      <c r="B143" s="26" t="n"/>
      <c r="C143" s="29" t="n"/>
      <c r="D143" s="26" t="n"/>
      <c r="E143" s="26" t="n"/>
      <c r="F143" s="27" t="n"/>
      <c r="G143" s="27" t="n"/>
      <c r="H143" s="27" t="n"/>
      <c r="I143" s="27" t="n"/>
      <c r="J143" s="27" t="n"/>
      <c r="K143" s="27" t="n"/>
      <c r="L143" s="26" t="n"/>
      <c r="M143" s="26" t="n"/>
      <c r="N143" s="28">
        <f>IF($A143="","",IF($C143="","",raporTarihi-$C143))</f>
        <v/>
      </c>
      <c r="O143" s="28">
        <f>IF($A143="","",IF($N143="","",IF($N143&lt;=7,"0-7",IF($N143&lt;=30,"8-30",IF($N143&lt;=60,"31-60","60+")))))</f>
        <v/>
      </c>
      <c r="P143" s="28">
        <f>IF($A143="","",IF($B143="","YETİM",IF(COUNTIF(tblKartlar[KartId],$B143)=0,"YETİM","")))</f>
        <v/>
      </c>
      <c r="Q143" s="28">
        <f>IF(OR($A143="",$D143=""),"",IF(OR($D143&amp;"|"&amp;$E143="",COUNTIF(ListeIzinliGecis,$D143&amp;"|"&amp;$E143)&gt;0),"","GEÇERSİZ GEÇİŞ"))</f>
        <v/>
      </c>
      <c r="R143" s="28">
        <f>IF($A143="","",IF(OR($F143="",$H143=""),"",IF(ABS($H143-$F143)&gt;zincirTolerans,"ZİNCİR KIRIK","OK")))</f>
        <v/>
      </c>
      <c r="S143" s="28">
        <f>IF($A143="","",1)</f>
        <v/>
      </c>
    </row>
    <row r="144">
      <c r="A144" s="26" t="n"/>
      <c r="B144" s="26" t="n"/>
      <c r="C144" s="29" t="n"/>
      <c r="D144" s="26" t="n"/>
      <c r="E144" s="26" t="n"/>
      <c r="F144" s="27" t="n"/>
      <c r="G144" s="27" t="n"/>
      <c r="H144" s="27" t="n"/>
      <c r="I144" s="27" t="n"/>
      <c r="J144" s="27" t="n"/>
      <c r="K144" s="27" t="n"/>
      <c r="L144" s="26" t="n"/>
      <c r="M144" s="26" t="n"/>
      <c r="N144" s="28">
        <f>IF($A144="","",IF($C144="","",raporTarihi-$C144))</f>
        <v/>
      </c>
      <c r="O144" s="28">
        <f>IF($A144="","",IF($N144="","",IF($N144&lt;=7,"0-7",IF($N144&lt;=30,"8-30",IF($N144&lt;=60,"31-60","60+")))))</f>
        <v/>
      </c>
      <c r="P144" s="28">
        <f>IF($A144="","",IF($B144="","YETİM",IF(COUNTIF(tblKartlar[KartId],$B144)=0,"YETİM","")))</f>
        <v/>
      </c>
      <c r="Q144" s="28">
        <f>IF(OR($A144="",$D144=""),"",IF(OR($D144&amp;"|"&amp;$E144="",COUNTIF(ListeIzinliGecis,$D144&amp;"|"&amp;$E144)&gt;0),"","GEÇERSİZ GEÇİŞ"))</f>
        <v/>
      </c>
      <c r="R144" s="28">
        <f>IF($A144="","",IF(OR($F144="",$H144=""),"",IF(ABS($H144-$F144)&gt;zincirTolerans,"ZİNCİR KIRIK","OK")))</f>
        <v/>
      </c>
      <c r="S144" s="28">
        <f>IF($A144="","",1)</f>
        <v/>
      </c>
    </row>
    <row r="145">
      <c r="A145" s="26" t="n"/>
      <c r="B145" s="26" t="n"/>
      <c r="C145" s="29" t="n"/>
      <c r="D145" s="26" t="n"/>
      <c r="E145" s="26" t="n"/>
      <c r="F145" s="27" t="n"/>
      <c r="G145" s="27" t="n"/>
      <c r="H145" s="27" t="n"/>
      <c r="I145" s="27" t="n"/>
      <c r="J145" s="27" t="n"/>
      <c r="K145" s="27" t="n"/>
      <c r="L145" s="26" t="n"/>
      <c r="M145" s="26" t="n"/>
      <c r="N145" s="28">
        <f>IF($A145="","",IF($C145="","",raporTarihi-$C145))</f>
        <v/>
      </c>
      <c r="O145" s="28">
        <f>IF($A145="","",IF($N145="","",IF($N145&lt;=7,"0-7",IF($N145&lt;=30,"8-30",IF($N145&lt;=60,"31-60","60+")))))</f>
        <v/>
      </c>
      <c r="P145" s="28">
        <f>IF($A145="","",IF($B145="","YETİM",IF(COUNTIF(tblKartlar[KartId],$B145)=0,"YETİM","")))</f>
        <v/>
      </c>
      <c r="Q145" s="28">
        <f>IF(OR($A145="",$D145=""),"",IF(OR($D145&amp;"|"&amp;$E145="",COUNTIF(ListeIzinliGecis,$D145&amp;"|"&amp;$E145)&gt;0),"","GEÇERSİZ GEÇİŞ"))</f>
        <v/>
      </c>
      <c r="R145" s="28">
        <f>IF($A145="","",IF(OR($F145="",$H145=""),"",IF(ABS($H145-$F145)&gt;zincirTolerans,"ZİNCİR KIRIK","OK")))</f>
        <v/>
      </c>
      <c r="S145" s="28">
        <f>IF($A145="","",1)</f>
        <v/>
      </c>
    </row>
    <row r="146">
      <c r="A146" s="26" t="n"/>
      <c r="B146" s="26" t="n"/>
      <c r="C146" s="29" t="n"/>
      <c r="D146" s="26" t="n"/>
      <c r="E146" s="26" t="n"/>
      <c r="F146" s="27" t="n"/>
      <c r="G146" s="27" t="n"/>
      <c r="H146" s="27" t="n"/>
      <c r="I146" s="27" t="n"/>
      <c r="J146" s="27" t="n"/>
      <c r="K146" s="27" t="n"/>
      <c r="L146" s="26" t="n"/>
      <c r="M146" s="26" t="n"/>
      <c r="N146" s="28">
        <f>IF($A146="","",IF($C146="","",raporTarihi-$C146))</f>
        <v/>
      </c>
      <c r="O146" s="28">
        <f>IF($A146="","",IF($N146="","",IF($N146&lt;=7,"0-7",IF($N146&lt;=30,"8-30",IF($N146&lt;=60,"31-60","60+")))))</f>
        <v/>
      </c>
      <c r="P146" s="28">
        <f>IF($A146="","",IF($B146="","YETİM",IF(COUNTIF(tblKartlar[KartId],$B146)=0,"YETİM","")))</f>
        <v/>
      </c>
      <c r="Q146" s="28">
        <f>IF(OR($A146="",$D146=""),"",IF(OR($D146&amp;"|"&amp;$E146="",COUNTIF(ListeIzinliGecis,$D146&amp;"|"&amp;$E146)&gt;0),"","GEÇERSİZ GEÇİŞ"))</f>
        <v/>
      </c>
      <c r="R146" s="28">
        <f>IF($A146="","",IF(OR($F146="",$H146=""),"",IF(ABS($H146-$F146)&gt;zincirTolerans,"ZİNCİR KIRIK","OK")))</f>
        <v/>
      </c>
      <c r="S146" s="28">
        <f>IF($A146="","",1)</f>
        <v/>
      </c>
    </row>
    <row r="147">
      <c r="A147" s="26" t="n"/>
      <c r="B147" s="26" t="n"/>
      <c r="C147" s="29" t="n"/>
      <c r="D147" s="26" t="n"/>
      <c r="E147" s="26" t="n"/>
      <c r="F147" s="27" t="n"/>
      <c r="G147" s="27" t="n"/>
      <c r="H147" s="27" t="n"/>
      <c r="I147" s="27" t="n"/>
      <c r="J147" s="27" t="n"/>
      <c r="K147" s="27" t="n"/>
      <c r="L147" s="26" t="n"/>
      <c r="M147" s="26" t="n"/>
      <c r="N147" s="28">
        <f>IF($A147="","",IF($C147="","",raporTarihi-$C147))</f>
        <v/>
      </c>
      <c r="O147" s="28">
        <f>IF($A147="","",IF($N147="","",IF($N147&lt;=7,"0-7",IF($N147&lt;=30,"8-30",IF($N147&lt;=60,"31-60","60+")))))</f>
        <v/>
      </c>
      <c r="P147" s="28">
        <f>IF($A147="","",IF($B147="","YETİM",IF(COUNTIF(tblKartlar[KartId],$B147)=0,"YETİM","")))</f>
        <v/>
      </c>
      <c r="Q147" s="28">
        <f>IF(OR($A147="",$D147=""),"",IF(OR($D147&amp;"|"&amp;$E147="",COUNTIF(ListeIzinliGecis,$D147&amp;"|"&amp;$E147)&gt;0),"","GEÇERSİZ GEÇİŞ"))</f>
        <v/>
      </c>
      <c r="R147" s="28">
        <f>IF($A147="","",IF(OR($F147="",$H147=""),"",IF(ABS($H147-$F147)&gt;zincirTolerans,"ZİNCİR KIRIK","OK")))</f>
        <v/>
      </c>
      <c r="S147" s="28">
        <f>IF($A147="","",1)</f>
        <v/>
      </c>
    </row>
    <row r="148">
      <c r="A148" s="26" t="n"/>
      <c r="B148" s="26" t="n"/>
      <c r="C148" s="29" t="n"/>
      <c r="D148" s="26" t="n"/>
      <c r="E148" s="26" t="n"/>
      <c r="F148" s="27" t="n"/>
      <c r="G148" s="27" t="n"/>
      <c r="H148" s="27" t="n"/>
      <c r="I148" s="27" t="n"/>
      <c r="J148" s="27" t="n"/>
      <c r="K148" s="27" t="n"/>
      <c r="L148" s="26" t="n"/>
      <c r="M148" s="26" t="n"/>
      <c r="N148" s="28">
        <f>IF($A148="","",IF($C148="","",raporTarihi-$C148))</f>
        <v/>
      </c>
      <c r="O148" s="28">
        <f>IF($A148="","",IF($N148="","",IF($N148&lt;=7,"0-7",IF($N148&lt;=30,"8-30",IF($N148&lt;=60,"31-60","60+")))))</f>
        <v/>
      </c>
      <c r="P148" s="28">
        <f>IF($A148="","",IF($B148="","YETİM",IF(COUNTIF(tblKartlar[KartId],$B148)=0,"YETİM","")))</f>
        <v/>
      </c>
      <c r="Q148" s="28">
        <f>IF(OR($A148="",$D148=""),"",IF(OR($D148&amp;"|"&amp;$E148="",COUNTIF(ListeIzinliGecis,$D148&amp;"|"&amp;$E148)&gt;0),"","GEÇERSİZ GEÇİŞ"))</f>
        <v/>
      </c>
      <c r="R148" s="28">
        <f>IF($A148="","",IF(OR($F148="",$H148=""),"",IF(ABS($H148-$F148)&gt;zincirTolerans,"ZİNCİR KIRIK","OK")))</f>
        <v/>
      </c>
      <c r="S148" s="28">
        <f>IF($A148="","",1)</f>
        <v/>
      </c>
    </row>
    <row r="149">
      <c r="A149" s="26" t="n"/>
      <c r="B149" s="26" t="n"/>
      <c r="C149" s="29" t="n"/>
      <c r="D149" s="26" t="n"/>
      <c r="E149" s="26" t="n"/>
      <c r="F149" s="27" t="n"/>
      <c r="G149" s="27" t="n"/>
      <c r="H149" s="27" t="n"/>
      <c r="I149" s="27" t="n"/>
      <c r="J149" s="27" t="n"/>
      <c r="K149" s="27" t="n"/>
      <c r="L149" s="26" t="n"/>
      <c r="M149" s="26" t="n"/>
      <c r="N149" s="28">
        <f>IF($A149="","",IF($C149="","",raporTarihi-$C149))</f>
        <v/>
      </c>
      <c r="O149" s="28">
        <f>IF($A149="","",IF($N149="","",IF($N149&lt;=7,"0-7",IF($N149&lt;=30,"8-30",IF($N149&lt;=60,"31-60","60+")))))</f>
        <v/>
      </c>
      <c r="P149" s="28">
        <f>IF($A149="","",IF($B149="","YETİM",IF(COUNTIF(tblKartlar[KartId],$B149)=0,"YETİM","")))</f>
        <v/>
      </c>
      <c r="Q149" s="28">
        <f>IF(OR($A149="",$D149=""),"",IF(OR($D149&amp;"|"&amp;$E149="",COUNTIF(ListeIzinliGecis,$D149&amp;"|"&amp;$E149)&gt;0),"","GEÇERSİZ GEÇİŞ"))</f>
        <v/>
      </c>
      <c r="R149" s="28">
        <f>IF($A149="","",IF(OR($F149="",$H149=""),"",IF(ABS($H149-$F149)&gt;zincirTolerans,"ZİNCİR KIRIK","OK")))</f>
        <v/>
      </c>
      <c r="S149" s="28">
        <f>IF($A149="","",1)</f>
        <v/>
      </c>
    </row>
    <row r="150">
      <c r="A150" s="26" t="n"/>
      <c r="B150" s="26" t="n"/>
      <c r="C150" s="29" t="n"/>
      <c r="D150" s="26" t="n"/>
      <c r="E150" s="26" t="n"/>
      <c r="F150" s="27" t="n"/>
      <c r="G150" s="27" t="n"/>
      <c r="H150" s="27" t="n"/>
      <c r="I150" s="27" t="n"/>
      <c r="J150" s="27" t="n"/>
      <c r="K150" s="27" t="n"/>
      <c r="L150" s="26" t="n"/>
      <c r="M150" s="26" t="n"/>
      <c r="N150" s="28">
        <f>IF($A150="","",IF($C150="","",raporTarihi-$C150))</f>
        <v/>
      </c>
      <c r="O150" s="28">
        <f>IF($A150="","",IF($N150="","",IF($N150&lt;=7,"0-7",IF($N150&lt;=30,"8-30",IF($N150&lt;=60,"31-60","60+")))))</f>
        <v/>
      </c>
      <c r="P150" s="28">
        <f>IF($A150="","",IF($B150="","YETİM",IF(COUNTIF(tblKartlar[KartId],$B150)=0,"YETİM","")))</f>
        <v/>
      </c>
      <c r="Q150" s="28">
        <f>IF(OR($A150="",$D150=""),"",IF(OR($D150&amp;"|"&amp;$E150="",COUNTIF(ListeIzinliGecis,$D150&amp;"|"&amp;$E150)&gt;0),"","GEÇERSİZ GEÇİŞ"))</f>
        <v/>
      </c>
      <c r="R150" s="28">
        <f>IF($A150="","",IF(OR($F150="",$H150=""),"",IF(ABS($H150-$F150)&gt;zincirTolerans,"ZİNCİR KIRIK","OK")))</f>
        <v/>
      </c>
      <c r="S150" s="28">
        <f>IF($A150="","",1)</f>
        <v/>
      </c>
    </row>
    <row r="151">
      <c r="A151" s="26" t="n"/>
      <c r="B151" s="26" t="n"/>
      <c r="C151" s="29" t="n"/>
      <c r="D151" s="26" t="n"/>
      <c r="E151" s="26" t="n"/>
      <c r="F151" s="27" t="n"/>
      <c r="G151" s="27" t="n"/>
      <c r="H151" s="27" t="n"/>
      <c r="I151" s="27" t="n"/>
      <c r="J151" s="27" t="n"/>
      <c r="K151" s="27" t="n"/>
      <c r="L151" s="26" t="n"/>
      <c r="M151" s="26" t="n"/>
      <c r="N151" s="28">
        <f>IF($A151="","",IF($C151="","",raporTarihi-$C151))</f>
        <v/>
      </c>
      <c r="O151" s="28">
        <f>IF($A151="","",IF($N151="","",IF($N151&lt;=7,"0-7",IF($N151&lt;=30,"8-30",IF($N151&lt;=60,"31-60","60+")))))</f>
        <v/>
      </c>
      <c r="P151" s="28">
        <f>IF($A151="","",IF($B151="","YETİM",IF(COUNTIF(tblKartlar[KartId],$B151)=0,"YETİM","")))</f>
        <v/>
      </c>
      <c r="Q151" s="28">
        <f>IF(OR($A151="",$D151=""),"",IF(OR($D151&amp;"|"&amp;$E151="",COUNTIF(ListeIzinliGecis,$D151&amp;"|"&amp;$E151)&gt;0),"","GEÇERSİZ GEÇİŞ"))</f>
        <v/>
      </c>
      <c r="R151" s="28">
        <f>IF($A151="","",IF(OR($F151="",$H151=""),"",IF(ABS($H151-$F151)&gt;zincirTolerans,"ZİNCİR KIRIK","OK")))</f>
        <v/>
      </c>
      <c r="S151" s="28">
        <f>IF($A151="","",1)</f>
        <v/>
      </c>
    </row>
    <row r="152">
      <c r="A152" s="26" t="n"/>
      <c r="B152" s="26" t="n"/>
      <c r="C152" s="29" t="n"/>
      <c r="D152" s="26" t="n"/>
      <c r="E152" s="26" t="n"/>
      <c r="F152" s="27" t="n"/>
      <c r="G152" s="27" t="n"/>
      <c r="H152" s="27" t="n"/>
      <c r="I152" s="27" t="n"/>
      <c r="J152" s="27" t="n"/>
      <c r="K152" s="27" t="n"/>
      <c r="L152" s="26" t="n"/>
      <c r="M152" s="26" t="n"/>
      <c r="N152" s="28">
        <f>IF($A152="","",IF($C152="","",raporTarihi-$C152))</f>
        <v/>
      </c>
      <c r="O152" s="28">
        <f>IF($A152="","",IF($N152="","",IF($N152&lt;=7,"0-7",IF($N152&lt;=30,"8-30",IF($N152&lt;=60,"31-60","60+")))))</f>
        <v/>
      </c>
      <c r="P152" s="28">
        <f>IF($A152="","",IF($B152="","YETİM",IF(COUNTIF(tblKartlar[KartId],$B152)=0,"YETİM","")))</f>
        <v/>
      </c>
      <c r="Q152" s="28">
        <f>IF(OR($A152="",$D152=""),"",IF(OR($D152&amp;"|"&amp;$E152="",COUNTIF(ListeIzinliGecis,$D152&amp;"|"&amp;$E152)&gt;0),"","GEÇERSİZ GEÇİŞ"))</f>
        <v/>
      </c>
      <c r="R152" s="28">
        <f>IF($A152="","",IF(OR($F152="",$H152=""),"",IF(ABS($H152-$F152)&gt;zincirTolerans,"ZİNCİR KIRIK","OK")))</f>
        <v/>
      </c>
      <c r="S152" s="28">
        <f>IF($A152="","",1)</f>
        <v/>
      </c>
    </row>
    <row r="153">
      <c r="A153" s="26" t="n"/>
      <c r="B153" s="26" t="n"/>
      <c r="C153" s="29" t="n"/>
      <c r="D153" s="26" t="n"/>
      <c r="E153" s="26" t="n"/>
      <c r="F153" s="27" t="n"/>
      <c r="G153" s="27" t="n"/>
      <c r="H153" s="27" t="n"/>
      <c r="I153" s="27" t="n"/>
      <c r="J153" s="27" t="n"/>
      <c r="K153" s="27" t="n"/>
      <c r="L153" s="26" t="n"/>
      <c r="M153" s="26" t="n"/>
      <c r="N153" s="28">
        <f>IF($A153="","",IF($C153="","",raporTarihi-$C153))</f>
        <v/>
      </c>
      <c r="O153" s="28">
        <f>IF($A153="","",IF($N153="","",IF($N153&lt;=7,"0-7",IF($N153&lt;=30,"8-30",IF($N153&lt;=60,"31-60","60+")))))</f>
        <v/>
      </c>
      <c r="P153" s="28">
        <f>IF($A153="","",IF($B153="","YETİM",IF(COUNTIF(tblKartlar[KartId],$B153)=0,"YETİM","")))</f>
        <v/>
      </c>
      <c r="Q153" s="28">
        <f>IF(OR($A153="",$D153=""),"",IF(OR($D153&amp;"|"&amp;$E153="",COUNTIF(ListeIzinliGecis,$D153&amp;"|"&amp;$E153)&gt;0),"","GEÇERSİZ GEÇİŞ"))</f>
        <v/>
      </c>
      <c r="R153" s="28">
        <f>IF($A153="","",IF(OR($F153="",$H153=""),"",IF(ABS($H153-$F153)&gt;zincirTolerans,"ZİNCİR KIRIK","OK")))</f>
        <v/>
      </c>
      <c r="S153" s="28">
        <f>IF($A153="","",1)</f>
        <v/>
      </c>
    </row>
    <row r="154">
      <c r="A154" s="26" t="n"/>
      <c r="B154" s="26" t="n"/>
      <c r="C154" s="29" t="n"/>
      <c r="D154" s="26" t="n"/>
      <c r="E154" s="26" t="n"/>
      <c r="F154" s="27" t="n"/>
      <c r="G154" s="27" t="n"/>
      <c r="H154" s="27" t="n"/>
      <c r="I154" s="27" t="n"/>
      <c r="J154" s="27" t="n"/>
      <c r="K154" s="27" t="n"/>
      <c r="L154" s="26" t="n"/>
      <c r="M154" s="26" t="n"/>
      <c r="N154" s="28">
        <f>IF($A154="","",IF($C154="","",raporTarihi-$C154))</f>
        <v/>
      </c>
      <c r="O154" s="28">
        <f>IF($A154="","",IF($N154="","",IF($N154&lt;=7,"0-7",IF($N154&lt;=30,"8-30",IF($N154&lt;=60,"31-60","60+")))))</f>
        <v/>
      </c>
      <c r="P154" s="28">
        <f>IF($A154="","",IF($B154="","YETİM",IF(COUNTIF(tblKartlar[KartId],$B154)=0,"YETİM","")))</f>
        <v/>
      </c>
      <c r="Q154" s="28">
        <f>IF(OR($A154="",$D154=""),"",IF(OR($D154&amp;"|"&amp;$E154="",COUNTIF(ListeIzinliGecis,$D154&amp;"|"&amp;$E154)&gt;0),"","GEÇERSİZ GEÇİŞ"))</f>
        <v/>
      </c>
      <c r="R154" s="28">
        <f>IF($A154="","",IF(OR($F154="",$H154=""),"",IF(ABS($H154-$F154)&gt;zincirTolerans,"ZİNCİR KIRIK","OK")))</f>
        <v/>
      </c>
      <c r="S154" s="28">
        <f>IF($A154="","",1)</f>
        <v/>
      </c>
    </row>
    <row r="155">
      <c r="A155" s="26" t="n"/>
      <c r="B155" s="26" t="n"/>
      <c r="C155" s="29" t="n"/>
      <c r="D155" s="26" t="n"/>
      <c r="E155" s="26" t="n"/>
      <c r="F155" s="27" t="n"/>
      <c r="G155" s="27" t="n"/>
      <c r="H155" s="27" t="n"/>
      <c r="I155" s="27" t="n"/>
      <c r="J155" s="27" t="n"/>
      <c r="K155" s="27" t="n"/>
      <c r="L155" s="26" t="n"/>
      <c r="M155" s="26" t="n"/>
      <c r="N155" s="28">
        <f>IF($A155="","",IF($C155="","",raporTarihi-$C155))</f>
        <v/>
      </c>
      <c r="O155" s="28">
        <f>IF($A155="","",IF($N155="","",IF($N155&lt;=7,"0-7",IF($N155&lt;=30,"8-30",IF($N155&lt;=60,"31-60","60+")))))</f>
        <v/>
      </c>
      <c r="P155" s="28">
        <f>IF($A155="","",IF($B155="","YETİM",IF(COUNTIF(tblKartlar[KartId],$B155)=0,"YETİM","")))</f>
        <v/>
      </c>
      <c r="Q155" s="28">
        <f>IF(OR($A155="",$D155=""),"",IF(OR($D155&amp;"|"&amp;$E155="",COUNTIF(ListeIzinliGecis,$D155&amp;"|"&amp;$E155)&gt;0),"","GEÇERSİZ GEÇİŞ"))</f>
        <v/>
      </c>
      <c r="R155" s="28">
        <f>IF($A155="","",IF(OR($F155="",$H155=""),"",IF(ABS($H155-$F155)&gt;zincirTolerans,"ZİNCİR KIRIK","OK")))</f>
        <v/>
      </c>
      <c r="S155" s="28">
        <f>IF($A155="","",1)</f>
        <v/>
      </c>
    </row>
    <row r="156">
      <c r="A156" s="26" t="n"/>
      <c r="B156" s="26" t="n"/>
      <c r="C156" s="29" t="n"/>
      <c r="D156" s="26" t="n"/>
      <c r="E156" s="26" t="n"/>
      <c r="F156" s="27" t="n"/>
      <c r="G156" s="27" t="n"/>
      <c r="H156" s="27" t="n"/>
      <c r="I156" s="27" t="n"/>
      <c r="J156" s="27" t="n"/>
      <c r="K156" s="27" t="n"/>
      <c r="L156" s="26" t="n"/>
      <c r="M156" s="26" t="n"/>
      <c r="N156" s="28">
        <f>IF($A156="","",IF($C156="","",raporTarihi-$C156))</f>
        <v/>
      </c>
      <c r="O156" s="28">
        <f>IF($A156="","",IF($N156="","",IF($N156&lt;=7,"0-7",IF($N156&lt;=30,"8-30",IF($N156&lt;=60,"31-60","60+")))))</f>
        <v/>
      </c>
      <c r="P156" s="28">
        <f>IF($A156="","",IF($B156="","YETİM",IF(COUNTIF(tblKartlar[KartId],$B156)=0,"YETİM","")))</f>
        <v/>
      </c>
      <c r="Q156" s="28">
        <f>IF(OR($A156="",$D156=""),"",IF(OR($D156&amp;"|"&amp;$E156="",COUNTIF(ListeIzinliGecis,$D156&amp;"|"&amp;$E156)&gt;0),"","GEÇERSİZ GEÇİŞ"))</f>
        <v/>
      </c>
      <c r="R156" s="28">
        <f>IF($A156="","",IF(OR($F156="",$H156=""),"",IF(ABS($H156-$F156)&gt;zincirTolerans,"ZİNCİR KIRIK","OK")))</f>
        <v/>
      </c>
      <c r="S156" s="28">
        <f>IF($A156="","",1)</f>
        <v/>
      </c>
    </row>
    <row r="157">
      <c r="A157" s="26" t="n"/>
      <c r="B157" s="26" t="n"/>
      <c r="C157" s="29" t="n"/>
      <c r="D157" s="26" t="n"/>
      <c r="E157" s="26" t="n"/>
      <c r="F157" s="27" t="n"/>
      <c r="G157" s="27" t="n"/>
      <c r="H157" s="27" t="n"/>
      <c r="I157" s="27" t="n"/>
      <c r="J157" s="27" t="n"/>
      <c r="K157" s="27" t="n"/>
      <c r="L157" s="26" t="n"/>
      <c r="M157" s="26" t="n"/>
      <c r="N157" s="28">
        <f>IF($A157="","",IF($C157="","",raporTarihi-$C157))</f>
        <v/>
      </c>
      <c r="O157" s="28">
        <f>IF($A157="","",IF($N157="","",IF($N157&lt;=7,"0-7",IF($N157&lt;=30,"8-30",IF($N157&lt;=60,"31-60","60+")))))</f>
        <v/>
      </c>
      <c r="P157" s="28">
        <f>IF($A157="","",IF($B157="","YETİM",IF(COUNTIF(tblKartlar[KartId],$B157)=0,"YETİM","")))</f>
        <v/>
      </c>
      <c r="Q157" s="28">
        <f>IF(OR($A157="",$D157=""),"",IF(OR($D157&amp;"|"&amp;$E157="",COUNTIF(ListeIzinliGecis,$D157&amp;"|"&amp;$E157)&gt;0),"","GEÇERSİZ GEÇİŞ"))</f>
        <v/>
      </c>
      <c r="R157" s="28">
        <f>IF($A157="","",IF(OR($F157="",$H157=""),"",IF(ABS($H157-$F157)&gt;zincirTolerans,"ZİNCİR KIRIK","OK")))</f>
        <v/>
      </c>
      <c r="S157" s="28">
        <f>IF($A157="","",1)</f>
        <v/>
      </c>
    </row>
    <row r="158">
      <c r="A158" s="26" t="n"/>
      <c r="B158" s="26" t="n"/>
      <c r="C158" s="29" t="n"/>
      <c r="D158" s="26" t="n"/>
      <c r="E158" s="26" t="n"/>
      <c r="F158" s="27" t="n"/>
      <c r="G158" s="27" t="n"/>
      <c r="H158" s="27" t="n"/>
      <c r="I158" s="27" t="n"/>
      <c r="J158" s="27" t="n"/>
      <c r="K158" s="27" t="n"/>
      <c r="L158" s="26" t="n"/>
      <c r="M158" s="26" t="n"/>
      <c r="N158" s="28">
        <f>IF($A158="","",IF($C158="","",raporTarihi-$C158))</f>
        <v/>
      </c>
      <c r="O158" s="28">
        <f>IF($A158="","",IF($N158="","",IF($N158&lt;=7,"0-7",IF($N158&lt;=30,"8-30",IF($N158&lt;=60,"31-60","60+")))))</f>
        <v/>
      </c>
      <c r="P158" s="28">
        <f>IF($A158="","",IF($B158="","YETİM",IF(COUNTIF(tblKartlar[KartId],$B158)=0,"YETİM","")))</f>
        <v/>
      </c>
      <c r="Q158" s="28">
        <f>IF(OR($A158="",$D158=""),"",IF(OR($D158&amp;"|"&amp;$E158="",COUNTIF(ListeIzinliGecis,$D158&amp;"|"&amp;$E158)&gt;0),"","GEÇERSİZ GEÇİŞ"))</f>
        <v/>
      </c>
      <c r="R158" s="28">
        <f>IF($A158="","",IF(OR($F158="",$H158=""),"",IF(ABS($H158-$F158)&gt;zincirTolerans,"ZİNCİR KIRIK","OK")))</f>
        <v/>
      </c>
      <c r="S158" s="28">
        <f>IF($A158="","",1)</f>
        <v/>
      </c>
    </row>
    <row r="159">
      <c r="A159" s="26" t="n"/>
      <c r="B159" s="26" t="n"/>
      <c r="C159" s="29" t="n"/>
      <c r="D159" s="26" t="n"/>
      <c r="E159" s="26" t="n"/>
      <c r="F159" s="27" t="n"/>
      <c r="G159" s="27" t="n"/>
      <c r="H159" s="27" t="n"/>
      <c r="I159" s="27" t="n"/>
      <c r="J159" s="27" t="n"/>
      <c r="K159" s="27" t="n"/>
      <c r="L159" s="26" t="n"/>
      <c r="M159" s="26" t="n"/>
      <c r="N159" s="28">
        <f>IF($A159="","",IF($C159="","",raporTarihi-$C159))</f>
        <v/>
      </c>
      <c r="O159" s="28">
        <f>IF($A159="","",IF($N159="","",IF($N159&lt;=7,"0-7",IF($N159&lt;=30,"8-30",IF($N159&lt;=60,"31-60","60+")))))</f>
        <v/>
      </c>
      <c r="P159" s="28">
        <f>IF($A159="","",IF($B159="","YETİM",IF(COUNTIF(tblKartlar[KartId],$B159)=0,"YETİM","")))</f>
        <v/>
      </c>
      <c r="Q159" s="28">
        <f>IF(OR($A159="",$D159=""),"",IF(OR($D159&amp;"|"&amp;$E159="",COUNTIF(ListeIzinliGecis,$D159&amp;"|"&amp;$E159)&gt;0),"","GEÇERSİZ GEÇİŞ"))</f>
        <v/>
      </c>
      <c r="R159" s="28">
        <f>IF($A159="","",IF(OR($F159="",$H159=""),"",IF(ABS($H159-$F159)&gt;zincirTolerans,"ZİNCİR KIRIK","OK")))</f>
        <v/>
      </c>
      <c r="S159" s="28">
        <f>IF($A159="","",1)</f>
        <v/>
      </c>
    </row>
    <row r="160">
      <c r="A160" s="26" t="n"/>
      <c r="B160" s="26" t="n"/>
      <c r="C160" s="29" t="n"/>
      <c r="D160" s="26" t="n"/>
      <c r="E160" s="26" t="n"/>
      <c r="F160" s="27" t="n"/>
      <c r="G160" s="27" t="n"/>
      <c r="H160" s="27" t="n"/>
      <c r="I160" s="27" t="n"/>
      <c r="J160" s="27" t="n"/>
      <c r="K160" s="27" t="n"/>
      <c r="L160" s="26" t="n"/>
      <c r="M160" s="26" t="n"/>
      <c r="N160" s="28">
        <f>IF($A160="","",IF($C160="","",raporTarihi-$C160))</f>
        <v/>
      </c>
      <c r="O160" s="28">
        <f>IF($A160="","",IF($N160="","",IF($N160&lt;=7,"0-7",IF($N160&lt;=30,"8-30",IF($N160&lt;=60,"31-60","60+")))))</f>
        <v/>
      </c>
      <c r="P160" s="28">
        <f>IF($A160="","",IF($B160="","YETİM",IF(COUNTIF(tblKartlar[KartId],$B160)=0,"YETİM","")))</f>
        <v/>
      </c>
      <c r="Q160" s="28">
        <f>IF(OR($A160="",$D160=""),"",IF(OR($D160&amp;"|"&amp;$E160="",COUNTIF(ListeIzinliGecis,$D160&amp;"|"&amp;$E160)&gt;0),"","GEÇERSİZ GEÇİŞ"))</f>
        <v/>
      </c>
      <c r="R160" s="28">
        <f>IF($A160="","",IF(OR($F160="",$H160=""),"",IF(ABS($H160-$F160)&gt;zincirTolerans,"ZİNCİR KIRIK","OK")))</f>
        <v/>
      </c>
      <c r="S160" s="28">
        <f>IF($A160="","",1)</f>
        <v/>
      </c>
    </row>
    <row r="161">
      <c r="A161" s="26" t="n"/>
      <c r="B161" s="26" t="n"/>
      <c r="C161" s="29" t="n"/>
      <c r="D161" s="26" t="n"/>
      <c r="E161" s="26" t="n"/>
      <c r="F161" s="27" t="n"/>
      <c r="G161" s="27" t="n"/>
      <c r="H161" s="27" t="n"/>
      <c r="I161" s="27" t="n"/>
      <c r="J161" s="27" t="n"/>
      <c r="K161" s="27" t="n"/>
      <c r="L161" s="26" t="n"/>
      <c r="M161" s="26" t="n"/>
      <c r="N161" s="28">
        <f>IF($A161="","",IF($C161="","",raporTarihi-$C161))</f>
        <v/>
      </c>
      <c r="O161" s="28">
        <f>IF($A161="","",IF($N161="","",IF($N161&lt;=7,"0-7",IF($N161&lt;=30,"8-30",IF($N161&lt;=60,"31-60","60+")))))</f>
        <v/>
      </c>
      <c r="P161" s="28">
        <f>IF($A161="","",IF($B161="","YETİM",IF(COUNTIF(tblKartlar[KartId],$B161)=0,"YETİM","")))</f>
        <v/>
      </c>
      <c r="Q161" s="28">
        <f>IF(OR($A161="",$D161=""),"",IF(OR($D161&amp;"|"&amp;$E161="",COUNTIF(ListeIzinliGecis,$D161&amp;"|"&amp;$E161)&gt;0),"","GEÇERSİZ GEÇİŞ"))</f>
        <v/>
      </c>
      <c r="R161" s="28">
        <f>IF($A161="","",IF(OR($F161="",$H161=""),"",IF(ABS($H161-$F161)&gt;zincirTolerans,"ZİNCİR KIRIK","OK")))</f>
        <v/>
      </c>
      <c r="S161" s="28">
        <f>IF($A161="","",1)</f>
        <v/>
      </c>
    </row>
    <row r="162">
      <c r="A162" s="26" t="n"/>
      <c r="B162" s="26" t="n"/>
      <c r="C162" s="29" t="n"/>
      <c r="D162" s="26" t="n"/>
      <c r="E162" s="26" t="n"/>
      <c r="F162" s="27" t="n"/>
      <c r="G162" s="27" t="n"/>
      <c r="H162" s="27" t="n"/>
      <c r="I162" s="27" t="n"/>
      <c r="J162" s="27" t="n"/>
      <c r="K162" s="27" t="n"/>
      <c r="L162" s="26" t="n"/>
      <c r="M162" s="26" t="n"/>
      <c r="N162" s="28">
        <f>IF($A162="","",IF($C162="","",raporTarihi-$C162))</f>
        <v/>
      </c>
      <c r="O162" s="28">
        <f>IF($A162="","",IF($N162="","",IF($N162&lt;=7,"0-7",IF($N162&lt;=30,"8-30",IF($N162&lt;=60,"31-60","60+")))))</f>
        <v/>
      </c>
      <c r="P162" s="28">
        <f>IF($A162="","",IF($B162="","YETİM",IF(COUNTIF(tblKartlar[KartId],$B162)=0,"YETİM","")))</f>
        <v/>
      </c>
      <c r="Q162" s="28">
        <f>IF(OR($A162="",$D162=""),"",IF(OR($D162&amp;"|"&amp;$E162="",COUNTIF(ListeIzinliGecis,$D162&amp;"|"&amp;$E162)&gt;0),"","GEÇERSİZ GEÇİŞ"))</f>
        <v/>
      </c>
      <c r="R162" s="28">
        <f>IF($A162="","",IF(OR($F162="",$H162=""),"",IF(ABS($H162-$F162)&gt;zincirTolerans,"ZİNCİR KIRIK","OK")))</f>
        <v/>
      </c>
      <c r="S162" s="28">
        <f>IF($A162="","",1)</f>
        <v/>
      </c>
    </row>
    <row r="163">
      <c r="A163" s="26" t="n"/>
      <c r="B163" s="26" t="n"/>
      <c r="C163" s="29" t="n"/>
      <c r="D163" s="26" t="n"/>
      <c r="E163" s="26" t="n"/>
      <c r="F163" s="27" t="n"/>
      <c r="G163" s="27" t="n"/>
      <c r="H163" s="27" t="n"/>
      <c r="I163" s="27" t="n"/>
      <c r="J163" s="27" t="n"/>
      <c r="K163" s="27" t="n"/>
      <c r="L163" s="26" t="n"/>
      <c r="M163" s="26" t="n"/>
      <c r="N163" s="28">
        <f>IF($A163="","",IF($C163="","",raporTarihi-$C163))</f>
        <v/>
      </c>
      <c r="O163" s="28">
        <f>IF($A163="","",IF($N163="","",IF($N163&lt;=7,"0-7",IF($N163&lt;=30,"8-30",IF($N163&lt;=60,"31-60","60+")))))</f>
        <v/>
      </c>
      <c r="P163" s="28">
        <f>IF($A163="","",IF($B163="","YETİM",IF(COUNTIF(tblKartlar[KartId],$B163)=0,"YETİM","")))</f>
        <v/>
      </c>
      <c r="Q163" s="28">
        <f>IF(OR($A163="",$D163=""),"",IF(OR($D163&amp;"|"&amp;$E163="",COUNTIF(ListeIzinliGecis,$D163&amp;"|"&amp;$E163)&gt;0),"","GEÇERSİZ GEÇİŞ"))</f>
        <v/>
      </c>
      <c r="R163" s="28">
        <f>IF($A163="","",IF(OR($F163="",$H163=""),"",IF(ABS($H163-$F163)&gt;zincirTolerans,"ZİNCİR KIRIK","OK")))</f>
        <v/>
      </c>
      <c r="S163" s="28">
        <f>IF($A163="","",1)</f>
        <v/>
      </c>
    </row>
    <row r="164">
      <c r="A164" s="26" t="n"/>
      <c r="B164" s="26" t="n"/>
      <c r="C164" s="29" t="n"/>
      <c r="D164" s="26" t="n"/>
      <c r="E164" s="26" t="n"/>
      <c r="F164" s="27" t="n"/>
      <c r="G164" s="27" t="n"/>
      <c r="H164" s="27" t="n"/>
      <c r="I164" s="27" t="n"/>
      <c r="J164" s="27" t="n"/>
      <c r="K164" s="27" t="n"/>
      <c r="L164" s="26" t="n"/>
      <c r="M164" s="26" t="n"/>
      <c r="N164" s="28">
        <f>IF($A164="","",IF($C164="","",raporTarihi-$C164))</f>
        <v/>
      </c>
      <c r="O164" s="28">
        <f>IF($A164="","",IF($N164="","",IF($N164&lt;=7,"0-7",IF($N164&lt;=30,"8-30",IF($N164&lt;=60,"31-60","60+")))))</f>
        <v/>
      </c>
      <c r="P164" s="28">
        <f>IF($A164="","",IF($B164="","YETİM",IF(COUNTIF(tblKartlar[KartId],$B164)=0,"YETİM","")))</f>
        <v/>
      </c>
      <c r="Q164" s="28">
        <f>IF(OR($A164="",$D164=""),"",IF(OR($D164&amp;"|"&amp;$E164="",COUNTIF(ListeIzinliGecis,$D164&amp;"|"&amp;$E164)&gt;0),"","GEÇERSİZ GEÇİŞ"))</f>
        <v/>
      </c>
      <c r="R164" s="28">
        <f>IF($A164="","",IF(OR($F164="",$H164=""),"",IF(ABS($H164-$F164)&gt;zincirTolerans,"ZİNCİR KIRIK","OK")))</f>
        <v/>
      </c>
      <c r="S164" s="28">
        <f>IF($A164="","",1)</f>
        <v/>
      </c>
    </row>
    <row r="165">
      <c r="A165" s="26" t="n"/>
      <c r="B165" s="26" t="n"/>
      <c r="C165" s="29" t="n"/>
      <c r="D165" s="26" t="n"/>
      <c r="E165" s="26" t="n"/>
      <c r="F165" s="27" t="n"/>
      <c r="G165" s="27" t="n"/>
      <c r="H165" s="27" t="n"/>
      <c r="I165" s="27" t="n"/>
      <c r="J165" s="27" t="n"/>
      <c r="K165" s="27" t="n"/>
      <c r="L165" s="26" t="n"/>
      <c r="M165" s="26" t="n"/>
      <c r="N165" s="28">
        <f>IF($A165="","",IF($C165="","",raporTarihi-$C165))</f>
        <v/>
      </c>
      <c r="O165" s="28">
        <f>IF($A165="","",IF($N165="","",IF($N165&lt;=7,"0-7",IF($N165&lt;=30,"8-30",IF($N165&lt;=60,"31-60","60+")))))</f>
        <v/>
      </c>
      <c r="P165" s="28">
        <f>IF($A165="","",IF($B165="","YETİM",IF(COUNTIF(tblKartlar[KartId],$B165)=0,"YETİM","")))</f>
        <v/>
      </c>
      <c r="Q165" s="28">
        <f>IF(OR($A165="",$D165=""),"",IF(OR($D165&amp;"|"&amp;$E165="",COUNTIF(ListeIzinliGecis,$D165&amp;"|"&amp;$E165)&gt;0),"","GEÇERSİZ GEÇİŞ"))</f>
        <v/>
      </c>
      <c r="R165" s="28">
        <f>IF($A165="","",IF(OR($F165="",$H165=""),"",IF(ABS($H165-$F165)&gt;zincirTolerans,"ZİNCİR KIRIK","OK")))</f>
        <v/>
      </c>
      <c r="S165" s="28">
        <f>IF($A165="","",1)</f>
        <v/>
      </c>
    </row>
    <row r="166">
      <c r="A166" s="26" t="n"/>
      <c r="B166" s="26" t="n"/>
      <c r="C166" s="29" t="n"/>
      <c r="D166" s="26" t="n"/>
      <c r="E166" s="26" t="n"/>
      <c r="F166" s="27" t="n"/>
      <c r="G166" s="27" t="n"/>
      <c r="H166" s="27" t="n"/>
      <c r="I166" s="27" t="n"/>
      <c r="J166" s="27" t="n"/>
      <c r="K166" s="27" t="n"/>
      <c r="L166" s="26" t="n"/>
      <c r="M166" s="26" t="n"/>
      <c r="N166" s="28">
        <f>IF($A166="","",IF($C166="","",raporTarihi-$C166))</f>
        <v/>
      </c>
      <c r="O166" s="28">
        <f>IF($A166="","",IF($N166="","",IF($N166&lt;=7,"0-7",IF($N166&lt;=30,"8-30",IF($N166&lt;=60,"31-60","60+")))))</f>
        <v/>
      </c>
      <c r="P166" s="28">
        <f>IF($A166="","",IF($B166="","YETİM",IF(COUNTIF(tblKartlar[KartId],$B166)=0,"YETİM","")))</f>
        <v/>
      </c>
      <c r="Q166" s="28">
        <f>IF(OR($A166="",$D166=""),"",IF(OR($D166&amp;"|"&amp;$E166="",COUNTIF(ListeIzinliGecis,$D166&amp;"|"&amp;$E166)&gt;0),"","GEÇERSİZ GEÇİŞ"))</f>
        <v/>
      </c>
      <c r="R166" s="28">
        <f>IF($A166="","",IF(OR($F166="",$H166=""),"",IF(ABS($H166-$F166)&gt;zincirTolerans,"ZİNCİR KIRIK","OK")))</f>
        <v/>
      </c>
      <c r="S166" s="28">
        <f>IF($A166="","",1)</f>
        <v/>
      </c>
    </row>
    <row r="167">
      <c r="A167" s="26" t="n"/>
      <c r="B167" s="26" t="n"/>
      <c r="C167" s="29" t="n"/>
      <c r="D167" s="26" t="n"/>
      <c r="E167" s="26" t="n"/>
      <c r="F167" s="27" t="n"/>
      <c r="G167" s="27" t="n"/>
      <c r="H167" s="27" t="n"/>
      <c r="I167" s="27" t="n"/>
      <c r="J167" s="27" t="n"/>
      <c r="K167" s="27" t="n"/>
      <c r="L167" s="26" t="n"/>
      <c r="M167" s="26" t="n"/>
      <c r="N167" s="28">
        <f>IF($A167="","",IF($C167="","",raporTarihi-$C167))</f>
        <v/>
      </c>
      <c r="O167" s="28">
        <f>IF($A167="","",IF($N167="","",IF($N167&lt;=7,"0-7",IF($N167&lt;=30,"8-30",IF($N167&lt;=60,"31-60","60+")))))</f>
        <v/>
      </c>
      <c r="P167" s="28">
        <f>IF($A167="","",IF($B167="","YETİM",IF(COUNTIF(tblKartlar[KartId],$B167)=0,"YETİM","")))</f>
        <v/>
      </c>
      <c r="Q167" s="28">
        <f>IF(OR($A167="",$D167=""),"",IF(OR($D167&amp;"|"&amp;$E167="",COUNTIF(ListeIzinliGecis,$D167&amp;"|"&amp;$E167)&gt;0),"","GEÇERSİZ GEÇİŞ"))</f>
        <v/>
      </c>
      <c r="R167" s="28">
        <f>IF($A167="","",IF(OR($F167="",$H167=""),"",IF(ABS($H167-$F167)&gt;zincirTolerans,"ZİNCİR KIRIK","OK")))</f>
        <v/>
      </c>
      <c r="S167" s="28">
        <f>IF($A167="","",1)</f>
        <v/>
      </c>
    </row>
    <row r="168">
      <c r="A168" s="26" t="n"/>
      <c r="B168" s="26" t="n"/>
      <c r="C168" s="29" t="n"/>
      <c r="D168" s="26" t="n"/>
      <c r="E168" s="26" t="n"/>
      <c r="F168" s="27" t="n"/>
      <c r="G168" s="27" t="n"/>
      <c r="H168" s="27" t="n"/>
      <c r="I168" s="27" t="n"/>
      <c r="J168" s="27" t="n"/>
      <c r="K168" s="27" t="n"/>
      <c r="L168" s="26" t="n"/>
      <c r="M168" s="26" t="n"/>
      <c r="N168" s="28">
        <f>IF($A168="","",IF($C168="","",raporTarihi-$C168))</f>
        <v/>
      </c>
      <c r="O168" s="28">
        <f>IF($A168="","",IF($N168="","",IF($N168&lt;=7,"0-7",IF($N168&lt;=30,"8-30",IF($N168&lt;=60,"31-60","60+")))))</f>
        <v/>
      </c>
      <c r="P168" s="28">
        <f>IF($A168="","",IF($B168="","YETİM",IF(COUNTIF(tblKartlar[KartId],$B168)=0,"YETİM","")))</f>
        <v/>
      </c>
      <c r="Q168" s="28">
        <f>IF(OR($A168="",$D168=""),"",IF(OR($D168&amp;"|"&amp;$E168="",COUNTIF(ListeIzinliGecis,$D168&amp;"|"&amp;$E168)&gt;0),"","GEÇERSİZ GEÇİŞ"))</f>
        <v/>
      </c>
      <c r="R168" s="28">
        <f>IF($A168="","",IF(OR($F168="",$H168=""),"",IF(ABS($H168-$F168)&gt;zincirTolerans,"ZİNCİR KIRIK","OK")))</f>
        <v/>
      </c>
      <c r="S168" s="28">
        <f>IF($A168="","",1)</f>
        <v/>
      </c>
    </row>
    <row r="169">
      <c r="A169" s="26" t="n"/>
      <c r="B169" s="26" t="n"/>
      <c r="C169" s="29" t="n"/>
      <c r="D169" s="26" t="n"/>
      <c r="E169" s="26" t="n"/>
      <c r="F169" s="27" t="n"/>
      <c r="G169" s="27" t="n"/>
      <c r="H169" s="27" t="n"/>
      <c r="I169" s="27" t="n"/>
      <c r="J169" s="27" t="n"/>
      <c r="K169" s="27" t="n"/>
      <c r="L169" s="26" t="n"/>
      <c r="M169" s="26" t="n"/>
      <c r="N169" s="28">
        <f>IF($A169="","",IF($C169="","",raporTarihi-$C169))</f>
        <v/>
      </c>
      <c r="O169" s="28">
        <f>IF($A169="","",IF($N169="","",IF($N169&lt;=7,"0-7",IF($N169&lt;=30,"8-30",IF($N169&lt;=60,"31-60","60+")))))</f>
        <v/>
      </c>
      <c r="P169" s="28">
        <f>IF($A169="","",IF($B169="","YETİM",IF(COUNTIF(tblKartlar[KartId],$B169)=0,"YETİM","")))</f>
        <v/>
      </c>
      <c r="Q169" s="28">
        <f>IF(OR($A169="",$D169=""),"",IF(OR($D169&amp;"|"&amp;$E169="",COUNTIF(ListeIzinliGecis,$D169&amp;"|"&amp;$E169)&gt;0),"","GEÇERSİZ GEÇİŞ"))</f>
        <v/>
      </c>
      <c r="R169" s="28">
        <f>IF($A169="","",IF(OR($F169="",$H169=""),"",IF(ABS($H169-$F169)&gt;zincirTolerans,"ZİNCİR KIRIK","OK")))</f>
        <v/>
      </c>
      <c r="S169" s="28">
        <f>IF($A169="","",1)</f>
        <v/>
      </c>
    </row>
    <row r="170">
      <c r="A170" s="26" t="n"/>
      <c r="B170" s="26" t="n"/>
      <c r="C170" s="29" t="n"/>
      <c r="D170" s="26" t="n"/>
      <c r="E170" s="26" t="n"/>
      <c r="F170" s="27" t="n"/>
      <c r="G170" s="27" t="n"/>
      <c r="H170" s="27" t="n"/>
      <c r="I170" s="27" t="n"/>
      <c r="J170" s="27" t="n"/>
      <c r="K170" s="27" t="n"/>
      <c r="L170" s="26" t="n"/>
      <c r="M170" s="26" t="n"/>
      <c r="N170" s="28">
        <f>IF($A170="","",IF($C170="","",raporTarihi-$C170))</f>
        <v/>
      </c>
      <c r="O170" s="28">
        <f>IF($A170="","",IF($N170="","",IF($N170&lt;=7,"0-7",IF($N170&lt;=30,"8-30",IF($N170&lt;=60,"31-60","60+")))))</f>
        <v/>
      </c>
      <c r="P170" s="28">
        <f>IF($A170="","",IF($B170="","YETİM",IF(COUNTIF(tblKartlar[KartId],$B170)=0,"YETİM","")))</f>
        <v/>
      </c>
      <c r="Q170" s="28">
        <f>IF(OR($A170="",$D170=""),"",IF(OR($D170&amp;"|"&amp;$E170="",COUNTIF(ListeIzinliGecis,$D170&amp;"|"&amp;$E170)&gt;0),"","GEÇERSİZ GEÇİŞ"))</f>
        <v/>
      </c>
      <c r="R170" s="28">
        <f>IF($A170="","",IF(OR($F170="",$H170=""),"",IF(ABS($H170-$F170)&gt;zincirTolerans,"ZİNCİR KIRIK","OK")))</f>
        <v/>
      </c>
      <c r="S170" s="28">
        <f>IF($A170="","",1)</f>
        <v/>
      </c>
    </row>
    <row r="171">
      <c r="A171" s="26" t="n"/>
      <c r="B171" s="26" t="n"/>
      <c r="C171" s="29" t="n"/>
      <c r="D171" s="26" t="n"/>
      <c r="E171" s="26" t="n"/>
      <c r="F171" s="27" t="n"/>
      <c r="G171" s="27" t="n"/>
      <c r="H171" s="27" t="n"/>
      <c r="I171" s="27" t="n"/>
      <c r="J171" s="27" t="n"/>
      <c r="K171" s="27" t="n"/>
      <c r="L171" s="26" t="n"/>
      <c r="M171" s="26" t="n"/>
      <c r="N171" s="28">
        <f>IF($A171="","",IF($C171="","",raporTarihi-$C171))</f>
        <v/>
      </c>
      <c r="O171" s="28">
        <f>IF($A171="","",IF($N171="","",IF($N171&lt;=7,"0-7",IF($N171&lt;=30,"8-30",IF($N171&lt;=60,"31-60","60+")))))</f>
        <v/>
      </c>
      <c r="P171" s="28">
        <f>IF($A171="","",IF($B171="","YETİM",IF(COUNTIF(tblKartlar[KartId],$B171)=0,"YETİM","")))</f>
        <v/>
      </c>
      <c r="Q171" s="28">
        <f>IF(OR($A171="",$D171=""),"",IF(OR($D171&amp;"|"&amp;$E171="",COUNTIF(ListeIzinliGecis,$D171&amp;"|"&amp;$E171)&gt;0),"","GEÇERSİZ GEÇİŞ"))</f>
        <v/>
      </c>
      <c r="R171" s="28">
        <f>IF($A171="","",IF(OR($F171="",$H171=""),"",IF(ABS($H171-$F171)&gt;zincirTolerans,"ZİNCİR KIRIK","OK")))</f>
        <v/>
      </c>
      <c r="S171" s="28">
        <f>IF($A171="","",1)</f>
        <v/>
      </c>
    </row>
    <row r="172">
      <c r="A172" s="26" t="n"/>
      <c r="B172" s="26" t="n"/>
      <c r="C172" s="29" t="n"/>
      <c r="D172" s="26" t="n"/>
      <c r="E172" s="26" t="n"/>
      <c r="F172" s="27" t="n"/>
      <c r="G172" s="27" t="n"/>
      <c r="H172" s="27" t="n"/>
      <c r="I172" s="27" t="n"/>
      <c r="J172" s="27" t="n"/>
      <c r="K172" s="27" t="n"/>
      <c r="L172" s="26" t="n"/>
      <c r="M172" s="26" t="n"/>
      <c r="N172" s="28">
        <f>IF($A172="","",IF($C172="","",raporTarihi-$C172))</f>
        <v/>
      </c>
      <c r="O172" s="28">
        <f>IF($A172="","",IF($N172="","",IF($N172&lt;=7,"0-7",IF($N172&lt;=30,"8-30",IF($N172&lt;=60,"31-60","60+")))))</f>
        <v/>
      </c>
      <c r="P172" s="28">
        <f>IF($A172="","",IF($B172="","YETİM",IF(COUNTIF(tblKartlar[KartId],$B172)=0,"YETİM","")))</f>
        <v/>
      </c>
      <c r="Q172" s="28">
        <f>IF(OR($A172="",$D172=""),"",IF(OR($D172&amp;"|"&amp;$E172="",COUNTIF(ListeIzinliGecis,$D172&amp;"|"&amp;$E172)&gt;0),"","GEÇERSİZ GEÇİŞ"))</f>
        <v/>
      </c>
      <c r="R172" s="28">
        <f>IF($A172="","",IF(OR($F172="",$H172=""),"",IF(ABS($H172-$F172)&gt;zincirTolerans,"ZİNCİR KIRIK","OK")))</f>
        <v/>
      </c>
      <c r="S172" s="28">
        <f>IF($A172="","",1)</f>
        <v/>
      </c>
    </row>
    <row r="173">
      <c r="A173" s="26" t="n"/>
      <c r="B173" s="26" t="n"/>
      <c r="C173" s="29" t="n"/>
      <c r="D173" s="26" t="n"/>
      <c r="E173" s="26" t="n"/>
      <c r="F173" s="27" t="n"/>
      <c r="G173" s="27" t="n"/>
      <c r="H173" s="27" t="n"/>
      <c r="I173" s="27" t="n"/>
      <c r="J173" s="27" t="n"/>
      <c r="K173" s="27" t="n"/>
      <c r="L173" s="26" t="n"/>
      <c r="M173" s="26" t="n"/>
      <c r="N173" s="28">
        <f>IF($A173="","",IF($C173="","",raporTarihi-$C173))</f>
        <v/>
      </c>
      <c r="O173" s="28">
        <f>IF($A173="","",IF($N173="","",IF($N173&lt;=7,"0-7",IF($N173&lt;=30,"8-30",IF($N173&lt;=60,"31-60","60+")))))</f>
        <v/>
      </c>
      <c r="P173" s="28">
        <f>IF($A173="","",IF($B173="","YETİM",IF(COUNTIF(tblKartlar[KartId],$B173)=0,"YETİM","")))</f>
        <v/>
      </c>
      <c r="Q173" s="28">
        <f>IF(OR($A173="",$D173=""),"",IF(OR($D173&amp;"|"&amp;$E173="",COUNTIF(ListeIzinliGecis,$D173&amp;"|"&amp;$E173)&gt;0),"","GEÇERSİZ GEÇİŞ"))</f>
        <v/>
      </c>
      <c r="R173" s="28">
        <f>IF($A173="","",IF(OR($F173="",$H173=""),"",IF(ABS($H173-$F173)&gt;zincirTolerans,"ZİNCİR KIRIK","OK")))</f>
        <v/>
      </c>
      <c r="S173" s="28">
        <f>IF($A173="","",1)</f>
        <v/>
      </c>
    </row>
    <row r="174">
      <c r="A174" s="26" t="n"/>
      <c r="B174" s="26" t="n"/>
      <c r="C174" s="29" t="n"/>
      <c r="D174" s="26" t="n"/>
      <c r="E174" s="26" t="n"/>
      <c r="F174" s="27" t="n"/>
      <c r="G174" s="27" t="n"/>
      <c r="H174" s="27" t="n"/>
      <c r="I174" s="27" t="n"/>
      <c r="J174" s="27" t="n"/>
      <c r="K174" s="27" t="n"/>
      <c r="L174" s="26" t="n"/>
      <c r="M174" s="26" t="n"/>
      <c r="N174" s="28">
        <f>IF($A174="","",IF($C174="","",raporTarihi-$C174))</f>
        <v/>
      </c>
      <c r="O174" s="28">
        <f>IF($A174="","",IF($N174="","",IF($N174&lt;=7,"0-7",IF($N174&lt;=30,"8-30",IF($N174&lt;=60,"31-60","60+")))))</f>
        <v/>
      </c>
      <c r="P174" s="28">
        <f>IF($A174="","",IF($B174="","YETİM",IF(COUNTIF(tblKartlar[KartId],$B174)=0,"YETİM","")))</f>
        <v/>
      </c>
      <c r="Q174" s="28">
        <f>IF(OR($A174="",$D174=""),"",IF(OR($D174&amp;"|"&amp;$E174="",COUNTIF(ListeIzinliGecis,$D174&amp;"|"&amp;$E174)&gt;0),"","GEÇERSİZ GEÇİŞ"))</f>
        <v/>
      </c>
      <c r="R174" s="28">
        <f>IF($A174="","",IF(OR($F174="",$H174=""),"",IF(ABS($H174-$F174)&gt;zincirTolerans,"ZİNCİR KIRIK","OK")))</f>
        <v/>
      </c>
      <c r="S174" s="28">
        <f>IF($A174="","",1)</f>
        <v/>
      </c>
    </row>
    <row r="175">
      <c r="A175" s="26" t="n"/>
      <c r="B175" s="26" t="n"/>
      <c r="C175" s="29" t="n"/>
      <c r="D175" s="26" t="n"/>
      <c r="E175" s="26" t="n"/>
      <c r="F175" s="27" t="n"/>
      <c r="G175" s="27" t="n"/>
      <c r="H175" s="27" t="n"/>
      <c r="I175" s="27" t="n"/>
      <c r="J175" s="27" t="n"/>
      <c r="K175" s="27" t="n"/>
      <c r="L175" s="26" t="n"/>
      <c r="M175" s="26" t="n"/>
      <c r="N175" s="28">
        <f>IF($A175="","",IF($C175="","",raporTarihi-$C175))</f>
        <v/>
      </c>
      <c r="O175" s="28">
        <f>IF($A175="","",IF($N175="","",IF($N175&lt;=7,"0-7",IF($N175&lt;=30,"8-30",IF($N175&lt;=60,"31-60","60+")))))</f>
        <v/>
      </c>
      <c r="P175" s="28">
        <f>IF($A175="","",IF($B175="","YETİM",IF(COUNTIF(tblKartlar[KartId],$B175)=0,"YETİM","")))</f>
        <v/>
      </c>
      <c r="Q175" s="28">
        <f>IF(OR($A175="",$D175=""),"",IF(OR($D175&amp;"|"&amp;$E175="",COUNTIF(ListeIzinliGecis,$D175&amp;"|"&amp;$E175)&gt;0),"","GEÇERSİZ GEÇİŞ"))</f>
        <v/>
      </c>
      <c r="R175" s="28">
        <f>IF($A175="","",IF(OR($F175="",$H175=""),"",IF(ABS($H175-$F175)&gt;zincirTolerans,"ZİNCİR KIRIK","OK")))</f>
        <v/>
      </c>
      <c r="S175" s="28">
        <f>IF($A175="","",1)</f>
        <v/>
      </c>
    </row>
    <row r="176">
      <c r="A176" s="26" t="n"/>
      <c r="B176" s="26" t="n"/>
      <c r="C176" s="29" t="n"/>
      <c r="D176" s="26" t="n"/>
      <c r="E176" s="26" t="n"/>
      <c r="F176" s="27" t="n"/>
      <c r="G176" s="27" t="n"/>
      <c r="H176" s="27" t="n"/>
      <c r="I176" s="27" t="n"/>
      <c r="J176" s="27" t="n"/>
      <c r="K176" s="27" t="n"/>
      <c r="L176" s="26" t="n"/>
      <c r="M176" s="26" t="n"/>
      <c r="N176" s="28">
        <f>IF($A176="","",IF($C176="","",raporTarihi-$C176))</f>
        <v/>
      </c>
      <c r="O176" s="28">
        <f>IF($A176="","",IF($N176="","",IF($N176&lt;=7,"0-7",IF($N176&lt;=30,"8-30",IF($N176&lt;=60,"31-60","60+")))))</f>
        <v/>
      </c>
      <c r="P176" s="28">
        <f>IF($A176="","",IF($B176="","YETİM",IF(COUNTIF(tblKartlar[KartId],$B176)=0,"YETİM","")))</f>
        <v/>
      </c>
      <c r="Q176" s="28">
        <f>IF(OR($A176="",$D176=""),"",IF(OR($D176&amp;"|"&amp;$E176="",COUNTIF(ListeIzinliGecis,$D176&amp;"|"&amp;$E176)&gt;0),"","GEÇERSİZ GEÇİŞ"))</f>
        <v/>
      </c>
      <c r="R176" s="28">
        <f>IF($A176="","",IF(OR($F176="",$H176=""),"",IF(ABS($H176-$F176)&gt;zincirTolerans,"ZİNCİR KIRIK","OK")))</f>
        <v/>
      </c>
      <c r="S176" s="28">
        <f>IF($A176="","",1)</f>
        <v/>
      </c>
    </row>
    <row r="177">
      <c r="A177" s="26" t="n"/>
      <c r="B177" s="26" t="n"/>
      <c r="C177" s="29" t="n"/>
      <c r="D177" s="26" t="n"/>
      <c r="E177" s="26" t="n"/>
      <c r="F177" s="27" t="n"/>
      <c r="G177" s="27" t="n"/>
      <c r="H177" s="27" t="n"/>
      <c r="I177" s="27" t="n"/>
      <c r="J177" s="27" t="n"/>
      <c r="K177" s="27" t="n"/>
      <c r="L177" s="26" t="n"/>
      <c r="M177" s="26" t="n"/>
      <c r="N177" s="28">
        <f>IF($A177="","",IF($C177="","",raporTarihi-$C177))</f>
        <v/>
      </c>
      <c r="O177" s="28">
        <f>IF($A177="","",IF($N177="","",IF($N177&lt;=7,"0-7",IF($N177&lt;=30,"8-30",IF($N177&lt;=60,"31-60","60+")))))</f>
        <v/>
      </c>
      <c r="P177" s="28">
        <f>IF($A177="","",IF($B177="","YETİM",IF(COUNTIF(tblKartlar[KartId],$B177)=0,"YETİM","")))</f>
        <v/>
      </c>
      <c r="Q177" s="28">
        <f>IF(OR($A177="",$D177=""),"",IF(OR($D177&amp;"|"&amp;$E177="",COUNTIF(ListeIzinliGecis,$D177&amp;"|"&amp;$E177)&gt;0),"","GEÇERSİZ GEÇİŞ"))</f>
        <v/>
      </c>
      <c r="R177" s="28">
        <f>IF($A177="","",IF(OR($F177="",$H177=""),"",IF(ABS($H177-$F177)&gt;zincirTolerans,"ZİNCİR KIRIK","OK")))</f>
        <v/>
      </c>
      <c r="S177" s="28">
        <f>IF($A177="","",1)</f>
        <v/>
      </c>
    </row>
    <row r="178">
      <c r="A178" s="26" t="n"/>
      <c r="B178" s="26" t="n"/>
      <c r="C178" s="29" t="n"/>
      <c r="D178" s="26" t="n"/>
      <c r="E178" s="26" t="n"/>
      <c r="F178" s="27" t="n"/>
      <c r="G178" s="27" t="n"/>
      <c r="H178" s="27" t="n"/>
      <c r="I178" s="27" t="n"/>
      <c r="J178" s="27" t="n"/>
      <c r="K178" s="27" t="n"/>
      <c r="L178" s="26" t="n"/>
      <c r="M178" s="26" t="n"/>
      <c r="N178" s="28">
        <f>IF($A178="","",IF($C178="","",raporTarihi-$C178))</f>
        <v/>
      </c>
      <c r="O178" s="28">
        <f>IF($A178="","",IF($N178="","",IF($N178&lt;=7,"0-7",IF($N178&lt;=30,"8-30",IF($N178&lt;=60,"31-60","60+")))))</f>
        <v/>
      </c>
      <c r="P178" s="28">
        <f>IF($A178="","",IF($B178="","YETİM",IF(COUNTIF(tblKartlar[KartId],$B178)=0,"YETİM","")))</f>
        <v/>
      </c>
      <c r="Q178" s="28">
        <f>IF(OR($A178="",$D178=""),"",IF(OR($D178&amp;"|"&amp;$E178="",COUNTIF(ListeIzinliGecis,$D178&amp;"|"&amp;$E178)&gt;0),"","GEÇERSİZ GEÇİŞ"))</f>
        <v/>
      </c>
      <c r="R178" s="28">
        <f>IF($A178="","",IF(OR($F178="",$H178=""),"",IF(ABS($H178-$F178)&gt;zincirTolerans,"ZİNCİR KIRIK","OK")))</f>
        <v/>
      </c>
      <c r="S178" s="28">
        <f>IF($A178="","",1)</f>
        <v/>
      </c>
    </row>
    <row r="179">
      <c r="A179" s="26" t="n"/>
      <c r="B179" s="26" t="n"/>
      <c r="C179" s="29" t="n"/>
      <c r="D179" s="26" t="n"/>
      <c r="E179" s="26" t="n"/>
      <c r="F179" s="27" t="n"/>
      <c r="G179" s="27" t="n"/>
      <c r="H179" s="27" t="n"/>
      <c r="I179" s="27" t="n"/>
      <c r="J179" s="27" t="n"/>
      <c r="K179" s="27" t="n"/>
      <c r="L179" s="26" t="n"/>
      <c r="M179" s="26" t="n"/>
      <c r="N179" s="28">
        <f>IF($A179="","",IF($C179="","",raporTarihi-$C179))</f>
        <v/>
      </c>
      <c r="O179" s="28">
        <f>IF($A179="","",IF($N179="","",IF($N179&lt;=7,"0-7",IF($N179&lt;=30,"8-30",IF($N179&lt;=60,"31-60","60+")))))</f>
        <v/>
      </c>
      <c r="P179" s="28">
        <f>IF($A179="","",IF($B179="","YETİM",IF(COUNTIF(tblKartlar[KartId],$B179)=0,"YETİM","")))</f>
        <v/>
      </c>
      <c r="Q179" s="28">
        <f>IF(OR($A179="",$D179=""),"",IF(OR($D179&amp;"|"&amp;$E179="",COUNTIF(ListeIzinliGecis,$D179&amp;"|"&amp;$E179)&gt;0),"","GEÇERSİZ GEÇİŞ"))</f>
        <v/>
      </c>
      <c r="R179" s="28">
        <f>IF($A179="","",IF(OR($F179="",$H179=""),"",IF(ABS($H179-$F179)&gt;zincirTolerans,"ZİNCİR KIRIK","OK")))</f>
        <v/>
      </c>
      <c r="S179" s="28">
        <f>IF($A179="","",1)</f>
        <v/>
      </c>
    </row>
    <row r="180">
      <c r="A180" s="26" t="n"/>
      <c r="B180" s="26" t="n"/>
      <c r="C180" s="29" t="n"/>
      <c r="D180" s="26" t="n"/>
      <c r="E180" s="26" t="n"/>
      <c r="F180" s="27" t="n"/>
      <c r="G180" s="27" t="n"/>
      <c r="H180" s="27" t="n"/>
      <c r="I180" s="27" t="n"/>
      <c r="J180" s="27" t="n"/>
      <c r="K180" s="27" t="n"/>
      <c r="L180" s="26" t="n"/>
      <c r="M180" s="26" t="n"/>
      <c r="N180" s="28">
        <f>IF($A180="","",IF($C180="","",raporTarihi-$C180))</f>
        <v/>
      </c>
      <c r="O180" s="28">
        <f>IF($A180="","",IF($N180="","",IF($N180&lt;=7,"0-7",IF($N180&lt;=30,"8-30",IF($N180&lt;=60,"31-60","60+")))))</f>
        <v/>
      </c>
      <c r="P180" s="28">
        <f>IF($A180="","",IF($B180="","YETİM",IF(COUNTIF(tblKartlar[KartId],$B180)=0,"YETİM","")))</f>
        <v/>
      </c>
      <c r="Q180" s="28">
        <f>IF(OR($A180="",$D180=""),"",IF(OR($D180&amp;"|"&amp;$E180="",COUNTIF(ListeIzinliGecis,$D180&amp;"|"&amp;$E180)&gt;0),"","GEÇERSİZ GEÇİŞ"))</f>
        <v/>
      </c>
      <c r="R180" s="28">
        <f>IF($A180="","",IF(OR($F180="",$H180=""),"",IF(ABS($H180-$F180)&gt;zincirTolerans,"ZİNCİR KIRIK","OK")))</f>
        <v/>
      </c>
      <c r="S180" s="28">
        <f>IF($A180="","",1)</f>
        <v/>
      </c>
    </row>
    <row r="181">
      <c r="A181" s="26" t="n"/>
      <c r="B181" s="26" t="n"/>
      <c r="C181" s="29" t="n"/>
      <c r="D181" s="26" t="n"/>
      <c r="E181" s="26" t="n"/>
      <c r="F181" s="27" t="n"/>
      <c r="G181" s="27" t="n"/>
      <c r="H181" s="27" t="n"/>
      <c r="I181" s="27" t="n"/>
      <c r="J181" s="27" t="n"/>
      <c r="K181" s="27" t="n"/>
      <c r="L181" s="26" t="n"/>
      <c r="M181" s="26" t="n"/>
      <c r="N181" s="28">
        <f>IF($A181="","",IF($C181="","",raporTarihi-$C181))</f>
        <v/>
      </c>
      <c r="O181" s="28">
        <f>IF($A181="","",IF($N181="","",IF($N181&lt;=7,"0-7",IF($N181&lt;=30,"8-30",IF($N181&lt;=60,"31-60","60+")))))</f>
        <v/>
      </c>
      <c r="P181" s="28">
        <f>IF($A181="","",IF($B181="","YETİM",IF(COUNTIF(tblKartlar[KartId],$B181)=0,"YETİM","")))</f>
        <v/>
      </c>
      <c r="Q181" s="28">
        <f>IF(OR($A181="",$D181=""),"",IF(OR($D181&amp;"|"&amp;$E181="",COUNTIF(ListeIzinliGecis,$D181&amp;"|"&amp;$E181)&gt;0),"","GEÇERSİZ GEÇİŞ"))</f>
        <v/>
      </c>
      <c r="R181" s="28">
        <f>IF($A181="","",IF(OR($F181="",$H181=""),"",IF(ABS($H181-$F181)&gt;zincirTolerans,"ZİNCİR KIRIK","OK")))</f>
        <v/>
      </c>
      <c r="S181" s="28">
        <f>IF($A181="","",1)</f>
        <v/>
      </c>
    </row>
    <row r="182">
      <c r="A182" s="26" t="n"/>
      <c r="B182" s="26" t="n"/>
      <c r="C182" s="29" t="n"/>
      <c r="D182" s="26" t="n"/>
      <c r="E182" s="26" t="n"/>
      <c r="F182" s="27" t="n"/>
      <c r="G182" s="27" t="n"/>
      <c r="H182" s="27" t="n"/>
      <c r="I182" s="27" t="n"/>
      <c r="J182" s="27" t="n"/>
      <c r="K182" s="27" t="n"/>
      <c r="L182" s="26" t="n"/>
      <c r="M182" s="26" t="n"/>
      <c r="N182" s="28">
        <f>IF($A182="","",IF($C182="","",raporTarihi-$C182))</f>
        <v/>
      </c>
      <c r="O182" s="28">
        <f>IF($A182="","",IF($N182="","",IF($N182&lt;=7,"0-7",IF($N182&lt;=30,"8-30",IF($N182&lt;=60,"31-60","60+")))))</f>
        <v/>
      </c>
      <c r="P182" s="28">
        <f>IF($A182="","",IF($B182="","YETİM",IF(COUNTIF(tblKartlar[KartId],$B182)=0,"YETİM","")))</f>
        <v/>
      </c>
      <c r="Q182" s="28">
        <f>IF(OR($A182="",$D182=""),"",IF(OR($D182&amp;"|"&amp;$E182="",COUNTIF(ListeIzinliGecis,$D182&amp;"|"&amp;$E182)&gt;0),"","GEÇERSİZ GEÇİŞ"))</f>
        <v/>
      </c>
      <c r="R182" s="28">
        <f>IF($A182="","",IF(OR($F182="",$H182=""),"",IF(ABS($H182-$F182)&gt;zincirTolerans,"ZİNCİR KIRIK","OK")))</f>
        <v/>
      </c>
      <c r="S182" s="28">
        <f>IF($A182="","",1)</f>
        <v/>
      </c>
    </row>
    <row r="183">
      <c r="A183" s="26" t="n"/>
      <c r="B183" s="26" t="n"/>
      <c r="C183" s="29" t="n"/>
      <c r="D183" s="26" t="n"/>
      <c r="E183" s="26" t="n"/>
      <c r="F183" s="27" t="n"/>
      <c r="G183" s="27" t="n"/>
      <c r="H183" s="27" t="n"/>
      <c r="I183" s="27" t="n"/>
      <c r="J183" s="27" t="n"/>
      <c r="K183" s="27" t="n"/>
      <c r="L183" s="26" t="n"/>
      <c r="M183" s="26" t="n"/>
      <c r="N183" s="28">
        <f>IF($A183="","",IF($C183="","",raporTarihi-$C183))</f>
        <v/>
      </c>
      <c r="O183" s="28">
        <f>IF($A183="","",IF($N183="","",IF($N183&lt;=7,"0-7",IF($N183&lt;=30,"8-30",IF($N183&lt;=60,"31-60","60+")))))</f>
        <v/>
      </c>
      <c r="P183" s="28">
        <f>IF($A183="","",IF($B183="","YETİM",IF(COUNTIF(tblKartlar[KartId],$B183)=0,"YETİM","")))</f>
        <v/>
      </c>
      <c r="Q183" s="28">
        <f>IF(OR($A183="",$D183=""),"",IF(OR($D183&amp;"|"&amp;$E183="",COUNTIF(ListeIzinliGecis,$D183&amp;"|"&amp;$E183)&gt;0),"","GEÇERSİZ GEÇİŞ"))</f>
        <v/>
      </c>
      <c r="R183" s="28">
        <f>IF($A183="","",IF(OR($F183="",$H183=""),"",IF(ABS($H183-$F183)&gt;zincirTolerans,"ZİNCİR KIRIK","OK")))</f>
        <v/>
      </c>
      <c r="S183" s="28">
        <f>IF($A183="","",1)</f>
        <v/>
      </c>
    </row>
    <row r="184">
      <c r="A184" s="26" t="n"/>
      <c r="B184" s="26" t="n"/>
      <c r="C184" s="29" t="n"/>
      <c r="D184" s="26" t="n"/>
      <c r="E184" s="26" t="n"/>
      <c r="F184" s="27" t="n"/>
      <c r="G184" s="27" t="n"/>
      <c r="H184" s="27" t="n"/>
      <c r="I184" s="27" t="n"/>
      <c r="J184" s="27" t="n"/>
      <c r="K184" s="27" t="n"/>
      <c r="L184" s="26" t="n"/>
      <c r="M184" s="26" t="n"/>
      <c r="N184" s="28">
        <f>IF($A184="","",IF($C184="","",raporTarihi-$C184))</f>
        <v/>
      </c>
      <c r="O184" s="28">
        <f>IF($A184="","",IF($N184="","",IF($N184&lt;=7,"0-7",IF($N184&lt;=30,"8-30",IF($N184&lt;=60,"31-60","60+")))))</f>
        <v/>
      </c>
      <c r="P184" s="28">
        <f>IF($A184="","",IF($B184="","YETİM",IF(COUNTIF(tblKartlar[KartId],$B184)=0,"YETİM","")))</f>
        <v/>
      </c>
      <c r="Q184" s="28">
        <f>IF(OR($A184="",$D184=""),"",IF(OR($D184&amp;"|"&amp;$E184="",COUNTIF(ListeIzinliGecis,$D184&amp;"|"&amp;$E184)&gt;0),"","GEÇERSİZ GEÇİŞ"))</f>
        <v/>
      </c>
      <c r="R184" s="28">
        <f>IF($A184="","",IF(OR($F184="",$H184=""),"",IF(ABS($H184-$F184)&gt;zincirTolerans,"ZİNCİR KIRIK","OK")))</f>
        <v/>
      </c>
      <c r="S184" s="28">
        <f>IF($A184="","",1)</f>
        <v/>
      </c>
    </row>
    <row r="185">
      <c r="A185" s="26" t="n"/>
      <c r="B185" s="26" t="n"/>
      <c r="C185" s="29" t="n"/>
      <c r="D185" s="26" t="n"/>
      <c r="E185" s="26" t="n"/>
      <c r="F185" s="27" t="n"/>
      <c r="G185" s="27" t="n"/>
      <c r="H185" s="27" t="n"/>
      <c r="I185" s="27" t="n"/>
      <c r="J185" s="27" t="n"/>
      <c r="K185" s="27" t="n"/>
      <c r="L185" s="26" t="n"/>
      <c r="M185" s="26" t="n"/>
      <c r="N185" s="28">
        <f>IF($A185="","",IF($C185="","",raporTarihi-$C185))</f>
        <v/>
      </c>
      <c r="O185" s="28">
        <f>IF($A185="","",IF($N185="","",IF($N185&lt;=7,"0-7",IF($N185&lt;=30,"8-30",IF($N185&lt;=60,"31-60","60+")))))</f>
        <v/>
      </c>
      <c r="P185" s="28">
        <f>IF($A185="","",IF($B185="","YETİM",IF(COUNTIF(tblKartlar[KartId],$B185)=0,"YETİM","")))</f>
        <v/>
      </c>
      <c r="Q185" s="28">
        <f>IF(OR($A185="",$D185=""),"",IF(OR($D185&amp;"|"&amp;$E185="",COUNTIF(ListeIzinliGecis,$D185&amp;"|"&amp;$E185)&gt;0),"","GEÇERSİZ GEÇİŞ"))</f>
        <v/>
      </c>
      <c r="R185" s="28">
        <f>IF($A185="","",IF(OR($F185="",$H185=""),"",IF(ABS($H185-$F185)&gt;zincirTolerans,"ZİNCİR KIRIK","OK")))</f>
        <v/>
      </c>
      <c r="S185" s="28">
        <f>IF($A185="","",1)</f>
        <v/>
      </c>
    </row>
    <row r="186">
      <c r="A186" s="26" t="n"/>
      <c r="B186" s="26" t="n"/>
      <c r="C186" s="29" t="n"/>
      <c r="D186" s="26" t="n"/>
      <c r="E186" s="26" t="n"/>
      <c r="F186" s="27" t="n"/>
      <c r="G186" s="27" t="n"/>
      <c r="H186" s="27" t="n"/>
      <c r="I186" s="27" t="n"/>
      <c r="J186" s="27" t="n"/>
      <c r="K186" s="27" t="n"/>
      <c r="L186" s="26" t="n"/>
      <c r="M186" s="26" t="n"/>
      <c r="N186" s="28">
        <f>IF($A186="","",IF($C186="","",raporTarihi-$C186))</f>
        <v/>
      </c>
      <c r="O186" s="28">
        <f>IF($A186="","",IF($N186="","",IF($N186&lt;=7,"0-7",IF($N186&lt;=30,"8-30",IF($N186&lt;=60,"31-60","60+")))))</f>
        <v/>
      </c>
      <c r="P186" s="28">
        <f>IF($A186="","",IF($B186="","YETİM",IF(COUNTIF(tblKartlar[KartId],$B186)=0,"YETİM","")))</f>
        <v/>
      </c>
      <c r="Q186" s="28">
        <f>IF(OR($A186="",$D186=""),"",IF(OR($D186&amp;"|"&amp;$E186="",COUNTIF(ListeIzinliGecis,$D186&amp;"|"&amp;$E186)&gt;0),"","GEÇERSİZ GEÇİŞ"))</f>
        <v/>
      </c>
      <c r="R186" s="28">
        <f>IF($A186="","",IF(OR($F186="",$H186=""),"",IF(ABS($H186-$F186)&gt;zincirTolerans,"ZİNCİR KIRIK","OK")))</f>
        <v/>
      </c>
      <c r="S186" s="28">
        <f>IF($A186="","",1)</f>
        <v/>
      </c>
    </row>
    <row r="187">
      <c r="A187" s="26" t="n"/>
      <c r="B187" s="26" t="n"/>
      <c r="C187" s="29" t="n"/>
      <c r="D187" s="26" t="n"/>
      <c r="E187" s="26" t="n"/>
      <c r="F187" s="27" t="n"/>
      <c r="G187" s="27" t="n"/>
      <c r="H187" s="27" t="n"/>
      <c r="I187" s="27" t="n"/>
      <c r="J187" s="27" t="n"/>
      <c r="K187" s="27" t="n"/>
      <c r="L187" s="26" t="n"/>
      <c r="M187" s="26" t="n"/>
      <c r="N187" s="28">
        <f>IF($A187="","",IF($C187="","",raporTarihi-$C187))</f>
        <v/>
      </c>
      <c r="O187" s="28">
        <f>IF($A187="","",IF($N187="","",IF($N187&lt;=7,"0-7",IF($N187&lt;=30,"8-30",IF($N187&lt;=60,"31-60","60+")))))</f>
        <v/>
      </c>
      <c r="P187" s="28">
        <f>IF($A187="","",IF($B187="","YETİM",IF(COUNTIF(tblKartlar[KartId],$B187)=0,"YETİM","")))</f>
        <v/>
      </c>
      <c r="Q187" s="28">
        <f>IF(OR($A187="",$D187=""),"",IF(OR($D187&amp;"|"&amp;$E187="",COUNTIF(ListeIzinliGecis,$D187&amp;"|"&amp;$E187)&gt;0),"","GEÇERSİZ GEÇİŞ"))</f>
        <v/>
      </c>
      <c r="R187" s="28">
        <f>IF($A187="","",IF(OR($F187="",$H187=""),"",IF(ABS($H187-$F187)&gt;zincirTolerans,"ZİNCİR KIRIK","OK")))</f>
        <v/>
      </c>
      <c r="S187" s="28">
        <f>IF($A187="","",1)</f>
        <v/>
      </c>
    </row>
    <row r="188">
      <c r="A188" s="26" t="n"/>
      <c r="B188" s="26" t="n"/>
      <c r="C188" s="29" t="n"/>
      <c r="D188" s="26" t="n"/>
      <c r="E188" s="26" t="n"/>
      <c r="F188" s="27" t="n"/>
      <c r="G188" s="27" t="n"/>
      <c r="H188" s="27" t="n"/>
      <c r="I188" s="27" t="n"/>
      <c r="J188" s="27" t="n"/>
      <c r="K188" s="27" t="n"/>
      <c r="L188" s="26" t="n"/>
      <c r="M188" s="26" t="n"/>
      <c r="N188" s="28">
        <f>IF($A188="","",IF($C188="","",raporTarihi-$C188))</f>
        <v/>
      </c>
      <c r="O188" s="28">
        <f>IF($A188="","",IF($N188="","",IF($N188&lt;=7,"0-7",IF($N188&lt;=30,"8-30",IF($N188&lt;=60,"31-60","60+")))))</f>
        <v/>
      </c>
      <c r="P188" s="28">
        <f>IF($A188="","",IF($B188="","YETİM",IF(COUNTIF(tblKartlar[KartId],$B188)=0,"YETİM","")))</f>
        <v/>
      </c>
      <c r="Q188" s="28">
        <f>IF(OR($A188="",$D188=""),"",IF(OR($D188&amp;"|"&amp;$E188="",COUNTIF(ListeIzinliGecis,$D188&amp;"|"&amp;$E188)&gt;0),"","GEÇERSİZ GEÇİŞ"))</f>
        <v/>
      </c>
      <c r="R188" s="28">
        <f>IF($A188="","",IF(OR($F188="",$H188=""),"",IF(ABS($H188-$F188)&gt;zincirTolerans,"ZİNCİR KIRIK","OK")))</f>
        <v/>
      </c>
      <c r="S188" s="28">
        <f>IF($A188="","",1)</f>
        <v/>
      </c>
    </row>
    <row r="189">
      <c r="A189" s="26" t="n"/>
      <c r="B189" s="26" t="n"/>
      <c r="C189" s="29" t="n"/>
      <c r="D189" s="26" t="n"/>
      <c r="E189" s="26" t="n"/>
      <c r="F189" s="27" t="n"/>
      <c r="G189" s="27" t="n"/>
      <c r="H189" s="27" t="n"/>
      <c r="I189" s="27" t="n"/>
      <c r="J189" s="27" t="n"/>
      <c r="K189" s="27" t="n"/>
      <c r="L189" s="26" t="n"/>
      <c r="M189" s="26" t="n"/>
      <c r="N189" s="28">
        <f>IF($A189="","",IF($C189="","",raporTarihi-$C189))</f>
        <v/>
      </c>
      <c r="O189" s="28">
        <f>IF($A189="","",IF($N189="","",IF($N189&lt;=7,"0-7",IF($N189&lt;=30,"8-30",IF($N189&lt;=60,"31-60","60+")))))</f>
        <v/>
      </c>
      <c r="P189" s="28">
        <f>IF($A189="","",IF($B189="","YETİM",IF(COUNTIF(tblKartlar[KartId],$B189)=0,"YETİM","")))</f>
        <v/>
      </c>
      <c r="Q189" s="28">
        <f>IF(OR($A189="",$D189=""),"",IF(OR($D189&amp;"|"&amp;$E189="",COUNTIF(ListeIzinliGecis,$D189&amp;"|"&amp;$E189)&gt;0),"","GEÇERSİZ GEÇİŞ"))</f>
        <v/>
      </c>
      <c r="R189" s="28">
        <f>IF($A189="","",IF(OR($F189="",$H189=""),"",IF(ABS($H189-$F189)&gt;zincirTolerans,"ZİNCİR KIRIK","OK")))</f>
        <v/>
      </c>
      <c r="S189" s="28">
        <f>IF($A189="","",1)</f>
        <v/>
      </c>
    </row>
    <row r="190">
      <c r="A190" s="26" t="n"/>
      <c r="B190" s="26" t="n"/>
      <c r="C190" s="29" t="n"/>
      <c r="D190" s="26" t="n"/>
      <c r="E190" s="26" t="n"/>
      <c r="F190" s="27" t="n"/>
      <c r="G190" s="27" t="n"/>
      <c r="H190" s="27" t="n"/>
      <c r="I190" s="27" t="n"/>
      <c r="J190" s="27" t="n"/>
      <c r="K190" s="27" t="n"/>
      <c r="L190" s="26" t="n"/>
      <c r="M190" s="26" t="n"/>
      <c r="N190" s="28">
        <f>IF($A190="","",IF($C190="","",raporTarihi-$C190))</f>
        <v/>
      </c>
      <c r="O190" s="28">
        <f>IF($A190="","",IF($N190="","",IF($N190&lt;=7,"0-7",IF($N190&lt;=30,"8-30",IF($N190&lt;=60,"31-60","60+")))))</f>
        <v/>
      </c>
      <c r="P190" s="28">
        <f>IF($A190="","",IF($B190="","YETİM",IF(COUNTIF(tblKartlar[KartId],$B190)=0,"YETİM","")))</f>
        <v/>
      </c>
      <c r="Q190" s="28">
        <f>IF(OR($A190="",$D190=""),"",IF(OR($D190&amp;"|"&amp;$E190="",COUNTIF(ListeIzinliGecis,$D190&amp;"|"&amp;$E190)&gt;0),"","GEÇERSİZ GEÇİŞ"))</f>
        <v/>
      </c>
      <c r="R190" s="28">
        <f>IF($A190="","",IF(OR($F190="",$H190=""),"",IF(ABS($H190-$F190)&gt;zincirTolerans,"ZİNCİR KIRIK","OK")))</f>
        <v/>
      </c>
      <c r="S190" s="28">
        <f>IF($A190="","",1)</f>
        <v/>
      </c>
    </row>
    <row r="191">
      <c r="A191" s="26" t="n"/>
      <c r="B191" s="26" t="n"/>
      <c r="C191" s="29" t="n"/>
      <c r="D191" s="26" t="n"/>
      <c r="E191" s="26" t="n"/>
      <c r="F191" s="27" t="n"/>
      <c r="G191" s="27" t="n"/>
      <c r="H191" s="27" t="n"/>
      <c r="I191" s="27" t="n"/>
      <c r="J191" s="27" t="n"/>
      <c r="K191" s="27" t="n"/>
      <c r="L191" s="26" t="n"/>
      <c r="M191" s="26" t="n"/>
      <c r="N191" s="28">
        <f>IF($A191="","",IF($C191="","",raporTarihi-$C191))</f>
        <v/>
      </c>
      <c r="O191" s="28">
        <f>IF($A191="","",IF($N191="","",IF($N191&lt;=7,"0-7",IF($N191&lt;=30,"8-30",IF($N191&lt;=60,"31-60","60+")))))</f>
        <v/>
      </c>
      <c r="P191" s="28">
        <f>IF($A191="","",IF($B191="","YETİM",IF(COUNTIF(tblKartlar[KartId],$B191)=0,"YETİM","")))</f>
        <v/>
      </c>
      <c r="Q191" s="28">
        <f>IF(OR($A191="",$D191=""),"",IF(OR($D191&amp;"|"&amp;$E191="",COUNTIF(ListeIzinliGecis,$D191&amp;"|"&amp;$E191)&gt;0),"","GEÇERSİZ GEÇİŞ"))</f>
        <v/>
      </c>
      <c r="R191" s="28">
        <f>IF($A191="","",IF(OR($F191="",$H191=""),"",IF(ABS($H191-$F191)&gt;zincirTolerans,"ZİNCİR KIRIK","OK")))</f>
        <v/>
      </c>
      <c r="S191" s="28">
        <f>IF($A191="","",1)</f>
        <v/>
      </c>
    </row>
    <row r="192">
      <c r="A192" s="26" t="n"/>
      <c r="B192" s="26" t="n"/>
      <c r="C192" s="29" t="n"/>
      <c r="D192" s="26" t="n"/>
      <c r="E192" s="26" t="n"/>
      <c r="F192" s="27" t="n"/>
      <c r="G192" s="27" t="n"/>
      <c r="H192" s="27" t="n"/>
      <c r="I192" s="27" t="n"/>
      <c r="J192" s="27" t="n"/>
      <c r="K192" s="27" t="n"/>
      <c r="L192" s="26" t="n"/>
      <c r="M192" s="26" t="n"/>
      <c r="N192" s="28">
        <f>IF($A192="","",IF($C192="","",raporTarihi-$C192))</f>
        <v/>
      </c>
      <c r="O192" s="28">
        <f>IF($A192="","",IF($N192="","",IF($N192&lt;=7,"0-7",IF($N192&lt;=30,"8-30",IF($N192&lt;=60,"31-60","60+")))))</f>
        <v/>
      </c>
      <c r="P192" s="28">
        <f>IF($A192="","",IF($B192="","YETİM",IF(COUNTIF(tblKartlar[KartId],$B192)=0,"YETİM","")))</f>
        <v/>
      </c>
      <c r="Q192" s="28">
        <f>IF(OR($A192="",$D192=""),"",IF(OR($D192&amp;"|"&amp;$E192="",COUNTIF(ListeIzinliGecis,$D192&amp;"|"&amp;$E192)&gt;0),"","GEÇERSİZ GEÇİŞ"))</f>
        <v/>
      </c>
      <c r="R192" s="28">
        <f>IF($A192="","",IF(OR($F192="",$H192=""),"",IF(ABS($H192-$F192)&gt;zincirTolerans,"ZİNCİR KIRIK","OK")))</f>
        <v/>
      </c>
      <c r="S192" s="28">
        <f>IF($A192="","",1)</f>
        <v/>
      </c>
    </row>
    <row r="193">
      <c r="A193" s="26" t="n"/>
      <c r="B193" s="26" t="n"/>
      <c r="C193" s="29" t="n"/>
      <c r="D193" s="26" t="n"/>
      <c r="E193" s="26" t="n"/>
      <c r="F193" s="27" t="n"/>
      <c r="G193" s="27" t="n"/>
      <c r="H193" s="27" t="n"/>
      <c r="I193" s="27" t="n"/>
      <c r="J193" s="27" t="n"/>
      <c r="K193" s="27" t="n"/>
      <c r="L193" s="26" t="n"/>
      <c r="M193" s="26" t="n"/>
      <c r="N193" s="28">
        <f>IF($A193="","",IF($C193="","",raporTarihi-$C193))</f>
        <v/>
      </c>
      <c r="O193" s="28">
        <f>IF($A193="","",IF($N193="","",IF($N193&lt;=7,"0-7",IF($N193&lt;=30,"8-30",IF($N193&lt;=60,"31-60","60+")))))</f>
        <v/>
      </c>
      <c r="P193" s="28">
        <f>IF($A193="","",IF($B193="","YETİM",IF(COUNTIF(tblKartlar[KartId],$B193)=0,"YETİM","")))</f>
        <v/>
      </c>
      <c r="Q193" s="28">
        <f>IF(OR($A193="",$D193=""),"",IF(OR($D193&amp;"|"&amp;$E193="",COUNTIF(ListeIzinliGecis,$D193&amp;"|"&amp;$E193)&gt;0),"","GEÇERSİZ GEÇİŞ"))</f>
        <v/>
      </c>
      <c r="R193" s="28">
        <f>IF($A193="","",IF(OR($F193="",$H193=""),"",IF(ABS($H193-$F193)&gt;zincirTolerans,"ZİNCİR KIRIK","OK")))</f>
        <v/>
      </c>
      <c r="S193" s="28">
        <f>IF($A193="","",1)</f>
        <v/>
      </c>
    </row>
    <row r="194">
      <c r="A194" s="26" t="n"/>
      <c r="B194" s="26" t="n"/>
      <c r="C194" s="29" t="n"/>
      <c r="D194" s="26" t="n"/>
      <c r="E194" s="26" t="n"/>
      <c r="F194" s="27" t="n"/>
      <c r="G194" s="27" t="n"/>
      <c r="H194" s="27" t="n"/>
      <c r="I194" s="27" t="n"/>
      <c r="J194" s="27" t="n"/>
      <c r="K194" s="27" t="n"/>
      <c r="L194" s="26" t="n"/>
      <c r="M194" s="26" t="n"/>
      <c r="N194" s="28">
        <f>IF($A194="","",IF($C194="","",raporTarihi-$C194))</f>
        <v/>
      </c>
      <c r="O194" s="28">
        <f>IF($A194="","",IF($N194="","",IF($N194&lt;=7,"0-7",IF($N194&lt;=30,"8-30",IF($N194&lt;=60,"31-60","60+")))))</f>
        <v/>
      </c>
      <c r="P194" s="28">
        <f>IF($A194="","",IF($B194="","YETİM",IF(COUNTIF(tblKartlar[KartId],$B194)=0,"YETİM","")))</f>
        <v/>
      </c>
      <c r="Q194" s="28">
        <f>IF(OR($A194="",$D194=""),"",IF(OR($D194&amp;"|"&amp;$E194="",COUNTIF(ListeIzinliGecis,$D194&amp;"|"&amp;$E194)&gt;0),"","GEÇERSİZ GEÇİŞ"))</f>
        <v/>
      </c>
      <c r="R194" s="28">
        <f>IF($A194="","",IF(OR($F194="",$H194=""),"",IF(ABS($H194-$F194)&gt;zincirTolerans,"ZİNCİR KIRIK","OK")))</f>
        <v/>
      </c>
      <c r="S194" s="28">
        <f>IF($A194="","",1)</f>
        <v/>
      </c>
    </row>
    <row r="195">
      <c r="A195" s="26" t="n"/>
      <c r="B195" s="26" t="n"/>
      <c r="C195" s="29" t="n"/>
      <c r="D195" s="26" t="n"/>
      <c r="E195" s="26" t="n"/>
      <c r="F195" s="27" t="n"/>
      <c r="G195" s="27" t="n"/>
      <c r="H195" s="27" t="n"/>
      <c r="I195" s="27" t="n"/>
      <c r="J195" s="27" t="n"/>
      <c r="K195" s="27" t="n"/>
      <c r="L195" s="26" t="n"/>
      <c r="M195" s="26" t="n"/>
      <c r="N195" s="28">
        <f>IF($A195="","",IF($C195="","",raporTarihi-$C195))</f>
        <v/>
      </c>
      <c r="O195" s="28">
        <f>IF($A195="","",IF($N195="","",IF($N195&lt;=7,"0-7",IF($N195&lt;=30,"8-30",IF($N195&lt;=60,"31-60","60+")))))</f>
        <v/>
      </c>
      <c r="P195" s="28">
        <f>IF($A195="","",IF($B195="","YETİM",IF(COUNTIF(tblKartlar[KartId],$B195)=0,"YETİM","")))</f>
        <v/>
      </c>
      <c r="Q195" s="28">
        <f>IF(OR($A195="",$D195=""),"",IF(OR($D195&amp;"|"&amp;$E195="",COUNTIF(ListeIzinliGecis,$D195&amp;"|"&amp;$E195)&gt;0),"","GEÇERSİZ GEÇİŞ"))</f>
        <v/>
      </c>
      <c r="R195" s="28">
        <f>IF($A195="","",IF(OR($F195="",$H195=""),"",IF(ABS($H195-$F195)&gt;zincirTolerans,"ZİNCİR KIRIK","OK")))</f>
        <v/>
      </c>
      <c r="S195" s="28">
        <f>IF($A195="","",1)</f>
        <v/>
      </c>
    </row>
    <row r="196">
      <c r="A196" s="26" t="n"/>
      <c r="B196" s="26" t="n"/>
      <c r="C196" s="29" t="n"/>
      <c r="D196" s="26" t="n"/>
      <c r="E196" s="26" t="n"/>
      <c r="F196" s="27" t="n"/>
      <c r="G196" s="27" t="n"/>
      <c r="H196" s="27" t="n"/>
      <c r="I196" s="27" t="n"/>
      <c r="J196" s="27" t="n"/>
      <c r="K196" s="27" t="n"/>
      <c r="L196" s="26" t="n"/>
      <c r="M196" s="26" t="n"/>
      <c r="N196" s="28">
        <f>IF($A196="","",IF($C196="","",raporTarihi-$C196))</f>
        <v/>
      </c>
      <c r="O196" s="28">
        <f>IF($A196="","",IF($N196="","",IF($N196&lt;=7,"0-7",IF($N196&lt;=30,"8-30",IF($N196&lt;=60,"31-60","60+")))))</f>
        <v/>
      </c>
      <c r="P196" s="28">
        <f>IF($A196="","",IF($B196="","YETİM",IF(COUNTIF(tblKartlar[KartId],$B196)=0,"YETİM","")))</f>
        <v/>
      </c>
      <c r="Q196" s="28">
        <f>IF(OR($A196="",$D196=""),"",IF(OR($D196&amp;"|"&amp;$E196="",COUNTIF(ListeIzinliGecis,$D196&amp;"|"&amp;$E196)&gt;0),"","GEÇERSİZ GEÇİŞ"))</f>
        <v/>
      </c>
      <c r="R196" s="28">
        <f>IF($A196="","",IF(OR($F196="",$H196=""),"",IF(ABS($H196-$F196)&gt;zincirTolerans,"ZİNCİR KIRIK","OK")))</f>
        <v/>
      </c>
      <c r="S196" s="28">
        <f>IF($A196="","",1)</f>
        <v/>
      </c>
    </row>
    <row r="197">
      <c r="A197" s="26" t="n"/>
      <c r="B197" s="26" t="n"/>
      <c r="C197" s="29" t="n"/>
      <c r="D197" s="26" t="n"/>
      <c r="E197" s="26" t="n"/>
      <c r="F197" s="27" t="n"/>
      <c r="G197" s="27" t="n"/>
      <c r="H197" s="27" t="n"/>
      <c r="I197" s="27" t="n"/>
      <c r="J197" s="27" t="n"/>
      <c r="K197" s="27" t="n"/>
      <c r="L197" s="26" t="n"/>
      <c r="M197" s="26" t="n"/>
      <c r="N197" s="28">
        <f>IF($A197="","",IF($C197="","",raporTarihi-$C197))</f>
        <v/>
      </c>
      <c r="O197" s="28">
        <f>IF($A197="","",IF($N197="","",IF($N197&lt;=7,"0-7",IF($N197&lt;=30,"8-30",IF($N197&lt;=60,"31-60","60+")))))</f>
        <v/>
      </c>
      <c r="P197" s="28">
        <f>IF($A197="","",IF($B197="","YETİM",IF(COUNTIF(tblKartlar[KartId],$B197)=0,"YETİM","")))</f>
        <v/>
      </c>
      <c r="Q197" s="28">
        <f>IF(OR($A197="",$D197=""),"",IF(OR($D197&amp;"|"&amp;$E197="",COUNTIF(ListeIzinliGecis,$D197&amp;"|"&amp;$E197)&gt;0),"","GEÇERSİZ GEÇİŞ"))</f>
        <v/>
      </c>
      <c r="R197" s="28">
        <f>IF($A197="","",IF(OR($F197="",$H197=""),"",IF(ABS($H197-$F197)&gt;zincirTolerans,"ZİNCİR KIRIK","OK")))</f>
        <v/>
      </c>
      <c r="S197" s="28">
        <f>IF($A197="","",1)</f>
        <v/>
      </c>
    </row>
    <row r="198">
      <c r="A198" s="26" t="n"/>
      <c r="B198" s="26" t="n"/>
      <c r="C198" s="29" t="n"/>
      <c r="D198" s="26" t="n"/>
      <c r="E198" s="26" t="n"/>
      <c r="F198" s="27" t="n"/>
      <c r="G198" s="27" t="n"/>
      <c r="H198" s="27" t="n"/>
      <c r="I198" s="27" t="n"/>
      <c r="J198" s="27" t="n"/>
      <c r="K198" s="27" t="n"/>
      <c r="L198" s="26" t="n"/>
      <c r="M198" s="26" t="n"/>
      <c r="N198" s="28">
        <f>IF($A198="","",IF($C198="","",raporTarihi-$C198))</f>
        <v/>
      </c>
      <c r="O198" s="28">
        <f>IF($A198="","",IF($N198="","",IF($N198&lt;=7,"0-7",IF($N198&lt;=30,"8-30",IF($N198&lt;=60,"31-60","60+")))))</f>
        <v/>
      </c>
      <c r="P198" s="28">
        <f>IF($A198="","",IF($B198="","YETİM",IF(COUNTIF(tblKartlar[KartId],$B198)=0,"YETİM","")))</f>
        <v/>
      </c>
      <c r="Q198" s="28">
        <f>IF(OR($A198="",$D198=""),"",IF(OR($D198&amp;"|"&amp;$E198="",COUNTIF(ListeIzinliGecis,$D198&amp;"|"&amp;$E198)&gt;0),"","GEÇERSİZ GEÇİŞ"))</f>
        <v/>
      </c>
      <c r="R198" s="28">
        <f>IF($A198="","",IF(OR($F198="",$H198=""),"",IF(ABS($H198-$F198)&gt;zincirTolerans,"ZİNCİR KIRIK","OK")))</f>
        <v/>
      </c>
      <c r="S198" s="28">
        <f>IF($A198="","",1)</f>
        <v/>
      </c>
    </row>
    <row r="199">
      <c r="A199" s="26" t="n"/>
      <c r="B199" s="26" t="n"/>
      <c r="C199" s="29" t="n"/>
      <c r="D199" s="26" t="n"/>
      <c r="E199" s="26" t="n"/>
      <c r="F199" s="27" t="n"/>
      <c r="G199" s="27" t="n"/>
      <c r="H199" s="27" t="n"/>
      <c r="I199" s="27" t="n"/>
      <c r="J199" s="27" t="n"/>
      <c r="K199" s="27" t="n"/>
      <c r="L199" s="26" t="n"/>
      <c r="M199" s="26" t="n"/>
      <c r="N199" s="28">
        <f>IF($A199="","",IF($C199="","",raporTarihi-$C199))</f>
        <v/>
      </c>
      <c r="O199" s="28">
        <f>IF($A199="","",IF($N199="","",IF($N199&lt;=7,"0-7",IF($N199&lt;=30,"8-30",IF($N199&lt;=60,"31-60","60+")))))</f>
        <v/>
      </c>
      <c r="P199" s="28">
        <f>IF($A199="","",IF($B199="","YETİM",IF(COUNTIF(tblKartlar[KartId],$B199)=0,"YETİM","")))</f>
        <v/>
      </c>
      <c r="Q199" s="28">
        <f>IF(OR($A199="",$D199=""),"",IF(OR($D199&amp;"|"&amp;$E199="",COUNTIF(ListeIzinliGecis,$D199&amp;"|"&amp;$E199)&gt;0),"","GEÇERSİZ GEÇİŞ"))</f>
        <v/>
      </c>
      <c r="R199" s="28">
        <f>IF($A199="","",IF(OR($F199="",$H199=""),"",IF(ABS($H199-$F199)&gt;zincirTolerans,"ZİNCİR KIRIK","OK")))</f>
        <v/>
      </c>
      <c r="S199" s="28">
        <f>IF($A199="","",1)</f>
        <v/>
      </c>
    </row>
    <row r="200">
      <c r="A200" s="26" t="n"/>
      <c r="B200" s="26" t="n"/>
      <c r="C200" s="29" t="n"/>
      <c r="D200" s="26" t="n"/>
      <c r="E200" s="26" t="n"/>
      <c r="F200" s="27" t="n"/>
      <c r="G200" s="27" t="n"/>
      <c r="H200" s="27" t="n"/>
      <c r="I200" s="27" t="n"/>
      <c r="J200" s="27" t="n"/>
      <c r="K200" s="27" t="n"/>
      <c r="L200" s="26" t="n"/>
      <c r="M200" s="26" t="n"/>
      <c r="N200" s="28">
        <f>IF($A200="","",IF($C200="","",raporTarihi-$C200))</f>
        <v/>
      </c>
      <c r="O200" s="28">
        <f>IF($A200="","",IF($N200="","",IF($N200&lt;=7,"0-7",IF($N200&lt;=30,"8-30",IF($N200&lt;=60,"31-60","60+")))))</f>
        <v/>
      </c>
      <c r="P200" s="28">
        <f>IF($A200="","",IF($B200="","YETİM",IF(COUNTIF(tblKartlar[KartId],$B200)=0,"YETİM","")))</f>
        <v/>
      </c>
      <c r="Q200" s="28">
        <f>IF(OR($A200="",$D200=""),"",IF(OR($D200&amp;"|"&amp;$E200="",COUNTIF(ListeIzinliGecis,$D200&amp;"|"&amp;$E200)&gt;0),"","GEÇERSİZ GEÇİŞ"))</f>
        <v/>
      </c>
      <c r="R200" s="28">
        <f>IF($A200="","",IF(OR($F200="",$H200=""),"",IF(ABS($H200-$F200)&gt;zincirTolerans,"ZİNCİR KIRIK","OK")))</f>
        <v/>
      </c>
      <c r="S200" s="28">
        <f>IF($A200="","",1)</f>
        <v/>
      </c>
    </row>
    <row r="201">
      <c r="A201" s="26" t="n"/>
      <c r="B201" s="26" t="n"/>
      <c r="C201" s="29" t="n"/>
      <c r="D201" s="26" t="n"/>
      <c r="E201" s="26" t="n"/>
      <c r="F201" s="27" t="n"/>
      <c r="G201" s="27" t="n"/>
      <c r="H201" s="27" t="n"/>
      <c r="I201" s="27" t="n"/>
      <c r="J201" s="27" t="n"/>
      <c r="K201" s="27" t="n"/>
      <c r="L201" s="26" t="n"/>
      <c r="M201" s="26" t="n"/>
      <c r="N201" s="28">
        <f>IF($A201="","",IF($C201="","",raporTarihi-$C201))</f>
        <v/>
      </c>
      <c r="O201" s="28">
        <f>IF($A201="","",IF($N201="","",IF($N201&lt;=7,"0-7",IF($N201&lt;=30,"8-30",IF($N201&lt;=60,"31-60","60+")))))</f>
        <v/>
      </c>
      <c r="P201" s="28">
        <f>IF($A201="","",IF($B201="","YETİM",IF(COUNTIF(tblKartlar[KartId],$B201)=0,"YETİM","")))</f>
        <v/>
      </c>
      <c r="Q201" s="28">
        <f>IF(OR($A201="",$D201=""),"",IF(OR($D201&amp;"|"&amp;$E201="",COUNTIF(ListeIzinliGecis,$D201&amp;"|"&amp;$E201)&gt;0),"","GEÇERSİZ GEÇİŞ"))</f>
        <v/>
      </c>
      <c r="R201" s="28">
        <f>IF($A201="","",IF(OR($F201="",$H201=""),"",IF(ABS($H201-$F201)&gt;zincirTolerans,"ZİNCİR KIRIK","OK")))</f>
        <v/>
      </c>
      <c r="S201" s="28">
        <f>IF($A201="","",1)</f>
        <v/>
      </c>
    </row>
    <row r="202">
      <c r="A202" s="26" t="n"/>
      <c r="B202" s="26" t="n"/>
      <c r="C202" s="29" t="n"/>
      <c r="D202" s="26" t="n"/>
      <c r="E202" s="26" t="n"/>
      <c r="F202" s="27" t="n"/>
      <c r="G202" s="27" t="n"/>
      <c r="H202" s="27" t="n"/>
      <c r="I202" s="27" t="n"/>
      <c r="J202" s="27" t="n"/>
      <c r="K202" s="27" t="n"/>
      <c r="L202" s="26" t="n"/>
      <c r="M202" s="26" t="n"/>
      <c r="N202" s="28">
        <f>IF($A202="","",IF($C202="","",raporTarihi-$C202))</f>
        <v/>
      </c>
      <c r="O202" s="28">
        <f>IF($A202="","",IF($N202="","",IF($N202&lt;=7,"0-7",IF($N202&lt;=30,"8-30",IF($N202&lt;=60,"31-60","60+")))))</f>
        <v/>
      </c>
      <c r="P202" s="28">
        <f>IF($A202="","",IF($B202="","YETİM",IF(COUNTIF(tblKartlar[KartId],$B202)=0,"YETİM","")))</f>
        <v/>
      </c>
      <c r="Q202" s="28">
        <f>IF(OR($A202="",$D202=""),"",IF(OR($D202&amp;"|"&amp;$E202="",COUNTIF(ListeIzinliGecis,$D202&amp;"|"&amp;$E202)&gt;0),"","GEÇERSİZ GEÇİŞ"))</f>
        <v/>
      </c>
      <c r="R202" s="28">
        <f>IF($A202="","",IF(OR($F202="",$H202=""),"",IF(ABS($H202-$F202)&gt;zincirTolerans,"ZİNCİR KIRIK","OK")))</f>
        <v/>
      </c>
      <c r="S202" s="28">
        <f>IF($A202="","",1)</f>
        <v/>
      </c>
    </row>
    <row r="203">
      <c r="A203" s="26" t="n"/>
      <c r="B203" s="26" t="n"/>
      <c r="C203" s="29" t="n"/>
      <c r="D203" s="26" t="n"/>
      <c r="E203" s="26" t="n"/>
      <c r="F203" s="27" t="n"/>
      <c r="G203" s="27" t="n"/>
      <c r="H203" s="27" t="n"/>
      <c r="I203" s="27" t="n"/>
      <c r="J203" s="27" t="n"/>
      <c r="K203" s="27" t="n"/>
      <c r="L203" s="26" t="n"/>
      <c r="M203" s="26" t="n"/>
      <c r="N203" s="28">
        <f>IF($A203="","",IF($C203="","",raporTarihi-$C203))</f>
        <v/>
      </c>
      <c r="O203" s="28">
        <f>IF($A203="","",IF($N203="","",IF($N203&lt;=7,"0-7",IF($N203&lt;=30,"8-30",IF($N203&lt;=60,"31-60","60+")))))</f>
        <v/>
      </c>
      <c r="P203" s="28">
        <f>IF($A203="","",IF($B203="","YETİM",IF(COUNTIF(tblKartlar[KartId],$B203)=0,"YETİM","")))</f>
        <v/>
      </c>
      <c r="Q203" s="28">
        <f>IF(OR($A203="",$D203=""),"",IF(OR($D203&amp;"|"&amp;$E203="",COUNTIF(ListeIzinliGecis,$D203&amp;"|"&amp;$E203)&gt;0),"","GEÇERSİZ GEÇİŞ"))</f>
        <v/>
      </c>
      <c r="R203" s="28">
        <f>IF($A203="","",IF(OR($F203="",$H203=""),"",IF(ABS($H203-$F203)&gt;zincirTolerans,"ZİNCİR KIRIK","OK")))</f>
        <v/>
      </c>
      <c r="S203" s="28">
        <f>IF($A203="","",1)</f>
        <v/>
      </c>
    </row>
    <row r="204">
      <c r="A204" s="26" t="n"/>
      <c r="B204" s="26" t="n"/>
      <c r="C204" s="29" t="n"/>
      <c r="D204" s="26" t="n"/>
      <c r="E204" s="26" t="n"/>
      <c r="F204" s="27" t="n"/>
      <c r="G204" s="27" t="n"/>
      <c r="H204" s="27" t="n"/>
      <c r="I204" s="27" t="n"/>
      <c r="J204" s="27" t="n"/>
      <c r="K204" s="27" t="n"/>
      <c r="L204" s="26" t="n"/>
      <c r="M204" s="26" t="n"/>
      <c r="N204" s="28">
        <f>IF($A204="","",IF($C204="","",raporTarihi-$C204))</f>
        <v/>
      </c>
      <c r="O204" s="28">
        <f>IF($A204="","",IF($N204="","",IF($N204&lt;=7,"0-7",IF($N204&lt;=30,"8-30",IF($N204&lt;=60,"31-60","60+")))))</f>
        <v/>
      </c>
      <c r="P204" s="28">
        <f>IF($A204="","",IF($B204="","YETİM",IF(COUNTIF(tblKartlar[KartId],$B204)=0,"YETİM","")))</f>
        <v/>
      </c>
      <c r="Q204" s="28">
        <f>IF(OR($A204="",$D204=""),"",IF(OR($D204&amp;"|"&amp;$E204="",COUNTIF(ListeIzinliGecis,$D204&amp;"|"&amp;$E204)&gt;0),"","GEÇERSİZ GEÇİŞ"))</f>
        <v/>
      </c>
      <c r="R204" s="28">
        <f>IF($A204="","",IF(OR($F204="",$H204=""),"",IF(ABS($H204-$F204)&gt;zincirTolerans,"ZİNCİR KIRIK","OK")))</f>
        <v/>
      </c>
      <c r="S204" s="28">
        <f>IF($A204="","",1)</f>
        <v/>
      </c>
    </row>
    <row r="205">
      <c r="A205" s="26" t="n"/>
      <c r="B205" s="26" t="n"/>
      <c r="C205" s="29" t="n"/>
      <c r="D205" s="26" t="n"/>
      <c r="E205" s="26" t="n"/>
      <c r="F205" s="27" t="n"/>
      <c r="G205" s="27" t="n"/>
      <c r="H205" s="27" t="n"/>
      <c r="I205" s="27" t="n"/>
      <c r="J205" s="27" t="n"/>
      <c r="K205" s="27" t="n"/>
      <c r="L205" s="26" t="n"/>
      <c r="M205" s="26" t="n"/>
      <c r="N205" s="28">
        <f>IF($A205="","",IF($C205="","",raporTarihi-$C205))</f>
        <v/>
      </c>
      <c r="O205" s="28">
        <f>IF($A205="","",IF($N205="","",IF($N205&lt;=7,"0-7",IF($N205&lt;=30,"8-30",IF($N205&lt;=60,"31-60","60+")))))</f>
        <v/>
      </c>
      <c r="P205" s="28">
        <f>IF($A205="","",IF($B205="","YETİM",IF(COUNTIF(tblKartlar[KartId],$B205)=0,"YETİM","")))</f>
        <v/>
      </c>
      <c r="Q205" s="28">
        <f>IF(OR($A205="",$D205=""),"",IF(OR($D205&amp;"|"&amp;$E205="",COUNTIF(ListeIzinliGecis,$D205&amp;"|"&amp;$E205)&gt;0),"","GEÇERSİZ GEÇİŞ"))</f>
        <v/>
      </c>
      <c r="R205" s="28">
        <f>IF($A205="","",IF(OR($F205="",$H205=""),"",IF(ABS($H205-$F205)&gt;zincirTolerans,"ZİNCİR KIRIK","OK")))</f>
        <v/>
      </c>
      <c r="S205" s="28">
        <f>IF($A205="","",1)</f>
        <v/>
      </c>
    </row>
    <row r="206">
      <c r="A206" s="26" t="n"/>
      <c r="B206" s="26" t="n"/>
      <c r="C206" s="29" t="n"/>
      <c r="D206" s="26" t="n"/>
      <c r="E206" s="26" t="n"/>
      <c r="F206" s="27" t="n"/>
      <c r="G206" s="27" t="n"/>
      <c r="H206" s="27" t="n"/>
      <c r="I206" s="27" t="n"/>
      <c r="J206" s="27" t="n"/>
      <c r="K206" s="27" t="n"/>
      <c r="L206" s="26" t="n"/>
      <c r="M206" s="26" t="n"/>
      <c r="N206" s="28">
        <f>IF($A206="","",IF($C206="","",raporTarihi-$C206))</f>
        <v/>
      </c>
      <c r="O206" s="28">
        <f>IF($A206="","",IF($N206="","",IF($N206&lt;=7,"0-7",IF($N206&lt;=30,"8-30",IF($N206&lt;=60,"31-60","60+")))))</f>
        <v/>
      </c>
      <c r="P206" s="28">
        <f>IF($A206="","",IF($B206="","YETİM",IF(COUNTIF(tblKartlar[KartId],$B206)=0,"YETİM","")))</f>
        <v/>
      </c>
      <c r="Q206" s="28">
        <f>IF(OR($A206="",$D206=""),"",IF(OR($D206&amp;"|"&amp;$E206="",COUNTIF(ListeIzinliGecis,$D206&amp;"|"&amp;$E206)&gt;0),"","GEÇERSİZ GEÇİŞ"))</f>
        <v/>
      </c>
      <c r="R206" s="28">
        <f>IF($A206="","",IF(OR($F206="",$H206=""),"",IF(ABS($H206-$F206)&gt;zincirTolerans,"ZİNCİR KIRIK","OK")))</f>
        <v/>
      </c>
      <c r="S206" s="28">
        <f>IF($A206="","",1)</f>
        <v/>
      </c>
    </row>
    <row r="207">
      <c r="A207" s="26" t="n"/>
      <c r="B207" s="26" t="n"/>
      <c r="C207" s="29" t="n"/>
      <c r="D207" s="26" t="n"/>
      <c r="E207" s="26" t="n"/>
      <c r="F207" s="27" t="n"/>
      <c r="G207" s="27" t="n"/>
      <c r="H207" s="27" t="n"/>
      <c r="I207" s="27" t="n"/>
      <c r="J207" s="27" t="n"/>
      <c r="K207" s="27" t="n"/>
      <c r="L207" s="26" t="n"/>
      <c r="M207" s="26" t="n"/>
      <c r="N207" s="28">
        <f>IF($A207="","",IF($C207="","",raporTarihi-$C207))</f>
        <v/>
      </c>
      <c r="O207" s="28">
        <f>IF($A207="","",IF($N207="","",IF($N207&lt;=7,"0-7",IF($N207&lt;=30,"8-30",IF($N207&lt;=60,"31-60","60+")))))</f>
        <v/>
      </c>
      <c r="P207" s="28">
        <f>IF($A207="","",IF($B207="","YETİM",IF(COUNTIF(tblKartlar[KartId],$B207)=0,"YETİM","")))</f>
        <v/>
      </c>
      <c r="Q207" s="28">
        <f>IF(OR($A207="",$D207=""),"",IF(OR($D207&amp;"|"&amp;$E207="",COUNTIF(ListeIzinliGecis,$D207&amp;"|"&amp;$E207)&gt;0),"","GEÇERSİZ GEÇİŞ"))</f>
        <v/>
      </c>
      <c r="R207" s="28">
        <f>IF($A207="","",IF(OR($F207="",$H207=""),"",IF(ABS($H207-$F207)&gt;zincirTolerans,"ZİNCİR KIRIK","OK")))</f>
        <v/>
      </c>
      <c r="S207" s="28">
        <f>IF($A207="","",1)</f>
        <v/>
      </c>
    </row>
    <row r="208">
      <c r="A208" s="26" t="n"/>
      <c r="B208" s="26" t="n"/>
      <c r="C208" s="29" t="n"/>
      <c r="D208" s="26" t="n"/>
      <c r="E208" s="26" t="n"/>
      <c r="F208" s="27" t="n"/>
      <c r="G208" s="27" t="n"/>
      <c r="H208" s="27" t="n"/>
      <c r="I208" s="27" t="n"/>
      <c r="J208" s="27" t="n"/>
      <c r="K208" s="27" t="n"/>
      <c r="L208" s="26" t="n"/>
      <c r="M208" s="26" t="n"/>
      <c r="N208" s="28">
        <f>IF($A208="","",IF($C208="","",raporTarihi-$C208))</f>
        <v/>
      </c>
      <c r="O208" s="28">
        <f>IF($A208="","",IF($N208="","",IF($N208&lt;=7,"0-7",IF($N208&lt;=30,"8-30",IF($N208&lt;=60,"31-60","60+")))))</f>
        <v/>
      </c>
      <c r="P208" s="28">
        <f>IF($A208="","",IF($B208="","YETİM",IF(COUNTIF(tblKartlar[KartId],$B208)=0,"YETİM","")))</f>
        <v/>
      </c>
      <c r="Q208" s="28">
        <f>IF(OR($A208="",$D208=""),"",IF(OR($D208&amp;"|"&amp;$E208="",COUNTIF(ListeIzinliGecis,$D208&amp;"|"&amp;$E208)&gt;0),"","GEÇERSİZ GEÇİŞ"))</f>
        <v/>
      </c>
      <c r="R208" s="28">
        <f>IF($A208="","",IF(OR($F208="",$H208=""),"",IF(ABS($H208-$F208)&gt;zincirTolerans,"ZİNCİR KIRIK","OK")))</f>
        <v/>
      </c>
      <c r="S208" s="28">
        <f>IF($A208="","",1)</f>
        <v/>
      </c>
    </row>
    <row r="209">
      <c r="A209" s="26" t="n"/>
      <c r="B209" s="26" t="n"/>
      <c r="C209" s="29" t="n"/>
      <c r="D209" s="26" t="n"/>
      <c r="E209" s="26" t="n"/>
      <c r="F209" s="27" t="n"/>
      <c r="G209" s="27" t="n"/>
      <c r="H209" s="27" t="n"/>
      <c r="I209" s="27" t="n"/>
      <c r="J209" s="27" t="n"/>
      <c r="K209" s="27" t="n"/>
      <c r="L209" s="26" t="n"/>
      <c r="M209" s="26" t="n"/>
      <c r="N209" s="28">
        <f>IF($A209="","",IF($C209="","",raporTarihi-$C209))</f>
        <v/>
      </c>
      <c r="O209" s="28">
        <f>IF($A209="","",IF($N209="","",IF($N209&lt;=7,"0-7",IF($N209&lt;=30,"8-30",IF($N209&lt;=60,"31-60","60+")))))</f>
        <v/>
      </c>
      <c r="P209" s="28">
        <f>IF($A209="","",IF($B209="","YETİM",IF(COUNTIF(tblKartlar[KartId],$B209)=0,"YETİM","")))</f>
        <v/>
      </c>
      <c r="Q209" s="28">
        <f>IF(OR($A209="",$D209=""),"",IF(OR($D209&amp;"|"&amp;$E209="",COUNTIF(ListeIzinliGecis,$D209&amp;"|"&amp;$E209)&gt;0),"","GEÇERSİZ GEÇİŞ"))</f>
        <v/>
      </c>
      <c r="R209" s="28">
        <f>IF($A209="","",IF(OR($F209="",$H209=""),"",IF(ABS($H209-$F209)&gt;zincirTolerans,"ZİNCİR KIRIK","OK")))</f>
        <v/>
      </c>
      <c r="S209" s="28">
        <f>IF($A209="","",1)</f>
        <v/>
      </c>
    </row>
    <row r="210">
      <c r="A210" s="26" t="n"/>
      <c r="B210" s="26" t="n"/>
      <c r="C210" s="29" t="n"/>
      <c r="D210" s="26" t="n"/>
      <c r="E210" s="26" t="n"/>
      <c r="F210" s="27" t="n"/>
      <c r="G210" s="27" t="n"/>
      <c r="H210" s="27" t="n"/>
      <c r="I210" s="27" t="n"/>
      <c r="J210" s="27" t="n"/>
      <c r="K210" s="27" t="n"/>
      <c r="L210" s="26" t="n"/>
      <c r="M210" s="26" t="n"/>
      <c r="N210" s="28">
        <f>IF($A210="","",IF($C210="","",raporTarihi-$C210))</f>
        <v/>
      </c>
      <c r="O210" s="28">
        <f>IF($A210="","",IF($N210="","",IF($N210&lt;=7,"0-7",IF($N210&lt;=30,"8-30",IF($N210&lt;=60,"31-60","60+")))))</f>
        <v/>
      </c>
      <c r="P210" s="28">
        <f>IF($A210="","",IF($B210="","YETİM",IF(COUNTIF(tblKartlar[KartId],$B210)=0,"YETİM","")))</f>
        <v/>
      </c>
      <c r="Q210" s="28">
        <f>IF(OR($A210="",$D210=""),"",IF(OR($D210&amp;"|"&amp;$E210="",COUNTIF(ListeIzinliGecis,$D210&amp;"|"&amp;$E210)&gt;0),"","GEÇERSİZ GEÇİŞ"))</f>
        <v/>
      </c>
      <c r="R210" s="28">
        <f>IF($A210="","",IF(OR($F210="",$H210=""),"",IF(ABS($H210-$F210)&gt;zincirTolerans,"ZİNCİR KIRIK","OK")))</f>
        <v/>
      </c>
      <c r="S210" s="28">
        <f>IF($A210="","",1)</f>
        <v/>
      </c>
    </row>
    <row r="211">
      <c r="A211" s="26" t="n"/>
      <c r="B211" s="26" t="n"/>
      <c r="C211" s="29" t="n"/>
      <c r="D211" s="26" t="n"/>
      <c r="E211" s="26" t="n"/>
      <c r="F211" s="27" t="n"/>
      <c r="G211" s="27" t="n"/>
      <c r="H211" s="27" t="n"/>
      <c r="I211" s="27" t="n"/>
      <c r="J211" s="27" t="n"/>
      <c r="K211" s="27" t="n"/>
      <c r="L211" s="26" t="n"/>
      <c r="M211" s="26" t="n"/>
      <c r="N211" s="28">
        <f>IF($A211="","",IF($C211="","",raporTarihi-$C211))</f>
        <v/>
      </c>
      <c r="O211" s="28">
        <f>IF($A211="","",IF($N211="","",IF($N211&lt;=7,"0-7",IF($N211&lt;=30,"8-30",IF($N211&lt;=60,"31-60","60+")))))</f>
        <v/>
      </c>
      <c r="P211" s="28">
        <f>IF($A211="","",IF($B211="","YETİM",IF(COUNTIF(tblKartlar[KartId],$B211)=0,"YETİM","")))</f>
        <v/>
      </c>
      <c r="Q211" s="28">
        <f>IF(OR($A211="",$D211=""),"",IF(OR($D211&amp;"|"&amp;$E211="",COUNTIF(ListeIzinliGecis,$D211&amp;"|"&amp;$E211)&gt;0),"","GEÇERSİZ GEÇİŞ"))</f>
        <v/>
      </c>
      <c r="R211" s="28">
        <f>IF($A211="","",IF(OR($F211="",$H211=""),"",IF(ABS($H211-$F211)&gt;zincirTolerans,"ZİNCİR KIRIK","OK")))</f>
        <v/>
      </c>
      <c r="S211" s="28">
        <f>IF($A211="","",1)</f>
        <v/>
      </c>
    </row>
    <row r="212">
      <c r="A212" s="26" t="n"/>
      <c r="B212" s="26" t="n"/>
      <c r="C212" s="29" t="n"/>
      <c r="D212" s="26" t="n"/>
      <c r="E212" s="26" t="n"/>
      <c r="F212" s="27" t="n"/>
      <c r="G212" s="27" t="n"/>
      <c r="H212" s="27" t="n"/>
      <c r="I212" s="27" t="n"/>
      <c r="J212" s="27" t="n"/>
      <c r="K212" s="27" t="n"/>
      <c r="L212" s="26" t="n"/>
      <c r="M212" s="26" t="n"/>
      <c r="N212" s="28">
        <f>IF($A212="","",IF($C212="","",raporTarihi-$C212))</f>
        <v/>
      </c>
      <c r="O212" s="28">
        <f>IF($A212="","",IF($N212="","",IF($N212&lt;=7,"0-7",IF($N212&lt;=30,"8-30",IF($N212&lt;=60,"31-60","60+")))))</f>
        <v/>
      </c>
      <c r="P212" s="28">
        <f>IF($A212="","",IF($B212="","YETİM",IF(COUNTIF(tblKartlar[KartId],$B212)=0,"YETİM","")))</f>
        <v/>
      </c>
      <c r="Q212" s="28">
        <f>IF(OR($A212="",$D212=""),"",IF(OR($D212&amp;"|"&amp;$E212="",COUNTIF(ListeIzinliGecis,$D212&amp;"|"&amp;$E212)&gt;0),"","GEÇERSİZ GEÇİŞ"))</f>
        <v/>
      </c>
      <c r="R212" s="28">
        <f>IF($A212="","",IF(OR($F212="",$H212=""),"",IF(ABS($H212-$F212)&gt;zincirTolerans,"ZİNCİR KIRIK","OK")))</f>
        <v/>
      </c>
      <c r="S212" s="28">
        <f>IF($A212="","",1)</f>
        <v/>
      </c>
    </row>
    <row r="213">
      <c r="A213" s="26" t="n"/>
      <c r="B213" s="26" t="n"/>
      <c r="C213" s="29" t="n"/>
      <c r="D213" s="26" t="n"/>
      <c r="E213" s="26" t="n"/>
      <c r="F213" s="27" t="n"/>
      <c r="G213" s="27" t="n"/>
      <c r="H213" s="27" t="n"/>
      <c r="I213" s="27" t="n"/>
      <c r="J213" s="27" t="n"/>
      <c r="K213" s="27" t="n"/>
      <c r="L213" s="26" t="n"/>
      <c r="M213" s="26" t="n"/>
      <c r="N213" s="28">
        <f>IF($A213="","",IF($C213="","",raporTarihi-$C213))</f>
        <v/>
      </c>
      <c r="O213" s="28">
        <f>IF($A213="","",IF($N213="","",IF($N213&lt;=7,"0-7",IF($N213&lt;=30,"8-30",IF($N213&lt;=60,"31-60","60+")))))</f>
        <v/>
      </c>
      <c r="P213" s="28">
        <f>IF($A213="","",IF($B213="","YETİM",IF(COUNTIF(tblKartlar[KartId],$B213)=0,"YETİM","")))</f>
        <v/>
      </c>
      <c r="Q213" s="28">
        <f>IF(OR($A213="",$D213=""),"",IF(OR($D213&amp;"|"&amp;$E213="",COUNTIF(ListeIzinliGecis,$D213&amp;"|"&amp;$E213)&gt;0),"","GEÇERSİZ GEÇİŞ"))</f>
        <v/>
      </c>
      <c r="R213" s="28">
        <f>IF($A213="","",IF(OR($F213="",$H213=""),"",IF(ABS($H213-$F213)&gt;zincirTolerans,"ZİNCİR KIRIK","OK")))</f>
        <v/>
      </c>
      <c r="S213" s="28">
        <f>IF($A213="","",1)</f>
        <v/>
      </c>
    </row>
    <row r="214">
      <c r="A214" s="26" t="n"/>
      <c r="B214" s="26" t="n"/>
      <c r="C214" s="29" t="n"/>
      <c r="D214" s="26" t="n"/>
      <c r="E214" s="26" t="n"/>
      <c r="F214" s="27" t="n"/>
      <c r="G214" s="27" t="n"/>
      <c r="H214" s="27" t="n"/>
      <c r="I214" s="27" t="n"/>
      <c r="J214" s="27" t="n"/>
      <c r="K214" s="27" t="n"/>
      <c r="L214" s="26" t="n"/>
      <c r="M214" s="26" t="n"/>
      <c r="N214" s="28">
        <f>IF($A214="","",IF($C214="","",raporTarihi-$C214))</f>
        <v/>
      </c>
      <c r="O214" s="28">
        <f>IF($A214="","",IF($N214="","",IF($N214&lt;=7,"0-7",IF($N214&lt;=30,"8-30",IF($N214&lt;=60,"31-60","60+")))))</f>
        <v/>
      </c>
      <c r="P214" s="28">
        <f>IF($A214="","",IF($B214="","YETİM",IF(COUNTIF(tblKartlar[KartId],$B214)=0,"YETİM","")))</f>
        <v/>
      </c>
      <c r="Q214" s="28">
        <f>IF(OR($A214="",$D214=""),"",IF(OR($D214&amp;"|"&amp;$E214="",COUNTIF(ListeIzinliGecis,$D214&amp;"|"&amp;$E214)&gt;0),"","GEÇERSİZ GEÇİŞ"))</f>
        <v/>
      </c>
      <c r="R214" s="28">
        <f>IF($A214="","",IF(OR($F214="",$H214=""),"",IF(ABS($H214-$F214)&gt;zincirTolerans,"ZİNCİR KIRIK","OK")))</f>
        <v/>
      </c>
      <c r="S214" s="28">
        <f>IF($A214="","",1)</f>
        <v/>
      </c>
    </row>
    <row r="215">
      <c r="A215" s="26" t="n"/>
      <c r="B215" s="26" t="n"/>
      <c r="C215" s="29" t="n"/>
      <c r="D215" s="26" t="n"/>
      <c r="E215" s="26" t="n"/>
      <c r="F215" s="27" t="n"/>
      <c r="G215" s="27" t="n"/>
      <c r="H215" s="27" t="n"/>
      <c r="I215" s="27" t="n"/>
      <c r="J215" s="27" t="n"/>
      <c r="K215" s="27" t="n"/>
      <c r="L215" s="26" t="n"/>
      <c r="M215" s="26" t="n"/>
      <c r="N215" s="28">
        <f>IF($A215="","",IF($C215="","",raporTarihi-$C215))</f>
        <v/>
      </c>
      <c r="O215" s="28">
        <f>IF($A215="","",IF($N215="","",IF($N215&lt;=7,"0-7",IF($N215&lt;=30,"8-30",IF($N215&lt;=60,"31-60","60+")))))</f>
        <v/>
      </c>
      <c r="P215" s="28">
        <f>IF($A215="","",IF($B215="","YETİM",IF(COUNTIF(tblKartlar[KartId],$B215)=0,"YETİM","")))</f>
        <v/>
      </c>
      <c r="Q215" s="28">
        <f>IF(OR($A215="",$D215=""),"",IF(OR($D215&amp;"|"&amp;$E215="",COUNTIF(ListeIzinliGecis,$D215&amp;"|"&amp;$E215)&gt;0),"","GEÇERSİZ GEÇİŞ"))</f>
        <v/>
      </c>
      <c r="R215" s="28">
        <f>IF($A215="","",IF(OR($F215="",$H215=""),"",IF(ABS($H215-$F215)&gt;zincirTolerans,"ZİNCİR KIRIK","OK")))</f>
        <v/>
      </c>
      <c r="S215" s="28">
        <f>IF($A215="","",1)</f>
        <v/>
      </c>
    </row>
    <row r="216">
      <c r="A216" s="26" t="n"/>
      <c r="B216" s="26" t="n"/>
      <c r="C216" s="29" t="n"/>
      <c r="D216" s="26" t="n"/>
      <c r="E216" s="26" t="n"/>
      <c r="F216" s="27" t="n"/>
      <c r="G216" s="27" t="n"/>
      <c r="H216" s="27" t="n"/>
      <c r="I216" s="27" t="n"/>
      <c r="J216" s="27" t="n"/>
      <c r="K216" s="27" t="n"/>
      <c r="L216" s="26" t="n"/>
      <c r="M216" s="26" t="n"/>
      <c r="N216" s="28">
        <f>IF($A216="","",IF($C216="","",raporTarihi-$C216))</f>
        <v/>
      </c>
      <c r="O216" s="28">
        <f>IF($A216="","",IF($N216="","",IF($N216&lt;=7,"0-7",IF($N216&lt;=30,"8-30",IF($N216&lt;=60,"31-60","60+")))))</f>
        <v/>
      </c>
      <c r="P216" s="28">
        <f>IF($A216="","",IF($B216="","YETİM",IF(COUNTIF(tblKartlar[KartId],$B216)=0,"YETİM","")))</f>
        <v/>
      </c>
      <c r="Q216" s="28">
        <f>IF(OR($A216="",$D216=""),"",IF(OR($D216&amp;"|"&amp;$E216="",COUNTIF(ListeIzinliGecis,$D216&amp;"|"&amp;$E216)&gt;0),"","GEÇERSİZ GEÇİŞ"))</f>
        <v/>
      </c>
      <c r="R216" s="28">
        <f>IF($A216="","",IF(OR($F216="",$H216=""),"",IF(ABS($H216-$F216)&gt;zincirTolerans,"ZİNCİR KIRIK","OK")))</f>
        <v/>
      </c>
      <c r="S216" s="28">
        <f>IF($A216="","",1)</f>
        <v/>
      </c>
    </row>
    <row r="217">
      <c r="A217" s="26" t="n"/>
      <c r="B217" s="26" t="n"/>
      <c r="C217" s="29" t="n"/>
      <c r="D217" s="26" t="n"/>
      <c r="E217" s="26" t="n"/>
      <c r="F217" s="27" t="n"/>
      <c r="G217" s="27" t="n"/>
      <c r="H217" s="27" t="n"/>
      <c r="I217" s="27" t="n"/>
      <c r="J217" s="27" t="n"/>
      <c r="K217" s="27" t="n"/>
      <c r="L217" s="26" t="n"/>
      <c r="M217" s="26" t="n"/>
      <c r="N217" s="28">
        <f>IF($A217="","",IF($C217="","",raporTarihi-$C217))</f>
        <v/>
      </c>
      <c r="O217" s="28">
        <f>IF($A217="","",IF($N217="","",IF($N217&lt;=7,"0-7",IF($N217&lt;=30,"8-30",IF($N217&lt;=60,"31-60","60+")))))</f>
        <v/>
      </c>
      <c r="P217" s="28">
        <f>IF($A217="","",IF($B217="","YETİM",IF(COUNTIF(tblKartlar[KartId],$B217)=0,"YETİM","")))</f>
        <v/>
      </c>
      <c r="Q217" s="28">
        <f>IF(OR($A217="",$D217=""),"",IF(OR($D217&amp;"|"&amp;$E217="",COUNTIF(ListeIzinliGecis,$D217&amp;"|"&amp;$E217)&gt;0),"","GEÇERSİZ GEÇİŞ"))</f>
        <v/>
      </c>
      <c r="R217" s="28">
        <f>IF($A217="","",IF(OR($F217="",$H217=""),"",IF(ABS($H217-$F217)&gt;zincirTolerans,"ZİNCİR KIRIK","OK")))</f>
        <v/>
      </c>
      <c r="S217" s="28">
        <f>IF($A217="","",1)</f>
        <v/>
      </c>
    </row>
    <row r="218">
      <c r="A218" s="26" t="n"/>
      <c r="B218" s="26" t="n"/>
      <c r="C218" s="29" t="n"/>
      <c r="D218" s="26" t="n"/>
      <c r="E218" s="26" t="n"/>
      <c r="F218" s="27" t="n"/>
      <c r="G218" s="27" t="n"/>
      <c r="H218" s="27" t="n"/>
      <c r="I218" s="27" t="n"/>
      <c r="J218" s="27" t="n"/>
      <c r="K218" s="27" t="n"/>
      <c r="L218" s="26" t="n"/>
      <c r="M218" s="26" t="n"/>
      <c r="N218" s="28">
        <f>IF($A218="","",IF($C218="","",raporTarihi-$C218))</f>
        <v/>
      </c>
      <c r="O218" s="28">
        <f>IF($A218="","",IF($N218="","",IF($N218&lt;=7,"0-7",IF($N218&lt;=30,"8-30",IF($N218&lt;=60,"31-60","60+")))))</f>
        <v/>
      </c>
      <c r="P218" s="28">
        <f>IF($A218="","",IF($B218="","YETİM",IF(COUNTIF(tblKartlar[KartId],$B218)=0,"YETİM","")))</f>
        <v/>
      </c>
      <c r="Q218" s="28">
        <f>IF(OR($A218="",$D218=""),"",IF(OR($D218&amp;"|"&amp;$E218="",COUNTIF(ListeIzinliGecis,$D218&amp;"|"&amp;$E218)&gt;0),"","GEÇERSİZ GEÇİŞ"))</f>
        <v/>
      </c>
      <c r="R218" s="28">
        <f>IF($A218="","",IF(OR($F218="",$H218=""),"",IF(ABS($H218-$F218)&gt;zincirTolerans,"ZİNCİR KIRIK","OK")))</f>
        <v/>
      </c>
      <c r="S218" s="28">
        <f>IF($A218="","",1)</f>
        <v/>
      </c>
    </row>
    <row r="219">
      <c r="A219" s="26" t="n"/>
      <c r="B219" s="26" t="n"/>
      <c r="C219" s="29" t="n"/>
      <c r="D219" s="26" t="n"/>
      <c r="E219" s="26" t="n"/>
      <c r="F219" s="27" t="n"/>
      <c r="G219" s="27" t="n"/>
      <c r="H219" s="27" t="n"/>
      <c r="I219" s="27" t="n"/>
      <c r="J219" s="27" t="n"/>
      <c r="K219" s="27" t="n"/>
      <c r="L219" s="26" t="n"/>
      <c r="M219" s="26" t="n"/>
      <c r="N219" s="28">
        <f>IF($A219="","",IF($C219="","",raporTarihi-$C219))</f>
        <v/>
      </c>
      <c r="O219" s="28">
        <f>IF($A219="","",IF($N219="","",IF($N219&lt;=7,"0-7",IF($N219&lt;=30,"8-30",IF($N219&lt;=60,"31-60","60+")))))</f>
        <v/>
      </c>
      <c r="P219" s="28">
        <f>IF($A219="","",IF($B219="","YETİM",IF(COUNTIF(tblKartlar[KartId],$B219)=0,"YETİM","")))</f>
        <v/>
      </c>
      <c r="Q219" s="28">
        <f>IF(OR($A219="",$D219=""),"",IF(OR($D219&amp;"|"&amp;$E219="",COUNTIF(ListeIzinliGecis,$D219&amp;"|"&amp;$E219)&gt;0),"","GEÇERSİZ GEÇİŞ"))</f>
        <v/>
      </c>
      <c r="R219" s="28">
        <f>IF($A219="","",IF(OR($F219="",$H219=""),"",IF(ABS($H219-$F219)&gt;zincirTolerans,"ZİNCİR KIRIK","OK")))</f>
        <v/>
      </c>
      <c r="S219" s="28">
        <f>IF($A219="","",1)</f>
        <v/>
      </c>
    </row>
    <row r="220">
      <c r="A220" s="26" t="n"/>
      <c r="B220" s="26" t="n"/>
      <c r="C220" s="29" t="n"/>
      <c r="D220" s="26" t="n"/>
      <c r="E220" s="26" t="n"/>
      <c r="F220" s="27" t="n"/>
      <c r="G220" s="27" t="n"/>
      <c r="H220" s="27" t="n"/>
      <c r="I220" s="27" t="n"/>
      <c r="J220" s="27" t="n"/>
      <c r="K220" s="27" t="n"/>
      <c r="L220" s="26" t="n"/>
      <c r="M220" s="26" t="n"/>
      <c r="N220" s="28">
        <f>IF($A220="","",IF($C220="","",raporTarihi-$C220))</f>
        <v/>
      </c>
      <c r="O220" s="28">
        <f>IF($A220="","",IF($N220="","",IF($N220&lt;=7,"0-7",IF($N220&lt;=30,"8-30",IF($N220&lt;=60,"31-60","60+")))))</f>
        <v/>
      </c>
      <c r="P220" s="28">
        <f>IF($A220="","",IF($B220="","YETİM",IF(COUNTIF(tblKartlar[KartId],$B220)=0,"YETİM","")))</f>
        <v/>
      </c>
      <c r="Q220" s="28">
        <f>IF(OR($A220="",$D220=""),"",IF(OR($D220&amp;"|"&amp;$E220="",COUNTIF(ListeIzinliGecis,$D220&amp;"|"&amp;$E220)&gt;0),"","GEÇERSİZ GEÇİŞ"))</f>
        <v/>
      </c>
      <c r="R220" s="28">
        <f>IF($A220="","",IF(OR($F220="",$H220=""),"",IF(ABS($H220-$F220)&gt;zincirTolerans,"ZİNCİR KIRIK","OK")))</f>
        <v/>
      </c>
      <c r="S220" s="28">
        <f>IF($A220="","",1)</f>
        <v/>
      </c>
    </row>
    <row r="221">
      <c r="A221" s="26" t="n"/>
      <c r="B221" s="26" t="n"/>
      <c r="C221" s="29" t="n"/>
      <c r="D221" s="26" t="n"/>
      <c r="E221" s="26" t="n"/>
      <c r="F221" s="27" t="n"/>
      <c r="G221" s="27" t="n"/>
      <c r="H221" s="27" t="n"/>
      <c r="I221" s="27" t="n"/>
      <c r="J221" s="27" t="n"/>
      <c r="K221" s="27" t="n"/>
      <c r="L221" s="26" t="n"/>
      <c r="M221" s="26" t="n"/>
      <c r="N221" s="28">
        <f>IF($A221="","",IF($C221="","",raporTarihi-$C221))</f>
        <v/>
      </c>
      <c r="O221" s="28">
        <f>IF($A221="","",IF($N221="","",IF($N221&lt;=7,"0-7",IF($N221&lt;=30,"8-30",IF($N221&lt;=60,"31-60","60+")))))</f>
        <v/>
      </c>
      <c r="P221" s="28">
        <f>IF($A221="","",IF($B221="","YETİM",IF(COUNTIF(tblKartlar[KartId],$B221)=0,"YETİM","")))</f>
        <v/>
      </c>
      <c r="Q221" s="28">
        <f>IF(OR($A221="",$D221=""),"",IF(OR($D221&amp;"|"&amp;$E221="",COUNTIF(ListeIzinliGecis,$D221&amp;"|"&amp;$E221)&gt;0),"","GEÇERSİZ GEÇİŞ"))</f>
        <v/>
      </c>
      <c r="R221" s="28">
        <f>IF($A221="","",IF(OR($F221="",$H221=""),"",IF(ABS($H221-$F221)&gt;zincirTolerans,"ZİNCİR KIRIK","OK")))</f>
        <v/>
      </c>
      <c r="S221" s="28">
        <f>IF($A221="","",1)</f>
        <v/>
      </c>
    </row>
    <row r="222">
      <c r="A222" s="26" t="n"/>
      <c r="B222" s="26" t="n"/>
      <c r="C222" s="29" t="n"/>
      <c r="D222" s="26" t="n"/>
      <c r="E222" s="26" t="n"/>
      <c r="F222" s="27" t="n"/>
      <c r="G222" s="27" t="n"/>
      <c r="H222" s="27" t="n"/>
      <c r="I222" s="27" t="n"/>
      <c r="J222" s="27" t="n"/>
      <c r="K222" s="27" t="n"/>
      <c r="L222" s="26" t="n"/>
      <c r="M222" s="26" t="n"/>
      <c r="N222" s="28">
        <f>IF($A222="","",IF($C222="","",raporTarihi-$C222))</f>
        <v/>
      </c>
      <c r="O222" s="28">
        <f>IF($A222="","",IF($N222="","",IF($N222&lt;=7,"0-7",IF($N222&lt;=30,"8-30",IF($N222&lt;=60,"31-60","60+")))))</f>
        <v/>
      </c>
      <c r="P222" s="28">
        <f>IF($A222="","",IF($B222="","YETİM",IF(COUNTIF(tblKartlar[KartId],$B222)=0,"YETİM","")))</f>
        <v/>
      </c>
      <c r="Q222" s="28">
        <f>IF(OR($A222="",$D222=""),"",IF(OR($D222&amp;"|"&amp;$E222="",COUNTIF(ListeIzinliGecis,$D222&amp;"|"&amp;$E222)&gt;0),"","GEÇERSİZ GEÇİŞ"))</f>
        <v/>
      </c>
      <c r="R222" s="28">
        <f>IF($A222="","",IF(OR($F222="",$H222=""),"",IF(ABS($H222-$F222)&gt;zincirTolerans,"ZİNCİR KIRIK","OK")))</f>
        <v/>
      </c>
      <c r="S222" s="28">
        <f>IF($A222="","",1)</f>
        <v/>
      </c>
    </row>
    <row r="223">
      <c r="A223" s="26" t="n"/>
      <c r="B223" s="26" t="n"/>
      <c r="C223" s="29" t="n"/>
      <c r="D223" s="26" t="n"/>
      <c r="E223" s="26" t="n"/>
      <c r="F223" s="27" t="n"/>
      <c r="G223" s="27" t="n"/>
      <c r="H223" s="27" t="n"/>
      <c r="I223" s="27" t="n"/>
      <c r="J223" s="27" t="n"/>
      <c r="K223" s="27" t="n"/>
      <c r="L223" s="26" t="n"/>
      <c r="M223" s="26" t="n"/>
      <c r="N223" s="28">
        <f>IF($A223="","",IF($C223="","",raporTarihi-$C223))</f>
        <v/>
      </c>
      <c r="O223" s="28">
        <f>IF($A223="","",IF($N223="","",IF($N223&lt;=7,"0-7",IF($N223&lt;=30,"8-30",IF($N223&lt;=60,"31-60","60+")))))</f>
        <v/>
      </c>
      <c r="P223" s="28">
        <f>IF($A223="","",IF($B223="","YETİM",IF(COUNTIF(tblKartlar[KartId],$B223)=0,"YETİM","")))</f>
        <v/>
      </c>
      <c r="Q223" s="28">
        <f>IF(OR($A223="",$D223=""),"",IF(OR($D223&amp;"|"&amp;$E223="",COUNTIF(ListeIzinliGecis,$D223&amp;"|"&amp;$E223)&gt;0),"","GEÇERSİZ GEÇİŞ"))</f>
        <v/>
      </c>
      <c r="R223" s="28">
        <f>IF($A223="","",IF(OR($F223="",$H223=""),"",IF(ABS($H223-$F223)&gt;zincirTolerans,"ZİNCİR KIRIK","OK")))</f>
        <v/>
      </c>
      <c r="S223" s="28">
        <f>IF($A223="","",1)</f>
        <v/>
      </c>
    </row>
    <row r="224">
      <c r="A224" s="26" t="n"/>
      <c r="B224" s="26" t="n"/>
      <c r="C224" s="29" t="n"/>
      <c r="D224" s="26" t="n"/>
      <c r="E224" s="26" t="n"/>
      <c r="F224" s="27" t="n"/>
      <c r="G224" s="27" t="n"/>
      <c r="H224" s="27" t="n"/>
      <c r="I224" s="27" t="n"/>
      <c r="J224" s="27" t="n"/>
      <c r="K224" s="27" t="n"/>
      <c r="L224" s="26" t="n"/>
      <c r="M224" s="26" t="n"/>
      <c r="N224" s="28">
        <f>IF($A224="","",IF($C224="","",raporTarihi-$C224))</f>
        <v/>
      </c>
      <c r="O224" s="28">
        <f>IF($A224="","",IF($N224="","",IF($N224&lt;=7,"0-7",IF($N224&lt;=30,"8-30",IF($N224&lt;=60,"31-60","60+")))))</f>
        <v/>
      </c>
      <c r="P224" s="28">
        <f>IF($A224="","",IF($B224="","YETİM",IF(COUNTIF(tblKartlar[KartId],$B224)=0,"YETİM","")))</f>
        <v/>
      </c>
      <c r="Q224" s="28">
        <f>IF(OR($A224="",$D224=""),"",IF(OR($D224&amp;"|"&amp;$E224="",COUNTIF(ListeIzinliGecis,$D224&amp;"|"&amp;$E224)&gt;0),"","GEÇERSİZ GEÇİŞ"))</f>
        <v/>
      </c>
      <c r="R224" s="28">
        <f>IF($A224="","",IF(OR($F224="",$H224=""),"",IF(ABS($H224-$F224)&gt;zincirTolerans,"ZİNCİR KIRIK","OK")))</f>
        <v/>
      </c>
      <c r="S224" s="28">
        <f>IF($A224="","",1)</f>
        <v/>
      </c>
    </row>
    <row r="225">
      <c r="A225" s="26" t="n"/>
      <c r="B225" s="26" t="n"/>
      <c r="C225" s="29" t="n"/>
      <c r="D225" s="26" t="n"/>
      <c r="E225" s="26" t="n"/>
      <c r="F225" s="27" t="n"/>
      <c r="G225" s="27" t="n"/>
      <c r="H225" s="27" t="n"/>
      <c r="I225" s="27" t="n"/>
      <c r="J225" s="27" t="n"/>
      <c r="K225" s="27" t="n"/>
      <c r="L225" s="26" t="n"/>
      <c r="M225" s="26" t="n"/>
      <c r="N225" s="28">
        <f>IF($A225="","",IF($C225="","",raporTarihi-$C225))</f>
        <v/>
      </c>
      <c r="O225" s="28">
        <f>IF($A225="","",IF($N225="","",IF($N225&lt;=7,"0-7",IF($N225&lt;=30,"8-30",IF($N225&lt;=60,"31-60","60+")))))</f>
        <v/>
      </c>
      <c r="P225" s="28">
        <f>IF($A225="","",IF($B225="","YETİM",IF(COUNTIF(tblKartlar[KartId],$B225)=0,"YETİM","")))</f>
        <v/>
      </c>
      <c r="Q225" s="28">
        <f>IF(OR($A225="",$D225=""),"",IF(OR($D225&amp;"|"&amp;$E225="",COUNTIF(ListeIzinliGecis,$D225&amp;"|"&amp;$E225)&gt;0),"","GEÇERSİZ GEÇİŞ"))</f>
        <v/>
      </c>
      <c r="R225" s="28">
        <f>IF($A225="","",IF(OR($F225="",$H225=""),"",IF(ABS($H225-$F225)&gt;zincirTolerans,"ZİNCİR KIRIK","OK")))</f>
        <v/>
      </c>
      <c r="S225" s="28">
        <f>IF($A225="","",1)</f>
        <v/>
      </c>
    </row>
    <row r="226">
      <c r="A226" s="26" t="n"/>
      <c r="B226" s="26" t="n"/>
      <c r="C226" s="29" t="n"/>
      <c r="D226" s="26" t="n"/>
      <c r="E226" s="26" t="n"/>
      <c r="F226" s="27" t="n"/>
      <c r="G226" s="27" t="n"/>
      <c r="H226" s="27" t="n"/>
      <c r="I226" s="27" t="n"/>
      <c r="J226" s="27" t="n"/>
      <c r="K226" s="27" t="n"/>
      <c r="L226" s="26" t="n"/>
      <c r="M226" s="26" t="n"/>
      <c r="N226" s="28">
        <f>IF($A226="","",IF($C226="","",raporTarihi-$C226))</f>
        <v/>
      </c>
      <c r="O226" s="28">
        <f>IF($A226="","",IF($N226="","",IF($N226&lt;=7,"0-7",IF($N226&lt;=30,"8-30",IF($N226&lt;=60,"31-60","60+")))))</f>
        <v/>
      </c>
      <c r="P226" s="28">
        <f>IF($A226="","",IF($B226="","YETİM",IF(COUNTIF(tblKartlar[KartId],$B226)=0,"YETİM","")))</f>
        <v/>
      </c>
      <c r="Q226" s="28">
        <f>IF(OR($A226="",$D226=""),"",IF(OR($D226&amp;"|"&amp;$E226="",COUNTIF(ListeIzinliGecis,$D226&amp;"|"&amp;$E226)&gt;0),"","GEÇERSİZ GEÇİŞ"))</f>
        <v/>
      </c>
      <c r="R226" s="28">
        <f>IF($A226="","",IF(OR($F226="",$H226=""),"",IF(ABS($H226-$F226)&gt;zincirTolerans,"ZİNCİR KIRIK","OK")))</f>
        <v/>
      </c>
      <c r="S226" s="28">
        <f>IF($A226="","",1)</f>
        <v/>
      </c>
    </row>
    <row r="227">
      <c r="A227" s="26" t="n"/>
      <c r="B227" s="26" t="n"/>
      <c r="C227" s="29" t="n"/>
      <c r="D227" s="26" t="n"/>
      <c r="E227" s="26" t="n"/>
      <c r="F227" s="27" t="n"/>
      <c r="G227" s="27" t="n"/>
      <c r="H227" s="27" t="n"/>
      <c r="I227" s="27" t="n"/>
      <c r="J227" s="27" t="n"/>
      <c r="K227" s="27" t="n"/>
      <c r="L227" s="26" t="n"/>
      <c r="M227" s="26" t="n"/>
      <c r="N227" s="28">
        <f>IF($A227="","",IF($C227="","",raporTarihi-$C227))</f>
        <v/>
      </c>
      <c r="O227" s="28">
        <f>IF($A227="","",IF($N227="","",IF($N227&lt;=7,"0-7",IF($N227&lt;=30,"8-30",IF($N227&lt;=60,"31-60","60+")))))</f>
        <v/>
      </c>
      <c r="P227" s="28">
        <f>IF($A227="","",IF($B227="","YETİM",IF(COUNTIF(tblKartlar[KartId],$B227)=0,"YETİM","")))</f>
        <v/>
      </c>
      <c r="Q227" s="28">
        <f>IF(OR($A227="",$D227=""),"",IF(OR($D227&amp;"|"&amp;$E227="",COUNTIF(ListeIzinliGecis,$D227&amp;"|"&amp;$E227)&gt;0),"","GEÇERSİZ GEÇİŞ"))</f>
        <v/>
      </c>
      <c r="R227" s="28">
        <f>IF($A227="","",IF(OR($F227="",$H227=""),"",IF(ABS($H227-$F227)&gt;zincirTolerans,"ZİNCİR KIRIK","OK")))</f>
        <v/>
      </c>
      <c r="S227" s="28">
        <f>IF($A227="","",1)</f>
        <v/>
      </c>
    </row>
    <row r="228">
      <c r="A228" s="26" t="n"/>
      <c r="B228" s="26" t="n"/>
      <c r="C228" s="29" t="n"/>
      <c r="D228" s="26" t="n"/>
      <c r="E228" s="26" t="n"/>
      <c r="F228" s="27" t="n"/>
      <c r="G228" s="27" t="n"/>
      <c r="H228" s="27" t="n"/>
      <c r="I228" s="27" t="n"/>
      <c r="J228" s="27" t="n"/>
      <c r="K228" s="27" t="n"/>
      <c r="L228" s="26" t="n"/>
      <c r="M228" s="26" t="n"/>
      <c r="N228" s="28">
        <f>IF($A228="","",IF($C228="","",raporTarihi-$C228))</f>
        <v/>
      </c>
      <c r="O228" s="28">
        <f>IF($A228="","",IF($N228="","",IF($N228&lt;=7,"0-7",IF($N228&lt;=30,"8-30",IF($N228&lt;=60,"31-60","60+")))))</f>
        <v/>
      </c>
      <c r="P228" s="28">
        <f>IF($A228="","",IF($B228="","YETİM",IF(COUNTIF(tblKartlar[KartId],$B228)=0,"YETİM","")))</f>
        <v/>
      </c>
      <c r="Q228" s="28">
        <f>IF(OR($A228="",$D228=""),"",IF(OR($D228&amp;"|"&amp;$E228="",COUNTIF(ListeIzinliGecis,$D228&amp;"|"&amp;$E228)&gt;0),"","GEÇERSİZ GEÇİŞ"))</f>
        <v/>
      </c>
      <c r="R228" s="28">
        <f>IF($A228="","",IF(OR($F228="",$H228=""),"",IF(ABS($H228-$F228)&gt;zincirTolerans,"ZİNCİR KIRIK","OK")))</f>
        <v/>
      </c>
      <c r="S228" s="28">
        <f>IF($A228="","",1)</f>
        <v/>
      </c>
    </row>
    <row r="229">
      <c r="A229" s="26" t="n"/>
      <c r="B229" s="26" t="n"/>
      <c r="C229" s="29" t="n"/>
      <c r="D229" s="26" t="n"/>
      <c r="E229" s="26" t="n"/>
      <c r="F229" s="27" t="n"/>
      <c r="G229" s="27" t="n"/>
      <c r="H229" s="27" t="n"/>
      <c r="I229" s="27" t="n"/>
      <c r="J229" s="27" t="n"/>
      <c r="K229" s="27" t="n"/>
      <c r="L229" s="26" t="n"/>
      <c r="M229" s="26" t="n"/>
      <c r="N229" s="28">
        <f>IF($A229="","",IF($C229="","",raporTarihi-$C229))</f>
        <v/>
      </c>
      <c r="O229" s="28">
        <f>IF($A229="","",IF($N229="","",IF($N229&lt;=7,"0-7",IF($N229&lt;=30,"8-30",IF($N229&lt;=60,"31-60","60+")))))</f>
        <v/>
      </c>
      <c r="P229" s="28">
        <f>IF($A229="","",IF($B229="","YETİM",IF(COUNTIF(tblKartlar[KartId],$B229)=0,"YETİM","")))</f>
        <v/>
      </c>
      <c r="Q229" s="28">
        <f>IF(OR($A229="",$D229=""),"",IF(OR($D229&amp;"|"&amp;$E229="",COUNTIF(ListeIzinliGecis,$D229&amp;"|"&amp;$E229)&gt;0),"","GEÇERSİZ GEÇİŞ"))</f>
        <v/>
      </c>
      <c r="R229" s="28">
        <f>IF($A229="","",IF(OR($F229="",$H229=""),"",IF(ABS($H229-$F229)&gt;zincirTolerans,"ZİNCİR KIRIK","OK")))</f>
        <v/>
      </c>
      <c r="S229" s="28">
        <f>IF($A229="","",1)</f>
        <v/>
      </c>
    </row>
    <row r="230">
      <c r="A230" s="26" t="n"/>
      <c r="B230" s="26" t="n"/>
      <c r="C230" s="29" t="n"/>
      <c r="D230" s="26" t="n"/>
      <c r="E230" s="26" t="n"/>
      <c r="F230" s="27" t="n"/>
      <c r="G230" s="27" t="n"/>
      <c r="H230" s="27" t="n"/>
      <c r="I230" s="27" t="n"/>
      <c r="J230" s="27" t="n"/>
      <c r="K230" s="27" t="n"/>
      <c r="L230" s="26" t="n"/>
      <c r="M230" s="26" t="n"/>
      <c r="N230" s="28">
        <f>IF($A230="","",IF($C230="","",raporTarihi-$C230))</f>
        <v/>
      </c>
      <c r="O230" s="28">
        <f>IF($A230="","",IF($N230="","",IF($N230&lt;=7,"0-7",IF($N230&lt;=30,"8-30",IF($N230&lt;=60,"31-60","60+")))))</f>
        <v/>
      </c>
      <c r="P230" s="28">
        <f>IF($A230="","",IF($B230="","YETİM",IF(COUNTIF(tblKartlar[KartId],$B230)=0,"YETİM","")))</f>
        <v/>
      </c>
      <c r="Q230" s="28">
        <f>IF(OR($A230="",$D230=""),"",IF(OR($D230&amp;"|"&amp;$E230="",COUNTIF(ListeIzinliGecis,$D230&amp;"|"&amp;$E230)&gt;0),"","GEÇERSİZ GEÇİŞ"))</f>
        <v/>
      </c>
      <c r="R230" s="28">
        <f>IF($A230="","",IF(OR($F230="",$H230=""),"",IF(ABS($H230-$F230)&gt;zincirTolerans,"ZİNCİR KIRIK","OK")))</f>
        <v/>
      </c>
      <c r="S230" s="28">
        <f>IF($A230="","",1)</f>
        <v/>
      </c>
    </row>
    <row r="231">
      <c r="A231" s="26" t="n"/>
      <c r="B231" s="26" t="n"/>
      <c r="C231" s="29" t="n"/>
      <c r="D231" s="26" t="n"/>
      <c r="E231" s="26" t="n"/>
      <c r="F231" s="27" t="n"/>
      <c r="G231" s="27" t="n"/>
      <c r="H231" s="27" t="n"/>
      <c r="I231" s="27" t="n"/>
      <c r="J231" s="27" t="n"/>
      <c r="K231" s="27" t="n"/>
      <c r="L231" s="26" t="n"/>
      <c r="M231" s="26" t="n"/>
      <c r="N231" s="28">
        <f>IF($A231="","",IF($C231="","",raporTarihi-$C231))</f>
        <v/>
      </c>
      <c r="O231" s="28">
        <f>IF($A231="","",IF($N231="","",IF($N231&lt;=7,"0-7",IF($N231&lt;=30,"8-30",IF($N231&lt;=60,"31-60","60+")))))</f>
        <v/>
      </c>
      <c r="P231" s="28">
        <f>IF($A231="","",IF($B231="","YETİM",IF(COUNTIF(tblKartlar[KartId],$B231)=0,"YETİM","")))</f>
        <v/>
      </c>
      <c r="Q231" s="28">
        <f>IF(OR($A231="",$D231=""),"",IF(OR($D231&amp;"|"&amp;$E231="",COUNTIF(ListeIzinliGecis,$D231&amp;"|"&amp;$E231)&gt;0),"","GEÇERSİZ GEÇİŞ"))</f>
        <v/>
      </c>
      <c r="R231" s="28">
        <f>IF($A231="","",IF(OR($F231="",$H231=""),"",IF(ABS($H231-$F231)&gt;zincirTolerans,"ZİNCİR KIRIK","OK")))</f>
        <v/>
      </c>
      <c r="S231" s="28">
        <f>IF($A231="","",1)</f>
        <v/>
      </c>
    </row>
    <row r="232">
      <c r="A232" s="26" t="n"/>
      <c r="B232" s="26" t="n"/>
      <c r="C232" s="29" t="n"/>
      <c r="D232" s="26" t="n"/>
      <c r="E232" s="26" t="n"/>
      <c r="F232" s="27" t="n"/>
      <c r="G232" s="27" t="n"/>
      <c r="H232" s="27" t="n"/>
      <c r="I232" s="27" t="n"/>
      <c r="J232" s="27" t="n"/>
      <c r="K232" s="27" t="n"/>
      <c r="L232" s="26" t="n"/>
      <c r="M232" s="26" t="n"/>
      <c r="N232" s="28">
        <f>IF($A232="","",IF($C232="","",raporTarihi-$C232))</f>
        <v/>
      </c>
      <c r="O232" s="28">
        <f>IF($A232="","",IF($N232="","",IF($N232&lt;=7,"0-7",IF($N232&lt;=30,"8-30",IF($N232&lt;=60,"31-60","60+")))))</f>
        <v/>
      </c>
      <c r="P232" s="28">
        <f>IF($A232="","",IF($B232="","YETİM",IF(COUNTIF(tblKartlar[KartId],$B232)=0,"YETİM","")))</f>
        <v/>
      </c>
      <c r="Q232" s="28">
        <f>IF(OR($A232="",$D232=""),"",IF(OR($D232&amp;"|"&amp;$E232="",COUNTIF(ListeIzinliGecis,$D232&amp;"|"&amp;$E232)&gt;0),"","GEÇERSİZ GEÇİŞ"))</f>
        <v/>
      </c>
      <c r="R232" s="28">
        <f>IF($A232="","",IF(OR($F232="",$H232=""),"",IF(ABS($H232-$F232)&gt;zincirTolerans,"ZİNCİR KIRIK","OK")))</f>
        <v/>
      </c>
      <c r="S232" s="28">
        <f>IF($A232="","",1)</f>
        <v/>
      </c>
    </row>
    <row r="233">
      <c r="A233" s="26" t="n"/>
      <c r="B233" s="26" t="n"/>
      <c r="C233" s="29" t="n"/>
      <c r="D233" s="26" t="n"/>
      <c r="E233" s="26" t="n"/>
      <c r="F233" s="27" t="n"/>
      <c r="G233" s="27" t="n"/>
      <c r="H233" s="27" t="n"/>
      <c r="I233" s="27" t="n"/>
      <c r="J233" s="27" t="n"/>
      <c r="K233" s="27" t="n"/>
      <c r="L233" s="26" t="n"/>
      <c r="M233" s="26" t="n"/>
      <c r="N233" s="28">
        <f>IF($A233="","",IF($C233="","",raporTarihi-$C233))</f>
        <v/>
      </c>
      <c r="O233" s="28">
        <f>IF($A233="","",IF($N233="","",IF($N233&lt;=7,"0-7",IF($N233&lt;=30,"8-30",IF($N233&lt;=60,"31-60","60+")))))</f>
        <v/>
      </c>
      <c r="P233" s="28">
        <f>IF($A233="","",IF($B233="","YETİM",IF(COUNTIF(tblKartlar[KartId],$B233)=0,"YETİM","")))</f>
        <v/>
      </c>
      <c r="Q233" s="28">
        <f>IF(OR($A233="",$D233=""),"",IF(OR($D233&amp;"|"&amp;$E233="",COUNTIF(ListeIzinliGecis,$D233&amp;"|"&amp;$E233)&gt;0),"","GEÇERSİZ GEÇİŞ"))</f>
        <v/>
      </c>
      <c r="R233" s="28">
        <f>IF($A233="","",IF(OR($F233="",$H233=""),"",IF(ABS($H233-$F233)&gt;zincirTolerans,"ZİNCİR KIRIK","OK")))</f>
        <v/>
      </c>
      <c r="S233" s="28">
        <f>IF($A233="","",1)</f>
        <v/>
      </c>
    </row>
    <row r="234">
      <c r="A234" s="26" t="n"/>
      <c r="B234" s="26" t="n"/>
      <c r="C234" s="29" t="n"/>
      <c r="D234" s="26" t="n"/>
      <c r="E234" s="26" t="n"/>
      <c r="F234" s="27" t="n"/>
      <c r="G234" s="27" t="n"/>
      <c r="H234" s="27" t="n"/>
      <c r="I234" s="27" t="n"/>
      <c r="J234" s="27" t="n"/>
      <c r="K234" s="27" t="n"/>
      <c r="L234" s="26" t="n"/>
      <c r="M234" s="26" t="n"/>
      <c r="N234" s="28">
        <f>IF($A234="","",IF($C234="","",raporTarihi-$C234))</f>
        <v/>
      </c>
      <c r="O234" s="28">
        <f>IF($A234="","",IF($N234="","",IF($N234&lt;=7,"0-7",IF($N234&lt;=30,"8-30",IF($N234&lt;=60,"31-60","60+")))))</f>
        <v/>
      </c>
      <c r="P234" s="28">
        <f>IF($A234="","",IF($B234="","YETİM",IF(COUNTIF(tblKartlar[KartId],$B234)=0,"YETİM","")))</f>
        <v/>
      </c>
      <c r="Q234" s="28">
        <f>IF(OR($A234="",$D234=""),"",IF(OR($D234&amp;"|"&amp;$E234="",COUNTIF(ListeIzinliGecis,$D234&amp;"|"&amp;$E234)&gt;0),"","GEÇERSİZ GEÇİŞ"))</f>
        <v/>
      </c>
      <c r="R234" s="28">
        <f>IF($A234="","",IF(OR($F234="",$H234=""),"",IF(ABS($H234-$F234)&gt;zincirTolerans,"ZİNCİR KIRIK","OK")))</f>
        <v/>
      </c>
      <c r="S234" s="28">
        <f>IF($A234="","",1)</f>
        <v/>
      </c>
    </row>
    <row r="235">
      <c r="A235" s="26" t="n"/>
      <c r="B235" s="26" t="n"/>
      <c r="C235" s="29" t="n"/>
      <c r="D235" s="26" t="n"/>
      <c r="E235" s="26" t="n"/>
      <c r="F235" s="27" t="n"/>
      <c r="G235" s="27" t="n"/>
      <c r="H235" s="27" t="n"/>
      <c r="I235" s="27" t="n"/>
      <c r="J235" s="27" t="n"/>
      <c r="K235" s="27" t="n"/>
      <c r="L235" s="26" t="n"/>
      <c r="M235" s="26" t="n"/>
      <c r="N235" s="28">
        <f>IF($A235="","",IF($C235="","",raporTarihi-$C235))</f>
        <v/>
      </c>
      <c r="O235" s="28">
        <f>IF($A235="","",IF($N235="","",IF($N235&lt;=7,"0-7",IF($N235&lt;=30,"8-30",IF($N235&lt;=60,"31-60","60+")))))</f>
        <v/>
      </c>
      <c r="P235" s="28">
        <f>IF($A235="","",IF($B235="","YETİM",IF(COUNTIF(tblKartlar[KartId],$B235)=0,"YETİM","")))</f>
        <v/>
      </c>
      <c r="Q235" s="28">
        <f>IF(OR($A235="",$D235=""),"",IF(OR($D235&amp;"|"&amp;$E235="",COUNTIF(ListeIzinliGecis,$D235&amp;"|"&amp;$E235)&gt;0),"","GEÇERSİZ GEÇİŞ"))</f>
        <v/>
      </c>
      <c r="R235" s="28">
        <f>IF($A235="","",IF(OR($F235="",$H235=""),"",IF(ABS($H235-$F235)&gt;zincirTolerans,"ZİNCİR KIRIK","OK")))</f>
        <v/>
      </c>
      <c r="S235" s="28">
        <f>IF($A235="","",1)</f>
        <v/>
      </c>
    </row>
    <row r="236">
      <c r="A236" s="26" t="n"/>
      <c r="B236" s="26" t="n"/>
      <c r="C236" s="29" t="n"/>
      <c r="D236" s="26" t="n"/>
      <c r="E236" s="26" t="n"/>
      <c r="F236" s="27" t="n"/>
      <c r="G236" s="27" t="n"/>
      <c r="H236" s="27" t="n"/>
      <c r="I236" s="27" t="n"/>
      <c r="J236" s="27" t="n"/>
      <c r="K236" s="27" t="n"/>
      <c r="L236" s="26" t="n"/>
      <c r="M236" s="26" t="n"/>
      <c r="N236" s="28">
        <f>IF($A236="","",IF($C236="","",raporTarihi-$C236))</f>
        <v/>
      </c>
      <c r="O236" s="28">
        <f>IF($A236="","",IF($N236="","",IF($N236&lt;=7,"0-7",IF($N236&lt;=30,"8-30",IF($N236&lt;=60,"31-60","60+")))))</f>
        <v/>
      </c>
      <c r="P236" s="28">
        <f>IF($A236="","",IF($B236="","YETİM",IF(COUNTIF(tblKartlar[KartId],$B236)=0,"YETİM","")))</f>
        <v/>
      </c>
      <c r="Q236" s="28">
        <f>IF(OR($A236="",$D236=""),"",IF(OR($D236&amp;"|"&amp;$E236="",COUNTIF(ListeIzinliGecis,$D236&amp;"|"&amp;$E236)&gt;0),"","GEÇERSİZ GEÇİŞ"))</f>
        <v/>
      </c>
      <c r="R236" s="28">
        <f>IF($A236="","",IF(OR($F236="",$H236=""),"",IF(ABS($H236-$F236)&gt;zincirTolerans,"ZİNCİR KIRIK","OK")))</f>
        <v/>
      </c>
      <c r="S236" s="28">
        <f>IF($A236="","",1)</f>
        <v/>
      </c>
    </row>
    <row r="237">
      <c r="A237" s="26" t="n"/>
      <c r="B237" s="26" t="n"/>
      <c r="C237" s="29" t="n"/>
      <c r="D237" s="26" t="n"/>
      <c r="E237" s="26" t="n"/>
      <c r="F237" s="27" t="n"/>
      <c r="G237" s="27" t="n"/>
      <c r="H237" s="27" t="n"/>
      <c r="I237" s="27" t="n"/>
      <c r="J237" s="27" t="n"/>
      <c r="K237" s="27" t="n"/>
      <c r="L237" s="26" t="n"/>
      <c r="M237" s="26" t="n"/>
      <c r="N237" s="28">
        <f>IF($A237="","",IF($C237="","",raporTarihi-$C237))</f>
        <v/>
      </c>
      <c r="O237" s="28">
        <f>IF($A237="","",IF($N237="","",IF($N237&lt;=7,"0-7",IF($N237&lt;=30,"8-30",IF($N237&lt;=60,"31-60","60+")))))</f>
        <v/>
      </c>
      <c r="P237" s="28">
        <f>IF($A237="","",IF($B237="","YETİM",IF(COUNTIF(tblKartlar[KartId],$B237)=0,"YETİM","")))</f>
        <v/>
      </c>
      <c r="Q237" s="28">
        <f>IF(OR($A237="",$D237=""),"",IF(OR($D237&amp;"|"&amp;$E237="",COUNTIF(ListeIzinliGecis,$D237&amp;"|"&amp;$E237)&gt;0),"","GEÇERSİZ GEÇİŞ"))</f>
        <v/>
      </c>
      <c r="R237" s="28">
        <f>IF($A237="","",IF(OR($F237="",$H237=""),"",IF(ABS($H237-$F237)&gt;zincirTolerans,"ZİNCİR KIRIK","OK")))</f>
        <v/>
      </c>
      <c r="S237" s="28">
        <f>IF($A237="","",1)</f>
        <v/>
      </c>
    </row>
    <row r="238">
      <c r="A238" s="26" t="n"/>
      <c r="B238" s="26" t="n"/>
      <c r="C238" s="29" t="n"/>
      <c r="D238" s="26" t="n"/>
      <c r="E238" s="26" t="n"/>
      <c r="F238" s="27" t="n"/>
      <c r="G238" s="27" t="n"/>
      <c r="H238" s="27" t="n"/>
      <c r="I238" s="27" t="n"/>
      <c r="J238" s="27" t="n"/>
      <c r="K238" s="27" t="n"/>
      <c r="L238" s="26" t="n"/>
      <c r="M238" s="26" t="n"/>
      <c r="N238" s="28">
        <f>IF($A238="","",IF($C238="","",raporTarihi-$C238))</f>
        <v/>
      </c>
      <c r="O238" s="28">
        <f>IF($A238="","",IF($N238="","",IF($N238&lt;=7,"0-7",IF($N238&lt;=30,"8-30",IF($N238&lt;=60,"31-60","60+")))))</f>
        <v/>
      </c>
      <c r="P238" s="28">
        <f>IF($A238="","",IF($B238="","YETİM",IF(COUNTIF(tblKartlar[KartId],$B238)=0,"YETİM","")))</f>
        <v/>
      </c>
      <c r="Q238" s="28">
        <f>IF(OR($A238="",$D238=""),"",IF(OR($D238&amp;"|"&amp;$E238="",COUNTIF(ListeIzinliGecis,$D238&amp;"|"&amp;$E238)&gt;0),"","GEÇERSİZ GEÇİŞ"))</f>
        <v/>
      </c>
      <c r="R238" s="28">
        <f>IF($A238="","",IF(OR($F238="",$H238=""),"",IF(ABS($H238-$F238)&gt;zincirTolerans,"ZİNCİR KIRIK","OK")))</f>
        <v/>
      </c>
      <c r="S238" s="28">
        <f>IF($A238="","",1)</f>
        <v/>
      </c>
    </row>
    <row r="239">
      <c r="A239" s="26" t="n"/>
      <c r="B239" s="26" t="n"/>
      <c r="C239" s="29" t="n"/>
      <c r="D239" s="26" t="n"/>
      <c r="E239" s="26" t="n"/>
      <c r="F239" s="27" t="n"/>
      <c r="G239" s="27" t="n"/>
      <c r="H239" s="27" t="n"/>
      <c r="I239" s="27" t="n"/>
      <c r="J239" s="27" t="n"/>
      <c r="K239" s="27" t="n"/>
      <c r="L239" s="26" t="n"/>
      <c r="M239" s="26" t="n"/>
      <c r="N239" s="28">
        <f>IF($A239="","",IF($C239="","",raporTarihi-$C239))</f>
        <v/>
      </c>
      <c r="O239" s="28">
        <f>IF($A239="","",IF($N239="","",IF($N239&lt;=7,"0-7",IF($N239&lt;=30,"8-30",IF($N239&lt;=60,"31-60","60+")))))</f>
        <v/>
      </c>
      <c r="P239" s="28">
        <f>IF($A239="","",IF($B239="","YETİM",IF(COUNTIF(tblKartlar[KartId],$B239)=0,"YETİM","")))</f>
        <v/>
      </c>
      <c r="Q239" s="28">
        <f>IF(OR($A239="",$D239=""),"",IF(OR($D239&amp;"|"&amp;$E239="",COUNTIF(ListeIzinliGecis,$D239&amp;"|"&amp;$E239)&gt;0),"","GEÇERSİZ GEÇİŞ"))</f>
        <v/>
      </c>
      <c r="R239" s="28">
        <f>IF($A239="","",IF(OR($F239="",$H239=""),"",IF(ABS($H239-$F239)&gt;zincirTolerans,"ZİNCİR KIRIK","OK")))</f>
        <v/>
      </c>
      <c r="S239" s="28">
        <f>IF($A239="","",1)</f>
        <v/>
      </c>
    </row>
    <row r="240">
      <c r="A240" s="26" t="n"/>
      <c r="B240" s="26" t="n"/>
      <c r="C240" s="29" t="n"/>
      <c r="D240" s="26" t="n"/>
      <c r="E240" s="26" t="n"/>
      <c r="F240" s="27" t="n"/>
      <c r="G240" s="27" t="n"/>
      <c r="H240" s="27" t="n"/>
      <c r="I240" s="27" t="n"/>
      <c r="J240" s="27" t="n"/>
      <c r="K240" s="27" t="n"/>
      <c r="L240" s="26" t="n"/>
      <c r="M240" s="26" t="n"/>
      <c r="N240" s="28">
        <f>IF($A240="","",IF($C240="","",raporTarihi-$C240))</f>
        <v/>
      </c>
      <c r="O240" s="28">
        <f>IF($A240="","",IF($N240="","",IF($N240&lt;=7,"0-7",IF($N240&lt;=30,"8-30",IF($N240&lt;=60,"31-60","60+")))))</f>
        <v/>
      </c>
      <c r="P240" s="28">
        <f>IF($A240="","",IF($B240="","YETİM",IF(COUNTIF(tblKartlar[KartId],$B240)=0,"YETİM","")))</f>
        <v/>
      </c>
      <c r="Q240" s="28">
        <f>IF(OR($A240="",$D240=""),"",IF(OR($D240&amp;"|"&amp;$E240="",COUNTIF(ListeIzinliGecis,$D240&amp;"|"&amp;$E240)&gt;0),"","GEÇERSİZ GEÇİŞ"))</f>
        <v/>
      </c>
      <c r="R240" s="28">
        <f>IF($A240="","",IF(OR($F240="",$H240=""),"",IF(ABS($H240-$F240)&gt;zincirTolerans,"ZİNCİR KIRIK","OK")))</f>
        <v/>
      </c>
      <c r="S240" s="28">
        <f>IF($A240="","",1)</f>
        <v/>
      </c>
    </row>
    <row r="241">
      <c r="A241" s="26" t="n"/>
      <c r="B241" s="26" t="n"/>
      <c r="C241" s="29" t="n"/>
      <c r="D241" s="26" t="n"/>
      <c r="E241" s="26" t="n"/>
      <c r="F241" s="27" t="n"/>
      <c r="G241" s="27" t="n"/>
      <c r="H241" s="27" t="n"/>
      <c r="I241" s="27" t="n"/>
      <c r="J241" s="27" t="n"/>
      <c r="K241" s="27" t="n"/>
      <c r="L241" s="26" t="n"/>
      <c r="M241" s="26" t="n"/>
      <c r="N241" s="28">
        <f>IF($A241="","",IF($C241="","",raporTarihi-$C241))</f>
        <v/>
      </c>
      <c r="O241" s="28">
        <f>IF($A241="","",IF($N241="","",IF($N241&lt;=7,"0-7",IF($N241&lt;=30,"8-30",IF($N241&lt;=60,"31-60","60+")))))</f>
        <v/>
      </c>
      <c r="P241" s="28">
        <f>IF($A241="","",IF($B241="","YETİM",IF(COUNTIF(tblKartlar[KartId],$B241)=0,"YETİM","")))</f>
        <v/>
      </c>
      <c r="Q241" s="28">
        <f>IF(OR($A241="",$D241=""),"",IF(OR($D241&amp;"|"&amp;$E241="",COUNTIF(ListeIzinliGecis,$D241&amp;"|"&amp;$E241)&gt;0),"","GEÇERSİZ GEÇİŞ"))</f>
        <v/>
      </c>
      <c r="R241" s="28">
        <f>IF($A241="","",IF(OR($F241="",$H241=""),"",IF(ABS($H241-$F241)&gt;zincirTolerans,"ZİNCİR KIRIK","OK")))</f>
        <v/>
      </c>
      <c r="S241" s="28">
        <f>IF($A241="","",1)</f>
        <v/>
      </c>
    </row>
    <row r="242">
      <c r="A242" s="26" t="n"/>
      <c r="B242" s="26" t="n"/>
      <c r="C242" s="29" t="n"/>
      <c r="D242" s="26" t="n"/>
      <c r="E242" s="26" t="n"/>
      <c r="F242" s="27" t="n"/>
      <c r="G242" s="27" t="n"/>
      <c r="H242" s="27" t="n"/>
      <c r="I242" s="27" t="n"/>
      <c r="J242" s="27" t="n"/>
      <c r="K242" s="27" t="n"/>
      <c r="L242" s="26" t="n"/>
      <c r="M242" s="26" t="n"/>
      <c r="N242" s="28">
        <f>IF($A242="","",IF($C242="","",raporTarihi-$C242))</f>
        <v/>
      </c>
      <c r="O242" s="28">
        <f>IF($A242="","",IF($N242="","",IF($N242&lt;=7,"0-7",IF($N242&lt;=30,"8-30",IF($N242&lt;=60,"31-60","60+")))))</f>
        <v/>
      </c>
      <c r="P242" s="28">
        <f>IF($A242="","",IF($B242="","YETİM",IF(COUNTIF(tblKartlar[KartId],$B242)=0,"YETİM","")))</f>
        <v/>
      </c>
      <c r="Q242" s="28">
        <f>IF(OR($A242="",$D242=""),"",IF(OR($D242&amp;"|"&amp;$E242="",COUNTIF(ListeIzinliGecis,$D242&amp;"|"&amp;$E242)&gt;0),"","GEÇERSİZ GEÇİŞ"))</f>
        <v/>
      </c>
      <c r="R242" s="28">
        <f>IF($A242="","",IF(OR($F242="",$H242=""),"",IF(ABS($H242-$F242)&gt;zincirTolerans,"ZİNCİR KIRIK","OK")))</f>
        <v/>
      </c>
      <c r="S242" s="28">
        <f>IF($A242="","",1)</f>
        <v/>
      </c>
    </row>
    <row r="243">
      <c r="A243" s="26" t="n"/>
      <c r="B243" s="26" t="n"/>
      <c r="C243" s="29" t="n"/>
      <c r="D243" s="26" t="n"/>
      <c r="E243" s="26" t="n"/>
      <c r="F243" s="27" t="n"/>
      <c r="G243" s="27" t="n"/>
      <c r="H243" s="27" t="n"/>
      <c r="I243" s="27" t="n"/>
      <c r="J243" s="27" t="n"/>
      <c r="K243" s="27" t="n"/>
      <c r="L243" s="26" t="n"/>
      <c r="M243" s="26" t="n"/>
      <c r="N243" s="28">
        <f>IF($A243="","",IF($C243="","",raporTarihi-$C243))</f>
        <v/>
      </c>
      <c r="O243" s="28">
        <f>IF($A243="","",IF($N243="","",IF($N243&lt;=7,"0-7",IF($N243&lt;=30,"8-30",IF($N243&lt;=60,"31-60","60+")))))</f>
        <v/>
      </c>
      <c r="P243" s="28">
        <f>IF($A243="","",IF($B243="","YETİM",IF(COUNTIF(tblKartlar[KartId],$B243)=0,"YETİM","")))</f>
        <v/>
      </c>
      <c r="Q243" s="28">
        <f>IF(OR($A243="",$D243=""),"",IF(OR($D243&amp;"|"&amp;$E243="",COUNTIF(ListeIzinliGecis,$D243&amp;"|"&amp;$E243)&gt;0),"","GEÇERSİZ GEÇİŞ"))</f>
        <v/>
      </c>
      <c r="R243" s="28">
        <f>IF($A243="","",IF(OR($F243="",$H243=""),"",IF(ABS($H243-$F243)&gt;zincirTolerans,"ZİNCİR KIRIK","OK")))</f>
        <v/>
      </c>
      <c r="S243" s="28">
        <f>IF($A243="","",1)</f>
        <v/>
      </c>
    </row>
    <row r="244">
      <c r="A244" s="26" t="n"/>
      <c r="B244" s="26" t="n"/>
      <c r="C244" s="29" t="n"/>
      <c r="D244" s="26" t="n"/>
      <c r="E244" s="26" t="n"/>
      <c r="F244" s="27" t="n"/>
      <c r="G244" s="27" t="n"/>
      <c r="H244" s="27" t="n"/>
      <c r="I244" s="27" t="n"/>
      <c r="J244" s="27" t="n"/>
      <c r="K244" s="27" t="n"/>
      <c r="L244" s="26" t="n"/>
      <c r="M244" s="26" t="n"/>
      <c r="N244" s="28">
        <f>IF($A244="","",IF($C244="","",raporTarihi-$C244))</f>
        <v/>
      </c>
      <c r="O244" s="28">
        <f>IF($A244="","",IF($N244="","",IF($N244&lt;=7,"0-7",IF($N244&lt;=30,"8-30",IF($N244&lt;=60,"31-60","60+")))))</f>
        <v/>
      </c>
      <c r="P244" s="28">
        <f>IF($A244="","",IF($B244="","YETİM",IF(COUNTIF(tblKartlar[KartId],$B244)=0,"YETİM","")))</f>
        <v/>
      </c>
      <c r="Q244" s="28">
        <f>IF(OR($A244="",$D244=""),"",IF(OR($D244&amp;"|"&amp;$E244="",COUNTIF(ListeIzinliGecis,$D244&amp;"|"&amp;$E244)&gt;0),"","GEÇERSİZ GEÇİŞ"))</f>
        <v/>
      </c>
      <c r="R244" s="28">
        <f>IF($A244="","",IF(OR($F244="",$H244=""),"",IF(ABS($H244-$F244)&gt;zincirTolerans,"ZİNCİR KIRIK","OK")))</f>
        <v/>
      </c>
      <c r="S244" s="28">
        <f>IF($A244="","",1)</f>
        <v/>
      </c>
    </row>
    <row r="245">
      <c r="A245" s="26" t="n"/>
      <c r="B245" s="26" t="n"/>
      <c r="C245" s="29" t="n"/>
      <c r="D245" s="26" t="n"/>
      <c r="E245" s="26" t="n"/>
      <c r="F245" s="27" t="n"/>
      <c r="G245" s="27" t="n"/>
      <c r="H245" s="27" t="n"/>
      <c r="I245" s="27" t="n"/>
      <c r="J245" s="27" t="n"/>
      <c r="K245" s="27" t="n"/>
      <c r="L245" s="26" t="n"/>
      <c r="M245" s="26" t="n"/>
      <c r="N245" s="28">
        <f>IF($A245="","",IF($C245="","",raporTarihi-$C245))</f>
        <v/>
      </c>
      <c r="O245" s="28">
        <f>IF($A245="","",IF($N245="","",IF($N245&lt;=7,"0-7",IF($N245&lt;=30,"8-30",IF($N245&lt;=60,"31-60","60+")))))</f>
        <v/>
      </c>
      <c r="P245" s="28">
        <f>IF($A245="","",IF($B245="","YETİM",IF(COUNTIF(tblKartlar[KartId],$B245)=0,"YETİM","")))</f>
        <v/>
      </c>
      <c r="Q245" s="28">
        <f>IF(OR($A245="",$D245=""),"",IF(OR($D245&amp;"|"&amp;$E245="",COUNTIF(ListeIzinliGecis,$D245&amp;"|"&amp;$E245)&gt;0),"","GEÇERSİZ GEÇİŞ"))</f>
        <v/>
      </c>
      <c r="R245" s="28">
        <f>IF($A245="","",IF(OR($F245="",$H245=""),"",IF(ABS($H245-$F245)&gt;zincirTolerans,"ZİNCİR KIRIK","OK")))</f>
        <v/>
      </c>
      <c r="S245" s="28">
        <f>IF($A245="","",1)</f>
        <v/>
      </c>
    </row>
    <row r="246">
      <c r="A246" s="26" t="n"/>
      <c r="B246" s="26" t="n"/>
      <c r="C246" s="29" t="n"/>
      <c r="D246" s="26" t="n"/>
      <c r="E246" s="26" t="n"/>
      <c r="F246" s="27" t="n"/>
      <c r="G246" s="27" t="n"/>
      <c r="H246" s="27" t="n"/>
      <c r="I246" s="27" t="n"/>
      <c r="J246" s="27" t="n"/>
      <c r="K246" s="27" t="n"/>
      <c r="L246" s="26" t="n"/>
      <c r="M246" s="26" t="n"/>
      <c r="N246" s="28">
        <f>IF($A246="","",IF($C246="","",raporTarihi-$C246))</f>
        <v/>
      </c>
      <c r="O246" s="28">
        <f>IF($A246="","",IF($N246="","",IF($N246&lt;=7,"0-7",IF($N246&lt;=30,"8-30",IF($N246&lt;=60,"31-60","60+")))))</f>
        <v/>
      </c>
      <c r="P246" s="28">
        <f>IF($A246="","",IF($B246="","YETİM",IF(COUNTIF(tblKartlar[KartId],$B246)=0,"YETİM","")))</f>
        <v/>
      </c>
      <c r="Q246" s="28">
        <f>IF(OR($A246="",$D246=""),"",IF(OR($D246&amp;"|"&amp;$E246="",COUNTIF(ListeIzinliGecis,$D246&amp;"|"&amp;$E246)&gt;0),"","GEÇERSİZ GEÇİŞ"))</f>
        <v/>
      </c>
      <c r="R246" s="28">
        <f>IF($A246="","",IF(OR($F246="",$H246=""),"",IF(ABS($H246-$F246)&gt;zincirTolerans,"ZİNCİR KIRIK","OK")))</f>
        <v/>
      </c>
      <c r="S246" s="28">
        <f>IF($A246="","",1)</f>
        <v/>
      </c>
    </row>
    <row r="247">
      <c r="A247" s="26" t="n"/>
      <c r="B247" s="26" t="n"/>
      <c r="C247" s="29" t="n"/>
      <c r="D247" s="26" t="n"/>
      <c r="E247" s="26" t="n"/>
      <c r="F247" s="27" t="n"/>
      <c r="G247" s="27" t="n"/>
      <c r="H247" s="27" t="n"/>
      <c r="I247" s="27" t="n"/>
      <c r="J247" s="27" t="n"/>
      <c r="K247" s="27" t="n"/>
      <c r="L247" s="26" t="n"/>
      <c r="M247" s="26" t="n"/>
      <c r="N247" s="28">
        <f>IF($A247="","",IF($C247="","",raporTarihi-$C247))</f>
        <v/>
      </c>
      <c r="O247" s="28">
        <f>IF($A247="","",IF($N247="","",IF($N247&lt;=7,"0-7",IF($N247&lt;=30,"8-30",IF($N247&lt;=60,"31-60","60+")))))</f>
        <v/>
      </c>
      <c r="P247" s="28">
        <f>IF($A247="","",IF($B247="","YETİM",IF(COUNTIF(tblKartlar[KartId],$B247)=0,"YETİM","")))</f>
        <v/>
      </c>
      <c r="Q247" s="28">
        <f>IF(OR($A247="",$D247=""),"",IF(OR($D247&amp;"|"&amp;$E247="",COUNTIF(ListeIzinliGecis,$D247&amp;"|"&amp;$E247)&gt;0),"","GEÇERSİZ GEÇİŞ"))</f>
        <v/>
      </c>
      <c r="R247" s="28">
        <f>IF($A247="","",IF(OR($F247="",$H247=""),"",IF(ABS($H247-$F247)&gt;zincirTolerans,"ZİNCİR KIRIK","OK")))</f>
        <v/>
      </c>
      <c r="S247" s="28">
        <f>IF($A247="","",1)</f>
        <v/>
      </c>
    </row>
    <row r="248">
      <c r="A248" s="26" t="n"/>
      <c r="B248" s="26" t="n"/>
      <c r="C248" s="29" t="n"/>
      <c r="D248" s="26" t="n"/>
      <c r="E248" s="26" t="n"/>
      <c r="F248" s="27" t="n"/>
      <c r="G248" s="27" t="n"/>
      <c r="H248" s="27" t="n"/>
      <c r="I248" s="27" t="n"/>
      <c r="J248" s="27" t="n"/>
      <c r="K248" s="27" t="n"/>
      <c r="L248" s="26" t="n"/>
      <c r="M248" s="26" t="n"/>
      <c r="N248" s="28">
        <f>IF($A248="","",IF($C248="","",raporTarihi-$C248))</f>
        <v/>
      </c>
      <c r="O248" s="28">
        <f>IF($A248="","",IF($N248="","",IF($N248&lt;=7,"0-7",IF($N248&lt;=30,"8-30",IF($N248&lt;=60,"31-60","60+")))))</f>
        <v/>
      </c>
      <c r="P248" s="28">
        <f>IF($A248="","",IF($B248="","YETİM",IF(COUNTIF(tblKartlar[KartId],$B248)=0,"YETİM","")))</f>
        <v/>
      </c>
      <c r="Q248" s="28">
        <f>IF(OR($A248="",$D248=""),"",IF(OR($D248&amp;"|"&amp;$E248="",COUNTIF(ListeIzinliGecis,$D248&amp;"|"&amp;$E248)&gt;0),"","GEÇERSİZ GEÇİŞ"))</f>
        <v/>
      </c>
      <c r="R248" s="28">
        <f>IF($A248="","",IF(OR($F248="",$H248=""),"",IF(ABS($H248-$F248)&gt;zincirTolerans,"ZİNCİR KIRIK","OK")))</f>
        <v/>
      </c>
      <c r="S248" s="28">
        <f>IF($A248="","",1)</f>
        <v/>
      </c>
    </row>
    <row r="249">
      <c r="A249" s="26" t="n"/>
      <c r="B249" s="26" t="n"/>
      <c r="C249" s="29" t="n"/>
      <c r="D249" s="26" t="n"/>
      <c r="E249" s="26" t="n"/>
      <c r="F249" s="27" t="n"/>
      <c r="G249" s="27" t="n"/>
      <c r="H249" s="27" t="n"/>
      <c r="I249" s="27" t="n"/>
      <c r="J249" s="27" t="n"/>
      <c r="K249" s="27" t="n"/>
      <c r="L249" s="26" t="n"/>
      <c r="M249" s="26" t="n"/>
      <c r="N249" s="28">
        <f>IF($A249="","",IF($C249="","",raporTarihi-$C249))</f>
        <v/>
      </c>
      <c r="O249" s="28">
        <f>IF($A249="","",IF($N249="","",IF($N249&lt;=7,"0-7",IF($N249&lt;=30,"8-30",IF($N249&lt;=60,"31-60","60+")))))</f>
        <v/>
      </c>
      <c r="P249" s="28">
        <f>IF($A249="","",IF($B249="","YETİM",IF(COUNTIF(tblKartlar[KartId],$B249)=0,"YETİM","")))</f>
        <v/>
      </c>
      <c r="Q249" s="28">
        <f>IF(OR($A249="",$D249=""),"",IF(OR($D249&amp;"|"&amp;$E249="",COUNTIF(ListeIzinliGecis,$D249&amp;"|"&amp;$E249)&gt;0),"","GEÇERSİZ GEÇİŞ"))</f>
        <v/>
      </c>
      <c r="R249" s="28">
        <f>IF($A249="","",IF(OR($F249="",$H249=""),"",IF(ABS($H249-$F249)&gt;zincirTolerans,"ZİNCİR KIRIK","OK")))</f>
        <v/>
      </c>
      <c r="S249" s="28">
        <f>IF($A249="","",1)</f>
        <v/>
      </c>
    </row>
    <row r="250">
      <c r="A250" s="26" t="n"/>
      <c r="B250" s="26" t="n"/>
      <c r="C250" s="29" t="n"/>
      <c r="D250" s="26" t="n"/>
      <c r="E250" s="26" t="n"/>
      <c r="F250" s="27" t="n"/>
      <c r="G250" s="27" t="n"/>
      <c r="H250" s="27" t="n"/>
      <c r="I250" s="27" t="n"/>
      <c r="J250" s="27" t="n"/>
      <c r="K250" s="27" t="n"/>
      <c r="L250" s="26" t="n"/>
      <c r="M250" s="26" t="n"/>
      <c r="N250" s="28">
        <f>IF($A250="","",IF($C250="","",raporTarihi-$C250))</f>
        <v/>
      </c>
      <c r="O250" s="28">
        <f>IF($A250="","",IF($N250="","",IF($N250&lt;=7,"0-7",IF($N250&lt;=30,"8-30",IF($N250&lt;=60,"31-60","60+")))))</f>
        <v/>
      </c>
      <c r="P250" s="28">
        <f>IF($A250="","",IF($B250="","YETİM",IF(COUNTIF(tblKartlar[KartId],$B250)=0,"YETİM","")))</f>
        <v/>
      </c>
      <c r="Q250" s="28">
        <f>IF(OR($A250="",$D250=""),"",IF(OR($D250&amp;"|"&amp;$E250="",COUNTIF(ListeIzinliGecis,$D250&amp;"|"&amp;$E250)&gt;0),"","GEÇERSİZ GEÇİŞ"))</f>
        <v/>
      </c>
      <c r="R250" s="28">
        <f>IF($A250="","",IF(OR($F250="",$H250=""),"",IF(ABS($H250-$F250)&gt;zincirTolerans,"ZİNCİR KIRIK","OK")))</f>
        <v/>
      </c>
      <c r="S250" s="28">
        <f>IF($A250="","",1)</f>
        <v/>
      </c>
    </row>
    <row r="251">
      <c r="A251" s="26" t="n"/>
      <c r="B251" s="26" t="n"/>
      <c r="C251" s="29" t="n"/>
      <c r="D251" s="26" t="n"/>
      <c r="E251" s="26" t="n"/>
      <c r="F251" s="27" t="n"/>
      <c r="G251" s="27" t="n"/>
      <c r="H251" s="27" t="n"/>
      <c r="I251" s="27" t="n"/>
      <c r="J251" s="27" t="n"/>
      <c r="K251" s="27" t="n"/>
      <c r="L251" s="26" t="n"/>
      <c r="M251" s="26" t="n"/>
      <c r="N251" s="28">
        <f>IF($A251="","",IF($C251="","",raporTarihi-$C251))</f>
        <v/>
      </c>
      <c r="O251" s="28">
        <f>IF($A251="","",IF($N251="","",IF($N251&lt;=7,"0-7",IF($N251&lt;=30,"8-30",IF($N251&lt;=60,"31-60","60+")))))</f>
        <v/>
      </c>
      <c r="P251" s="28">
        <f>IF($A251="","",IF($B251="","YETİM",IF(COUNTIF(tblKartlar[KartId],$B251)=0,"YETİM","")))</f>
        <v/>
      </c>
      <c r="Q251" s="28">
        <f>IF(OR($A251="",$D251=""),"",IF(OR($D251&amp;"|"&amp;$E251="",COUNTIF(ListeIzinliGecis,$D251&amp;"|"&amp;$E251)&gt;0),"","GEÇERSİZ GEÇİŞ"))</f>
        <v/>
      </c>
      <c r="R251" s="28">
        <f>IF($A251="","",IF(OR($F251="",$H251=""),"",IF(ABS($H251-$F251)&gt;zincirTolerans,"ZİNCİR KIRIK","OK")))</f>
        <v/>
      </c>
      <c r="S251" s="28">
        <f>IF($A251="","",1)</f>
        <v/>
      </c>
    </row>
    <row r="252">
      <c r="A252" s="26" t="n"/>
      <c r="B252" s="26" t="n"/>
      <c r="C252" s="29" t="n"/>
      <c r="D252" s="26" t="n"/>
      <c r="E252" s="26" t="n"/>
      <c r="F252" s="27" t="n"/>
      <c r="G252" s="27" t="n"/>
      <c r="H252" s="27" t="n"/>
      <c r="I252" s="27" t="n"/>
      <c r="J252" s="27" t="n"/>
      <c r="K252" s="27" t="n"/>
      <c r="L252" s="26" t="n"/>
      <c r="M252" s="26" t="n"/>
      <c r="N252" s="28">
        <f>IF($A252="","",IF($C252="","",raporTarihi-$C252))</f>
        <v/>
      </c>
      <c r="O252" s="28">
        <f>IF($A252="","",IF($N252="","",IF($N252&lt;=7,"0-7",IF($N252&lt;=30,"8-30",IF($N252&lt;=60,"31-60","60+")))))</f>
        <v/>
      </c>
      <c r="P252" s="28">
        <f>IF($A252="","",IF($B252="","YETİM",IF(COUNTIF(tblKartlar[KartId],$B252)=0,"YETİM","")))</f>
        <v/>
      </c>
      <c r="Q252" s="28">
        <f>IF(OR($A252="",$D252=""),"",IF(OR($D252&amp;"|"&amp;$E252="",COUNTIF(ListeIzinliGecis,$D252&amp;"|"&amp;$E252)&gt;0),"","GEÇERSİZ GEÇİŞ"))</f>
        <v/>
      </c>
      <c r="R252" s="28">
        <f>IF($A252="","",IF(OR($F252="",$H252=""),"",IF(ABS($H252-$F252)&gt;zincirTolerans,"ZİNCİR KIRIK","OK")))</f>
        <v/>
      </c>
      <c r="S252" s="28">
        <f>IF($A252="","",1)</f>
        <v/>
      </c>
    </row>
    <row r="253">
      <c r="A253" s="26" t="n"/>
      <c r="B253" s="26" t="n"/>
      <c r="C253" s="29" t="n"/>
      <c r="D253" s="26" t="n"/>
      <c r="E253" s="26" t="n"/>
      <c r="F253" s="27" t="n"/>
      <c r="G253" s="27" t="n"/>
      <c r="H253" s="27" t="n"/>
      <c r="I253" s="27" t="n"/>
      <c r="J253" s="27" t="n"/>
      <c r="K253" s="27" t="n"/>
      <c r="L253" s="26" t="n"/>
      <c r="M253" s="26" t="n"/>
      <c r="N253" s="28">
        <f>IF($A253="","",IF($C253="","",raporTarihi-$C253))</f>
        <v/>
      </c>
      <c r="O253" s="28">
        <f>IF($A253="","",IF($N253="","",IF($N253&lt;=7,"0-7",IF($N253&lt;=30,"8-30",IF($N253&lt;=60,"31-60","60+")))))</f>
        <v/>
      </c>
      <c r="P253" s="28">
        <f>IF($A253="","",IF($B253="","YETİM",IF(COUNTIF(tblKartlar[KartId],$B253)=0,"YETİM","")))</f>
        <v/>
      </c>
      <c r="Q253" s="28">
        <f>IF(OR($A253="",$D253=""),"",IF(OR($D253&amp;"|"&amp;$E253="",COUNTIF(ListeIzinliGecis,$D253&amp;"|"&amp;$E253)&gt;0),"","GEÇERSİZ GEÇİŞ"))</f>
        <v/>
      </c>
      <c r="R253" s="28">
        <f>IF($A253="","",IF(OR($F253="",$H253=""),"",IF(ABS($H253-$F253)&gt;zincirTolerans,"ZİNCİR KIRIK","OK")))</f>
        <v/>
      </c>
      <c r="S253" s="28">
        <f>IF($A253="","",1)</f>
        <v/>
      </c>
    </row>
    <row r="254">
      <c r="A254" s="26" t="n"/>
      <c r="B254" s="26" t="n"/>
      <c r="C254" s="29" t="n"/>
      <c r="D254" s="26" t="n"/>
      <c r="E254" s="26" t="n"/>
      <c r="F254" s="27" t="n"/>
      <c r="G254" s="27" t="n"/>
      <c r="H254" s="27" t="n"/>
      <c r="I254" s="27" t="n"/>
      <c r="J254" s="27" t="n"/>
      <c r="K254" s="27" t="n"/>
      <c r="L254" s="26" t="n"/>
      <c r="M254" s="26" t="n"/>
      <c r="N254" s="28">
        <f>IF($A254="","",IF($C254="","",raporTarihi-$C254))</f>
        <v/>
      </c>
      <c r="O254" s="28">
        <f>IF($A254="","",IF($N254="","",IF($N254&lt;=7,"0-7",IF($N254&lt;=30,"8-30",IF($N254&lt;=60,"31-60","60+")))))</f>
        <v/>
      </c>
      <c r="P254" s="28">
        <f>IF($A254="","",IF($B254="","YETİM",IF(COUNTIF(tblKartlar[KartId],$B254)=0,"YETİM","")))</f>
        <v/>
      </c>
      <c r="Q254" s="28">
        <f>IF(OR($A254="",$D254=""),"",IF(OR($D254&amp;"|"&amp;$E254="",COUNTIF(ListeIzinliGecis,$D254&amp;"|"&amp;$E254)&gt;0),"","GEÇERSİZ GEÇİŞ"))</f>
        <v/>
      </c>
      <c r="R254" s="28">
        <f>IF($A254="","",IF(OR($F254="",$H254=""),"",IF(ABS($H254-$F254)&gt;zincirTolerans,"ZİNCİR KIRIK","OK")))</f>
        <v/>
      </c>
      <c r="S254" s="28">
        <f>IF($A254="","",1)</f>
        <v/>
      </c>
    </row>
    <row r="255">
      <c r="A255" s="26" t="n"/>
      <c r="B255" s="26" t="n"/>
      <c r="C255" s="29" t="n"/>
      <c r="D255" s="26" t="n"/>
      <c r="E255" s="26" t="n"/>
      <c r="F255" s="27" t="n"/>
      <c r="G255" s="27" t="n"/>
      <c r="H255" s="27" t="n"/>
      <c r="I255" s="27" t="n"/>
      <c r="J255" s="27" t="n"/>
      <c r="K255" s="27" t="n"/>
      <c r="L255" s="26" t="n"/>
      <c r="M255" s="26" t="n"/>
      <c r="N255" s="28">
        <f>IF($A255="","",IF($C255="","",raporTarihi-$C255))</f>
        <v/>
      </c>
      <c r="O255" s="28">
        <f>IF($A255="","",IF($N255="","",IF($N255&lt;=7,"0-7",IF($N255&lt;=30,"8-30",IF($N255&lt;=60,"31-60","60+")))))</f>
        <v/>
      </c>
      <c r="P255" s="28">
        <f>IF($A255="","",IF($B255="","YETİM",IF(COUNTIF(tblKartlar[KartId],$B255)=0,"YETİM","")))</f>
        <v/>
      </c>
      <c r="Q255" s="28">
        <f>IF(OR($A255="",$D255=""),"",IF(OR($D255&amp;"|"&amp;$E255="",COUNTIF(ListeIzinliGecis,$D255&amp;"|"&amp;$E255)&gt;0),"","GEÇERSİZ GEÇİŞ"))</f>
        <v/>
      </c>
      <c r="R255" s="28">
        <f>IF($A255="","",IF(OR($F255="",$H255=""),"",IF(ABS($H255-$F255)&gt;zincirTolerans,"ZİNCİR KIRIK","OK")))</f>
        <v/>
      </c>
      <c r="S255" s="28">
        <f>IF($A255="","",1)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R3"/>
    <mergeCell ref="A1:V1"/>
  </mergeCells>
  <conditionalFormatting sqref="P6:P255">
    <cfRule type="cellIs" priority="1" operator="equal" dxfId="2">
      <formula>"YETİM"</formula>
    </cfRule>
  </conditionalFormatting>
  <conditionalFormatting sqref="Q6:Q255">
    <cfRule type="cellIs" priority="2" operator="equal" dxfId="2">
      <formula>"GEÇERSİZ GEÇİŞ"</formula>
    </cfRule>
  </conditionalFormatting>
  <conditionalFormatting sqref="R6:R255">
    <cfRule type="cellIs" priority="3" operator="equal" dxfId="2">
      <formula>"ZİNCİR KIRIK"</formula>
    </cfRule>
    <cfRule type="cellIs" priority="4" operator="equal" dxfId="0">
      <formula>"OK"</formula>
    </cfRule>
  </conditionalFormatting>
  <conditionalFormatting sqref="E6:E255">
    <cfRule type="cellIs" priority="5" operator="equal" dxfId="1">
      <formula>"BEKLIYOR"</formula>
    </cfRule>
    <cfRule type="cellIs" priority="6" operator="equal" dxfId="3">
      <formula>"TAHSIL"</formula>
    </cfRule>
    <cfRule type="cellIs" priority="7" operator="equal" dxfId="4">
      <formula>"IPTAL"</formula>
    </cfRule>
  </conditionalFormatting>
  <dataValidations count="13">
    <dataValidation sqref="A6:A255" showDropDown="0" showInputMessage="1" showErrorMessage="1" allowBlank="1" errorTitle="Kimlik" error="Boş olamaz" promptTitle="İşlem Kimliği" prompt="KAD-##### girin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Kaynak Kart" prompt="Kart kimliği (boş = yetim riski)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Olay tarihi" type="date" errorStyle="stop" operator="greaterThan">
      <formula1>1</formula1>
    </dataValidation>
    <dataValidation sqref="D6:D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E6:E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F6:F255" showDropDown="0" showInputMessage="1" showErrorMessage="1" allowBlank="1" errorTitle="Sözleşme" error="0 veya üzeri" promptTitle="Sözleşme" prompt="Sözleşme ≥ 0" type="decimal" errorStyle="stop" operator="greaterThanOrEqual">
      <formula1>0</formula1>
    </dataValidation>
    <dataValidation sqref="G6:G255" showDropDown="0" showInputMessage="1" showErrorMessage="1" allowBlank="1" errorTitle="Avans" error="0 veya üzeri" promptTitle="Avans" prompt="Avans ≥ 0" type="decimal" errorStyle="stop" operator="greaterThanOrEqual">
      <formula1>0</formula1>
    </dataValidation>
    <dataValidation sqref="H6:H255" showDropDown="0" showInputMessage="1" showErrorMessage="1" allowBlank="1" errorTitle="Kira" error="0 veya üzeri" promptTitle="Kira" prompt="Kira ≥ 0" type="decimal" errorStyle="stop" operator="greaterThanOrEqual">
      <formula1>0</formula1>
    </dataValidation>
    <dataValidation sqref="I6:I255" showDropDown="0" showInputMessage="1" showErrorMessage="1" allowBlank="1" errorTitle="Mahsup" error="0 veya üzeri" promptTitle="Mahsup" prompt="Mahsup ≥ 0" type="decimal" errorStyle="stop" operator="greaterThanOrEqual">
      <formula1>0</formula1>
    </dataValidation>
    <dataValidation sqref="J6:J255" showDropDown="0" showInputMessage="1" showErrorMessage="1" allowBlank="1" errorTitle="Dekont" error="0 veya üzeri" promptTitle="Dekont" prompt="Dekont ≥ 0" type="decimal" errorStyle="stop" operator="greaterThanOrEqual">
      <formula1>0</formula1>
    </dataValidation>
    <dataValidation sqref="K6:K25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L6:L255" showDropDown="0" showInputMessage="1" showErrorMessage="1" allowBlank="1" errorTitle="Dönem" error="Geçersiz" promptTitle="Dönem" prompt="YYYY-AA" type="textLength" errorStyle="stop" operator="greaterThanOrEqual">
      <formula1>0</formula1>
      <formula2>20</formula2>
    </dataValidation>
    <dataValidation sqref="M6:M255" showDropDown="0" showInputMessage="1" showErrorMessage="1" allowBlank="1" errorTitle="Açıklama" error="Geçersiz" promptTitle="Açıklama" prompt="Kısa açıklama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F3D4C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</cols>
  <sheetData>
    <row r="1" ht="26" customHeight="1">
      <c r="A1" s="1" t="inlineStr">
        <is>
          <t>KUYRUKLAR — Kira ve Avans Takip + Dekont</t>
        </is>
      </c>
    </row>
    <row r="3" ht="20" customHeight="1">
      <c r="A3" s="22" t="inlineStr">
        <is>
          <t>Durum bazlı canlı kuyruk — kapalı kayıtlar düşer</t>
        </is>
      </c>
    </row>
    <row r="5">
      <c r="A5" s="30" t="inlineStr">
        <is>
          <t>Kuyruk</t>
        </is>
      </c>
      <c r="B5" s="30" t="inlineStr">
        <is>
          <t>Adet</t>
        </is>
      </c>
      <c r="C5" s="30" t="inlineStr">
        <is>
          <t>Tutar</t>
        </is>
      </c>
    </row>
    <row r="6">
      <c r="A6" s="7" t="inlineStr">
        <is>
          <t>Bekliyor</t>
        </is>
      </c>
      <c r="B6" s="20">
        <f>COUNTIFS(tblAkis[durum],"BEKLIYOR",tblAkis[tutar],"&gt;0")</f>
        <v/>
      </c>
      <c r="C6" s="21">
        <f>SUMIFS(tblAkis[tutar],tblAkis[durum],"BEKLIYOR")</f>
        <v/>
      </c>
    </row>
    <row r="7">
      <c r="A7" s="7" t="inlineStr">
        <is>
          <t>Tahsil</t>
        </is>
      </c>
      <c r="B7" s="20">
        <f>COUNTIFS(tblAkis[durum],"TAHSIL",tblAkis[tutar],"&gt;0")</f>
        <v/>
      </c>
      <c r="C7" s="21">
        <f>SUMIFS(tblAkis[tutar],tblAkis[durum],"TAHSIL")</f>
        <v/>
      </c>
    </row>
    <row r="8">
      <c r="A8" s="7" t="inlineStr">
        <is>
          <t>Mahsup</t>
        </is>
      </c>
      <c r="B8" s="20">
        <f>COUNTIFS(tblAkis[durum],"MAHSUP",tblAkis[tutar],"&gt;0")</f>
        <v/>
      </c>
      <c r="C8" s="21">
        <f>SUMIFS(tblAkis[tutar],tblAkis[durum],"MAHSUP")</f>
        <v/>
      </c>
    </row>
    <row r="9">
      <c r="A9" s="7" t="inlineStr">
        <is>
          <t>Geciken (açık, yaş&gt;eşik)</t>
        </is>
      </c>
      <c r="B9" s="20">
        <f>COUNTIFS(tblAkis[YasGun],"&gt;"&amp;kad_esikGecikmeGun,tblAkis[Durum],"&lt;&gt;KAPALI",tblAkis[Durum],"&lt;&gt;IPTAL",tblAkis[Tutar],"&gt;0")</f>
        <v/>
      </c>
      <c r="C9" s="21">
        <f>SUMIFS(tblAkis[Tutar],tblAkis[YasGun],"&gt;"&amp;kad_esikGecikmeGun,tblAkis[Durum],"&lt;&gt;KAPALI",tblAkis[Durum],"&lt;&gt;IPTAL")</f>
        <v/>
      </c>
    </row>
    <row r="11">
      <c r="A11" s="16" t="inlineStr">
        <is>
          <t>Kapalı (Kapalı+İptal) — kuyruktan düşer</t>
        </is>
      </c>
    </row>
    <row r="12">
      <c r="A12" s="7" t="inlineStr">
        <is>
          <t>Kapalı</t>
        </is>
      </c>
      <c r="B12" s="20">
        <f>COUNTIFS(tblAkis[durum],"KAPALI",tblAkis[tutar],"&gt;0")</f>
        <v/>
      </c>
      <c r="C12" s="21">
        <f>SUMIFS(tblAkis[tutar],tblAkis[durum],"KAPALI")</f>
        <v/>
      </c>
    </row>
    <row r="13">
      <c r="A13" s="7" t="inlineStr">
        <is>
          <t>İptal</t>
        </is>
      </c>
      <c r="B13" s="20">
        <f>COUNTIFS(tblAkis[durum],"IPTAL",tblAkis[tutar],"&gt;0")</f>
        <v/>
      </c>
      <c r="C13" s="21">
        <f>SUMIFS(tblAkis[tutar],tblAkis[durum],"IPTAL")</f>
        <v/>
      </c>
    </row>
    <row r="15">
      <c r="A15" s="24" t="inlineStr">
        <is>
          <t>Kuyruk Özeti</t>
        </is>
      </c>
      <c r="B15" s="8">
        <f>kad_kuyrukOzeti</f>
        <v/>
      </c>
    </row>
    <row r="17">
      <c r="A17" s="16" t="inlineStr">
        <is>
          <t>Yaş Kova Dağılımı</t>
        </is>
      </c>
    </row>
    <row r="18">
      <c r="A18" s="7" t="inlineStr">
        <is>
          <t>0-7</t>
        </is>
      </c>
      <c r="B18" s="20">
        <f>COUNTIF(tblAkis[YasKova],"0-7")</f>
        <v/>
      </c>
      <c r="C18" s="21">
        <f>SUMIF(tblAkis[YasKova],"0-7",tblAkis[Tutar])</f>
        <v/>
      </c>
    </row>
    <row r="19">
      <c r="A19" s="7" t="inlineStr">
        <is>
          <t>8-30</t>
        </is>
      </c>
      <c r="B19" s="20">
        <f>COUNTIF(tblAkis[YasKova],"8-30")</f>
        <v/>
      </c>
      <c r="C19" s="21">
        <f>SUMIF(tblAkis[YasKova],"8-30",tblAkis[Tutar])</f>
        <v/>
      </c>
    </row>
    <row r="20">
      <c r="A20" s="7" t="inlineStr">
        <is>
          <t>31-60</t>
        </is>
      </c>
      <c r="B20" s="20">
        <f>COUNTIF(tblAkis[YasKova],"31-60")</f>
        <v/>
      </c>
      <c r="C20" s="21">
        <f>SUMIF(tblAkis[YasKova],"31-60",tblAkis[Tutar])</f>
        <v/>
      </c>
    </row>
    <row r="21">
      <c r="A21" s="7" t="inlineStr">
        <is>
          <t>60+</t>
        </is>
      </c>
      <c r="B21" s="20">
        <f>COUNTIF(tblAkis[YasKova],"60+")</f>
        <v/>
      </c>
      <c r="C21" s="21">
        <f>SUMIF(tblAkis[YasKova],"60+",tblAkis[Tutar])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15:F15"/>
    <mergeCell ref="A3:J3"/>
    <mergeCell ref="A1:N1"/>
  </mergeCells>
  <conditionalFormatting sqref="B6">
    <cfRule type="cellIs" priority="1" operator="greaterThan" dxfId="1">
      <formula>0</formula>
    </cfRule>
  </conditionalFormatting>
  <conditionalFormatting sqref="C6">
    <cfRule type="cellIs" priority="2" operator="greaterThan" dxfId="3">
      <formula>0</formula>
    </cfRule>
  </conditionalFormatting>
  <conditionalFormatting sqref="B7">
    <cfRule type="cellIs" priority="3" operator="greaterThan" dxfId="1">
      <formula>0</formula>
    </cfRule>
  </conditionalFormatting>
  <conditionalFormatting sqref="C7">
    <cfRule type="cellIs" priority="4" operator="greaterThan" dxfId="3">
      <formula>0</formula>
    </cfRule>
  </conditionalFormatting>
  <conditionalFormatting sqref="B8">
    <cfRule type="cellIs" priority="5" operator="greaterThan" dxfId="1">
      <formula>0</formula>
    </cfRule>
  </conditionalFormatting>
  <conditionalFormatting sqref="C8">
    <cfRule type="cellIs" priority="6" operator="greaterThan" dxfId="3">
      <formula>0</formula>
    </cfRule>
  </conditionalFormatting>
  <conditionalFormatting sqref="B9">
    <cfRule type="cellIs" priority="7" operator="greaterThan" dxfId="1">
      <formula>0</formula>
    </cfRule>
  </conditionalFormatting>
  <conditionalFormatting sqref="C9">
    <cfRule type="cellIs" priority="8" operator="greaterThan" dxfId="3">
      <formula>0</formula>
    </cfRule>
  </conditionalFormatting>
  <conditionalFormatting sqref="B18">
    <cfRule type="cellIs" priority="9" operator="greaterThan" dxfId="3">
      <formula>0</formula>
    </cfRule>
  </conditionalFormatting>
  <conditionalFormatting sqref="B19">
    <cfRule type="cellIs" priority="10" operator="greaterThan" dxfId="3">
      <formula>0</formula>
    </cfRule>
  </conditionalFormatting>
  <conditionalFormatting sqref="B20">
    <cfRule type="cellIs" priority="11" operator="greaterThan" dxfId="3">
      <formula>0</formula>
    </cfRule>
  </conditionalFormatting>
  <conditionalFormatting sqref="B21">
    <cfRule type="cellIs" priority="12" operator="greaterThan" dxfId="3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F3D4C"/>
    <outlinePr summaryBelow="1" summaryRight="1"/>
    <pageSetUpPr/>
  </sheetPr>
  <dimension ref="A1:R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6" customHeight="1">
      <c r="A1" s="1" t="inlineStr">
        <is>
          <t>AVANS — Kira ve Avans Takip + Dekont</t>
        </is>
      </c>
    </row>
    <row r="3" ht="20" customHeight="1">
      <c r="A3" s="22" t="inlineStr">
        <is>
          <t>Avans mahsup motoru — anapara, mahsup edilen, kalan bakiye, aşım bayrağı</t>
        </is>
      </c>
    </row>
    <row r="4">
      <c r="A4" s="11" t="inlineStr">
        <is>
          <t>Avans Anapara</t>
        </is>
      </c>
      <c r="B4" s="31">
        <f>SUM(tblAvans[AvansTutar])</f>
        <v/>
      </c>
      <c r="C4" s="11" t="inlineStr">
        <is>
          <t>Mahsup Edilen</t>
        </is>
      </c>
      <c r="D4" s="31">
        <f>SUM(tblAvans[MahsupEdilen])</f>
        <v/>
      </c>
      <c r="E4" s="11" t="inlineStr">
        <is>
          <t>Kalan Bakiye</t>
        </is>
      </c>
      <c r="F4" s="31">
        <f>SUM(tblAvans[KalanBakiye])</f>
        <v/>
      </c>
      <c r="G4" s="11" t="inlineStr">
        <is>
          <t>Aşım Adet</t>
        </is>
      </c>
      <c r="H4" s="32">
        <f>COUNTIF(tblAvans[AsimBayrak],"AŞIM")</f>
        <v/>
      </c>
      <c r="O4" s="7" t="inlineStr">
        <is>
          <t>Kart</t>
        </is>
      </c>
      <c r="P4" s="7" t="inlineStr">
        <is>
          <t>Anapara</t>
        </is>
      </c>
      <c r="Q4" s="7" t="inlineStr">
        <is>
          <t>Kalan</t>
        </is>
      </c>
    </row>
    <row r="5" ht="30" customHeight="1">
      <c r="A5" s="25" t="inlineStr">
        <is>
          <t>AvansId</t>
        </is>
      </c>
      <c r="B5" s="25" t="inlineStr">
        <is>
          <t>KaynakKartId</t>
        </is>
      </c>
      <c r="C5" s="25" t="inlineStr">
        <is>
          <t>Tarih</t>
        </is>
      </c>
      <c r="D5" s="25" t="inlineStr">
        <is>
          <t>AvansTutar</t>
        </is>
      </c>
      <c r="E5" s="25" t="inlineStr">
        <is>
          <t>Donem</t>
        </is>
      </c>
      <c r="F5" s="25" t="inlineStr">
        <is>
          <t>Aciklama</t>
        </is>
      </c>
      <c r="G5" s="25" t="inlineStr">
        <is>
          <t>MahsupEdilen</t>
        </is>
      </c>
      <c r="H5" s="25" t="inlineStr">
        <is>
          <t>KalanBakiye</t>
        </is>
      </c>
      <c r="I5" s="25" t="inlineStr">
        <is>
          <t>YasGun</t>
        </is>
      </c>
      <c r="J5" s="25" t="inlineStr">
        <is>
          <t>YasKova</t>
        </is>
      </c>
      <c r="K5" s="25" t="inlineStr">
        <is>
          <t>YetimBayrak</t>
        </is>
      </c>
      <c r="L5" s="25" t="inlineStr">
        <is>
          <t>AsimBayrak</t>
        </is>
      </c>
      <c r="O5" s="7" t="inlineStr">
        <is>
          <t>KIR-00001</t>
        </is>
      </c>
      <c r="P5" s="21" t="n">
        <v>36000</v>
      </c>
      <c r="Q5" s="21" t="n">
        <v>28000</v>
      </c>
    </row>
    <row r="6">
      <c r="A6" s="26" t="inlineStr">
        <is>
          <t>AVN-00001</t>
        </is>
      </c>
      <c r="B6" s="26" t="inlineStr">
        <is>
          <t>KIR-00001</t>
        </is>
      </c>
      <c r="C6" s="29" t="n">
        <v>46214</v>
      </c>
      <c r="D6" s="27" t="n">
        <v>36000</v>
      </c>
      <c r="E6" s="26" t="inlineStr">
        <is>
          <t>2026-07</t>
        </is>
      </c>
      <c r="F6" s="26" t="inlineStr">
        <is>
          <t>Sözleşme avansı 1</t>
        </is>
      </c>
      <c r="G6" s="28">
        <f>IF($A6="","",SUMIFS(tblAkis[MahsupTutar],tblAkis[KaynakKartId],$B6,tblAkis[Durum],"MAHSUP"))</f>
        <v/>
      </c>
      <c r="H6" s="28">
        <f>IF($A6="","",MAX(0,$D6-$G6))</f>
        <v/>
      </c>
      <c r="I6" s="28">
        <f>IF($A6="","",IF($C6="","",raporTarihi-$C6))</f>
        <v/>
      </c>
      <c r="J6" s="28">
        <f>IF($A6="","",IF($I6="","",IF($I6&lt;=7,"0-7",IF($I6&lt;=30,"8-30",IF($I6&lt;=60,"31-60","60+")))))</f>
        <v/>
      </c>
      <c r="K6" s="28">
        <f>IF($A6="","",IF($B6="","YETİM",IF(COUNTIF(tblKartlar[KartId],$B6)=0,"YETİM","")))</f>
        <v/>
      </c>
      <c r="L6" s="28">
        <f>IF($A6="","",IF($G6&gt;$D6+kad_mahsupTolerans,"AŞIM","UYGUN"))</f>
        <v/>
      </c>
      <c r="O6" s="7" t="inlineStr">
        <is>
          <t>KIR-00002</t>
        </is>
      </c>
      <c r="P6" s="21" t="n">
        <v>44000</v>
      </c>
      <c r="Q6" s="21" t="n">
        <v>36000</v>
      </c>
    </row>
    <row r="7">
      <c r="A7" s="26" t="inlineStr">
        <is>
          <t>AVN-00002</t>
        </is>
      </c>
      <c r="B7" s="26" t="inlineStr">
        <is>
          <t>KIR-00002</t>
        </is>
      </c>
      <c r="C7" s="29" t="n">
        <v>46210</v>
      </c>
      <c r="D7" s="27" t="n">
        <v>44000</v>
      </c>
      <c r="E7" s="26" t="inlineStr">
        <is>
          <t>2026-07</t>
        </is>
      </c>
      <c r="F7" s="26" t="inlineStr">
        <is>
          <t>Sözleşme avansı 2</t>
        </is>
      </c>
      <c r="G7" s="28">
        <f>IF($A7="","",SUMIFS(tblAkis[MahsupTutar],tblAkis[KaynakKartId],$B7,tblAkis[Durum],"MAHSUP"))</f>
        <v/>
      </c>
      <c r="H7" s="28">
        <f>IF($A7="","",MAX(0,$D7-$G7))</f>
        <v/>
      </c>
      <c r="I7" s="28">
        <f>IF($A7="","",IF($C7="","",raporTarihi-$C7))</f>
        <v/>
      </c>
      <c r="J7" s="28">
        <f>IF($A7="","",IF($I7="","",IF($I7&lt;=7,"0-7",IF($I7&lt;=30,"8-30",IF($I7&lt;=60,"31-60","60+")))))</f>
        <v/>
      </c>
      <c r="K7" s="28">
        <f>IF($A7="","",IF($B7="","YETİM",IF(COUNTIF(tblKartlar[KartId],$B7)=0,"YETİM","")))</f>
        <v/>
      </c>
      <c r="L7" s="28">
        <f>IF($A7="","",IF($G7&gt;$D7+kad_mahsupTolerans,"AŞIM","UYGUN"))</f>
        <v/>
      </c>
      <c r="O7" s="7" t="inlineStr">
        <is>
          <t>KIR-00003</t>
        </is>
      </c>
      <c r="P7" s="21" t="n">
        <v>32000</v>
      </c>
      <c r="Q7" s="21" t="n">
        <v>24000</v>
      </c>
    </row>
    <row r="8">
      <c r="A8" s="26" t="inlineStr">
        <is>
          <t>AVN-00003</t>
        </is>
      </c>
      <c r="B8" s="26" t="inlineStr">
        <is>
          <t>KIR-00003</t>
        </is>
      </c>
      <c r="C8" s="29" t="n">
        <v>46206</v>
      </c>
      <c r="D8" s="27" t="n">
        <v>32000</v>
      </c>
      <c r="E8" s="26" t="inlineStr">
        <is>
          <t>2026-07</t>
        </is>
      </c>
      <c r="F8" s="26" t="inlineStr">
        <is>
          <t>Sözleşme avansı 3</t>
        </is>
      </c>
      <c r="G8" s="28">
        <f>IF($A8="","",SUMIFS(tblAkis[MahsupTutar],tblAkis[KaynakKartId],$B8,tblAkis[Durum],"MAHSUP"))</f>
        <v/>
      </c>
      <c r="H8" s="28">
        <f>IF($A8="","",MAX(0,$D8-$G8))</f>
        <v/>
      </c>
      <c r="I8" s="28">
        <f>IF($A8="","",IF($C8="","",raporTarihi-$C8))</f>
        <v/>
      </c>
      <c r="J8" s="28">
        <f>IF($A8="","",IF($I8="","",IF($I8&lt;=7,"0-7",IF($I8&lt;=30,"8-30",IF($I8&lt;=60,"31-60","60+")))))</f>
        <v/>
      </c>
      <c r="K8" s="28">
        <f>IF($A8="","",IF($B8="","YETİM",IF(COUNTIF(tblKartlar[KartId],$B8)=0,"YETİM","")))</f>
        <v/>
      </c>
      <c r="L8" s="28">
        <f>IF($A8="","",IF($G8&gt;$D8+kad_mahsupTolerans,"AŞIM","UYGUN"))</f>
        <v/>
      </c>
      <c r="O8" s="7" t="inlineStr">
        <is>
          <t>KIR-00004</t>
        </is>
      </c>
      <c r="P8" s="21" t="n">
        <v>28000</v>
      </c>
      <c r="Q8" s="21" t="n">
        <v>20000</v>
      </c>
    </row>
    <row r="9">
      <c r="A9" s="26" t="inlineStr">
        <is>
          <t>AVN-00004</t>
        </is>
      </c>
      <c r="B9" s="26" t="inlineStr">
        <is>
          <t>KIR-00004</t>
        </is>
      </c>
      <c r="C9" s="29" t="n">
        <v>46202</v>
      </c>
      <c r="D9" s="27" t="n">
        <v>28000</v>
      </c>
      <c r="E9" s="26" t="inlineStr">
        <is>
          <t>2026-07</t>
        </is>
      </c>
      <c r="F9" s="26" t="inlineStr">
        <is>
          <t>Sözleşme avansı 4</t>
        </is>
      </c>
      <c r="G9" s="28">
        <f>IF($A9="","",SUMIFS(tblAkis[MahsupTutar],tblAkis[KaynakKartId],$B9,tblAkis[Durum],"MAHSUP"))</f>
        <v/>
      </c>
      <c r="H9" s="28">
        <f>IF($A9="","",MAX(0,$D9-$G9))</f>
        <v/>
      </c>
      <c r="I9" s="28">
        <f>IF($A9="","",IF($C9="","",raporTarihi-$C9))</f>
        <v/>
      </c>
      <c r="J9" s="28">
        <f>IF($A9="","",IF($I9="","",IF($I9&lt;=7,"0-7",IF($I9&lt;=30,"8-30",IF($I9&lt;=60,"31-60","60+")))))</f>
        <v/>
      </c>
      <c r="K9" s="28">
        <f>IF($A9="","",IF($B9="","YETİM",IF(COUNTIF(tblKartlar[KartId],$B9)=0,"YETİM","")))</f>
        <v/>
      </c>
      <c r="L9" s="28">
        <f>IF($A9="","",IF($G9&gt;$D9+kad_mahsupTolerans,"AŞIM","UYGUN"))</f>
        <v/>
      </c>
      <c r="O9" s="7" t="inlineStr">
        <is>
          <t>KIR-00005</t>
        </is>
      </c>
      <c r="P9" s="21" t="n">
        <v>56000</v>
      </c>
      <c r="Q9" s="21" t="n">
        <v>48000</v>
      </c>
    </row>
    <row r="10">
      <c r="A10" s="26" t="inlineStr">
        <is>
          <t>AVN-00005</t>
        </is>
      </c>
      <c r="B10" s="26" t="inlineStr">
        <is>
          <t>KIR-00005</t>
        </is>
      </c>
      <c r="C10" s="29" t="n">
        <v>46198</v>
      </c>
      <c r="D10" s="27" t="n">
        <v>56000</v>
      </c>
      <c r="E10" s="26" t="inlineStr">
        <is>
          <t>2026-07</t>
        </is>
      </c>
      <c r="F10" s="26" t="inlineStr">
        <is>
          <t>Sözleşme avansı 5</t>
        </is>
      </c>
      <c r="G10" s="28">
        <f>IF($A10="","",SUMIFS(tblAkis[MahsupTutar],tblAkis[KaynakKartId],$B10,tblAkis[Durum],"MAHSUP"))</f>
        <v/>
      </c>
      <c r="H10" s="28">
        <f>IF($A10="","",MAX(0,$D10-$G10))</f>
        <v/>
      </c>
      <c r="I10" s="28">
        <f>IF($A10="","",IF($C10="","",raporTarihi-$C10))</f>
        <v/>
      </c>
      <c r="J10" s="28">
        <f>IF($A10="","",IF($I10="","",IF($I10&lt;=7,"0-7",IF($I10&lt;=30,"8-30",IF($I10&lt;=60,"31-60","60+")))))</f>
        <v/>
      </c>
      <c r="K10" s="28">
        <f>IF($A10="","",IF($B10="","YETİM",IF(COUNTIF(tblKartlar[KartId],$B10)=0,"YETİM","")))</f>
        <v/>
      </c>
      <c r="L10" s="28">
        <f>IF($A10="","",IF($G10&gt;$D10+kad_mahsupTolerans,"AŞIM","UYGUN"))</f>
        <v/>
      </c>
      <c r="O10" s="7" t="inlineStr">
        <is>
          <t>KIR-00006</t>
        </is>
      </c>
      <c r="P10" s="21" t="n">
        <v>30000</v>
      </c>
      <c r="Q10" s="21" t="n">
        <v>22000</v>
      </c>
    </row>
    <row r="11">
      <c r="A11" s="26" t="inlineStr">
        <is>
          <t>AVN-00006</t>
        </is>
      </c>
      <c r="B11" s="26" t="inlineStr">
        <is>
          <t>KIR-00006</t>
        </is>
      </c>
      <c r="C11" s="29" t="n">
        <v>46194</v>
      </c>
      <c r="D11" s="27" t="n">
        <v>30000</v>
      </c>
      <c r="E11" s="26" t="inlineStr">
        <is>
          <t>2026-07</t>
        </is>
      </c>
      <c r="F11" s="26" t="inlineStr">
        <is>
          <t>Sözleşme avansı 6</t>
        </is>
      </c>
      <c r="G11" s="28">
        <f>IF($A11="","",SUMIFS(tblAkis[MahsupTutar],tblAkis[KaynakKartId],$B11,tblAkis[Durum],"MAHSUP"))</f>
        <v/>
      </c>
      <c r="H11" s="28">
        <f>IF($A11="","",MAX(0,$D11-$G11))</f>
        <v/>
      </c>
      <c r="I11" s="28">
        <f>IF($A11="","",IF($C11="","",raporTarihi-$C11))</f>
        <v/>
      </c>
      <c r="J11" s="28">
        <f>IF($A11="","",IF($I11="","",IF($I11&lt;=7,"0-7",IF($I11&lt;=30,"8-30",IF($I11&lt;=60,"31-60","60+")))))</f>
        <v/>
      </c>
      <c r="K11" s="28">
        <f>IF($A11="","",IF($B11="","YETİM",IF(COUNTIF(tblKartlar[KartId],$B11)=0,"YETİM","")))</f>
        <v/>
      </c>
      <c r="L11" s="28">
        <f>IF($A11="","",IF($G11&gt;$D11+kad_mahsupTolerans,"AŞIM","UYGUN"))</f>
        <v/>
      </c>
      <c r="O11" s="7" t="inlineStr">
        <is>
          <t>KIR-00007</t>
        </is>
      </c>
      <c r="P11" s="21" t="n">
        <v>24000</v>
      </c>
      <c r="Q11" s="21" t="n">
        <v>16000</v>
      </c>
    </row>
    <row r="12">
      <c r="A12" s="26" t="inlineStr">
        <is>
          <t>AVN-00007</t>
        </is>
      </c>
      <c r="B12" s="26" t="inlineStr">
        <is>
          <t>KIR-00007</t>
        </is>
      </c>
      <c r="C12" s="29" t="n">
        <v>46190</v>
      </c>
      <c r="D12" s="27" t="n">
        <v>24000</v>
      </c>
      <c r="E12" s="26" t="inlineStr">
        <is>
          <t>2026-07</t>
        </is>
      </c>
      <c r="F12" s="26" t="inlineStr">
        <is>
          <t>Sözleşme avansı 7</t>
        </is>
      </c>
      <c r="G12" s="28">
        <f>IF($A12="","",SUMIFS(tblAkis[MahsupTutar],tblAkis[KaynakKartId],$B12,tblAkis[Durum],"MAHSUP"))</f>
        <v/>
      </c>
      <c r="H12" s="28">
        <f>IF($A12="","",MAX(0,$D12-$G12))</f>
        <v/>
      </c>
      <c r="I12" s="28">
        <f>IF($A12="","",IF($C12="","",raporTarihi-$C12))</f>
        <v/>
      </c>
      <c r="J12" s="28">
        <f>IF($A12="","",IF($I12="","",IF($I12&lt;=7,"0-7",IF($I12&lt;=30,"8-30",IF($I12&lt;=60,"31-60","60+")))))</f>
        <v/>
      </c>
      <c r="K12" s="28">
        <f>IF($A12="","",IF($B12="","YETİM",IF(COUNTIF(tblKartlar[KartId],$B12)=0,"YETİM","")))</f>
        <v/>
      </c>
      <c r="L12" s="28">
        <f>IF($A12="","",IF($G12&gt;$D12+kad_mahsupTolerans,"AŞIM","UYGUN"))</f>
        <v/>
      </c>
      <c r="O12" s="7" t="inlineStr">
        <is>
          <t>KIR-00008</t>
        </is>
      </c>
      <c r="P12" s="21" t="n">
        <v>22000</v>
      </c>
      <c r="Q12" s="21" t="n">
        <v>14000</v>
      </c>
    </row>
    <row r="13">
      <c r="A13" s="26" t="inlineStr">
        <is>
          <t>AVN-00008</t>
        </is>
      </c>
      <c r="B13" s="26" t="inlineStr">
        <is>
          <t>KIR-00008</t>
        </is>
      </c>
      <c r="C13" s="29" t="n">
        <v>46186</v>
      </c>
      <c r="D13" s="27" t="n">
        <v>22000</v>
      </c>
      <c r="E13" s="26" t="inlineStr">
        <is>
          <t>2026-07</t>
        </is>
      </c>
      <c r="F13" s="26" t="inlineStr">
        <is>
          <t>Sözleşme avansı 8</t>
        </is>
      </c>
      <c r="G13" s="28">
        <f>IF($A13="","",SUMIFS(tblAkis[MahsupTutar],tblAkis[KaynakKartId],$B13,tblAkis[Durum],"MAHSUP"))</f>
        <v/>
      </c>
      <c r="H13" s="28">
        <f>IF($A13="","",MAX(0,$D13-$G13))</f>
        <v/>
      </c>
      <c r="I13" s="28">
        <f>IF($A13="","",IF($C13="","",raporTarihi-$C13))</f>
        <v/>
      </c>
      <c r="J13" s="28">
        <f>IF($A13="","",IF($I13="","",IF($I13&lt;=7,"0-7",IF($I13&lt;=30,"8-30",IF($I13&lt;=60,"31-60","60+")))))</f>
        <v/>
      </c>
      <c r="K13" s="28">
        <f>IF($A13="","",IF($B13="","YETİM",IF(COUNTIF(tblKartlar[KartId],$B13)=0,"YETİM","")))</f>
        <v/>
      </c>
      <c r="L13" s="28">
        <f>IF($A13="","",IF($G13&gt;$D13+kad_mahsupTolerans,"AŞIM","UYGUN"))</f>
        <v/>
      </c>
    </row>
    <row r="14">
      <c r="A14" s="26" t="n"/>
      <c r="B14" s="26" t="n"/>
      <c r="C14" s="29" t="n"/>
      <c r="D14" s="27" t="n"/>
      <c r="E14" s="26" t="n"/>
      <c r="F14" s="26" t="n"/>
      <c r="G14" s="28">
        <f>IF($A14="","",SUMIFS(tblAkis[MahsupTutar],tblAkis[KaynakKartId],$B14,tblAkis[Durum],"MAHSUP"))</f>
        <v/>
      </c>
      <c r="H14" s="28">
        <f>IF($A14="","",MAX(0,$D14-$G14))</f>
        <v/>
      </c>
      <c r="I14" s="28">
        <f>IF($A14="","",IF($C14="","",raporTarihi-$C14))</f>
        <v/>
      </c>
      <c r="J14" s="28">
        <f>IF($A14="","",IF($I14="","",IF($I14&lt;=7,"0-7",IF($I14&lt;=30,"8-30",IF($I14&lt;=60,"31-60","60+")))))</f>
        <v/>
      </c>
      <c r="K14" s="28">
        <f>IF($A14="","",IF($B14="","YETİM",IF(COUNTIF(tblKartlar[KartId],$B14)=0,"YETİM","")))</f>
        <v/>
      </c>
      <c r="L14" s="28">
        <f>IF($A14="","",IF($G14&gt;$D14+kad_mahsupTolerans,"AŞIM","UYGUN"))</f>
        <v/>
      </c>
    </row>
    <row r="15">
      <c r="A15" s="26" t="n"/>
      <c r="B15" s="26" t="n"/>
      <c r="C15" s="29" t="n"/>
      <c r="D15" s="27" t="n"/>
      <c r="E15" s="26" t="n"/>
      <c r="F15" s="26" t="n"/>
      <c r="G15" s="28">
        <f>IF($A15="","",SUMIFS(tblAkis[MahsupTutar],tblAkis[KaynakKartId],$B15,tblAkis[Durum],"MAHSUP"))</f>
        <v/>
      </c>
      <c r="H15" s="28">
        <f>IF($A15="","",MAX(0,$D15-$G15))</f>
        <v/>
      </c>
      <c r="I15" s="28">
        <f>IF($A15="","",IF($C15="","",raporTarihi-$C15))</f>
        <v/>
      </c>
      <c r="J15" s="28">
        <f>IF($A15="","",IF($I15="","",IF($I15&lt;=7,"0-7",IF($I15&lt;=30,"8-30",IF($I15&lt;=60,"31-60","60+")))))</f>
        <v/>
      </c>
      <c r="K15" s="28">
        <f>IF($A15="","",IF($B15="","YETİM",IF(COUNTIF(tblKartlar[KartId],$B15)=0,"YETİM","")))</f>
        <v/>
      </c>
      <c r="L15" s="28">
        <f>IF($A15="","",IF($G15&gt;$D15+kad_mahsupTolerans,"AŞIM","UYGUN"))</f>
        <v/>
      </c>
    </row>
    <row r="16">
      <c r="A16" s="26" t="n"/>
      <c r="B16" s="26" t="n"/>
      <c r="C16" s="29" t="n"/>
      <c r="D16" s="27" t="n"/>
      <c r="E16" s="26" t="n"/>
      <c r="F16" s="26" t="n"/>
      <c r="G16" s="28">
        <f>IF($A16="","",SUMIFS(tblAkis[MahsupTutar],tblAkis[KaynakKartId],$B16,tblAkis[Durum],"MAHSUP"))</f>
        <v/>
      </c>
      <c r="H16" s="28">
        <f>IF($A16="","",MAX(0,$D16-$G16))</f>
        <v/>
      </c>
      <c r="I16" s="28">
        <f>IF($A16="","",IF($C16="","",raporTarihi-$C16))</f>
        <v/>
      </c>
      <c r="J16" s="28">
        <f>IF($A16="","",IF($I16="","",IF($I16&lt;=7,"0-7",IF($I16&lt;=30,"8-30",IF($I16&lt;=60,"31-60","60+")))))</f>
        <v/>
      </c>
      <c r="K16" s="28">
        <f>IF($A16="","",IF($B16="","YETİM",IF(COUNTIF(tblKartlar[KartId],$B16)=0,"YETİM","")))</f>
        <v/>
      </c>
      <c r="L16" s="28">
        <f>IF($A16="","",IF($G16&gt;$D16+kad_mahsupTolerans,"AŞIM","UYGUN"))</f>
        <v/>
      </c>
    </row>
    <row r="17">
      <c r="A17" s="26" t="n"/>
      <c r="B17" s="26" t="n"/>
      <c r="C17" s="29" t="n"/>
      <c r="D17" s="27" t="n"/>
      <c r="E17" s="26" t="n"/>
      <c r="F17" s="26" t="n"/>
      <c r="G17" s="28">
        <f>IF($A17="","",SUMIFS(tblAkis[MahsupTutar],tblAkis[KaynakKartId],$B17,tblAkis[Durum],"MAHSUP"))</f>
        <v/>
      </c>
      <c r="H17" s="28">
        <f>IF($A17="","",MAX(0,$D17-$G17))</f>
        <v/>
      </c>
      <c r="I17" s="28">
        <f>IF($A17="","",IF($C17="","",raporTarihi-$C17))</f>
        <v/>
      </c>
      <c r="J17" s="28">
        <f>IF($A17="","",IF($I17="","",IF($I17&lt;=7,"0-7",IF($I17&lt;=30,"8-30",IF($I17&lt;=60,"31-60","60+")))))</f>
        <v/>
      </c>
      <c r="K17" s="28">
        <f>IF($A17="","",IF($B17="","YETİM",IF(COUNTIF(tblKartlar[KartId],$B17)=0,"YETİM","")))</f>
        <v/>
      </c>
      <c r="L17" s="28">
        <f>IF($A17="","",IF($G17&gt;$D17+kad_mahsupTolerans,"AŞIM","UYGUN"))</f>
        <v/>
      </c>
    </row>
    <row r="18">
      <c r="A18" s="26" t="n"/>
      <c r="B18" s="26" t="n"/>
      <c r="C18" s="29" t="n"/>
      <c r="D18" s="27" t="n"/>
      <c r="E18" s="26" t="n"/>
      <c r="F18" s="26" t="n"/>
      <c r="G18" s="28">
        <f>IF($A18="","",SUMIFS(tblAkis[MahsupTutar],tblAkis[KaynakKartId],$B18,tblAkis[Durum],"MAHSUP"))</f>
        <v/>
      </c>
      <c r="H18" s="28">
        <f>IF($A18="","",MAX(0,$D18-$G18))</f>
        <v/>
      </c>
      <c r="I18" s="28">
        <f>IF($A18="","",IF($C18="","",raporTarihi-$C18))</f>
        <v/>
      </c>
      <c r="J18" s="28">
        <f>IF($A18="","",IF($I18="","",IF($I18&lt;=7,"0-7",IF($I18&lt;=30,"8-30",IF($I18&lt;=60,"31-60","60+")))))</f>
        <v/>
      </c>
      <c r="K18" s="28">
        <f>IF($A18="","",IF($B18="","YETİM",IF(COUNTIF(tblKartlar[KartId],$B18)=0,"YETİM","")))</f>
        <v/>
      </c>
      <c r="L18" s="28">
        <f>IF($A18="","",IF($G18&gt;$D18+kad_mahsupTolerans,"AŞIM","UYGUN"))</f>
        <v/>
      </c>
    </row>
    <row r="19">
      <c r="A19" s="26" t="n"/>
      <c r="B19" s="26" t="n"/>
      <c r="C19" s="29" t="n"/>
      <c r="D19" s="27" t="n"/>
      <c r="E19" s="26" t="n"/>
      <c r="F19" s="26" t="n"/>
      <c r="G19" s="28">
        <f>IF($A19="","",SUMIFS(tblAkis[MahsupTutar],tblAkis[KaynakKartId],$B19,tblAkis[Durum],"MAHSUP"))</f>
        <v/>
      </c>
      <c r="H19" s="28">
        <f>IF($A19="","",MAX(0,$D19-$G19))</f>
        <v/>
      </c>
      <c r="I19" s="28">
        <f>IF($A19="","",IF($C19="","",raporTarihi-$C19))</f>
        <v/>
      </c>
      <c r="J19" s="28">
        <f>IF($A19="","",IF($I19="","",IF($I19&lt;=7,"0-7",IF($I19&lt;=30,"8-30",IF($I19&lt;=60,"31-60","60+")))))</f>
        <v/>
      </c>
      <c r="K19" s="28">
        <f>IF($A19="","",IF($B19="","YETİM",IF(COUNTIF(tblKartlar[KartId],$B19)=0,"YETİM","")))</f>
        <v/>
      </c>
      <c r="L19" s="28">
        <f>IF($A19="","",IF($G19&gt;$D19+kad_mahsupTolerans,"AŞIM","UYGUN"))</f>
        <v/>
      </c>
    </row>
    <row r="20">
      <c r="A20" s="26" t="n"/>
      <c r="B20" s="26" t="n"/>
      <c r="C20" s="29" t="n"/>
      <c r="D20" s="27" t="n"/>
      <c r="E20" s="26" t="n"/>
      <c r="F20" s="26" t="n"/>
      <c r="G20" s="28">
        <f>IF($A20="","",SUMIFS(tblAkis[MahsupTutar],tblAkis[KaynakKartId],$B20,tblAkis[Durum],"MAHSUP"))</f>
        <v/>
      </c>
      <c r="H20" s="28">
        <f>IF($A20="","",MAX(0,$D20-$G20))</f>
        <v/>
      </c>
      <c r="I20" s="28">
        <f>IF($A20="","",IF($C20="","",raporTarihi-$C20))</f>
        <v/>
      </c>
      <c r="J20" s="28">
        <f>IF($A20="","",IF($I20="","",IF($I20&lt;=7,"0-7",IF($I20&lt;=30,"8-30",IF($I20&lt;=60,"31-60","60+")))))</f>
        <v/>
      </c>
      <c r="K20" s="28">
        <f>IF($A20="","",IF($B20="","YETİM",IF(COUNTIF(tblKartlar[KartId],$B20)=0,"YETİM","")))</f>
        <v/>
      </c>
      <c r="L20" s="28">
        <f>IF($A20="","",IF($G20&gt;$D20+kad_mahsupTolerans,"AŞIM","UYGUN"))</f>
        <v/>
      </c>
    </row>
    <row r="21">
      <c r="A21" s="26" t="n"/>
      <c r="B21" s="26" t="n"/>
      <c r="C21" s="29" t="n"/>
      <c r="D21" s="27" t="n"/>
      <c r="E21" s="26" t="n"/>
      <c r="F21" s="26" t="n"/>
      <c r="G21" s="28">
        <f>IF($A21="","",SUMIFS(tblAkis[MahsupTutar],tblAkis[KaynakKartId],$B21,tblAkis[Durum],"MAHSUP"))</f>
        <v/>
      </c>
      <c r="H21" s="28">
        <f>IF($A21="","",MAX(0,$D21-$G21))</f>
        <v/>
      </c>
      <c r="I21" s="28">
        <f>IF($A21="","",IF($C21="","",raporTarihi-$C21))</f>
        <v/>
      </c>
      <c r="J21" s="28">
        <f>IF($A21="","",IF($I21="","",IF($I21&lt;=7,"0-7",IF($I21&lt;=30,"8-30",IF($I21&lt;=60,"31-60","60+")))))</f>
        <v/>
      </c>
      <c r="K21" s="28">
        <f>IF($A21="","",IF($B21="","YETİM",IF(COUNTIF(tblKartlar[KartId],$B21)=0,"YETİM","")))</f>
        <v/>
      </c>
      <c r="L21" s="28">
        <f>IF($A21="","",IF($G21&gt;$D21+kad_mahsupTolerans,"AŞIM","UYGUN"))</f>
        <v/>
      </c>
    </row>
    <row r="22">
      <c r="A22" s="26" t="n"/>
      <c r="B22" s="26" t="n"/>
      <c r="C22" s="29" t="n"/>
      <c r="D22" s="27" t="n"/>
      <c r="E22" s="26" t="n"/>
      <c r="F22" s="26" t="n"/>
      <c r="G22" s="28">
        <f>IF($A22="","",SUMIFS(tblAkis[MahsupTutar],tblAkis[KaynakKartId],$B22,tblAkis[Durum],"MAHSUP"))</f>
        <v/>
      </c>
      <c r="H22" s="28">
        <f>IF($A22="","",MAX(0,$D22-$G22))</f>
        <v/>
      </c>
      <c r="I22" s="28">
        <f>IF($A22="","",IF($C22="","",raporTarihi-$C22))</f>
        <v/>
      </c>
      <c r="J22" s="28">
        <f>IF($A22="","",IF($I22="","",IF($I22&lt;=7,"0-7",IF($I22&lt;=30,"8-30",IF($I22&lt;=60,"31-60","60+")))))</f>
        <v/>
      </c>
      <c r="K22" s="28">
        <f>IF($A22="","",IF($B22="","YETİM",IF(COUNTIF(tblKartlar[KartId],$B22)=0,"YETİM","")))</f>
        <v/>
      </c>
      <c r="L22" s="28">
        <f>IF($A22="","",IF($G22&gt;$D22+kad_mahsupTolerans,"AŞIM","UYGUN"))</f>
        <v/>
      </c>
    </row>
    <row r="23">
      <c r="A23" s="26" t="n"/>
      <c r="B23" s="26" t="n"/>
      <c r="C23" s="29" t="n"/>
      <c r="D23" s="27" t="n"/>
      <c r="E23" s="26" t="n"/>
      <c r="F23" s="26" t="n"/>
      <c r="G23" s="28">
        <f>IF($A23="","",SUMIFS(tblAkis[MahsupTutar],tblAkis[KaynakKartId],$B23,tblAkis[Durum],"MAHSUP"))</f>
        <v/>
      </c>
      <c r="H23" s="28">
        <f>IF($A23="","",MAX(0,$D23-$G23))</f>
        <v/>
      </c>
      <c r="I23" s="28">
        <f>IF($A23="","",IF($C23="","",raporTarihi-$C23))</f>
        <v/>
      </c>
      <c r="J23" s="28">
        <f>IF($A23="","",IF($I23="","",IF($I23&lt;=7,"0-7",IF($I23&lt;=30,"8-30",IF($I23&lt;=60,"31-60","60+")))))</f>
        <v/>
      </c>
      <c r="K23" s="28">
        <f>IF($A23="","",IF($B23="","YETİM",IF(COUNTIF(tblKartlar[KartId],$B23)=0,"YETİM","")))</f>
        <v/>
      </c>
      <c r="L23" s="28">
        <f>IF($A23="","",IF($G23&gt;$D23+kad_mahsupTolerans,"AŞIM","UYGUN"))</f>
        <v/>
      </c>
    </row>
    <row r="24">
      <c r="A24" s="26" t="n"/>
      <c r="B24" s="26" t="n"/>
      <c r="C24" s="29" t="n"/>
      <c r="D24" s="27" t="n"/>
      <c r="E24" s="26" t="n"/>
      <c r="F24" s="26" t="n"/>
      <c r="G24" s="28">
        <f>IF($A24="","",SUMIFS(tblAkis[MahsupTutar],tblAkis[KaynakKartId],$B24,tblAkis[Durum],"MAHSUP"))</f>
        <v/>
      </c>
      <c r="H24" s="28">
        <f>IF($A24="","",MAX(0,$D24-$G24))</f>
        <v/>
      </c>
      <c r="I24" s="28">
        <f>IF($A24="","",IF($C24="","",raporTarihi-$C24))</f>
        <v/>
      </c>
      <c r="J24" s="28">
        <f>IF($A24="","",IF($I24="","",IF($I24&lt;=7,"0-7",IF($I24&lt;=30,"8-30",IF($I24&lt;=60,"31-60","60+")))))</f>
        <v/>
      </c>
      <c r="K24" s="28">
        <f>IF($A24="","",IF($B24="","YETİM",IF(COUNTIF(tblKartlar[KartId],$B24)=0,"YETİM","")))</f>
        <v/>
      </c>
      <c r="L24" s="28">
        <f>IF($A24="","",IF($G24&gt;$D24+kad_mahsupTolerans,"AŞIM","UYGUN"))</f>
        <v/>
      </c>
    </row>
    <row r="25">
      <c r="A25" s="26" t="n"/>
      <c r="B25" s="26" t="n"/>
      <c r="C25" s="29" t="n"/>
      <c r="D25" s="27" t="n"/>
      <c r="E25" s="26" t="n"/>
      <c r="F25" s="26" t="n"/>
      <c r="G25" s="28">
        <f>IF($A25="","",SUMIFS(tblAkis[MahsupTutar],tblAkis[KaynakKartId],$B25,tblAkis[Durum],"MAHSUP"))</f>
        <v/>
      </c>
      <c r="H25" s="28">
        <f>IF($A25="","",MAX(0,$D25-$G25))</f>
        <v/>
      </c>
      <c r="I25" s="28">
        <f>IF($A25="","",IF($C25="","",raporTarihi-$C25))</f>
        <v/>
      </c>
      <c r="J25" s="28">
        <f>IF($A25="","",IF($I25="","",IF($I25&lt;=7,"0-7",IF($I25&lt;=30,"8-30",IF($I25&lt;=60,"31-60","60+")))))</f>
        <v/>
      </c>
      <c r="K25" s="28">
        <f>IF($A25="","",IF($B25="","YETİM",IF(COUNTIF(tblKartlar[KartId],$B25)=0,"YETİM","")))</f>
        <v/>
      </c>
      <c r="L25" s="28">
        <f>IF($A25="","",IF($G25&gt;$D25+kad_mahsupTolerans,"AŞIM","UYGUN"))</f>
        <v/>
      </c>
    </row>
    <row r="26">
      <c r="A26" s="26" t="n"/>
      <c r="B26" s="26" t="n"/>
      <c r="C26" s="29" t="n"/>
      <c r="D26" s="27" t="n"/>
      <c r="E26" s="26" t="n"/>
      <c r="F26" s="26" t="n"/>
      <c r="G26" s="28">
        <f>IF($A26="","",SUMIFS(tblAkis[MahsupTutar],tblAkis[KaynakKartId],$B26,tblAkis[Durum],"MAHSUP"))</f>
        <v/>
      </c>
      <c r="H26" s="28">
        <f>IF($A26="","",MAX(0,$D26-$G26))</f>
        <v/>
      </c>
      <c r="I26" s="28">
        <f>IF($A26="","",IF($C26="","",raporTarihi-$C26))</f>
        <v/>
      </c>
      <c r="J26" s="28">
        <f>IF($A26="","",IF($I26="","",IF($I26&lt;=7,"0-7",IF($I26&lt;=30,"8-30",IF($I26&lt;=60,"31-60","60+")))))</f>
        <v/>
      </c>
      <c r="K26" s="28">
        <f>IF($A26="","",IF($B26="","YETİM",IF(COUNTIF(tblKartlar[KartId],$B26)=0,"YETİM","")))</f>
        <v/>
      </c>
      <c r="L26" s="28">
        <f>IF($A26="","",IF($G26&gt;$D26+kad_mahsupTolerans,"AŞIM","UYGUN"))</f>
        <v/>
      </c>
    </row>
    <row r="27">
      <c r="A27" s="26" t="n"/>
      <c r="B27" s="26" t="n"/>
      <c r="C27" s="29" t="n"/>
      <c r="D27" s="27" t="n"/>
      <c r="E27" s="26" t="n"/>
      <c r="F27" s="26" t="n"/>
      <c r="G27" s="28">
        <f>IF($A27="","",SUMIFS(tblAkis[MahsupTutar],tblAkis[KaynakKartId],$B27,tblAkis[Durum],"MAHSUP"))</f>
        <v/>
      </c>
      <c r="H27" s="28">
        <f>IF($A27="","",MAX(0,$D27-$G27))</f>
        <v/>
      </c>
      <c r="I27" s="28">
        <f>IF($A27="","",IF($C27="","",raporTarihi-$C27))</f>
        <v/>
      </c>
      <c r="J27" s="28">
        <f>IF($A27="","",IF($I27="","",IF($I27&lt;=7,"0-7",IF($I27&lt;=30,"8-30",IF($I27&lt;=60,"31-60","60+")))))</f>
        <v/>
      </c>
      <c r="K27" s="28">
        <f>IF($A27="","",IF($B27="","YETİM",IF(COUNTIF(tblKartlar[KartId],$B27)=0,"YETİM","")))</f>
        <v/>
      </c>
      <c r="L27" s="28">
        <f>IF($A27="","",IF($G27&gt;$D27+kad_mahsupTolerans,"AŞIM","UYGUN"))</f>
        <v/>
      </c>
    </row>
    <row r="28">
      <c r="A28" s="26" t="n"/>
      <c r="B28" s="26" t="n"/>
      <c r="C28" s="29" t="n"/>
      <c r="D28" s="27" t="n"/>
      <c r="E28" s="26" t="n"/>
      <c r="F28" s="26" t="n"/>
      <c r="G28" s="28">
        <f>IF($A28="","",SUMIFS(tblAkis[MahsupTutar],tblAkis[KaynakKartId],$B28,tblAkis[Durum],"MAHSUP"))</f>
        <v/>
      </c>
      <c r="H28" s="28">
        <f>IF($A28="","",MAX(0,$D28-$G28))</f>
        <v/>
      </c>
      <c r="I28" s="28">
        <f>IF($A28="","",IF($C28="","",raporTarihi-$C28))</f>
        <v/>
      </c>
      <c r="J28" s="28">
        <f>IF($A28="","",IF($I28="","",IF($I28&lt;=7,"0-7",IF($I28&lt;=30,"8-30",IF($I28&lt;=60,"31-60","60+")))))</f>
        <v/>
      </c>
      <c r="K28" s="28">
        <f>IF($A28="","",IF($B28="","YETİM",IF(COUNTIF(tblKartlar[KartId],$B28)=0,"YETİM","")))</f>
        <v/>
      </c>
      <c r="L28" s="28">
        <f>IF($A28="","",IF($G28&gt;$D28+kad_mahsupTolerans,"AŞIM","UYGUN"))</f>
        <v/>
      </c>
    </row>
    <row r="29">
      <c r="A29" s="26" t="n"/>
      <c r="B29" s="26" t="n"/>
      <c r="C29" s="29" t="n"/>
      <c r="D29" s="27" t="n"/>
      <c r="E29" s="26" t="n"/>
      <c r="F29" s="26" t="n"/>
      <c r="G29" s="28">
        <f>IF($A29="","",SUMIFS(tblAkis[MahsupTutar],tblAkis[KaynakKartId],$B29,tblAkis[Durum],"MAHSUP"))</f>
        <v/>
      </c>
      <c r="H29" s="28">
        <f>IF($A29="","",MAX(0,$D29-$G29))</f>
        <v/>
      </c>
      <c r="I29" s="28">
        <f>IF($A29="","",IF($C29="","",raporTarihi-$C29))</f>
        <v/>
      </c>
      <c r="J29" s="28">
        <f>IF($A29="","",IF($I29="","",IF($I29&lt;=7,"0-7",IF($I29&lt;=30,"8-30",IF($I29&lt;=60,"31-60","60+")))))</f>
        <v/>
      </c>
      <c r="K29" s="28">
        <f>IF($A29="","",IF($B29="","YETİM",IF(COUNTIF(tblKartlar[KartId],$B29)=0,"YETİM","")))</f>
        <v/>
      </c>
      <c r="L29" s="28">
        <f>IF($A29="","",IF($G29&gt;$D29+kad_mahsupTolerans,"AŞIM","UYGUN"))</f>
        <v/>
      </c>
    </row>
    <row r="30">
      <c r="A30" s="26" t="n"/>
      <c r="B30" s="26" t="n"/>
      <c r="C30" s="29" t="n"/>
      <c r="D30" s="27" t="n"/>
      <c r="E30" s="26" t="n"/>
      <c r="F30" s="26" t="n"/>
      <c r="G30" s="28">
        <f>IF($A30="","",SUMIFS(tblAkis[MahsupTutar],tblAkis[KaynakKartId],$B30,tblAkis[Durum],"MAHSUP"))</f>
        <v/>
      </c>
      <c r="H30" s="28">
        <f>IF($A30="","",MAX(0,$D30-$G30))</f>
        <v/>
      </c>
      <c r="I30" s="28">
        <f>IF($A30="","",IF($C30="","",raporTarihi-$C30))</f>
        <v/>
      </c>
      <c r="J30" s="28">
        <f>IF($A30="","",IF($I30="","",IF($I30&lt;=7,"0-7",IF($I30&lt;=30,"8-30",IF($I30&lt;=60,"31-60","60+")))))</f>
        <v/>
      </c>
      <c r="K30" s="28">
        <f>IF($A30="","",IF($B30="","YETİM",IF(COUNTIF(tblKartlar[KartId],$B30)=0,"YETİM","")))</f>
        <v/>
      </c>
      <c r="L30" s="28">
        <f>IF($A30="","",IF($G30&gt;$D30+kad_mahsupTolerans,"AŞIM","UYGUN"))</f>
        <v/>
      </c>
    </row>
    <row r="31">
      <c r="A31" s="26" t="n"/>
      <c r="B31" s="26" t="n"/>
      <c r="C31" s="29" t="n"/>
      <c r="D31" s="27" t="n"/>
      <c r="E31" s="26" t="n"/>
      <c r="F31" s="26" t="n"/>
      <c r="G31" s="28">
        <f>IF($A31="","",SUMIFS(tblAkis[MahsupTutar],tblAkis[KaynakKartId],$B31,tblAkis[Durum],"MAHSUP"))</f>
        <v/>
      </c>
      <c r="H31" s="28">
        <f>IF($A31="","",MAX(0,$D31-$G31))</f>
        <v/>
      </c>
      <c r="I31" s="28">
        <f>IF($A31="","",IF($C31="","",raporTarihi-$C31))</f>
        <v/>
      </c>
      <c r="J31" s="28">
        <f>IF($A31="","",IF($I31="","",IF($I31&lt;=7,"0-7",IF($I31&lt;=30,"8-30",IF($I31&lt;=60,"31-60","60+")))))</f>
        <v/>
      </c>
      <c r="K31" s="28">
        <f>IF($A31="","",IF($B31="","YETİM",IF(COUNTIF(tblKartlar[KartId],$B31)=0,"YETİM","")))</f>
        <v/>
      </c>
      <c r="L31" s="28">
        <f>IF($A31="","",IF($G31&gt;$D31+kad_mahsupTolerans,"AŞIM","UYGUN"))</f>
        <v/>
      </c>
    </row>
    <row r="32">
      <c r="A32" s="26" t="n"/>
      <c r="B32" s="26" t="n"/>
      <c r="C32" s="29" t="n"/>
      <c r="D32" s="27" t="n"/>
      <c r="E32" s="26" t="n"/>
      <c r="F32" s="26" t="n"/>
      <c r="G32" s="28">
        <f>IF($A32="","",SUMIFS(tblAkis[MahsupTutar],tblAkis[KaynakKartId],$B32,tblAkis[Durum],"MAHSUP"))</f>
        <v/>
      </c>
      <c r="H32" s="28">
        <f>IF($A32="","",MAX(0,$D32-$G32))</f>
        <v/>
      </c>
      <c r="I32" s="28">
        <f>IF($A32="","",IF($C32="","",raporTarihi-$C32))</f>
        <v/>
      </c>
      <c r="J32" s="28">
        <f>IF($A32="","",IF($I32="","",IF($I32&lt;=7,"0-7",IF($I32&lt;=30,"8-30",IF($I32&lt;=60,"31-60","60+")))))</f>
        <v/>
      </c>
      <c r="K32" s="28">
        <f>IF($A32="","",IF($B32="","YETİM",IF(COUNTIF(tblKartlar[KartId],$B32)=0,"YETİM","")))</f>
        <v/>
      </c>
      <c r="L32" s="28">
        <f>IF($A32="","",IF($G32&gt;$D32+kad_mahsupTolerans,"AŞIM","UYGUN"))</f>
        <v/>
      </c>
    </row>
    <row r="33">
      <c r="A33" s="26" t="n"/>
      <c r="B33" s="26" t="n"/>
      <c r="C33" s="29" t="n"/>
      <c r="D33" s="27" t="n"/>
      <c r="E33" s="26" t="n"/>
      <c r="F33" s="26" t="n"/>
      <c r="G33" s="28">
        <f>IF($A33="","",SUMIFS(tblAkis[MahsupTutar],tblAkis[KaynakKartId],$B33,tblAkis[Durum],"MAHSUP"))</f>
        <v/>
      </c>
      <c r="H33" s="28">
        <f>IF($A33="","",MAX(0,$D33-$G33))</f>
        <v/>
      </c>
      <c r="I33" s="28">
        <f>IF($A33="","",IF($C33="","",raporTarihi-$C33))</f>
        <v/>
      </c>
      <c r="J33" s="28">
        <f>IF($A33="","",IF($I33="","",IF($I33&lt;=7,"0-7",IF($I33&lt;=30,"8-30",IF($I33&lt;=60,"31-60","60+")))))</f>
        <v/>
      </c>
      <c r="K33" s="28">
        <f>IF($A33="","",IF($B33="","YETİM",IF(COUNTIF(tblKartlar[KartId],$B33)=0,"YETİM","")))</f>
        <v/>
      </c>
      <c r="L33" s="28">
        <f>IF($A33="","",IF($G33&gt;$D33+kad_mahsupTolerans,"AŞIM","UYGUN"))</f>
        <v/>
      </c>
    </row>
    <row r="34">
      <c r="A34" s="26" t="n"/>
      <c r="B34" s="26" t="n"/>
      <c r="C34" s="29" t="n"/>
      <c r="D34" s="27" t="n"/>
      <c r="E34" s="26" t="n"/>
      <c r="F34" s="26" t="n"/>
      <c r="G34" s="28">
        <f>IF($A34="","",SUMIFS(tblAkis[MahsupTutar],tblAkis[KaynakKartId],$B34,tblAkis[Durum],"MAHSUP"))</f>
        <v/>
      </c>
      <c r="H34" s="28">
        <f>IF($A34="","",MAX(0,$D34-$G34))</f>
        <v/>
      </c>
      <c r="I34" s="28">
        <f>IF($A34="","",IF($C34="","",raporTarihi-$C34))</f>
        <v/>
      </c>
      <c r="J34" s="28">
        <f>IF($A34="","",IF($I34="","",IF($I34&lt;=7,"0-7",IF($I34&lt;=30,"8-30",IF($I34&lt;=60,"31-60","60+")))))</f>
        <v/>
      </c>
      <c r="K34" s="28">
        <f>IF($A34="","",IF($B34="","YETİM",IF(COUNTIF(tblKartlar[KartId],$B34)=0,"YETİM","")))</f>
        <v/>
      </c>
      <c r="L34" s="28">
        <f>IF($A34="","",IF($G34&gt;$D34+kad_mahsupTolerans,"AŞIM","UYGUN"))</f>
        <v/>
      </c>
    </row>
    <row r="35">
      <c r="A35" s="26" t="n"/>
      <c r="B35" s="26" t="n"/>
      <c r="C35" s="29" t="n"/>
      <c r="D35" s="27" t="n"/>
      <c r="E35" s="26" t="n"/>
      <c r="F35" s="26" t="n"/>
      <c r="G35" s="28">
        <f>IF($A35="","",SUMIFS(tblAkis[MahsupTutar],tblAkis[KaynakKartId],$B35,tblAkis[Durum],"MAHSUP"))</f>
        <v/>
      </c>
      <c r="H35" s="28">
        <f>IF($A35="","",MAX(0,$D35-$G35))</f>
        <v/>
      </c>
      <c r="I35" s="28">
        <f>IF($A35="","",IF($C35="","",raporTarihi-$C35))</f>
        <v/>
      </c>
      <c r="J35" s="28">
        <f>IF($A35="","",IF($I35="","",IF($I35&lt;=7,"0-7",IF($I35&lt;=30,"8-30",IF($I35&lt;=60,"31-60","60+")))))</f>
        <v/>
      </c>
      <c r="K35" s="28">
        <f>IF($A35="","",IF($B35="","YETİM",IF(COUNTIF(tblKartlar[KartId],$B35)=0,"YETİM","")))</f>
        <v/>
      </c>
      <c r="L35" s="28">
        <f>IF($A35="","",IF($G35&gt;$D35+kad_mahsupTolerans,"AŞIM","UYGUN"))</f>
        <v/>
      </c>
    </row>
    <row r="36">
      <c r="A36" s="26" t="n"/>
      <c r="B36" s="26" t="n"/>
      <c r="C36" s="29" t="n"/>
      <c r="D36" s="27" t="n"/>
      <c r="E36" s="26" t="n"/>
      <c r="F36" s="26" t="n"/>
      <c r="G36" s="28">
        <f>IF($A36="","",SUMIFS(tblAkis[MahsupTutar],tblAkis[KaynakKartId],$B36,tblAkis[Durum],"MAHSUP"))</f>
        <v/>
      </c>
      <c r="H36" s="28">
        <f>IF($A36="","",MAX(0,$D36-$G36))</f>
        <v/>
      </c>
      <c r="I36" s="28">
        <f>IF($A36="","",IF($C36="","",raporTarihi-$C36))</f>
        <v/>
      </c>
      <c r="J36" s="28">
        <f>IF($A36="","",IF($I36="","",IF($I36&lt;=7,"0-7",IF($I36&lt;=30,"8-30",IF($I36&lt;=60,"31-60","60+")))))</f>
        <v/>
      </c>
      <c r="K36" s="28">
        <f>IF($A36="","",IF($B36="","YETİM",IF(COUNTIF(tblKartlar[KartId],$B36)=0,"YETİM","")))</f>
        <v/>
      </c>
      <c r="L36" s="28">
        <f>IF($A36="","",IF($G36&gt;$D36+kad_mahsupTolerans,"AŞIM","UYGUN"))</f>
        <v/>
      </c>
    </row>
    <row r="37">
      <c r="A37" s="26" t="n"/>
      <c r="B37" s="26" t="n"/>
      <c r="C37" s="29" t="n"/>
      <c r="D37" s="27" t="n"/>
      <c r="E37" s="26" t="n"/>
      <c r="F37" s="26" t="n"/>
      <c r="G37" s="28">
        <f>IF($A37="","",SUMIFS(tblAkis[MahsupTutar],tblAkis[KaynakKartId],$B37,tblAkis[Durum],"MAHSUP"))</f>
        <v/>
      </c>
      <c r="H37" s="28">
        <f>IF($A37="","",MAX(0,$D37-$G37))</f>
        <v/>
      </c>
      <c r="I37" s="28">
        <f>IF($A37="","",IF($C37="","",raporTarihi-$C37))</f>
        <v/>
      </c>
      <c r="J37" s="28">
        <f>IF($A37="","",IF($I37="","",IF($I37&lt;=7,"0-7",IF($I37&lt;=30,"8-30",IF($I37&lt;=60,"31-60","60+")))))</f>
        <v/>
      </c>
      <c r="K37" s="28">
        <f>IF($A37="","",IF($B37="","YETİM",IF(COUNTIF(tblKartlar[KartId],$B37)=0,"YETİM","")))</f>
        <v/>
      </c>
      <c r="L37" s="28">
        <f>IF($A37="","",IF($G37&gt;$D37+kad_mahsupTolerans,"AŞIM","UYGUN"))</f>
        <v/>
      </c>
    </row>
    <row r="38">
      <c r="A38" s="26" t="n"/>
      <c r="B38" s="26" t="n"/>
      <c r="C38" s="29" t="n"/>
      <c r="D38" s="27" t="n"/>
      <c r="E38" s="26" t="n"/>
      <c r="F38" s="26" t="n"/>
      <c r="G38" s="28">
        <f>IF($A38="","",SUMIFS(tblAkis[MahsupTutar],tblAkis[KaynakKartId],$B38,tblAkis[Durum],"MAHSUP"))</f>
        <v/>
      </c>
      <c r="H38" s="28">
        <f>IF($A38="","",MAX(0,$D38-$G38))</f>
        <v/>
      </c>
      <c r="I38" s="28">
        <f>IF($A38="","",IF($C38="","",raporTarihi-$C38))</f>
        <v/>
      </c>
      <c r="J38" s="28">
        <f>IF($A38="","",IF($I38="","",IF($I38&lt;=7,"0-7",IF($I38&lt;=30,"8-30",IF($I38&lt;=60,"31-60","60+")))))</f>
        <v/>
      </c>
      <c r="K38" s="28">
        <f>IF($A38="","",IF($B38="","YETİM",IF(COUNTIF(tblKartlar[KartId],$B38)=0,"YETİM","")))</f>
        <v/>
      </c>
      <c r="L38" s="28">
        <f>IF($A38="","",IF($G38&gt;$D38+kad_mahsupTolerans,"AŞIM","UYGUN"))</f>
        <v/>
      </c>
    </row>
    <row r="39">
      <c r="A39" s="26" t="n"/>
      <c r="B39" s="26" t="n"/>
      <c r="C39" s="29" t="n"/>
      <c r="D39" s="27" t="n"/>
      <c r="E39" s="26" t="n"/>
      <c r="F39" s="26" t="n"/>
      <c r="G39" s="28">
        <f>IF($A39="","",SUMIFS(tblAkis[MahsupTutar],tblAkis[KaynakKartId],$B39,tblAkis[Durum],"MAHSUP"))</f>
        <v/>
      </c>
      <c r="H39" s="28">
        <f>IF($A39="","",MAX(0,$D39-$G39))</f>
        <v/>
      </c>
      <c r="I39" s="28">
        <f>IF($A39="","",IF($C39="","",raporTarihi-$C39))</f>
        <v/>
      </c>
      <c r="J39" s="28">
        <f>IF($A39="","",IF($I39="","",IF($I39&lt;=7,"0-7",IF($I39&lt;=30,"8-30",IF($I39&lt;=60,"31-60","60+")))))</f>
        <v/>
      </c>
      <c r="K39" s="28">
        <f>IF($A39="","",IF($B39="","YETİM",IF(COUNTIF(tblKartlar[KartId],$B39)=0,"YETİM","")))</f>
        <v/>
      </c>
      <c r="L39" s="28">
        <f>IF($A39="","",IF($G39&gt;$D39+kad_mahsupTolerans,"AŞIM","UYGUN"))</f>
        <v/>
      </c>
    </row>
    <row r="40">
      <c r="A40" s="26" t="n"/>
      <c r="B40" s="26" t="n"/>
      <c r="C40" s="29" t="n"/>
      <c r="D40" s="27" t="n"/>
      <c r="E40" s="26" t="n"/>
      <c r="F40" s="26" t="n"/>
      <c r="G40" s="28">
        <f>IF($A40="","",SUMIFS(tblAkis[MahsupTutar],tblAkis[KaynakKartId],$B40,tblAkis[Durum],"MAHSUP"))</f>
        <v/>
      </c>
      <c r="H40" s="28">
        <f>IF($A40="","",MAX(0,$D40-$G40))</f>
        <v/>
      </c>
      <c r="I40" s="28">
        <f>IF($A40="","",IF($C40="","",raporTarihi-$C40))</f>
        <v/>
      </c>
      <c r="J40" s="28">
        <f>IF($A40="","",IF($I40="","",IF($I40&lt;=7,"0-7",IF($I40&lt;=30,"8-30",IF($I40&lt;=60,"31-60","60+")))))</f>
        <v/>
      </c>
      <c r="K40" s="28">
        <f>IF($A40="","",IF($B40="","YETİM",IF(COUNTIF(tblKartlar[KartId],$B40)=0,"YETİM","")))</f>
        <v/>
      </c>
      <c r="L40" s="28">
        <f>IF($A40="","",IF($G40&gt;$D40+kad_mahsupTolerans,"AŞIM","UYGUN"))</f>
        <v/>
      </c>
    </row>
    <row r="41">
      <c r="A41" s="26" t="n"/>
      <c r="B41" s="26" t="n"/>
      <c r="C41" s="29" t="n"/>
      <c r="D41" s="27" t="n"/>
      <c r="E41" s="26" t="n"/>
      <c r="F41" s="26" t="n"/>
      <c r="G41" s="28">
        <f>IF($A41="","",SUMIFS(tblAkis[MahsupTutar],tblAkis[KaynakKartId],$B41,tblAkis[Durum],"MAHSUP"))</f>
        <v/>
      </c>
      <c r="H41" s="28">
        <f>IF($A41="","",MAX(0,$D41-$G41))</f>
        <v/>
      </c>
      <c r="I41" s="28">
        <f>IF($A41="","",IF($C41="","",raporTarihi-$C41))</f>
        <v/>
      </c>
      <c r="J41" s="28">
        <f>IF($A41="","",IF($I41="","",IF($I41&lt;=7,"0-7",IF($I41&lt;=30,"8-30",IF($I41&lt;=60,"31-60","60+")))))</f>
        <v/>
      </c>
      <c r="K41" s="28">
        <f>IF($A41="","",IF($B41="","YETİM",IF(COUNTIF(tblKartlar[KartId],$B41)=0,"YETİM","")))</f>
        <v/>
      </c>
      <c r="L41" s="28">
        <f>IF($A41="","",IF($G41&gt;$D41+kad_mahsupTolerans,"AŞIM","UYGUN"))</f>
        <v/>
      </c>
    </row>
    <row r="42">
      <c r="A42" s="26" t="n"/>
      <c r="B42" s="26" t="n"/>
      <c r="C42" s="29" t="n"/>
      <c r="D42" s="27" t="n"/>
      <c r="E42" s="26" t="n"/>
      <c r="F42" s="26" t="n"/>
      <c r="G42" s="28">
        <f>IF($A42="","",SUMIFS(tblAkis[MahsupTutar],tblAkis[KaynakKartId],$B42,tblAkis[Durum],"MAHSUP"))</f>
        <v/>
      </c>
      <c r="H42" s="28">
        <f>IF($A42="","",MAX(0,$D42-$G42))</f>
        <v/>
      </c>
      <c r="I42" s="28">
        <f>IF($A42="","",IF($C42="","",raporTarihi-$C42))</f>
        <v/>
      </c>
      <c r="J42" s="28">
        <f>IF($A42="","",IF($I42="","",IF($I42&lt;=7,"0-7",IF($I42&lt;=30,"8-30",IF($I42&lt;=60,"31-60","60+")))))</f>
        <v/>
      </c>
      <c r="K42" s="28">
        <f>IF($A42="","",IF($B42="","YETİM",IF(COUNTIF(tblKartlar[KartId],$B42)=0,"YETİM","")))</f>
        <v/>
      </c>
      <c r="L42" s="28">
        <f>IF($A42="","",IF($G42&gt;$D42+kad_mahsupTolerans,"AŞIM","UYGUN"))</f>
        <v/>
      </c>
    </row>
    <row r="43">
      <c r="A43" s="26" t="n"/>
      <c r="B43" s="26" t="n"/>
      <c r="C43" s="29" t="n"/>
      <c r="D43" s="27" t="n"/>
      <c r="E43" s="26" t="n"/>
      <c r="F43" s="26" t="n"/>
      <c r="G43" s="28">
        <f>IF($A43="","",SUMIFS(tblAkis[MahsupTutar],tblAkis[KaynakKartId],$B43,tblAkis[Durum],"MAHSUP"))</f>
        <v/>
      </c>
      <c r="H43" s="28">
        <f>IF($A43="","",MAX(0,$D43-$G43))</f>
        <v/>
      </c>
      <c r="I43" s="28">
        <f>IF($A43="","",IF($C43="","",raporTarihi-$C43))</f>
        <v/>
      </c>
      <c r="J43" s="28">
        <f>IF($A43="","",IF($I43="","",IF($I43&lt;=7,"0-7",IF($I43&lt;=30,"8-30",IF($I43&lt;=60,"31-60","60+")))))</f>
        <v/>
      </c>
      <c r="K43" s="28">
        <f>IF($A43="","",IF($B43="","YETİM",IF(COUNTIF(tblKartlar[KartId],$B43)=0,"YETİM","")))</f>
        <v/>
      </c>
      <c r="L43" s="28">
        <f>IF($A43="","",IF($G43&gt;$D43+kad_mahsupTolerans,"AŞIM","UYGUN"))</f>
        <v/>
      </c>
    </row>
    <row r="44">
      <c r="A44" s="26" t="n"/>
      <c r="B44" s="26" t="n"/>
      <c r="C44" s="29" t="n"/>
      <c r="D44" s="27" t="n"/>
      <c r="E44" s="26" t="n"/>
      <c r="F44" s="26" t="n"/>
      <c r="G44" s="28">
        <f>IF($A44="","",SUMIFS(tblAkis[MahsupTutar],tblAkis[KaynakKartId],$B44,tblAkis[Durum],"MAHSUP"))</f>
        <v/>
      </c>
      <c r="H44" s="28">
        <f>IF($A44="","",MAX(0,$D44-$G44))</f>
        <v/>
      </c>
      <c r="I44" s="28">
        <f>IF($A44="","",IF($C44="","",raporTarihi-$C44))</f>
        <v/>
      </c>
      <c r="J44" s="28">
        <f>IF($A44="","",IF($I44="","",IF($I44&lt;=7,"0-7",IF($I44&lt;=30,"8-30",IF($I44&lt;=60,"31-60","60+")))))</f>
        <v/>
      </c>
      <c r="K44" s="28">
        <f>IF($A44="","",IF($B44="","YETİM",IF(COUNTIF(tblKartlar[KartId],$B44)=0,"YETİM","")))</f>
        <v/>
      </c>
      <c r="L44" s="28">
        <f>IF($A44="","",IF($G44&gt;$D44+kad_mahsupTolerans,"AŞIM","UYGUN"))</f>
        <v/>
      </c>
    </row>
    <row r="45">
      <c r="A45" s="26" t="n"/>
      <c r="B45" s="26" t="n"/>
      <c r="C45" s="29" t="n"/>
      <c r="D45" s="27" t="n"/>
      <c r="E45" s="26" t="n"/>
      <c r="F45" s="26" t="n"/>
      <c r="G45" s="28">
        <f>IF($A45="","",SUMIFS(tblAkis[MahsupTutar],tblAkis[KaynakKartId],$B45,tblAkis[Durum],"MAHSUP"))</f>
        <v/>
      </c>
      <c r="H45" s="28">
        <f>IF($A45="","",MAX(0,$D45-$G45))</f>
        <v/>
      </c>
      <c r="I45" s="28">
        <f>IF($A45="","",IF($C45="","",raporTarihi-$C45))</f>
        <v/>
      </c>
      <c r="J45" s="28">
        <f>IF($A45="","",IF($I45="","",IF($I45&lt;=7,"0-7",IF($I45&lt;=30,"8-30",IF($I45&lt;=60,"31-60","60+")))))</f>
        <v/>
      </c>
      <c r="K45" s="28">
        <f>IF($A45="","",IF($B45="","YETİM",IF(COUNTIF(tblKartlar[KartId],$B45)=0,"YETİM","")))</f>
        <v/>
      </c>
      <c r="L45" s="28">
        <f>IF($A45="","",IF($G45&gt;$D45+kad_mahsupTolerans,"AŞIM","UYGUN"))</f>
        <v/>
      </c>
    </row>
    <row r="46">
      <c r="A46" s="26" t="n"/>
      <c r="B46" s="26" t="n"/>
      <c r="C46" s="29" t="n"/>
      <c r="D46" s="27" t="n"/>
      <c r="E46" s="26" t="n"/>
      <c r="F46" s="26" t="n"/>
      <c r="G46" s="28">
        <f>IF($A46="","",SUMIFS(tblAkis[MahsupTutar],tblAkis[KaynakKartId],$B46,tblAkis[Durum],"MAHSUP"))</f>
        <v/>
      </c>
      <c r="H46" s="28">
        <f>IF($A46="","",MAX(0,$D46-$G46))</f>
        <v/>
      </c>
      <c r="I46" s="28">
        <f>IF($A46="","",IF($C46="","",raporTarihi-$C46))</f>
        <v/>
      </c>
      <c r="J46" s="28">
        <f>IF($A46="","",IF($I46="","",IF($I46&lt;=7,"0-7",IF($I46&lt;=30,"8-30",IF($I46&lt;=60,"31-60","60+")))))</f>
        <v/>
      </c>
      <c r="K46" s="28">
        <f>IF($A46="","",IF($B46="","YETİM",IF(COUNTIF(tblKartlar[KartId],$B46)=0,"YETİM","")))</f>
        <v/>
      </c>
      <c r="L46" s="28">
        <f>IF($A46="","",IF($G46&gt;$D46+kad_mahsupTolerans,"AŞIM","UYGUN"))</f>
        <v/>
      </c>
    </row>
    <row r="47">
      <c r="A47" s="26" t="n"/>
      <c r="B47" s="26" t="n"/>
      <c r="C47" s="29" t="n"/>
      <c r="D47" s="27" t="n"/>
      <c r="E47" s="26" t="n"/>
      <c r="F47" s="26" t="n"/>
      <c r="G47" s="28">
        <f>IF($A47="","",SUMIFS(tblAkis[MahsupTutar],tblAkis[KaynakKartId],$B47,tblAkis[Durum],"MAHSUP"))</f>
        <v/>
      </c>
      <c r="H47" s="28">
        <f>IF($A47="","",MAX(0,$D47-$G47))</f>
        <v/>
      </c>
      <c r="I47" s="28">
        <f>IF($A47="","",IF($C47="","",raporTarihi-$C47))</f>
        <v/>
      </c>
      <c r="J47" s="28">
        <f>IF($A47="","",IF($I47="","",IF($I47&lt;=7,"0-7",IF($I47&lt;=30,"8-30",IF($I47&lt;=60,"31-60","60+")))))</f>
        <v/>
      </c>
      <c r="K47" s="28">
        <f>IF($A47="","",IF($B47="","YETİM",IF(COUNTIF(tblKartlar[KartId],$B47)=0,"YETİM","")))</f>
        <v/>
      </c>
      <c r="L47" s="28">
        <f>IF($A47="","",IF($G47&gt;$D47+kad_mahsupTolerans,"AŞIM","UYGUN"))</f>
        <v/>
      </c>
    </row>
    <row r="48">
      <c r="A48" s="26" t="n"/>
      <c r="B48" s="26" t="n"/>
      <c r="C48" s="29" t="n"/>
      <c r="D48" s="27" t="n"/>
      <c r="E48" s="26" t="n"/>
      <c r="F48" s="26" t="n"/>
      <c r="G48" s="28">
        <f>IF($A48="","",SUMIFS(tblAkis[MahsupTutar],tblAkis[KaynakKartId],$B48,tblAkis[Durum],"MAHSUP"))</f>
        <v/>
      </c>
      <c r="H48" s="28">
        <f>IF($A48="","",MAX(0,$D48-$G48))</f>
        <v/>
      </c>
      <c r="I48" s="28">
        <f>IF($A48="","",IF($C48="","",raporTarihi-$C48))</f>
        <v/>
      </c>
      <c r="J48" s="28">
        <f>IF($A48="","",IF($I48="","",IF($I48&lt;=7,"0-7",IF($I48&lt;=30,"8-30",IF($I48&lt;=60,"31-60","60+")))))</f>
        <v/>
      </c>
      <c r="K48" s="28">
        <f>IF($A48="","",IF($B48="","YETİM",IF(COUNTIF(tblKartlar[KartId],$B48)=0,"YETİM","")))</f>
        <v/>
      </c>
      <c r="L48" s="28">
        <f>IF($A48="","",IF($G48&gt;$D48+kad_mahsupTolerans,"AŞIM","UYGUN"))</f>
        <v/>
      </c>
    </row>
    <row r="49">
      <c r="A49" s="26" t="n"/>
      <c r="B49" s="26" t="n"/>
      <c r="C49" s="29" t="n"/>
      <c r="D49" s="27" t="n"/>
      <c r="E49" s="26" t="n"/>
      <c r="F49" s="26" t="n"/>
      <c r="G49" s="28">
        <f>IF($A49="","",SUMIFS(tblAkis[MahsupTutar],tblAkis[KaynakKartId],$B49,tblAkis[Durum],"MAHSUP"))</f>
        <v/>
      </c>
      <c r="H49" s="28">
        <f>IF($A49="","",MAX(0,$D49-$G49))</f>
        <v/>
      </c>
      <c r="I49" s="28">
        <f>IF($A49="","",IF($C49="","",raporTarihi-$C49))</f>
        <v/>
      </c>
      <c r="J49" s="28">
        <f>IF($A49="","",IF($I49="","",IF($I49&lt;=7,"0-7",IF($I49&lt;=30,"8-30",IF($I49&lt;=60,"31-60","60+")))))</f>
        <v/>
      </c>
      <c r="K49" s="28">
        <f>IF($A49="","",IF($B49="","YETİM",IF(COUNTIF(tblKartlar[KartId],$B49)=0,"YETİM","")))</f>
        <v/>
      </c>
      <c r="L49" s="28">
        <f>IF($A49="","",IF($G49&gt;$D49+kad_mahsupTolerans,"AŞIM","UYGUN"))</f>
        <v/>
      </c>
    </row>
    <row r="50">
      <c r="A50" s="26" t="n"/>
      <c r="B50" s="26" t="n"/>
      <c r="C50" s="29" t="n"/>
      <c r="D50" s="27" t="n"/>
      <c r="E50" s="26" t="n"/>
      <c r="F50" s="26" t="n"/>
      <c r="G50" s="28">
        <f>IF($A50="","",SUMIFS(tblAkis[MahsupTutar],tblAkis[KaynakKartId],$B50,tblAkis[Durum],"MAHSUP"))</f>
        <v/>
      </c>
      <c r="H50" s="28">
        <f>IF($A50="","",MAX(0,$D50-$G50))</f>
        <v/>
      </c>
      <c r="I50" s="28">
        <f>IF($A50="","",IF($C50="","",raporTarihi-$C50))</f>
        <v/>
      </c>
      <c r="J50" s="28">
        <f>IF($A50="","",IF($I50="","",IF($I50&lt;=7,"0-7",IF($I50&lt;=30,"8-30",IF($I50&lt;=60,"31-60","60+")))))</f>
        <v/>
      </c>
      <c r="K50" s="28">
        <f>IF($A50="","",IF($B50="","YETİM",IF(COUNTIF(tblKartlar[KartId],$B50)=0,"YETİM","")))</f>
        <v/>
      </c>
      <c r="L50" s="28">
        <f>IF($A50="","",IF($G50&gt;$D50+kad_mahsupTolerans,"AŞIM","UYGUN"))</f>
        <v/>
      </c>
    </row>
    <row r="51">
      <c r="A51" s="26" t="n"/>
      <c r="B51" s="26" t="n"/>
      <c r="C51" s="29" t="n"/>
      <c r="D51" s="27" t="n"/>
      <c r="E51" s="26" t="n"/>
      <c r="F51" s="26" t="n"/>
      <c r="G51" s="28">
        <f>IF($A51="","",SUMIFS(tblAkis[MahsupTutar],tblAkis[KaynakKartId],$B51,tblAkis[Durum],"MAHSUP"))</f>
        <v/>
      </c>
      <c r="H51" s="28">
        <f>IF($A51="","",MAX(0,$D51-$G51))</f>
        <v/>
      </c>
      <c r="I51" s="28">
        <f>IF($A51="","",IF($C51="","",raporTarihi-$C51))</f>
        <v/>
      </c>
      <c r="J51" s="28">
        <f>IF($A51="","",IF($I51="","",IF($I51&lt;=7,"0-7",IF($I51&lt;=30,"8-30",IF($I51&lt;=60,"31-60","60+")))))</f>
        <v/>
      </c>
      <c r="K51" s="28">
        <f>IF($A51="","",IF($B51="","YETİM",IF(COUNTIF(tblKartlar[KartId],$B51)=0,"YETİM","")))</f>
        <v/>
      </c>
      <c r="L51" s="28">
        <f>IF($A51="","",IF($G51&gt;$D51+kad_mahsupTolerans,"AŞIM","UYGUN"))</f>
        <v/>
      </c>
    </row>
    <row r="52">
      <c r="A52" s="26" t="n"/>
      <c r="B52" s="26" t="n"/>
      <c r="C52" s="29" t="n"/>
      <c r="D52" s="27" t="n"/>
      <c r="E52" s="26" t="n"/>
      <c r="F52" s="26" t="n"/>
      <c r="G52" s="28">
        <f>IF($A52="","",SUMIFS(tblAkis[MahsupTutar],tblAkis[KaynakKartId],$B52,tblAkis[Durum],"MAHSUP"))</f>
        <v/>
      </c>
      <c r="H52" s="28">
        <f>IF($A52="","",MAX(0,$D52-$G52))</f>
        <v/>
      </c>
      <c r="I52" s="28">
        <f>IF($A52="","",IF($C52="","",raporTarihi-$C52))</f>
        <v/>
      </c>
      <c r="J52" s="28">
        <f>IF($A52="","",IF($I52="","",IF($I52&lt;=7,"0-7",IF($I52&lt;=30,"8-30",IF($I52&lt;=60,"31-60","60+")))))</f>
        <v/>
      </c>
      <c r="K52" s="28">
        <f>IF($A52="","",IF($B52="","YETİM",IF(COUNTIF(tblKartlar[KartId],$B52)=0,"YETİM","")))</f>
        <v/>
      </c>
      <c r="L52" s="28">
        <f>IF($A52="","",IF($G52&gt;$D52+kad_mahsupTolerans,"AŞIM","UYGUN"))</f>
        <v/>
      </c>
    </row>
    <row r="53">
      <c r="A53" s="26" t="n"/>
      <c r="B53" s="26" t="n"/>
      <c r="C53" s="29" t="n"/>
      <c r="D53" s="27" t="n"/>
      <c r="E53" s="26" t="n"/>
      <c r="F53" s="26" t="n"/>
      <c r="G53" s="28">
        <f>IF($A53="","",SUMIFS(tblAkis[MahsupTutar],tblAkis[KaynakKartId],$B53,tblAkis[Durum],"MAHSUP"))</f>
        <v/>
      </c>
      <c r="H53" s="28">
        <f>IF($A53="","",MAX(0,$D53-$G53))</f>
        <v/>
      </c>
      <c r="I53" s="28">
        <f>IF($A53="","",IF($C53="","",raporTarihi-$C53))</f>
        <v/>
      </c>
      <c r="J53" s="28">
        <f>IF($A53="","",IF($I53="","",IF($I53&lt;=7,"0-7",IF($I53&lt;=30,"8-30",IF($I53&lt;=60,"31-60","60+")))))</f>
        <v/>
      </c>
      <c r="K53" s="28">
        <f>IF($A53="","",IF($B53="","YETİM",IF(COUNTIF(tblKartlar[KartId],$B53)=0,"YETİM","")))</f>
        <v/>
      </c>
      <c r="L53" s="28">
        <f>IF($A53="","",IF($G53&gt;$D53+kad_mahsupTolerans,"AŞIM","UYGUN"))</f>
        <v/>
      </c>
    </row>
    <row r="54">
      <c r="A54" s="26" t="n"/>
      <c r="B54" s="26" t="n"/>
      <c r="C54" s="29" t="n"/>
      <c r="D54" s="27" t="n"/>
      <c r="E54" s="26" t="n"/>
      <c r="F54" s="26" t="n"/>
      <c r="G54" s="28">
        <f>IF($A54="","",SUMIFS(tblAkis[MahsupTutar],tblAkis[KaynakKartId],$B54,tblAkis[Durum],"MAHSUP"))</f>
        <v/>
      </c>
      <c r="H54" s="28">
        <f>IF($A54="","",MAX(0,$D54-$G54))</f>
        <v/>
      </c>
      <c r="I54" s="28">
        <f>IF($A54="","",IF($C54="","",raporTarihi-$C54))</f>
        <v/>
      </c>
      <c r="J54" s="28">
        <f>IF($A54="","",IF($I54="","",IF($I54&lt;=7,"0-7",IF($I54&lt;=30,"8-30",IF($I54&lt;=60,"31-60","60+")))))</f>
        <v/>
      </c>
      <c r="K54" s="28">
        <f>IF($A54="","",IF($B54="","YETİM",IF(COUNTIF(tblKartlar[KartId],$B54)=0,"YETİM","")))</f>
        <v/>
      </c>
      <c r="L54" s="28">
        <f>IF($A54="","",IF($G54&gt;$D54+kad_mahsupTolerans,"AŞIM","UYGUN"))</f>
        <v/>
      </c>
    </row>
    <row r="55">
      <c r="A55" s="26" t="n"/>
      <c r="B55" s="26" t="n"/>
      <c r="C55" s="29" t="n"/>
      <c r="D55" s="27" t="n"/>
      <c r="E55" s="26" t="n"/>
      <c r="F55" s="26" t="n"/>
      <c r="G55" s="28">
        <f>IF($A55="","",SUMIFS(tblAkis[MahsupTutar],tblAkis[KaynakKartId],$B55,tblAkis[Durum],"MAHSUP"))</f>
        <v/>
      </c>
      <c r="H55" s="28">
        <f>IF($A55="","",MAX(0,$D55-$G55))</f>
        <v/>
      </c>
      <c r="I55" s="28">
        <f>IF($A55="","",IF($C55="","",raporTarihi-$C55))</f>
        <v/>
      </c>
      <c r="J55" s="28">
        <f>IF($A55="","",IF($I55="","",IF($I55&lt;=7,"0-7",IF($I55&lt;=30,"8-30",IF($I55&lt;=60,"31-60","60+")))))</f>
        <v/>
      </c>
      <c r="K55" s="28">
        <f>IF($A55="","",IF($B55="","YETİM",IF(COUNTIF(tblKartlar[KartId],$B55)=0,"YETİM","")))</f>
        <v/>
      </c>
      <c r="L55" s="28">
        <f>IF($A55="","",IF($G55&gt;$D55+kad_mahsupTolerans,"AŞIM","UYGUN"))</f>
        <v/>
      </c>
    </row>
    <row r="56">
      <c r="A56" s="26" t="n"/>
      <c r="B56" s="26" t="n"/>
      <c r="C56" s="29" t="n"/>
      <c r="D56" s="27" t="n"/>
      <c r="E56" s="26" t="n"/>
      <c r="F56" s="26" t="n"/>
      <c r="G56" s="28">
        <f>IF($A56="","",SUMIFS(tblAkis[MahsupTutar],tblAkis[KaynakKartId],$B56,tblAkis[Durum],"MAHSUP"))</f>
        <v/>
      </c>
      <c r="H56" s="28">
        <f>IF($A56="","",MAX(0,$D56-$G56))</f>
        <v/>
      </c>
      <c r="I56" s="28">
        <f>IF($A56="","",IF($C56="","",raporTarihi-$C56))</f>
        <v/>
      </c>
      <c r="J56" s="28">
        <f>IF($A56="","",IF($I56="","",IF($I56&lt;=7,"0-7",IF($I56&lt;=30,"8-30",IF($I56&lt;=60,"31-60","60+")))))</f>
        <v/>
      </c>
      <c r="K56" s="28">
        <f>IF($A56="","",IF($B56="","YETİM",IF(COUNTIF(tblKartlar[KartId],$B56)=0,"YETİM","")))</f>
        <v/>
      </c>
      <c r="L56" s="28">
        <f>IF($A56="","",IF($G56&gt;$D56+kad_mahsupTolerans,"AŞIM","UYGUN"))</f>
        <v/>
      </c>
    </row>
    <row r="57">
      <c r="A57" s="26" t="n"/>
      <c r="B57" s="26" t="n"/>
      <c r="C57" s="29" t="n"/>
      <c r="D57" s="27" t="n"/>
      <c r="E57" s="26" t="n"/>
      <c r="F57" s="26" t="n"/>
      <c r="G57" s="28">
        <f>IF($A57="","",SUMIFS(tblAkis[MahsupTutar],tblAkis[KaynakKartId],$B57,tblAkis[Durum],"MAHSUP"))</f>
        <v/>
      </c>
      <c r="H57" s="28">
        <f>IF($A57="","",MAX(0,$D57-$G57))</f>
        <v/>
      </c>
      <c r="I57" s="28">
        <f>IF($A57="","",IF($C57="","",raporTarihi-$C57))</f>
        <v/>
      </c>
      <c r="J57" s="28">
        <f>IF($A57="","",IF($I57="","",IF($I57&lt;=7,"0-7",IF($I57&lt;=30,"8-30",IF($I57&lt;=60,"31-60","60+")))))</f>
        <v/>
      </c>
      <c r="K57" s="28">
        <f>IF($A57="","",IF($B57="","YETİM",IF(COUNTIF(tblKartlar[KartId],$B57)=0,"YETİM","")))</f>
        <v/>
      </c>
      <c r="L57" s="28">
        <f>IF($A57="","",IF($G57&gt;$D57+kad_mahsupTolerans,"AŞIM","UYGUN"))</f>
        <v/>
      </c>
    </row>
    <row r="58">
      <c r="A58" s="26" t="n"/>
      <c r="B58" s="26" t="n"/>
      <c r="C58" s="29" t="n"/>
      <c r="D58" s="27" t="n"/>
      <c r="E58" s="26" t="n"/>
      <c r="F58" s="26" t="n"/>
      <c r="G58" s="28">
        <f>IF($A58="","",SUMIFS(tblAkis[MahsupTutar],tblAkis[KaynakKartId],$B58,tblAkis[Durum],"MAHSUP"))</f>
        <v/>
      </c>
      <c r="H58" s="28">
        <f>IF($A58="","",MAX(0,$D58-$G58))</f>
        <v/>
      </c>
      <c r="I58" s="28">
        <f>IF($A58="","",IF($C58="","",raporTarihi-$C58))</f>
        <v/>
      </c>
      <c r="J58" s="28">
        <f>IF($A58="","",IF($I58="","",IF($I58&lt;=7,"0-7",IF($I58&lt;=30,"8-30",IF($I58&lt;=60,"31-60","60+")))))</f>
        <v/>
      </c>
      <c r="K58" s="28">
        <f>IF($A58="","",IF($B58="","YETİM",IF(COUNTIF(tblKartlar[KartId],$B58)=0,"YETİM","")))</f>
        <v/>
      </c>
      <c r="L58" s="28">
        <f>IF($A58="","",IF($G58&gt;$D58+kad_mahsupTolerans,"AŞIM","UYGUN"))</f>
        <v/>
      </c>
    </row>
    <row r="59">
      <c r="A59" s="26" t="n"/>
      <c r="B59" s="26" t="n"/>
      <c r="C59" s="29" t="n"/>
      <c r="D59" s="27" t="n"/>
      <c r="E59" s="26" t="n"/>
      <c r="F59" s="26" t="n"/>
      <c r="G59" s="28">
        <f>IF($A59="","",SUMIFS(tblAkis[MahsupTutar],tblAkis[KaynakKartId],$B59,tblAkis[Durum],"MAHSUP"))</f>
        <v/>
      </c>
      <c r="H59" s="28">
        <f>IF($A59="","",MAX(0,$D59-$G59))</f>
        <v/>
      </c>
      <c r="I59" s="28">
        <f>IF($A59="","",IF($C59="","",raporTarihi-$C59))</f>
        <v/>
      </c>
      <c r="J59" s="28">
        <f>IF($A59="","",IF($I59="","",IF($I59&lt;=7,"0-7",IF($I59&lt;=30,"8-30",IF($I59&lt;=60,"31-60","60+")))))</f>
        <v/>
      </c>
      <c r="K59" s="28">
        <f>IF($A59="","",IF($B59="","YETİM",IF(COUNTIF(tblKartlar[KartId],$B59)=0,"YETİM","")))</f>
        <v/>
      </c>
      <c r="L59" s="28">
        <f>IF($A59="","",IF($G59&gt;$D59+kad_mahsupTolerans,"AŞIM","UYGUN"))</f>
        <v/>
      </c>
    </row>
    <row r="60">
      <c r="A60" s="26" t="n"/>
      <c r="B60" s="26" t="n"/>
      <c r="C60" s="29" t="n"/>
      <c r="D60" s="27" t="n"/>
      <c r="E60" s="26" t="n"/>
      <c r="F60" s="26" t="n"/>
      <c r="G60" s="28">
        <f>IF($A60="","",SUMIFS(tblAkis[MahsupTutar],tblAkis[KaynakKartId],$B60,tblAkis[Durum],"MAHSUP"))</f>
        <v/>
      </c>
      <c r="H60" s="28">
        <f>IF($A60="","",MAX(0,$D60-$G60))</f>
        <v/>
      </c>
      <c r="I60" s="28">
        <f>IF($A60="","",IF($C60="","",raporTarihi-$C60))</f>
        <v/>
      </c>
      <c r="J60" s="28">
        <f>IF($A60="","",IF($I60="","",IF($I60&lt;=7,"0-7",IF($I60&lt;=30,"8-30",IF($I60&lt;=60,"31-60","60+")))))</f>
        <v/>
      </c>
      <c r="K60" s="28">
        <f>IF($A60="","",IF($B60="","YETİM",IF(COUNTIF(tblKartlar[KartId],$B60)=0,"YETİM","")))</f>
        <v/>
      </c>
      <c r="L60" s="28">
        <f>IF($A60="","",IF($G60&gt;$D60+kad_mahsupTolerans,"AŞIM","UYGUN"))</f>
        <v/>
      </c>
    </row>
    <row r="61">
      <c r="A61" s="26" t="n"/>
      <c r="B61" s="26" t="n"/>
      <c r="C61" s="29" t="n"/>
      <c r="D61" s="27" t="n"/>
      <c r="E61" s="26" t="n"/>
      <c r="F61" s="26" t="n"/>
      <c r="G61" s="28">
        <f>IF($A61="","",SUMIFS(tblAkis[MahsupTutar],tblAkis[KaynakKartId],$B61,tblAkis[Durum],"MAHSUP"))</f>
        <v/>
      </c>
      <c r="H61" s="28">
        <f>IF($A61="","",MAX(0,$D61-$G61))</f>
        <v/>
      </c>
      <c r="I61" s="28">
        <f>IF($A61="","",IF($C61="","",raporTarihi-$C61))</f>
        <v/>
      </c>
      <c r="J61" s="28">
        <f>IF($A61="","",IF($I61="","",IF($I61&lt;=7,"0-7",IF($I61&lt;=30,"8-30",IF($I61&lt;=60,"31-60","60+")))))</f>
        <v/>
      </c>
      <c r="K61" s="28">
        <f>IF($A61="","",IF($B61="","YETİM",IF(COUNTIF(tblKartlar[KartId],$B61)=0,"YETİM","")))</f>
        <v/>
      </c>
      <c r="L61" s="28">
        <f>IF($A61="","",IF($G61&gt;$D61+kad_mahsupTolerans,"AŞIM","UYGUN"))</f>
        <v/>
      </c>
    </row>
    <row r="62">
      <c r="A62" s="26" t="n"/>
      <c r="B62" s="26" t="n"/>
      <c r="C62" s="29" t="n"/>
      <c r="D62" s="27" t="n"/>
      <c r="E62" s="26" t="n"/>
      <c r="F62" s="26" t="n"/>
      <c r="G62" s="28">
        <f>IF($A62="","",SUMIFS(tblAkis[MahsupTutar],tblAkis[KaynakKartId],$B62,tblAkis[Durum],"MAHSUP"))</f>
        <v/>
      </c>
      <c r="H62" s="28">
        <f>IF($A62="","",MAX(0,$D62-$G62))</f>
        <v/>
      </c>
      <c r="I62" s="28">
        <f>IF($A62="","",IF($C62="","",raporTarihi-$C62))</f>
        <v/>
      </c>
      <c r="J62" s="28">
        <f>IF($A62="","",IF($I62="","",IF($I62&lt;=7,"0-7",IF($I62&lt;=30,"8-30",IF($I62&lt;=60,"31-60","60+")))))</f>
        <v/>
      </c>
      <c r="K62" s="28">
        <f>IF($A62="","",IF($B62="","YETİM",IF(COUNTIF(tblKartlar[KartId],$B62)=0,"YETİM","")))</f>
        <v/>
      </c>
      <c r="L62" s="28">
        <f>IF($A62="","",IF($G62&gt;$D62+kad_mahsupTolerans,"AŞIM","UYGUN"))</f>
        <v/>
      </c>
    </row>
    <row r="63">
      <c r="A63" s="26" t="n"/>
      <c r="B63" s="26" t="n"/>
      <c r="C63" s="29" t="n"/>
      <c r="D63" s="27" t="n"/>
      <c r="E63" s="26" t="n"/>
      <c r="F63" s="26" t="n"/>
      <c r="G63" s="28">
        <f>IF($A63="","",SUMIFS(tblAkis[MahsupTutar],tblAkis[KaynakKartId],$B63,tblAkis[Durum],"MAHSUP"))</f>
        <v/>
      </c>
      <c r="H63" s="28">
        <f>IF($A63="","",MAX(0,$D63-$G63))</f>
        <v/>
      </c>
      <c r="I63" s="28">
        <f>IF($A63="","",IF($C63="","",raporTarihi-$C63))</f>
        <v/>
      </c>
      <c r="J63" s="28">
        <f>IF($A63="","",IF($I63="","",IF($I63&lt;=7,"0-7",IF($I63&lt;=30,"8-30",IF($I63&lt;=60,"31-60","60+")))))</f>
        <v/>
      </c>
      <c r="K63" s="28">
        <f>IF($A63="","",IF($B63="","YETİM",IF(COUNTIF(tblKartlar[KartId],$B63)=0,"YETİM","")))</f>
        <v/>
      </c>
      <c r="L63" s="28">
        <f>IF($A63="","",IF($G63&gt;$D63+kad_mahsupTolerans,"AŞIM","UYGUN"))</f>
        <v/>
      </c>
    </row>
    <row r="64">
      <c r="A64" s="26" t="n"/>
      <c r="B64" s="26" t="n"/>
      <c r="C64" s="29" t="n"/>
      <c r="D64" s="27" t="n"/>
      <c r="E64" s="26" t="n"/>
      <c r="F64" s="26" t="n"/>
      <c r="G64" s="28">
        <f>IF($A64="","",SUMIFS(tblAkis[MahsupTutar],tblAkis[KaynakKartId],$B64,tblAkis[Durum],"MAHSUP"))</f>
        <v/>
      </c>
      <c r="H64" s="28">
        <f>IF($A64="","",MAX(0,$D64-$G64))</f>
        <v/>
      </c>
      <c r="I64" s="28">
        <f>IF($A64="","",IF($C64="","",raporTarihi-$C64))</f>
        <v/>
      </c>
      <c r="J64" s="28">
        <f>IF($A64="","",IF($I64="","",IF($I64&lt;=7,"0-7",IF($I64&lt;=30,"8-30",IF($I64&lt;=60,"31-60","60+")))))</f>
        <v/>
      </c>
      <c r="K64" s="28">
        <f>IF($A64="","",IF($B64="","YETİM",IF(COUNTIF(tblKartlar[KartId],$B64)=0,"YETİM","")))</f>
        <v/>
      </c>
      <c r="L64" s="28">
        <f>IF($A64="","",IF($G64&gt;$D64+kad_mahsupTolerans,"AŞIM","UYGUN"))</f>
        <v/>
      </c>
    </row>
    <row r="65">
      <c r="A65" s="26" t="n"/>
      <c r="B65" s="26" t="n"/>
      <c r="C65" s="29" t="n"/>
      <c r="D65" s="27" t="n"/>
      <c r="E65" s="26" t="n"/>
      <c r="F65" s="26" t="n"/>
      <c r="G65" s="28">
        <f>IF($A65="","",SUMIFS(tblAkis[MahsupTutar],tblAkis[KaynakKartId],$B65,tblAkis[Durum],"MAHSUP"))</f>
        <v/>
      </c>
      <c r="H65" s="28">
        <f>IF($A65="","",MAX(0,$D65-$G65))</f>
        <v/>
      </c>
      <c r="I65" s="28">
        <f>IF($A65="","",IF($C65="","",raporTarihi-$C65))</f>
        <v/>
      </c>
      <c r="J65" s="28">
        <f>IF($A65="","",IF($I65="","",IF($I65&lt;=7,"0-7",IF($I65&lt;=30,"8-30",IF($I65&lt;=60,"31-60","60+")))))</f>
        <v/>
      </c>
      <c r="K65" s="28">
        <f>IF($A65="","",IF($B65="","YETİM",IF(COUNTIF(tblKartlar[KartId],$B65)=0,"YETİM","")))</f>
        <v/>
      </c>
      <c r="L65" s="28">
        <f>IF($A65="","",IF($G65&gt;$D65+kad_mahsupTolerans,"AŞIM","UYGUN"))</f>
        <v/>
      </c>
    </row>
    <row r="66">
      <c r="A66" s="26" t="n"/>
      <c r="B66" s="26" t="n"/>
      <c r="C66" s="29" t="n"/>
      <c r="D66" s="27" t="n"/>
      <c r="E66" s="26" t="n"/>
      <c r="F66" s="26" t="n"/>
      <c r="G66" s="28">
        <f>IF($A66="","",SUMIFS(tblAkis[MahsupTutar],tblAkis[KaynakKartId],$B66,tblAkis[Durum],"MAHSUP"))</f>
        <v/>
      </c>
      <c r="H66" s="28">
        <f>IF($A66="","",MAX(0,$D66-$G66))</f>
        <v/>
      </c>
      <c r="I66" s="28">
        <f>IF($A66="","",IF($C66="","",raporTarihi-$C66))</f>
        <v/>
      </c>
      <c r="J66" s="28">
        <f>IF($A66="","",IF($I66="","",IF($I66&lt;=7,"0-7",IF($I66&lt;=30,"8-30",IF($I66&lt;=60,"31-60","60+")))))</f>
        <v/>
      </c>
      <c r="K66" s="28">
        <f>IF($A66="","",IF($B66="","YETİM",IF(COUNTIF(tblKartlar[KartId],$B66)=0,"YETİM","")))</f>
        <v/>
      </c>
      <c r="L66" s="28">
        <f>IF($A66="","",IF($G66&gt;$D66+kad_mahsupTolerans,"AŞIM","UYGUN"))</f>
        <v/>
      </c>
    </row>
    <row r="67">
      <c r="A67" s="26" t="n"/>
      <c r="B67" s="26" t="n"/>
      <c r="C67" s="29" t="n"/>
      <c r="D67" s="27" t="n"/>
      <c r="E67" s="26" t="n"/>
      <c r="F67" s="26" t="n"/>
      <c r="G67" s="28">
        <f>IF($A67="","",SUMIFS(tblAkis[MahsupTutar],tblAkis[KaynakKartId],$B67,tblAkis[Durum],"MAHSUP"))</f>
        <v/>
      </c>
      <c r="H67" s="28">
        <f>IF($A67="","",MAX(0,$D67-$G67))</f>
        <v/>
      </c>
      <c r="I67" s="28">
        <f>IF($A67="","",IF($C67="","",raporTarihi-$C67))</f>
        <v/>
      </c>
      <c r="J67" s="28">
        <f>IF($A67="","",IF($I67="","",IF($I67&lt;=7,"0-7",IF($I67&lt;=30,"8-30",IF($I67&lt;=60,"31-60","60+")))))</f>
        <v/>
      </c>
      <c r="K67" s="28">
        <f>IF($A67="","",IF($B67="","YETİM",IF(COUNTIF(tblKartlar[KartId],$B67)=0,"YETİM","")))</f>
        <v/>
      </c>
      <c r="L67" s="28">
        <f>IF($A67="","",IF($G67&gt;$D67+kad_mahsupTolerans,"AŞIM","UYGUN"))</f>
        <v/>
      </c>
    </row>
    <row r="68">
      <c r="A68" s="26" t="n"/>
      <c r="B68" s="26" t="n"/>
      <c r="C68" s="29" t="n"/>
      <c r="D68" s="27" t="n"/>
      <c r="E68" s="26" t="n"/>
      <c r="F68" s="26" t="n"/>
      <c r="G68" s="28">
        <f>IF($A68="","",SUMIFS(tblAkis[MahsupTutar],tblAkis[KaynakKartId],$B68,tblAkis[Durum],"MAHSUP"))</f>
        <v/>
      </c>
      <c r="H68" s="28">
        <f>IF($A68="","",MAX(0,$D68-$G68))</f>
        <v/>
      </c>
      <c r="I68" s="28">
        <f>IF($A68="","",IF($C68="","",raporTarihi-$C68))</f>
        <v/>
      </c>
      <c r="J68" s="28">
        <f>IF($A68="","",IF($I68="","",IF($I68&lt;=7,"0-7",IF($I68&lt;=30,"8-30",IF($I68&lt;=60,"31-60","60+")))))</f>
        <v/>
      </c>
      <c r="K68" s="28">
        <f>IF($A68="","",IF($B68="","YETİM",IF(COUNTIF(tblKartlar[KartId],$B68)=0,"YETİM","")))</f>
        <v/>
      </c>
      <c r="L68" s="28">
        <f>IF($A68="","",IF($G68&gt;$D68+kad_mahsupTolerans,"AŞIM","UYGUN"))</f>
        <v/>
      </c>
    </row>
    <row r="69">
      <c r="A69" s="26" t="n"/>
      <c r="B69" s="26" t="n"/>
      <c r="C69" s="29" t="n"/>
      <c r="D69" s="27" t="n"/>
      <c r="E69" s="26" t="n"/>
      <c r="F69" s="26" t="n"/>
      <c r="G69" s="28">
        <f>IF($A69="","",SUMIFS(tblAkis[MahsupTutar],tblAkis[KaynakKartId],$B69,tblAkis[Durum],"MAHSUP"))</f>
        <v/>
      </c>
      <c r="H69" s="28">
        <f>IF($A69="","",MAX(0,$D69-$G69))</f>
        <v/>
      </c>
      <c r="I69" s="28">
        <f>IF($A69="","",IF($C69="","",raporTarihi-$C69))</f>
        <v/>
      </c>
      <c r="J69" s="28">
        <f>IF($A69="","",IF($I69="","",IF($I69&lt;=7,"0-7",IF($I69&lt;=30,"8-30",IF($I69&lt;=60,"31-60","60+")))))</f>
        <v/>
      </c>
      <c r="K69" s="28">
        <f>IF($A69="","",IF($B69="","YETİM",IF(COUNTIF(tblKartlar[KartId],$B69)=0,"YETİM","")))</f>
        <v/>
      </c>
      <c r="L69" s="28">
        <f>IF($A69="","",IF($G69&gt;$D69+kad_mahsupTolerans,"AŞIM","UYGUN"))</f>
        <v/>
      </c>
    </row>
    <row r="70">
      <c r="A70" s="26" t="n"/>
      <c r="B70" s="26" t="n"/>
      <c r="C70" s="29" t="n"/>
      <c r="D70" s="27" t="n"/>
      <c r="E70" s="26" t="n"/>
      <c r="F70" s="26" t="n"/>
      <c r="G70" s="28">
        <f>IF($A70="","",SUMIFS(tblAkis[MahsupTutar],tblAkis[KaynakKartId],$B70,tblAkis[Durum],"MAHSUP"))</f>
        <v/>
      </c>
      <c r="H70" s="28">
        <f>IF($A70="","",MAX(0,$D70-$G70))</f>
        <v/>
      </c>
      <c r="I70" s="28">
        <f>IF($A70="","",IF($C70="","",raporTarihi-$C70))</f>
        <v/>
      </c>
      <c r="J70" s="28">
        <f>IF($A70="","",IF($I70="","",IF($I70&lt;=7,"0-7",IF($I70&lt;=30,"8-30",IF($I70&lt;=60,"31-60","60+")))))</f>
        <v/>
      </c>
      <c r="K70" s="28">
        <f>IF($A70="","",IF($B70="","YETİM",IF(COUNTIF(tblKartlar[KartId],$B70)=0,"YETİM","")))</f>
        <v/>
      </c>
      <c r="L70" s="28">
        <f>IF($A70="","",IF($G70&gt;$D70+kad_mahsupTolerans,"AŞIM","UYGUN"))</f>
        <v/>
      </c>
    </row>
    <row r="71">
      <c r="A71" s="26" t="n"/>
      <c r="B71" s="26" t="n"/>
      <c r="C71" s="29" t="n"/>
      <c r="D71" s="27" t="n"/>
      <c r="E71" s="26" t="n"/>
      <c r="F71" s="26" t="n"/>
      <c r="G71" s="28">
        <f>IF($A71="","",SUMIFS(tblAkis[MahsupTutar],tblAkis[KaynakKartId],$B71,tblAkis[Durum],"MAHSUP"))</f>
        <v/>
      </c>
      <c r="H71" s="28">
        <f>IF($A71="","",MAX(0,$D71-$G71))</f>
        <v/>
      </c>
      <c r="I71" s="28">
        <f>IF($A71="","",IF($C71="","",raporTarihi-$C71))</f>
        <v/>
      </c>
      <c r="J71" s="28">
        <f>IF($A71="","",IF($I71="","",IF($I71&lt;=7,"0-7",IF($I71&lt;=30,"8-30",IF($I71&lt;=60,"31-60","60+")))))</f>
        <v/>
      </c>
      <c r="K71" s="28">
        <f>IF($A71="","",IF($B71="","YETİM",IF(COUNTIF(tblKartlar[KartId],$B71)=0,"YETİM","")))</f>
        <v/>
      </c>
      <c r="L71" s="28">
        <f>IF($A71="","",IF($G71&gt;$D71+kad_mahsupTolerans,"AŞIM","UYGUN"))</f>
        <v/>
      </c>
    </row>
    <row r="72">
      <c r="A72" s="26" t="n"/>
      <c r="B72" s="26" t="n"/>
      <c r="C72" s="29" t="n"/>
      <c r="D72" s="27" t="n"/>
      <c r="E72" s="26" t="n"/>
      <c r="F72" s="26" t="n"/>
      <c r="G72" s="28">
        <f>IF($A72="","",SUMIFS(tblAkis[MahsupTutar],tblAkis[KaynakKartId],$B72,tblAkis[Durum],"MAHSUP"))</f>
        <v/>
      </c>
      <c r="H72" s="28">
        <f>IF($A72="","",MAX(0,$D72-$G72))</f>
        <v/>
      </c>
      <c r="I72" s="28">
        <f>IF($A72="","",IF($C72="","",raporTarihi-$C72))</f>
        <v/>
      </c>
      <c r="J72" s="28">
        <f>IF($A72="","",IF($I72="","",IF($I72&lt;=7,"0-7",IF($I72&lt;=30,"8-30",IF($I72&lt;=60,"31-60","60+")))))</f>
        <v/>
      </c>
      <c r="K72" s="28">
        <f>IF($A72="","",IF($B72="","YETİM",IF(COUNTIF(tblKartlar[KartId],$B72)=0,"YETİM","")))</f>
        <v/>
      </c>
      <c r="L72" s="28">
        <f>IF($A72="","",IF($G72&gt;$D72+kad_mahsupTolerans,"AŞIM","UYGUN"))</f>
        <v/>
      </c>
    </row>
    <row r="73">
      <c r="A73" s="26" t="n"/>
      <c r="B73" s="26" t="n"/>
      <c r="C73" s="29" t="n"/>
      <c r="D73" s="27" t="n"/>
      <c r="E73" s="26" t="n"/>
      <c r="F73" s="26" t="n"/>
      <c r="G73" s="28">
        <f>IF($A73="","",SUMIFS(tblAkis[MahsupTutar],tblAkis[KaynakKartId],$B73,tblAkis[Durum],"MAHSUP"))</f>
        <v/>
      </c>
      <c r="H73" s="28">
        <f>IF($A73="","",MAX(0,$D73-$G73))</f>
        <v/>
      </c>
      <c r="I73" s="28">
        <f>IF($A73="","",IF($C73="","",raporTarihi-$C73))</f>
        <v/>
      </c>
      <c r="J73" s="28">
        <f>IF($A73="","",IF($I73="","",IF($I73&lt;=7,"0-7",IF($I73&lt;=30,"8-30",IF($I73&lt;=60,"31-60","60+")))))</f>
        <v/>
      </c>
      <c r="K73" s="28">
        <f>IF($A73="","",IF($B73="","YETİM",IF(COUNTIF(tblKartlar[KartId],$B73)=0,"YETİM","")))</f>
        <v/>
      </c>
      <c r="L73" s="28">
        <f>IF($A73="","",IF($G73&gt;$D73+kad_mahsupTolerans,"AŞIM","UYGUN"))</f>
        <v/>
      </c>
    </row>
    <row r="74">
      <c r="A74" s="26" t="n"/>
      <c r="B74" s="26" t="n"/>
      <c r="C74" s="29" t="n"/>
      <c r="D74" s="27" t="n"/>
      <c r="E74" s="26" t="n"/>
      <c r="F74" s="26" t="n"/>
      <c r="G74" s="28">
        <f>IF($A74="","",SUMIFS(tblAkis[MahsupTutar],tblAkis[KaynakKartId],$B74,tblAkis[Durum],"MAHSUP"))</f>
        <v/>
      </c>
      <c r="H74" s="28">
        <f>IF($A74="","",MAX(0,$D74-$G74))</f>
        <v/>
      </c>
      <c r="I74" s="28">
        <f>IF($A74="","",IF($C74="","",raporTarihi-$C74))</f>
        <v/>
      </c>
      <c r="J74" s="28">
        <f>IF($A74="","",IF($I74="","",IF($I74&lt;=7,"0-7",IF($I74&lt;=30,"8-30",IF($I74&lt;=60,"31-60","60+")))))</f>
        <v/>
      </c>
      <c r="K74" s="28">
        <f>IF($A74="","",IF($B74="","YETİM",IF(COUNTIF(tblKartlar[KartId],$B74)=0,"YETİM","")))</f>
        <v/>
      </c>
      <c r="L74" s="28">
        <f>IF($A74="","",IF($G74&gt;$D74+kad_mahsupTolerans,"AŞIM","UYGUN"))</f>
        <v/>
      </c>
    </row>
    <row r="75">
      <c r="A75" s="26" t="n"/>
      <c r="B75" s="26" t="n"/>
      <c r="C75" s="29" t="n"/>
      <c r="D75" s="27" t="n"/>
      <c r="E75" s="26" t="n"/>
      <c r="F75" s="26" t="n"/>
      <c r="G75" s="28">
        <f>IF($A75="","",SUMIFS(tblAkis[MahsupTutar],tblAkis[KaynakKartId],$B75,tblAkis[Durum],"MAHSUP"))</f>
        <v/>
      </c>
      <c r="H75" s="28">
        <f>IF($A75="","",MAX(0,$D75-$G75))</f>
        <v/>
      </c>
      <c r="I75" s="28">
        <f>IF($A75="","",IF($C75="","",raporTarihi-$C75))</f>
        <v/>
      </c>
      <c r="J75" s="28">
        <f>IF($A75="","",IF($I75="","",IF($I75&lt;=7,"0-7",IF($I75&lt;=30,"8-30",IF($I75&lt;=60,"31-60","60+")))))</f>
        <v/>
      </c>
      <c r="K75" s="28">
        <f>IF($A75="","",IF($B75="","YETİM",IF(COUNTIF(tblKartlar[KartId],$B75)=0,"YETİM","")))</f>
        <v/>
      </c>
      <c r="L75" s="28">
        <f>IF($A75="","",IF($G75&gt;$D75+kad_mahsupTolerans,"AŞIM","UYGUN"))</f>
        <v/>
      </c>
    </row>
    <row r="76">
      <c r="A76" s="26" t="n"/>
      <c r="B76" s="26" t="n"/>
      <c r="C76" s="29" t="n"/>
      <c r="D76" s="27" t="n"/>
      <c r="E76" s="26" t="n"/>
      <c r="F76" s="26" t="n"/>
      <c r="G76" s="28">
        <f>IF($A76="","",SUMIFS(tblAkis[MahsupTutar],tblAkis[KaynakKartId],$B76,tblAkis[Durum],"MAHSUP"))</f>
        <v/>
      </c>
      <c r="H76" s="28">
        <f>IF($A76="","",MAX(0,$D76-$G76))</f>
        <v/>
      </c>
      <c r="I76" s="28">
        <f>IF($A76="","",IF($C76="","",raporTarihi-$C76))</f>
        <v/>
      </c>
      <c r="J76" s="28">
        <f>IF($A76="","",IF($I76="","",IF($I76&lt;=7,"0-7",IF($I76&lt;=30,"8-30",IF($I76&lt;=60,"31-60","60+")))))</f>
        <v/>
      </c>
      <c r="K76" s="28">
        <f>IF($A76="","",IF($B76="","YETİM",IF(COUNTIF(tblKartlar[KartId],$B76)=0,"YETİM","")))</f>
        <v/>
      </c>
      <c r="L76" s="28">
        <f>IF($A76="","",IF($G76&gt;$D76+kad_mahsupTolerans,"AŞIM","UYGUN"))</f>
        <v/>
      </c>
    </row>
    <row r="77">
      <c r="A77" s="26" t="n"/>
      <c r="B77" s="26" t="n"/>
      <c r="C77" s="29" t="n"/>
      <c r="D77" s="27" t="n"/>
      <c r="E77" s="26" t="n"/>
      <c r="F77" s="26" t="n"/>
      <c r="G77" s="28">
        <f>IF($A77="","",SUMIFS(tblAkis[MahsupTutar],tblAkis[KaynakKartId],$B77,tblAkis[Durum],"MAHSUP"))</f>
        <v/>
      </c>
      <c r="H77" s="28">
        <f>IF($A77="","",MAX(0,$D77-$G77))</f>
        <v/>
      </c>
      <c r="I77" s="28">
        <f>IF($A77="","",IF($C77="","",raporTarihi-$C77))</f>
        <v/>
      </c>
      <c r="J77" s="28">
        <f>IF($A77="","",IF($I77="","",IF($I77&lt;=7,"0-7",IF($I77&lt;=30,"8-30",IF($I77&lt;=60,"31-60","60+")))))</f>
        <v/>
      </c>
      <c r="K77" s="28">
        <f>IF($A77="","",IF($B77="","YETİM",IF(COUNTIF(tblKartlar[KartId],$B77)=0,"YETİM","")))</f>
        <v/>
      </c>
      <c r="L77" s="28">
        <f>IF($A77="","",IF($G77&gt;$D77+kad_mahsupTolerans,"AŞIM","UYGUN"))</f>
        <v/>
      </c>
    </row>
    <row r="78">
      <c r="A78" s="26" t="n"/>
      <c r="B78" s="26" t="n"/>
      <c r="C78" s="29" t="n"/>
      <c r="D78" s="27" t="n"/>
      <c r="E78" s="26" t="n"/>
      <c r="F78" s="26" t="n"/>
      <c r="G78" s="28">
        <f>IF($A78="","",SUMIFS(tblAkis[MahsupTutar],tblAkis[KaynakKartId],$B78,tblAkis[Durum],"MAHSUP"))</f>
        <v/>
      </c>
      <c r="H78" s="28">
        <f>IF($A78="","",MAX(0,$D78-$G78))</f>
        <v/>
      </c>
      <c r="I78" s="28">
        <f>IF($A78="","",IF($C78="","",raporTarihi-$C78))</f>
        <v/>
      </c>
      <c r="J78" s="28">
        <f>IF($A78="","",IF($I78="","",IF($I78&lt;=7,"0-7",IF($I78&lt;=30,"8-30",IF($I78&lt;=60,"31-60","60+")))))</f>
        <v/>
      </c>
      <c r="K78" s="28">
        <f>IF($A78="","",IF($B78="","YETİM",IF(COUNTIF(tblKartlar[KartId],$B78)=0,"YETİM","")))</f>
        <v/>
      </c>
      <c r="L78" s="28">
        <f>IF($A78="","",IF($G78&gt;$D78+kad_mahsupTolerans,"AŞIM","UYGUN"))</f>
        <v/>
      </c>
    </row>
    <row r="79">
      <c r="A79" s="26" t="n"/>
      <c r="B79" s="26" t="n"/>
      <c r="C79" s="29" t="n"/>
      <c r="D79" s="27" t="n"/>
      <c r="E79" s="26" t="n"/>
      <c r="F79" s="26" t="n"/>
      <c r="G79" s="28">
        <f>IF($A79="","",SUMIFS(tblAkis[MahsupTutar],tblAkis[KaynakKartId],$B79,tblAkis[Durum],"MAHSUP"))</f>
        <v/>
      </c>
      <c r="H79" s="28">
        <f>IF($A79="","",MAX(0,$D79-$G79))</f>
        <v/>
      </c>
      <c r="I79" s="28">
        <f>IF($A79="","",IF($C79="","",raporTarihi-$C79))</f>
        <v/>
      </c>
      <c r="J79" s="28">
        <f>IF($A79="","",IF($I79="","",IF($I79&lt;=7,"0-7",IF($I79&lt;=30,"8-30",IF($I79&lt;=60,"31-60","60+")))))</f>
        <v/>
      </c>
      <c r="K79" s="28">
        <f>IF($A79="","",IF($B79="","YETİM",IF(COUNTIF(tblKartlar[KartId],$B79)=0,"YETİM","")))</f>
        <v/>
      </c>
      <c r="L79" s="28">
        <f>IF($A79="","",IF($G79&gt;$D79+kad_mahsupTolerans,"AŞIM","UYGUN"))</f>
        <v/>
      </c>
    </row>
    <row r="80">
      <c r="A80" s="26" t="n"/>
      <c r="B80" s="26" t="n"/>
      <c r="C80" s="29" t="n"/>
      <c r="D80" s="27" t="n"/>
      <c r="E80" s="26" t="n"/>
      <c r="F80" s="26" t="n"/>
      <c r="G80" s="28">
        <f>IF($A80="","",SUMIFS(tblAkis[MahsupTutar],tblAkis[KaynakKartId],$B80,tblAkis[Durum],"MAHSUP"))</f>
        <v/>
      </c>
      <c r="H80" s="28">
        <f>IF($A80="","",MAX(0,$D80-$G80))</f>
        <v/>
      </c>
      <c r="I80" s="28">
        <f>IF($A80="","",IF($C80="","",raporTarihi-$C80))</f>
        <v/>
      </c>
      <c r="J80" s="28">
        <f>IF($A80="","",IF($I80="","",IF($I80&lt;=7,"0-7",IF($I80&lt;=30,"8-30",IF($I80&lt;=60,"31-60","60+")))))</f>
        <v/>
      </c>
      <c r="K80" s="28">
        <f>IF($A80="","",IF($B80="","YETİM",IF(COUNTIF(tblKartlar[KartId],$B80)=0,"YETİM","")))</f>
        <v/>
      </c>
      <c r="L80" s="28">
        <f>IF($A80="","",IF($G80&gt;$D80+kad_mahsupTolerans,"AŞIM","UYGUN"))</f>
        <v/>
      </c>
    </row>
    <row r="81">
      <c r="A81" s="26" t="n"/>
      <c r="B81" s="26" t="n"/>
      <c r="C81" s="29" t="n"/>
      <c r="D81" s="27" t="n"/>
      <c r="E81" s="26" t="n"/>
      <c r="F81" s="26" t="n"/>
      <c r="G81" s="28">
        <f>IF($A81="","",SUMIFS(tblAkis[MahsupTutar],tblAkis[KaynakKartId],$B81,tblAkis[Durum],"MAHSUP"))</f>
        <v/>
      </c>
      <c r="H81" s="28">
        <f>IF($A81="","",MAX(0,$D81-$G81))</f>
        <v/>
      </c>
      <c r="I81" s="28">
        <f>IF($A81="","",IF($C81="","",raporTarihi-$C81))</f>
        <v/>
      </c>
      <c r="J81" s="28">
        <f>IF($A81="","",IF($I81="","",IF($I81&lt;=7,"0-7",IF($I81&lt;=30,"8-30",IF($I81&lt;=60,"31-60","60+")))))</f>
        <v/>
      </c>
      <c r="K81" s="28">
        <f>IF($A81="","",IF($B81="","YETİM",IF(COUNTIF(tblKartlar[KartId],$B81)=0,"YETİM","")))</f>
        <v/>
      </c>
      <c r="L81" s="28">
        <f>IF($A81="","",IF($G81&gt;$D81+kad_mahsupTolerans,"AŞIM","UYGUN"))</f>
        <v/>
      </c>
    </row>
    <row r="82">
      <c r="A82" s="26" t="n"/>
      <c r="B82" s="26" t="n"/>
      <c r="C82" s="29" t="n"/>
      <c r="D82" s="27" t="n"/>
      <c r="E82" s="26" t="n"/>
      <c r="F82" s="26" t="n"/>
      <c r="G82" s="28">
        <f>IF($A82="","",SUMIFS(tblAkis[MahsupTutar],tblAkis[KaynakKartId],$B82,tblAkis[Durum],"MAHSUP"))</f>
        <v/>
      </c>
      <c r="H82" s="28">
        <f>IF($A82="","",MAX(0,$D82-$G82))</f>
        <v/>
      </c>
      <c r="I82" s="28">
        <f>IF($A82="","",IF($C82="","",raporTarihi-$C82))</f>
        <v/>
      </c>
      <c r="J82" s="28">
        <f>IF($A82="","",IF($I82="","",IF($I82&lt;=7,"0-7",IF($I82&lt;=30,"8-30",IF($I82&lt;=60,"31-60","60+")))))</f>
        <v/>
      </c>
      <c r="K82" s="28">
        <f>IF($A82="","",IF($B82="","YETİM",IF(COUNTIF(tblKartlar[KartId],$B82)=0,"YETİM","")))</f>
        <v/>
      </c>
      <c r="L82" s="28">
        <f>IF($A82="","",IF($G82&gt;$D82+kad_mahsupTolerans,"AŞIM","UYGUN"))</f>
        <v/>
      </c>
    </row>
    <row r="83">
      <c r="A83" s="26" t="n"/>
      <c r="B83" s="26" t="n"/>
      <c r="C83" s="29" t="n"/>
      <c r="D83" s="27" t="n"/>
      <c r="E83" s="26" t="n"/>
      <c r="F83" s="26" t="n"/>
      <c r="G83" s="28">
        <f>IF($A83="","",SUMIFS(tblAkis[MahsupTutar],tblAkis[KaynakKartId],$B83,tblAkis[Durum],"MAHSUP"))</f>
        <v/>
      </c>
      <c r="H83" s="28">
        <f>IF($A83="","",MAX(0,$D83-$G83))</f>
        <v/>
      </c>
      <c r="I83" s="28">
        <f>IF($A83="","",IF($C83="","",raporTarihi-$C83))</f>
        <v/>
      </c>
      <c r="J83" s="28">
        <f>IF($A83="","",IF($I83="","",IF($I83&lt;=7,"0-7",IF($I83&lt;=30,"8-30",IF($I83&lt;=60,"31-60","60+")))))</f>
        <v/>
      </c>
      <c r="K83" s="28">
        <f>IF($A83="","",IF($B83="","YETİM",IF(COUNTIF(tblKartlar[KartId],$B83)=0,"YETİM","")))</f>
        <v/>
      </c>
      <c r="L83" s="28">
        <f>IF($A83="","",IF($G83&gt;$D83+kad_mahsupTolerans,"AŞIM","UYGUN"))</f>
        <v/>
      </c>
    </row>
    <row r="84">
      <c r="A84" s="26" t="n"/>
      <c r="B84" s="26" t="n"/>
      <c r="C84" s="29" t="n"/>
      <c r="D84" s="27" t="n"/>
      <c r="E84" s="26" t="n"/>
      <c r="F84" s="26" t="n"/>
      <c r="G84" s="28">
        <f>IF($A84="","",SUMIFS(tblAkis[MahsupTutar],tblAkis[KaynakKartId],$B84,tblAkis[Durum],"MAHSUP"))</f>
        <v/>
      </c>
      <c r="H84" s="28">
        <f>IF($A84="","",MAX(0,$D84-$G84))</f>
        <v/>
      </c>
      <c r="I84" s="28">
        <f>IF($A84="","",IF($C84="","",raporTarihi-$C84))</f>
        <v/>
      </c>
      <c r="J84" s="28">
        <f>IF($A84="","",IF($I84="","",IF($I84&lt;=7,"0-7",IF($I84&lt;=30,"8-30",IF($I84&lt;=60,"31-60","60+")))))</f>
        <v/>
      </c>
      <c r="K84" s="28">
        <f>IF($A84="","",IF($B84="","YETİM",IF(COUNTIF(tblKartlar[KartId],$B84)=0,"YETİM","")))</f>
        <v/>
      </c>
      <c r="L84" s="28">
        <f>IF($A84="","",IF($G84&gt;$D84+kad_mahsupTolerans,"AŞIM","UYGUN"))</f>
        <v/>
      </c>
    </row>
    <row r="85">
      <c r="A85" s="26" t="n"/>
      <c r="B85" s="26" t="n"/>
      <c r="C85" s="29" t="n"/>
      <c r="D85" s="27" t="n"/>
      <c r="E85" s="26" t="n"/>
      <c r="F85" s="26" t="n"/>
      <c r="G85" s="28">
        <f>IF($A85="","",SUMIFS(tblAkis[MahsupTutar],tblAkis[KaynakKartId],$B85,tblAkis[Durum],"MAHSUP"))</f>
        <v/>
      </c>
      <c r="H85" s="28">
        <f>IF($A85="","",MAX(0,$D85-$G85))</f>
        <v/>
      </c>
      <c r="I85" s="28">
        <f>IF($A85="","",IF($C85="","",raporTarihi-$C85))</f>
        <v/>
      </c>
      <c r="J85" s="28">
        <f>IF($A85="","",IF($I85="","",IF($I85&lt;=7,"0-7",IF($I85&lt;=30,"8-30",IF($I85&lt;=60,"31-60","60+")))))</f>
        <v/>
      </c>
      <c r="K85" s="28">
        <f>IF($A85="","",IF($B85="","YETİM",IF(COUNTIF(tblKartlar[KartId],$B85)=0,"YETİM","")))</f>
        <v/>
      </c>
      <c r="L85" s="28">
        <f>IF($A85="","",IF($G85&gt;$D85+kad_mahsupTolerans,"AŞIM","UYGUN"))</f>
        <v/>
      </c>
    </row>
    <row r="86">
      <c r="A86" s="26" t="n"/>
      <c r="B86" s="26" t="n"/>
      <c r="C86" s="29" t="n"/>
      <c r="D86" s="27" t="n"/>
      <c r="E86" s="26" t="n"/>
      <c r="F86" s="26" t="n"/>
      <c r="G86" s="28">
        <f>IF($A86="","",SUMIFS(tblAkis[MahsupTutar],tblAkis[KaynakKartId],$B86,tblAkis[Durum],"MAHSUP"))</f>
        <v/>
      </c>
      <c r="H86" s="28">
        <f>IF($A86="","",MAX(0,$D86-$G86))</f>
        <v/>
      </c>
      <c r="I86" s="28">
        <f>IF($A86="","",IF($C86="","",raporTarihi-$C86))</f>
        <v/>
      </c>
      <c r="J86" s="28">
        <f>IF($A86="","",IF($I86="","",IF($I86&lt;=7,"0-7",IF($I86&lt;=30,"8-30",IF($I86&lt;=60,"31-60","60+")))))</f>
        <v/>
      </c>
      <c r="K86" s="28">
        <f>IF($A86="","",IF($B86="","YETİM",IF(COUNTIF(tblKartlar[KartId],$B86)=0,"YETİM","")))</f>
        <v/>
      </c>
      <c r="L86" s="28">
        <f>IF($A86="","",IF($G86&gt;$D86+kad_mahsupTolerans,"AŞIM","UYGUN"))</f>
        <v/>
      </c>
    </row>
    <row r="87">
      <c r="A87" s="26" t="n"/>
      <c r="B87" s="26" t="n"/>
      <c r="C87" s="29" t="n"/>
      <c r="D87" s="27" t="n"/>
      <c r="E87" s="26" t="n"/>
      <c r="F87" s="26" t="n"/>
      <c r="G87" s="28">
        <f>IF($A87="","",SUMIFS(tblAkis[MahsupTutar],tblAkis[KaynakKartId],$B87,tblAkis[Durum],"MAHSUP"))</f>
        <v/>
      </c>
      <c r="H87" s="28">
        <f>IF($A87="","",MAX(0,$D87-$G87))</f>
        <v/>
      </c>
      <c r="I87" s="28">
        <f>IF($A87="","",IF($C87="","",raporTarihi-$C87))</f>
        <v/>
      </c>
      <c r="J87" s="28">
        <f>IF($A87="","",IF($I87="","",IF($I87&lt;=7,"0-7",IF($I87&lt;=30,"8-30",IF($I87&lt;=60,"31-60","60+")))))</f>
        <v/>
      </c>
      <c r="K87" s="28">
        <f>IF($A87="","",IF($B87="","YETİM",IF(COUNTIF(tblKartlar[KartId],$B87)=0,"YETİM","")))</f>
        <v/>
      </c>
      <c r="L87" s="28">
        <f>IF($A87="","",IF($G87&gt;$D87+kad_mahsupTolerans,"AŞIM","UYGUN"))</f>
        <v/>
      </c>
    </row>
    <row r="88">
      <c r="A88" s="26" t="n"/>
      <c r="B88" s="26" t="n"/>
      <c r="C88" s="29" t="n"/>
      <c r="D88" s="27" t="n"/>
      <c r="E88" s="26" t="n"/>
      <c r="F88" s="26" t="n"/>
      <c r="G88" s="28">
        <f>IF($A88="","",SUMIFS(tblAkis[MahsupTutar],tblAkis[KaynakKartId],$B88,tblAkis[Durum],"MAHSUP"))</f>
        <v/>
      </c>
      <c r="H88" s="28">
        <f>IF($A88="","",MAX(0,$D88-$G88))</f>
        <v/>
      </c>
      <c r="I88" s="28">
        <f>IF($A88="","",IF($C88="","",raporTarihi-$C88))</f>
        <v/>
      </c>
      <c r="J88" s="28">
        <f>IF($A88="","",IF($I88="","",IF($I88&lt;=7,"0-7",IF($I88&lt;=30,"8-30",IF($I88&lt;=60,"31-60","60+")))))</f>
        <v/>
      </c>
      <c r="K88" s="28">
        <f>IF($A88="","",IF($B88="","YETİM",IF(COUNTIF(tblKartlar[KartId],$B88)=0,"YETİM","")))</f>
        <v/>
      </c>
      <c r="L88" s="28">
        <f>IF($A88="","",IF($G88&gt;$D88+kad_mahsupTolerans,"AŞIM","UYGUN"))</f>
        <v/>
      </c>
    </row>
    <row r="89">
      <c r="A89" s="26" t="n"/>
      <c r="B89" s="26" t="n"/>
      <c r="C89" s="29" t="n"/>
      <c r="D89" s="27" t="n"/>
      <c r="E89" s="26" t="n"/>
      <c r="F89" s="26" t="n"/>
      <c r="G89" s="28">
        <f>IF($A89="","",SUMIFS(tblAkis[MahsupTutar],tblAkis[KaynakKartId],$B89,tblAkis[Durum],"MAHSUP"))</f>
        <v/>
      </c>
      <c r="H89" s="28">
        <f>IF($A89="","",MAX(0,$D89-$G89))</f>
        <v/>
      </c>
      <c r="I89" s="28">
        <f>IF($A89="","",IF($C89="","",raporTarihi-$C89))</f>
        <v/>
      </c>
      <c r="J89" s="28">
        <f>IF($A89="","",IF($I89="","",IF($I89&lt;=7,"0-7",IF($I89&lt;=30,"8-30",IF($I89&lt;=60,"31-60","60+")))))</f>
        <v/>
      </c>
      <c r="K89" s="28">
        <f>IF($A89="","",IF($B89="","YETİM",IF(COUNTIF(tblKartlar[KartId],$B89)=0,"YETİM","")))</f>
        <v/>
      </c>
      <c r="L89" s="28">
        <f>IF($A89="","",IF($G89&gt;$D89+kad_mahsupTolerans,"AŞIM","UYGUN"))</f>
        <v/>
      </c>
    </row>
    <row r="90">
      <c r="A90" s="26" t="n"/>
      <c r="B90" s="26" t="n"/>
      <c r="C90" s="29" t="n"/>
      <c r="D90" s="27" t="n"/>
      <c r="E90" s="26" t="n"/>
      <c r="F90" s="26" t="n"/>
      <c r="G90" s="28">
        <f>IF($A90="","",SUMIFS(tblAkis[MahsupTutar],tblAkis[KaynakKartId],$B90,tblAkis[Durum],"MAHSUP"))</f>
        <v/>
      </c>
      <c r="H90" s="28">
        <f>IF($A90="","",MAX(0,$D90-$G90))</f>
        <v/>
      </c>
      <c r="I90" s="28">
        <f>IF($A90="","",IF($C90="","",raporTarihi-$C90))</f>
        <v/>
      </c>
      <c r="J90" s="28">
        <f>IF($A90="","",IF($I90="","",IF($I90&lt;=7,"0-7",IF($I90&lt;=30,"8-30",IF($I90&lt;=60,"31-60","60+")))))</f>
        <v/>
      </c>
      <c r="K90" s="28">
        <f>IF($A90="","",IF($B90="","YETİM",IF(COUNTIF(tblKartlar[KartId],$B90)=0,"YETİM","")))</f>
        <v/>
      </c>
      <c r="L90" s="28">
        <f>IF($A90="","",IF($G90&gt;$D90+kad_mahsupTolerans,"AŞIM","UYGUN"))</f>
        <v/>
      </c>
    </row>
    <row r="91">
      <c r="A91" s="26" t="n"/>
      <c r="B91" s="26" t="n"/>
      <c r="C91" s="29" t="n"/>
      <c r="D91" s="27" t="n"/>
      <c r="E91" s="26" t="n"/>
      <c r="F91" s="26" t="n"/>
      <c r="G91" s="28">
        <f>IF($A91="","",SUMIFS(tblAkis[MahsupTutar],tblAkis[KaynakKartId],$B91,tblAkis[Durum],"MAHSUP"))</f>
        <v/>
      </c>
      <c r="H91" s="28">
        <f>IF($A91="","",MAX(0,$D91-$G91))</f>
        <v/>
      </c>
      <c r="I91" s="28">
        <f>IF($A91="","",IF($C91="","",raporTarihi-$C91))</f>
        <v/>
      </c>
      <c r="J91" s="28">
        <f>IF($A91="","",IF($I91="","",IF($I91&lt;=7,"0-7",IF($I91&lt;=30,"8-30",IF($I91&lt;=60,"31-60","60+")))))</f>
        <v/>
      </c>
      <c r="K91" s="28">
        <f>IF($A91="","",IF($B91="","YETİM",IF(COUNTIF(tblKartlar[KartId],$B91)=0,"YETİM","")))</f>
        <v/>
      </c>
      <c r="L91" s="28">
        <f>IF($A91="","",IF($G91&gt;$D91+kad_mahsupTolerans,"AŞIM","UYGUN"))</f>
        <v/>
      </c>
    </row>
    <row r="92">
      <c r="A92" s="26" t="n"/>
      <c r="B92" s="26" t="n"/>
      <c r="C92" s="29" t="n"/>
      <c r="D92" s="27" t="n"/>
      <c r="E92" s="26" t="n"/>
      <c r="F92" s="26" t="n"/>
      <c r="G92" s="28">
        <f>IF($A92="","",SUMIFS(tblAkis[MahsupTutar],tblAkis[KaynakKartId],$B92,tblAkis[Durum],"MAHSUP"))</f>
        <v/>
      </c>
      <c r="H92" s="28">
        <f>IF($A92="","",MAX(0,$D92-$G92))</f>
        <v/>
      </c>
      <c r="I92" s="28">
        <f>IF($A92="","",IF($C92="","",raporTarihi-$C92))</f>
        <v/>
      </c>
      <c r="J92" s="28">
        <f>IF($A92="","",IF($I92="","",IF($I92&lt;=7,"0-7",IF($I92&lt;=30,"8-30",IF($I92&lt;=60,"31-60","60+")))))</f>
        <v/>
      </c>
      <c r="K92" s="28">
        <f>IF($A92="","",IF($B92="","YETİM",IF(COUNTIF(tblKartlar[KartId],$B92)=0,"YETİM","")))</f>
        <v/>
      </c>
      <c r="L92" s="28">
        <f>IF($A92="","",IF($G92&gt;$D92+kad_mahsupTolerans,"AŞIM","UYGUN"))</f>
        <v/>
      </c>
    </row>
    <row r="93">
      <c r="A93" s="26" t="n"/>
      <c r="B93" s="26" t="n"/>
      <c r="C93" s="29" t="n"/>
      <c r="D93" s="27" t="n"/>
      <c r="E93" s="26" t="n"/>
      <c r="F93" s="26" t="n"/>
      <c r="G93" s="28">
        <f>IF($A93="","",SUMIFS(tblAkis[MahsupTutar],tblAkis[KaynakKartId],$B93,tblAkis[Durum],"MAHSUP"))</f>
        <v/>
      </c>
      <c r="H93" s="28">
        <f>IF($A93="","",MAX(0,$D93-$G93))</f>
        <v/>
      </c>
      <c r="I93" s="28">
        <f>IF($A93="","",IF($C93="","",raporTarihi-$C93))</f>
        <v/>
      </c>
      <c r="J93" s="28">
        <f>IF($A93="","",IF($I93="","",IF($I93&lt;=7,"0-7",IF($I93&lt;=30,"8-30",IF($I93&lt;=60,"31-60","60+")))))</f>
        <v/>
      </c>
      <c r="K93" s="28">
        <f>IF($A93="","",IF($B93="","YETİM",IF(COUNTIF(tblKartlar[KartId],$B93)=0,"YETİM","")))</f>
        <v/>
      </c>
      <c r="L93" s="28">
        <f>IF($A93="","",IF($G93&gt;$D93+kad_mahsupTolerans,"AŞIM","UYGUN"))</f>
        <v/>
      </c>
    </row>
    <row r="94">
      <c r="A94" s="26" t="n"/>
      <c r="B94" s="26" t="n"/>
      <c r="C94" s="29" t="n"/>
      <c r="D94" s="27" t="n"/>
      <c r="E94" s="26" t="n"/>
      <c r="F94" s="26" t="n"/>
      <c r="G94" s="28">
        <f>IF($A94="","",SUMIFS(tblAkis[MahsupTutar],tblAkis[KaynakKartId],$B94,tblAkis[Durum],"MAHSUP"))</f>
        <v/>
      </c>
      <c r="H94" s="28">
        <f>IF($A94="","",MAX(0,$D94-$G94))</f>
        <v/>
      </c>
      <c r="I94" s="28">
        <f>IF($A94="","",IF($C94="","",raporTarihi-$C94))</f>
        <v/>
      </c>
      <c r="J94" s="28">
        <f>IF($A94="","",IF($I94="","",IF($I94&lt;=7,"0-7",IF($I94&lt;=30,"8-30",IF($I94&lt;=60,"31-60","60+")))))</f>
        <v/>
      </c>
      <c r="K94" s="28">
        <f>IF($A94="","",IF($B94="","YETİM",IF(COUNTIF(tblKartlar[KartId],$B94)=0,"YETİM","")))</f>
        <v/>
      </c>
      <c r="L94" s="28">
        <f>IF($A94="","",IF($G94&gt;$D94+kad_mahsupTolerans,"AŞIM","UYGUN"))</f>
        <v/>
      </c>
    </row>
    <row r="95">
      <c r="A95" s="26" t="n"/>
      <c r="B95" s="26" t="n"/>
      <c r="C95" s="29" t="n"/>
      <c r="D95" s="27" t="n"/>
      <c r="E95" s="26" t="n"/>
      <c r="F95" s="26" t="n"/>
      <c r="G95" s="28">
        <f>IF($A95="","",SUMIFS(tblAkis[MahsupTutar],tblAkis[KaynakKartId],$B95,tblAkis[Durum],"MAHSUP"))</f>
        <v/>
      </c>
      <c r="H95" s="28">
        <f>IF($A95="","",MAX(0,$D95-$G95))</f>
        <v/>
      </c>
      <c r="I95" s="28">
        <f>IF($A95="","",IF($C95="","",raporTarihi-$C95))</f>
        <v/>
      </c>
      <c r="J95" s="28">
        <f>IF($A95="","",IF($I95="","",IF($I95&lt;=7,"0-7",IF($I95&lt;=30,"8-30",IF($I95&lt;=60,"31-60","60+")))))</f>
        <v/>
      </c>
      <c r="K95" s="28">
        <f>IF($A95="","",IF($B95="","YETİM",IF(COUNTIF(tblKartlar[KartId],$B95)=0,"YETİM","")))</f>
        <v/>
      </c>
      <c r="L95" s="28">
        <f>IF($A95="","",IF($G95&gt;$D95+kad_mahsupTolerans,"AŞIM","UYGUN"))</f>
        <v/>
      </c>
    </row>
    <row r="96">
      <c r="A96" s="26" t="n"/>
      <c r="B96" s="26" t="n"/>
      <c r="C96" s="29" t="n"/>
      <c r="D96" s="27" t="n"/>
      <c r="E96" s="26" t="n"/>
      <c r="F96" s="26" t="n"/>
      <c r="G96" s="28">
        <f>IF($A96="","",SUMIFS(tblAkis[MahsupTutar],tblAkis[KaynakKartId],$B96,tblAkis[Durum],"MAHSUP"))</f>
        <v/>
      </c>
      <c r="H96" s="28">
        <f>IF($A96="","",MAX(0,$D96-$G96))</f>
        <v/>
      </c>
      <c r="I96" s="28">
        <f>IF($A96="","",IF($C96="","",raporTarihi-$C96))</f>
        <v/>
      </c>
      <c r="J96" s="28">
        <f>IF($A96="","",IF($I96="","",IF($I96&lt;=7,"0-7",IF($I96&lt;=30,"8-30",IF($I96&lt;=60,"31-60","60+")))))</f>
        <v/>
      </c>
      <c r="K96" s="28">
        <f>IF($A96="","",IF($B96="","YETİM",IF(COUNTIF(tblKartlar[KartId],$B96)=0,"YETİM","")))</f>
        <v/>
      </c>
      <c r="L96" s="28">
        <f>IF($A96="","",IF($G96&gt;$D96+kad_mahsupTolerans,"AŞIM","UYGUN"))</f>
        <v/>
      </c>
    </row>
    <row r="97">
      <c r="A97" s="26" t="n"/>
      <c r="B97" s="26" t="n"/>
      <c r="C97" s="29" t="n"/>
      <c r="D97" s="27" t="n"/>
      <c r="E97" s="26" t="n"/>
      <c r="F97" s="26" t="n"/>
      <c r="G97" s="28">
        <f>IF($A97="","",SUMIFS(tblAkis[MahsupTutar],tblAkis[KaynakKartId],$B97,tblAkis[Durum],"MAHSUP"))</f>
        <v/>
      </c>
      <c r="H97" s="28">
        <f>IF($A97="","",MAX(0,$D97-$G97))</f>
        <v/>
      </c>
      <c r="I97" s="28">
        <f>IF($A97="","",IF($C97="","",raporTarihi-$C97))</f>
        <v/>
      </c>
      <c r="J97" s="28">
        <f>IF($A97="","",IF($I97="","",IF($I97&lt;=7,"0-7",IF($I97&lt;=30,"8-30",IF($I97&lt;=60,"31-60","60+")))))</f>
        <v/>
      </c>
      <c r="K97" s="28">
        <f>IF($A97="","",IF($B97="","YETİM",IF(COUNTIF(tblKartlar[KartId],$B97)=0,"YETİM","")))</f>
        <v/>
      </c>
      <c r="L97" s="28">
        <f>IF($A97="","",IF($G97&gt;$D97+kad_mahsupTolerans,"AŞIM","UYGUN"))</f>
        <v/>
      </c>
    </row>
    <row r="98">
      <c r="A98" s="26" t="n"/>
      <c r="B98" s="26" t="n"/>
      <c r="C98" s="29" t="n"/>
      <c r="D98" s="27" t="n"/>
      <c r="E98" s="26" t="n"/>
      <c r="F98" s="26" t="n"/>
      <c r="G98" s="28">
        <f>IF($A98="","",SUMIFS(tblAkis[MahsupTutar],tblAkis[KaynakKartId],$B98,tblAkis[Durum],"MAHSUP"))</f>
        <v/>
      </c>
      <c r="H98" s="28">
        <f>IF($A98="","",MAX(0,$D98-$G98))</f>
        <v/>
      </c>
      <c r="I98" s="28">
        <f>IF($A98="","",IF($C98="","",raporTarihi-$C98))</f>
        <v/>
      </c>
      <c r="J98" s="28">
        <f>IF($A98="","",IF($I98="","",IF($I98&lt;=7,"0-7",IF($I98&lt;=30,"8-30",IF($I98&lt;=60,"31-60","60+")))))</f>
        <v/>
      </c>
      <c r="K98" s="28">
        <f>IF($A98="","",IF($B98="","YETİM",IF(COUNTIF(tblKartlar[KartId],$B98)=0,"YETİM","")))</f>
        <v/>
      </c>
      <c r="L98" s="28">
        <f>IF($A98="","",IF($G98&gt;$D98+kad_mahsupTolerans,"AŞIM","UYGUN"))</f>
        <v/>
      </c>
    </row>
    <row r="99">
      <c r="A99" s="26" t="n"/>
      <c r="B99" s="26" t="n"/>
      <c r="C99" s="29" t="n"/>
      <c r="D99" s="27" t="n"/>
      <c r="E99" s="26" t="n"/>
      <c r="F99" s="26" t="n"/>
      <c r="G99" s="28">
        <f>IF($A99="","",SUMIFS(tblAkis[MahsupTutar],tblAkis[KaynakKartId],$B99,tblAkis[Durum],"MAHSUP"))</f>
        <v/>
      </c>
      <c r="H99" s="28">
        <f>IF($A99="","",MAX(0,$D99-$G99))</f>
        <v/>
      </c>
      <c r="I99" s="28">
        <f>IF($A99="","",IF($C99="","",raporTarihi-$C99))</f>
        <v/>
      </c>
      <c r="J99" s="28">
        <f>IF($A99="","",IF($I99="","",IF($I99&lt;=7,"0-7",IF($I99&lt;=30,"8-30",IF($I99&lt;=60,"31-60","60+")))))</f>
        <v/>
      </c>
      <c r="K99" s="28">
        <f>IF($A99="","",IF($B99="","YETİM",IF(COUNTIF(tblKartlar[KartId],$B99)=0,"YETİM","")))</f>
        <v/>
      </c>
      <c r="L99" s="28">
        <f>IF($A99="","",IF($G99&gt;$D99+kad_mahsupTolerans,"AŞIM","UYGUN"))</f>
        <v/>
      </c>
    </row>
    <row r="100">
      <c r="A100" s="26" t="n"/>
      <c r="B100" s="26" t="n"/>
      <c r="C100" s="29" t="n"/>
      <c r="D100" s="27" t="n"/>
      <c r="E100" s="26" t="n"/>
      <c r="F100" s="26" t="n"/>
      <c r="G100" s="28">
        <f>IF($A100="","",SUMIFS(tblAkis[MahsupTutar],tblAkis[KaynakKartId],$B100,tblAkis[Durum],"MAHSUP"))</f>
        <v/>
      </c>
      <c r="H100" s="28">
        <f>IF($A100="","",MAX(0,$D100-$G100))</f>
        <v/>
      </c>
      <c r="I100" s="28">
        <f>IF($A100="","",IF($C100="","",raporTarihi-$C100))</f>
        <v/>
      </c>
      <c r="J100" s="28">
        <f>IF($A100="","",IF($I100="","",IF($I100&lt;=7,"0-7",IF($I100&lt;=30,"8-30",IF($I100&lt;=60,"31-60","60+")))))</f>
        <v/>
      </c>
      <c r="K100" s="28">
        <f>IF($A100="","",IF($B100="","YETİM",IF(COUNTIF(tblKartlar[KartId],$B100)=0,"YETİM","")))</f>
        <v/>
      </c>
      <c r="L100" s="28">
        <f>IF($A100="","",IF($G100&gt;$D100+kad_mahsupTolerans,"AŞIM","UYGUN"))</f>
        <v/>
      </c>
    </row>
    <row r="101">
      <c r="A101" s="26" t="n"/>
      <c r="B101" s="26" t="n"/>
      <c r="C101" s="29" t="n"/>
      <c r="D101" s="27" t="n"/>
      <c r="E101" s="26" t="n"/>
      <c r="F101" s="26" t="n"/>
      <c r="G101" s="28">
        <f>IF($A101="","",SUMIFS(tblAkis[MahsupTutar],tblAkis[KaynakKartId],$B101,tblAkis[Durum],"MAHSUP"))</f>
        <v/>
      </c>
      <c r="H101" s="28">
        <f>IF($A101="","",MAX(0,$D101-$G101))</f>
        <v/>
      </c>
      <c r="I101" s="28">
        <f>IF($A101="","",IF($C101="","",raporTarihi-$C101))</f>
        <v/>
      </c>
      <c r="J101" s="28">
        <f>IF($A101="","",IF($I101="","",IF($I101&lt;=7,"0-7",IF($I101&lt;=30,"8-30",IF($I101&lt;=60,"31-60","60+")))))</f>
        <v/>
      </c>
      <c r="K101" s="28">
        <f>IF($A101="","",IF($B101="","YETİM",IF(COUNTIF(tblKartlar[KartId],$B101)=0,"YETİM","")))</f>
        <v/>
      </c>
      <c r="L101" s="28">
        <f>IF($A101="","",IF($G101&gt;$D101+kad_mahsupTolerans,"AŞIM","UYGUN"))</f>
        <v/>
      </c>
    </row>
    <row r="102">
      <c r="A102" s="26" t="n"/>
      <c r="B102" s="26" t="n"/>
      <c r="C102" s="29" t="n"/>
      <c r="D102" s="27" t="n"/>
      <c r="E102" s="26" t="n"/>
      <c r="F102" s="26" t="n"/>
      <c r="G102" s="28">
        <f>IF($A102="","",SUMIFS(tblAkis[MahsupTutar],tblAkis[KaynakKartId],$B102,tblAkis[Durum],"MAHSUP"))</f>
        <v/>
      </c>
      <c r="H102" s="28">
        <f>IF($A102="","",MAX(0,$D102-$G102))</f>
        <v/>
      </c>
      <c r="I102" s="28">
        <f>IF($A102="","",IF($C102="","",raporTarihi-$C102))</f>
        <v/>
      </c>
      <c r="J102" s="28">
        <f>IF($A102="","",IF($I102="","",IF($I102&lt;=7,"0-7",IF($I102&lt;=30,"8-30",IF($I102&lt;=60,"31-60","60+")))))</f>
        <v/>
      </c>
      <c r="K102" s="28">
        <f>IF($A102="","",IF($B102="","YETİM",IF(COUNTIF(tblKartlar[KartId],$B102)=0,"YETİM","")))</f>
        <v/>
      </c>
      <c r="L102" s="28">
        <f>IF($A102="","",IF($G102&gt;$D102+kad_mahsupTolerans,"AŞIM","UYGUN"))</f>
        <v/>
      </c>
    </row>
    <row r="103">
      <c r="A103" s="26" t="n"/>
      <c r="B103" s="26" t="n"/>
      <c r="C103" s="29" t="n"/>
      <c r="D103" s="27" t="n"/>
      <c r="E103" s="26" t="n"/>
      <c r="F103" s="26" t="n"/>
      <c r="G103" s="28">
        <f>IF($A103="","",SUMIFS(tblAkis[MahsupTutar],tblAkis[KaynakKartId],$B103,tblAkis[Durum],"MAHSUP"))</f>
        <v/>
      </c>
      <c r="H103" s="28">
        <f>IF($A103="","",MAX(0,$D103-$G103))</f>
        <v/>
      </c>
      <c r="I103" s="28">
        <f>IF($A103="","",IF($C103="","",raporTarihi-$C103))</f>
        <v/>
      </c>
      <c r="J103" s="28">
        <f>IF($A103="","",IF($I103="","",IF($I103&lt;=7,"0-7",IF($I103&lt;=30,"8-30",IF($I103&lt;=60,"31-60","60+")))))</f>
        <v/>
      </c>
      <c r="K103" s="28">
        <f>IF($A103="","",IF($B103="","YETİM",IF(COUNTIF(tblKartlar[KartId],$B103)=0,"YETİM","")))</f>
        <v/>
      </c>
      <c r="L103" s="28">
        <f>IF($A103="","",IF($G103&gt;$D103+kad_mahsupTolerans,"AŞIM","UYGUN"))</f>
        <v/>
      </c>
    </row>
    <row r="104">
      <c r="A104" s="26" t="n"/>
      <c r="B104" s="26" t="n"/>
      <c r="C104" s="29" t="n"/>
      <c r="D104" s="27" t="n"/>
      <c r="E104" s="26" t="n"/>
      <c r="F104" s="26" t="n"/>
      <c r="G104" s="28">
        <f>IF($A104="","",SUMIFS(tblAkis[MahsupTutar],tblAkis[KaynakKartId],$B104,tblAkis[Durum],"MAHSUP"))</f>
        <v/>
      </c>
      <c r="H104" s="28">
        <f>IF($A104="","",MAX(0,$D104-$G104))</f>
        <v/>
      </c>
      <c r="I104" s="28">
        <f>IF($A104="","",IF($C104="","",raporTarihi-$C104))</f>
        <v/>
      </c>
      <c r="J104" s="28">
        <f>IF($A104="","",IF($I104="","",IF($I104&lt;=7,"0-7",IF($I104&lt;=30,"8-30",IF($I104&lt;=60,"31-60","60+")))))</f>
        <v/>
      </c>
      <c r="K104" s="28">
        <f>IF($A104="","",IF($B104="","YETİM",IF(COUNTIF(tblKartlar[KartId],$B104)=0,"YETİM","")))</f>
        <v/>
      </c>
      <c r="L104" s="28">
        <f>IF($A104="","",IF($G104&gt;$D104+kad_mahsupTolerans,"AŞIM","UYGUN"))</f>
        <v/>
      </c>
    </row>
    <row r="105">
      <c r="A105" s="26" t="n"/>
      <c r="B105" s="26" t="n"/>
      <c r="C105" s="29" t="n"/>
      <c r="D105" s="27" t="n"/>
      <c r="E105" s="26" t="n"/>
      <c r="F105" s="26" t="n"/>
      <c r="G105" s="28">
        <f>IF($A105="","",SUMIFS(tblAkis[MahsupTutar],tblAkis[KaynakKartId],$B105,tblAkis[Durum],"MAHSUP"))</f>
        <v/>
      </c>
      <c r="H105" s="28">
        <f>IF($A105="","",MAX(0,$D105-$G105))</f>
        <v/>
      </c>
      <c r="I105" s="28">
        <f>IF($A105="","",IF($C105="","",raporTarihi-$C105))</f>
        <v/>
      </c>
      <c r="J105" s="28">
        <f>IF($A105="","",IF($I105="","",IF($I105&lt;=7,"0-7",IF($I105&lt;=30,"8-30",IF($I105&lt;=60,"31-60","60+")))))</f>
        <v/>
      </c>
      <c r="K105" s="28">
        <f>IF($A105="","",IF($B105="","YETİM",IF(COUNTIF(tblKartlar[KartId],$B105)=0,"YETİM","")))</f>
        <v/>
      </c>
      <c r="L105" s="28">
        <f>IF($A105="","",IF($G105&gt;$D105+kad_mahsupTolerans,"AŞIM","UYGUN"))</f>
        <v/>
      </c>
    </row>
    <row r="106">
      <c r="A106" s="26" t="n"/>
      <c r="B106" s="26" t="n"/>
      <c r="C106" s="29" t="n"/>
      <c r="D106" s="27" t="n"/>
      <c r="E106" s="26" t="n"/>
      <c r="F106" s="26" t="n"/>
      <c r="G106" s="28">
        <f>IF($A106="","",SUMIFS(tblAkis[MahsupTutar],tblAkis[KaynakKartId],$B106,tblAkis[Durum],"MAHSUP"))</f>
        <v/>
      </c>
      <c r="H106" s="28">
        <f>IF($A106="","",MAX(0,$D106-$G106))</f>
        <v/>
      </c>
      <c r="I106" s="28">
        <f>IF($A106="","",IF($C106="","",raporTarihi-$C106))</f>
        <v/>
      </c>
      <c r="J106" s="28">
        <f>IF($A106="","",IF($I106="","",IF($I106&lt;=7,"0-7",IF($I106&lt;=30,"8-30",IF($I106&lt;=60,"31-60","60+")))))</f>
        <v/>
      </c>
      <c r="K106" s="28">
        <f>IF($A106="","",IF($B106="","YETİM",IF(COUNTIF(tblKartlar[KartId],$B106)=0,"YETİM","")))</f>
        <v/>
      </c>
      <c r="L106" s="28">
        <f>IF($A106="","",IF($G106&gt;$D106+kad_mahsupTolerans,"AŞIM","UYGUN"))</f>
        <v/>
      </c>
    </row>
    <row r="107">
      <c r="A107" s="26" t="n"/>
      <c r="B107" s="26" t="n"/>
      <c r="C107" s="29" t="n"/>
      <c r="D107" s="27" t="n"/>
      <c r="E107" s="26" t="n"/>
      <c r="F107" s="26" t="n"/>
      <c r="G107" s="28">
        <f>IF($A107="","",SUMIFS(tblAkis[MahsupTutar],tblAkis[KaynakKartId],$B107,tblAkis[Durum],"MAHSUP"))</f>
        <v/>
      </c>
      <c r="H107" s="28">
        <f>IF($A107="","",MAX(0,$D107-$G107))</f>
        <v/>
      </c>
      <c r="I107" s="28">
        <f>IF($A107="","",IF($C107="","",raporTarihi-$C107))</f>
        <v/>
      </c>
      <c r="J107" s="28">
        <f>IF($A107="","",IF($I107="","",IF($I107&lt;=7,"0-7",IF($I107&lt;=30,"8-30",IF($I107&lt;=60,"31-60","60+")))))</f>
        <v/>
      </c>
      <c r="K107" s="28">
        <f>IF($A107="","",IF($B107="","YETİM",IF(COUNTIF(tblKartlar[KartId],$B107)=0,"YETİM","")))</f>
        <v/>
      </c>
      <c r="L107" s="28">
        <f>IF($A107="","",IF($G107&gt;$D107+kad_mahsupTolerans,"AŞIM","UYGUN"))</f>
        <v/>
      </c>
    </row>
    <row r="108">
      <c r="A108" s="26" t="n"/>
      <c r="B108" s="26" t="n"/>
      <c r="C108" s="29" t="n"/>
      <c r="D108" s="27" t="n"/>
      <c r="E108" s="26" t="n"/>
      <c r="F108" s="26" t="n"/>
      <c r="G108" s="28">
        <f>IF($A108="","",SUMIFS(tblAkis[MahsupTutar],tblAkis[KaynakKartId],$B108,tblAkis[Durum],"MAHSUP"))</f>
        <v/>
      </c>
      <c r="H108" s="28">
        <f>IF($A108="","",MAX(0,$D108-$G108))</f>
        <v/>
      </c>
      <c r="I108" s="28">
        <f>IF($A108="","",IF($C108="","",raporTarihi-$C108))</f>
        <v/>
      </c>
      <c r="J108" s="28">
        <f>IF($A108="","",IF($I108="","",IF($I108&lt;=7,"0-7",IF($I108&lt;=30,"8-30",IF($I108&lt;=60,"31-60","60+")))))</f>
        <v/>
      </c>
      <c r="K108" s="28">
        <f>IF($A108="","",IF($B108="","YETİM",IF(COUNTIF(tblKartlar[KartId],$B108)=0,"YETİM","")))</f>
        <v/>
      </c>
      <c r="L108" s="28">
        <f>IF($A108="","",IF($G108&gt;$D108+kad_mahsupTolerans,"AŞIM","UYGUN"))</f>
        <v/>
      </c>
    </row>
    <row r="109">
      <c r="A109" s="26" t="n"/>
      <c r="B109" s="26" t="n"/>
      <c r="C109" s="29" t="n"/>
      <c r="D109" s="27" t="n"/>
      <c r="E109" s="26" t="n"/>
      <c r="F109" s="26" t="n"/>
      <c r="G109" s="28">
        <f>IF($A109="","",SUMIFS(tblAkis[MahsupTutar],tblAkis[KaynakKartId],$B109,tblAkis[Durum],"MAHSUP"))</f>
        <v/>
      </c>
      <c r="H109" s="28">
        <f>IF($A109="","",MAX(0,$D109-$G109))</f>
        <v/>
      </c>
      <c r="I109" s="28">
        <f>IF($A109="","",IF($C109="","",raporTarihi-$C109))</f>
        <v/>
      </c>
      <c r="J109" s="28">
        <f>IF($A109="","",IF($I109="","",IF($I109&lt;=7,"0-7",IF($I109&lt;=30,"8-30",IF($I109&lt;=60,"31-60","60+")))))</f>
        <v/>
      </c>
      <c r="K109" s="28">
        <f>IF($A109="","",IF($B109="","YETİM",IF(COUNTIF(tblKartlar[KartId],$B109)=0,"YETİM","")))</f>
        <v/>
      </c>
      <c r="L109" s="28">
        <f>IF($A109="","",IF($G109&gt;$D109+kad_mahsupTolerans,"AŞIM","UYGUN"))</f>
        <v/>
      </c>
    </row>
    <row r="110">
      <c r="A110" s="26" t="n"/>
      <c r="B110" s="26" t="n"/>
      <c r="C110" s="29" t="n"/>
      <c r="D110" s="27" t="n"/>
      <c r="E110" s="26" t="n"/>
      <c r="F110" s="26" t="n"/>
      <c r="G110" s="28">
        <f>IF($A110="","",SUMIFS(tblAkis[MahsupTutar],tblAkis[KaynakKartId],$B110,tblAkis[Durum],"MAHSUP"))</f>
        <v/>
      </c>
      <c r="H110" s="28">
        <f>IF($A110="","",MAX(0,$D110-$G110))</f>
        <v/>
      </c>
      <c r="I110" s="28">
        <f>IF($A110="","",IF($C110="","",raporTarihi-$C110))</f>
        <v/>
      </c>
      <c r="J110" s="28">
        <f>IF($A110="","",IF($I110="","",IF($I110&lt;=7,"0-7",IF($I110&lt;=30,"8-30",IF($I110&lt;=60,"31-60","60+")))))</f>
        <v/>
      </c>
      <c r="K110" s="28">
        <f>IF($A110="","",IF($B110="","YETİM",IF(COUNTIF(tblKartlar[KartId],$B110)=0,"YETİM","")))</f>
        <v/>
      </c>
      <c r="L110" s="28">
        <f>IF($A110="","",IF($G110&gt;$D110+kad_mahsupTolerans,"AŞIM","UYGUN"))</f>
        <v/>
      </c>
    </row>
    <row r="111">
      <c r="A111" s="26" t="n"/>
      <c r="B111" s="26" t="n"/>
      <c r="C111" s="29" t="n"/>
      <c r="D111" s="27" t="n"/>
      <c r="E111" s="26" t="n"/>
      <c r="F111" s="26" t="n"/>
      <c r="G111" s="28">
        <f>IF($A111="","",SUMIFS(tblAkis[MahsupTutar],tblAkis[KaynakKartId],$B111,tblAkis[Durum],"MAHSUP"))</f>
        <v/>
      </c>
      <c r="H111" s="28">
        <f>IF($A111="","",MAX(0,$D111-$G111))</f>
        <v/>
      </c>
      <c r="I111" s="28">
        <f>IF($A111="","",IF($C111="","",raporTarihi-$C111))</f>
        <v/>
      </c>
      <c r="J111" s="28">
        <f>IF($A111="","",IF($I111="","",IF($I111&lt;=7,"0-7",IF($I111&lt;=30,"8-30",IF($I111&lt;=60,"31-60","60+")))))</f>
        <v/>
      </c>
      <c r="K111" s="28">
        <f>IF($A111="","",IF($B111="","YETİM",IF(COUNTIF(tblKartlar[KartId],$B111)=0,"YETİM","")))</f>
        <v/>
      </c>
      <c r="L111" s="28">
        <f>IF($A111="","",IF($G111&gt;$D111+kad_mahsupTolerans,"AŞIM","UYGUN"))</f>
        <v/>
      </c>
    </row>
    <row r="112">
      <c r="A112" s="26" t="n"/>
      <c r="B112" s="26" t="n"/>
      <c r="C112" s="29" t="n"/>
      <c r="D112" s="27" t="n"/>
      <c r="E112" s="26" t="n"/>
      <c r="F112" s="26" t="n"/>
      <c r="G112" s="28">
        <f>IF($A112="","",SUMIFS(tblAkis[MahsupTutar],tblAkis[KaynakKartId],$B112,tblAkis[Durum],"MAHSUP"))</f>
        <v/>
      </c>
      <c r="H112" s="28">
        <f>IF($A112="","",MAX(0,$D112-$G112))</f>
        <v/>
      </c>
      <c r="I112" s="28">
        <f>IF($A112="","",IF($C112="","",raporTarihi-$C112))</f>
        <v/>
      </c>
      <c r="J112" s="28">
        <f>IF($A112="","",IF($I112="","",IF($I112&lt;=7,"0-7",IF($I112&lt;=30,"8-30",IF($I112&lt;=60,"31-60","60+")))))</f>
        <v/>
      </c>
      <c r="K112" s="28">
        <f>IF($A112="","",IF($B112="","YETİM",IF(COUNTIF(tblKartlar[KartId],$B112)=0,"YETİM","")))</f>
        <v/>
      </c>
      <c r="L112" s="28">
        <f>IF($A112="","",IF($G112&gt;$D112+kad_mahsupTolerans,"AŞIM","UYGUN"))</f>
        <v/>
      </c>
    </row>
    <row r="113">
      <c r="A113" s="26" t="n"/>
      <c r="B113" s="26" t="n"/>
      <c r="C113" s="29" t="n"/>
      <c r="D113" s="27" t="n"/>
      <c r="E113" s="26" t="n"/>
      <c r="F113" s="26" t="n"/>
      <c r="G113" s="28">
        <f>IF($A113="","",SUMIFS(tblAkis[MahsupTutar],tblAkis[KaynakKartId],$B113,tblAkis[Durum],"MAHSUP"))</f>
        <v/>
      </c>
      <c r="H113" s="28">
        <f>IF($A113="","",MAX(0,$D113-$G113))</f>
        <v/>
      </c>
      <c r="I113" s="28">
        <f>IF($A113="","",IF($C113="","",raporTarihi-$C113))</f>
        <v/>
      </c>
      <c r="J113" s="28">
        <f>IF($A113="","",IF($I113="","",IF($I113&lt;=7,"0-7",IF($I113&lt;=30,"8-30",IF($I113&lt;=60,"31-60","60+")))))</f>
        <v/>
      </c>
      <c r="K113" s="28">
        <f>IF($A113="","",IF($B113="","YETİM",IF(COUNTIF(tblKartlar[KartId],$B113)=0,"YETİM","")))</f>
        <v/>
      </c>
      <c r="L113" s="28">
        <f>IF($A113="","",IF($G113&gt;$D113+kad_mahsupTolerans,"AŞIM","UYGUN"))</f>
        <v/>
      </c>
    </row>
    <row r="114">
      <c r="A114" s="26" t="n"/>
      <c r="B114" s="26" t="n"/>
      <c r="C114" s="29" t="n"/>
      <c r="D114" s="27" t="n"/>
      <c r="E114" s="26" t="n"/>
      <c r="F114" s="26" t="n"/>
      <c r="G114" s="28">
        <f>IF($A114="","",SUMIFS(tblAkis[MahsupTutar],tblAkis[KaynakKartId],$B114,tblAkis[Durum],"MAHSUP"))</f>
        <v/>
      </c>
      <c r="H114" s="28">
        <f>IF($A114="","",MAX(0,$D114-$G114))</f>
        <v/>
      </c>
      <c r="I114" s="28">
        <f>IF($A114="","",IF($C114="","",raporTarihi-$C114))</f>
        <v/>
      </c>
      <c r="J114" s="28">
        <f>IF($A114="","",IF($I114="","",IF($I114&lt;=7,"0-7",IF($I114&lt;=30,"8-30",IF($I114&lt;=60,"31-60","60+")))))</f>
        <v/>
      </c>
      <c r="K114" s="28">
        <f>IF($A114="","",IF($B114="","YETİM",IF(COUNTIF(tblKartlar[KartId],$B114)=0,"YETİM","")))</f>
        <v/>
      </c>
      <c r="L114" s="28">
        <f>IF($A114="","",IF($G114&gt;$D114+kad_mahsupTolerans,"AŞIM","UYGUN"))</f>
        <v/>
      </c>
    </row>
    <row r="115">
      <c r="A115" s="26" t="n"/>
      <c r="B115" s="26" t="n"/>
      <c r="C115" s="29" t="n"/>
      <c r="D115" s="27" t="n"/>
      <c r="E115" s="26" t="n"/>
      <c r="F115" s="26" t="n"/>
      <c r="G115" s="28">
        <f>IF($A115="","",SUMIFS(tblAkis[MahsupTutar],tblAkis[KaynakKartId],$B115,tblAkis[Durum],"MAHSUP"))</f>
        <v/>
      </c>
      <c r="H115" s="28">
        <f>IF($A115="","",MAX(0,$D115-$G115))</f>
        <v/>
      </c>
      <c r="I115" s="28">
        <f>IF($A115="","",IF($C115="","",raporTarihi-$C115))</f>
        <v/>
      </c>
      <c r="J115" s="28">
        <f>IF($A115="","",IF($I115="","",IF($I115&lt;=7,"0-7",IF($I115&lt;=30,"8-30",IF($I115&lt;=60,"31-60","60+")))))</f>
        <v/>
      </c>
      <c r="K115" s="28">
        <f>IF($A115="","",IF($B115="","YETİM",IF(COUNTIF(tblKartlar[KartId],$B115)=0,"YETİM","")))</f>
        <v/>
      </c>
      <c r="L115" s="28">
        <f>IF($A115="","",IF($G115&gt;$D115+kad_mahsupTolerans,"AŞIM","UYGUN"))</f>
        <v/>
      </c>
    </row>
    <row r="116">
      <c r="A116" s="26" t="n"/>
      <c r="B116" s="26" t="n"/>
      <c r="C116" s="29" t="n"/>
      <c r="D116" s="27" t="n"/>
      <c r="E116" s="26" t="n"/>
      <c r="F116" s="26" t="n"/>
      <c r="G116" s="28">
        <f>IF($A116="","",SUMIFS(tblAkis[MahsupTutar],tblAkis[KaynakKartId],$B116,tblAkis[Durum],"MAHSUP"))</f>
        <v/>
      </c>
      <c r="H116" s="28">
        <f>IF($A116="","",MAX(0,$D116-$G116))</f>
        <v/>
      </c>
      <c r="I116" s="28">
        <f>IF($A116="","",IF($C116="","",raporTarihi-$C116))</f>
        <v/>
      </c>
      <c r="J116" s="28">
        <f>IF($A116="","",IF($I116="","",IF($I116&lt;=7,"0-7",IF($I116&lt;=30,"8-30",IF($I116&lt;=60,"31-60","60+")))))</f>
        <v/>
      </c>
      <c r="K116" s="28">
        <f>IF($A116="","",IF($B116="","YETİM",IF(COUNTIF(tblKartlar[KartId],$B116)=0,"YETİM","")))</f>
        <v/>
      </c>
      <c r="L116" s="28">
        <f>IF($A116="","",IF($G116&gt;$D116+kad_mahsupTolerans,"AŞIM","UYGUN"))</f>
        <v/>
      </c>
    </row>
    <row r="117">
      <c r="A117" s="26" t="n"/>
      <c r="B117" s="26" t="n"/>
      <c r="C117" s="29" t="n"/>
      <c r="D117" s="27" t="n"/>
      <c r="E117" s="26" t="n"/>
      <c r="F117" s="26" t="n"/>
      <c r="G117" s="28">
        <f>IF($A117="","",SUMIFS(tblAkis[MahsupTutar],tblAkis[KaynakKartId],$B117,tblAkis[Durum],"MAHSUP"))</f>
        <v/>
      </c>
      <c r="H117" s="28">
        <f>IF($A117="","",MAX(0,$D117-$G117))</f>
        <v/>
      </c>
      <c r="I117" s="28">
        <f>IF($A117="","",IF($C117="","",raporTarihi-$C117))</f>
        <v/>
      </c>
      <c r="J117" s="28">
        <f>IF($A117="","",IF($I117="","",IF($I117&lt;=7,"0-7",IF($I117&lt;=30,"8-30",IF($I117&lt;=60,"31-60","60+")))))</f>
        <v/>
      </c>
      <c r="K117" s="28">
        <f>IF($A117="","",IF($B117="","YETİM",IF(COUNTIF(tblKartlar[KartId],$B117)=0,"YETİM","")))</f>
        <v/>
      </c>
      <c r="L117" s="28">
        <f>IF($A117="","",IF($G117&gt;$D117+kad_mahsupTolerans,"AŞIM","UYGUN"))</f>
        <v/>
      </c>
    </row>
    <row r="118">
      <c r="A118" s="26" t="n"/>
      <c r="B118" s="26" t="n"/>
      <c r="C118" s="29" t="n"/>
      <c r="D118" s="27" t="n"/>
      <c r="E118" s="26" t="n"/>
      <c r="F118" s="26" t="n"/>
      <c r="G118" s="28">
        <f>IF($A118="","",SUMIFS(tblAkis[MahsupTutar],tblAkis[KaynakKartId],$B118,tblAkis[Durum],"MAHSUP"))</f>
        <v/>
      </c>
      <c r="H118" s="28">
        <f>IF($A118="","",MAX(0,$D118-$G118))</f>
        <v/>
      </c>
      <c r="I118" s="28">
        <f>IF($A118="","",IF($C118="","",raporTarihi-$C118))</f>
        <v/>
      </c>
      <c r="J118" s="28">
        <f>IF($A118="","",IF($I118="","",IF($I118&lt;=7,"0-7",IF($I118&lt;=30,"8-30",IF($I118&lt;=60,"31-60","60+")))))</f>
        <v/>
      </c>
      <c r="K118" s="28">
        <f>IF($A118="","",IF($B118="","YETİM",IF(COUNTIF(tblKartlar[KartId],$B118)=0,"YETİM","")))</f>
        <v/>
      </c>
      <c r="L118" s="28">
        <f>IF($A118="","",IF($G118&gt;$D118+kad_mahsupTolerans,"AŞIM","UYGUN"))</f>
        <v/>
      </c>
    </row>
    <row r="119">
      <c r="A119" s="26" t="n"/>
      <c r="B119" s="26" t="n"/>
      <c r="C119" s="29" t="n"/>
      <c r="D119" s="27" t="n"/>
      <c r="E119" s="26" t="n"/>
      <c r="F119" s="26" t="n"/>
      <c r="G119" s="28">
        <f>IF($A119="","",SUMIFS(tblAkis[MahsupTutar],tblAkis[KaynakKartId],$B119,tblAkis[Durum],"MAHSUP"))</f>
        <v/>
      </c>
      <c r="H119" s="28">
        <f>IF($A119="","",MAX(0,$D119-$G119))</f>
        <v/>
      </c>
      <c r="I119" s="28">
        <f>IF($A119="","",IF($C119="","",raporTarihi-$C119))</f>
        <v/>
      </c>
      <c r="J119" s="28">
        <f>IF($A119="","",IF($I119="","",IF($I119&lt;=7,"0-7",IF($I119&lt;=30,"8-30",IF($I119&lt;=60,"31-60","60+")))))</f>
        <v/>
      </c>
      <c r="K119" s="28">
        <f>IF($A119="","",IF($B119="","YETİM",IF(COUNTIF(tblKartlar[KartId],$B119)=0,"YETİM","")))</f>
        <v/>
      </c>
      <c r="L119" s="28">
        <f>IF($A119="","",IF($G119&gt;$D119+kad_mahsupTolerans,"AŞIM","UYGUN"))</f>
        <v/>
      </c>
    </row>
    <row r="120">
      <c r="A120" s="26" t="n"/>
      <c r="B120" s="26" t="n"/>
      <c r="C120" s="29" t="n"/>
      <c r="D120" s="27" t="n"/>
      <c r="E120" s="26" t="n"/>
      <c r="F120" s="26" t="n"/>
      <c r="G120" s="28">
        <f>IF($A120="","",SUMIFS(tblAkis[MahsupTutar],tblAkis[KaynakKartId],$B120,tblAkis[Durum],"MAHSUP"))</f>
        <v/>
      </c>
      <c r="H120" s="28">
        <f>IF($A120="","",MAX(0,$D120-$G120))</f>
        <v/>
      </c>
      <c r="I120" s="28">
        <f>IF($A120="","",IF($C120="","",raporTarihi-$C120))</f>
        <v/>
      </c>
      <c r="J120" s="28">
        <f>IF($A120="","",IF($I120="","",IF($I120&lt;=7,"0-7",IF($I120&lt;=30,"8-30",IF($I120&lt;=60,"31-60","60+")))))</f>
        <v/>
      </c>
      <c r="K120" s="28">
        <f>IF($A120="","",IF($B120="","YETİM",IF(COUNTIF(tblKartlar[KartId],$B120)=0,"YETİM","")))</f>
        <v/>
      </c>
      <c r="L120" s="28">
        <f>IF($A120="","",IF($G120&gt;$D120+kad_mahsupTolerans,"AŞIM","UYGUN"))</f>
        <v/>
      </c>
    </row>
    <row r="121">
      <c r="A121" s="26" t="n"/>
      <c r="B121" s="26" t="n"/>
      <c r="C121" s="29" t="n"/>
      <c r="D121" s="27" t="n"/>
      <c r="E121" s="26" t="n"/>
      <c r="F121" s="26" t="n"/>
      <c r="G121" s="28">
        <f>IF($A121="","",SUMIFS(tblAkis[MahsupTutar],tblAkis[KaynakKartId],$B121,tblAkis[Durum],"MAHSUP"))</f>
        <v/>
      </c>
      <c r="H121" s="28">
        <f>IF($A121="","",MAX(0,$D121-$G121))</f>
        <v/>
      </c>
      <c r="I121" s="28">
        <f>IF($A121="","",IF($C121="","",raporTarihi-$C121))</f>
        <v/>
      </c>
      <c r="J121" s="28">
        <f>IF($A121="","",IF($I121="","",IF($I121&lt;=7,"0-7",IF($I121&lt;=30,"8-30",IF($I121&lt;=60,"31-60","60+")))))</f>
        <v/>
      </c>
      <c r="K121" s="28">
        <f>IF($A121="","",IF($B121="","YETİM",IF(COUNTIF(tblKartlar[KartId],$B121)=0,"YETİM","")))</f>
        <v/>
      </c>
      <c r="L121" s="28">
        <f>IF($A121="","",IF($G121&gt;$D121+kad_mahsupTolerans,"AŞIM","UYGUN"))</f>
        <v/>
      </c>
    </row>
    <row r="122">
      <c r="A122" s="26" t="n"/>
      <c r="B122" s="26" t="n"/>
      <c r="C122" s="29" t="n"/>
      <c r="D122" s="27" t="n"/>
      <c r="E122" s="26" t="n"/>
      <c r="F122" s="26" t="n"/>
      <c r="G122" s="28">
        <f>IF($A122="","",SUMIFS(tblAkis[MahsupTutar],tblAkis[KaynakKartId],$B122,tblAkis[Durum],"MAHSUP"))</f>
        <v/>
      </c>
      <c r="H122" s="28">
        <f>IF($A122="","",MAX(0,$D122-$G122))</f>
        <v/>
      </c>
      <c r="I122" s="28">
        <f>IF($A122="","",IF($C122="","",raporTarihi-$C122))</f>
        <v/>
      </c>
      <c r="J122" s="28">
        <f>IF($A122="","",IF($I122="","",IF($I122&lt;=7,"0-7",IF($I122&lt;=30,"8-30",IF($I122&lt;=60,"31-60","60+")))))</f>
        <v/>
      </c>
      <c r="K122" s="28">
        <f>IF($A122="","",IF($B122="","YETİM",IF(COUNTIF(tblKartlar[KartId],$B122)=0,"YETİM","")))</f>
        <v/>
      </c>
      <c r="L122" s="28">
        <f>IF($A122="","",IF($G122&gt;$D122+kad_mahsupTolerans,"AŞIM","UYGUN"))</f>
        <v/>
      </c>
    </row>
    <row r="123">
      <c r="A123" s="26" t="n"/>
      <c r="B123" s="26" t="n"/>
      <c r="C123" s="29" t="n"/>
      <c r="D123" s="27" t="n"/>
      <c r="E123" s="26" t="n"/>
      <c r="F123" s="26" t="n"/>
      <c r="G123" s="28">
        <f>IF($A123="","",SUMIFS(tblAkis[MahsupTutar],tblAkis[KaynakKartId],$B123,tblAkis[Durum],"MAHSUP"))</f>
        <v/>
      </c>
      <c r="H123" s="28">
        <f>IF($A123="","",MAX(0,$D123-$G123))</f>
        <v/>
      </c>
      <c r="I123" s="28">
        <f>IF($A123="","",IF($C123="","",raporTarihi-$C123))</f>
        <v/>
      </c>
      <c r="J123" s="28">
        <f>IF($A123="","",IF($I123="","",IF($I123&lt;=7,"0-7",IF($I123&lt;=30,"8-30",IF($I123&lt;=60,"31-60","60+")))))</f>
        <v/>
      </c>
      <c r="K123" s="28">
        <f>IF($A123="","",IF($B123="","YETİM",IF(COUNTIF(tblKartlar[KartId],$B123)=0,"YETİM","")))</f>
        <v/>
      </c>
      <c r="L123" s="28">
        <f>IF($A123="","",IF($G123&gt;$D123+kad_mahsupTolerans,"AŞIM","UYGUN"))</f>
        <v/>
      </c>
    </row>
    <row r="124">
      <c r="A124" s="26" t="n"/>
      <c r="B124" s="26" t="n"/>
      <c r="C124" s="29" t="n"/>
      <c r="D124" s="27" t="n"/>
      <c r="E124" s="26" t="n"/>
      <c r="F124" s="26" t="n"/>
      <c r="G124" s="28">
        <f>IF($A124="","",SUMIFS(tblAkis[MahsupTutar],tblAkis[KaynakKartId],$B124,tblAkis[Durum],"MAHSUP"))</f>
        <v/>
      </c>
      <c r="H124" s="28">
        <f>IF($A124="","",MAX(0,$D124-$G124))</f>
        <v/>
      </c>
      <c r="I124" s="28">
        <f>IF($A124="","",IF($C124="","",raporTarihi-$C124))</f>
        <v/>
      </c>
      <c r="J124" s="28">
        <f>IF($A124="","",IF($I124="","",IF($I124&lt;=7,"0-7",IF($I124&lt;=30,"8-30",IF($I124&lt;=60,"31-60","60+")))))</f>
        <v/>
      </c>
      <c r="K124" s="28">
        <f>IF($A124="","",IF($B124="","YETİM",IF(COUNTIF(tblKartlar[KartId],$B124)=0,"YETİM","")))</f>
        <v/>
      </c>
      <c r="L124" s="28">
        <f>IF($A124="","",IF($G124&gt;$D124+kad_mahsupTolerans,"AŞIM","UYGUN"))</f>
        <v/>
      </c>
    </row>
    <row r="125">
      <c r="A125" s="26" t="n"/>
      <c r="B125" s="26" t="n"/>
      <c r="C125" s="29" t="n"/>
      <c r="D125" s="27" t="n"/>
      <c r="E125" s="26" t="n"/>
      <c r="F125" s="26" t="n"/>
      <c r="G125" s="28">
        <f>IF($A125="","",SUMIFS(tblAkis[MahsupTutar],tblAkis[KaynakKartId],$B125,tblAkis[Durum],"MAHSUP"))</f>
        <v/>
      </c>
      <c r="H125" s="28">
        <f>IF($A125="","",MAX(0,$D125-$G125))</f>
        <v/>
      </c>
      <c r="I125" s="28">
        <f>IF($A125="","",IF($C125="","",raporTarihi-$C125))</f>
        <v/>
      </c>
      <c r="J125" s="28">
        <f>IF($A125="","",IF($I125="","",IF($I125&lt;=7,"0-7",IF($I125&lt;=30,"8-30",IF($I125&lt;=60,"31-60","60+")))))</f>
        <v/>
      </c>
      <c r="K125" s="28">
        <f>IF($A125="","",IF($B125="","YETİM",IF(COUNTIF(tblKartlar[KartId],$B125)=0,"YETİM","")))</f>
        <v/>
      </c>
      <c r="L125" s="28">
        <f>IF($A125="","",IF($G125&gt;$D125+kad_mahsupTolerans,"AŞIM","UYGUN"))</f>
        <v/>
      </c>
    </row>
    <row r="126">
      <c r="A126" s="26" t="n"/>
      <c r="B126" s="26" t="n"/>
      <c r="C126" s="29" t="n"/>
      <c r="D126" s="27" t="n"/>
      <c r="E126" s="26" t="n"/>
      <c r="F126" s="26" t="n"/>
      <c r="G126" s="28">
        <f>IF($A126="","",SUMIFS(tblAkis[MahsupTutar],tblAkis[KaynakKartId],$B126,tblAkis[Durum],"MAHSUP"))</f>
        <v/>
      </c>
      <c r="H126" s="28">
        <f>IF($A126="","",MAX(0,$D126-$G126))</f>
        <v/>
      </c>
      <c r="I126" s="28">
        <f>IF($A126="","",IF($C126="","",raporTarihi-$C126))</f>
        <v/>
      </c>
      <c r="J126" s="28">
        <f>IF($A126="","",IF($I126="","",IF($I126&lt;=7,"0-7",IF($I126&lt;=30,"8-30",IF($I126&lt;=60,"31-60","60+")))))</f>
        <v/>
      </c>
      <c r="K126" s="28">
        <f>IF($A126="","",IF($B126="","YETİM",IF(COUNTIF(tblKartlar[KartId],$B126)=0,"YETİM","")))</f>
        <v/>
      </c>
      <c r="L126" s="28">
        <f>IF($A126="","",IF($G126&gt;$D126+kad_mahsupTolerans,"AŞIM","UYGUN"))</f>
        <v/>
      </c>
    </row>
    <row r="127">
      <c r="A127" s="26" t="n"/>
      <c r="B127" s="26" t="n"/>
      <c r="C127" s="29" t="n"/>
      <c r="D127" s="27" t="n"/>
      <c r="E127" s="26" t="n"/>
      <c r="F127" s="26" t="n"/>
      <c r="G127" s="28">
        <f>IF($A127="","",SUMIFS(tblAkis[MahsupTutar],tblAkis[KaynakKartId],$B127,tblAkis[Durum],"MAHSUP"))</f>
        <v/>
      </c>
      <c r="H127" s="28">
        <f>IF($A127="","",MAX(0,$D127-$G127))</f>
        <v/>
      </c>
      <c r="I127" s="28">
        <f>IF($A127="","",IF($C127="","",raporTarihi-$C127))</f>
        <v/>
      </c>
      <c r="J127" s="28">
        <f>IF($A127="","",IF($I127="","",IF($I127&lt;=7,"0-7",IF($I127&lt;=30,"8-30",IF($I127&lt;=60,"31-60","60+")))))</f>
        <v/>
      </c>
      <c r="K127" s="28">
        <f>IF($A127="","",IF($B127="","YETİM",IF(COUNTIF(tblKartlar[KartId],$B127)=0,"YETİM","")))</f>
        <v/>
      </c>
      <c r="L127" s="28">
        <f>IF($A127="","",IF($G127&gt;$D127+kad_mahsupTolerans,"AŞIM","UYGUN"))</f>
        <v/>
      </c>
    </row>
    <row r="128">
      <c r="A128" s="26" t="n"/>
      <c r="B128" s="26" t="n"/>
      <c r="C128" s="29" t="n"/>
      <c r="D128" s="27" t="n"/>
      <c r="E128" s="26" t="n"/>
      <c r="F128" s="26" t="n"/>
      <c r="G128" s="28">
        <f>IF($A128="","",SUMIFS(tblAkis[MahsupTutar],tblAkis[KaynakKartId],$B128,tblAkis[Durum],"MAHSUP"))</f>
        <v/>
      </c>
      <c r="H128" s="28">
        <f>IF($A128="","",MAX(0,$D128-$G128))</f>
        <v/>
      </c>
      <c r="I128" s="28">
        <f>IF($A128="","",IF($C128="","",raporTarihi-$C128))</f>
        <v/>
      </c>
      <c r="J128" s="28">
        <f>IF($A128="","",IF($I128="","",IF($I128&lt;=7,"0-7",IF($I128&lt;=30,"8-30",IF($I128&lt;=60,"31-60","60+")))))</f>
        <v/>
      </c>
      <c r="K128" s="28">
        <f>IF($A128="","",IF($B128="","YETİM",IF(COUNTIF(tblKartlar[KartId],$B128)=0,"YETİM","")))</f>
        <v/>
      </c>
      <c r="L128" s="28">
        <f>IF($A128="","",IF($G128&gt;$D128+kad_mahsupTolerans,"AŞIM","UYGUN"))</f>
        <v/>
      </c>
    </row>
    <row r="129">
      <c r="A129" s="26" t="n"/>
      <c r="B129" s="26" t="n"/>
      <c r="C129" s="29" t="n"/>
      <c r="D129" s="27" t="n"/>
      <c r="E129" s="26" t="n"/>
      <c r="F129" s="26" t="n"/>
      <c r="G129" s="28">
        <f>IF($A129="","",SUMIFS(tblAkis[MahsupTutar],tblAkis[KaynakKartId],$B129,tblAkis[Durum],"MAHSUP"))</f>
        <v/>
      </c>
      <c r="H129" s="28">
        <f>IF($A129="","",MAX(0,$D129-$G129))</f>
        <v/>
      </c>
      <c r="I129" s="28">
        <f>IF($A129="","",IF($C129="","",raporTarihi-$C129))</f>
        <v/>
      </c>
      <c r="J129" s="28">
        <f>IF($A129="","",IF($I129="","",IF($I129&lt;=7,"0-7",IF($I129&lt;=30,"8-30",IF($I129&lt;=60,"31-60","60+")))))</f>
        <v/>
      </c>
      <c r="K129" s="28">
        <f>IF($A129="","",IF($B129="","YETİM",IF(COUNTIF(tblKartlar[KartId],$B129)=0,"YETİM","")))</f>
        <v/>
      </c>
      <c r="L129" s="28">
        <f>IF($A129="","",IF($G129&gt;$D129+kad_mahsupTolerans,"AŞIM","UYGUN"))</f>
        <v/>
      </c>
    </row>
    <row r="130">
      <c r="A130" s="26" t="n"/>
      <c r="B130" s="26" t="n"/>
      <c r="C130" s="29" t="n"/>
      <c r="D130" s="27" t="n"/>
      <c r="E130" s="26" t="n"/>
      <c r="F130" s="26" t="n"/>
      <c r="G130" s="28">
        <f>IF($A130="","",SUMIFS(tblAkis[MahsupTutar],tblAkis[KaynakKartId],$B130,tblAkis[Durum],"MAHSUP"))</f>
        <v/>
      </c>
      <c r="H130" s="28">
        <f>IF($A130="","",MAX(0,$D130-$G130))</f>
        <v/>
      </c>
      <c r="I130" s="28">
        <f>IF($A130="","",IF($C130="","",raporTarihi-$C130))</f>
        <v/>
      </c>
      <c r="J130" s="28">
        <f>IF($A130="","",IF($I130="","",IF($I130&lt;=7,"0-7",IF($I130&lt;=30,"8-30",IF($I130&lt;=60,"31-60","60+")))))</f>
        <v/>
      </c>
      <c r="K130" s="28">
        <f>IF($A130="","",IF($B130="","YETİM",IF(COUNTIF(tblKartlar[KartId],$B130)=0,"YETİM","")))</f>
        <v/>
      </c>
      <c r="L130" s="28">
        <f>IF($A130="","",IF($G130&gt;$D130+kad_mahsupTolerans,"AŞIM","UYGUN"))</f>
        <v/>
      </c>
    </row>
    <row r="131">
      <c r="A131" s="26" t="n"/>
      <c r="B131" s="26" t="n"/>
      <c r="C131" s="29" t="n"/>
      <c r="D131" s="27" t="n"/>
      <c r="E131" s="26" t="n"/>
      <c r="F131" s="26" t="n"/>
      <c r="G131" s="28">
        <f>IF($A131="","",SUMIFS(tblAkis[MahsupTutar],tblAkis[KaynakKartId],$B131,tblAkis[Durum],"MAHSUP"))</f>
        <v/>
      </c>
      <c r="H131" s="28">
        <f>IF($A131="","",MAX(0,$D131-$G131))</f>
        <v/>
      </c>
      <c r="I131" s="28">
        <f>IF($A131="","",IF($C131="","",raporTarihi-$C131))</f>
        <v/>
      </c>
      <c r="J131" s="28">
        <f>IF($A131="","",IF($I131="","",IF($I131&lt;=7,"0-7",IF($I131&lt;=30,"8-30",IF($I131&lt;=60,"31-60","60+")))))</f>
        <v/>
      </c>
      <c r="K131" s="28">
        <f>IF($A131="","",IF($B131="","YETİM",IF(COUNTIF(tblKartlar[KartId],$B131)=0,"YETİM","")))</f>
        <v/>
      </c>
      <c r="L131" s="28">
        <f>IF($A131="","",IF($G131&gt;$D131+kad_mahsupTolerans,"AŞIM","UYGUN"))</f>
        <v/>
      </c>
    </row>
    <row r="132">
      <c r="A132" s="26" t="n"/>
      <c r="B132" s="26" t="n"/>
      <c r="C132" s="29" t="n"/>
      <c r="D132" s="27" t="n"/>
      <c r="E132" s="26" t="n"/>
      <c r="F132" s="26" t="n"/>
      <c r="G132" s="28">
        <f>IF($A132="","",SUMIFS(tblAkis[MahsupTutar],tblAkis[KaynakKartId],$B132,tblAkis[Durum],"MAHSUP"))</f>
        <v/>
      </c>
      <c r="H132" s="28">
        <f>IF($A132="","",MAX(0,$D132-$G132))</f>
        <v/>
      </c>
      <c r="I132" s="28">
        <f>IF($A132="","",IF($C132="","",raporTarihi-$C132))</f>
        <v/>
      </c>
      <c r="J132" s="28">
        <f>IF($A132="","",IF($I132="","",IF($I132&lt;=7,"0-7",IF($I132&lt;=30,"8-30",IF($I132&lt;=60,"31-60","60+")))))</f>
        <v/>
      </c>
      <c r="K132" s="28">
        <f>IF($A132="","",IF($B132="","YETİM",IF(COUNTIF(tblKartlar[KartId],$B132)=0,"YETİM","")))</f>
        <v/>
      </c>
      <c r="L132" s="28">
        <f>IF($A132="","",IF($G132&gt;$D132+kad_mahsupTolerans,"AŞIM","UYGUN"))</f>
        <v/>
      </c>
    </row>
    <row r="133">
      <c r="A133" s="26" t="n"/>
      <c r="B133" s="26" t="n"/>
      <c r="C133" s="29" t="n"/>
      <c r="D133" s="27" t="n"/>
      <c r="E133" s="26" t="n"/>
      <c r="F133" s="26" t="n"/>
      <c r="G133" s="28">
        <f>IF($A133="","",SUMIFS(tblAkis[MahsupTutar],tblAkis[KaynakKartId],$B133,tblAkis[Durum],"MAHSUP"))</f>
        <v/>
      </c>
      <c r="H133" s="28">
        <f>IF($A133="","",MAX(0,$D133-$G133))</f>
        <v/>
      </c>
      <c r="I133" s="28">
        <f>IF($A133="","",IF($C133="","",raporTarihi-$C133))</f>
        <v/>
      </c>
      <c r="J133" s="28">
        <f>IF($A133="","",IF($I133="","",IF($I133&lt;=7,"0-7",IF($I133&lt;=30,"8-30",IF($I133&lt;=60,"31-60","60+")))))</f>
        <v/>
      </c>
      <c r="K133" s="28">
        <f>IF($A133="","",IF($B133="","YETİM",IF(COUNTIF(tblKartlar[KartId],$B133)=0,"YETİM","")))</f>
        <v/>
      </c>
      <c r="L133" s="28">
        <f>IF($A133="","",IF($G133&gt;$D133+kad_mahsupTolerans,"AŞIM","UYGUN"))</f>
        <v/>
      </c>
    </row>
    <row r="134">
      <c r="A134" s="26" t="n"/>
      <c r="B134" s="26" t="n"/>
      <c r="C134" s="29" t="n"/>
      <c r="D134" s="27" t="n"/>
      <c r="E134" s="26" t="n"/>
      <c r="F134" s="26" t="n"/>
      <c r="G134" s="28">
        <f>IF($A134="","",SUMIFS(tblAkis[MahsupTutar],tblAkis[KaynakKartId],$B134,tblAkis[Durum],"MAHSUP"))</f>
        <v/>
      </c>
      <c r="H134" s="28">
        <f>IF($A134="","",MAX(0,$D134-$G134))</f>
        <v/>
      </c>
      <c r="I134" s="28">
        <f>IF($A134="","",IF($C134="","",raporTarihi-$C134))</f>
        <v/>
      </c>
      <c r="J134" s="28">
        <f>IF($A134="","",IF($I134="","",IF($I134&lt;=7,"0-7",IF($I134&lt;=30,"8-30",IF($I134&lt;=60,"31-60","60+")))))</f>
        <v/>
      </c>
      <c r="K134" s="28">
        <f>IF($A134="","",IF($B134="","YETİM",IF(COUNTIF(tblKartlar[KartId],$B134)=0,"YETİM","")))</f>
        <v/>
      </c>
      <c r="L134" s="28">
        <f>IF($A134="","",IF($G134&gt;$D134+kad_mahsupTolerans,"AŞIM","UYGUN"))</f>
        <v/>
      </c>
    </row>
    <row r="135">
      <c r="A135" s="26" t="n"/>
      <c r="B135" s="26" t="n"/>
      <c r="C135" s="29" t="n"/>
      <c r="D135" s="27" t="n"/>
      <c r="E135" s="26" t="n"/>
      <c r="F135" s="26" t="n"/>
      <c r="G135" s="28">
        <f>IF($A135="","",SUMIFS(tblAkis[MahsupTutar],tblAkis[KaynakKartId],$B135,tblAkis[Durum],"MAHSUP"))</f>
        <v/>
      </c>
      <c r="H135" s="28">
        <f>IF($A135="","",MAX(0,$D135-$G135))</f>
        <v/>
      </c>
      <c r="I135" s="28">
        <f>IF($A135="","",IF($C135="","",raporTarihi-$C135))</f>
        <v/>
      </c>
      <c r="J135" s="28">
        <f>IF($A135="","",IF($I135="","",IF($I135&lt;=7,"0-7",IF($I135&lt;=30,"8-30",IF($I135&lt;=60,"31-60","60+")))))</f>
        <v/>
      </c>
      <c r="K135" s="28">
        <f>IF($A135="","",IF($B135="","YETİM",IF(COUNTIF(tblKartlar[KartId],$B135)=0,"YETİM","")))</f>
        <v/>
      </c>
      <c r="L135" s="28">
        <f>IF($A135="","",IF($G135&gt;$D135+kad_mahsupTolerans,"AŞIM","UYGUN"))</f>
        <v/>
      </c>
    </row>
    <row r="136">
      <c r="A136" s="26" t="n"/>
      <c r="B136" s="26" t="n"/>
      <c r="C136" s="29" t="n"/>
      <c r="D136" s="27" t="n"/>
      <c r="E136" s="26" t="n"/>
      <c r="F136" s="26" t="n"/>
      <c r="G136" s="28">
        <f>IF($A136="","",SUMIFS(tblAkis[MahsupTutar],tblAkis[KaynakKartId],$B136,tblAkis[Durum],"MAHSUP"))</f>
        <v/>
      </c>
      <c r="H136" s="28">
        <f>IF($A136="","",MAX(0,$D136-$G136))</f>
        <v/>
      </c>
      <c r="I136" s="28">
        <f>IF($A136="","",IF($C136="","",raporTarihi-$C136))</f>
        <v/>
      </c>
      <c r="J136" s="28">
        <f>IF($A136="","",IF($I136="","",IF($I136&lt;=7,"0-7",IF($I136&lt;=30,"8-30",IF($I136&lt;=60,"31-60","60+")))))</f>
        <v/>
      </c>
      <c r="K136" s="28">
        <f>IF($A136="","",IF($B136="","YETİM",IF(COUNTIF(tblKartlar[KartId],$B136)=0,"YETİM","")))</f>
        <v/>
      </c>
      <c r="L136" s="28">
        <f>IF($A136="","",IF($G136&gt;$D136+kad_mahsupTolerans,"AŞIM","UYGUN"))</f>
        <v/>
      </c>
    </row>
    <row r="137">
      <c r="A137" s="26" t="n"/>
      <c r="B137" s="26" t="n"/>
      <c r="C137" s="29" t="n"/>
      <c r="D137" s="27" t="n"/>
      <c r="E137" s="26" t="n"/>
      <c r="F137" s="26" t="n"/>
      <c r="G137" s="28">
        <f>IF($A137="","",SUMIFS(tblAkis[MahsupTutar],tblAkis[KaynakKartId],$B137,tblAkis[Durum],"MAHSUP"))</f>
        <v/>
      </c>
      <c r="H137" s="28">
        <f>IF($A137="","",MAX(0,$D137-$G137))</f>
        <v/>
      </c>
      <c r="I137" s="28">
        <f>IF($A137="","",IF($C137="","",raporTarihi-$C137))</f>
        <v/>
      </c>
      <c r="J137" s="28">
        <f>IF($A137="","",IF($I137="","",IF($I137&lt;=7,"0-7",IF($I137&lt;=30,"8-30",IF($I137&lt;=60,"31-60","60+")))))</f>
        <v/>
      </c>
      <c r="K137" s="28">
        <f>IF($A137="","",IF($B137="","YETİM",IF(COUNTIF(tblKartlar[KartId],$B137)=0,"YETİM","")))</f>
        <v/>
      </c>
      <c r="L137" s="28">
        <f>IF($A137="","",IF($G137&gt;$D137+kad_mahsupTolerans,"AŞIM","UYGUN"))</f>
        <v/>
      </c>
    </row>
    <row r="138">
      <c r="A138" s="26" t="n"/>
      <c r="B138" s="26" t="n"/>
      <c r="C138" s="29" t="n"/>
      <c r="D138" s="27" t="n"/>
      <c r="E138" s="26" t="n"/>
      <c r="F138" s="26" t="n"/>
      <c r="G138" s="28">
        <f>IF($A138="","",SUMIFS(tblAkis[MahsupTutar],tblAkis[KaynakKartId],$B138,tblAkis[Durum],"MAHSUP"))</f>
        <v/>
      </c>
      <c r="H138" s="28">
        <f>IF($A138="","",MAX(0,$D138-$G138))</f>
        <v/>
      </c>
      <c r="I138" s="28">
        <f>IF($A138="","",IF($C138="","",raporTarihi-$C138))</f>
        <v/>
      </c>
      <c r="J138" s="28">
        <f>IF($A138="","",IF($I138="","",IF($I138&lt;=7,"0-7",IF($I138&lt;=30,"8-30",IF($I138&lt;=60,"31-60","60+")))))</f>
        <v/>
      </c>
      <c r="K138" s="28">
        <f>IF($A138="","",IF($B138="","YETİM",IF(COUNTIF(tblKartlar[KartId],$B138)=0,"YETİM","")))</f>
        <v/>
      </c>
      <c r="L138" s="28">
        <f>IF($A138="","",IF($G138&gt;$D138+kad_mahsupTolerans,"AŞIM","UYGUN"))</f>
        <v/>
      </c>
    </row>
    <row r="139">
      <c r="A139" s="26" t="n"/>
      <c r="B139" s="26" t="n"/>
      <c r="C139" s="29" t="n"/>
      <c r="D139" s="27" t="n"/>
      <c r="E139" s="26" t="n"/>
      <c r="F139" s="26" t="n"/>
      <c r="G139" s="28">
        <f>IF($A139="","",SUMIFS(tblAkis[MahsupTutar],tblAkis[KaynakKartId],$B139,tblAkis[Durum],"MAHSUP"))</f>
        <v/>
      </c>
      <c r="H139" s="28">
        <f>IF($A139="","",MAX(0,$D139-$G139))</f>
        <v/>
      </c>
      <c r="I139" s="28">
        <f>IF($A139="","",IF($C139="","",raporTarihi-$C139))</f>
        <v/>
      </c>
      <c r="J139" s="28">
        <f>IF($A139="","",IF($I139="","",IF($I139&lt;=7,"0-7",IF($I139&lt;=30,"8-30",IF($I139&lt;=60,"31-60","60+")))))</f>
        <v/>
      </c>
      <c r="K139" s="28">
        <f>IF($A139="","",IF($B139="","YETİM",IF(COUNTIF(tblKartlar[KartId],$B139)=0,"YETİM","")))</f>
        <v/>
      </c>
      <c r="L139" s="28">
        <f>IF($A139="","",IF($G139&gt;$D139+kad_mahsupTolerans,"AŞIM","UYGUN"))</f>
        <v/>
      </c>
    </row>
    <row r="140">
      <c r="A140" s="26" t="n"/>
      <c r="B140" s="26" t="n"/>
      <c r="C140" s="29" t="n"/>
      <c r="D140" s="27" t="n"/>
      <c r="E140" s="26" t="n"/>
      <c r="F140" s="26" t="n"/>
      <c r="G140" s="28">
        <f>IF($A140="","",SUMIFS(tblAkis[MahsupTutar],tblAkis[KaynakKartId],$B140,tblAkis[Durum],"MAHSUP"))</f>
        <v/>
      </c>
      <c r="H140" s="28">
        <f>IF($A140="","",MAX(0,$D140-$G140))</f>
        <v/>
      </c>
      <c r="I140" s="28">
        <f>IF($A140="","",IF($C140="","",raporTarihi-$C140))</f>
        <v/>
      </c>
      <c r="J140" s="28">
        <f>IF($A140="","",IF($I140="","",IF($I140&lt;=7,"0-7",IF($I140&lt;=30,"8-30",IF($I140&lt;=60,"31-60","60+")))))</f>
        <v/>
      </c>
      <c r="K140" s="28">
        <f>IF($A140="","",IF($B140="","YETİM",IF(COUNTIF(tblKartlar[KartId],$B140)=0,"YETİM","")))</f>
        <v/>
      </c>
      <c r="L140" s="28">
        <f>IF($A140="","",IF($G140&gt;$D140+kad_mahsupTolerans,"AŞIM","UYGUN"))</f>
        <v/>
      </c>
    </row>
    <row r="141">
      <c r="A141" s="26" t="n"/>
      <c r="B141" s="26" t="n"/>
      <c r="C141" s="29" t="n"/>
      <c r="D141" s="27" t="n"/>
      <c r="E141" s="26" t="n"/>
      <c r="F141" s="26" t="n"/>
      <c r="G141" s="28">
        <f>IF($A141="","",SUMIFS(tblAkis[MahsupTutar],tblAkis[KaynakKartId],$B141,tblAkis[Durum],"MAHSUP"))</f>
        <v/>
      </c>
      <c r="H141" s="28">
        <f>IF($A141="","",MAX(0,$D141-$G141))</f>
        <v/>
      </c>
      <c r="I141" s="28">
        <f>IF($A141="","",IF($C141="","",raporTarihi-$C141))</f>
        <v/>
      </c>
      <c r="J141" s="28">
        <f>IF($A141="","",IF($I141="","",IF($I141&lt;=7,"0-7",IF($I141&lt;=30,"8-30",IF($I141&lt;=60,"31-60","60+")))))</f>
        <v/>
      </c>
      <c r="K141" s="28">
        <f>IF($A141="","",IF($B141="","YETİM",IF(COUNTIF(tblKartlar[KartId],$B141)=0,"YETİM","")))</f>
        <v/>
      </c>
      <c r="L141" s="28">
        <f>IF($A141="","",IF($G141&gt;$D141+kad_mahsupTolerans,"AŞIM","UYGUN"))</f>
        <v/>
      </c>
    </row>
    <row r="142">
      <c r="A142" s="26" t="n"/>
      <c r="B142" s="26" t="n"/>
      <c r="C142" s="29" t="n"/>
      <c r="D142" s="27" t="n"/>
      <c r="E142" s="26" t="n"/>
      <c r="F142" s="26" t="n"/>
      <c r="G142" s="28">
        <f>IF($A142="","",SUMIFS(tblAkis[MahsupTutar],tblAkis[KaynakKartId],$B142,tblAkis[Durum],"MAHSUP"))</f>
        <v/>
      </c>
      <c r="H142" s="28">
        <f>IF($A142="","",MAX(0,$D142-$G142))</f>
        <v/>
      </c>
      <c r="I142" s="28">
        <f>IF($A142="","",IF($C142="","",raporTarihi-$C142))</f>
        <v/>
      </c>
      <c r="J142" s="28">
        <f>IF($A142="","",IF($I142="","",IF($I142&lt;=7,"0-7",IF($I142&lt;=30,"8-30",IF($I142&lt;=60,"31-60","60+")))))</f>
        <v/>
      </c>
      <c r="K142" s="28">
        <f>IF($A142="","",IF($B142="","YETİM",IF(COUNTIF(tblKartlar[KartId],$B142)=0,"YETİM","")))</f>
        <v/>
      </c>
      <c r="L142" s="28">
        <f>IF($A142="","",IF($G142&gt;$D142+kad_mahsupTolerans,"AŞIM","UYGUN"))</f>
        <v/>
      </c>
    </row>
    <row r="143">
      <c r="A143" s="26" t="n"/>
      <c r="B143" s="26" t="n"/>
      <c r="C143" s="29" t="n"/>
      <c r="D143" s="27" t="n"/>
      <c r="E143" s="26" t="n"/>
      <c r="F143" s="26" t="n"/>
      <c r="G143" s="28">
        <f>IF($A143="","",SUMIFS(tblAkis[MahsupTutar],tblAkis[KaynakKartId],$B143,tblAkis[Durum],"MAHSUP"))</f>
        <v/>
      </c>
      <c r="H143" s="28">
        <f>IF($A143="","",MAX(0,$D143-$G143))</f>
        <v/>
      </c>
      <c r="I143" s="28">
        <f>IF($A143="","",IF($C143="","",raporTarihi-$C143))</f>
        <v/>
      </c>
      <c r="J143" s="28">
        <f>IF($A143="","",IF($I143="","",IF($I143&lt;=7,"0-7",IF($I143&lt;=30,"8-30",IF($I143&lt;=60,"31-60","60+")))))</f>
        <v/>
      </c>
      <c r="K143" s="28">
        <f>IF($A143="","",IF($B143="","YETİM",IF(COUNTIF(tblKartlar[KartId],$B143)=0,"YETİM","")))</f>
        <v/>
      </c>
      <c r="L143" s="28">
        <f>IF($A143="","",IF($G143&gt;$D143+kad_mahsupTolerans,"AŞIM","UYGUN"))</f>
        <v/>
      </c>
    </row>
    <row r="144">
      <c r="A144" s="26" t="n"/>
      <c r="B144" s="26" t="n"/>
      <c r="C144" s="29" t="n"/>
      <c r="D144" s="27" t="n"/>
      <c r="E144" s="26" t="n"/>
      <c r="F144" s="26" t="n"/>
      <c r="G144" s="28">
        <f>IF($A144="","",SUMIFS(tblAkis[MahsupTutar],tblAkis[KaynakKartId],$B144,tblAkis[Durum],"MAHSUP"))</f>
        <v/>
      </c>
      <c r="H144" s="28">
        <f>IF($A144="","",MAX(0,$D144-$G144))</f>
        <v/>
      </c>
      <c r="I144" s="28">
        <f>IF($A144="","",IF($C144="","",raporTarihi-$C144))</f>
        <v/>
      </c>
      <c r="J144" s="28">
        <f>IF($A144="","",IF($I144="","",IF($I144&lt;=7,"0-7",IF($I144&lt;=30,"8-30",IF($I144&lt;=60,"31-60","60+")))))</f>
        <v/>
      </c>
      <c r="K144" s="28">
        <f>IF($A144="","",IF($B144="","YETİM",IF(COUNTIF(tblKartlar[KartId],$B144)=0,"YETİM","")))</f>
        <v/>
      </c>
      <c r="L144" s="28">
        <f>IF($A144="","",IF($G144&gt;$D144+kad_mahsupTolerans,"AŞIM","UYGUN"))</f>
        <v/>
      </c>
    </row>
    <row r="145">
      <c r="A145" s="26" t="n"/>
      <c r="B145" s="26" t="n"/>
      <c r="C145" s="29" t="n"/>
      <c r="D145" s="27" t="n"/>
      <c r="E145" s="26" t="n"/>
      <c r="F145" s="26" t="n"/>
      <c r="G145" s="28">
        <f>IF($A145="","",SUMIFS(tblAkis[MahsupTutar],tblAkis[KaynakKartId],$B145,tblAkis[Durum],"MAHSUP"))</f>
        <v/>
      </c>
      <c r="H145" s="28">
        <f>IF($A145="","",MAX(0,$D145-$G145))</f>
        <v/>
      </c>
      <c r="I145" s="28">
        <f>IF($A145="","",IF($C145="","",raporTarihi-$C145))</f>
        <v/>
      </c>
      <c r="J145" s="28">
        <f>IF($A145="","",IF($I145="","",IF($I145&lt;=7,"0-7",IF($I145&lt;=30,"8-30",IF($I145&lt;=60,"31-60","60+")))))</f>
        <v/>
      </c>
      <c r="K145" s="28">
        <f>IF($A145="","",IF($B145="","YETİM",IF(COUNTIF(tblKartlar[KartId],$B145)=0,"YETİM","")))</f>
        <v/>
      </c>
      <c r="L145" s="28">
        <f>IF($A145="","",IF($G145&gt;$D145+kad_mahsupTolerans,"AŞIM","UYGUN"))</f>
        <v/>
      </c>
    </row>
    <row r="146">
      <c r="A146" s="26" t="n"/>
      <c r="B146" s="26" t="n"/>
      <c r="C146" s="29" t="n"/>
      <c r="D146" s="27" t="n"/>
      <c r="E146" s="26" t="n"/>
      <c r="F146" s="26" t="n"/>
      <c r="G146" s="28">
        <f>IF($A146="","",SUMIFS(tblAkis[MahsupTutar],tblAkis[KaynakKartId],$B146,tblAkis[Durum],"MAHSUP"))</f>
        <v/>
      </c>
      <c r="H146" s="28">
        <f>IF($A146="","",MAX(0,$D146-$G146))</f>
        <v/>
      </c>
      <c r="I146" s="28">
        <f>IF($A146="","",IF($C146="","",raporTarihi-$C146))</f>
        <v/>
      </c>
      <c r="J146" s="28">
        <f>IF($A146="","",IF($I146="","",IF($I146&lt;=7,"0-7",IF($I146&lt;=30,"8-30",IF($I146&lt;=60,"31-60","60+")))))</f>
        <v/>
      </c>
      <c r="K146" s="28">
        <f>IF($A146="","",IF($B146="","YETİM",IF(COUNTIF(tblKartlar[KartId],$B146)=0,"YETİM","")))</f>
        <v/>
      </c>
      <c r="L146" s="28">
        <f>IF($A146="","",IF($G146&gt;$D146+kad_mahsupTolerans,"AŞIM","UYGUN"))</f>
        <v/>
      </c>
    </row>
    <row r="147">
      <c r="A147" s="26" t="n"/>
      <c r="B147" s="26" t="n"/>
      <c r="C147" s="29" t="n"/>
      <c r="D147" s="27" t="n"/>
      <c r="E147" s="26" t="n"/>
      <c r="F147" s="26" t="n"/>
      <c r="G147" s="28">
        <f>IF($A147="","",SUMIFS(tblAkis[MahsupTutar],tblAkis[KaynakKartId],$B147,tblAkis[Durum],"MAHSUP"))</f>
        <v/>
      </c>
      <c r="H147" s="28">
        <f>IF($A147="","",MAX(0,$D147-$G147))</f>
        <v/>
      </c>
      <c r="I147" s="28">
        <f>IF($A147="","",IF($C147="","",raporTarihi-$C147))</f>
        <v/>
      </c>
      <c r="J147" s="28">
        <f>IF($A147="","",IF($I147="","",IF($I147&lt;=7,"0-7",IF($I147&lt;=30,"8-30",IF($I147&lt;=60,"31-60","60+")))))</f>
        <v/>
      </c>
      <c r="K147" s="28">
        <f>IF($A147="","",IF($B147="","YETİM",IF(COUNTIF(tblKartlar[KartId],$B147)=0,"YETİM","")))</f>
        <v/>
      </c>
      <c r="L147" s="28">
        <f>IF($A147="","",IF($G147&gt;$D147+kad_mahsupTolerans,"AŞIM","UYGUN"))</f>
        <v/>
      </c>
    </row>
    <row r="148">
      <c r="A148" s="26" t="n"/>
      <c r="B148" s="26" t="n"/>
      <c r="C148" s="29" t="n"/>
      <c r="D148" s="27" t="n"/>
      <c r="E148" s="26" t="n"/>
      <c r="F148" s="26" t="n"/>
      <c r="G148" s="28">
        <f>IF($A148="","",SUMIFS(tblAkis[MahsupTutar],tblAkis[KaynakKartId],$B148,tblAkis[Durum],"MAHSUP"))</f>
        <v/>
      </c>
      <c r="H148" s="28">
        <f>IF($A148="","",MAX(0,$D148-$G148))</f>
        <v/>
      </c>
      <c r="I148" s="28">
        <f>IF($A148="","",IF($C148="","",raporTarihi-$C148))</f>
        <v/>
      </c>
      <c r="J148" s="28">
        <f>IF($A148="","",IF($I148="","",IF($I148&lt;=7,"0-7",IF($I148&lt;=30,"8-30",IF($I148&lt;=60,"31-60","60+")))))</f>
        <v/>
      </c>
      <c r="K148" s="28">
        <f>IF($A148="","",IF($B148="","YETİM",IF(COUNTIF(tblKartlar[KartId],$B148)=0,"YETİM","")))</f>
        <v/>
      </c>
      <c r="L148" s="28">
        <f>IF($A148="","",IF($G148&gt;$D148+kad_mahsupTolerans,"AŞIM","UYGUN"))</f>
        <v/>
      </c>
    </row>
    <row r="149">
      <c r="A149" s="26" t="n"/>
      <c r="B149" s="26" t="n"/>
      <c r="C149" s="29" t="n"/>
      <c r="D149" s="27" t="n"/>
      <c r="E149" s="26" t="n"/>
      <c r="F149" s="26" t="n"/>
      <c r="G149" s="28">
        <f>IF($A149="","",SUMIFS(tblAkis[MahsupTutar],tblAkis[KaynakKartId],$B149,tblAkis[Durum],"MAHSUP"))</f>
        <v/>
      </c>
      <c r="H149" s="28">
        <f>IF($A149="","",MAX(0,$D149-$G149))</f>
        <v/>
      </c>
      <c r="I149" s="28">
        <f>IF($A149="","",IF($C149="","",raporTarihi-$C149))</f>
        <v/>
      </c>
      <c r="J149" s="28">
        <f>IF($A149="","",IF($I149="","",IF($I149&lt;=7,"0-7",IF($I149&lt;=30,"8-30",IF($I149&lt;=60,"31-60","60+")))))</f>
        <v/>
      </c>
      <c r="K149" s="28">
        <f>IF($A149="","",IF($B149="","YETİM",IF(COUNTIF(tblKartlar[KartId],$B149)=0,"YETİM","")))</f>
        <v/>
      </c>
      <c r="L149" s="28">
        <f>IF($A149="","",IF($G149&gt;$D149+kad_mahsupTolerans,"AŞIM","UYGUN"))</f>
        <v/>
      </c>
    </row>
    <row r="150">
      <c r="A150" s="26" t="n"/>
      <c r="B150" s="26" t="n"/>
      <c r="C150" s="29" t="n"/>
      <c r="D150" s="27" t="n"/>
      <c r="E150" s="26" t="n"/>
      <c r="F150" s="26" t="n"/>
      <c r="G150" s="28">
        <f>IF($A150="","",SUMIFS(tblAkis[MahsupTutar],tblAkis[KaynakKartId],$B150,tblAkis[Durum],"MAHSUP"))</f>
        <v/>
      </c>
      <c r="H150" s="28">
        <f>IF($A150="","",MAX(0,$D150-$G150))</f>
        <v/>
      </c>
      <c r="I150" s="28">
        <f>IF($A150="","",IF($C150="","",raporTarihi-$C150))</f>
        <v/>
      </c>
      <c r="J150" s="28">
        <f>IF($A150="","",IF($I150="","",IF($I150&lt;=7,"0-7",IF($I150&lt;=30,"8-30",IF($I150&lt;=60,"31-60","60+")))))</f>
        <v/>
      </c>
      <c r="K150" s="28">
        <f>IF($A150="","",IF($B150="","YETİM",IF(COUNTIF(tblKartlar[KartId],$B150)=0,"YETİM","")))</f>
        <v/>
      </c>
      <c r="L150" s="28">
        <f>IF($A150="","",IF($G150&gt;$D150+kad_mahsupTolerans,"AŞIM","UYGUN"))</f>
        <v/>
      </c>
    </row>
    <row r="151">
      <c r="A151" s="26" t="n"/>
      <c r="B151" s="26" t="n"/>
      <c r="C151" s="29" t="n"/>
      <c r="D151" s="27" t="n"/>
      <c r="E151" s="26" t="n"/>
      <c r="F151" s="26" t="n"/>
      <c r="G151" s="28">
        <f>IF($A151="","",SUMIFS(tblAkis[MahsupTutar],tblAkis[KaynakKartId],$B151,tblAkis[Durum],"MAHSUP"))</f>
        <v/>
      </c>
      <c r="H151" s="28">
        <f>IF($A151="","",MAX(0,$D151-$G151))</f>
        <v/>
      </c>
      <c r="I151" s="28">
        <f>IF($A151="","",IF($C151="","",raporTarihi-$C151))</f>
        <v/>
      </c>
      <c r="J151" s="28">
        <f>IF($A151="","",IF($I151="","",IF($I151&lt;=7,"0-7",IF($I151&lt;=30,"8-30",IF($I151&lt;=60,"31-60","60+")))))</f>
        <v/>
      </c>
      <c r="K151" s="28">
        <f>IF($A151="","",IF($B151="","YETİM",IF(COUNTIF(tblKartlar[KartId],$B151)=0,"YETİM","")))</f>
        <v/>
      </c>
      <c r="L151" s="28">
        <f>IF($A151="","",IF($G151&gt;$D151+kad_mahsupTolerans,"AŞIM","UYGUN"))</f>
        <v/>
      </c>
    </row>
    <row r="152">
      <c r="A152" s="26" t="n"/>
      <c r="B152" s="26" t="n"/>
      <c r="C152" s="29" t="n"/>
      <c r="D152" s="27" t="n"/>
      <c r="E152" s="26" t="n"/>
      <c r="F152" s="26" t="n"/>
      <c r="G152" s="28">
        <f>IF($A152="","",SUMIFS(tblAkis[MahsupTutar],tblAkis[KaynakKartId],$B152,tblAkis[Durum],"MAHSUP"))</f>
        <v/>
      </c>
      <c r="H152" s="28">
        <f>IF($A152="","",MAX(0,$D152-$G152))</f>
        <v/>
      </c>
      <c r="I152" s="28">
        <f>IF($A152="","",IF($C152="","",raporTarihi-$C152))</f>
        <v/>
      </c>
      <c r="J152" s="28">
        <f>IF($A152="","",IF($I152="","",IF($I152&lt;=7,"0-7",IF($I152&lt;=30,"8-30",IF($I152&lt;=60,"31-60","60+")))))</f>
        <v/>
      </c>
      <c r="K152" s="28">
        <f>IF($A152="","",IF($B152="","YETİM",IF(COUNTIF(tblKartlar[KartId],$B152)=0,"YETİM","")))</f>
        <v/>
      </c>
      <c r="L152" s="28">
        <f>IF($A152="","",IF($G152&gt;$D152+kad_mahsupTolerans,"AŞIM","UYGUN"))</f>
        <v/>
      </c>
    </row>
    <row r="153">
      <c r="A153" s="26" t="n"/>
      <c r="B153" s="26" t="n"/>
      <c r="C153" s="29" t="n"/>
      <c r="D153" s="27" t="n"/>
      <c r="E153" s="26" t="n"/>
      <c r="F153" s="26" t="n"/>
      <c r="G153" s="28">
        <f>IF($A153="","",SUMIFS(tblAkis[MahsupTutar],tblAkis[KaynakKartId],$B153,tblAkis[Durum],"MAHSUP"))</f>
        <v/>
      </c>
      <c r="H153" s="28">
        <f>IF($A153="","",MAX(0,$D153-$G153))</f>
        <v/>
      </c>
      <c r="I153" s="28">
        <f>IF($A153="","",IF($C153="","",raporTarihi-$C153))</f>
        <v/>
      </c>
      <c r="J153" s="28">
        <f>IF($A153="","",IF($I153="","",IF($I153&lt;=7,"0-7",IF($I153&lt;=30,"8-30",IF($I153&lt;=60,"31-60","60+")))))</f>
        <v/>
      </c>
      <c r="K153" s="28">
        <f>IF($A153="","",IF($B153="","YETİM",IF(COUNTIF(tblKartlar[KartId],$B153)=0,"YETİM","")))</f>
        <v/>
      </c>
      <c r="L153" s="28">
        <f>IF($A153="","",IF($G153&gt;$D153+kad_mahsupTolerans,"AŞIM","UYGUN"))</f>
        <v/>
      </c>
    </row>
    <row r="154">
      <c r="A154" s="26" t="n"/>
      <c r="B154" s="26" t="n"/>
      <c r="C154" s="29" t="n"/>
      <c r="D154" s="27" t="n"/>
      <c r="E154" s="26" t="n"/>
      <c r="F154" s="26" t="n"/>
      <c r="G154" s="28">
        <f>IF($A154="","",SUMIFS(tblAkis[MahsupTutar],tblAkis[KaynakKartId],$B154,tblAkis[Durum],"MAHSUP"))</f>
        <v/>
      </c>
      <c r="H154" s="28">
        <f>IF($A154="","",MAX(0,$D154-$G154))</f>
        <v/>
      </c>
      <c r="I154" s="28">
        <f>IF($A154="","",IF($C154="","",raporTarihi-$C154))</f>
        <v/>
      </c>
      <c r="J154" s="28">
        <f>IF($A154="","",IF($I154="","",IF($I154&lt;=7,"0-7",IF($I154&lt;=30,"8-30",IF($I154&lt;=60,"31-60","60+")))))</f>
        <v/>
      </c>
      <c r="K154" s="28">
        <f>IF($A154="","",IF($B154="","YETİM",IF(COUNTIF(tblKartlar[KartId],$B154)=0,"YETİM","")))</f>
        <v/>
      </c>
      <c r="L154" s="28">
        <f>IF($A154="","",IF($G154&gt;$D154+kad_mahsupTolerans,"AŞIM","UYGUN"))</f>
        <v/>
      </c>
    </row>
    <row r="155">
      <c r="A155" s="26" t="n"/>
      <c r="B155" s="26" t="n"/>
      <c r="C155" s="29" t="n"/>
      <c r="D155" s="27" t="n"/>
      <c r="E155" s="26" t="n"/>
      <c r="F155" s="26" t="n"/>
      <c r="G155" s="28">
        <f>IF($A155="","",SUMIFS(tblAkis[MahsupTutar],tblAkis[KaynakKartId],$B155,tblAkis[Durum],"MAHSUP"))</f>
        <v/>
      </c>
      <c r="H155" s="28">
        <f>IF($A155="","",MAX(0,$D155-$G155))</f>
        <v/>
      </c>
      <c r="I155" s="28">
        <f>IF($A155="","",IF($C155="","",raporTarihi-$C155))</f>
        <v/>
      </c>
      <c r="J155" s="28">
        <f>IF($A155="","",IF($I155="","",IF($I155&lt;=7,"0-7",IF($I155&lt;=30,"8-30",IF($I155&lt;=60,"31-60","60+")))))</f>
        <v/>
      </c>
      <c r="K155" s="28">
        <f>IF($A155="","",IF($B155="","YETİM",IF(COUNTIF(tblKartlar[KartId],$B155)=0,"YETİM","")))</f>
        <v/>
      </c>
      <c r="L155" s="28">
        <f>IF($A155="","",IF($G155&gt;$D155+kad_mahsupTolerans,"AŞIM","UYGUN"))</f>
        <v/>
      </c>
    </row>
    <row r="156">
      <c r="A156" s="26" t="n"/>
      <c r="B156" s="26" t="n"/>
      <c r="C156" s="29" t="n"/>
      <c r="D156" s="27" t="n"/>
      <c r="E156" s="26" t="n"/>
      <c r="F156" s="26" t="n"/>
      <c r="G156" s="28">
        <f>IF($A156="","",SUMIFS(tblAkis[MahsupTutar],tblAkis[KaynakKartId],$B156,tblAkis[Durum],"MAHSUP"))</f>
        <v/>
      </c>
      <c r="H156" s="28">
        <f>IF($A156="","",MAX(0,$D156-$G156))</f>
        <v/>
      </c>
      <c r="I156" s="28">
        <f>IF($A156="","",IF($C156="","",raporTarihi-$C156))</f>
        <v/>
      </c>
      <c r="J156" s="28">
        <f>IF($A156="","",IF($I156="","",IF($I156&lt;=7,"0-7",IF($I156&lt;=30,"8-30",IF($I156&lt;=60,"31-60","60+")))))</f>
        <v/>
      </c>
      <c r="K156" s="28">
        <f>IF($A156="","",IF($B156="","YETİM",IF(COUNTIF(tblKartlar[KartId],$B156)=0,"YETİM","")))</f>
        <v/>
      </c>
      <c r="L156" s="28">
        <f>IF($A156="","",IF($G156&gt;$D156+kad_mahsupTolerans,"AŞIM","UYGUN"))</f>
        <v/>
      </c>
    </row>
    <row r="157">
      <c r="A157" s="26" t="n"/>
      <c r="B157" s="26" t="n"/>
      <c r="C157" s="29" t="n"/>
      <c r="D157" s="27" t="n"/>
      <c r="E157" s="26" t="n"/>
      <c r="F157" s="26" t="n"/>
      <c r="G157" s="28">
        <f>IF($A157="","",SUMIFS(tblAkis[MahsupTutar],tblAkis[KaynakKartId],$B157,tblAkis[Durum],"MAHSUP"))</f>
        <v/>
      </c>
      <c r="H157" s="28">
        <f>IF($A157="","",MAX(0,$D157-$G157))</f>
        <v/>
      </c>
      <c r="I157" s="28">
        <f>IF($A157="","",IF($C157="","",raporTarihi-$C157))</f>
        <v/>
      </c>
      <c r="J157" s="28">
        <f>IF($A157="","",IF($I157="","",IF($I157&lt;=7,"0-7",IF($I157&lt;=30,"8-30",IF($I157&lt;=60,"31-60","60+")))))</f>
        <v/>
      </c>
      <c r="K157" s="28">
        <f>IF($A157="","",IF($B157="","YETİM",IF(COUNTIF(tblKartlar[KartId],$B157)=0,"YETİM","")))</f>
        <v/>
      </c>
      <c r="L157" s="28">
        <f>IF($A157="","",IF($G157&gt;$D157+kad_mahsupTolerans,"AŞIM","UYGUN"))</f>
        <v/>
      </c>
    </row>
    <row r="158">
      <c r="A158" s="26" t="n"/>
      <c r="B158" s="26" t="n"/>
      <c r="C158" s="29" t="n"/>
      <c r="D158" s="27" t="n"/>
      <c r="E158" s="26" t="n"/>
      <c r="F158" s="26" t="n"/>
      <c r="G158" s="28">
        <f>IF($A158="","",SUMIFS(tblAkis[MahsupTutar],tblAkis[KaynakKartId],$B158,tblAkis[Durum],"MAHSUP"))</f>
        <v/>
      </c>
      <c r="H158" s="28">
        <f>IF($A158="","",MAX(0,$D158-$G158))</f>
        <v/>
      </c>
      <c r="I158" s="28">
        <f>IF($A158="","",IF($C158="","",raporTarihi-$C158))</f>
        <v/>
      </c>
      <c r="J158" s="28">
        <f>IF($A158="","",IF($I158="","",IF($I158&lt;=7,"0-7",IF($I158&lt;=30,"8-30",IF($I158&lt;=60,"31-60","60+")))))</f>
        <v/>
      </c>
      <c r="K158" s="28">
        <f>IF($A158="","",IF($B158="","YETİM",IF(COUNTIF(tblKartlar[KartId],$B158)=0,"YETİM","")))</f>
        <v/>
      </c>
      <c r="L158" s="28">
        <f>IF($A158="","",IF($G158&gt;$D158+kad_mahsupTolerans,"AŞIM","UYGUN"))</f>
        <v/>
      </c>
    </row>
    <row r="159">
      <c r="A159" s="26" t="n"/>
      <c r="B159" s="26" t="n"/>
      <c r="C159" s="29" t="n"/>
      <c r="D159" s="27" t="n"/>
      <c r="E159" s="26" t="n"/>
      <c r="F159" s="26" t="n"/>
      <c r="G159" s="28">
        <f>IF($A159="","",SUMIFS(tblAkis[MahsupTutar],tblAkis[KaynakKartId],$B159,tblAkis[Durum],"MAHSUP"))</f>
        <v/>
      </c>
      <c r="H159" s="28">
        <f>IF($A159="","",MAX(0,$D159-$G159))</f>
        <v/>
      </c>
      <c r="I159" s="28">
        <f>IF($A159="","",IF($C159="","",raporTarihi-$C159))</f>
        <v/>
      </c>
      <c r="J159" s="28">
        <f>IF($A159="","",IF($I159="","",IF($I159&lt;=7,"0-7",IF($I159&lt;=30,"8-30",IF($I159&lt;=60,"31-60","60+")))))</f>
        <v/>
      </c>
      <c r="K159" s="28">
        <f>IF($A159="","",IF($B159="","YETİM",IF(COUNTIF(tblKartlar[KartId],$B159)=0,"YETİM","")))</f>
        <v/>
      </c>
      <c r="L159" s="28">
        <f>IF($A159="","",IF($G159&gt;$D159+kad_mahsupTolerans,"AŞIM","UYGUN"))</f>
        <v/>
      </c>
    </row>
    <row r="160">
      <c r="A160" s="26" t="n"/>
      <c r="B160" s="26" t="n"/>
      <c r="C160" s="29" t="n"/>
      <c r="D160" s="27" t="n"/>
      <c r="E160" s="26" t="n"/>
      <c r="F160" s="26" t="n"/>
      <c r="G160" s="28">
        <f>IF($A160="","",SUMIFS(tblAkis[MahsupTutar],tblAkis[KaynakKartId],$B160,tblAkis[Durum],"MAHSUP"))</f>
        <v/>
      </c>
      <c r="H160" s="28">
        <f>IF($A160="","",MAX(0,$D160-$G160))</f>
        <v/>
      </c>
      <c r="I160" s="28">
        <f>IF($A160="","",IF($C160="","",raporTarihi-$C160))</f>
        <v/>
      </c>
      <c r="J160" s="28">
        <f>IF($A160="","",IF($I160="","",IF($I160&lt;=7,"0-7",IF($I160&lt;=30,"8-30",IF($I160&lt;=60,"31-60","60+")))))</f>
        <v/>
      </c>
      <c r="K160" s="28">
        <f>IF($A160="","",IF($B160="","YETİM",IF(COUNTIF(tblKartlar[KartId],$B160)=0,"YETİM","")))</f>
        <v/>
      </c>
      <c r="L160" s="28">
        <f>IF($A160="","",IF($G160&gt;$D160+kad_mahsupTolerans,"AŞIM","UYGUN"))</f>
        <v/>
      </c>
    </row>
    <row r="161">
      <c r="A161" s="26" t="n"/>
      <c r="B161" s="26" t="n"/>
      <c r="C161" s="29" t="n"/>
      <c r="D161" s="27" t="n"/>
      <c r="E161" s="26" t="n"/>
      <c r="F161" s="26" t="n"/>
      <c r="G161" s="28">
        <f>IF($A161="","",SUMIFS(tblAkis[MahsupTutar],tblAkis[KaynakKartId],$B161,tblAkis[Durum],"MAHSUP"))</f>
        <v/>
      </c>
      <c r="H161" s="28">
        <f>IF($A161="","",MAX(0,$D161-$G161))</f>
        <v/>
      </c>
      <c r="I161" s="28">
        <f>IF($A161="","",IF($C161="","",raporTarihi-$C161))</f>
        <v/>
      </c>
      <c r="J161" s="28">
        <f>IF($A161="","",IF($I161="","",IF($I161&lt;=7,"0-7",IF($I161&lt;=30,"8-30",IF($I161&lt;=60,"31-60","60+")))))</f>
        <v/>
      </c>
      <c r="K161" s="28">
        <f>IF($A161="","",IF($B161="","YETİM",IF(COUNTIF(tblKartlar[KartId],$B161)=0,"YETİM","")))</f>
        <v/>
      </c>
      <c r="L161" s="28">
        <f>IF($A161="","",IF($G161&gt;$D161+kad_mahsupTolerans,"AŞIM","UYGUN"))</f>
        <v/>
      </c>
    </row>
    <row r="162">
      <c r="A162" s="26" t="n"/>
      <c r="B162" s="26" t="n"/>
      <c r="C162" s="29" t="n"/>
      <c r="D162" s="27" t="n"/>
      <c r="E162" s="26" t="n"/>
      <c r="F162" s="26" t="n"/>
      <c r="G162" s="28">
        <f>IF($A162="","",SUMIFS(tblAkis[MahsupTutar],tblAkis[KaynakKartId],$B162,tblAkis[Durum],"MAHSUP"))</f>
        <v/>
      </c>
      <c r="H162" s="28">
        <f>IF($A162="","",MAX(0,$D162-$G162))</f>
        <v/>
      </c>
      <c r="I162" s="28">
        <f>IF($A162="","",IF($C162="","",raporTarihi-$C162))</f>
        <v/>
      </c>
      <c r="J162" s="28">
        <f>IF($A162="","",IF($I162="","",IF($I162&lt;=7,"0-7",IF($I162&lt;=30,"8-30",IF($I162&lt;=60,"31-60","60+")))))</f>
        <v/>
      </c>
      <c r="K162" s="28">
        <f>IF($A162="","",IF($B162="","YETİM",IF(COUNTIF(tblKartlar[KartId],$B162)=0,"YETİM","")))</f>
        <v/>
      </c>
      <c r="L162" s="28">
        <f>IF($A162="","",IF($G162&gt;$D162+kad_mahsupTolerans,"AŞIM","UYGUN"))</f>
        <v/>
      </c>
    </row>
    <row r="163">
      <c r="A163" s="26" t="n"/>
      <c r="B163" s="26" t="n"/>
      <c r="C163" s="29" t="n"/>
      <c r="D163" s="27" t="n"/>
      <c r="E163" s="26" t="n"/>
      <c r="F163" s="26" t="n"/>
      <c r="G163" s="28">
        <f>IF($A163="","",SUMIFS(tblAkis[MahsupTutar],tblAkis[KaynakKartId],$B163,tblAkis[Durum],"MAHSUP"))</f>
        <v/>
      </c>
      <c r="H163" s="28">
        <f>IF($A163="","",MAX(0,$D163-$G163))</f>
        <v/>
      </c>
      <c r="I163" s="28">
        <f>IF($A163="","",IF($C163="","",raporTarihi-$C163))</f>
        <v/>
      </c>
      <c r="J163" s="28">
        <f>IF($A163="","",IF($I163="","",IF($I163&lt;=7,"0-7",IF($I163&lt;=30,"8-30",IF($I163&lt;=60,"31-60","60+")))))</f>
        <v/>
      </c>
      <c r="K163" s="28">
        <f>IF($A163="","",IF($B163="","YETİM",IF(COUNTIF(tblKartlar[KartId],$B163)=0,"YETİM","")))</f>
        <v/>
      </c>
      <c r="L163" s="28">
        <f>IF($A163="","",IF($G163&gt;$D163+kad_mahsupTolerans,"AŞIM","UYGUN"))</f>
        <v/>
      </c>
    </row>
    <row r="164">
      <c r="A164" s="26" t="n"/>
      <c r="B164" s="26" t="n"/>
      <c r="C164" s="29" t="n"/>
      <c r="D164" s="27" t="n"/>
      <c r="E164" s="26" t="n"/>
      <c r="F164" s="26" t="n"/>
      <c r="G164" s="28">
        <f>IF($A164="","",SUMIFS(tblAkis[MahsupTutar],tblAkis[KaynakKartId],$B164,tblAkis[Durum],"MAHSUP"))</f>
        <v/>
      </c>
      <c r="H164" s="28">
        <f>IF($A164="","",MAX(0,$D164-$G164))</f>
        <v/>
      </c>
      <c r="I164" s="28">
        <f>IF($A164="","",IF($C164="","",raporTarihi-$C164))</f>
        <v/>
      </c>
      <c r="J164" s="28">
        <f>IF($A164="","",IF($I164="","",IF($I164&lt;=7,"0-7",IF($I164&lt;=30,"8-30",IF($I164&lt;=60,"31-60","60+")))))</f>
        <v/>
      </c>
      <c r="K164" s="28">
        <f>IF($A164="","",IF($B164="","YETİM",IF(COUNTIF(tblKartlar[KartId],$B164)=0,"YETİM","")))</f>
        <v/>
      </c>
      <c r="L164" s="28">
        <f>IF($A164="","",IF($G164&gt;$D164+kad_mahsupTolerans,"AŞIM","UYGUN"))</f>
        <v/>
      </c>
    </row>
    <row r="165">
      <c r="A165" s="26" t="n"/>
      <c r="B165" s="26" t="n"/>
      <c r="C165" s="29" t="n"/>
      <c r="D165" s="27" t="n"/>
      <c r="E165" s="26" t="n"/>
      <c r="F165" s="26" t="n"/>
      <c r="G165" s="28">
        <f>IF($A165="","",SUMIFS(tblAkis[MahsupTutar],tblAkis[KaynakKartId],$B165,tblAkis[Durum],"MAHSUP"))</f>
        <v/>
      </c>
      <c r="H165" s="28">
        <f>IF($A165="","",MAX(0,$D165-$G165))</f>
        <v/>
      </c>
      <c r="I165" s="28">
        <f>IF($A165="","",IF($C165="","",raporTarihi-$C165))</f>
        <v/>
      </c>
      <c r="J165" s="28">
        <f>IF($A165="","",IF($I165="","",IF($I165&lt;=7,"0-7",IF($I165&lt;=30,"8-30",IF($I165&lt;=60,"31-60","60+")))))</f>
        <v/>
      </c>
      <c r="K165" s="28">
        <f>IF($A165="","",IF($B165="","YETİM",IF(COUNTIF(tblKartlar[KartId],$B165)=0,"YETİM","")))</f>
        <v/>
      </c>
      <c r="L165" s="28">
        <f>IF($A165="","",IF($G165&gt;$D165+kad_mahsupTolerans,"AŞIM","UYGUN"))</f>
        <v/>
      </c>
    </row>
    <row r="166">
      <c r="A166" s="26" t="n"/>
      <c r="B166" s="26" t="n"/>
      <c r="C166" s="29" t="n"/>
      <c r="D166" s="27" t="n"/>
      <c r="E166" s="26" t="n"/>
      <c r="F166" s="26" t="n"/>
      <c r="G166" s="28">
        <f>IF($A166="","",SUMIFS(tblAkis[MahsupTutar],tblAkis[KaynakKartId],$B166,tblAkis[Durum],"MAHSUP"))</f>
        <v/>
      </c>
      <c r="H166" s="28">
        <f>IF($A166="","",MAX(0,$D166-$G166))</f>
        <v/>
      </c>
      <c r="I166" s="28">
        <f>IF($A166="","",IF($C166="","",raporTarihi-$C166))</f>
        <v/>
      </c>
      <c r="J166" s="28">
        <f>IF($A166="","",IF($I166="","",IF($I166&lt;=7,"0-7",IF($I166&lt;=30,"8-30",IF($I166&lt;=60,"31-60","60+")))))</f>
        <v/>
      </c>
      <c r="K166" s="28">
        <f>IF($A166="","",IF($B166="","YETİM",IF(COUNTIF(tblKartlar[KartId],$B166)=0,"YETİM","")))</f>
        <v/>
      </c>
      <c r="L166" s="28">
        <f>IF($A166="","",IF($G166&gt;$D166+kad_mahsupTolerans,"AŞIM","UYGUN"))</f>
        <v/>
      </c>
    </row>
    <row r="167">
      <c r="A167" s="26" t="n"/>
      <c r="B167" s="26" t="n"/>
      <c r="C167" s="29" t="n"/>
      <c r="D167" s="27" t="n"/>
      <c r="E167" s="26" t="n"/>
      <c r="F167" s="26" t="n"/>
      <c r="G167" s="28">
        <f>IF($A167="","",SUMIFS(tblAkis[MahsupTutar],tblAkis[KaynakKartId],$B167,tblAkis[Durum],"MAHSUP"))</f>
        <v/>
      </c>
      <c r="H167" s="28">
        <f>IF($A167="","",MAX(0,$D167-$G167))</f>
        <v/>
      </c>
      <c r="I167" s="28">
        <f>IF($A167="","",IF($C167="","",raporTarihi-$C167))</f>
        <v/>
      </c>
      <c r="J167" s="28">
        <f>IF($A167="","",IF($I167="","",IF($I167&lt;=7,"0-7",IF($I167&lt;=30,"8-30",IF($I167&lt;=60,"31-60","60+")))))</f>
        <v/>
      </c>
      <c r="K167" s="28">
        <f>IF($A167="","",IF($B167="","YETİM",IF(COUNTIF(tblKartlar[KartId],$B167)=0,"YETİM","")))</f>
        <v/>
      </c>
      <c r="L167" s="28">
        <f>IF($A167="","",IF($G167&gt;$D167+kad_mahsupTolerans,"AŞIM","UYGUN"))</f>
        <v/>
      </c>
    </row>
    <row r="168">
      <c r="A168" s="26" t="n"/>
      <c r="B168" s="26" t="n"/>
      <c r="C168" s="29" t="n"/>
      <c r="D168" s="27" t="n"/>
      <c r="E168" s="26" t="n"/>
      <c r="F168" s="26" t="n"/>
      <c r="G168" s="28">
        <f>IF($A168="","",SUMIFS(tblAkis[MahsupTutar],tblAkis[KaynakKartId],$B168,tblAkis[Durum],"MAHSUP"))</f>
        <v/>
      </c>
      <c r="H168" s="28">
        <f>IF($A168="","",MAX(0,$D168-$G168))</f>
        <v/>
      </c>
      <c r="I168" s="28">
        <f>IF($A168="","",IF($C168="","",raporTarihi-$C168))</f>
        <v/>
      </c>
      <c r="J168" s="28">
        <f>IF($A168="","",IF($I168="","",IF($I168&lt;=7,"0-7",IF($I168&lt;=30,"8-30",IF($I168&lt;=60,"31-60","60+")))))</f>
        <v/>
      </c>
      <c r="K168" s="28">
        <f>IF($A168="","",IF($B168="","YETİM",IF(COUNTIF(tblKartlar[KartId],$B168)=0,"YETİM","")))</f>
        <v/>
      </c>
      <c r="L168" s="28">
        <f>IF($A168="","",IF($G168&gt;$D168+kad_mahsupTolerans,"AŞIM","UYGUN"))</f>
        <v/>
      </c>
    </row>
    <row r="169">
      <c r="A169" s="26" t="n"/>
      <c r="B169" s="26" t="n"/>
      <c r="C169" s="29" t="n"/>
      <c r="D169" s="27" t="n"/>
      <c r="E169" s="26" t="n"/>
      <c r="F169" s="26" t="n"/>
      <c r="G169" s="28">
        <f>IF($A169="","",SUMIFS(tblAkis[MahsupTutar],tblAkis[KaynakKartId],$B169,tblAkis[Durum],"MAHSUP"))</f>
        <v/>
      </c>
      <c r="H169" s="28">
        <f>IF($A169="","",MAX(0,$D169-$G169))</f>
        <v/>
      </c>
      <c r="I169" s="28">
        <f>IF($A169="","",IF($C169="","",raporTarihi-$C169))</f>
        <v/>
      </c>
      <c r="J169" s="28">
        <f>IF($A169="","",IF($I169="","",IF($I169&lt;=7,"0-7",IF($I169&lt;=30,"8-30",IF($I169&lt;=60,"31-60","60+")))))</f>
        <v/>
      </c>
      <c r="K169" s="28">
        <f>IF($A169="","",IF($B169="","YETİM",IF(COUNTIF(tblKartlar[KartId],$B169)=0,"YETİM","")))</f>
        <v/>
      </c>
      <c r="L169" s="28">
        <f>IF($A169="","",IF($G169&gt;$D169+kad_mahsupTolerans,"AŞIM","UYGUN"))</f>
        <v/>
      </c>
    </row>
    <row r="170">
      <c r="A170" s="26" t="n"/>
      <c r="B170" s="26" t="n"/>
      <c r="C170" s="29" t="n"/>
      <c r="D170" s="27" t="n"/>
      <c r="E170" s="26" t="n"/>
      <c r="F170" s="26" t="n"/>
      <c r="G170" s="28">
        <f>IF($A170="","",SUMIFS(tblAkis[MahsupTutar],tblAkis[KaynakKartId],$B170,tblAkis[Durum],"MAHSUP"))</f>
        <v/>
      </c>
      <c r="H170" s="28">
        <f>IF($A170="","",MAX(0,$D170-$G170))</f>
        <v/>
      </c>
      <c r="I170" s="28">
        <f>IF($A170="","",IF($C170="","",raporTarihi-$C170))</f>
        <v/>
      </c>
      <c r="J170" s="28">
        <f>IF($A170="","",IF($I170="","",IF($I170&lt;=7,"0-7",IF($I170&lt;=30,"8-30",IF($I170&lt;=60,"31-60","60+")))))</f>
        <v/>
      </c>
      <c r="K170" s="28">
        <f>IF($A170="","",IF($B170="","YETİM",IF(COUNTIF(tblKartlar[KartId],$B170)=0,"YETİM","")))</f>
        <v/>
      </c>
      <c r="L170" s="28">
        <f>IF($A170="","",IF($G170&gt;$D170+kad_mahsupTolerans,"AŞIM","UYGUN"))</f>
        <v/>
      </c>
    </row>
    <row r="171">
      <c r="A171" s="26" t="n"/>
      <c r="B171" s="26" t="n"/>
      <c r="C171" s="29" t="n"/>
      <c r="D171" s="27" t="n"/>
      <c r="E171" s="26" t="n"/>
      <c r="F171" s="26" t="n"/>
      <c r="G171" s="28">
        <f>IF($A171="","",SUMIFS(tblAkis[MahsupTutar],tblAkis[KaynakKartId],$B171,tblAkis[Durum],"MAHSUP"))</f>
        <v/>
      </c>
      <c r="H171" s="28">
        <f>IF($A171="","",MAX(0,$D171-$G171))</f>
        <v/>
      </c>
      <c r="I171" s="28">
        <f>IF($A171="","",IF($C171="","",raporTarihi-$C171))</f>
        <v/>
      </c>
      <c r="J171" s="28">
        <f>IF($A171="","",IF($I171="","",IF($I171&lt;=7,"0-7",IF($I171&lt;=30,"8-30",IF($I171&lt;=60,"31-60","60+")))))</f>
        <v/>
      </c>
      <c r="K171" s="28">
        <f>IF($A171="","",IF($B171="","YETİM",IF(COUNTIF(tblKartlar[KartId],$B171)=0,"YETİM","")))</f>
        <v/>
      </c>
      <c r="L171" s="28">
        <f>IF($A171="","",IF($G171&gt;$D171+kad_mahsupTolerans,"AŞIM","UYGUN"))</f>
        <v/>
      </c>
    </row>
    <row r="172">
      <c r="A172" s="26" t="n"/>
      <c r="B172" s="26" t="n"/>
      <c r="C172" s="29" t="n"/>
      <c r="D172" s="27" t="n"/>
      <c r="E172" s="26" t="n"/>
      <c r="F172" s="26" t="n"/>
      <c r="G172" s="28">
        <f>IF($A172="","",SUMIFS(tblAkis[MahsupTutar],tblAkis[KaynakKartId],$B172,tblAkis[Durum],"MAHSUP"))</f>
        <v/>
      </c>
      <c r="H172" s="28">
        <f>IF($A172="","",MAX(0,$D172-$G172))</f>
        <v/>
      </c>
      <c r="I172" s="28">
        <f>IF($A172="","",IF($C172="","",raporTarihi-$C172))</f>
        <v/>
      </c>
      <c r="J172" s="28">
        <f>IF($A172="","",IF($I172="","",IF($I172&lt;=7,"0-7",IF($I172&lt;=30,"8-30",IF($I172&lt;=60,"31-60","60+")))))</f>
        <v/>
      </c>
      <c r="K172" s="28">
        <f>IF($A172="","",IF($B172="","YETİM",IF(COUNTIF(tblKartlar[KartId],$B172)=0,"YETİM","")))</f>
        <v/>
      </c>
      <c r="L172" s="28">
        <f>IF($A172="","",IF($G172&gt;$D172+kad_mahsupTolerans,"AŞIM","UYGUN"))</f>
        <v/>
      </c>
    </row>
    <row r="173">
      <c r="A173" s="26" t="n"/>
      <c r="B173" s="26" t="n"/>
      <c r="C173" s="29" t="n"/>
      <c r="D173" s="27" t="n"/>
      <c r="E173" s="26" t="n"/>
      <c r="F173" s="26" t="n"/>
      <c r="G173" s="28">
        <f>IF($A173="","",SUMIFS(tblAkis[MahsupTutar],tblAkis[KaynakKartId],$B173,tblAkis[Durum],"MAHSUP"))</f>
        <v/>
      </c>
      <c r="H173" s="28">
        <f>IF($A173="","",MAX(0,$D173-$G173))</f>
        <v/>
      </c>
      <c r="I173" s="28">
        <f>IF($A173="","",IF($C173="","",raporTarihi-$C173))</f>
        <v/>
      </c>
      <c r="J173" s="28">
        <f>IF($A173="","",IF($I173="","",IF($I173&lt;=7,"0-7",IF($I173&lt;=30,"8-30",IF($I173&lt;=60,"31-60","60+")))))</f>
        <v/>
      </c>
      <c r="K173" s="28">
        <f>IF($A173="","",IF($B173="","YETİM",IF(COUNTIF(tblKartlar[KartId],$B173)=0,"YETİM","")))</f>
        <v/>
      </c>
      <c r="L173" s="28">
        <f>IF($A173="","",IF($G173&gt;$D173+kad_mahsupTolerans,"AŞIM","UYGUN"))</f>
        <v/>
      </c>
    </row>
    <row r="174">
      <c r="A174" s="26" t="n"/>
      <c r="B174" s="26" t="n"/>
      <c r="C174" s="29" t="n"/>
      <c r="D174" s="27" t="n"/>
      <c r="E174" s="26" t="n"/>
      <c r="F174" s="26" t="n"/>
      <c r="G174" s="28">
        <f>IF($A174="","",SUMIFS(tblAkis[MahsupTutar],tblAkis[KaynakKartId],$B174,tblAkis[Durum],"MAHSUP"))</f>
        <v/>
      </c>
      <c r="H174" s="28">
        <f>IF($A174="","",MAX(0,$D174-$G174))</f>
        <v/>
      </c>
      <c r="I174" s="28">
        <f>IF($A174="","",IF($C174="","",raporTarihi-$C174))</f>
        <v/>
      </c>
      <c r="J174" s="28">
        <f>IF($A174="","",IF($I174="","",IF($I174&lt;=7,"0-7",IF($I174&lt;=30,"8-30",IF($I174&lt;=60,"31-60","60+")))))</f>
        <v/>
      </c>
      <c r="K174" s="28">
        <f>IF($A174="","",IF($B174="","YETİM",IF(COUNTIF(tblKartlar[KartId],$B174)=0,"YETİM","")))</f>
        <v/>
      </c>
      <c r="L174" s="28">
        <f>IF($A174="","",IF($G174&gt;$D174+kad_mahsupTolerans,"AŞIM","UYGUN"))</f>
        <v/>
      </c>
    </row>
    <row r="175">
      <c r="A175" s="26" t="n"/>
      <c r="B175" s="26" t="n"/>
      <c r="C175" s="29" t="n"/>
      <c r="D175" s="27" t="n"/>
      <c r="E175" s="26" t="n"/>
      <c r="F175" s="26" t="n"/>
      <c r="G175" s="28">
        <f>IF($A175="","",SUMIFS(tblAkis[MahsupTutar],tblAkis[KaynakKartId],$B175,tblAkis[Durum],"MAHSUP"))</f>
        <v/>
      </c>
      <c r="H175" s="28">
        <f>IF($A175="","",MAX(0,$D175-$G175))</f>
        <v/>
      </c>
      <c r="I175" s="28">
        <f>IF($A175="","",IF($C175="","",raporTarihi-$C175))</f>
        <v/>
      </c>
      <c r="J175" s="28">
        <f>IF($A175="","",IF($I175="","",IF($I175&lt;=7,"0-7",IF($I175&lt;=30,"8-30",IF($I175&lt;=60,"31-60","60+")))))</f>
        <v/>
      </c>
      <c r="K175" s="28">
        <f>IF($A175="","",IF($B175="","YETİM",IF(COUNTIF(tblKartlar[KartId],$B175)=0,"YETİM","")))</f>
        <v/>
      </c>
      <c r="L175" s="28">
        <f>IF($A175="","",IF($G175&gt;$D175+kad_mahsupTolerans,"AŞIM","UYGUN"))</f>
        <v/>
      </c>
    </row>
    <row r="176">
      <c r="A176" s="26" t="n"/>
      <c r="B176" s="26" t="n"/>
      <c r="C176" s="29" t="n"/>
      <c r="D176" s="27" t="n"/>
      <c r="E176" s="26" t="n"/>
      <c r="F176" s="26" t="n"/>
      <c r="G176" s="28">
        <f>IF($A176="","",SUMIFS(tblAkis[MahsupTutar],tblAkis[KaynakKartId],$B176,tblAkis[Durum],"MAHSUP"))</f>
        <v/>
      </c>
      <c r="H176" s="28">
        <f>IF($A176="","",MAX(0,$D176-$G176))</f>
        <v/>
      </c>
      <c r="I176" s="28">
        <f>IF($A176="","",IF($C176="","",raporTarihi-$C176))</f>
        <v/>
      </c>
      <c r="J176" s="28">
        <f>IF($A176="","",IF($I176="","",IF($I176&lt;=7,"0-7",IF($I176&lt;=30,"8-30",IF($I176&lt;=60,"31-60","60+")))))</f>
        <v/>
      </c>
      <c r="K176" s="28">
        <f>IF($A176="","",IF($B176="","YETİM",IF(COUNTIF(tblKartlar[KartId],$B176)=0,"YETİM","")))</f>
        <v/>
      </c>
      <c r="L176" s="28">
        <f>IF($A176="","",IF($G176&gt;$D176+kad_mahsupTolerans,"AŞIM","UYGUN"))</f>
        <v/>
      </c>
    </row>
    <row r="177">
      <c r="A177" s="26" t="n"/>
      <c r="B177" s="26" t="n"/>
      <c r="C177" s="29" t="n"/>
      <c r="D177" s="27" t="n"/>
      <c r="E177" s="26" t="n"/>
      <c r="F177" s="26" t="n"/>
      <c r="G177" s="28">
        <f>IF($A177="","",SUMIFS(tblAkis[MahsupTutar],tblAkis[KaynakKartId],$B177,tblAkis[Durum],"MAHSUP"))</f>
        <v/>
      </c>
      <c r="H177" s="28">
        <f>IF($A177="","",MAX(0,$D177-$G177))</f>
        <v/>
      </c>
      <c r="I177" s="28">
        <f>IF($A177="","",IF($C177="","",raporTarihi-$C177))</f>
        <v/>
      </c>
      <c r="J177" s="28">
        <f>IF($A177="","",IF($I177="","",IF($I177&lt;=7,"0-7",IF($I177&lt;=30,"8-30",IF($I177&lt;=60,"31-60","60+")))))</f>
        <v/>
      </c>
      <c r="K177" s="28">
        <f>IF($A177="","",IF($B177="","YETİM",IF(COUNTIF(tblKartlar[KartId],$B177)=0,"YETİM","")))</f>
        <v/>
      </c>
      <c r="L177" s="28">
        <f>IF($A177="","",IF($G177&gt;$D177+kad_mahsupTolerans,"AŞIM","UYGUN"))</f>
        <v/>
      </c>
    </row>
    <row r="178">
      <c r="A178" s="26" t="n"/>
      <c r="B178" s="26" t="n"/>
      <c r="C178" s="29" t="n"/>
      <c r="D178" s="27" t="n"/>
      <c r="E178" s="26" t="n"/>
      <c r="F178" s="26" t="n"/>
      <c r="G178" s="28">
        <f>IF($A178="","",SUMIFS(tblAkis[MahsupTutar],tblAkis[KaynakKartId],$B178,tblAkis[Durum],"MAHSUP"))</f>
        <v/>
      </c>
      <c r="H178" s="28">
        <f>IF($A178="","",MAX(0,$D178-$G178))</f>
        <v/>
      </c>
      <c r="I178" s="28">
        <f>IF($A178="","",IF($C178="","",raporTarihi-$C178))</f>
        <v/>
      </c>
      <c r="J178" s="28">
        <f>IF($A178="","",IF($I178="","",IF($I178&lt;=7,"0-7",IF($I178&lt;=30,"8-30",IF($I178&lt;=60,"31-60","60+")))))</f>
        <v/>
      </c>
      <c r="K178" s="28">
        <f>IF($A178="","",IF($B178="","YETİM",IF(COUNTIF(tblKartlar[KartId],$B178)=0,"YETİM","")))</f>
        <v/>
      </c>
      <c r="L178" s="28">
        <f>IF($A178="","",IF($G178&gt;$D178+kad_mahsupTolerans,"AŞIM","UYGUN"))</f>
        <v/>
      </c>
    </row>
    <row r="179">
      <c r="A179" s="26" t="n"/>
      <c r="B179" s="26" t="n"/>
      <c r="C179" s="29" t="n"/>
      <c r="D179" s="27" t="n"/>
      <c r="E179" s="26" t="n"/>
      <c r="F179" s="26" t="n"/>
      <c r="G179" s="28">
        <f>IF($A179="","",SUMIFS(tblAkis[MahsupTutar],tblAkis[KaynakKartId],$B179,tblAkis[Durum],"MAHSUP"))</f>
        <v/>
      </c>
      <c r="H179" s="28">
        <f>IF($A179="","",MAX(0,$D179-$G179))</f>
        <v/>
      </c>
      <c r="I179" s="28">
        <f>IF($A179="","",IF($C179="","",raporTarihi-$C179))</f>
        <v/>
      </c>
      <c r="J179" s="28">
        <f>IF($A179="","",IF($I179="","",IF($I179&lt;=7,"0-7",IF($I179&lt;=30,"8-30",IF($I179&lt;=60,"31-60","60+")))))</f>
        <v/>
      </c>
      <c r="K179" s="28">
        <f>IF($A179="","",IF($B179="","YETİM",IF(COUNTIF(tblKartlar[KartId],$B179)=0,"YETİM","")))</f>
        <v/>
      </c>
      <c r="L179" s="28">
        <f>IF($A179="","",IF($G179&gt;$D179+kad_mahsupTolerans,"AŞIM","UYGUN"))</f>
        <v/>
      </c>
    </row>
    <row r="180">
      <c r="A180" s="26" t="n"/>
      <c r="B180" s="26" t="n"/>
      <c r="C180" s="29" t="n"/>
      <c r="D180" s="27" t="n"/>
      <c r="E180" s="26" t="n"/>
      <c r="F180" s="26" t="n"/>
      <c r="G180" s="28">
        <f>IF($A180="","",SUMIFS(tblAkis[MahsupTutar],tblAkis[KaynakKartId],$B180,tblAkis[Durum],"MAHSUP"))</f>
        <v/>
      </c>
      <c r="H180" s="28">
        <f>IF($A180="","",MAX(0,$D180-$G180))</f>
        <v/>
      </c>
      <c r="I180" s="28">
        <f>IF($A180="","",IF($C180="","",raporTarihi-$C180))</f>
        <v/>
      </c>
      <c r="J180" s="28">
        <f>IF($A180="","",IF($I180="","",IF($I180&lt;=7,"0-7",IF($I180&lt;=30,"8-30",IF($I180&lt;=60,"31-60","60+")))))</f>
        <v/>
      </c>
      <c r="K180" s="28">
        <f>IF($A180="","",IF($B180="","YETİM",IF(COUNTIF(tblKartlar[KartId],$B180)=0,"YETİM","")))</f>
        <v/>
      </c>
      <c r="L180" s="28">
        <f>IF($A180="","",IF($G180&gt;$D180+kad_mahsupTolerans,"AŞIM","UYGUN"))</f>
        <v/>
      </c>
    </row>
    <row r="181">
      <c r="A181" s="26" t="n"/>
      <c r="B181" s="26" t="n"/>
      <c r="C181" s="29" t="n"/>
      <c r="D181" s="27" t="n"/>
      <c r="E181" s="26" t="n"/>
      <c r="F181" s="26" t="n"/>
      <c r="G181" s="28">
        <f>IF($A181="","",SUMIFS(tblAkis[MahsupTutar],tblAkis[KaynakKartId],$B181,tblAkis[Durum],"MAHSUP"))</f>
        <v/>
      </c>
      <c r="H181" s="28">
        <f>IF($A181="","",MAX(0,$D181-$G181))</f>
        <v/>
      </c>
      <c r="I181" s="28">
        <f>IF($A181="","",IF($C181="","",raporTarihi-$C181))</f>
        <v/>
      </c>
      <c r="J181" s="28">
        <f>IF($A181="","",IF($I181="","",IF($I181&lt;=7,"0-7",IF($I181&lt;=30,"8-30",IF($I181&lt;=60,"31-60","60+")))))</f>
        <v/>
      </c>
      <c r="K181" s="28">
        <f>IF($A181="","",IF($B181="","YETİM",IF(COUNTIF(tblKartlar[KartId],$B181)=0,"YETİM","")))</f>
        <v/>
      </c>
      <c r="L181" s="28">
        <f>IF($A181="","",IF($G181&gt;$D181+kad_mahsupTolerans,"AŞIM","UYGUN"))</f>
        <v/>
      </c>
    </row>
    <row r="182">
      <c r="A182" s="26" t="n"/>
      <c r="B182" s="26" t="n"/>
      <c r="C182" s="29" t="n"/>
      <c r="D182" s="27" t="n"/>
      <c r="E182" s="26" t="n"/>
      <c r="F182" s="26" t="n"/>
      <c r="G182" s="28">
        <f>IF($A182="","",SUMIFS(tblAkis[MahsupTutar],tblAkis[KaynakKartId],$B182,tblAkis[Durum],"MAHSUP"))</f>
        <v/>
      </c>
      <c r="H182" s="28">
        <f>IF($A182="","",MAX(0,$D182-$G182))</f>
        <v/>
      </c>
      <c r="I182" s="28">
        <f>IF($A182="","",IF($C182="","",raporTarihi-$C182))</f>
        <v/>
      </c>
      <c r="J182" s="28">
        <f>IF($A182="","",IF($I182="","",IF($I182&lt;=7,"0-7",IF($I182&lt;=30,"8-30",IF($I182&lt;=60,"31-60","60+")))))</f>
        <v/>
      </c>
      <c r="K182" s="28">
        <f>IF($A182="","",IF($B182="","YETİM",IF(COUNTIF(tblKartlar[KartId],$B182)=0,"YETİM","")))</f>
        <v/>
      </c>
      <c r="L182" s="28">
        <f>IF($A182="","",IF($G182&gt;$D182+kad_mahsupTolerans,"AŞIM","UYGUN"))</f>
        <v/>
      </c>
    </row>
    <row r="183">
      <c r="A183" s="26" t="n"/>
      <c r="B183" s="26" t="n"/>
      <c r="C183" s="29" t="n"/>
      <c r="D183" s="27" t="n"/>
      <c r="E183" s="26" t="n"/>
      <c r="F183" s="26" t="n"/>
      <c r="G183" s="28">
        <f>IF($A183="","",SUMIFS(tblAkis[MahsupTutar],tblAkis[KaynakKartId],$B183,tblAkis[Durum],"MAHSUP"))</f>
        <v/>
      </c>
      <c r="H183" s="28">
        <f>IF($A183="","",MAX(0,$D183-$G183))</f>
        <v/>
      </c>
      <c r="I183" s="28">
        <f>IF($A183="","",IF($C183="","",raporTarihi-$C183))</f>
        <v/>
      </c>
      <c r="J183" s="28">
        <f>IF($A183="","",IF($I183="","",IF($I183&lt;=7,"0-7",IF($I183&lt;=30,"8-30",IF($I183&lt;=60,"31-60","60+")))))</f>
        <v/>
      </c>
      <c r="K183" s="28">
        <f>IF($A183="","",IF($B183="","YETİM",IF(COUNTIF(tblKartlar[KartId],$B183)=0,"YETİM","")))</f>
        <v/>
      </c>
      <c r="L183" s="28">
        <f>IF($A183="","",IF($G183&gt;$D183+kad_mahsupTolerans,"AŞIM","UYGUN"))</f>
        <v/>
      </c>
    </row>
    <row r="184">
      <c r="A184" s="26" t="n"/>
      <c r="B184" s="26" t="n"/>
      <c r="C184" s="29" t="n"/>
      <c r="D184" s="27" t="n"/>
      <c r="E184" s="26" t="n"/>
      <c r="F184" s="26" t="n"/>
      <c r="G184" s="28">
        <f>IF($A184="","",SUMIFS(tblAkis[MahsupTutar],tblAkis[KaynakKartId],$B184,tblAkis[Durum],"MAHSUP"))</f>
        <v/>
      </c>
      <c r="H184" s="28">
        <f>IF($A184="","",MAX(0,$D184-$G184))</f>
        <v/>
      </c>
      <c r="I184" s="28">
        <f>IF($A184="","",IF($C184="","",raporTarihi-$C184))</f>
        <v/>
      </c>
      <c r="J184" s="28">
        <f>IF($A184="","",IF($I184="","",IF($I184&lt;=7,"0-7",IF($I184&lt;=30,"8-30",IF($I184&lt;=60,"31-60","60+")))))</f>
        <v/>
      </c>
      <c r="K184" s="28">
        <f>IF($A184="","",IF($B184="","YETİM",IF(COUNTIF(tblKartlar[KartId],$B184)=0,"YETİM","")))</f>
        <v/>
      </c>
      <c r="L184" s="28">
        <f>IF($A184="","",IF($G184&gt;$D184+kad_mahsupTolerans,"AŞIM","UYGUN"))</f>
        <v/>
      </c>
    </row>
    <row r="185">
      <c r="A185" s="26" t="n"/>
      <c r="B185" s="26" t="n"/>
      <c r="C185" s="29" t="n"/>
      <c r="D185" s="27" t="n"/>
      <c r="E185" s="26" t="n"/>
      <c r="F185" s="26" t="n"/>
      <c r="G185" s="28">
        <f>IF($A185="","",SUMIFS(tblAkis[MahsupTutar],tblAkis[KaynakKartId],$B185,tblAkis[Durum],"MAHSUP"))</f>
        <v/>
      </c>
      <c r="H185" s="28">
        <f>IF($A185="","",MAX(0,$D185-$G185))</f>
        <v/>
      </c>
      <c r="I185" s="28">
        <f>IF($A185="","",IF($C185="","",raporTarihi-$C185))</f>
        <v/>
      </c>
      <c r="J185" s="28">
        <f>IF($A185="","",IF($I185="","",IF($I185&lt;=7,"0-7",IF($I185&lt;=30,"8-30",IF($I185&lt;=60,"31-60","60+")))))</f>
        <v/>
      </c>
      <c r="K185" s="28">
        <f>IF($A185="","",IF($B185="","YETİM",IF(COUNTIF(tblKartlar[KartId],$B185)=0,"YETİM","")))</f>
        <v/>
      </c>
      <c r="L185" s="28">
        <f>IF($A185="","",IF($G185&gt;$D185+kad_mahsupTolerans,"AŞIM","UYGUN"))</f>
        <v/>
      </c>
    </row>
    <row r="186">
      <c r="A186" s="26" t="n"/>
      <c r="B186" s="26" t="n"/>
      <c r="C186" s="29" t="n"/>
      <c r="D186" s="27" t="n"/>
      <c r="E186" s="26" t="n"/>
      <c r="F186" s="26" t="n"/>
      <c r="G186" s="28">
        <f>IF($A186="","",SUMIFS(tblAkis[MahsupTutar],tblAkis[KaynakKartId],$B186,tblAkis[Durum],"MAHSUP"))</f>
        <v/>
      </c>
      <c r="H186" s="28">
        <f>IF($A186="","",MAX(0,$D186-$G186))</f>
        <v/>
      </c>
      <c r="I186" s="28">
        <f>IF($A186="","",IF($C186="","",raporTarihi-$C186))</f>
        <v/>
      </c>
      <c r="J186" s="28">
        <f>IF($A186="","",IF($I186="","",IF($I186&lt;=7,"0-7",IF($I186&lt;=30,"8-30",IF($I186&lt;=60,"31-60","60+")))))</f>
        <v/>
      </c>
      <c r="K186" s="28">
        <f>IF($A186="","",IF($B186="","YETİM",IF(COUNTIF(tblKartlar[KartId],$B186)=0,"YETİM","")))</f>
        <v/>
      </c>
      <c r="L186" s="28">
        <f>IF($A186="","",IF($G186&gt;$D186+kad_mahsupTolerans,"AŞIM","UYGUN"))</f>
        <v/>
      </c>
    </row>
    <row r="187">
      <c r="A187" s="26" t="n"/>
      <c r="B187" s="26" t="n"/>
      <c r="C187" s="29" t="n"/>
      <c r="D187" s="27" t="n"/>
      <c r="E187" s="26" t="n"/>
      <c r="F187" s="26" t="n"/>
      <c r="G187" s="28">
        <f>IF($A187="","",SUMIFS(tblAkis[MahsupTutar],tblAkis[KaynakKartId],$B187,tblAkis[Durum],"MAHSUP"))</f>
        <v/>
      </c>
      <c r="H187" s="28">
        <f>IF($A187="","",MAX(0,$D187-$G187))</f>
        <v/>
      </c>
      <c r="I187" s="28">
        <f>IF($A187="","",IF($C187="","",raporTarihi-$C187))</f>
        <v/>
      </c>
      <c r="J187" s="28">
        <f>IF($A187="","",IF($I187="","",IF($I187&lt;=7,"0-7",IF($I187&lt;=30,"8-30",IF($I187&lt;=60,"31-60","60+")))))</f>
        <v/>
      </c>
      <c r="K187" s="28">
        <f>IF($A187="","",IF($B187="","YETİM",IF(COUNTIF(tblKartlar[KartId],$B187)=0,"YETİM","")))</f>
        <v/>
      </c>
      <c r="L187" s="28">
        <f>IF($A187="","",IF($G187&gt;$D187+kad_mahsupTolerans,"AŞIM","UYGUN"))</f>
        <v/>
      </c>
    </row>
    <row r="188">
      <c r="A188" s="26" t="n"/>
      <c r="B188" s="26" t="n"/>
      <c r="C188" s="29" t="n"/>
      <c r="D188" s="27" t="n"/>
      <c r="E188" s="26" t="n"/>
      <c r="F188" s="26" t="n"/>
      <c r="G188" s="28">
        <f>IF($A188="","",SUMIFS(tblAkis[MahsupTutar],tblAkis[KaynakKartId],$B188,tblAkis[Durum],"MAHSUP"))</f>
        <v/>
      </c>
      <c r="H188" s="28">
        <f>IF($A188="","",MAX(0,$D188-$G188))</f>
        <v/>
      </c>
      <c r="I188" s="28">
        <f>IF($A188="","",IF($C188="","",raporTarihi-$C188))</f>
        <v/>
      </c>
      <c r="J188" s="28">
        <f>IF($A188="","",IF($I188="","",IF($I188&lt;=7,"0-7",IF($I188&lt;=30,"8-30",IF($I188&lt;=60,"31-60","60+")))))</f>
        <v/>
      </c>
      <c r="K188" s="28">
        <f>IF($A188="","",IF($B188="","YETİM",IF(COUNTIF(tblKartlar[KartId],$B188)=0,"YETİM","")))</f>
        <v/>
      </c>
      <c r="L188" s="28">
        <f>IF($A188="","",IF($G188&gt;$D188+kad_mahsupTolerans,"AŞIM","UYGUN"))</f>
        <v/>
      </c>
    </row>
    <row r="189">
      <c r="A189" s="26" t="n"/>
      <c r="B189" s="26" t="n"/>
      <c r="C189" s="29" t="n"/>
      <c r="D189" s="27" t="n"/>
      <c r="E189" s="26" t="n"/>
      <c r="F189" s="26" t="n"/>
      <c r="G189" s="28">
        <f>IF($A189="","",SUMIFS(tblAkis[MahsupTutar],tblAkis[KaynakKartId],$B189,tblAkis[Durum],"MAHSUP"))</f>
        <v/>
      </c>
      <c r="H189" s="28">
        <f>IF($A189="","",MAX(0,$D189-$G189))</f>
        <v/>
      </c>
      <c r="I189" s="28">
        <f>IF($A189="","",IF($C189="","",raporTarihi-$C189))</f>
        <v/>
      </c>
      <c r="J189" s="28">
        <f>IF($A189="","",IF($I189="","",IF($I189&lt;=7,"0-7",IF($I189&lt;=30,"8-30",IF($I189&lt;=60,"31-60","60+")))))</f>
        <v/>
      </c>
      <c r="K189" s="28">
        <f>IF($A189="","",IF($B189="","YETİM",IF(COUNTIF(tblKartlar[KartId],$B189)=0,"YETİM","")))</f>
        <v/>
      </c>
      <c r="L189" s="28">
        <f>IF($A189="","",IF($G189&gt;$D189+kad_mahsupTolerans,"AŞIM","UYGUN"))</f>
        <v/>
      </c>
    </row>
    <row r="190">
      <c r="A190" s="26" t="n"/>
      <c r="B190" s="26" t="n"/>
      <c r="C190" s="29" t="n"/>
      <c r="D190" s="27" t="n"/>
      <c r="E190" s="26" t="n"/>
      <c r="F190" s="26" t="n"/>
      <c r="G190" s="28">
        <f>IF($A190="","",SUMIFS(tblAkis[MahsupTutar],tblAkis[KaynakKartId],$B190,tblAkis[Durum],"MAHSUP"))</f>
        <v/>
      </c>
      <c r="H190" s="28">
        <f>IF($A190="","",MAX(0,$D190-$G190))</f>
        <v/>
      </c>
      <c r="I190" s="28">
        <f>IF($A190="","",IF($C190="","",raporTarihi-$C190))</f>
        <v/>
      </c>
      <c r="J190" s="28">
        <f>IF($A190="","",IF($I190="","",IF($I190&lt;=7,"0-7",IF($I190&lt;=30,"8-30",IF($I190&lt;=60,"31-60","60+")))))</f>
        <v/>
      </c>
      <c r="K190" s="28">
        <f>IF($A190="","",IF($B190="","YETİM",IF(COUNTIF(tblKartlar[KartId],$B190)=0,"YETİM","")))</f>
        <v/>
      </c>
      <c r="L190" s="28">
        <f>IF($A190="","",IF($G190&gt;$D190+kad_mahsupTolerans,"AŞIM","UYGUN"))</f>
        <v/>
      </c>
    </row>
    <row r="191">
      <c r="A191" s="26" t="n"/>
      <c r="B191" s="26" t="n"/>
      <c r="C191" s="29" t="n"/>
      <c r="D191" s="27" t="n"/>
      <c r="E191" s="26" t="n"/>
      <c r="F191" s="26" t="n"/>
      <c r="G191" s="28">
        <f>IF($A191="","",SUMIFS(tblAkis[MahsupTutar],tblAkis[KaynakKartId],$B191,tblAkis[Durum],"MAHSUP"))</f>
        <v/>
      </c>
      <c r="H191" s="28">
        <f>IF($A191="","",MAX(0,$D191-$G191))</f>
        <v/>
      </c>
      <c r="I191" s="28">
        <f>IF($A191="","",IF($C191="","",raporTarihi-$C191))</f>
        <v/>
      </c>
      <c r="J191" s="28">
        <f>IF($A191="","",IF($I191="","",IF($I191&lt;=7,"0-7",IF($I191&lt;=30,"8-30",IF($I191&lt;=60,"31-60","60+")))))</f>
        <v/>
      </c>
      <c r="K191" s="28">
        <f>IF($A191="","",IF($B191="","YETİM",IF(COUNTIF(tblKartlar[KartId],$B191)=0,"YETİM","")))</f>
        <v/>
      </c>
      <c r="L191" s="28">
        <f>IF($A191="","",IF($G191&gt;$D191+kad_mahsupTolerans,"AŞIM","UYGUN"))</f>
        <v/>
      </c>
    </row>
    <row r="192">
      <c r="A192" s="26" t="n"/>
      <c r="B192" s="26" t="n"/>
      <c r="C192" s="29" t="n"/>
      <c r="D192" s="27" t="n"/>
      <c r="E192" s="26" t="n"/>
      <c r="F192" s="26" t="n"/>
      <c r="G192" s="28">
        <f>IF($A192="","",SUMIFS(tblAkis[MahsupTutar],tblAkis[KaynakKartId],$B192,tblAkis[Durum],"MAHSUP"))</f>
        <v/>
      </c>
      <c r="H192" s="28">
        <f>IF($A192="","",MAX(0,$D192-$G192))</f>
        <v/>
      </c>
      <c r="I192" s="28">
        <f>IF($A192="","",IF($C192="","",raporTarihi-$C192))</f>
        <v/>
      </c>
      <c r="J192" s="28">
        <f>IF($A192="","",IF($I192="","",IF($I192&lt;=7,"0-7",IF($I192&lt;=30,"8-30",IF($I192&lt;=60,"31-60","60+")))))</f>
        <v/>
      </c>
      <c r="K192" s="28">
        <f>IF($A192="","",IF($B192="","YETİM",IF(COUNTIF(tblKartlar[KartId],$B192)=0,"YETİM","")))</f>
        <v/>
      </c>
      <c r="L192" s="28">
        <f>IF($A192="","",IF($G192&gt;$D192+kad_mahsupTolerans,"AŞIM","UYGUN"))</f>
        <v/>
      </c>
    </row>
    <row r="193">
      <c r="A193" s="26" t="n"/>
      <c r="B193" s="26" t="n"/>
      <c r="C193" s="29" t="n"/>
      <c r="D193" s="27" t="n"/>
      <c r="E193" s="26" t="n"/>
      <c r="F193" s="26" t="n"/>
      <c r="G193" s="28">
        <f>IF($A193="","",SUMIFS(tblAkis[MahsupTutar],tblAkis[KaynakKartId],$B193,tblAkis[Durum],"MAHSUP"))</f>
        <v/>
      </c>
      <c r="H193" s="28">
        <f>IF($A193="","",MAX(0,$D193-$G193))</f>
        <v/>
      </c>
      <c r="I193" s="28">
        <f>IF($A193="","",IF($C193="","",raporTarihi-$C193))</f>
        <v/>
      </c>
      <c r="J193" s="28">
        <f>IF($A193="","",IF($I193="","",IF($I193&lt;=7,"0-7",IF($I193&lt;=30,"8-30",IF($I193&lt;=60,"31-60","60+")))))</f>
        <v/>
      </c>
      <c r="K193" s="28">
        <f>IF($A193="","",IF($B193="","YETİM",IF(COUNTIF(tblKartlar[KartId],$B193)=0,"YETİM","")))</f>
        <v/>
      </c>
      <c r="L193" s="28">
        <f>IF($A193="","",IF($G193&gt;$D193+kad_mahsupTolerans,"AŞIM","UYGUN"))</f>
        <v/>
      </c>
    </row>
    <row r="194">
      <c r="A194" s="26" t="n"/>
      <c r="B194" s="26" t="n"/>
      <c r="C194" s="29" t="n"/>
      <c r="D194" s="27" t="n"/>
      <c r="E194" s="26" t="n"/>
      <c r="F194" s="26" t="n"/>
      <c r="G194" s="28">
        <f>IF($A194="","",SUMIFS(tblAkis[MahsupTutar],tblAkis[KaynakKartId],$B194,tblAkis[Durum],"MAHSUP"))</f>
        <v/>
      </c>
      <c r="H194" s="28">
        <f>IF($A194="","",MAX(0,$D194-$G194))</f>
        <v/>
      </c>
      <c r="I194" s="28">
        <f>IF($A194="","",IF($C194="","",raporTarihi-$C194))</f>
        <v/>
      </c>
      <c r="J194" s="28">
        <f>IF($A194="","",IF($I194="","",IF($I194&lt;=7,"0-7",IF($I194&lt;=30,"8-30",IF($I194&lt;=60,"31-60","60+")))))</f>
        <v/>
      </c>
      <c r="K194" s="28">
        <f>IF($A194="","",IF($B194="","YETİM",IF(COUNTIF(tblKartlar[KartId],$B194)=0,"YETİM","")))</f>
        <v/>
      </c>
      <c r="L194" s="28">
        <f>IF($A194="","",IF($G194&gt;$D194+kad_mahsupTolerans,"AŞIM","UYGUN"))</f>
        <v/>
      </c>
    </row>
    <row r="195">
      <c r="A195" s="26" t="n"/>
      <c r="B195" s="26" t="n"/>
      <c r="C195" s="29" t="n"/>
      <c r="D195" s="27" t="n"/>
      <c r="E195" s="26" t="n"/>
      <c r="F195" s="26" t="n"/>
      <c r="G195" s="28">
        <f>IF($A195="","",SUMIFS(tblAkis[MahsupTutar],tblAkis[KaynakKartId],$B195,tblAkis[Durum],"MAHSUP"))</f>
        <v/>
      </c>
      <c r="H195" s="28">
        <f>IF($A195="","",MAX(0,$D195-$G195))</f>
        <v/>
      </c>
      <c r="I195" s="28">
        <f>IF($A195="","",IF($C195="","",raporTarihi-$C195))</f>
        <v/>
      </c>
      <c r="J195" s="28">
        <f>IF($A195="","",IF($I195="","",IF($I195&lt;=7,"0-7",IF($I195&lt;=30,"8-30",IF($I195&lt;=60,"31-60","60+")))))</f>
        <v/>
      </c>
      <c r="K195" s="28">
        <f>IF($A195="","",IF($B195="","YETİM",IF(COUNTIF(tblKartlar[KartId],$B195)=0,"YETİM","")))</f>
        <v/>
      </c>
      <c r="L195" s="28">
        <f>IF($A195="","",IF($G195&gt;$D195+kad_mahsupTolerans,"AŞIM","UYGUN"))</f>
        <v/>
      </c>
    </row>
    <row r="196">
      <c r="A196" s="26" t="n"/>
      <c r="B196" s="26" t="n"/>
      <c r="C196" s="29" t="n"/>
      <c r="D196" s="27" t="n"/>
      <c r="E196" s="26" t="n"/>
      <c r="F196" s="26" t="n"/>
      <c r="G196" s="28">
        <f>IF($A196="","",SUMIFS(tblAkis[MahsupTutar],tblAkis[KaynakKartId],$B196,tblAkis[Durum],"MAHSUP"))</f>
        <v/>
      </c>
      <c r="H196" s="28">
        <f>IF($A196="","",MAX(0,$D196-$G196))</f>
        <v/>
      </c>
      <c r="I196" s="28">
        <f>IF($A196="","",IF($C196="","",raporTarihi-$C196))</f>
        <v/>
      </c>
      <c r="J196" s="28">
        <f>IF($A196="","",IF($I196="","",IF($I196&lt;=7,"0-7",IF($I196&lt;=30,"8-30",IF($I196&lt;=60,"31-60","60+")))))</f>
        <v/>
      </c>
      <c r="K196" s="28">
        <f>IF($A196="","",IF($B196="","YETİM",IF(COUNTIF(tblKartlar[KartId],$B196)=0,"YETİM","")))</f>
        <v/>
      </c>
      <c r="L196" s="28">
        <f>IF($A196="","",IF($G196&gt;$D196+kad_mahsupTolerans,"AŞIM","UYGUN"))</f>
        <v/>
      </c>
    </row>
    <row r="197">
      <c r="A197" s="26" t="n"/>
      <c r="B197" s="26" t="n"/>
      <c r="C197" s="29" t="n"/>
      <c r="D197" s="27" t="n"/>
      <c r="E197" s="26" t="n"/>
      <c r="F197" s="26" t="n"/>
      <c r="G197" s="28">
        <f>IF($A197="","",SUMIFS(tblAkis[MahsupTutar],tblAkis[KaynakKartId],$B197,tblAkis[Durum],"MAHSUP"))</f>
        <v/>
      </c>
      <c r="H197" s="28">
        <f>IF($A197="","",MAX(0,$D197-$G197))</f>
        <v/>
      </c>
      <c r="I197" s="28">
        <f>IF($A197="","",IF($C197="","",raporTarihi-$C197))</f>
        <v/>
      </c>
      <c r="J197" s="28">
        <f>IF($A197="","",IF($I197="","",IF($I197&lt;=7,"0-7",IF($I197&lt;=30,"8-30",IF($I197&lt;=60,"31-60","60+")))))</f>
        <v/>
      </c>
      <c r="K197" s="28">
        <f>IF($A197="","",IF($B197="","YETİM",IF(COUNTIF(tblKartlar[KartId],$B197)=0,"YETİM","")))</f>
        <v/>
      </c>
      <c r="L197" s="28">
        <f>IF($A197="","",IF($G197&gt;$D197+kad_mahsupTolerans,"AŞIM","UYGUN"))</f>
        <v/>
      </c>
    </row>
    <row r="198">
      <c r="A198" s="26" t="n"/>
      <c r="B198" s="26" t="n"/>
      <c r="C198" s="29" t="n"/>
      <c r="D198" s="27" t="n"/>
      <c r="E198" s="26" t="n"/>
      <c r="F198" s="26" t="n"/>
      <c r="G198" s="28">
        <f>IF($A198="","",SUMIFS(tblAkis[MahsupTutar],tblAkis[KaynakKartId],$B198,tblAkis[Durum],"MAHSUP"))</f>
        <v/>
      </c>
      <c r="H198" s="28">
        <f>IF($A198="","",MAX(0,$D198-$G198))</f>
        <v/>
      </c>
      <c r="I198" s="28">
        <f>IF($A198="","",IF($C198="","",raporTarihi-$C198))</f>
        <v/>
      </c>
      <c r="J198" s="28">
        <f>IF($A198="","",IF($I198="","",IF($I198&lt;=7,"0-7",IF($I198&lt;=30,"8-30",IF($I198&lt;=60,"31-60","60+")))))</f>
        <v/>
      </c>
      <c r="K198" s="28">
        <f>IF($A198="","",IF($B198="","YETİM",IF(COUNTIF(tblKartlar[KartId],$B198)=0,"YETİM","")))</f>
        <v/>
      </c>
      <c r="L198" s="28">
        <f>IF($A198="","",IF($G198&gt;$D198+kad_mahsupTolerans,"AŞIM","UYGUN"))</f>
        <v/>
      </c>
    </row>
    <row r="199">
      <c r="A199" s="26" t="n"/>
      <c r="B199" s="26" t="n"/>
      <c r="C199" s="29" t="n"/>
      <c r="D199" s="27" t="n"/>
      <c r="E199" s="26" t="n"/>
      <c r="F199" s="26" t="n"/>
      <c r="G199" s="28">
        <f>IF($A199="","",SUMIFS(tblAkis[MahsupTutar],tblAkis[KaynakKartId],$B199,tblAkis[Durum],"MAHSUP"))</f>
        <v/>
      </c>
      <c r="H199" s="28">
        <f>IF($A199="","",MAX(0,$D199-$G199))</f>
        <v/>
      </c>
      <c r="I199" s="28">
        <f>IF($A199="","",IF($C199="","",raporTarihi-$C199))</f>
        <v/>
      </c>
      <c r="J199" s="28">
        <f>IF($A199="","",IF($I199="","",IF($I199&lt;=7,"0-7",IF($I199&lt;=30,"8-30",IF($I199&lt;=60,"31-60","60+")))))</f>
        <v/>
      </c>
      <c r="K199" s="28">
        <f>IF($A199="","",IF($B199="","YETİM",IF(COUNTIF(tblKartlar[KartId],$B199)=0,"YETİM","")))</f>
        <v/>
      </c>
      <c r="L199" s="28">
        <f>IF($A199="","",IF($G199&gt;$D199+kad_mahsupTolerans,"AŞIM","UYGUN"))</f>
        <v/>
      </c>
    </row>
    <row r="200">
      <c r="A200" s="26" t="n"/>
      <c r="B200" s="26" t="n"/>
      <c r="C200" s="29" t="n"/>
      <c r="D200" s="27" t="n"/>
      <c r="E200" s="26" t="n"/>
      <c r="F200" s="26" t="n"/>
      <c r="G200" s="28">
        <f>IF($A200="","",SUMIFS(tblAkis[MahsupTutar],tblAkis[KaynakKartId],$B200,tblAkis[Durum],"MAHSUP"))</f>
        <v/>
      </c>
      <c r="H200" s="28">
        <f>IF($A200="","",MAX(0,$D200-$G200))</f>
        <v/>
      </c>
      <c r="I200" s="28">
        <f>IF($A200="","",IF($C200="","",raporTarihi-$C200))</f>
        <v/>
      </c>
      <c r="J200" s="28">
        <f>IF($A200="","",IF($I200="","",IF($I200&lt;=7,"0-7",IF($I200&lt;=30,"8-30",IF($I200&lt;=60,"31-60","60+")))))</f>
        <v/>
      </c>
      <c r="K200" s="28">
        <f>IF($A200="","",IF($B200="","YETİM",IF(COUNTIF(tblKartlar[KartId],$B200)=0,"YETİM","")))</f>
        <v/>
      </c>
      <c r="L200" s="28">
        <f>IF($A200="","",IF($G200&gt;$D200+kad_mahsupTolerans,"AŞIM","UYGUN"))</f>
        <v/>
      </c>
    </row>
    <row r="201">
      <c r="A201" s="26" t="n"/>
      <c r="B201" s="26" t="n"/>
      <c r="C201" s="29" t="n"/>
      <c r="D201" s="27" t="n"/>
      <c r="E201" s="26" t="n"/>
      <c r="F201" s="26" t="n"/>
      <c r="G201" s="28">
        <f>IF($A201="","",SUMIFS(tblAkis[MahsupTutar],tblAkis[KaynakKartId],$B201,tblAkis[Durum],"MAHSUP"))</f>
        <v/>
      </c>
      <c r="H201" s="28">
        <f>IF($A201="","",MAX(0,$D201-$G201))</f>
        <v/>
      </c>
      <c r="I201" s="28">
        <f>IF($A201="","",IF($C201="","",raporTarihi-$C201))</f>
        <v/>
      </c>
      <c r="J201" s="28">
        <f>IF($A201="","",IF($I201="","",IF($I201&lt;=7,"0-7",IF($I201&lt;=30,"8-30",IF($I201&lt;=60,"31-60","60+")))))</f>
        <v/>
      </c>
      <c r="K201" s="28">
        <f>IF($A201="","",IF($B201="","YETİM",IF(COUNTIF(tblKartlar[KartId],$B201)=0,"YETİM","")))</f>
        <v/>
      </c>
      <c r="L201" s="28">
        <f>IF($A201="","",IF($G201&gt;$D201+kad_mahsupTolerans,"AŞIM","UYGUN"))</f>
        <v/>
      </c>
    </row>
    <row r="202">
      <c r="A202" s="26" t="n"/>
      <c r="B202" s="26" t="n"/>
      <c r="C202" s="29" t="n"/>
      <c r="D202" s="27" t="n"/>
      <c r="E202" s="26" t="n"/>
      <c r="F202" s="26" t="n"/>
      <c r="G202" s="28">
        <f>IF($A202="","",SUMIFS(tblAkis[MahsupTutar],tblAkis[KaynakKartId],$B202,tblAkis[Durum],"MAHSUP"))</f>
        <v/>
      </c>
      <c r="H202" s="28">
        <f>IF($A202="","",MAX(0,$D202-$G202))</f>
        <v/>
      </c>
      <c r="I202" s="28">
        <f>IF($A202="","",IF($C202="","",raporTarihi-$C202))</f>
        <v/>
      </c>
      <c r="J202" s="28">
        <f>IF($A202="","",IF($I202="","",IF($I202&lt;=7,"0-7",IF($I202&lt;=30,"8-30",IF($I202&lt;=60,"31-60","60+")))))</f>
        <v/>
      </c>
      <c r="K202" s="28">
        <f>IF($A202="","",IF($B202="","YETİM",IF(COUNTIF(tblKartlar[KartId],$B202)=0,"YETİM","")))</f>
        <v/>
      </c>
      <c r="L202" s="28">
        <f>IF($A202="","",IF($G202&gt;$D202+kad_mahsupTolerans,"AŞIM","UYGUN"))</f>
        <v/>
      </c>
    </row>
    <row r="203">
      <c r="A203" s="26" t="n"/>
      <c r="B203" s="26" t="n"/>
      <c r="C203" s="29" t="n"/>
      <c r="D203" s="27" t="n"/>
      <c r="E203" s="26" t="n"/>
      <c r="F203" s="26" t="n"/>
      <c r="G203" s="28">
        <f>IF($A203="","",SUMIFS(tblAkis[MahsupTutar],tblAkis[KaynakKartId],$B203,tblAkis[Durum],"MAHSUP"))</f>
        <v/>
      </c>
      <c r="H203" s="28">
        <f>IF($A203="","",MAX(0,$D203-$G203))</f>
        <v/>
      </c>
      <c r="I203" s="28">
        <f>IF($A203="","",IF($C203="","",raporTarihi-$C203))</f>
        <v/>
      </c>
      <c r="J203" s="28">
        <f>IF($A203="","",IF($I203="","",IF($I203&lt;=7,"0-7",IF($I203&lt;=30,"8-30",IF($I203&lt;=60,"31-60","60+")))))</f>
        <v/>
      </c>
      <c r="K203" s="28">
        <f>IF($A203="","",IF($B203="","YETİM",IF(COUNTIF(tblKartlar[KartId],$B203)=0,"YETİM","")))</f>
        <v/>
      </c>
      <c r="L203" s="28">
        <f>IF($A203="","",IF($G203&gt;$D203+kad_mahsupTolerans,"AŞIM","UYGUN"))</f>
        <v/>
      </c>
    </row>
    <row r="204">
      <c r="A204" s="26" t="n"/>
      <c r="B204" s="26" t="n"/>
      <c r="C204" s="29" t="n"/>
      <c r="D204" s="27" t="n"/>
      <c r="E204" s="26" t="n"/>
      <c r="F204" s="26" t="n"/>
      <c r="G204" s="28">
        <f>IF($A204="","",SUMIFS(tblAkis[MahsupTutar],tblAkis[KaynakKartId],$B204,tblAkis[Durum],"MAHSUP"))</f>
        <v/>
      </c>
      <c r="H204" s="28">
        <f>IF($A204="","",MAX(0,$D204-$G204))</f>
        <v/>
      </c>
      <c r="I204" s="28">
        <f>IF($A204="","",IF($C204="","",raporTarihi-$C204))</f>
        <v/>
      </c>
      <c r="J204" s="28">
        <f>IF($A204="","",IF($I204="","",IF($I204&lt;=7,"0-7",IF($I204&lt;=30,"8-30",IF($I204&lt;=60,"31-60","60+")))))</f>
        <v/>
      </c>
      <c r="K204" s="28">
        <f>IF($A204="","",IF($B204="","YETİM",IF(COUNTIF(tblKartlar[KartId],$B204)=0,"YETİM","")))</f>
        <v/>
      </c>
      <c r="L204" s="28">
        <f>IF($A204="","",IF($G204&gt;$D204+kad_mahsupTolerans,"AŞIM","UYGUN"))</f>
        <v/>
      </c>
    </row>
    <row r="205">
      <c r="A205" s="26" t="n"/>
      <c r="B205" s="26" t="n"/>
      <c r="C205" s="29" t="n"/>
      <c r="D205" s="27" t="n"/>
      <c r="E205" s="26" t="n"/>
      <c r="F205" s="26" t="n"/>
      <c r="G205" s="28">
        <f>IF($A205="","",SUMIFS(tblAkis[MahsupTutar],tblAkis[KaynakKartId],$B205,tblAkis[Durum],"MAHSUP"))</f>
        <v/>
      </c>
      <c r="H205" s="28">
        <f>IF($A205="","",MAX(0,$D205-$G205))</f>
        <v/>
      </c>
      <c r="I205" s="28">
        <f>IF($A205="","",IF($C205="","",raporTarihi-$C205))</f>
        <v/>
      </c>
      <c r="J205" s="28">
        <f>IF($A205="","",IF($I205="","",IF($I205&lt;=7,"0-7",IF($I205&lt;=30,"8-30",IF($I205&lt;=60,"31-60","60+")))))</f>
        <v/>
      </c>
      <c r="K205" s="28">
        <f>IF($A205="","",IF($B205="","YETİM",IF(COUNTIF(tblKartlar[KartId],$B205)=0,"YETİM","")))</f>
        <v/>
      </c>
      <c r="L205" s="28">
        <f>IF($A205="","",IF($G205&gt;$D205+kad_mahsupTolerans,"AŞIM","UYGUN"))</f>
        <v/>
      </c>
    </row>
    <row r="206">
      <c r="A206" s="26" t="n"/>
      <c r="B206" s="26" t="n"/>
      <c r="C206" s="29" t="n"/>
      <c r="D206" s="27" t="n"/>
      <c r="E206" s="26" t="n"/>
      <c r="F206" s="26" t="n"/>
      <c r="G206" s="28">
        <f>IF($A206="","",SUMIFS(tblAkis[MahsupTutar],tblAkis[KaynakKartId],$B206,tblAkis[Durum],"MAHSUP"))</f>
        <v/>
      </c>
      <c r="H206" s="28">
        <f>IF($A206="","",MAX(0,$D206-$G206))</f>
        <v/>
      </c>
      <c r="I206" s="28">
        <f>IF($A206="","",IF($C206="","",raporTarihi-$C206))</f>
        <v/>
      </c>
      <c r="J206" s="28">
        <f>IF($A206="","",IF($I206="","",IF($I206&lt;=7,"0-7",IF($I206&lt;=30,"8-30",IF($I206&lt;=60,"31-60","60+")))))</f>
        <v/>
      </c>
      <c r="K206" s="28">
        <f>IF($A206="","",IF($B206="","YETİM",IF(COUNTIF(tblKartlar[KartId],$B206)=0,"YETİM","")))</f>
        <v/>
      </c>
      <c r="L206" s="28">
        <f>IF($A206="","",IF($G206&gt;$D206+kad_mahsupTolerans,"AŞIM","UYGUN"))</f>
        <v/>
      </c>
    </row>
    <row r="207">
      <c r="A207" s="26" t="n"/>
      <c r="B207" s="26" t="n"/>
      <c r="C207" s="29" t="n"/>
      <c r="D207" s="27" t="n"/>
      <c r="E207" s="26" t="n"/>
      <c r="F207" s="26" t="n"/>
      <c r="G207" s="28">
        <f>IF($A207="","",SUMIFS(tblAkis[MahsupTutar],tblAkis[KaynakKartId],$B207,tblAkis[Durum],"MAHSUP"))</f>
        <v/>
      </c>
      <c r="H207" s="28">
        <f>IF($A207="","",MAX(0,$D207-$G207))</f>
        <v/>
      </c>
      <c r="I207" s="28">
        <f>IF($A207="","",IF($C207="","",raporTarihi-$C207))</f>
        <v/>
      </c>
      <c r="J207" s="28">
        <f>IF($A207="","",IF($I207="","",IF($I207&lt;=7,"0-7",IF($I207&lt;=30,"8-30",IF($I207&lt;=60,"31-60","60+")))))</f>
        <v/>
      </c>
      <c r="K207" s="28">
        <f>IF($A207="","",IF($B207="","YETİM",IF(COUNTIF(tblKartlar[KartId],$B207)=0,"YETİM","")))</f>
        <v/>
      </c>
      <c r="L207" s="28">
        <f>IF($A207="","",IF($G207&gt;$D207+kad_mahsupTolerans,"AŞIM","UYGUN"))</f>
        <v/>
      </c>
    </row>
    <row r="208">
      <c r="A208" s="26" t="n"/>
      <c r="B208" s="26" t="n"/>
      <c r="C208" s="29" t="n"/>
      <c r="D208" s="27" t="n"/>
      <c r="E208" s="26" t="n"/>
      <c r="F208" s="26" t="n"/>
      <c r="G208" s="28">
        <f>IF($A208="","",SUMIFS(tblAkis[MahsupTutar],tblAkis[KaynakKartId],$B208,tblAkis[Durum],"MAHSUP"))</f>
        <v/>
      </c>
      <c r="H208" s="28">
        <f>IF($A208="","",MAX(0,$D208-$G208))</f>
        <v/>
      </c>
      <c r="I208" s="28">
        <f>IF($A208="","",IF($C208="","",raporTarihi-$C208))</f>
        <v/>
      </c>
      <c r="J208" s="28">
        <f>IF($A208="","",IF($I208="","",IF($I208&lt;=7,"0-7",IF($I208&lt;=30,"8-30",IF($I208&lt;=60,"31-60","60+")))))</f>
        <v/>
      </c>
      <c r="K208" s="28">
        <f>IF($A208="","",IF($B208="","YETİM",IF(COUNTIF(tblKartlar[KartId],$B208)=0,"YETİM","")))</f>
        <v/>
      </c>
      <c r="L208" s="28">
        <f>IF($A208="","",IF($G208&gt;$D208+kad_mahsupTolerans,"AŞIM","UYGUN"))</f>
        <v/>
      </c>
    </row>
    <row r="209">
      <c r="A209" s="26" t="n"/>
      <c r="B209" s="26" t="n"/>
      <c r="C209" s="29" t="n"/>
      <c r="D209" s="27" t="n"/>
      <c r="E209" s="26" t="n"/>
      <c r="F209" s="26" t="n"/>
      <c r="G209" s="28">
        <f>IF($A209="","",SUMIFS(tblAkis[MahsupTutar],tblAkis[KaynakKartId],$B209,tblAkis[Durum],"MAHSUP"))</f>
        <v/>
      </c>
      <c r="H209" s="28">
        <f>IF($A209="","",MAX(0,$D209-$G209))</f>
        <v/>
      </c>
      <c r="I209" s="28">
        <f>IF($A209="","",IF($C209="","",raporTarihi-$C209))</f>
        <v/>
      </c>
      <c r="J209" s="28">
        <f>IF($A209="","",IF($I209="","",IF($I209&lt;=7,"0-7",IF($I209&lt;=30,"8-30",IF($I209&lt;=60,"31-60","60+")))))</f>
        <v/>
      </c>
      <c r="K209" s="28">
        <f>IF($A209="","",IF($B209="","YETİM",IF(COUNTIF(tblKartlar[KartId],$B209)=0,"YETİM","")))</f>
        <v/>
      </c>
      <c r="L209" s="28">
        <f>IF($A209="","",IF($G209&gt;$D209+kad_mahsupTolerans,"AŞIM","UYGUN"))</f>
        <v/>
      </c>
    </row>
    <row r="210">
      <c r="A210" s="26" t="n"/>
      <c r="B210" s="26" t="n"/>
      <c r="C210" s="29" t="n"/>
      <c r="D210" s="27" t="n"/>
      <c r="E210" s="26" t="n"/>
      <c r="F210" s="26" t="n"/>
      <c r="G210" s="28">
        <f>IF($A210="","",SUMIFS(tblAkis[MahsupTutar],tblAkis[KaynakKartId],$B210,tblAkis[Durum],"MAHSUP"))</f>
        <v/>
      </c>
      <c r="H210" s="28">
        <f>IF($A210="","",MAX(0,$D210-$G210))</f>
        <v/>
      </c>
      <c r="I210" s="28">
        <f>IF($A210="","",IF($C210="","",raporTarihi-$C210))</f>
        <v/>
      </c>
      <c r="J210" s="28">
        <f>IF($A210="","",IF($I210="","",IF($I210&lt;=7,"0-7",IF($I210&lt;=30,"8-30",IF($I210&lt;=60,"31-60","60+")))))</f>
        <v/>
      </c>
      <c r="K210" s="28">
        <f>IF($A210="","",IF($B210="","YETİM",IF(COUNTIF(tblKartlar[KartId],$B210)=0,"YETİM","")))</f>
        <v/>
      </c>
      <c r="L210" s="28">
        <f>IF($A210="","",IF($G210&gt;$D210+kad_mahsupTolerans,"AŞIM","UYGUN"))</f>
        <v/>
      </c>
    </row>
    <row r="211">
      <c r="A211" s="26" t="n"/>
      <c r="B211" s="26" t="n"/>
      <c r="C211" s="29" t="n"/>
      <c r="D211" s="27" t="n"/>
      <c r="E211" s="26" t="n"/>
      <c r="F211" s="26" t="n"/>
      <c r="G211" s="28">
        <f>IF($A211="","",SUMIFS(tblAkis[MahsupTutar],tblAkis[KaynakKartId],$B211,tblAkis[Durum],"MAHSUP"))</f>
        <v/>
      </c>
      <c r="H211" s="28">
        <f>IF($A211="","",MAX(0,$D211-$G211))</f>
        <v/>
      </c>
      <c r="I211" s="28">
        <f>IF($A211="","",IF($C211="","",raporTarihi-$C211))</f>
        <v/>
      </c>
      <c r="J211" s="28">
        <f>IF($A211="","",IF($I211="","",IF($I211&lt;=7,"0-7",IF($I211&lt;=30,"8-30",IF($I211&lt;=60,"31-60","60+")))))</f>
        <v/>
      </c>
      <c r="K211" s="28">
        <f>IF($A211="","",IF($B211="","YETİM",IF(COUNTIF(tblKartlar[KartId],$B211)=0,"YETİM","")))</f>
        <v/>
      </c>
      <c r="L211" s="28">
        <f>IF($A211="","",IF($G211&gt;$D211+kad_mahsupTolerans,"AŞIM","UYGUN"))</f>
        <v/>
      </c>
    </row>
    <row r="212">
      <c r="A212" s="26" t="n"/>
      <c r="B212" s="26" t="n"/>
      <c r="C212" s="29" t="n"/>
      <c r="D212" s="27" t="n"/>
      <c r="E212" s="26" t="n"/>
      <c r="F212" s="26" t="n"/>
      <c r="G212" s="28">
        <f>IF($A212="","",SUMIFS(tblAkis[MahsupTutar],tblAkis[KaynakKartId],$B212,tblAkis[Durum],"MAHSUP"))</f>
        <v/>
      </c>
      <c r="H212" s="28">
        <f>IF($A212="","",MAX(0,$D212-$G212))</f>
        <v/>
      </c>
      <c r="I212" s="28">
        <f>IF($A212="","",IF($C212="","",raporTarihi-$C212))</f>
        <v/>
      </c>
      <c r="J212" s="28">
        <f>IF($A212="","",IF($I212="","",IF($I212&lt;=7,"0-7",IF($I212&lt;=30,"8-30",IF($I212&lt;=60,"31-60","60+")))))</f>
        <v/>
      </c>
      <c r="K212" s="28">
        <f>IF($A212="","",IF($B212="","YETİM",IF(COUNTIF(tblKartlar[KartId],$B212)=0,"YETİM","")))</f>
        <v/>
      </c>
      <c r="L212" s="28">
        <f>IF($A212="","",IF($G212&gt;$D212+kad_mahsupTolerans,"AŞIM","UYGUN"))</f>
        <v/>
      </c>
    </row>
    <row r="213">
      <c r="A213" s="26" t="n"/>
      <c r="B213" s="26" t="n"/>
      <c r="C213" s="29" t="n"/>
      <c r="D213" s="27" t="n"/>
      <c r="E213" s="26" t="n"/>
      <c r="F213" s="26" t="n"/>
      <c r="G213" s="28">
        <f>IF($A213="","",SUMIFS(tblAkis[MahsupTutar],tblAkis[KaynakKartId],$B213,tblAkis[Durum],"MAHSUP"))</f>
        <v/>
      </c>
      <c r="H213" s="28">
        <f>IF($A213="","",MAX(0,$D213-$G213))</f>
        <v/>
      </c>
      <c r="I213" s="28">
        <f>IF($A213="","",IF($C213="","",raporTarihi-$C213))</f>
        <v/>
      </c>
      <c r="J213" s="28">
        <f>IF($A213="","",IF($I213="","",IF($I213&lt;=7,"0-7",IF($I213&lt;=30,"8-30",IF($I213&lt;=60,"31-60","60+")))))</f>
        <v/>
      </c>
      <c r="K213" s="28">
        <f>IF($A213="","",IF($B213="","YETİM",IF(COUNTIF(tblKartlar[KartId],$B213)=0,"YETİM","")))</f>
        <v/>
      </c>
      <c r="L213" s="28">
        <f>IF($A213="","",IF($G213&gt;$D213+kad_mahsupTolerans,"AŞIM","UYGUN"))</f>
        <v/>
      </c>
    </row>
    <row r="214">
      <c r="A214" s="26" t="n"/>
      <c r="B214" s="26" t="n"/>
      <c r="C214" s="29" t="n"/>
      <c r="D214" s="27" t="n"/>
      <c r="E214" s="26" t="n"/>
      <c r="F214" s="26" t="n"/>
      <c r="G214" s="28">
        <f>IF($A214="","",SUMIFS(tblAkis[MahsupTutar],tblAkis[KaynakKartId],$B214,tblAkis[Durum],"MAHSUP"))</f>
        <v/>
      </c>
      <c r="H214" s="28">
        <f>IF($A214="","",MAX(0,$D214-$G214))</f>
        <v/>
      </c>
      <c r="I214" s="28">
        <f>IF($A214="","",IF($C214="","",raporTarihi-$C214))</f>
        <v/>
      </c>
      <c r="J214" s="28">
        <f>IF($A214="","",IF($I214="","",IF($I214&lt;=7,"0-7",IF($I214&lt;=30,"8-30",IF($I214&lt;=60,"31-60","60+")))))</f>
        <v/>
      </c>
      <c r="K214" s="28">
        <f>IF($A214="","",IF($B214="","YETİM",IF(COUNTIF(tblKartlar[KartId],$B214)=0,"YETİM","")))</f>
        <v/>
      </c>
      <c r="L214" s="28">
        <f>IF($A214="","",IF($G214&gt;$D214+kad_mahsupTolerans,"AŞIM","UYGUN"))</f>
        <v/>
      </c>
    </row>
    <row r="215">
      <c r="A215" s="26" t="n"/>
      <c r="B215" s="26" t="n"/>
      <c r="C215" s="29" t="n"/>
      <c r="D215" s="27" t="n"/>
      <c r="E215" s="26" t="n"/>
      <c r="F215" s="26" t="n"/>
      <c r="G215" s="28">
        <f>IF($A215="","",SUMIFS(tblAkis[MahsupTutar],tblAkis[KaynakKartId],$B215,tblAkis[Durum],"MAHSUP"))</f>
        <v/>
      </c>
      <c r="H215" s="28">
        <f>IF($A215="","",MAX(0,$D215-$G215))</f>
        <v/>
      </c>
      <c r="I215" s="28">
        <f>IF($A215="","",IF($C215="","",raporTarihi-$C215))</f>
        <v/>
      </c>
      <c r="J215" s="28">
        <f>IF($A215="","",IF($I215="","",IF($I215&lt;=7,"0-7",IF($I215&lt;=30,"8-30",IF($I215&lt;=60,"31-60","60+")))))</f>
        <v/>
      </c>
      <c r="K215" s="28">
        <f>IF($A215="","",IF($B215="","YETİM",IF(COUNTIF(tblKartlar[KartId],$B215)=0,"YETİM","")))</f>
        <v/>
      </c>
      <c r="L215" s="28">
        <f>IF($A215="","",IF($G215&gt;$D215+kad_mahsupTolerans,"AŞIM","UYGUN"))</f>
        <v/>
      </c>
    </row>
    <row r="216">
      <c r="A216" s="26" t="n"/>
      <c r="B216" s="26" t="n"/>
      <c r="C216" s="29" t="n"/>
      <c r="D216" s="27" t="n"/>
      <c r="E216" s="26" t="n"/>
      <c r="F216" s="26" t="n"/>
      <c r="G216" s="28">
        <f>IF($A216="","",SUMIFS(tblAkis[MahsupTutar],tblAkis[KaynakKartId],$B216,tblAkis[Durum],"MAHSUP"))</f>
        <v/>
      </c>
      <c r="H216" s="28">
        <f>IF($A216="","",MAX(0,$D216-$G216))</f>
        <v/>
      </c>
      <c r="I216" s="28">
        <f>IF($A216="","",IF($C216="","",raporTarihi-$C216))</f>
        <v/>
      </c>
      <c r="J216" s="28">
        <f>IF($A216="","",IF($I216="","",IF($I216&lt;=7,"0-7",IF($I216&lt;=30,"8-30",IF($I216&lt;=60,"31-60","60+")))))</f>
        <v/>
      </c>
      <c r="K216" s="28">
        <f>IF($A216="","",IF($B216="","YETİM",IF(COUNTIF(tblKartlar[KartId],$B216)=0,"YETİM","")))</f>
        <v/>
      </c>
      <c r="L216" s="28">
        <f>IF($A216="","",IF($G216&gt;$D216+kad_mahsupTolerans,"AŞIM","UYGUN"))</f>
        <v/>
      </c>
    </row>
    <row r="217">
      <c r="A217" s="26" t="n"/>
      <c r="B217" s="26" t="n"/>
      <c r="C217" s="29" t="n"/>
      <c r="D217" s="27" t="n"/>
      <c r="E217" s="26" t="n"/>
      <c r="F217" s="26" t="n"/>
      <c r="G217" s="28">
        <f>IF($A217="","",SUMIFS(tblAkis[MahsupTutar],tblAkis[KaynakKartId],$B217,tblAkis[Durum],"MAHSUP"))</f>
        <v/>
      </c>
      <c r="H217" s="28">
        <f>IF($A217="","",MAX(0,$D217-$G217))</f>
        <v/>
      </c>
      <c r="I217" s="28">
        <f>IF($A217="","",IF($C217="","",raporTarihi-$C217))</f>
        <v/>
      </c>
      <c r="J217" s="28">
        <f>IF($A217="","",IF($I217="","",IF($I217&lt;=7,"0-7",IF($I217&lt;=30,"8-30",IF($I217&lt;=60,"31-60","60+")))))</f>
        <v/>
      </c>
      <c r="K217" s="28">
        <f>IF($A217="","",IF($B217="","YETİM",IF(COUNTIF(tblKartlar[KartId],$B217)=0,"YETİM","")))</f>
        <v/>
      </c>
      <c r="L217" s="28">
        <f>IF($A217="","",IF($G217&gt;$D217+kad_mahsupTolerans,"AŞIM","UYGUN"))</f>
        <v/>
      </c>
    </row>
    <row r="218">
      <c r="A218" s="26" t="n"/>
      <c r="B218" s="26" t="n"/>
      <c r="C218" s="29" t="n"/>
      <c r="D218" s="27" t="n"/>
      <c r="E218" s="26" t="n"/>
      <c r="F218" s="26" t="n"/>
      <c r="G218" s="28">
        <f>IF($A218="","",SUMIFS(tblAkis[MahsupTutar],tblAkis[KaynakKartId],$B218,tblAkis[Durum],"MAHSUP"))</f>
        <v/>
      </c>
      <c r="H218" s="28">
        <f>IF($A218="","",MAX(0,$D218-$G218))</f>
        <v/>
      </c>
      <c r="I218" s="28">
        <f>IF($A218="","",IF($C218="","",raporTarihi-$C218))</f>
        <v/>
      </c>
      <c r="J218" s="28">
        <f>IF($A218="","",IF($I218="","",IF($I218&lt;=7,"0-7",IF($I218&lt;=30,"8-30",IF($I218&lt;=60,"31-60","60+")))))</f>
        <v/>
      </c>
      <c r="K218" s="28">
        <f>IF($A218="","",IF($B218="","YETİM",IF(COUNTIF(tblKartlar[KartId],$B218)=0,"YETİM","")))</f>
        <v/>
      </c>
      <c r="L218" s="28">
        <f>IF($A218="","",IF($G218&gt;$D218+kad_mahsupTolerans,"AŞIM","UYGUN"))</f>
        <v/>
      </c>
    </row>
    <row r="219">
      <c r="A219" s="26" t="n"/>
      <c r="B219" s="26" t="n"/>
      <c r="C219" s="29" t="n"/>
      <c r="D219" s="27" t="n"/>
      <c r="E219" s="26" t="n"/>
      <c r="F219" s="26" t="n"/>
      <c r="G219" s="28">
        <f>IF($A219="","",SUMIFS(tblAkis[MahsupTutar],tblAkis[KaynakKartId],$B219,tblAkis[Durum],"MAHSUP"))</f>
        <v/>
      </c>
      <c r="H219" s="28">
        <f>IF($A219="","",MAX(0,$D219-$G219))</f>
        <v/>
      </c>
      <c r="I219" s="28">
        <f>IF($A219="","",IF($C219="","",raporTarihi-$C219))</f>
        <v/>
      </c>
      <c r="J219" s="28">
        <f>IF($A219="","",IF($I219="","",IF($I219&lt;=7,"0-7",IF($I219&lt;=30,"8-30",IF($I219&lt;=60,"31-60","60+")))))</f>
        <v/>
      </c>
      <c r="K219" s="28">
        <f>IF($A219="","",IF($B219="","YETİM",IF(COUNTIF(tblKartlar[KartId],$B219)=0,"YETİM","")))</f>
        <v/>
      </c>
      <c r="L219" s="28">
        <f>IF($A219="","",IF($G219&gt;$D219+kad_mahsupTolerans,"AŞIM","UYGUN"))</f>
        <v/>
      </c>
    </row>
    <row r="220">
      <c r="A220" s="26" t="n"/>
      <c r="B220" s="26" t="n"/>
      <c r="C220" s="29" t="n"/>
      <c r="D220" s="27" t="n"/>
      <c r="E220" s="26" t="n"/>
      <c r="F220" s="26" t="n"/>
      <c r="G220" s="28">
        <f>IF($A220="","",SUMIFS(tblAkis[MahsupTutar],tblAkis[KaynakKartId],$B220,tblAkis[Durum],"MAHSUP"))</f>
        <v/>
      </c>
      <c r="H220" s="28">
        <f>IF($A220="","",MAX(0,$D220-$G220))</f>
        <v/>
      </c>
      <c r="I220" s="28">
        <f>IF($A220="","",IF($C220="","",raporTarihi-$C220))</f>
        <v/>
      </c>
      <c r="J220" s="28">
        <f>IF($A220="","",IF($I220="","",IF($I220&lt;=7,"0-7",IF($I220&lt;=30,"8-30",IF($I220&lt;=60,"31-60","60+")))))</f>
        <v/>
      </c>
      <c r="K220" s="28">
        <f>IF($A220="","",IF($B220="","YETİM",IF(COUNTIF(tblKartlar[KartId],$B220)=0,"YETİM","")))</f>
        <v/>
      </c>
      <c r="L220" s="28">
        <f>IF($A220="","",IF($G220&gt;$D220+kad_mahsupTolerans,"AŞIM","UYGUN"))</f>
        <v/>
      </c>
    </row>
    <row r="221">
      <c r="A221" s="26" t="n"/>
      <c r="B221" s="26" t="n"/>
      <c r="C221" s="29" t="n"/>
      <c r="D221" s="27" t="n"/>
      <c r="E221" s="26" t="n"/>
      <c r="F221" s="26" t="n"/>
      <c r="G221" s="28">
        <f>IF($A221="","",SUMIFS(tblAkis[MahsupTutar],tblAkis[KaynakKartId],$B221,tblAkis[Durum],"MAHSUP"))</f>
        <v/>
      </c>
      <c r="H221" s="28">
        <f>IF($A221="","",MAX(0,$D221-$G221))</f>
        <v/>
      </c>
      <c r="I221" s="28">
        <f>IF($A221="","",IF($C221="","",raporTarihi-$C221))</f>
        <v/>
      </c>
      <c r="J221" s="28">
        <f>IF($A221="","",IF($I221="","",IF($I221&lt;=7,"0-7",IF($I221&lt;=30,"8-30",IF($I221&lt;=60,"31-60","60+")))))</f>
        <v/>
      </c>
      <c r="K221" s="28">
        <f>IF($A221="","",IF($B221="","YETİM",IF(COUNTIF(tblKartlar[KartId],$B221)=0,"YETİM","")))</f>
        <v/>
      </c>
      <c r="L221" s="28">
        <f>IF($A221="","",IF($G221&gt;$D221+kad_mahsupTolerans,"AŞIM","UYGUN"))</f>
        <v/>
      </c>
    </row>
    <row r="222">
      <c r="A222" s="26" t="n"/>
      <c r="B222" s="26" t="n"/>
      <c r="C222" s="29" t="n"/>
      <c r="D222" s="27" t="n"/>
      <c r="E222" s="26" t="n"/>
      <c r="F222" s="26" t="n"/>
      <c r="G222" s="28">
        <f>IF($A222="","",SUMIFS(tblAkis[MahsupTutar],tblAkis[KaynakKartId],$B222,tblAkis[Durum],"MAHSUP"))</f>
        <v/>
      </c>
      <c r="H222" s="28">
        <f>IF($A222="","",MAX(0,$D222-$G222))</f>
        <v/>
      </c>
      <c r="I222" s="28">
        <f>IF($A222="","",IF($C222="","",raporTarihi-$C222))</f>
        <v/>
      </c>
      <c r="J222" s="28">
        <f>IF($A222="","",IF($I222="","",IF($I222&lt;=7,"0-7",IF($I222&lt;=30,"8-30",IF($I222&lt;=60,"31-60","60+")))))</f>
        <v/>
      </c>
      <c r="K222" s="28">
        <f>IF($A222="","",IF($B222="","YETİM",IF(COUNTIF(tblKartlar[KartId],$B222)=0,"YETİM","")))</f>
        <v/>
      </c>
      <c r="L222" s="28">
        <f>IF($A222="","",IF($G222&gt;$D222+kad_mahsupTolerans,"AŞIM","UYGUN"))</f>
        <v/>
      </c>
    </row>
    <row r="223">
      <c r="A223" s="26" t="n"/>
      <c r="B223" s="26" t="n"/>
      <c r="C223" s="29" t="n"/>
      <c r="D223" s="27" t="n"/>
      <c r="E223" s="26" t="n"/>
      <c r="F223" s="26" t="n"/>
      <c r="G223" s="28">
        <f>IF($A223="","",SUMIFS(tblAkis[MahsupTutar],tblAkis[KaynakKartId],$B223,tblAkis[Durum],"MAHSUP"))</f>
        <v/>
      </c>
      <c r="H223" s="28">
        <f>IF($A223="","",MAX(0,$D223-$G223))</f>
        <v/>
      </c>
      <c r="I223" s="28">
        <f>IF($A223="","",IF($C223="","",raporTarihi-$C223))</f>
        <v/>
      </c>
      <c r="J223" s="28">
        <f>IF($A223="","",IF($I223="","",IF($I223&lt;=7,"0-7",IF($I223&lt;=30,"8-30",IF($I223&lt;=60,"31-60","60+")))))</f>
        <v/>
      </c>
      <c r="K223" s="28">
        <f>IF($A223="","",IF($B223="","YETİM",IF(COUNTIF(tblKartlar[KartId],$B223)=0,"YETİM","")))</f>
        <v/>
      </c>
      <c r="L223" s="28">
        <f>IF($A223="","",IF($G223&gt;$D223+kad_mahsupTolerans,"AŞIM","UYGUN"))</f>
        <v/>
      </c>
    </row>
    <row r="224">
      <c r="A224" s="26" t="n"/>
      <c r="B224" s="26" t="n"/>
      <c r="C224" s="29" t="n"/>
      <c r="D224" s="27" t="n"/>
      <c r="E224" s="26" t="n"/>
      <c r="F224" s="26" t="n"/>
      <c r="G224" s="28">
        <f>IF($A224="","",SUMIFS(tblAkis[MahsupTutar],tblAkis[KaynakKartId],$B224,tblAkis[Durum],"MAHSUP"))</f>
        <v/>
      </c>
      <c r="H224" s="28">
        <f>IF($A224="","",MAX(0,$D224-$G224))</f>
        <v/>
      </c>
      <c r="I224" s="28">
        <f>IF($A224="","",IF($C224="","",raporTarihi-$C224))</f>
        <v/>
      </c>
      <c r="J224" s="28">
        <f>IF($A224="","",IF($I224="","",IF($I224&lt;=7,"0-7",IF($I224&lt;=30,"8-30",IF($I224&lt;=60,"31-60","60+")))))</f>
        <v/>
      </c>
      <c r="K224" s="28">
        <f>IF($A224="","",IF($B224="","YETİM",IF(COUNTIF(tblKartlar[KartId],$B224)=0,"YETİM","")))</f>
        <v/>
      </c>
      <c r="L224" s="28">
        <f>IF($A224="","",IF($G224&gt;$D224+kad_mahsupTolerans,"AŞIM","UYGUN"))</f>
        <v/>
      </c>
    </row>
    <row r="225">
      <c r="A225" s="26" t="n"/>
      <c r="B225" s="26" t="n"/>
      <c r="C225" s="29" t="n"/>
      <c r="D225" s="27" t="n"/>
      <c r="E225" s="26" t="n"/>
      <c r="F225" s="26" t="n"/>
      <c r="G225" s="28">
        <f>IF($A225="","",SUMIFS(tblAkis[MahsupTutar],tblAkis[KaynakKartId],$B225,tblAkis[Durum],"MAHSUP"))</f>
        <v/>
      </c>
      <c r="H225" s="28">
        <f>IF($A225="","",MAX(0,$D225-$G225))</f>
        <v/>
      </c>
      <c r="I225" s="28">
        <f>IF($A225="","",IF($C225="","",raporTarihi-$C225))</f>
        <v/>
      </c>
      <c r="J225" s="28">
        <f>IF($A225="","",IF($I225="","",IF($I225&lt;=7,"0-7",IF($I225&lt;=30,"8-30",IF($I225&lt;=60,"31-60","60+")))))</f>
        <v/>
      </c>
      <c r="K225" s="28">
        <f>IF($A225="","",IF($B225="","YETİM",IF(COUNTIF(tblKartlar[KartId],$B225)=0,"YETİM","")))</f>
        <v/>
      </c>
      <c r="L225" s="28">
        <f>IF($A225="","",IF($G225&gt;$D225+kad_mahsupTolerans,"AŞIM","UYGUN"))</f>
        <v/>
      </c>
    </row>
    <row r="226">
      <c r="A226" s="26" t="n"/>
      <c r="B226" s="26" t="n"/>
      <c r="C226" s="29" t="n"/>
      <c r="D226" s="27" t="n"/>
      <c r="E226" s="26" t="n"/>
      <c r="F226" s="26" t="n"/>
      <c r="G226" s="28">
        <f>IF($A226="","",SUMIFS(tblAkis[MahsupTutar],tblAkis[KaynakKartId],$B226,tblAkis[Durum],"MAHSUP"))</f>
        <v/>
      </c>
      <c r="H226" s="28">
        <f>IF($A226="","",MAX(0,$D226-$G226))</f>
        <v/>
      </c>
      <c r="I226" s="28">
        <f>IF($A226="","",IF($C226="","",raporTarihi-$C226))</f>
        <v/>
      </c>
      <c r="J226" s="28">
        <f>IF($A226="","",IF($I226="","",IF($I226&lt;=7,"0-7",IF($I226&lt;=30,"8-30",IF($I226&lt;=60,"31-60","60+")))))</f>
        <v/>
      </c>
      <c r="K226" s="28">
        <f>IF($A226="","",IF($B226="","YETİM",IF(COUNTIF(tblKartlar[KartId],$B226)=0,"YETİM","")))</f>
        <v/>
      </c>
      <c r="L226" s="28">
        <f>IF($A226="","",IF($G226&gt;$D226+kad_mahsupTolerans,"AŞIM","UYGUN"))</f>
        <v/>
      </c>
    </row>
    <row r="227">
      <c r="A227" s="26" t="n"/>
      <c r="B227" s="26" t="n"/>
      <c r="C227" s="29" t="n"/>
      <c r="D227" s="27" t="n"/>
      <c r="E227" s="26" t="n"/>
      <c r="F227" s="26" t="n"/>
      <c r="G227" s="28">
        <f>IF($A227="","",SUMIFS(tblAkis[MahsupTutar],tblAkis[KaynakKartId],$B227,tblAkis[Durum],"MAHSUP"))</f>
        <v/>
      </c>
      <c r="H227" s="28">
        <f>IF($A227="","",MAX(0,$D227-$G227))</f>
        <v/>
      </c>
      <c r="I227" s="28">
        <f>IF($A227="","",IF($C227="","",raporTarihi-$C227))</f>
        <v/>
      </c>
      <c r="J227" s="28">
        <f>IF($A227="","",IF($I227="","",IF($I227&lt;=7,"0-7",IF($I227&lt;=30,"8-30",IF($I227&lt;=60,"31-60","60+")))))</f>
        <v/>
      </c>
      <c r="K227" s="28">
        <f>IF($A227="","",IF($B227="","YETİM",IF(COUNTIF(tblKartlar[KartId],$B227)=0,"YETİM","")))</f>
        <v/>
      </c>
      <c r="L227" s="28">
        <f>IF($A227="","",IF($G227&gt;$D227+kad_mahsupTolerans,"AŞIM","UYGUN"))</f>
        <v/>
      </c>
    </row>
    <row r="228">
      <c r="A228" s="26" t="n"/>
      <c r="B228" s="26" t="n"/>
      <c r="C228" s="29" t="n"/>
      <c r="D228" s="27" t="n"/>
      <c r="E228" s="26" t="n"/>
      <c r="F228" s="26" t="n"/>
      <c r="G228" s="28">
        <f>IF($A228="","",SUMIFS(tblAkis[MahsupTutar],tblAkis[KaynakKartId],$B228,tblAkis[Durum],"MAHSUP"))</f>
        <v/>
      </c>
      <c r="H228" s="28">
        <f>IF($A228="","",MAX(0,$D228-$G228))</f>
        <v/>
      </c>
      <c r="I228" s="28">
        <f>IF($A228="","",IF($C228="","",raporTarihi-$C228))</f>
        <v/>
      </c>
      <c r="J228" s="28">
        <f>IF($A228="","",IF($I228="","",IF($I228&lt;=7,"0-7",IF($I228&lt;=30,"8-30",IF($I228&lt;=60,"31-60","60+")))))</f>
        <v/>
      </c>
      <c r="K228" s="28">
        <f>IF($A228="","",IF($B228="","YETİM",IF(COUNTIF(tblKartlar[KartId],$B228)=0,"YETİM","")))</f>
        <v/>
      </c>
      <c r="L228" s="28">
        <f>IF($A228="","",IF($G228&gt;$D228+kad_mahsupTolerans,"AŞIM","UYGUN"))</f>
        <v/>
      </c>
    </row>
    <row r="229">
      <c r="A229" s="26" t="n"/>
      <c r="B229" s="26" t="n"/>
      <c r="C229" s="29" t="n"/>
      <c r="D229" s="27" t="n"/>
      <c r="E229" s="26" t="n"/>
      <c r="F229" s="26" t="n"/>
      <c r="G229" s="28">
        <f>IF($A229="","",SUMIFS(tblAkis[MahsupTutar],tblAkis[KaynakKartId],$B229,tblAkis[Durum],"MAHSUP"))</f>
        <v/>
      </c>
      <c r="H229" s="28">
        <f>IF($A229="","",MAX(0,$D229-$G229))</f>
        <v/>
      </c>
      <c r="I229" s="28">
        <f>IF($A229="","",IF($C229="","",raporTarihi-$C229))</f>
        <v/>
      </c>
      <c r="J229" s="28">
        <f>IF($A229="","",IF($I229="","",IF($I229&lt;=7,"0-7",IF($I229&lt;=30,"8-30",IF($I229&lt;=60,"31-60","60+")))))</f>
        <v/>
      </c>
      <c r="K229" s="28">
        <f>IF($A229="","",IF($B229="","YETİM",IF(COUNTIF(tblKartlar[KartId],$B229)=0,"YETİM","")))</f>
        <v/>
      </c>
      <c r="L229" s="28">
        <f>IF($A229="","",IF($G229&gt;$D229+kad_mahsupTolerans,"AŞIM","UYGUN"))</f>
        <v/>
      </c>
    </row>
    <row r="230">
      <c r="A230" s="26" t="n"/>
      <c r="B230" s="26" t="n"/>
      <c r="C230" s="29" t="n"/>
      <c r="D230" s="27" t="n"/>
      <c r="E230" s="26" t="n"/>
      <c r="F230" s="26" t="n"/>
      <c r="G230" s="28">
        <f>IF($A230="","",SUMIFS(tblAkis[MahsupTutar],tblAkis[KaynakKartId],$B230,tblAkis[Durum],"MAHSUP"))</f>
        <v/>
      </c>
      <c r="H230" s="28">
        <f>IF($A230="","",MAX(0,$D230-$G230))</f>
        <v/>
      </c>
      <c r="I230" s="28">
        <f>IF($A230="","",IF($C230="","",raporTarihi-$C230))</f>
        <v/>
      </c>
      <c r="J230" s="28">
        <f>IF($A230="","",IF($I230="","",IF($I230&lt;=7,"0-7",IF($I230&lt;=30,"8-30",IF($I230&lt;=60,"31-60","60+")))))</f>
        <v/>
      </c>
      <c r="K230" s="28">
        <f>IF($A230="","",IF($B230="","YETİM",IF(COUNTIF(tblKartlar[KartId],$B230)=0,"YETİM","")))</f>
        <v/>
      </c>
      <c r="L230" s="28">
        <f>IF($A230="","",IF($G230&gt;$D230+kad_mahsupTolerans,"AŞIM","UYGUN"))</f>
        <v/>
      </c>
    </row>
    <row r="231">
      <c r="A231" s="26" t="n"/>
      <c r="B231" s="26" t="n"/>
      <c r="C231" s="29" t="n"/>
      <c r="D231" s="27" t="n"/>
      <c r="E231" s="26" t="n"/>
      <c r="F231" s="26" t="n"/>
      <c r="G231" s="28">
        <f>IF($A231="","",SUMIFS(tblAkis[MahsupTutar],tblAkis[KaynakKartId],$B231,tblAkis[Durum],"MAHSUP"))</f>
        <v/>
      </c>
      <c r="H231" s="28">
        <f>IF($A231="","",MAX(0,$D231-$G231))</f>
        <v/>
      </c>
      <c r="I231" s="28">
        <f>IF($A231="","",IF($C231="","",raporTarihi-$C231))</f>
        <v/>
      </c>
      <c r="J231" s="28">
        <f>IF($A231="","",IF($I231="","",IF($I231&lt;=7,"0-7",IF($I231&lt;=30,"8-30",IF($I231&lt;=60,"31-60","60+")))))</f>
        <v/>
      </c>
      <c r="K231" s="28">
        <f>IF($A231="","",IF($B231="","YETİM",IF(COUNTIF(tblKartlar[KartId],$B231)=0,"YETİM","")))</f>
        <v/>
      </c>
      <c r="L231" s="28">
        <f>IF($A231="","",IF($G231&gt;$D231+kad_mahsupTolerans,"AŞIM","UYGUN"))</f>
        <v/>
      </c>
    </row>
    <row r="232">
      <c r="A232" s="26" t="n"/>
      <c r="B232" s="26" t="n"/>
      <c r="C232" s="29" t="n"/>
      <c r="D232" s="27" t="n"/>
      <c r="E232" s="26" t="n"/>
      <c r="F232" s="26" t="n"/>
      <c r="G232" s="28">
        <f>IF($A232="","",SUMIFS(tblAkis[MahsupTutar],tblAkis[KaynakKartId],$B232,tblAkis[Durum],"MAHSUP"))</f>
        <v/>
      </c>
      <c r="H232" s="28">
        <f>IF($A232="","",MAX(0,$D232-$G232))</f>
        <v/>
      </c>
      <c r="I232" s="28">
        <f>IF($A232="","",IF($C232="","",raporTarihi-$C232))</f>
        <v/>
      </c>
      <c r="J232" s="28">
        <f>IF($A232="","",IF($I232="","",IF($I232&lt;=7,"0-7",IF($I232&lt;=30,"8-30",IF($I232&lt;=60,"31-60","60+")))))</f>
        <v/>
      </c>
      <c r="K232" s="28">
        <f>IF($A232="","",IF($B232="","YETİM",IF(COUNTIF(tblKartlar[KartId],$B232)=0,"YETİM","")))</f>
        <v/>
      </c>
      <c r="L232" s="28">
        <f>IF($A232="","",IF($G232&gt;$D232+kad_mahsupTolerans,"AŞIM","UYGUN"))</f>
        <v/>
      </c>
    </row>
    <row r="233">
      <c r="A233" s="26" t="n"/>
      <c r="B233" s="26" t="n"/>
      <c r="C233" s="29" t="n"/>
      <c r="D233" s="27" t="n"/>
      <c r="E233" s="26" t="n"/>
      <c r="F233" s="26" t="n"/>
      <c r="G233" s="28">
        <f>IF($A233="","",SUMIFS(tblAkis[MahsupTutar],tblAkis[KaynakKartId],$B233,tblAkis[Durum],"MAHSUP"))</f>
        <v/>
      </c>
      <c r="H233" s="28">
        <f>IF($A233="","",MAX(0,$D233-$G233))</f>
        <v/>
      </c>
      <c r="I233" s="28">
        <f>IF($A233="","",IF($C233="","",raporTarihi-$C233))</f>
        <v/>
      </c>
      <c r="J233" s="28">
        <f>IF($A233="","",IF($I233="","",IF($I233&lt;=7,"0-7",IF($I233&lt;=30,"8-30",IF($I233&lt;=60,"31-60","60+")))))</f>
        <v/>
      </c>
      <c r="K233" s="28">
        <f>IF($A233="","",IF($B233="","YETİM",IF(COUNTIF(tblKartlar[KartId],$B233)=0,"YETİM","")))</f>
        <v/>
      </c>
      <c r="L233" s="28">
        <f>IF($A233="","",IF($G233&gt;$D233+kad_mahsupTolerans,"AŞIM","UYGUN"))</f>
        <v/>
      </c>
    </row>
    <row r="234">
      <c r="A234" s="26" t="n"/>
      <c r="B234" s="26" t="n"/>
      <c r="C234" s="29" t="n"/>
      <c r="D234" s="27" t="n"/>
      <c r="E234" s="26" t="n"/>
      <c r="F234" s="26" t="n"/>
      <c r="G234" s="28">
        <f>IF($A234="","",SUMIFS(tblAkis[MahsupTutar],tblAkis[KaynakKartId],$B234,tblAkis[Durum],"MAHSUP"))</f>
        <v/>
      </c>
      <c r="H234" s="28">
        <f>IF($A234="","",MAX(0,$D234-$G234))</f>
        <v/>
      </c>
      <c r="I234" s="28">
        <f>IF($A234="","",IF($C234="","",raporTarihi-$C234))</f>
        <v/>
      </c>
      <c r="J234" s="28">
        <f>IF($A234="","",IF($I234="","",IF($I234&lt;=7,"0-7",IF($I234&lt;=30,"8-30",IF($I234&lt;=60,"31-60","60+")))))</f>
        <v/>
      </c>
      <c r="K234" s="28">
        <f>IF($A234="","",IF($B234="","YETİM",IF(COUNTIF(tblKartlar[KartId],$B234)=0,"YETİM","")))</f>
        <v/>
      </c>
      <c r="L234" s="28">
        <f>IF($A234="","",IF($G234&gt;$D234+kad_mahsupTolerans,"AŞIM","UYGUN"))</f>
        <v/>
      </c>
    </row>
    <row r="235">
      <c r="A235" s="26" t="n"/>
      <c r="B235" s="26" t="n"/>
      <c r="C235" s="29" t="n"/>
      <c r="D235" s="27" t="n"/>
      <c r="E235" s="26" t="n"/>
      <c r="F235" s="26" t="n"/>
      <c r="G235" s="28">
        <f>IF($A235="","",SUMIFS(tblAkis[MahsupTutar],tblAkis[KaynakKartId],$B235,tblAkis[Durum],"MAHSUP"))</f>
        <v/>
      </c>
      <c r="H235" s="28">
        <f>IF($A235="","",MAX(0,$D235-$G235))</f>
        <v/>
      </c>
      <c r="I235" s="28">
        <f>IF($A235="","",IF($C235="","",raporTarihi-$C235))</f>
        <v/>
      </c>
      <c r="J235" s="28">
        <f>IF($A235="","",IF($I235="","",IF($I235&lt;=7,"0-7",IF($I235&lt;=30,"8-30",IF($I235&lt;=60,"31-60","60+")))))</f>
        <v/>
      </c>
      <c r="K235" s="28">
        <f>IF($A235="","",IF($B235="","YETİM",IF(COUNTIF(tblKartlar[KartId],$B235)=0,"YETİM","")))</f>
        <v/>
      </c>
      <c r="L235" s="28">
        <f>IF($A235="","",IF($G235&gt;$D235+kad_mahsupTolerans,"AŞIM","UYGUN"))</f>
        <v/>
      </c>
    </row>
    <row r="236">
      <c r="A236" s="26" t="n"/>
      <c r="B236" s="26" t="n"/>
      <c r="C236" s="29" t="n"/>
      <c r="D236" s="27" t="n"/>
      <c r="E236" s="26" t="n"/>
      <c r="F236" s="26" t="n"/>
      <c r="G236" s="28">
        <f>IF($A236="","",SUMIFS(tblAkis[MahsupTutar],tblAkis[KaynakKartId],$B236,tblAkis[Durum],"MAHSUP"))</f>
        <v/>
      </c>
      <c r="H236" s="28">
        <f>IF($A236="","",MAX(0,$D236-$G236))</f>
        <v/>
      </c>
      <c r="I236" s="28">
        <f>IF($A236="","",IF($C236="","",raporTarihi-$C236))</f>
        <v/>
      </c>
      <c r="J236" s="28">
        <f>IF($A236="","",IF($I236="","",IF($I236&lt;=7,"0-7",IF($I236&lt;=30,"8-30",IF($I236&lt;=60,"31-60","60+")))))</f>
        <v/>
      </c>
      <c r="K236" s="28">
        <f>IF($A236="","",IF($B236="","YETİM",IF(COUNTIF(tblKartlar[KartId],$B236)=0,"YETİM","")))</f>
        <v/>
      </c>
      <c r="L236" s="28">
        <f>IF($A236="","",IF($G236&gt;$D236+kad_mahsupTolerans,"AŞIM","UYGUN"))</f>
        <v/>
      </c>
    </row>
    <row r="237">
      <c r="A237" s="26" t="n"/>
      <c r="B237" s="26" t="n"/>
      <c r="C237" s="29" t="n"/>
      <c r="D237" s="27" t="n"/>
      <c r="E237" s="26" t="n"/>
      <c r="F237" s="26" t="n"/>
      <c r="G237" s="28">
        <f>IF($A237="","",SUMIFS(tblAkis[MahsupTutar],tblAkis[KaynakKartId],$B237,tblAkis[Durum],"MAHSUP"))</f>
        <v/>
      </c>
      <c r="H237" s="28">
        <f>IF($A237="","",MAX(0,$D237-$G237))</f>
        <v/>
      </c>
      <c r="I237" s="28">
        <f>IF($A237="","",IF($C237="","",raporTarihi-$C237))</f>
        <v/>
      </c>
      <c r="J237" s="28">
        <f>IF($A237="","",IF($I237="","",IF($I237&lt;=7,"0-7",IF($I237&lt;=30,"8-30",IF($I237&lt;=60,"31-60","60+")))))</f>
        <v/>
      </c>
      <c r="K237" s="28">
        <f>IF($A237="","",IF($B237="","YETİM",IF(COUNTIF(tblKartlar[KartId],$B237)=0,"YETİM","")))</f>
        <v/>
      </c>
      <c r="L237" s="28">
        <f>IF($A237="","",IF($G237&gt;$D237+kad_mahsupTolerans,"AŞIM","UYGUN"))</f>
        <v/>
      </c>
    </row>
    <row r="238">
      <c r="A238" s="26" t="n"/>
      <c r="B238" s="26" t="n"/>
      <c r="C238" s="29" t="n"/>
      <c r="D238" s="27" t="n"/>
      <c r="E238" s="26" t="n"/>
      <c r="F238" s="26" t="n"/>
      <c r="G238" s="28">
        <f>IF($A238="","",SUMIFS(tblAkis[MahsupTutar],tblAkis[KaynakKartId],$B238,tblAkis[Durum],"MAHSUP"))</f>
        <v/>
      </c>
      <c r="H238" s="28">
        <f>IF($A238="","",MAX(0,$D238-$G238))</f>
        <v/>
      </c>
      <c r="I238" s="28">
        <f>IF($A238="","",IF($C238="","",raporTarihi-$C238))</f>
        <v/>
      </c>
      <c r="J238" s="28">
        <f>IF($A238="","",IF($I238="","",IF($I238&lt;=7,"0-7",IF($I238&lt;=30,"8-30",IF($I238&lt;=60,"31-60","60+")))))</f>
        <v/>
      </c>
      <c r="K238" s="28">
        <f>IF($A238="","",IF($B238="","YETİM",IF(COUNTIF(tblKartlar[KartId],$B238)=0,"YETİM","")))</f>
        <v/>
      </c>
      <c r="L238" s="28">
        <f>IF($A238="","",IF($G238&gt;$D238+kad_mahsupTolerans,"AŞIM","UYGUN"))</f>
        <v/>
      </c>
    </row>
    <row r="239">
      <c r="A239" s="26" t="n"/>
      <c r="B239" s="26" t="n"/>
      <c r="C239" s="29" t="n"/>
      <c r="D239" s="27" t="n"/>
      <c r="E239" s="26" t="n"/>
      <c r="F239" s="26" t="n"/>
      <c r="G239" s="28">
        <f>IF($A239="","",SUMIFS(tblAkis[MahsupTutar],tblAkis[KaynakKartId],$B239,tblAkis[Durum],"MAHSUP"))</f>
        <v/>
      </c>
      <c r="H239" s="28">
        <f>IF($A239="","",MAX(0,$D239-$G239))</f>
        <v/>
      </c>
      <c r="I239" s="28">
        <f>IF($A239="","",IF($C239="","",raporTarihi-$C239))</f>
        <v/>
      </c>
      <c r="J239" s="28">
        <f>IF($A239="","",IF($I239="","",IF($I239&lt;=7,"0-7",IF($I239&lt;=30,"8-30",IF($I239&lt;=60,"31-60","60+")))))</f>
        <v/>
      </c>
      <c r="K239" s="28">
        <f>IF($A239="","",IF($B239="","YETİM",IF(COUNTIF(tblKartlar[KartId],$B239)=0,"YETİM","")))</f>
        <v/>
      </c>
      <c r="L239" s="28">
        <f>IF($A239="","",IF($G239&gt;$D239+kad_mahsupTolerans,"AŞIM","UYGUN"))</f>
        <v/>
      </c>
    </row>
    <row r="240">
      <c r="A240" s="26" t="n"/>
      <c r="B240" s="26" t="n"/>
      <c r="C240" s="29" t="n"/>
      <c r="D240" s="27" t="n"/>
      <c r="E240" s="26" t="n"/>
      <c r="F240" s="26" t="n"/>
      <c r="G240" s="28">
        <f>IF($A240="","",SUMIFS(tblAkis[MahsupTutar],tblAkis[KaynakKartId],$B240,tblAkis[Durum],"MAHSUP"))</f>
        <v/>
      </c>
      <c r="H240" s="28">
        <f>IF($A240="","",MAX(0,$D240-$G240))</f>
        <v/>
      </c>
      <c r="I240" s="28">
        <f>IF($A240="","",IF($C240="","",raporTarihi-$C240))</f>
        <v/>
      </c>
      <c r="J240" s="28">
        <f>IF($A240="","",IF($I240="","",IF($I240&lt;=7,"0-7",IF($I240&lt;=30,"8-30",IF($I240&lt;=60,"31-60","60+")))))</f>
        <v/>
      </c>
      <c r="K240" s="28">
        <f>IF($A240="","",IF($B240="","YETİM",IF(COUNTIF(tblKartlar[KartId],$B240)=0,"YETİM","")))</f>
        <v/>
      </c>
      <c r="L240" s="28">
        <f>IF($A240="","",IF($G240&gt;$D240+kad_mahsupTolerans,"AŞIM","UYGUN"))</f>
        <v/>
      </c>
    </row>
    <row r="241">
      <c r="A241" s="26" t="n"/>
      <c r="B241" s="26" t="n"/>
      <c r="C241" s="29" t="n"/>
      <c r="D241" s="27" t="n"/>
      <c r="E241" s="26" t="n"/>
      <c r="F241" s="26" t="n"/>
      <c r="G241" s="28">
        <f>IF($A241="","",SUMIFS(tblAkis[MahsupTutar],tblAkis[KaynakKartId],$B241,tblAkis[Durum],"MAHSUP"))</f>
        <v/>
      </c>
      <c r="H241" s="28">
        <f>IF($A241="","",MAX(0,$D241-$G241))</f>
        <v/>
      </c>
      <c r="I241" s="28">
        <f>IF($A241="","",IF($C241="","",raporTarihi-$C241))</f>
        <v/>
      </c>
      <c r="J241" s="28">
        <f>IF($A241="","",IF($I241="","",IF($I241&lt;=7,"0-7",IF($I241&lt;=30,"8-30",IF($I241&lt;=60,"31-60","60+")))))</f>
        <v/>
      </c>
      <c r="K241" s="28">
        <f>IF($A241="","",IF($B241="","YETİM",IF(COUNTIF(tblKartlar[KartId],$B241)=0,"YETİM","")))</f>
        <v/>
      </c>
      <c r="L241" s="28">
        <f>IF($A241="","",IF($G241&gt;$D241+kad_mahsupTolerans,"AŞIM","UYGUN"))</f>
        <v/>
      </c>
    </row>
    <row r="242">
      <c r="A242" s="26" t="n"/>
      <c r="B242" s="26" t="n"/>
      <c r="C242" s="29" t="n"/>
      <c r="D242" s="27" t="n"/>
      <c r="E242" s="26" t="n"/>
      <c r="F242" s="26" t="n"/>
      <c r="G242" s="28">
        <f>IF($A242="","",SUMIFS(tblAkis[MahsupTutar],tblAkis[KaynakKartId],$B242,tblAkis[Durum],"MAHSUP"))</f>
        <v/>
      </c>
      <c r="H242" s="28">
        <f>IF($A242="","",MAX(0,$D242-$G242))</f>
        <v/>
      </c>
      <c r="I242" s="28">
        <f>IF($A242="","",IF($C242="","",raporTarihi-$C242))</f>
        <v/>
      </c>
      <c r="J242" s="28">
        <f>IF($A242="","",IF($I242="","",IF($I242&lt;=7,"0-7",IF($I242&lt;=30,"8-30",IF($I242&lt;=60,"31-60","60+")))))</f>
        <v/>
      </c>
      <c r="K242" s="28">
        <f>IF($A242="","",IF($B242="","YETİM",IF(COUNTIF(tblKartlar[KartId],$B242)=0,"YETİM","")))</f>
        <v/>
      </c>
      <c r="L242" s="28">
        <f>IF($A242="","",IF($G242&gt;$D242+kad_mahsupTolerans,"AŞIM","UYGUN"))</f>
        <v/>
      </c>
    </row>
    <row r="243">
      <c r="A243" s="26" t="n"/>
      <c r="B243" s="26" t="n"/>
      <c r="C243" s="29" t="n"/>
      <c r="D243" s="27" t="n"/>
      <c r="E243" s="26" t="n"/>
      <c r="F243" s="26" t="n"/>
      <c r="G243" s="28">
        <f>IF($A243="","",SUMIFS(tblAkis[MahsupTutar],tblAkis[KaynakKartId],$B243,tblAkis[Durum],"MAHSUP"))</f>
        <v/>
      </c>
      <c r="H243" s="28">
        <f>IF($A243="","",MAX(0,$D243-$G243))</f>
        <v/>
      </c>
      <c r="I243" s="28">
        <f>IF($A243="","",IF($C243="","",raporTarihi-$C243))</f>
        <v/>
      </c>
      <c r="J243" s="28">
        <f>IF($A243="","",IF($I243="","",IF($I243&lt;=7,"0-7",IF($I243&lt;=30,"8-30",IF($I243&lt;=60,"31-60","60+")))))</f>
        <v/>
      </c>
      <c r="K243" s="28">
        <f>IF($A243="","",IF($B243="","YETİM",IF(COUNTIF(tblKartlar[KartId],$B243)=0,"YETİM","")))</f>
        <v/>
      </c>
      <c r="L243" s="28">
        <f>IF($A243="","",IF($G243&gt;$D243+kad_mahsupTolerans,"AŞIM","UYGUN"))</f>
        <v/>
      </c>
    </row>
    <row r="244">
      <c r="A244" s="26" t="n"/>
      <c r="B244" s="26" t="n"/>
      <c r="C244" s="29" t="n"/>
      <c r="D244" s="27" t="n"/>
      <c r="E244" s="26" t="n"/>
      <c r="F244" s="26" t="n"/>
      <c r="G244" s="28">
        <f>IF($A244="","",SUMIFS(tblAkis[MahsupTutar],tblAkis[KaynakKartId],$B244,tblAkis[Durum],"MAHSUP"))</f>
        <v/>
      </c>
      <c r="H244" s="28">
        <f>IF($A244="","",MAX(0,$D244-$G244))</f>
        <v/>
      </c>
      <c r="I244" s="28">
        <f>IF($A244="","",IF($C244="","",raporTarihi-$C244))</f>
        <v/>
      </c>
      <c r="J244" s="28">
        <f>IF($A244="","",IF($I244="","",IF($I244&lt;=7,"0-7",IF($I244&lt;=30,"8-30",IF($I244&lt;=60,"31-60","60+")))))</f>
        <v/>
      </c>
      <c r="K244" s="28">
        <f>IF($A244="","",IF($B244="","YETİM",IF(COUNTIF(tblKartlar[KartId],$B244)=0,"YETİM","")))</f>
        <v/>
      </c>
      <c r="L244" s="28">
        <f>IF($A244="","",IF($G244&gt;$D244+kad_mahsupTolerans,"AŞIM","UYGUN"))</f>
        <v/>
      </c>
    </row>
    <row r="245">
      <c r="A245" s="26" t="n"/>
      <c r="B245" s="26" t="n"/>
      <c r="C245" s="29" t="n"/>
      <c r="D245" s="27" t="n"/>
      <c r="E245" s="26" t="n"/>
      <c r="F245" s="26" t="n"/>
      <c r="G245" s="28">
        <f>IF($A245="","",SUMIFS(tblAkis[MahsupTutar],tblAkis[KaynakKartId],$B245,tblAkis[Durum],"MAHSUP"))</f>
        <v/>
      </c>
      <c r="H245" s="28">
        <f>IF($A245="","",MAX(0,$D245-$G245))</f>
        <v/>
      </c>
      <c r="I245" s="28">
        <f>IF($A245="","",IF($C245="","",raporTarihi-$C245))</f>
        <v/>
      </c>
      <c r="J245" s="28">
        <f>IF($A245="","",IF($I245="","",IF($I245&lt;=7,"0-7",IF($I245&lt;=30,"8-30",IF($I245&lt;=60,"31-60","60+")))))</f>
        <v/>
      </c>
      <c r="K245" s="28">
        <f>IF($A245="","",IF($B245="","YETİM",IF(COUNTIF(tblKartlar[KartId],$B245)=0,"YETİM","")))</f>
        <v/>
      </c>
      <c r="L245" s="28">
        <f>IF($A245="","",IF($G245&gt;$D245+kad_mahsupTolerans,"AŞIM","UYGUN"))</f>
        <v/>
      </c>
    </row>
    <row r="246">
      <c r="A246" s="26" t="n"/>
      <c r="B246" s="26" t="n"/>
      <c r="C246" s="29" t="n"/>
      <c r="D246" s="27" t="n"/>
      <c r="E246" s="26" t="n"/>
      <c r="F246" s="26" t="n"/>
      <c r="G246" s="28">
        <f>IF($A246="","",SUMIFS(tblAkis[MahsupTutar],tblAkis[KaynakKartId],$B246,tblAkis[Durum],"MAHSUP"))</f>
        <v/>
      </c>
      <c r="H246" s="28">
        <f>IF($A246="","",MAX(0,$D246-$G246))</f>
        <v/>
      </c>
      <c r="I246" s="28">
        <f>IF($A246="","",IF($C246="","",raporTarihi-$C246))</f>
        <v/>
      </c>
      <c r="J246" s="28">
        <f>IF($A246="","",IF($I246="","",IF($I246&lt;=7,"0-7",IF($I246&lt;=30,"8-30",IF($I246&lt;=60,"31-60","60+")))))</f>
        <v/>
      </c>
      <c r="K246" s="28">
        <f>IF($A246="","",IF($B246="","YETİM",IF(COUNTIF(tblKartlar[KartId],$B246)=0,"YETİM","")))</f>
        <v/>
      </c>
      <c r="L246" s="28">
        <f>IF($A246="","",IF($G246&gt;$D246+kad_mahsupTolerans,"AŞIM","UYGUN"))</f>
        <v/>
      </c>
    </row>
    <row r="247">
      <c r="A247" s="26" t="n"/>
      <c r="B247" s="26" t="n"/>
      <c r="C247" s="29" t="n"/>
      <c r="D247" s="27" t="n"/>
      <c r="E247" s="26" t="n"/>
      <c r="F247" s="26" t="n"/>
      <c r="G247" s="28">
        <f>IF($A247="","",SUMIFS(tblAkis[MahsupTutar],tblAkis[KaynakKartId],$B247,tblAkis[Durum],"MAHSUP"))</f>
        <v/>
      </c>
      <c r="H247" s="28">
        <f>IF($A247="","",MAX(0,$D247-$G247))</f>
        <v/>
      </c>
      <c r="I247" s="28">
        <f>IF($A247="","",IF($C247="","",raporTarihi-$C247))</f>
        <v/>
      </c>
      <c r="J247" s="28">
        <f>IF($A247="","",IF($I247="","",IF($I247&lt;=7,"0-7",IF($I247&lt;=30,"8-30",IF($I247&lt;=60,"31-60","60+")))))</f>
        <v/>
      </c>
      <c r="K247" s="28">
        <f>IF($A247="","",IF($B247="","YETİM",IF(COUNTIF(tblKartlar[KartId],$B247)=0,"YETİM","")))</f>
        <v/>
      </c>
      <c r="L247" s="28">
        <f>IF($A247="","",IF($G247&gt;$D247+kad_mahsupTolerans,"AŞIM","UYGUN"))</f>
        <v/>
      </c>
    </row>
    <row r="248">
      <c r="A248" s="26" t="n"/>
      <c r="B248" s="26" t="n"/>
      <c r="C248" s="29" t="n"/>
      <c r="D248" s="27" t="n"/>
      <c r="E248" s="26" t="n"/>
      <c r="F248" s="26" t="n"/>
      <c r="G248" s="28">
        <f>IF($A248="","",SUMIFS(tblAkis[MahsupTutar],tblAkis[KaynakKartId],$B248,tblAkis[Durum],"MAHSUP"))</f>
        <v/>
      </c>
      <c r="H248" s="28">
        <f>IF($A248="","",MAX(0,$D248-$G248))</f>
        <v/>
      </c>
      <c r="I248" s="28">
        <f>IF($A248="","",IF($C248="","",raporTarihi-$C248))</f>
        <v/>
      </c>
      <c r="J248" s="28">
        <f>IF($A248="","",IF($I248="","",IF($I248&lt;=7,"0-7",IF($I248&lt;=30,"8-30",IF($I248&lt;=60,"31-60","60+")))))</f>
        <v/>
      </c>
      <c r="K248" s="28">
        <f>IF($A248="","",IF($B248="","YETİM",IF(COUNTIF(tblKartlar[KartId],$B248)=0,"YETİM","")))</f>
        <v/>
      </c>
      <c r="L248" s="28">
        <f>IF($A248="","",IF($G248&gt;$D248+kad_mahsupTolerans,"AŞIM","UYGUN"))</f>
        <v/>
      </c>
    </row>
    <row r="249">
      <c r="A249" s="26" t="n"/>
      <c r="B249" s="26" t="n"/>
      <c r="C249" s="29" t="n"/>
      <c r="D249" s="27" t="n"/>
      <c r="E249" s="26" t="n"/>
      <c r="F249" s="26" t="n"/>
      <c r="G249" s="28">
        <f>IF($A249="","",SUMIFS(tblAkis[MahsupTutar],tblAkis[KaynakKartId],$B249,tblAkis[Durum],"MAHSUP"))</f>
        <v/>
      </c>
      <c r="H249" s="28">
        <f>IF($A249="","",MAX(0,$D249-$G249))</f>
        <v/>
      </c>
      <c r="I249" s="28">
        <f>IF($A249="","",IF($C249="","",raporTarihi-$C249))</f>
        <v/>
      </c>
      <c r="J249" s="28">
        <f>IF($A249="","",IF($I249="","",IF($I249&lt;=7,"0-7",IF($I249&lt;=30,"8-30",IF($I249&lt;=60,"31-60","60+")))))</f>
        <v/>
      </c>
      <c r="K249" s="28">
        <f>IF($A249="","",IF($B249="","YETİM",IF(COUNTIF(tblKartlar[KartId],$B249)=0,"YETİM","")))</f>
        <v/>
      </c>
      <c r="L249" s="28">
        <f>IF($A249="","",IF($G249&gt;$D249+kad_mahsupTolerans,"AŞIM","UYGUN"))</f>
        <v/>
      </c>
    </row>
    <row r="250">
      <c r="A250" s="26" t="n"/>
      <c r="B250" s="26" t="n"/>
      <c r="C250" s="29" t="n"/>
      <c r="D250" s="27" t="n"/>
      <c r="E250" s="26" t="n"/>
      <c r="F250" s="26" t="n"/>
      <c r="G250" s="28">
        <f>IF($A250="","",SUMIFS(tblAkis[MahsupTutar],tblAkis[KaynakKartId],$B250,tblAkis[Durum],"MAHSUP"))</f>
        <v/>
      </c>
      <c r="H250" s="28">
        <f>IF($A250="","",MAX(0,$D250-$G250))</f>
        <v/>
      </c>
      <c r="I250" s="28">
        <f>IF($A250="","",IF($C250="","",raporTarihi-$C250))</f>
        <v/>
      </c>
      <c r="J250" s="28">
        <f>IF($A250="","",IF($I250="","",IF($I250&lt;=7,"0-7",IF($I250&lt;=30,"8-30",IF($I250&lt;=60,"31-60","60+")))))</f>
        <v/>
      </c>
      <c r="K250" s="28">
        <f>IF($A250="","",IF($B250="","YETİM",IF(COUNTIF(tblKartlar[KartId],$B250)=0,"YETİM","")))</f>
        <v/>
      </c>
      <c r="L250" s="28">
        <f>IF($A250="","",IF($G250&gt;$D250+kad_mahsupTolerans,"AŞIM","UYGUN"))</f>
        <v/>
      </c>
    </row>
    <row r="251">
      <c r="A251" s="26" t="n"/>
      <c r="B251" s="26" t="n"/>
      <c r="C251" s="29" t="n"/>
      <c r="D251" s="27" t="n"/>
      <c r="E251" s="26" t="n"/>
      <c r="F251" s="26" t="n"/>
      <c r="G251" s="28">
        <f>IF($A251="","",SUMIFS(tblAkis[MahsupTutar],tblAkis[KaynakKartId],$B251,tblAkis[Durum],"MAHSUP"))</f>
        <v/>
      </c>
      <c r="H251" s="28">
        <f>IF($A251="","",MAX(0,$D251-$G251))</f>
        <v/>
      </c>
      <c r="I251" s="28">
        <f>IF($A251="","",IF($C251="","",raporTarihi-$C251))</f>
        <v/>
      </c>
      <c r="J251" s="28">
        <f>IF($A251="","",IF($I251="","",IF($I251&lt;=7,"0-7",IF($I251&lt;=30,"8-30",IF($I251&lt;=60,"31-60","60+")))))</f>
        <v/>
      </c>
      <c r="K251" s="28">
        <f>IF($A251="","",IF($B251="","YETİM",IF(COUNTIF(tblKartlar[KartId],$B251)=0,"YETİM","")))</f>
        <v/>
      </c>
      <c r="L251" s="28">
        <f>IF($A251="","",IF($G251&gt;$D251+kad_mahsupTolerans,"AŞIM","UYGUN"))</f>
        <v/>
      </c>
    </row>
    <row r="252">
      <c r="A252" s="26" t="n"/>
      <c r="B252" s="26" t="n"/>
      <c r="C252" s="29" t="n"/>
      <c r="D252" s="27" t="n"/>
      <c r="E252" s="26" t="n"/>
      <c r="F252" s="26" t="n"/>
      <c r="G252" s="28">
        <f>IF($A252="","",SUMIFS(tblAkis[MahsupTutar],tblAkis[KaynakKartId],$B252,tblAkis[Durum],"MAHSUP"))</f>
        <v/>
      </c>
      <c r="H252" s="28">
        <f>IF($A252="","",MAX(0,$D252-$G252))</f>
        <v/>
      </c>
      <c r="I252" s="28">
        <f>IF($A252="","",IF($C252="","",raporTarihi-$C252))</f>
        <v/>
      </c>
      <c r="J252" s="28">
        <f>IF($A252="","",IF($I252="","",IF($I252&lt;=7,"0-7",IF($I252&lt;=30,"8-30",IF($I252&lt;=60,"31-60","60+")))))</f>
        <v/>
      </c>
      <c r="K252" s="28">
        <f>IF($A252="","",IF($B252="","YETİM",IF(COUNTIF(tblKartlar[KartId],$B252)=0,"YETİM","")))</f>
        <v/>
      </c>
      <c r="L252" s="28">
        <f>IF($A252="","",IF($G252&gt;$D252+kad_mahsupTolerans,"AŞIM","UYGUN"))</f>
        <v/>
      </c>
    </row>
    <row r="253">
      <c r="A253" s="26" t="n"/>
      <c r="B253" s="26" t="n"/>
      <c r="C253" s="29" t="n"/>
      <c r="D253" s="27" t="n"/>
      <c r="E253" s="26" t="n"/>
      <c r="F253" s="26" t="n"/>
      <c r="G253" s="28">
        <f>IF($A253="","",SUMIFS(tblAkis[MahsupTutar],tblAkis[KaynakKartId],$B253,tblAkis[Durum],"MAHSUP"))</f>
        <v/>
      </c>
      <c r="H253" s="28">
        <f>IF($A253="","",MAX(0,$D253-$G253))</f>
        <v/>
      </c>
      <c r="I253" s="28">
        <f>IF($A253="","",IF($C253="","",raporTarihi-$C253))</f>
        <v/>
      </c>
      <c r="J253" s="28">
        <f>IF($A253="","",IF($I253="","",IF($I253&lt;=7,"0-7",IF($I253&lt;=30,"8-30",IF($I253&lt;=60,"31-60","60+")))))</f>
        <v/>
      </c>
      <c r="K253" s="28">
        <f>IF($A253="","",IF($B253="","YETİM",IF(COUNTIF(tblKartlar[KartId],$B253)=0,"YETİM","")))</f>
        <v/>
      </c>
      <c r="L253" s="28">
        <f>IF($A253="","",IF($G253&gt;$D253+kad_mahsupTolerans,"AŞIM","UYGUN"))</f>
        <v/>
      </c>
    </row>
    <row r="254">
      <c r="A254" s="26" t="n"/>
      <c r="B254" s="26" t="n"/>
      <c r="C254" s="29" t="n"/>
      <c r="D254" s="27" t="n"/>
      <c r="E254" s="26" t="n"/>
      <c r="F254" s="26" t="n"/>
      <c r="G254" s="28">
        <f>IF($A254="","",SUMIFS(tblAkis[MahsupTutar],tblAkis[KaynakKartId],$B254,tblAkis[Durum],"MAHSUP"))</f>
        <v/>
      </c>
      <c r="H254" s="28">
        <f>IF($A254="","",MAX(0,$D254-$G254))</f>
        <v/>
      </c>
      <c r="I254" s="28">
        <f>IF($A254="","",IF($C254="","",raporTarihi-$C254))</f>
        <v/>
      </c>
      <c r="J254" s="28">
        <f>IF($A254="","",IF($I254="","",IF($I254&lt;=7,"0-7",IF($I254&lt;=30,"8-30",IF($I254&lt;=60,"31-60","60+")))))</f>
        <v/>
      </c>
      <c r="K254" s="28">
        <f>IF($A254="","",IF($B254="","YETİM",IF(COUNTIF(tblKartlar[KartId],$B254)=0,"YETİM","")))</f>
        <v/>
      </c>
      <c r="L254" s="28">
        <f>IF($A254="","",IF($G254&gt;$D254+kad_mahsupTolerans,"AŞIM","UYGUN"))</f>
        <v/>
      </c>
    </row>
    <row r="255">
      <c r="A255" s="26" t="n"/>
      <c r="B255" s="26" t="n"/>
      <c r="C255" s="29" t="n"/>
      <c r="D255" s="27" t="n"/>
      <c r="E255" s="26" t="n"/>
      <c r="F255" s="26" t="n"/>
      <c r="G255" s="28">
        <f>IF($A255="","",SUMIFS(tblAkis[MahsupTutar],tblAkis[KaynakKartId],$B255,tblAkis[Durum],"MAHSUP"))</f>
        <v/>
      </c>
      <c r="H255" s="28">
        <f>IF($A255="","",MAX(0,$D255-$G255))</f>
        <v/>
      </c>
      <c r="I255" s="28">
        <f>IF($A255="","",IF($C255="","",raporTarihi-$C255))</f>
        <v/>
      </c>
      <c r="J255" s="28">
        <f>IF($A255="","",IF($I255="","",IF($I255&lt;=7,"0-7",IF($I255&lt;=30,"8-30",IF($I255&lt;=60,"31-60","60+")))))</f>
        <v/>
      </c>
      <c r="K255" s="28">
        <f>IF($A255="","",IF($B255="","YETİM",IF(COUNTIF(tblKartlar[KartId],$B255)=0,"YETİM","")))</f>
        <v/>
      </c>
      <c r="L255" s="28">
        <f>IF($A255="","",IF($G255&gt;$D255+kad_mahsupTolerans,"AŞIM","UYGUN"))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L6:L255">
    <cfRule type="cellIs" priority="1" operator="equal" dxfId="2">
      <formula>"AŞIM"</formula>
    </cfRule>
    <cfRule type="cellIs" priority="2" operator="equal" dxfId="0">
      <formula>"UYGUN"</formula>
    </cfRule>
  </conditionalFormatting>
  <conditionalFormatting sqref="H6:H255">
    <cfRule type="cellIs" priority="3" operator="greaterThan" dxfId="1">
      <formula>0</formula>
    </cfRule>
  </conditionalFormatting>
  <conditionalFormatting sqref="K6:K255">
    <cfRule type="cellIs" priority="4" operator="equal" dxfId="2">
      <formula>"YETİM"</formula>
    </cfRule>
  </conditionalFormatting>
  <dataValidations count="6">
    <dataValidation sqref="A6:A255" showDropDown="0" showInputMessage="1" showErrorMessage="1" allowBlank="1" errorTitle="Kimlik" error="En az 1 karakter" promptTitle="Avans Kimliği" prompt="AVN-##### girin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Kaynak Kart" prompt="Kart kimliği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Avans tarihi" type="date" errorStyle="stop" operator="greaterThan">
      <formula1>1</formula1>
    </dataValidation>
    <dataValidation sqref="D6:D255" showDropDown="0" showInputMessage="1" showErrorMessage="1" allowBlank="1" errorTitle="Tutar" error="0 veya üzeri" promptTitle="Avans Tutarı" prompt="Tutar ≥ 0" type="decimal" errorStyle="stop" operator="greaterThanOrEqual">
      <formula1>0</formula1>
    </dataValidation>
    <dataValidation sqref="E6:E255" showDropDown="0" showInputMessage="1" showErrorMessage="1" allowBlank="1" errorTitle="Dönem" error="Geçersiz" promptTitle="Dönem" prompt="YYYY-AA" type="textLength" errorStyle="stop" operator="greaterThanOrEqual">
      <formula1>0</formula1>
      <formula2>20</formula2>
    </dataValidation>
    <dataValidation sqref="F6:F255" showDropDown="0" showInputMessage="1" showErrorMessage="1" allowBlank="1" errorTitle="Açıklama" error="Geçersiz" promptTitle="Açıklama" prompt="Kısa açıklama" type="textLength" errorStyle="stop" operator="greaterThanOrEqual">
      <formula1>0</formula1>
      <formula2>120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000F3D4C"/>
    <outlinePr summaryBelow="1" summaryRight="1"/>
    <pageSetUpPr fitToPage="1"/>
  </sheetPr>
  <dimension ref="A1:J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8" customWidth="1" min="4" max="4"/>
    <col width="14" customWidth="1" min="5" max="5"/>
  </cols>
  <sheetData>
    <row r="1" ht="26" customHeight="1">
      <c r="A1" s="1" t="inlineStr">
        <is>
          <t>DEKONT — Kira ve Avans Takip + Dekont</t>
        </is>
      </c>
    </row>
    <row r="3" ht="28" customHeight="1">
      <c r="A3" s="33" t="inlineStr">
        <is>
          <t>Tahsilat Dekontu — yazdırılabilir kanıt belgesi</t>
        </is>
      </c>
    </row>
    <row r="4">
      <c r="A4" s="7" t="inlineStr">
        <is>
          <t>Malik</t>
        </is>
      </c>
      <c r="B4" s="24">
        <f>kad_malikAdi</f>
        <v/>
      </c>
    </row>
    <row r="5">
      <c r="A5" s="7" t="inlineStr">
        <is>
          <t>Kart Seçimi</t>
        </is>
      </c>
      <c r="B5" s="26" t="inlineStr">
        <is>
          <t>KIR-00001</t>
        </is>
      </c>
    </row>
    <row r="6">
      <c r="A6" s="7" t="inlineStr">
        <is>
          <t>Dönem</t>
        </is>
      </c>
      <c r="B6" s="26" t="inlineStr">
        <is>
          <t>2026-08</t>
        </is>
      </c>
    </row>
    <row r="7">
      <c r="A7" s="7" t="inlineStr">
        <is>
          <t>Rapor Tarihi</t>
        </is>
      </c>
      <c r="B7" s="12">
        <f>raporTarihi</f>
        <v/>
      </c>
    </row>
    <row r="9">
      <c r="A9" s="16" t="inlineStr">
        <is>
          <t>Kiracı</t>
        </is>
      </c>
      <c r="B9" s="7">
        <f>IFERROR(INDEX(tblKartlar[Unvan],MATCH(B5,tblKartlar[KartId],0)),"")</f>
        <v/>
      </c>
    </row>
    <row r="10">
      <c r="A10" s="7" t="inlineStr">
        <is>
          <t>Taşınmaz</t>
        </is>
      </c>
      <c r="B10" s="7">
        <f>IFERROR(INDEX(tblKartlar[Tasinmaz],MATCH(B5,tblKartlar[KartId],0)),"")</f>
        <v/>
      </c>
    </row>
    <row r="11">
      <c r="A11" s="7" t="inlineStr">
        <is>
          <t>Aylık Kira</t>
        </is>
      </c>
      <c r="B11" s="21">
        <f>IFERROR(INDEX(tblKartlar[AylikKira],MATCH(B5,tblKartlar[KartId],0)),0)</f>
        <v/>
      </c>
    </row>
    <row r="12">
      <c r="A12" s="7" t="inlineStr">
        <is>
          <t>Dönem Kira</t>
        </is>
      </c>
      <c r="B12" s="21">
        <f>IF(B5="","",SUMIFS(tblAkis[KiraTutar],tblAkis[KaynakKartId],B5,tblAkis[Donem],B6))</f>
        <v/>
      </c>
    </row>
    <row r="13">
      <c r="A13" s="7" t="inlineStr">
        <is>
          <t>Avans Mahsup</t>
        </is>
      </c>
      <c r="B13" s="21">
        <f>IF(B5="","",SUMIFS(tblAkis[MahsupTutar],tblAkis[KaynakKartId],B5,tblAkis[Donem],B6))</f>
        <v/>
      </c>
    </row>
    <row r="14">
      <c r="A14" s="7" t="inlineStr">
        <is>
          <t>Net Tahsil</t>
        </is>
      </c>
      <c r="B14" s="34">
        <f>IFERROR(B12-B13,0)</f>
        <v/>
      </c>
    </row>
    <row r="15">
      <c r="A15" s="7" t="inlineStr">
        <is>
          <t>Avans Kalan</t>
        </is>
      </c>
      <c r="B15" s="21">
        <f>IF(B5="","",SUMIF(tblAvans[KaynakKartId],B5,tblAvans[KalanBakiye]))</f>
        <v/>
      </c>
    </row>
    <row r="16">
      <c r="A16" s="7" t="inlineStr">
        <is>
          <t>Açıklama</t>
        </is>
      </c>
      <c r="B16" s="26" t="inlineStr">
        <is>
          <t>Dönem kira tahsilatı — avans mahsup düşülmüştür</t>
        </is>
      </c>
    </row>
    <row r="17">
      <c r="A17" s="7" t="inlineStr">
        <is>
          <t>Teslim Alan</t>
        </is>
      </c>
      <c r="B17" s="26" t="inlineStr">
        <is>
          <t>Ayşe Demir</t>
        </is>
      </c>
    </row>
    <row r="19">
      <c r="A19" s="16" t="inlineStr">
        <is>
          <t>Dekont Metni</t>
        </is>
      </c>
    </row>
    <row r="20">
      <c r="A20" s="8">
        <f>_xlfn.TEXTJOIN(" | ",TRUE,"Kart",B5,"Dönem",B6,"Net",TEXT(B14,"0"),"Mahsup",TEXT(B13,"0"),"Kalan",TEXT(B15,"0"))</f>
        <v/>
      </c>
    </row>
    <row r="22">
      <c r="A22" s="7" t="inlineStr">
        <is>
          <t>Beyan</t>
        </is>
      </c>
    </row>
    <row r="23">
      <c r="A23" s="8" t="inlineStr">
        <is>
          <t>Bu dekont karar destek belgesidir; resmi makbuz yerine geçmez. Tutarlar AKIS ve AVANS tablolarından türetilir.</t>
        </is>
      </c>
    </row>
    <row r="25">
      <c r="A25" s="7" t="inlineStr">
        <is>
          <t>Malik imza</t>
        </is>
      </c>
      <c r="D25" s="7" t="inlineStr">
        <is>
          <t>Kiracı imza</t>
        </is>
      </c>
    </row>
    <row r="27">
      <c r="A27" s="11" t="inlineStr">
        <is>
          <t>Sürüm 1.0.0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23:H23"/>
    <mergeCell ref="A1:J1"/>
    <mergeCell ref="A3:H3"/>
    <mergeCell ref="A20:H20"/>
  </mergeCells>
  <conditionalFormatting sqref="B14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B13">
    <cfRule type="cellIs" priority="3" operator="greaterThan" dxfId="1">
      <formula>0</formula>
    </cfRule>
  </conditionalFormatting>
  <dataValidations count="4">
    <dataValidation sqref="B5" showDropDown="0" showInputMessage="1" showErrorMessage="1" allowBlank="1" errorTitle="Kart" error="Listeden seçin" promptTitle="Kart Seçimi" prompt="Kiracı kartını listeden seçin" type="list" errorStyle="stop">
      <formula1>ListeKartlar</formula1>
    </dataValidation>
    <dataValidation sqref="B6" showDropDown="0" showInputMessage="1" showErrorMessage="1" allowBlank="1" errorTitle="Dönem" error="Geçersiz" promptTitle="Dönem" prompt="YYYY-AA" type="textLength" errorStyle="stop" operator="greaterThanOrEqual">
      <formula1>0</formula1>
      <formula2>20</formula2>
    </dataValidation>
    <dataValidation sqref="B16" showDropDown="0" showInputMessage="1" showErrorMessage="1" allowBlank="1" errorTitle="Açıklama" error="Geçersiz" promptTitle="Açıklama" prompt="Dekont açıklaması" type="textLength" errorStyle="stop" operator="greaterThanOrEqual">
      <formula1>0</formula1>
      <formula2>200</formula2>
    </dataValidation>
    <dataValidation sqref="B17" showDropDown="0" showInputMessage="1" showErrorMessage="1" allowBlank="1" errorTitle="Ad" error="Geçersiz" promptTitle="Teslim Alan" prompt="Ad soyad" type="textLength" errorStyle="stop" operator="greaterThanOrEqual">
      <formula1>0</formula1>
      <formula2>80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&amp;LKira ve Avans Takip + Dekont | Dekont | 1.0.0&amp;CExcelArşiv&amp;RSayfa &amp;P / &amp;N</oddFooter>
    <evenHeader/>
    <evenFooter>&amp;LKira ve Avans Takip + Dekont | Dekont |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0F3D4C"/>
    <outlinePr summaryBelow="1" summaryRight="1"/>
    <pageSetUpPr/>
  </sheetPr>
  <dimension ref="A1:L6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</cols>
  <sheetData>
    <row r="1" ht="26" customHeight="1">
      <c r="A1" s="1" t="inlineStr">
        <is>
          <t>HESAP — Kira ve Avans Takip + Dekont</t>
        </is>
      </c>
    </row>
    <row r="3" ht="20" customHeight="1">
      <c r="A3" s="22" t="inlineStr">
        <is>
          <t>Hesap motoru — ≥40 adım; sabitler AYARLAR'dan</t>
        </is>
      </c>
    </row>
    <row r="5">
      <c r="A5" s="30" t="inlineStr">
        <is>
          <t>Adım</t>
        </is>
      </c>
      <c r="B5" s="30" t="inlineStr">
        <is>
          <t>Açıklama</t>
        </is>
      </c>
      <c r="C5" s="30" t="inlineStr">
        <is>
          <t>Değer</t>
        </is>
      </c>
    </row>
    <row r="6">
      <c r="A6" s="7" t="inlineStr">
        <is>
          <t>H01</t>
        </is>
      </c>
      <c r="B6" s="7" t="inlineStr">
        <is>
          <t>Toplam işlem</t>
        </is>
      </c>
      <c r="C6" s="31">
        <f>COUNTA(tblAkis[IslemId])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2">
        <f>SUM(tblAkis[KayitDolu])</f>
        <v/>
      </c>
    </row>
    <row r="8">
      <c r="A8" s="7" t="inlineStr">
        <is>
          <t>H03</t>
        </is>
      </c>
      <c r="B8" s="7" t="inlineStr">
        <is>
          <t>Toplam tutar</t>
        </is>
      </c>
      <c r="C8" s="31">
        <f>SUM(tblAkis[Tutar])</f>
        <v/>
      </c>
    </row>
    <row r="9">
      <c r="A9" s="7" t="inlineStr">
        <is>
          <t>H04</t>
        </is>
      </c>
      <c r="B9" s="7" t="inlineStr">
        <is>
          <t>Sözleşme toplam</t>
        </is>
      </c>
      <c r="C9" s="31">
        <f>SUM(tblAkis[SozlesmeTutar])</f>
        <v/>
      </c>
    </row>
    <row r="10">
      <c r="A10" s="7" t="inlineStr">
        <is>
          <t>H05</t>
        </is>
      </c>
      <c r="B10" s="7" t="inlineStr">
        <is>
          <t>Avans zincir toplam</t>
        </is>
      </c>
      <c r="C10" s="31">
        <f>SUM(tblAkis[AvansTutar])</f>
        <v/>
      </c>
    </row>
    <row r="11">
      <c r="A11" s="7" t="inlineStr">
        <is>
          <t>H06</t>
        </is>
      </c>
      <c r="B11" s="7" t="inlineStr">
        <is>
          <t>Kira toplam</t>
        </is>
      </c>
      <c r="C11" s="31">
        <f>SUM(tblAkis[KiraTutar])</f>
        <v/>
      </c>
    </row>
    <row r="12">
      <c r="A12" s="7" t="inlineStr">
        <is>
          <t>H07</t>
        </is>
      </c>
      <c r="B12" s="7" t="inlineStr">
        <is>
          <t>Mahsup akış toplam</t>
        </is>
      </c>
      <c r="C12" s="31">
        <f>SUM(tblAkis[MahsupTutar])</f>
        <v/>
      </c>
    </row>
    <row r="13">
      <c r="A13" s="7" t="inlineStr">
        <is>
          <t>H08</t>
        </is>
      </c>
      <c r="B13" s="7" t="inlineStr">
        <is>
          <t>Dekont toplam</t>
        </is>
      </c>
      <c r="C13" s="31">
        <f>SUM(tblAkis[DekontTutar])</f>
        <v/>
      </c>
    </row>
    <row r="14">
      <c r="A14" s="7" t="inlineStr">
        <is>
          <t>H09</t>
        </is>
      </c>
      <c r="B14" s="7" t="inlineStr">
        <is>
          <t>Bekliyor adet</t>
        </is>
      </c>
      <c r="C14" s="32">
        <f>COUNTIF(tblAkis[Durum],"BEKLIYOR")</f>
        <v/>
      </c>
    </row>
    <row r="15">
      <c r="A15" s="7" t="inlineStr">
        <is>
          <t>H10</t>
        </is>
      </c>
      <c r="B15" s="7" t="inlineStr">
        <is>
          <t>Tahsil adet</t>
        </is>
      </c>
      <c r="C15" s="32">
        <f>COUNTIF(tblAkis[Durum],"TAHSIL")</f>
        <v/>
      </c>
    </row>
    <row r="16">
      <c r="A16" s="7" t="inlineStr">
        <is>
          <t>H11</t>
        </is>
      </c>
      <c r="B16" s="7" t="inlineStr">
        <is>
          <t>Mahsup adet</t>
        </is>
      </c>
      <c r="C16" s="32">
        <f>COUNTIF(tblAkis[Durum],"MAHSUP")</f>
        <v/>
      </c>
    </row>
    <row r="17">
      <c r="A17" s="7" t="inlineStr">
        <is>
          <t>H12</t>
        </is>
      </c>
      <c r="B17" s="7" t="inlineStr">
        <is>
          <t>Kapalı adet</t>
        </is>
      </c>
      <c r="C17" s="32">
        <f>COUNTIF(tblAkis[Durum],"KAPALI")</f>
        <v/>
      </c>
    </row>
    <row r="18">
      <c r="A18" s="7" t="inlineStr">
        <is>
          <t>H13</t>
        </is>
      </c>
      <c r="B18" s="7" t="inlineStr">
        <is>
          <t>İptal adet</t>
        </is>
      </c>
      <c r="C18" s="32">
        <f>COUNTIF(tblAkis[Durum],"IPTAL")</f>
        <v/>
      </c>
    </row>
    <row r="19">
      <c r="A19" s="7" t="inlineStr">
        <is>
          <t>H14</t>
        </is>
      </c>
      <c r="B19" s="7" t="inlineStr">
        <is>
          <t>Açık adet</t>
        </is>
      </c>
      <c r="C19" s="32">
        <f>C14+C15+C16</f>
        <v/>
      </c>
    </row>
    <row r="20">
      <c r="A20" s="7" t="inlineStr">
        <is>
          <t>H15</t>
        </is>
      </c>
      <c r="B20" s="7" t="inlineStr">
        <is>
          <t>Kapalı düşüm</t>
        </is>
      </c>
      <c r="C20" s="32">
        <f>C17+C18</f>
        <v/>
      </c>
    </row>
    <row r="21">
      <c r="A21" s="7" t="inlineStr">
        <is>
          <t>H16</t>
        </is>
      </c>
      <c r="B21" s="7" t="inlineStr">
        <is>
          <t>Açık tutar</t>
        </is>
      </c>
      <c r="C21" s="31">
        <f>SUMIF(tblAkis[Durum],"BEKLIYOR",tblAkis[Tutar])+SUMIF(tblAkis[Durum],"TAHSIL",tblAkis[Tutar])+SUMIF(tblAkis[Durum],"MAHSUP",tblAkis[Tutar])</f>
        <v/>
      </c>
    </row>
    <row r="22">
      <c r="A22" s="7" t="inlineStr">
        <is>
          <t>H17</t>
        </is>
      </c>
      <c r="B22" s="7" t="inlineStr">
        <is>
          <t>Yetim adet</t>
        </is>
      </c>
      <c r="C22" s="32">
        <f>COUNTIF(tblAkis[YetimBayrak],"YETİM")</f>
        <v/>
      </c>
    </row>
    <row r="23">
      <c r="A23" s="7" t="inlineStr">
        <is>
          <t>H18</t>
        </is>
      </c>
      <c r="B23" s="7" t="inlineStr">
        <is>
          <t>Geçersiz geçiş</t>
        </is>
      </c>
      <c r="C23" s="32">
        <f>COUNTIF(tblAkis[GecisUyarisi],"GEÇERSİZ GEÇİŞ")</f>
        <v/>
      </c>
    </row>
    <row r="24">
      <c r="A24" s="7" t="inlineStr">
        <is>
          <t>H19</t>
        </is>
      </c>
      <c r="B24" s="7" t="inlineStr">
        <is>
          <t>Zincir kırık</t>
        </is>
      </c>
      <c r="C24" s="32">
        <f>COUNTIF(tblAkis[ZincirBayrak],"ZİNCİR KIRIK")</f>
        <v/>
      </c>
    </row>
    <row r="25">
      <c r="A25" s="7" t="inlineStr">
        <is>
          <t>H20</t>
        </is>
      </c>
      <c r="B25" s="7" t="inlineStr">
        <is>
          <t>Zincir tamam</t>
        </is>
      </c>
      <c r="C25" s="32">
        <f>COUNTIF(tblAkis[ZincirBayrak],"OK")</f>
        <v/>
      </c>
    </row>
    <row r="26">
      <c r="A26" s="7" t="inlineStr">
        <is>
          <t>H21</t>
        </is>
      </c>
      <c r="B26" s="7" t="inlineStr">
        <is>
          <t>Yaş 0-7</t>
        </is>
      </c>
      <c r="C26" s="32">
        <f>COUNTIF(tblAkis[YasKova],"0-7")</f>
        <v/>
      </c>
    </row>
    <row r="27">
      <c r="A27" s="7" t="inlineStr">
        <is>
          <t>H22</t>
        </is>
      </c>
      <c r="B27" s="7" t="inlineStr">
        <is>
          <t>Yaş 8-30</t>
        </is>
      </c>
      <c r="C27" s="32">
        <f>COUNTIF(tblAkis[YasKova],"8-30")</f>
        <v/>
      </c>
    </row>
    <row r="28">
      <c r="A28" s="7" t="inlineStr">
        <is>
          <t>H23</t>
        </is>
      </c>
      <c r="B28" s="7" t="inlineStr">
        <is>
          <t>Yaş 31-60</t>
        </is>
      </c>
      <c r="C28" s="32">
        <f>COUNTIF(tblAkis[YasKova],"31-60")</f>
        <v/>
      </c>
    </row>
    <row r="29">
      <c r="A29" s="7" t="inlineStr">
        <is>
          <t>H24</t>
        </is>
      </c>
      <c r="B29" s="7" t="inlineStr">
        <is>
          <t>Yaş 60+</t>
        </is>
      </c>
      <c r="C29" s="32">
        <f>COUNTIF(tblAkis[YasKova],"60+")</f>
        <v/>
      </c>
    </row>
    <row r="30">
      <c r="A30" s="7" t="inlineStr">
        <is>
          <t>H25</t>
        </is>
      </c>
      <c r="B30" s="7" t="inlineStr">
        <is>
          <t>Ort yaş gün</t>
        </is>
      </c>
      <c r="C30" s="67">
        <f>IFERROR(AVERAGE(tblAkis[YasGun]),0)</f>
        <v/>
      </c>
    </row>
    <row r="31">
      <c r="A31" s="7" t="inlineStr">
        <is>
          <t>H26</t>
        </is>
      </c>
      <c r="B31" s="7" t="inlineStr">
        <is>
          <t>Geciken adet</t>
        </is>
      </c>
      <c r="C31" s="32">
        <f>COUNTIFS(tblAkis[YasGun],"&gt;"&amp;kad_esikGecikmeGun,tblAkis[Durum],"&lt;&gt;KAPALI",tblAkis[Durum],"&lt;&gt;IPTAL",tblAkis[Tutar],"&gt;0")</f>
        <v/>
      </c>
    </row>
    <row r="32">
      <c r="A32" s="7" t="inlineStr">
        <is>
          <t>H27</t>
        </is>
      </c>
      <c r="B32" s="7" t="inlineStr">
        <is>
          <t>Geciken tutar</t>
        </is>
      </c>
      <c r="C32" s="31">
        <f>SUMIFS(tblAkis[Tutar],tblAkis[YasGun],"&gt;"&amp;kad_esikGecikmeGun,tblAkis[Durum],"&lt;&gt;KAPALI",tblAkis[Durum],"&lt;&gt;IPTAL")</f>
        <v/>
      </c>
    </row>
    <row r="33">
      <c r="A33" s="7" t="inlineStr">
        <is>
          <t>H28</t>
        </is>
      </c>
      <c r="B33" s="7" t="inlineStr">
        <is>
          <t>Gecikme maliyeti</t>
        </is>
      </c>
      <c r="C33" s="31">
        <f>C32*kad_gecikmeOranGun</f>
        <v/>
      </c>
    </row>
    <row r="34">
      <c r="A34" s="7" t="inlineStr">
        <is>
          <t>H29</t>
        </is>
      </c>
      <c r="B34" s="7" t="inlineStr">
        <is>
          <t>Temkinli senaryo</t>
        </is>
      </c>
      <c r="C34" s="31">
        <f>C21*kad_senaryoTemkinli</f>
        <v/>
      </c>
    </row>
    <row r="35">
      <c r="A35" s="7" t="inlineStr">
        <is>
          <t>H30</t>
        </is>
      </c>
      <c r="B35" s="7" t="inlineStr">
        <is>
          <t>Baz senaryo</t>
        </is>
      </c>
      <c r="C35" s="31">
        <f>C21*kad_senaryoBaz</f>
        <v/>
      </c>
    </row>
    <row r="36">
      <c r="A36" s="7" t="inlineStr">
        <is>
          <t>H31</t>
        </is>
      </c>
      <c r="B36" s="7" t="inlineStr">
        <is>
          <t>İyimser senaryo</t>
        </is>
      </c>
      <c r="C36" s="31">
        <f>C21*kad_senaryoIyimser</f>
        <v/>
      </c>
    </row>
    <row r="37">
      <c r="A37" s="7" t="inlineStr">
        <is>
          <t>H32</t>
        </is>
      </c>
      <c r="B37" s="7" t="inlineStr">
        <is>
          <t>Senaryo farkı</t>
        </is>
      </c>
      <c r="C37" s="31">
        <f>C36-C34</f>
        <v/>
      </c>
    </row>
    <row r="38">
      <c r="A38" s="7" t="inlineStr">
        <is>
          <t>H33</t>
        </is>
      </c>
      <c r="B38" s="7" t="inlineStr">
        <is>
          <t>Tornado (oran×tutar)</t>
        </is>
      </c>
      <c r="C38" s="36">
        <f>C21*kad_tornadoOran</f>
        <v/>
      </c>
    </row>
    <row r="39">
      <c r="A39" s="7" t="inlineStr">
        <is>
          <t>H34</t>
        </is>
      </c>
      <c r="B39" s="7" t="inlineStr">
        <is>
          <t>Ödeme öncelik havuzu</t>
        </is>
      </c>
      <c r="C39" s="31">
        <f>SUMIFS(tblAkis[Tutar],tblAkis[Durum],"TAHSIL",tblAkis[YasGun],"&gt;"&amp;kad_esikGecikmeGun)</f>
        <v/>
      </c>
    </row>
    <row r="40">
      <c r="A40" s="7" t="inlineStr">
        <is>
          <t>H35</t>
        </is>
      </c>
      <c r="B40" s="7" t="inlineStr">
        <is>
          <t>Pareto gecikme payı</t>
        </is>
      </c>
      <c r="C40" s="36">
        <f>IFERROR(C32/MAX(C21,1),0)</f>
        <v/>
      </c>
    </row>
    <row r="41">
      <c r="A41" s="7" t="inlineStr">
        <is>
          <t>H36</t>
        </is>
      </c>
      <c r="B41" s="7" t="inlineStr">
        <is>
          <t>Tahmin yüzdelik</t>
        </is>
      </c>
      <c r="C41" s="31">
        <f>IFERROR(_xlfn.PERCENTILE.INC(tblAkis[Tutar],kad_yuzdelikOran),0)</f>
        <v/>
      </c>
    </row>
    <row r="42">
      <c r="A42" s="7" t="inlineStr">
        <is>
          <t>H37</t>
        </is>
      </c>
      <c r="B42" s="7" t="inlineStr">
        <is>
          <t>Tahmin eğilim</t>
        </is>
      </c>
      <c r="C42" s="31">
        <f>IFERROR(FORECAST(COUNTA(tblAkis[IslemId])+1,tblAkis[Tutar],tblAkis[KayitDolu]),C41)</f>
        <v/>
      </c>
    </row>
    <row r="43">
      <c r="A43" s="7" t="inlineStr">
        <is>
          <t>H38</t>
        </is>
      </c>
      <c r="B43" s="7" t="inlineStr">
        <is>
          <t>Tahmin aralık</t>
        </is>
      </c>
      <c r="C43" s="31">
        <f>IFERROR((C41+C42)/2,0)</f>
        <v/>
      </c>
    </row>
    <row r="44">
      <c r="A44" s="7" t="inlineStr">
        <is>
          <t>H39</t>
        </is>
      </c>
      <c r="B44" s="7" t="inlineStr">
        <is>
          <t>Kart sayısı</t>
        </is>
      </c>
      <c r="C44" s="32">
        <f>COUNTA(tblKartlar[KartId])</f>
        <v/>
      </c>
    </row>
    <row r="45">
      <c r="A45" s="7" t="inlineStr">
        <is>
          <t>H40</t>
        </is>
      </c>
      <c r="B45" s="7" t="inlineStr">
        <is>
          <t>Kira limit toplam</t>
        </is>
      </c>
      <c r="C45" s="31">
        <f>SUM(tblKartlar[AylikKira])</f>
        <v/>
      </c>
    </row>
    <row r="46">
      <c r="A46" s="7" t="inlineStr">
        <is>
          <t>H41</t>
        </is>
      </c>
      <c r="B46" s="7" t="inlineStr">
        <is>
          <t>Limit kullanım oranı</t>
        </is>
      </c>
      <c r="C46" s="36">
        <f>IFERROR(C8/MAX(C45,1),0)</f>
        <v/>
      </c>
    </row>
    <row r="47">
      <c r="A47" s="7" t="inlineStr">
        <is>
          <t>H42</t>
        </is>
      </c>
      <c r="B47" s="7" t="inlineStr">
        <is>
          <t>Kuyruk özeti metin</t>
        </is>
      </c>
      <c r="C47" s="24">
        <f>_xlfn.TEXTJOIN(" | ",TRUE,"Bekliyor",C15,"Tahsil",C16,"Geciken",C31)</f>
        <v/>
      </c>
    </row>
    <row r="48">
      <c r="A48" s="7" t="inlineStr">
        <is>
          <t>H43</t>
        </is>
      </c>
      <c r="B48" s="7" t="inlineStr">
        <is>
          <t>Yaş kova metin</t>
        </is>
      </c>
      <c r="C48" s="24">
        <f>_xlfn.TEXTJOIN("/",TRUE,C26,C27,C28,C29)</f>
        <v/>
      </c>
    </row>
    <row r="49">
      <c r="A49" s="7" t="inlineStr">
        <is>
          <t>H44</t>
        </is>
      </c>
      <c r="B49" s="7" t="inlineStr">
        <is>
          <t>Karar skoru ham</t>
        </is>
      </c>
      <c r="C49" s="32">
        <f>IF(C6=0,0,MAX(0,100-C22*10-C23*10-C24*10-C31*2))</f>
        <v/>
      </c>
    </row>
    <row r="50">
      <c r="A50" s="7" t="inlineStr">
        <is>
          <t>H45</t>
        </is>
      </c>
      <c r="B50" s="7" t="inlineStr">
        <is>
          <t>Veri hazırlık</t>
        </is>
      </c>
      <c r="C50" s="36">
        <f>IF(C6=0,0,C7/MAX(C6,1))</f>
        <v/>
      </c>
    </row>
    <row r="51">
      <c r="A51" s="7" t="inlineStr">
        <is>
          <t>H46</t>
        </is>
      </c>
      <c r="B51" s="7" t="inlineStr">
        <is>
          <t>Avans kayıt adet</t>
        </is>
      </c>
      <c r="C51" s="32">
        <f>COUNTA(tblAvans[AvansId])</f>
        <v/>
      </c>
    </row>
    <row r="52">
      <c r="A52" s="7" t="inlineStr">
        <is>
          <t>H47</t>
        </is>
      </c>
      <c r="B52" s="7" t="inlineStr">
        <is>
          <t>Avans anapara</t>
        </is>
      </c>
      <c r="C52" s="31">
        <f>SUM(tblAvans[AvansTutar])</f>
        <v/>
      </c>
    </row>
    <row r="53">
      <c r="A53" s="7" t="inlineStr">
        <is>
          <t>H48</t>
        </is>
      </c>
      <c r="B53" s="7" t="inlineStr">
        <is>
          <t>Mahsup edilen</t>
        </is>
      </c>
      <c r="C53" s="31">
        <f>SUM(tblAvans[MahsupEdilen])</f>
        <v/>
      </c>
    </row>
    <row r="54">
      <c r="A54" s="7" t="inlineStr">
        <is>
          <t>H49</t>
        </is>
      </c>
      <c r="B54" s="7" t="inlineStr">
        <is>
          <t>Avans kalan</t>
        </is>
      </c>
      <c r="C54" s="31">
        <f>SUM(tblAvans[KalanBakiye])</f>
        <v/>
      </c>
    </row>
    <row r="55">
      <c r="A55" s="7" t="inlineStr">
        <is>
          <t>H50</t>
        </is>
      </c>
      <c r="B55" s="7" t="inlineStr">
        <is>
          <t>Dekont net toplam</t>
        </is>
      </c>
      <c r="C55" s="31">
        <f>SUM(tblAkis[DekontTutar])</f>
        <v/>
      </c>
    </row>
    <row r="56">
      <c r="A56" s="7" t="inlineStr">
        <is>
          <t>H51</t>
        </is>
      </c>
      <c r="B56" s="7" t="inlineStr">
        <is>
          <t>Mahsup aşım adet</t>
        </is>
      </c>
      <c r="C56" s="32">
        <f>COUNTIF(tblAvans[AsimBayrak],"AŞIM")</f>
        <v/>
      </c>
    </row>
    <row r="57">
      <c r="A57" s="7" t="inlineStr">
        <is>
          <t>H52</t>
        </is>
      </c>
      <c r="B57" s="7" t="inlineStr">
        <is>
          <t>Kalite modülü</t>
        </is>
      </c>
      <c r="C57" s="32">
        <f>C49</f>
        <v/>
      </c>
    </row>
    <row r="58">
      <c r="A58" s="7" t="inlineStr">
        <is>
          <t>H53</t>
        </is>
      </c>
      <c r="B58" s="7" t="inlineStr">
        <is>
          <t>Yüzdelik 90</t>
        </is>
      </c>
      <c r="C58" s="31">
        <f>IFERROR(_xlfn.PERCENTILE.INC(tblAkis[YasGun],kad_yuzdelikOran),0)</f>
        <v/>
      </c>
    </row>
    <row r="59">
      <c r="A59" s="7" t="inlineStr">
        <is>
          <t>H54</t>
        </is>
      </c>
      <c r="B59" s="7" t="inlineStr">
        <is>
          <t>Avans mahsup özet</t>
        </is>
      </c>
      <c r="C59" s="31">
        <f>_xlfn.TEXTJOIN(" | ",TRUE,"Anapara",TEXT(C52,"0"),"Mahsup",TEXT(C53,"0"),"Kalan",TEXT(C54,"0"),"Aşım",C56)</f>
        <v/>
      </c>
    </row>
    <row r="60">
      <c r="A60" s="7" t="inlineStr">
        <is>
          <t>H55</t>
        </is>
      </c>
      <c r="B60" s="7" t="inlineStr">
        <is>
          <t>Kanıt özeti</t>
        </is>
      </c>
      <c r="C60" s="24">
        <f>_xlfn.TEXTJOIN(" | ",TRUE,"Açık",C19,"Yetim",C22,"Zincir",C24,"Geciken",C31,"Mahsup kalan",TEXT(C54,"0"))</f>
        <v/>
      </c>
    </row>
    <row r="64">
      <c r="A64" s="30" t="inlineStr">
        <is>
          <t>Senaryo</t>
        </is>
      </c>
      <c r="B64" s="30" t="inlineStr">
        <is>
          <t>Çarpan</t>
        </is>
      </c>
      <c r="C64" s="30" t="inlineStr">
        <is>
          <t>Sonuç</t>
        </is>
      </c>
    </row>
    <row r="65">
      <c r="A65" s="7" t="inlineStr">
        <is>
          <t>Temkinli</t>
        </is>
      </c>
      <c r="B65" s="37">
        <f>kad_senaryoTemkinli*IF(COUNTA(tblAkis[IslemId])&gt;=0,1,1)</f>
        <v/>
      </c>
      <c r="C65" s="21">
        <f>C34</f>
        <v/>
      </c>
    </row>
    <row r="66">
      <c r="A66" s="7" t="inlineStr">
        <is>
          <t>Baz</t>
        </is>
      </c>
      <c r="B66" s="37">
        <f>kad_senaryoBaz*IF(COUNTA(tblAkis[IslemId])&gt;=0,1,1)</f>
        <v/>
      </c>
      <c r="C66" s="21">
        <f>C35</f>
        <v/>
      </c>
    </row>
    <row r="67">
      <c r="A67" s="7" t="inlineStr">
        <is>
          <t>İyimser</t>
        </is>
      </c>
      <c r="B67" s="37">
        <f>kad_senaryoIyimser*IF(COUNTA(tblAkis[IslemId])&gt;=0,1,1)</f>
        <v/>
      </c>
      <c r="C67" s="21">
        <f>C36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3">
      <formula>0</formula>
    </cfRule>
    <cfRule type="cellIs" priority="94" operator="lessThan" dxfId="2">
      <formula>0</formula>
    </cfRule>
  </conditionalFormatting>
  <conditionalFormatting sqref="C53">
    <cfRule type="cellIs" priority="95" operator="greaterThan" dxfId="3">
      <formula>0</formula>
    </cfRule>
    <cfRule type="cellIs" priority="96" operator="lessThan" dxfId="2">
      <formula>0</formula>
    </cfRule>
  </conditionalFormatting>
  <conditionalFormatting sqref="C54">
    <cfRule type="cellIs" priority="97" operator="greaterThan" dxfId="3">
      <formula>0</formula>
    </cfRule>
    <cfRule type="cellIs" priority="98" operator="lessThan" dxfId="2">
      <formula>0</formula>
    </cfRule>
  </conditionalFormatting>
  <conditionalFormatting sqref="C55">
    <cfRule type="cellIs" priority="99" operator="greaterThan" dxfId="3">
      <formula>0</formula>
    </cfRule>
    <cfRule type="cellIs" priority="100" operator="lessThan" dxfId="2">
      <formula>0</formula>
    </cfRule>
  </conditionalFormatting>
  <conditionalFormatting sqref="C56">
    <cfRule type="cellIs" priority="101" operator="greaterThan" dxfId="3">
      <formula>0</formula>
    </cfRule>
    <cfRule type="cellIs" priority="102" operator="lessThan" dxfId="2">
      <formula>0</formula>
    </cfRule>
  </conditionalFormatting>
  <conditionalFormatting sqref="C57">
    <cfRule type="cellIs" priority="103" operator="greaterThan" dxfId="3">
      <formula>0</formula>
    </cfRule>
    <cfRule type="cellIs" priority="104" operator="lessThan" dxfId="2">
      <formula>0</formula>
    </cfRule>
  </conditionalFormatting>
  <conditionalFormatting sqref="C58">
    <cfRule type="cellIs" priority="105" operator="greaterThan" dxfId="3">
      <formula>0</formula>
    </cfRule>
    <cfRule type="cellIs" priority="106" operator="lessThan" dxfId="2">
      <formula>0</formula>
    </cfRule>
  </conditionalFormatting>
  <conditionalFormatting sqref="C59">
    <cfRule type="cellIs" priority="107" operator="greaterThan" dxfId="3">
      <formula>0</formula>
    </cfRule>
    <cfRule type="cellIs" priority="108" operator="lessThan" dxfId="2">
      <formula>0</formula>
    </cfRule>
  </conditionalFormatting>
  <conditionalFormatting sqref="C60">
    <cfRule type="cellIs" priority="109" operator="greaterThan" dxfId="3">
      <formula>0</formula>
    </cfRule>
    <cfRule type="cellIs" priority="110" operator="lessThan" dxfId="2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F3D4C"/>
    <outlinePr summaryBelow="1" summaryRight="1"/>
    <pageSetUpPr fitToPage="1"/>
  </sheetPr>
  <dimension ref="A1:L28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40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RAPOR — Kira ve Avans Takip + Dekont</t>
        </is>
      </c>
    </row>
    <row r="3" ht="28" customHeight="1">
      <c r="A3" s="33" t="inlineStr">
        <is>
          <t>Dönemsel Kira Avans ve Dekont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24" t="inlineStr">
        <is>
          <t>KARAR</t>
        </is>
      </c>
      <c r="B7" s="38">
        <f>PANO!B4</f>
        <v/>
      </c>
    </row>
    <row r="9">
      <c r="A9" s="7" t="inlineStr">
        <is>
          <t>Açık Kuyruk</t>
        </is>
      </c>
      <c r="B9" s="32">
        <f>kad_acikAdet</f>
        <v/>
      </c>
    </row>
    <row r="10">
      <c r="A10" s="7" t="inlineStr">
        <is>
          <t>Açık Tutar</t>
        </is>
      </c>
      <c r="B10" s="31">
        <f>kad_acikTutar</f>
        <v/>
      </c>
    </row>
    <row r="11">
      <c r="A11" s="7" t="inlineStr">
        <is>
          <t>Gecikme Maliyeti</t>
        </is>
      </c>
      <c r="B11" s="31">
        <f>kad_gecikmeMaliyeti</f>
        <v/>
      </c>
    </row>
    <row r="12">
      <c r="A12" s="7" t="inlineStr">
        <is>
          <t>Yetim</t>
        </is>
      </c>
      <c r="B12" s="32">
        <f>kad_yetimKayit</f>
        <v/>
      </c>
    </row>
    <row r="13">
      <c r="A13" s="7" t="inlineStr">
        <is>
          <t>Geçersiz Geçiş</t>
        </is>
      </c>
      <c r="B13" s="32">
        <f>kad_gecersizGecis</f>
        <v/>
      </c>
    </row>
    <row r="14">
      <c r="A14" s="7" t="inlineStr">
        <is>
          <t>Zincir Kırık</t>
        </is>
      </c>
      <c r="B14" s="32">
        <f>kad_zincirKirik</f>
        <v/>
      </c>
    </row>
    <row r="15">
      <c r="A15" s="7" t="inlineStr">
        <is>
          <t>Tahmin Aralık</t>
        </is>
      </c>
      <c r="B15" s="31">
        <f>kad_tahminAralik</f>
        <v/>
      </c>
    </row>
    <row r="16">
      <c r="A16" s="7" t="inlineStr">
        <is>
          <t>Avans Mahsup</t>
        </is>
      </c>
      <c r="B16" s="24">
        <f>kad_avansMahsup</f>
        <v/>
      </c>
    </row>
    <row r="17">
      <c r="A17" s="7" t="inlineStr">
        <is>
          <t>Dekont Özeti</t>
        </is>
      </c>
      <c r="B17" s="24">
        <f>kad_dekont</f>
        <v/>
      </c>
    </row>
    <row r="18">
      <c r="A18" s="7" t="inlineStr">
        <is>
          <t>Kanıt Özeti</t>
        </is>
      </c>
      <c r="B18" s="24">
        <f>kad_kanitRaporu</f>
        <v/>
      </c>
    </row>
    <row r="20">
      <c r="A20" s="16" t="inlineStr">
        <is>
          <t>Varsayımlar</t>
        </is>
      </c>
    </row>
    <row r="21">
      <c r="A21" s="8" t="inlineStr">
        <is>
          <t>Durum haritası AYARLAR'dadır. Geçersiz geçiş engellenmez, görünür kılınır. Avans mahsup kart bazında SUMIFS ile türetilir. Bu çıktı karar destektir; kesin mali/hukuki görüş yerine geçmez.</t>
        </is>
      </c>
    </row>
    <row r="23">
      <c r="A23" s="16" t="inlineStr">
        <is>
          <t>Önerilen Aksiyonlar</t>
        </is>
      </c>
    </row>
    <row r="24">
      <c r="A24" s="7" t="inlineStr">
        <is>
          <t>1. Yetim kayıtları KARTLAR'a bağlayın veya satırı düzeltin.</t>
        </is>
      </c>
    </row>
    <row r="25">
      <c r="A25" s="7" t="inlineStr">
        <is>
          <t>2. Geçersiz geçişleri durum haritasına uygun ilerletin.</t>
        </is>
      </c>
    </row>
    <row r="26">
      <c r="A26" s="7" t="inlineStr">
        <is>
          <t>3. Avans aşım bayraklarını mahsup tutarı ile kapatın; DEKONT'tan baskı alın.</t>
        </is>
      </c>
    </row>
    <row r="28">
      <c r="A28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1:H21"/>
    <mergeCell ref="A1:L1"/>
    <mergeCell ref="A3:J3"/>
  </mergeCells>
  <conditionalFormatting sqref="B7">
    <cfRule type="cellIs" priority="1" operator="equal" dxfId="0">
      <formula>"UYGUN"</formula>
    </cfRule>
    <cfRule type="cellIs" priority="2" operator="equal" dxfId="1">
      <formula>"DİKKAT"</formula>
    </cfRule>
    <cfRule type="cellIs" priority="3" operator="equal" dxfId="2">
      <formula>"KRİTİK"</formula>
    </cfRule>
    <cfRule type="cellIs" priority="4" operator="equal" dxfId="2">
      <formula>"VERİ YOK"</formula>
    </cfRule>
  </conditionalFormatting>
  <conditionalFormatting sqref="B9">
    <cfRule type="cellIs" priority="5" operator="greaterThan" dxfId="3">
      <formula>0</formula>
    </cfRule>
  </conditionalFormatting>
  <conditionalFormatting sqref="B10">
    <cfRule type="cellIs" priority="6" operator="greaterThan" dxfId="3">
      <formula>0</formula>
    </cfRule>
  </conditionalFormatting>
  <conditionalFormatting sqref="B11">
    <cfRule type="cellIs" priority="7" operator="greaterThan" dxfId="3">
      <formula>0</formula>
    </cfRule>
  </conditionalFormatting>
  <conditionalFormatting sqref="B12">
    <cfRule type="cellIs" priority="8" operator="greaterThan" dxfId="3">
      <formula>0</formula>
    </cfRule>
  </conditionalFormatting>
  <conditionalFormatting sqref="B13">
    <cfRule type="cellIs" priority="9" operator="greaterThan" dxfId="3">
      <formula>0</formula>
    </cfRule>
  </conditionalFormatting>
  <conditionalFormatting sqref="B14">
    <cfRule type="cellIs" priority="10" operator="greaterThan" dxfId="3">
      <formula>0</formula>
    </cfRule>
  </conditionalFormatting>
  <conditionalFormatting sqref="B15">
    <cfRule type="cellIs" priority="11" operator="greaterThan" dxfId="3">
      <formula>0</formula>
    </cfRule>
  </conditionalFormatting>
  <conditionalFormatting sqref="B16">
    <cfRule type="cellIs" priority="12" operator="greaterThan" dxfId="3">
      <formula>0</formula>
    </cfRule>
  </conditionalFormatting>
  <conditionalFormatting sqref="B17">
    <cfRule type="cellIs" priority="13" operator="greaterThan" dxfId="3">
      <formula>0</formula>
    </cfRule>
  </conditionalFormatting>
  <conditionalFormatting sqref="B18">
    <cfRule type="cellIs" priority="14" operator="greaterThan" dxfId="3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5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6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&amp;LKira ve Avans Takip + Dekont | Kanıt&amp;CExcelArşiv&amp;RSayfa &amp;P / &amp;N</oddFooter>
    <evenHeader/>
    <evenFooter>&amp;LKira ve Avans Takip + Dekont | Kanıt&amp;CExcelArşiv&amp;RSayfa &amp;P / &amp;N</evenFooter>
    <firstHeader/>
    <firstFooter/>
  </headerFooter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Kira ve Avans Takip + Dekont</t>
        </is>
      </c>
    </row>
    <row r="3">
      <c r="A3" s="39" t="inlineStr">
        <is>
          <t>Canlı Kontrol Paneli</t>
        </is>
      </c>
    </row>
    <row r="5">
      <c r="A5" s="7" t="inlineStr">
        <is>
          <t>İşlem sayısı</t>
        </is>
      </c>
      <c r="B5" s="32">
        <f>COUNTA(tblAkis[IslemId])</f>
        <v/>
      </c>
    </row>
    <row r="6">
      <c r="A6" s="7" t="inlineStr">
        <is>
          <t>Kart sayısı</t>
        </is>
      </c>
      <c r="B6" s="32">
        <f>COUNTA(tblKartlar[KartId])</f>
        <v/>
      </c>
    </row>
    <row r="7">
      <c r="A7" s="7" t="inlineStr">
        <is>
          <t>Bekliyor</t>
        </is>
      </c>
      <c r="B7" s="32">
        <f>COUNTIF(tblAkis[Durum],"BEKLIYOR")</f>
        <v/>
      </c>
    </row>
    <row r="8">
      <c r="A8" s="7" t="inlineStr">
        <is>
          <t>Tahsil</t>
        </is>
      </c>
      <c r="B8" s="32">
        <f>COUNTIF(tblAkis[Durum],"TAHSIL")</f>
        <v/>
      </c>
    </row>
    <row r="9">
      <c r="A9" s="7" t="inlineStr">
        <is>
          <t>Mahsup</t>
        </is>
      </c>
      <c r="B9" s="32">
        <f>COUNTIF(tblAkis[Durum],"MAHSUP")</f>
        <v/>
      </c>
    </row>
    <row r="10">
      <c r="A10" s="7" t="inlineStr">
        <is>
          <t>Kapalı</t>
        </is>
      </c>
      <c r="B10" s="32">
        <f>COUNTIF(tblAkis[Durum],"KAPALI")</f>
        <v/>
      </c>
    </row>
    <row r="11">
      <c r="A11" s="7" t="inlineStr">
        <is>
          <t>İptal</t>
        </is>
      </c>
      <c r="B11" s="32">
        <f>COUNTIF(tblAkis[Durum],"IPTAL")</f>
        <v/>
      </c>
    </row>
    <row r="12">
      <c r="A12" s="7" t="inlineStr">
        <is>
          <t>Yetim</t>
        </is>
      </c>
      <c r="B12" s="32">
        <f>kad_yetimKayit</f>
        <v/>
      </c>
    </row>
    <row r="13">
      <c r="A13" s="7" t="inlineStr">
        <is>
          <t>Geçersiz</t>
        </is>
      </c>
      <c r="B13" s="32">
        <f>kad_gecersizGecis</f>
        <v/>
      </c>
    </row>
    <row r="14">
      <c r="A14" s="7" t="inlineStr">
        <is>
          <t>Zincir kırık</t>
        </is>
      </c>
      <c r="B14" s="32">
        <f>kad_zincirKirik</f>
        <v/>
      </c>
    </row>
    <row r="15">
      <c r="A15" s="7" t="inlineStr">
        <is>
          <t>Boş karar yolu</t>
        </is>
      </c>
      <c r="B15" s="24">
        <f>IF(B5=0,"VERİ YOK","VERİ VAR")</f>
        <v/>
      </c>
    </row>
    <row r="16">
      <c r="A16" s="7" t="inlineStr">
        <is>
          <t>Kalite skoru</t>
        </is>
      </c>
      <c r="B16" s="32">
        <f>HESAP!C49</f>
        <v/>
      </c>
    </row>
    <row r="17">
      <c r="A17" s="7" t="inlineStr">
        <is>
          <t>Açık tutar</t>
        </is>
      </c>
      <c r="B17" s="31">
        <f>kad_acikTutar</f>
        <v/>
      </c>
    </row>
    <row r="18">
      <c r="A18" s="7" t="inlineStr">
        <is>
          <t>Gecikme maliyeti</t>
        </is>
      </c>
      <c r="B18" s="31">
        <f>kad_gecikmeMaliyeti</f>
        <v/>
      </c>
    </row>
    <row r="19">
      <c r="A19" s="7" t="inlineStr">
        <is>
          <t>Kapalı düşüm</t>
        </is>
      </c>
      <c r="B19" s="32">
        <f>kad_kapaliDusum</f>
        <v/>
      </c>
    </row>
    <row r="20">
      <c r="A20" s="7" t="inlineStr">
        <is>
          <t>Avans kalan</t>
        </is>
      </c>
      <c r="B20" s="31">
        <f>SUM(tblAvans[KalanBakiye])</f>
        <v/>
      </c>
    </row>
    <row r="21">
      <c r="A21" s="7" t="inlineStr">
        <is>
          <t>Avans adet</t>
        </is>
      </c>
      <c r="B21" s="32">
        <f>COUNTA(tblAvans[AvansId])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5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6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Kira ve Avans Takip + Dekont</t>
        </is>
      </c>
    </row>
    <row r="3">
      <c r="A3" s="39" t="inlineStr">
        <is>
          <t>Örnek Senaryo Açıklaması</t>
        </is>
      </c>
    </row>
    <row r="4">
      <c r="A4" s="8" t="inlineStr">
        <is>
          <t>Dosyada 8 kart, 8 avans ve 28 akış satırı vardır. Yetim (22, 25), geçersiz geçiş (18, 20) ve zincir kırık (12, 19) kasıtlıdır. Avans mahsup kart bazında toplanır; DEKONT yazdırılabilir. KARTLAR, AKIS ve AVANS'ı temizleyip kendi verinizi girebilirsiniz.</t>
        </is>
      </c>
    </row>
    <row r="6">
      <c r="A6" s="7" t="inlineStr">
        <is>
          <t>Örnek özet (bilgi)</t>
        </is>
      </c>
    </row>
    <row r="7">
      <c r="A7" s="7" t="inlineStr">
        <is>
          <t>Durumlar: Bekliyor/Tahsil/Mahsup/Kapalı/İptal — kapalılar kuyruktan düşer</t>
        </is>
      </c>
    </row>
    <row r="9">
      <c r="A9" s="7" t="inlineStr">
        <is>
          <t>Ölçek sözleşmesi</t>
        </is>
      </c>
      <c r="B9" s="20" t="n">
        <v>5000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F3D4C"/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3" max="3"/>
    <col width="12" customWidth="1" min="5" max="5"/>
    <col width="14" customWidth="1" min="7" max="7"/>
    <col width="14" customWidth="1" min="9" max="9"/>
  </cols>
  <sheetData>
    <row r="1" ht="26" customHeight="1">
      <c r="A1" s="1" t="inlineStr">
        <is>
          <t>LISTELER — Kira ve Avans Takip + Dekont</t>
        </is>
      </c>
    </row>
    <row r="3">
      <c r="A3" s="16" t="inlineStr">
        <is>
          <t>Durum Listesi</t>
        </is>
      </c>
      <c r="C3" s="16" t="inlineStr">
        <is>
          <t>İzinli Geçişler</t>
        </is>
      </c>
      <c r="E3" s="24" t="inlineStr">
        <is>
          <t>Evet / Hayır</t>
        </is>
      </c>
      <c r="G3" s="24" t="inlineStr">
        <is>
          <t>Taşınmaz Tip</t>
        </is>
      </c>
      <c r="I3" s="24" t="inlineStr">
        <is>
          <t>Kart Kimlik</t>
        </is>
      </c>
    </row>
    <row r="6">
      <c r="A6" s="30" t="inlineStr">
        <is>
          <t>DurumId</t>
        </is>
      </c>
      <c r="C6" s="30" t="inlineStr">
        <is>
          <t>Gecis</t>
        </is>
      </c>
      <c r="E6" s="30" t="inlineStr">
        <is>
          <t>Secim</t>
        </is>
      </c>
      <c r="G6" s="30" t="inlineStr">
        <is>
          <t>Tip</t>
        </is>
      </c>
      <c r="I6" s="30" t="inlineStr">
        <is>
          <t>KartId</t>
        </is>
      </c>
    </row>
    <row r="7">
      <c r="A7" s="26" t="inlineStr">
        <is>
          <t>BEKLIYOR</t>
        </is>
      </c>
      <c r="C7" s="26" t="inlineStr">
        <is>
          <t>BEKLIYOR|TAHSIL</t>
        </is>
      </c>
      <c r="E7" s="26" t="inlineStr">
        <is>
          <t>EVET</t>
        </is>
      </c>
      <c r="G7" s="26" t="inlineStr">
        <is>
          <t>Daire</t>
        </is>
      </c>
      <c r="I7" s="26" t="inlineStr">
        <is>
          <t>KIR-00001</t>
        </is>
      </c>
    </row>
    <row r="8">
      <c r="A8" s="26" t="inlineStr">
        <is>
          <t>TAHSIL</t>
        </is>
      </c>
      <c r="C8" s="26" t="inlineStr">
        <is>
          <t>BEKLIYOR|IPTAL</t>
        </is>
      </c>
      <c r="E8" s="26" t="inlineStr">
        <is>
          <t>HAYIR</t>
        </is>
      </c>
      <c r="G8" s="26" t="inlineStr">
        <is>
          <t>Dükkan</t>
        </is>
      </c>
      <c r="I8" s="26" t="inlineStr">
        <is>
          <t>KIR-00002</t>
        </is>
      </c>
    </row>
    <row r="9">
      <c r="A9" s="26" t="inlineStr">
        <is>
          <t>MAHSUP</t>
        </is>
      </c>
      <c r="C9" s="26" t="inlineStr">
        <is>
          <t>TAHSIL|MAHSUP</t>
        </is>
      </c>
      <c r="G9" s="26" t="inlineStr">
        <is>
          <t>Ofis</t>
        </is>
      </c>
      <c r="I9" s="26" t="inlineStr">
        <is>
          <t>KIR-00003</t>
        </is>
      </c>
    </row>
    <row r="10">
      <c r="A10" s="26" t="inlineStr">
        <is>
          <t>KAPALI</t>
        </is>
      </c>
      <c r="C10" s="26" t="inlineStr">
        <is>
          <t>TAHSIL|KAPALI</t>
        </is>
      </c>
      <c r="G10" s="26" t="inlineStr">
        <is>
          <t>Villa</t>
        </is>
      </c>
      <c r="I10" s="26" t="inlineStr">
        <is>
          <t>KIR-00004</t>
        </is>
      </c>
    </row>
    <row r="11">
      <c r="A11" s="26" t="inlineStr">
        <is>
          <t>IPTAL</t>
        </is>
      </c>
      <c r="C11" s="26" t="inlineStr">
        <is>
          <t>MAHSUP|KAPALI</t>
        </is>
      </c>
      <c r="G11" s="26" t="inlineStr">
        <is>
          <t>Loft</t>
        </is>
      </c>
      <c r="I11" s="26" t="inlineStr">
        <is>
          <t>KIR-00005</t>
        </is>
      </c>
    </row>
    <row r="12">
      <c r="G12" s="26" t="inlineStr">
        <is>
          <t>Depo</t>
        </is>
      </c>
      <c r="I12" s="26" t="inlineStr">
        <is>
          <t>KIR-00006</t>
        </is>
      </c>
    </row>
    <row r="13">
      <c r="I13" s="26" t="inlineStr">
        <is>
          <t>KIR-00007</t>
        </is>
      </c>
    </row>
    <row r="14">
      <c r="I14" s="26" t="inlineStr">
        <is>
          <t>KIR-00008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L1"/>
  </mergeCells>
  <dataValidations count="10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1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0F3D4C"/>
    <outlinePr summaryBelow="1" summaryRight="1"/>
    <pageSetUpPr/>
  </sheetPr>
  <dimension ref="A1:N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28" customWidth="1" min="4" max="4"/>
    <col width="14" customWidth="1" min="5" max="5"/>
    <col width="28" customWidth="1" min="6" max="6"/>
    <col width="26" customWidth="1" min="8" max="8"/>
    <col width="55" customWidth="1" min="9" max="9"/>
  </cols>
  <sheetData>
    <row r="1" ht="26" customHeight="1">
      <c r="A1" s="1" t="inlineStr">
        <is>
          <t>AYARLAR — Kira ve Avans Takip + Dekont</t>
        </is>
      </c>
    </row>
    <row r="3" ht="20" customHeight="1">
      <c r="A3" s="22" t="inlineStr">
        <is>
          <t>Tek kaynak parametreler + durum haritası (A01/A06)</t>
        </is>
      </c>
    </row>
    <row r="5" ht="30" customHeight="1">
      <c r="A5" s="25" t="inlineStr">
        <is>
          <t>anahtar</t>
        </is>
      </c>
      <c r="B5" s="25" t="inlineStr">
        <is>
          <t>deger</t>
        </is>
      </c>
      <c r="C5" s="25" t="inlineStr">
        <is>
          <t>birim</t>
        </is>
      </c>
      <c r="D5" s="25" t="inlineStr">
        <is>
          <t>kaynak</t>
        </is>
      </c>
      <c r="E5" s="25" t="inlineStr">
        <is>
          <t>yururluk_tarihi</t>
        </is>
      </c>
      <c r="F5" s="25" t="inlineStr">
        <is>
          <t>aciklama</t>
        </is>
      </c>
    </row>
    <row r="6">
      <c r="A6" s="7" t="inlineStr">
        <is>
          <t>raporTarihi</t>
        </is>
      </c>
      <c r="B6" s="29" t="n">
        <v>46248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27" t="n">
        <v>1000</v>
      </c>
      <c r="C7" s="7" t="inlineStr">
        <is>
          <t>TL</t>
        </is>
      </c>
      <c r="D7" s="7" t="inlineStr">
        <is>
          <t>İş kuralı — zincir sapma</t>
        </is>
      </c>
      <c r="E7" s="7" t="inlineStr">
        <is>
          <t>01.01.2026</t>
        </is>
      </c>
      <c r="F7" s="8" t="inlineStr">
        <is>
          <t>ZİNCİR KIRIK eşiği</t>
        </is>
      </c>
    </row>
    <row r="8">
      <c r="A8" s="7" t="inlineStr">
        <is>
          <t>kad_esikGecikmeGun</t>
        </is>
      </c>
      <c r="B8" s="40" t="n">
        <v>30</v>
      </c>
      <c r="C8" s="7" t="inlineStr">
        <is>
          <t>gün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Gecikme eşiği</t>
        </is>
      </c>
    </row>
    <row r="9">
      <c r="A9" s="7" t="inlineStr">
        <is>
          <t>kad_esikGeciken</t>
        </is>
      </c>
      <c r="B9" s="40" t="n">
        <v>5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Karar eşiği geciken</t>
        </is>
      </c>
    </row>
    <row r="10">
      <c r="A10" s="7" t="inlineStr">
        <is>
          <t>kad_gecikmeOranGun</t>
        </is>
      </c>
      <c r="B10" s="41" t="n">
        <v>0.0005</v>
      </c>
      <c r="C10" s="7" t="inlineStr">
        <is>
          <t>oran</t>
        </is>
      </c>
      <c r="D10" s="7" t="inlineStr">
        <is>
          <t>Finans varsayımı</t>
        </is>
      </c>
      <c r="E10" s="7" t="inlineStr">
        <is>
          <t>01.01.2026</t>
        </is>
      </c>
      <c r="F10" s="8" t="inlineStr">
        <is>
          <t>Günlük gecikme maliyeti oranı</t>
        </is>
      </c>
    </row>
    <row r="11">
      <c r="A11" s="7" t="inlineStr">
        <is>
          <t>kad_senaryoTemkinli</t>
        </is>
      </c>
      <c r="B11" s="41" t="n">
        <v>0.85</v>
      </c>
      <c r="C11" s="7" t="inlineStr">
        <is>
          <t>oran</t>
        </is>
      </c>
      <c r="D11" s="7" t="inlineStr">
        <is>
          <t>Senaryo motoru</t>
        </is>
      </c>
      <c r="E11" s="7" t="inlineStr">
        <is>
          <t>01.01.2026</t>
        </is>
      </c>
      <c r="F11" s="8" t="inlineStr">
        <is>
          <t>Temkinli çarpan</t>
        </is>
      </c>
    </row>
    <row r="12">
      <c r="A12" s="7" t="inlineStr">
        <is>
          <t>kad_senaryoBaz</t>
        </is>
      </c>
      <c r="B12" s="41" t="n">
        <v>1</v>
      </c>
      <c r="C12" s="7" t="inlineStr">
        <is>
          <t>oran</t>
        </is>
      </c>
      <c r="D12" s="7" t="inlineStr">
        <is>
          <t>Senaryo motoru</t>
        </is>
      </c>
      <c r="E12" s="7" t="inlineStr">
        <is>
          <t>01.01.2026</t>
        </is>
      </c>
      <c r="F12" s="8" t="inlineStr">
        <is>
          <t>Baz çarpan</t>
        </is>
      </c>
    </row>
    <row r="13">
      <c r="A13" s="7" t="inlineStr">
        <is>
          <t>kad_senaryoIyimser</t>
        </is>
      </c>
      <c r="B13" s="40" t="n">
        <v>1.15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İyimser çarpan</t>
        </is>
      </c>
    </row>
    <row r="14">
      <c r="A14" s="7" t="inlineStr">
        <is>
          <t>kad_tornadoOran</t>
        </is>
      </c>
      <c r="B14" s="41" t="n">
        <v>0.08</v>
      </c>
      <c r="C14" s="7" t="inlineStr">
        <is>
          <t>oran</t>
        </is>
      </c>
      <c r="D14" s="7" t="inlineStr">
        <is>
          <t>Duyarlılık</t>
        </is>
      </c>
      <c r="E14" s="7" t="inlineStr">
        <is>
          <t>01.01.2026</t>
        </is>
      </c>
      <c r="F14" s="8" t="inlineStr">
        <is>
          <t>Tornado etki oranı</t>
        </is>
      </c>
    </row>
    <row r="15">
      <c r="A15" s="7" t="inlineStr">
        <is>
          <t>kad_yuzdelikOran</t>
        </is>
      </c>
      <c r="B15" s="41" t="n">
        <v>0.9</v>
      </c>
      <c r="C15" s="7" t="inlineStr">
        <is>
          <t>oran</t>
        </is>
      </c>
      <c r="D15" s="7" t="inlineStr">
        <is>
          <t>İstatistik kuralı</t>
        </is>
      </c>
      <c r="E15" s="7" t="inlineStr">
        <is>
          <t>01.01.2026</t>
        </is>
      </c>
      <c r="F15" s="8" t="inlineStr">
        <is>
          <t>PERCENTILE oranı</t>
        </is>
      </c>
    </row>
    <row r="16">
      <c r="A16" s="7" t="inlineStr">
        <is>
          <t>kad_olcekHedef</t>
        </is>
      </c>
      <c r="B16" s="40" t="n">
        <v>5000</v>
      </c>
      <c r="C16" s="7" t="inlineStr">
        <is>
          <t>satir</t>
        </is>
      </c>
      <c r="D16" s="7" t="inlineStr">
        <is>
          <t>Manda A3 Ö1</t>
        </is>
      </c>
      <c r="E16" s="7" t="inlineStr">
        <is>
          <t>01.01.2026</t>
        </is>
      </c>
      <c r="F16" s="8" t="inlineStr">
        <is>
          <t>Ölçek sözleşmesi</t>
        </is>
      </c>
    </row>
    <row r="17">
      <c r="A17" s="7" t="inlineStr">
        <is>
          <t>kad_azamiTutar</t>
        </is>
      </c>
      <c r="B17" s="27" t="n">
        <v>50000000</v>
      </c>
      <c r="C17" s="7" t="inlineStr">
        <is>
          <t>TL</t>
        </is>
      </c>
      <c r="D17" s="7" t="inlineStr">
        <is>
          <t>İç politika — uç değer</t>
        </is>
      </c>
      <c r="E17" s="7" t="inlineStr">
        <is>
          <t>01.01.2026</t>
        </is>
      </c>
      <c r="F17" s="8" t="inlineStr">
        <is>
          <t>Azami makul</t>
        </is>
      </c>
    </row>
    <row r="18">
      <c r="A18" s="7" t="inlineStr">
        <is>
          <t>kad_mahsupTolerans</t>
        </is>
      </c>
      <c r="B18" s="27" t="n">
        <v>100</v>
      </c>
      <c r="C18" s="7" t="inlineStr">
        <is>
          <t>TL</t>
        </is>
      </c>
      <c r="D18" s="7" t="inlineStr">
        <is>
          <t>Avans mahsup eşiği</t>
        </is>
      </c>
      <c r="E18" s="7" t="inlineStr">
        <is>
          <t>01.01.2026</t>
        </is>
      </c>
      <c r="F18" s="8" t="inlineStr">
        <is>
          <t>Aşım = mahsup &gt; anapara + tolerans</t>
        </is>
      </c>
    </row>
    <row r="19">
      <c r="A19" s="7" t="inlineStr">
        <is>
          <t>kad_durumHaritasi</t>
        </is>
      </c>
      <c r="B19" s="26" t="inlineStr">
        <is>
          <t>AYARLAR durum tablosu</t>
        </is>
      </c>
      <c r="C19" s="7" t="inlineStr">
        <is>
          <t>metin</t>
        </is>
      </c>
      <c r="D19" s="7" t="inlineStr">
        <is>
          <t>SPEC akis.durum_haritasi</t>
        </is>
      </c>
      <c r="E19" s="7" t="inlineStr">
        <is>
          <t>01.01.2026</t>
        </is>
      </c>
      <c r="F19" s="8" t="inlineStr">
        <is>
          <t>Durum makinesi kaynağı</t>
        </is>
      </c>
    </row>
    <row r="20">
      <c r="A20" s="7" t="inlineStr">
        <is>
          <t>kad_kuyrukOzeti_metin</t>
        </is>
      </c>
      <c r="B20" s="26" t="inlineStr">
        <is>
          <t>KUYRUKLAR canlı özet</t>
        </is>
      </c>
      <c r="C20" s="7" t="inlineStr">
        <is>
          <t>metin</t>
        </is>
      </c>
      <c r="D20" s="7" t="inlineStr">
        <is>
          <t>A05 kuyruk</t>
        </is>
      </c>
      <c r="E20" s="7" t="inlineStr">
        <is>
          <t>01.01.2026</t>
        </is>
      </c>
      <c r="F20" s="8" t="inlineStr">
        <is>
          <t>Kuyruk görünümü</t>
        </is>
      </c>
    </row>
    <row r="21">
      <c r="A21" s="7" t="inlineStr">
        <is>
          <t>kad_kapaliDusum_metin</t>
        </is>
      </c>
      <c r="B21" s="26" t="inlineStr">
        <is>
          <t>kapali kategori kuyruktan düşer</t>
        </is>
      </c>
      <c r="C21" s="7" t="inlineStr">
        <is>
          <t>metin</t>
        </is>
      </c>
      <c r="D21" s="7" t="inlineStr">
        <is>
          <t>A06</t>
        </is>
      </c>
      <c r="E21" s="7" t="inlineStr">
        <is>
          <t>01.01.2026</t>
        </is>
      </c>
      <c r="F21" s="8" t="inlineStr">
        <is>
          <t>Kapalı düşüm kuralı</t>
        </is>
      </c>
    </row>
    <row r="22">
      <c r="A22" s="7" t="inlineStr">
        <is>
          <t>kad_kanitRaporu_metin</t>
        </is>
      </c>
      <c r="B22" s="26" t="inlineStr">
        <is>
          <t>RAPOR kanıt çıktısı</t>
        </is>
      </c>
      <c r="C22" s="7" t="inlineStr">
        <is>
          <t>metin</t>
        </is>
      </c>
      <c r="D22" s="7" t="inlineStr">
        <is>
          <t>Dönemsel rapor</t>
        </is>
      </c>
      <c r="E22" s="7" t="inlineStr">
        <is>
          <t>01.01.2026</t>
        </is>
      </c>
      <c r="F22" s="8" t="inlineStr">
        <is>
          <t>Kanıt raporu</t>
        </is>
      </c>
    </row>
    <row r="23">
      <c r="A23" s="7" t="inlineStr">
        <is>
          <t>kad_dosyaSurumu</t>
        </is>
      </c>
      <c r="B23" s="26" t="inlineStr">
        <is>
          <t>1.0.0</t>
        </is>
      </c>
      <c r="C23" s="7" t="inlineStr">
        <is>
          <t>metin</t>
        </is>
      </c>
      <c r="D23" s="7" t="inlineStr">
        <is>
          <t>Sürüm yönetimi</t>
        </is>
      </c>
      <c r="E23" s="7" t="inlineStr">
        <is>
          <t>01.01.2026</t>
        </is>
      </c>
      <c r="F23" s="8" t="inlineStr">
        <is>
          <t>Ürün sürümü</t>
        </is>
      </c>
    </row>
    <row r="24">
      <c r="A24" s="7" t="inlineStr">
        <is>
          <t>kad_malikAdi</t>
        </is>
      </c>
      <c r="B24" s="26" t="inlineStr">
        <is>
          <t>Örnek Malik</t>
        </is>
      </c>
      <c r="C24" s="7" t="inlineStr">
        <is>
          <t>metin</t>
        </is>
      </c>
      <c r="D24" s="7" t="inlineStr">
        <is>
          <t>Kullanıcı girişi</t>
        </is>
      </c>
      <c r="E24" s="7" t="inlineStr">
        <is>
          <t>01.01.2026</t>
        </is>
      </c>
      <c r="F24" s="8" t="inlineStr">
        <is>
          <t>Malik unvanı</t>
        </is>
      </c>
    </row>
    <row r="28">
      <c r="H28" s="5" t="inlineStr">
        <is>
          <t>Durum Haritası</t>
        </is>
      </c>
    </row>
    <row r="29" ht="30" customHeight="1">
      <c r="H29" s="25" t="inlineStr">
        <is>
          <t>durum_id</t>
        </is>
      </c>
      <c r="I29" s="25" t="inlineStr">
        <is>
          <t>durum_adi</t>
        </is>
      </c>
      <c r="J29" s="25" t="inlineStr">
        <is>
          <t>sira</t>
        </is>
      </c>
      <c r="K29" s="25" t="inlineStr">
        <is>
          <t>izinli_sonraki_durumlar</t>
        </is>
      </c>
      <c r="L29" s="25" t="inlineStr">
        <is>
          <t>kategori</t>
        </is>
      </c>
    </row>
    <row r="30">
      <c r="H30" s="7" t="inlineStr">
        <is>
          <t>BEKLIYOR</t>
        </is>
      </c>
      <c r="I30" s="7" t="inlineStr">
        <is>
          <t>Bekliyor</t>
        </is>
      </c>
      <c r="J30" s="20" t="n">
        <v>1</v>
      </c>
      <c r="K30" s="7" t="inlineStr">
        <is>
          <t>TAHSIL|IPTAL</t>
        </is>
      </c>
      <c r="L30" s="7" t="inlineStr">
        <is>
          <t>acik</t>
        </is>
      </c>
    </row>
    <row r="31">
      <c r="H31" s="7" t="inlineStr">
        <is>
          <t>TAHSIL</t>
        </is>
      </c>
      <c r="I31" s="7" t="inlineStr">
        <is>
          <t>Tahsil</t>
        </is>
      </c>
      <c r="J31" s="20" t="n">
        <v>2</v>
      </c>
      <c r="K31" s="7" t="inlineStr">
        <is>
          <t>MAHSUP|KAPALI</t>
        </is>
      </c>
      <c r="L31" s="7" t="inlineStr">
        <is>
          <t>acik</t>
        </is>
      </c>
    </row>
    <row r="32">
      <c r="H32" s="7" t="inlineStr">
        <is>
          <t>MAHSUP</t>
        </is>
      </c>
      <c r="I32" s="7" t="inlineStr">
        <is>
          <t>Mahsup</t>
        </is>
      </c>
      <c r="J32" s="20" t="n">
        <v>3</v>
      </c>
      <c r="K32" s="7" t="inlineStr">
        <is>
          <t>KAPALI</t>
        </is>
      </c>
      <c r="L32" s="7" t="inlineStr">
        <is>
          <t>acik</t>
        </is>
      </c>
    </row>
    <row r="33">
      <c r="H33" s="7" t="inlineStr">
        <is>
          <t>KAPALI</t>
        </is>
      </c>
      <c r="I33" s="7" t="inlineStr">
        <is>
          <t>Kapalı</t>
        </is>
      </c>
      <c r="J33" s="20" t="n">
        <v>4</v>
      </c>
      <c r="K33" s="7" t="inlineStr"/>
      <c r="L33" s="7" t="inlineStr">
        <is>
          <t>kapali</t>
        </is>
      </c>
    </row>
    <row r="34">
      <c r="H34" s="7" t="inlineStr">
        <is>
          <t>IPTAL</t>
        </is>
      </c>
      <c r="I34" s="7" t="inlineStr">
        <is>
          <t>İptal</t>
        </is>
      </c>
      <c r="J34" s="20" t="n">
        <v>5</v>
      </c>
      <c r="K34" s="7" t="inlineStr"/>
      <c r="L34" s="7" t="inlineStr">
        <is>
          <t>kapali</t>
        </is>
      </c>
    </row>
    <row r="38">
      <c r="H38" s="16" t="inlineStr">
        <is>
          <t>Motor Çıktıları</t>
        </is>
      </c>
    </row>
    <row r="39">
      <c r="H39" s="30" t="inlineStr">
        <is>
          <t>anahtar</t>
        </is>
      </c>
      <c r="I39" s="30" t="inlineStr">
        <is>
          <t>deger</t>
        </is>
      </c>
    </row>
    <row r="40">
      <c r="H40" s="7" t="inlineStr">
        <is>
          <t>kad_acikAdet</t>
        </is>
      </c>
      <c r="I40" s="8">
        <f>HESAP!C19</f>
        <v/>
      </c>
    </row>
    <row r="41">
      <c r="H41" s="7" t="inlineStr">
        <is>
          <t>kad_acikTutar</t>
        </is>
      </c>
      <c r="I41" s="8">
        <f>HESAP!C21</f>
        <v/>
      </c>
    </row>
    <row r="42">
      <c r="H42" s="7" t="inlineStr">
        <is>
          <t>kad_gecikenAdet</t>
        </is>
      </c>
      <c r="I42" s="8">
        <f>HESAP!C31</f>
        <v/>
      </c>
    </row>
    <row r="43">
      <c r="H43" s="7" t="inlineStr">
        <is>
          <t>kad_gecikmeMaliyeti</t>
        </is>
      </c>
      <c r="I43" s="8">
        <f>HESAP!C33</f>
        <v/>
      </c>
    </row>
    <row r="44">
      <c r="H44" s="7" t="inlineStr">
        <is>
          <t>kad_yetimKayit</t>
        </is>
      </c>
      <c r="I44" s="8">
        <f>HESAP!C22</f>
        <v/>
      </c>
    </row>
    <row r="45">
      <c r="H45" s="7" t="inlineStr">
        <is>
          <t>kad_gecersizGecis</t>
        </is>
      </c>
      <c r="I45" s="8">
        <f>HESAP!C23</f>
        <v/>
      </c>
    </row>
    <row r="46">
      <c r="H46" s="7" t="inlineStr">
        <is>
          <t>kad_zincirKirik</t>
        </is>
      </c>
      <c r="I46" s="8">
        <f>HESAP!C24</f>
        <v/>
      </c>
    </row>
    <row r="47">
      <c r="H47" s="7" t="inlineStr">
        <is>
          <t>kad_yasKova</t>
        </is>
      </c>
      <c r="I47" s="8">
        <f>HESAP!C48</f>
        <v/>
      </c>
    </row>
    <row r="48">
      <c r="H48" s="7" t="inlineStr">
        <is>
          <t>kad_tahminAralik</t>
        </is>
      </c>
      <c r="I48" s="8">
        <f>HESAP!C43</f>
        <v/>
      </c>
    </row>
    <row r="49">
      <c r="H49" s="7" t="inlineStr">
        <is>
          <t>kad_senaryoKarsilastirma</t>
        </is>
      </c>
      <c r="I49" s="8">
        <f>HESAP!C37</f>
        <v/>
      </c>
    </row>
    <row r="50">
      <c r="H50" s="7" t="inlineStr">
        <is>
          <t>kad_tornadoZirve</t>
        </is>
      </c>
      <c r="I50" s="8">
        <f>HESAP!C38</f>
        <v/>
      </c>
    </row>
    <row r="51">
      <c r="H51" s="7" t="inlineStr">
        <is>
          <t>kad_odemeOncelik</t>
        </is>
      </c>
      <c r="I51" s="8">
        <f>HESAP!C39</f>
        <v/>
      </c>
    </row>
    <row r="52">
      <c r="H52" s="7" t="inlineStr">
        <is>
          <t>kad_paretoGecikme</t>
        </is>
      </c>
      <c r="I52" s="8">
        <f>HESAP!C40</f>
        <v/>
      </c>
    </row>
    <row r="53">
      <c r="H53" s="7" t="inlineStr">
        <is>
          <t>kad_kapaliDusum</t>
        </is>
      </c>
      <c r="I53" s="8">
        <f>HESAP!C20</f>
        <v/>
      </c>
    </row>
    <row r="54">
      <c r="H54" s="7" t="inlineStr">
        <is>
          <t>kad_kuyrukOzeti</t>
        </is>
      </c>
      <c r="I54" s="8">
        <f>HESAP!C47</f>
        <v/>
      </c>
    </row>
    <row r="55">
      <c r="H55" s="7" t="inlineStr">
        <is>
          <t>kad_kanitRaporu</t>
        </is>
      </c>
      <c r="I55" s="8">
        <f>HESAP!C60</f>
        <v/>
      </c>
    </row>
    <row r="56">
      <c r="H56" s="7" t="inlineStr">
        <is>
          <t>kad_sonrakiKimlik</t>
        </is>
      </c>
      <c r="I56" s="8">
        <f>"KIR-"&amp;TEXT(COUNTA(tblKartlar[KartId])+1,"00000")</f>
        <v/>
      </c>
    </row>
    <row r="57">
      <c r="H57" s="7" t="inlineStr">
        <is>
          <t>kad_avansMahsup</t>
        </is>
      </c>
      <c r="I57" s="8">
        <f>HESAP!C59</f>
        <v/>
      </c>
    </row>
    <row r="58">
      <c r="H58" s="7" t="inlineStr">
        <is>
          <t>kad_modulO8</t>
        </is>
      </c>
      <c r="I58" s="8">
        <f>HESAP!C57</f>
        <v/>
      </c>
    </row>
    <row r="59">
      <c r="H59" s="7" t="inlineStr">
        <is>
          <t>kad_modulI2</t>
        </is>
      </c>
      <c r="I59" s="8">
        <f>HESAP!C58</f>
        <v/>
      </c>
    </row>
    <row r="62">
      <c r="H62" s="16" t="inlineStr">
        <is>
          <t>Yorumlar</t>
        </is>
      </c>
    </row>
    <row r="63">
      <c r="H63" s="7" t="inlineStr">
        <is>
          <t>kad_yorumYas</t>
        </is>
      </c>
      <c r="I63" s="8">
        <f>_xlfn.TEXTJOIN(" ",TRUE,"Yaş kovaları",kad_yasKova)</f>
        <v/>
      </c>
    </row>
    <row r="64">
      <c r="H64" s="7" t="inlineStr">
        <is>
          <t>kad_yorumGecikme</t>
        </is>
      </c>
      <c r="I64" s="8">
        <f>_xlfn.TEXTJOIN(" ",TRUE,"Gecikme maliyeti",TEXT(kad_gecikmeMaliyeti,"0.00"),"TL")</f>
        <v/>
      </c>
    </row>
    <row r="65">
      <c r="H65" s="7" t="inlineStr">
        <is>
          <t>kad_yorumTahmin</t>
        </is>
      </c>
      <c r="I65" s="8">
        <f>_xlfn.TEXTJOIN(" ",TRUE,"Tahmin aralık",TEXT(kad_tahminAralik,"0.00"),"TL")</f>
        <v/>
      </c>
    </row>
    <row r="66">
      <c r="H66" s="7" t="inlineStr">
        <is>
          <t>kad_yorumSenaryo</t>
        </is>
      </c>
      <c r="I66" s="8">
        <f>_xlfn.TEXTJOIN(" ",TRUE,"Senaryo farkı",TEXT(kad_senaryoKarsilastirma,"0.00"),"TL")</f>
        <v/>
      </c>
    </row>
    <row r="67">
      <c r="H67" s="7" t="inlineStr">
        <is>
          <t>kad_yorumTornado</t>
        </is>
      </c>
      <c r="I67" s="8">
        <f>_xlfn.TEXTJOIN(" ",TRUE,"Tornado zirve",TEXT(kad_tornadoZirve,"0.00"),"TL")</f>
        <v/>
      </c>
    </row>
    <row r="68">
      <c r="H68" s="7" t="inlineStr">
        <is>
          <t>kad_yorumOncelik</t>
        </is>
      </c>
      <c r="I68" s="8">
        <f>_xlfn.TEXTJOIN(" ",TRUE,"Ödeme öncelik havuzu",TEXT(kad_odemeOncelik,"0.00"),"TL")</f>
        <v/>
      </c>
    </row>
    <row r="69">
      <c r="H69" s="7" t="inlineStr">
        <is>
          <t>kad_yorumPareto</t>
        </is>
      </c>
      <c r="I69" s="8">
        <f>_xlfn.TEXTJOIN(" ",TRUE,"Pareto gecikme payı",TEXT(kad_paretoGecikme,"0.0%"))</f>
        <v/>
      </c>
    </row>
    <row r="70">
      <c r="H70" s="7" t="inlineStr">
        <is>
          <t>kad_modulO8Yorum</t>
        </is>
      </c>
      <c r="I70" s="8">
        <f>_xlfn.TEXTJOIN(" ",TRUE,"Kalite",TEXT(kad_modulO8,"0"),"yetim/geçiş/zincir düşer")</f>
        <v/>
      </c>
    </row>
    <row r="71">
      <c r="H71" s="7" t="inlineStr">
        <is>
          <t>kad_modulI2Yorum</t>
        </is>
      </c>
      <c r="I71" s="8">
        <f>_xlfn.TEXTJOIN(" ",TRUE,"Yüzdelik 90 tutar",TEXT(kad_modulI2,"0.00"),"TL")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N1"/>
  </mergeCells>
  <dataValidations count="19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0F3D4C"/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Kira ve Avans Takip + Dekont</t>
        </is>
      </c>
    </row>
    <row r="3">
      <c r="A3" s="10" t="inlineStr">
        <is>
          <t>Kullanım Kılavuzu</t>
        </is>
      </c>
    </row>
    <row r="5">
      <c r="A5" s="8" t="inlineStr">
        <is>
          <t>1. KARTLAR sayfasına kiracı kartı ekleyin; aylık kira ve taşınmazı yazın.</t>
        </is>
      </c>
    </row>
    <row r="6">
      <c r="A6" s="8" t="inlineStr">
        <is>
          <t>2. AVANS sayfasına depozito/avans anaparasını girin; mahsup otomatik toplanır.</t>
        </is>
      </c>
    </row>
    <row r="7">
      <c r="A7" s="8" t="inlineStr">
        <is>
          <t>3. AKIS sayfasına her kira olayını yazın; durum kolonunu listeden seçin.</t>
        </is>
      </c>
    </row>
    <row r="8">
      <c r="A8" s="8" t="inlineStr">
        <is>
          <t>4. Önceki durum boş bırakılırsa geçiş uyarısı çalışmaz; bilinçli geçişte doldurun.</t>
        </is>
      </c>
    </row>
    <row r="9">
      <c r="A9" s="8" t="inlineStr">
        <is>
          <t>5. Geçersiz geçiş engellenmez — kırmızı uyarı üretir (makrosuz kural).</t>
        </is>
      </c>
    </row>
    <row r="10">
      <c r="A10" s="8" t="inlineStr">
        <is>
          <t>6. Kapalı durumlar (Kapalı/İptal) açık kuyruklardan düşer.</t>
        </is>
      </c>
    </row>
    <row r="11">
      <c r="A11" s="8" t="inlineStr">
        <is>
          <t>7. Gecikme eşiği aşımı KRİTİK, yetim/geçiş DİKKAT, boş veri VERİ YOK üretir.</t>
        </is>
      </c>
    </row>
    <row r="12">
      <c r="A12" s="8" t="inlineStr">
        <is>
          <t>8. DEKONT sayfasında kart ve dönem seçin; PDF olarak yazdırın.</t>
        </is>
      </c>
    </row>
    <row r="13">
      <c r="A13" s="8" t="inlineStr">
        <is>
          <t>9. raporTarihi AYARLAR'dadır; TODAY kullanılmaz.</t>
        </is>
      </c>
    </row>
    <row r="14">
      <c r="A14" s="8" t="inlineStr">
        <is>
          <t>10. Koruma şifresi: 1234 — formül hücreleri kilitli, sarı hücreler açıktır.</t>
        </is>
      </c>
    </row>
    <row r="15">
      <c r="A15" s="8" t="inlineStr">
        <is>
          <t>11.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2">
    <mergeCell ref="A5:J5"/>
    <mergeCell ref="A8:J8"/>
    <mergeCell ref="A14:J14"/>
    <mergeCell ref="A6:J6"/>
    <mergeCell ref="A9:J9"/>
    <mergeCell ref="A1:L1"/>
    <mergeCell ref="A12:J12"/>
    <mergeCell ref="A7:J7"/>
    <mergeCell ref="A15:J15"/>
    <mergeCell ref="A10:J10"/>
    <mergeCell ref="A13:J13"/>
    <mergeCell ref="A11:J11"/>
  </mergeCells>
  <dataValidations count="11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4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2026-08-14T18:57:16Z</dcterms:created>
  <dcterms:modified xmlns:dcterms="http://purl.org/dc/terms/" xmlns:xsi="http://www.w3.org/2001/XMLSchema-instance" xsi:type="dcterms:W3CDTF">2026-09-25T15:00:16Z</dcterms:modified>
</cp:coreProperties>
</file>