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2" t="inlineStr">
        <is>
          <t>EXCELARŞİV KARAR SİSTEMİ v15.1 — ÜRETİM REFERANSI</t>
        </is>
      </c>
    </row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4" t="inlineStr">
        <is>
          <t>☰ PANO</t>
        </is>
      </c>
    </row>
    <row r="2">
      <c r="B2" s="65" t="inlineStr">
        <is>
          <t>KIRA PORTFÖYÜ GETIRI KOMUTASI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Hedef Kullanıcı: Portföy sahibi, emlak ofisi yöneticisi, gayrimenkul mali müşavir, CFO · 2026 Q3 Denetim Standardı</t>
        </is>
      </c>
    </row>
    <row r="5">
      <c r="B5" s="69" t="inlineStr">
        <is>
          <t>GÜNLÜK DOLULUK ORTALAMASI</t>
        </is>
      </c>
      <c r="C5" s="70" t="n"/>
      <c r="D5" s="71" t="inlineStr">
        <is>
          <t>KONSOLİDE</t>
        </is>
      </c>
      <c r="E5" s="72" t="inlineStr">
        <is>
          <t>AYLIK TAHSILAT TREND</t>
        </is>
      </c>
      <c r="F5" s="70" t="n"/>
      <c r="G5" s="73" t="inlineStr">
        <is>
          <t>KONTROL</t>
        </is>
      </c>
      <c r="H5" s="69" t="inlineStr">
        <is>
          <t>NET OPERASYONEL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166">
        <f>GİRDİLER!E17</f>
        <v/>
      </c>
      <c r="C7" s="70" t="n"/>
      <c r="D7" s="70" t="n"/>
      <c r="E7" s="167">
        <f>B7*0.22</f>
        <v/>
      </c>
      <c r="F7" s="70" t="n"/>
      <c r="G7" s="70" t="n"/>
      <c r="H7" s="166">
        <f>B7-E7</f>
        <v/>
      </c>
      <c r="I7" s="70" t="n"/>
      <c r="J7" s="70" t="n"/>
      <c r="K7" s="81">
        <f>EĞER(E7&gt;0; YUVARLA(B7/E7; 2); 0)</f>
        <v/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%14.2 konsolide canlı veri bağlantısı</t>
        </is>
      </c>
      <c r="C9" s="70" t="n"/>
      <c r="D9" s="70" t="n"/>
      <c r="E9" s="83" t="inlineStr">
        <is>
          <t>● 8 Kalem nakit karşılığı: bloke</t>
        </is>
      </c>
      <c r="F9" s="70" t="n"/>
      <c r="G9" s="70" t="n"/>
      <c r="H9" s="82" t="inlineStr">
        <is>
          <t>██████████░░░░░ %78.0 NET MARJ</t>
        </is>
      </c>
      <c r="I9" s="70" t="n"/>
      <c r="J9" s="70" t="n"/>
      <c r="K9" s="84" t="inlineStr">
        <is>
          <t>✓ İDEAL karşılama rasyosu</t>
        </is>
      </c>
      <c r="L9" s="70" t="n"/>
      <c r="M9" s="70" t="n"/>
    </row>
    <row r="11">
      <c r="B11" s="58" t="inlineStr">
        <is>
          <t>KIRA PORTFÖYÜ GETIRI KOMUTASI — DÖNEMSEL İCRA VE PROJEKSİYON</t>
        </is>
      </c>
      <c r="F11" s="85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8" t="inlineStr">
        <is>
          <t>Dönemlik Kümülatif Bakiye</t>
        </is>
      </c>
      <c r="I15" s="168">
        <f>B7*0.45</f>
        <v/>
      </c>
      <c r="J15" s="169">
        <f>B7*0.05</f>
        <v/>
      </c>
      <c r="K15" s="90" t="inlineStr">
        <is>
          <t>12 Ay</t>
        </is>
      </c>
      <c r="L15" s="74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8" t="inlineStr">
        <is>
          <t>Kritik Eşik Güvenlik Tamponu</t>
        </is>
      </c>
      <c r="I16" s="168">
        <f>B7*0.30</f>
        <v/>
      </c>
      <c r="J16" s="169">
        <f>B7*0.03</f>
        <v/>
      </c>
      <c r="K16" s="90" t="inlineStr">
        <is>
          <t>24 Ay</t>
        </is>
      </c>
      <c r="L16" s="71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8" t="inlineStr">
        <is>
          <t>Operasyonel Net Fark</t>
        </is>
      </c>
      <c r="I17" s="168">
        <f>B7*0.15</f>
        <v/>
      </c>
      <c r="J17" s="169">
        <f>B7*0.02</f>
        <v/>
      </c>
      <c r="K17" s="90" t="inlineStr">
        <is>
          <t>8 Ay</t>
        </is>
      </c>
      <c r="L17" s="91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8" t="inlineStr">
        <is>
          <t>Rezerv ve Likit Dağılım</t>
        </is>
      </c>
      <c r="I18" s="168">
        <f>B7*0.10</f>
        <v/>
      </c>
      <c r="J18" s="169">
        <f>B7*0.01</f>
        <v/>
      </c>
      <c r="K18" s="90" t="inlineStr">
        <is>
          <t>16 Ay</t>
        </is>
      </c>
      <c r="L18" s="74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2" t="inlineStr">
        <is>
          <t>KONSOLİDE SİSTEM TOPLAMI</t>
        </is>
      </c>
      <c r="I19" s="170">
        <f>TOPLA(I15:I18)</f>
        <v/>
      </c>
      <c r="J19" s="171">
        <f>TOPLA(J15:J18)</f>
        <v/>
      </c>
      <c r="K19" s="95" t="inlineStr"/>
      <c r="L19" s="96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STRATEJİK VERİMLİLİK FIRSATI</t>
        </is>
      </c>
      <c r="L23" s="99" t="n"/>
      <c r="M23" s="99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Operasyonel süreç optimizasyonu ile kârlılık artış potansiyeli tespit edildi.</t>
        </is>
      </c>
    </row>
    <row r="25">
      <c r="B25" s="103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K26" s="1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4" t="inlineStr">
        <is>
          <t>☰ PANO</t>
        </is>
      </c>
    </row>
    <row r="3">
      <c r="B3" s="107" t="inlineStr">
        <is>
          <t>🔍  KIRA PORTFÖYÜ GETIRI KOMUTASI — Kayıt veya hesap ara...</t>
        </is>
      </c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C17" s="95" t="n"/>
      <c r="D17" s="95" t="n"/>
      <c r="E17" s="128">
        <f>TOPLA(E6:E15)</f>
        <v/>
      </c>
      <c r="F17" s="95" t="n"/>
      <c r="G17" s="95" t="n"/>
      <c r="H17" s="95" t="n"/>
      <c r="I17" s="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9" t="inlineStr">
        <is>
          <t>KIRA PORTFÖYÜ GETIRI KOMUTASI — NİHAİ KARAR VE DEĞERLEME</t>
        </is>
      </c>
    </row>
    <row r="3">
      <c r="B3" s="130" t="inlineStr">
        <is>
          <t>Yönetim Kurulu ve İcra Komitesi için Otomatik Finansal Stres Testi Raporu · Portföy sahibi, emlak ofisi yöneticisi, gayrimenkul mali müşavir, CFO</t>
        </is>
      </c>
    </row>
    <row r="4">
      <c r="B4" s="131" t="inlineStr">
        <is>
          <t>DÖNEM: 2026 Q3 · DENETİM PROTOKOLÜ: ISO/VUK/IFRS UYUMLU · DURUM: ONAYLANDI</t>
        </is>
      </c>
    </row>
    <row r="6">
      <c r="B6" s="132" t="inlineStr">
        <is>
          <t>SENARYO A: KÖTÜMSER (STRES TESTİ -%20)</t>
        </is>
      </c>
      <c r="C6" s="70" t="n"/>
      <c r="D6" s="70" t="n"/>
      <c r="E6" s="70" t="n"/>
      <c r="F6" s="70" t="n"/>
      <c r="H6" s="133" t="inlineStr">
        <is>
          <t>SENARYO B: BAZ MODEL (HEDEFLENEN)</t>
        </is>
      </c>
      <c r="I6" s="70" t="n"/>
      <c r="J6" s="70" t="n"/>
      <c r="K6" s="70" t="n"/>
      <c r="L6" s="70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73">
        <f>PANO!B7*0.8*0.22</f>
        <v/>
      </c>
      <c r="F9" s="70" t="n"/>
      <c r="H9" s="134" t="inlineStr">
        <is>
          <t>Beklenen Net Kâr / Getiri:</t>
        </is>
      </c>
      <c r="I9" s="70" t="n"/>
      <c r="J9" s="70" t="n"/>
      <c r="K9" s="173">
        <f>PANO!H7</f>
        <v/>
      </c>
      <c r="L9" s="70" t="n"/>
    </row>
    <row r="10">
      <c r="B10" s="134" t="inlineStr">
        <is>
          <t>Minimum Nakit Tamponu:</t>
        </is>
      </c>
      <c r="C10" s="70" t="n"/>
      <c r="D10" s="70" t="n"/>
      <c r="E10" s="174">
        <f>PANO!E7*0.75</f>
        <v/>
      </c>
      <c r="F10" s="70" t="n"/>
      <c r="H10" s="134" t="inlineStr">
        <is>
          <t>Serbest Nakit Akımı:</t>
        </is>
      </c>
      <c r="I10" s="70" t="n"/>
      <c r="J10" s="70" t="n"/>
      <c r="K10" s="174">
        <f>PANO!H7*0.75</f>
        <v/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75">
        <f>YUVARLA(PANO!B7*0.8/PANO!E7; 2)</f>
        <v/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70" t="n"/>
      <c r="D14" s="70" t="n"/>
      <c r="E14" s="70" t="n"/>
      <c r="F14" s="70" t="n"/>
      <c r="H14" s="140" t="inlineStr">
        <is>
          <t>OPTİMUM İCRA VE PLANLAMA REÇETESİ</t>
        </is>
      </c>
      <c r="I14" s="70" t="n"/>
      <c r="J14" s="70" t="n"/>
      <c r="K14" s="70" t="n"/>
      <c r="L14" s="70" t="n"/>
    </row>
    <row r="15">
      <c r="B15" s="70" t="n"/>
      <c r="C15" s="70" t="n"/>
      <c r="D15" s="70" t="n"/>
      <c r="E15" s="70" t="n"/>
      <c r="F15" s="70" t="n"/>
      <c r="H15" s="70" t="n"/>
      <c r="I15" s="70" t="n"/>
      <c r="J15" s="70" t="n"/>
      <c r="K15" s="70" t="n"/>
      <c r="L15" s="70" t="n"/>
    </row>
    <row r="17">
      <c r="B17" s="45" t="inlineStr">
        <is>
          <t>YÖNETİM KARAR MATRİSİ VE UYGULAMA REÇETESİ</t>
        </is>
      </c>
    </row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7" t="inlineStr">
        <is>
          <t>YÜRÜTME ÇEKİRDEĞİ — ZORUNLU ÜRETİM SIRASI</t>
        </is>
      </c>
    </row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0" t="inlineStr">
        <is>
          <t>NİHAİ KONTROL LİSTESİ — KANITSIZ GEÇİŞ YOK</t>
        </is>
      </c>
    </row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5" t="inlineStr">
        <is>
          <t>GÖRSEL TASARIM VE PREMIUM EXCEL STANDARDI</t>
        </is>
      </c>
    </row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9" t="inlineStr">
        <is>
          <t>TÜRKİYE MUHASEBE VE TEKDÜZEN HESAP PLANI STANDARDI</t>
        </is>
      </c>
    </row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2" t="inlineStr">
        <is>
          <t>KARAR, GÜVEN VE SATIŞA HAZIRLIK STANDARDI</t>
        </is>
      </c>
    </row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Portföyü Getiri Komutası</t>
        </is>
      </c>
    </row>
    <row r="3" ht="30" customHeight="1">
      <c r="A3" s="3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Kira Portföyü Getiri Komutası</t>
        </is>
      </c>
    </row>
    <row r="3" ht="20" customHeight="1">
      <c r="A3" s="10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6" customHeight="1">
      <c r="A1" s="1" t="inlineStr">
        <is>
          <t>GUNLUK GIRIS — Kira Portföyü Getiri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Kira Portföyü Getiri Komutası</t>
        </is>
      </c>
    </row>
    <row r="3" ht="20" customHeight="1">
      <c r="A3" s="10" t="inlineStr">
        <is>
          <t>12 aylık sezonsallık — tahsilat ve doluluk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Kira Portföyü Getiri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Kira Portföyü Getiri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Kira Portföyü Getiri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274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Kira Portföyü Getiri Komutası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2744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Kira Portföyü Getiri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2744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3" max="3"/>
    <col width="14" customWidth="1" min="5" max="5"/>
  </cols>
  <sheetData>
    <row r="1" ht="26" customHeight="1">
      <c r="A1" s="1" t="inlineStr">
        <is>
          <t>LISTELER — Kira Portföyü Getiri Komutası</t>
        </is>
      </c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2744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Portföyü Getiri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2744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Kira Portföyü Getiri Komutası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14:J14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2026-09-25T15:14:00Z</dcterms:modified>
</cp:coreProperties>
</file>