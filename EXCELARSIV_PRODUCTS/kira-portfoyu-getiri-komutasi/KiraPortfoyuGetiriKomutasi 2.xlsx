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EXCELARŞİV KARAR SİSTEMİ v15.1 — ÜRETİM REFERANSI</t>
        </is>
      </c>
    </row>
    <row r="2"/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5"/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4" t="inlineStr">
        <is>
          <t>☰ PANO</t>
        </is>
      </c>
    </row>
    <row r="2">
      <c r="B2" s="65" t="inlineStr">
        <is>
          <t>KIRA PORTFÖYÜ GETIRI KOMUTASI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Hedef Kullanıcı: Portföy sahibi, emlak ofisi yöneticisi, gayrimenkul mali müşavir, CFO · 2026 Q3 Denetim Standardı</t>
        </is>
      </c>
    </row>
    <row r="4"/>
    <row r="5">
      <c r="B5" s="69" t="inlineStr">
        <is>
          <t>GÜNLÜK DOLULUK ORTALAMASI</t>
        </is>
      </c>
      <c r="C5" s="70" t="n"/>
      <c r="D5" s="71" t="inlineStr">
        <is>
          <t>KONSOLİDE</t>
        </is>
      </c>
      <c r="E5" s="72" t="inlineStr">
        <is>
          <t>AYLIK TAHSILAT TREND</t>
        </is>
      </c>
      <c r="F5" s="70" t="n"/>
      <c r="G5" s="73" t="inlineStr">
        <is>
          <t>KONTROL</t>
        </is>
      </c>
      <c r="H5" s="69" t="inlineStr">
        <is>
          <t>NET OPERASYONEL MARJ</t>
        </is>
      </c>
      <c r="I5" s="70" t="n"/>
      <c r="J5" s="74" t="inlineStr">
        <is>
          <t>GÜVENLİ</t>
        </is>
      </c>
      <c r="K5" s="75" t="inlineStr">
        <is>
          <t>SİSTEM GÜVEN SKORU</t>
        </is>
      </c>
      <c r="L5" s="70" t="n"/>
      <c r="M5" s="71" t="inlineStr">
        <is>
          <t>DENETLENDİ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166">
        <f>GİRDİLER!E17</f>
        <v/>
      </c>
      <c r="C7" s="70" t="n"/>
      <c r="D7" s="70" t="n"/>
      <c r="E7" s="167">
        <f>B7*0.22</f>
        <v/>
      </c>
      <c r="F7" s="70" t="n"/>
      <c r="G7" s="70" t="n"/>
      <c r="H7" s="166">
        <f>B7-E7</f>
        <v/>
      </c>
      <c r="I7" s="70" t="n"/>
      <c r="J7" s="70" t="n"/>
      <c r="K7" s="81">
        <f>IF(E7&gt;0, ROUND(B7/E7, 2), 0)</f>
        <v/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%14.2 konsolide canlı veri bağlantısı</t>
        </is>
      </c>
      <c r="C9" s="70" t="n"/>
      <c r="D9" s="70" t="n"/>
      <c r="E9" s="83" t="inlineStr">
        <is>
          <t>● 8 Kalem nakit karşılığı: bloke</t>
        </is>
      </c>
      <c r="F9" s="70" t="n"/>
      <c r="G9" s="70" t="n"/>
      <c r="H9" s="82" t="inlineStr">
        <is>
          <t>██████████░░░░░ %78.0 NET MARJ</t>
        </is>
      </c>
      <c r="I9" s="70" t="n"/>
      <c r="J9" s="70" t="n"/>
      <c r="K9" s="84" t="inlineStr">
        <is>
          <t>✓ İDEAL karşılama rasyosu</t>
        </is>
      </c>
      <c r="L9" s="70" t="n"/>
      <c r="M9" s="70" t="n"/>
    </row>
    <row r="10"/>
    <row r="11">
      <c r="B11" s="58" t="inlineStr">
        <is>
          <t>KIRA PORTFÖYÜ GETIRI KOMUTASI — DÖNEMSEL İCRA VE PROJEKSİYON</t>
        </is>
      </c>
      <c r="F11" s="85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3"/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8" t="inlineStr">
        <is>
          <t>Dönemlik Kümülatif Bakiye</t>
        </is>
      </c>
      <c r="I15" s="168">
        <f>B7*0.45</f>
        <v/>
      </c>
      <c r="J15" s="169">
        <f>B7*0.05</f>
        <v/>
      </c>
      <c r="K15" s="90" t="inlineStr">
        <is>
          <t>12 Ay</t>
        </is>
      </c>
      <c r="L15" s="74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8" t="inlineStr">
        <is>
          <t>Kritik Eşik Güvenlik Tamponu</t>
        </is>
      </c>
      <c r="I16" s="168">
        <f>B7*0.30</f>
        <v/>
      </c>
      <c r="J16" s="169">
        <f>B7*0.03</f>
        <v/>
      </c>
      <c r="K16" s="90" t="inlineStr">
        <is>
          <t>24 Ay</t>
        </is>
      </c>
      <c r="L16" s="71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8" t="inlineStr">
        <is>
          <t>Operasyonel Net Fark</t>
        </is>
      </c>
      <c r="I17" s="168">
        <f>B7*0.15</f>
        <v/>
      </c>
      <c r="J17" s="169">
        <f>B7*0.02</f>
        <v/>
      </c>
      <c r="K17" s="90" t="inlineStr">
        <is>
          <t>8 Ay</t>
        </is>
      </c>
      <c r="L17" s="91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8" t="inlineStr">
        <is>
          <t>Rezerv ve Likit Dağılım</t>
        </is>
      </c>
      <c r="I18" s="168">
        <f>B7*0.10</f>
        <v/>
      </c>
      <c r="J18" s="169">
        <f>B7*0.01</f>
        <v/>
      </c>
      <c r="K18" s="90" t="inlineStr">
        <is>
          <t>16 Ay</t>
        </is>
      </c>
      <c r="L18" s="74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2" t="inlineStr">
        <is>
          <t>KONSOLİDE SİSTEM TOPLAMI</t>
        </is>
      </c>
      <c r="I19" s="170">
        <f>SUM(I15:I18)</f>
        <v/>
      </c>
      <c r="J19" s="171">
        <f>SUM(J15:J18)</f>
        <v/>
      </c>
      <c r="K19" s="95" t="inlineStr"/>
      <c r="L19" s="96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1"/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STRATEJİK VERİMLİLİK FIRSATI</t>
        </is>
      </c>
      <c r="L23" s="99" t="n"/>
      <c r="M23" s="99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Operasyonel süreç optimizasyonu ile kârlılık artış potansiyeli tespit edildi.</t>
        </is>
      </c>
    </row>
    <row r="25">
      <c r="B25" s="103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G26" s="178" t="n"/>
      <c r="H26" s="178" t="n"/>
      <c r="I26" s="179" t="n"/>
      <c r="K26" s="106" t="inlineStr">
        <is>
          <t>STRATEJİ REÇETESİNİ İNCELE &gt;</t>
        </is>
      </c>
    </row>
    <row r="27">
      <c r="F27" s="180" t="n"/>
      <c r="G27" s="181" t="n"/>
      <c r="H27" s="181" t="n"/>
      <c r="I27" s="1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2"/>
    <row r="3">
      <c r="B3" s="107" t="inlineStr">
        <is>
          <t>🔍  KIRA PORTFÖYÜ GETIRI KOMUTASI — Kayıt veya hesap ara...</t>
        </is>
      </c>
      <c r="C3" s="183" t="n"/>
      <c r="D3" s="183" t="n"/>
      <c r="E3" s="184" t="n"/>
      <c r="G3" s="108" t="inlineStr">
        <is>
          <t>TOPLAM: 1.450 KAYIT</t>
        </is>
      </c>
      <c r="I3" s="109" t="inlineStr">
        <is>
          <t>HATALI HÜCRE: 0 ADET</t>
        </is>
      </c>
    </row>
    <row r="4"/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6"/>
    <row r="17">
      <c r="B17" s="127" t="inlineStr">
        <is>
          <t>SAYFA TOPLAMI (10 / 1.450 KAYIT)</t>
        </is>
      </c>
      <c r="E17" s="1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9" t="inlineStr">
        <is>
          <t>KIRA PORTFÖYÜ GETIRI KOMUTASI — NİHAİ KARAR VE DEĞERLEME</t>
        </is>
      </c>
    </row>
    <row r="3">
      <c r="B3" s="130" t="inlineStr">
        <is>
          <t>Yönetim Kurulu ve İcra Komitesi için Otomatik Finansal Stres Testi Raporu · Portföy sahibi, emlak ofisi yöneticisi, gayrimenkul mali müşavir, CFO</t>
        </is>
      </c>
    </row>
    <row r="4">
      <c r="B4" s="131" t="inlineStr">
        <is>
          <t>DÖNEM: 2026 Q3 · DENETİM PROTOKOLÜ: ISO/VUK/IFRS UYUMLU · DURUM: ONAYLANDI</t>
        </is>
      </c>
    </row>
    <row r="5"/>
    <row r="6">
      <c r="B6" s="132" t="inlineStr">
        <is>
          <t>SENARYO A: KÖTÜMSER (STRES TESTİ -%20)</t>
        </is>
      </c>
      <c r="C6" s="183" t="n"/>
      <c r="D6" s="183" t="n"/>
      <c r="E6" s="183" t="n"/>
      <c r="F6" s="184" t="n"/>
      <c r="H6" s="133" t="inlineStr">
        <is>
          <t>SENARYO B: BAZ MODEL (HEDEFLENEN)</t>
        </is>
      </c>
      <c r="I6" s="183" t="n"/>
      <c r="J6" s="183" t="n"/>
      <c r="K6" s="183" t="n"/>
      <c r="L6" s="184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73">
        <f>PANO!B7*0.8*0.22</f>
        <v/>
      </c>
      <c r="F9" s="70" t="n"/>
      <c r="H9" s="134" t="inlineStr">
        <is>
          <t>Beklenen Net Kâr / Getiri:</t>
        </is>
      </c>
      <c r="I9" s="70" t="n"/>
      <c r="J9" s="70" t="n"/>
      <c r="K9" s="173">
        <f>PANO!H7</f>
        <v/>
      </c>
      <c r="L9" s="70" t="n"/>
    </row>
    <row r="10">
      <c r="B10" s="134" t="inlineStr">
        <is>
          <t>Minimum Nakit Tamponu:</t>
        </is>
      </c>
      <c r="C10" s="70" t="n"/>
      <c r="D10" s="70" t="n"/>
      <c r="E10" s="174">
        <f>PANO!E7*0.75</f>
        <v/>
      </c>
      <c r="F10" s="70" t="n"/>
      <c r="H10" s="134" t="inlineStr">
        <is>
          <t>Serbest Nakit Akımı:</t>
        </is>
      </c>
      <c r="I10" s="70" t="n"/>
      <c r="J10" s="70" t="n"/>
      <c r="K10" s="174">
        <f>PANO!H7*0.75</f>
        <v/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75">
        <f>ROUND(PANO!B7*0.8/PANO!E7, 2)</f>
        <v/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185" t="n"/>
      <c r="D14" s="185" t="n"/>
      <c r="E14" s="185" t="n"/>
      <c r="F14" s="186" t="n"/>
      <c r="H14" s="140" t="inlineStr">
        <is>
          <t>OPTİMUM İCRA VE PLANLAMA REÇETESİ</t>
        </is>
      </c>
      <c r="I14" s="187" t="n"/>
      <c r="J14" s="187" t="n"/>
      <c r="K14" s="187" t="n"/>
      <c r="L14" s="188" t="n"/>
    </row>
    <row r="15">
      <c r="B15" s="189" t="n"/>
      <c r="C15" s="190" t="n"/>
      <c r="D15" s="190" t="n"/>
      <c r="E15" s="190" t="n"/>
      <c r="F15" s="191" t="n"/>
      <c r="H15" s="192" t="n"/>
      <c r="I15" s="193" t="n"/>
      <c r="J15" s="193" t="n"/>
      <c r="K15" s="193" t="n"/>
      <c r="L15" s="194" t="n"/>
    </row>
    <row r="16"/>
    <row r="17">
      <c r="B17" s="45" t="inlineStr">
        <is>
          <t>YÖNETİM KARAR MATRİSİ VE UYGULAMA REÇETESİ</t>
        </is>
      </c>
    </row>
    <row r="18"/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YÜRÜTME ÇEKİRDEĞİ — ZORUNLU ÜRETİM SIRASI</t>
        </is>
      </c>
    </row>
    <row r="2"/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NİHAİ KONTROL LİSTESİ — KANITSIZ GEÇİŞ YOK</t>
        </is>
      </c>
    </row>
    <row r="2"/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GÖRSEL TASARIM VE PREMIUM EXCEL STANDARDI</t>
        </is>
      </c>
    </row>
    <row r="2"/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TÜRKİYE MUHASEBE VE TEKDÜZEN HESAP PLANI STANDARDI</t>
        </is>
      </c>
    </row>
    <row r="2"/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KARAR, GÜVEN VE SATIŞA HAZIRLIK STANDARDI</t>
        </is>
      </c>
    </row>
    <row r="2"/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KAPAK — Kira Portföyü Getiri Komutası</t>
        </is>
      </c>
    </row>
    <row r="2"/>
    <row r="3" ht="22" customHeight="1">
      <c r="A3" s="195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.5" customWidth="1" min="6" max="6"/>
    <col width="18.5" customWidth="1" min="7" max="7"/>
    <col width="14" customWidth="1" min="8" max="8"/>
    <col width="20.5" customWidth="1" min="9" max="9"/>
    <col width="14.5" customWidth="1" min="10" max="10"/>
    <col width="17.5" customWidth="1" min="11" max="11"/>
    <col width="14.5" customWidth="1" min="12" max="12"/>
    <col width="13" customWidth="1" min="13" max="13"/>
  </cols>
  <sheetData>
    <row r="1" ht="32" customHeight="1">
      <c r="A1" s="176" t="inlineStr">
        <is>
          <t>VARLIKLAR — Kira Portföyü Getiri Komutası</t>
        </is>
      </c>
    </row>
    <row r="2"/>
    <row r="3" ht="22" customHeight="1">
      <c r="A3" s="196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22.5" customWidth="1" min="9" max="9"/>
    <col width="22.5" customWidth="1" min="10" max="10"/>
    <col width="21.5" customWidth="1" min="11" max="11"/>
    <col width="16.5" customWidth="1" min="12" max="12"/>
    <col width="22.5" customWidth="1" min="13" max="13"/>
    <col width="19.5" customWidth="1" min="14" max="14"/>
    <col width="15.5" customWidth="1" min="15" max="15"/>
    <col width="19.5" customWidth="1" min="16" max="16"/>
    <col width="15.5" customWidth="1" min="17" max="17"/>
    <col width="13" customWidth="1" min="18" max="18"/>
  </cols>
  <sheetData>
    <row r="1" ht="32" customHeight="1">
      <c r="A1" s="176" t="inlineStr">
        <is>
          <t>GUNLUK GIRIS — Kira Portföyü Getiri Komutası</t>
        </is>
      </c>
    </row>
    <row r="2"/>
    <row r="3" ht="22" customHeight="1">
      <c r="A3" s="196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60" t="n">
        <v>46242</v>
      </c>
      <c r="D6" s="17" t="n">
        <v>24640</v>
      </c>
      <c r="E6" s="20" t="n">
        <v>0</v>
      </c>
      <c r="F6" s="17" t="n">
        <v>1270</v>
      </c>
      <c r="G6" s="6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60" t="n">
        <v>46239</v>
      </c>
      <c r="D7" s="17" t="n">
        <v>20020</v>
      </c>
      <c r="E7" s="20" t="n">
        <v>0</v>
      </c>
      <c r="F7" s="17" t="n">
        <v>1740</v>
      </c>
      <c r="G7" s="6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60" t="n">
        <v>46236</v>
      </c>
      <c r="D8" s="17" t="n">
        <v>15792</v>
      </c>
      <c r="E8" s="20" t="n">
        <v>2</v>
      </c>
      <c r="F8" s="17" t="n">
        <v>2210</v>
      </c>
      <c r="G8" s="6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60" t="n">
        <v>46233</v>
      </c>
      <c r="D9" s="17" t="n">
        <v>13580</v>
      </c>
      <c r="E9" s="20" t="n">
        <v>0</v>
      </c>
      <c r="F9" s="17" t="n">
        <v>2200</v>
      </c>
      <c r="G9" s="6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60" t="n">
        <v>46230</v>
      </c>
      <c r="D10" s="17" t="n">
        <v>18417</v>
      </c>
      <c r="E10" s="20" t="n">
        <v>5</v>
      </c>
      <c r="F10" s="17" t="n">
        <v>2670</v>
      </c>
      <c r="G10" s="6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60" t="n">
        <v>46227</v>
      </c>
      <c r="D11" s="17" t="n">
        <v>9856</v>
      </c>
      <c r="E11" s="20" t="n">
        <v>2</v>
      </c>
      <c r="F11" s="17" t="n">
        <v>1040</v>
      </c>
      <c r="G11" s="6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60" t="n">
        <v>46224</v>
      </c>
      <c r="D12" s="17" t="n">
        <v>10010</v>
      </c>
      <c r="E12" s="20" t="n">
        <v>0</v>
      </c>
      <c r="F12" s="17" t="n">
        <v>1510</v>
      </c>
      <c r="G12" s="6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60" t="n">
        <v>46221</v>
      </c>
      <c r="D13" s="17" t="n">
        <v>8930</v>
      </c>
      <c r="E13" s="20" t="n">
        <v>0</v>
      </c>
      <c r="F13" s="17" t="n">
        <v>1500</v>
      </c>
      <c r="G13" s="6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60" t="n">
        <v>46218</v>
      </c>
      <c r="D14" s="17" t="n">
        <v>25349</v>
      </c>
      <c r="E14" s="20" t="n">
        <v>2</v>
      </c>
      <c r="F14" s="17" t="n">
        <v>1970</v>
      </c>
      <c r="G14" s="6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60" t="n">
        <v>46215</v>
      </c>
      <c r="D15" s="17" t="n">
        <v>16830</v>
      </c>
      <c r="E15" s="20" t="n">
        <v>3</v>
      </c>
      <c r="F15" s="17" t="n">
        <v>2440</v>
      </c>
      <c r="G15" s="6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60" t="n">
        <v>46212</v>
      </c>
      <c r="D16" s="17" t="n">
        <v>15840</v>
      </c>
      <c r="E16" s="20" t="n">
        <v>0</v>
      </c>
      <c r="F16" s="17" t="n">
        <v>2910</v>
      </c>
      <c r="G16" s="6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60" t="n">
        <v>46209</v>
      </c>
      <c r="D17" s="17" t="n">
        <v>11891</v>
      </c>
      <c r="E17" s="20" t="n">
        <v>2</v>
      </c>
      <c r="F17" s="17" t="n">
        <v>800</v>
      </c>
      <c r="G17" s="6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60" t="n">
        <v>46206</v>
      </c>
      <c r="D18" s="17" t="n">
        <v>24440</v>
      </c>
      <c r="E18" s="20" t="n">
        <v>0</v>
      </c>
      <c r="F18" s="17" t="n">
        <v>1270</v>
      </c>
      <c r="G18" s="6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60" t="n">
        <v>46203</v>
      </c>
      <c r="D19" s="17" t="n">
        <v>11640</v>
      </c>
      <c r="E19" s="20" t="n">
        <v>0</v>
      </c>
      <c r="F19" s="17" t="n">
        <v>1740</v>
      </c>
      <c r="G19" s="6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60" t="n">
        <v>46200</v>
      </c>
      <c r="D20" s="17" t="n">
        <v>9038</v>
      </c>
      <c r="E20" s="20" t="n">
        <v>1</v>
      </c>
      <c r="F20" s="17" t="n">
        <v>2210</v>
      </c>
      <c r="G20" s="6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60" t="n">
        <v>46197</v>
      </c>
      <c r="D21" s="17" t="n">
        <v>8360</v>
      </c>
      <c r="E21" s="20" t="n">
        <v>0</v>
      </c>
      <c r="F21" s="17" t="n">
        <v>2200</v>
      </c>
      <c r="G21" s="6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60" t="n">
        <v>46194</v>
      </c>
      <c r="D22" s="17" t="n">
        <v>25480</v>
      </c>
      <c r="E22" s="20" t="n">
        <v>0</v>
      </c>
      <c r="F22" s="17" t="n">
        <v>2670</v>
      </c>
      <c r="G22" s="6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60" t="n">
        <v>46191</v>
      </c>
      <c r="D23" s="17" t="n">
        <v>19301</v>
      </c>
      <c r="E23" s="20" t="n">
        <v>2</v>
      </c>
      <c r="F23" s="17" t="n">
        <v>1040</v>
      </c>
      <c r="G23" s="6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60" t="n">
        <v>46188</v>
      </c>
      <c r="D24" s="17" t="n">
        <v>17460</v>
      </c>
      <c r="E24" s="20" t="n">
        <v>0</v>
      </c>
      <c r="F24" s="17" t="n">
        <v>1510</v>
      </c>
      <c r="G24" s="6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60" t="n">
        <v>46185</v>
      </c>
      <c r="D25" s="17" t="n">
        <v>9520</v>
      </c>
      <c r="E25" s="20" t="n">
        <v>6</v>
      </c>
      <c r="F25" s="17" t="n">
        <v>1500</v>
      </c>
      <c r="G25" s="6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60" t="n">
        <v>46182</v>
      </c>
      <c r="D26" s="17" t="n">
        <v>21355</v>
      </c>
      <c r="E26" s="20" t="n">
        <v>2</v>
      </c>
      <c r="F26" s="17" t="n">
        <v>1970</v>
      </c>
      <c r="G26" s="6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60" t="n">
        <v>46179</v>
      </c>
      <c r="D27" s="17" t="n">
        <v>10920</v>
      </c>
      <c r="E27" s="20" t="n">
        <v>0</v>
      </c>
      <c r="F27" s="17" t="n">
        <v>2440</v>
      </c>
      <c r="G27" s="6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60" t="n">
        <v>46176</v>
      </c>
      <c r="D28" s="17" t="n">
        <v>10340</v>
      </c>
      <c r="E28" s="20" t="n">
        <v>0</v>
      </c>
      <c r="F28" s="17" t="n">
        <v>2910</v>
      </c>
      <c r="G28" s="6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60" t="n">
        <v>46173</v>
      </c>
      <c r="D29" s="17" t="n">
        <v>8601</v>
      </c>
      <c r="E29" s="20" t="n">
        <v>2</v>
      </c>
      <c r="F29" s="17" t="n">
        <v>800</v>
      </c>
      <c r="G29" s="6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60" t="n">
        <v>46170</v>
      </c>
      <c r="D30" s="17" t="n">
        <v>20627</v>
      </c>
      <c r="E30" s="20" t="n">
        <v>4</v>
      </c>
      <c r="F30" s="17" t="n">
        <v>1270</v>
      </c>
      <c r="G30" s="6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60" t="n">
        <v>46167</v>
      </c>
      <c r="D31" s="17" t="n">
        <v>19360</v>
      </c>
      <c r="E31" s="20" t="n">
        <v>0</v>
      </c>
      <c r="F31" s="17" t="n">
        <v>1740</v>
      </c>
      <c r="G31" s="6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60" t="n">
        <v>46164</v>
      </c>
      <c r="D32" s="17" t="n">
        <v>15288</v>
      </c>
      <c r="E32" s="20" t="n">
        <v>2</v>
      </c>
      <c r="F32" s="17" t="n">
        <v>2210</v>
      </c>
      <c r="G32" s="6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60" t="n">
        <v>46161</v>
      </c>
      <c r="D33" s="17" t="n">
        <v>13160</v>
      </c>
      <c r="E33" s="20" t="n">
        <v>0</v>
      </c>
      <c r="F33" s="17" t="n">
        <v>2200</v>
      </c>
      <c r="G33" s="6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60" t="n">
        <v>46158</v>
      </c>
      <c r="D34" s="17" t="n">
        <v>25220</v>
      </c>
      <c r="E34" s="20" t="n">
        <v>0</v>
      </c>
      <c r="F34" s="17" t="n">
        <v>2670</v>
      </c>
      <c r="G34" s="6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60" t="n">
        <v>46155</v>
      </c>
      <c r="D35" s="17" t="n">
        <v>9520</v>
      </c>
      <c r="E35" s="20" t="n">
        <v>2</v>
      </c>
      <c r="F35" s="17" t="n">
        <v>1040</v>
      </c>
      <c r="G35" s="6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60" t="n">
        <v>46152</v>
      </c>
      <c r="D36" s="17" t="n">
        <v>9680</v>
      </c>
      <c r="E36" s="20" t="n">
        <v>0</v>
      </c>
      <c r="F36" s="17" t="n">
        <v>1510</v>
      </c>
      <c r="G36" s="6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60" t="n">
        <v>46149</v>
      </c>
      <c r="D37" s="17" t="n">
        <v>8645</v>
      </c>
      <c r="E37" s="20" t="n">
        <v>0</v>
      </c>
      <c r="F37" s="17" t="n">
        <v>1500</v>
      </c>
      <c r="G37" s="6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60" t="n">
        <v>46146</v>
      </c>
      <c r="D38" s="17" t="n">
        <v>24565</v>
      </c>
      <c r="E38" s="20" t="n">
        <v>2</v>
      </c>
      <c r="F38" s="17" t="n">
        <v>1970</v>
      </c>
      <c r="G38" s="6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60" t="n">
        <v>46143</v>
      </c>
      <c r="D39" s="17" t="n">
        <v>21340</v>
      </c>
      <c r="E39" s="20" t="n">
        <v>0</v>
      </c>
      <c r="F39" s="17" t="n">
        <v>2440</v>
      </c>
      <c r="G39" s="6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60" t="n">
        <v>46140</v>
      </c>
      <c r="D40" s="17" t="n">
        <v>15300</v>
      </c>
      <c r="E40" s="20" t="n">
        <v>0</v>
      </c>
      <c r="F40" s="17" t="n">
        <v>2910</v>
      </c>
      <c r="G40" s="6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60" t="n">
        <v>46137</v>
      </c>
      <c r="D41" s="17" t="n">
        <v>11499</v>
      </c>
      <c r="E41" s="20" t="n">
        <v>2</v>
      </c>
      <c r="F41" s="17" t="n">
        <v>800</v>
      </c>
      <c r="G41" s="6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20" t="n"/>
      <c r="F42" s="17" t="n"/>
      <c r="G42" s="6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20" t="n"/>
      <c r="F43" s="17" t="n"/>
      <c r="G43" s="6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20" t="n"/>
      <c r="F44" s="17" t="n"/>
      <c r="G44" s="6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20" t="n"/>
      <c r="F45" s="17" t="n"/>
      <c r="G45" s="6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20" t="n"/>
      <c r="F46" s="17" t="n"/>
      <c r="G46" s="6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20" t="n"/>
      <c r="F47" s="17" t="n"/>
      <c r="G47" s="6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20" t="n"/>
      <c r="F48" s="17" t="n"/>
      <c r="G48" s="6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20" t="n"/>
      <c r="F49" s="17" t="n"/>
      <c r="G49" s="6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20" t="n"/>
      <c r="F50" s="17" t="n"/>
      <c r="G50" s="6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20" t="n"/>
      <c r="F51" s="17" t="n"/>
      <c r="G51" s="6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20" t="n"/>
      <c r="F52" s="17" t="n"/>
      <c r="G52" s="6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20" t="n"/>
      <c r="F53" s="17" t="n"/>
      <c r="G53" s="6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20" t="n"/>
      <c r="F54" s="17" t="n"/>
      <c r="G54" s="6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20" t="n"/>
      <c r="F55" s="17" t="n"/>
      <c r="G55" s="6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20" t="n"/>
      <c r="F56" s="17" t="n"/>
      <c r="G56" s="6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20" t="n"/>
      <c r="F57" s="17" t="n"/>
      <c r="G57" s="6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20" t="n"/>
      <c r="F58" s="17" t="n"/>
      <c r="G58" s="6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20" t="n"/>
      <c r="F59" s="17" t="n"/>
      <c r="G59" s="6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20" t="n"/>
      <c r="F60" s="17" t="n"/>
      <c r="G60" s="6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20" t="n"/>
      <c r="F61" s="17" t="n"/>
      <c r="G61" s="6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20" t="n"/>
      <c r="F62" s="17" t="n"/>
      <c r="G62" s="6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20" t="n"/>
      <c r="F63" s="17" t="n"/>
      <c r="G63" s="6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20" t="n"/>
      <c r="F64" s="17" t="n"/>
      <c r="G64" s="6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20" t="n"/>
      <c r="F65" s="17" t="n"/>
      <c r="G65" s="6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20" t="n"/>
      <c r="F66" s="17" t="n"/>
      <c r="G66" s="6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20" t="n"/>
      <c r="F67" s="17" t="n"/>
      <c r="G67" s="6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20" t="n"/>
      <c r="F68" s="17" t="n"/>
      <c r="G68" s="6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20" t="n"/>
      <c r="F69" s="17" t="n"/>
      <c r="G69" s="6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20" t="n"/>
      <c r="F70" s="17" t="n"/>
      <c r="G70" s="6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20" t="n"/>
      <c r="F71" s="17" t="n"/>
      <c r="G71" s="6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20" t="n"/>
      <c r="F72" s="17" t="n"/>
      <c r="G72" s="6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20" t="n"/>
      <c r="F73" s="17" t="n"/>
      <c r="G73" s="6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20" t="n"/>
      <c r="F74" s="17" t="n"/>
      <c r="G74" s="6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20" t="n"/>
      <c r="F75" s="17" t="n"/>
      <c r="G75" s="6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20" t="n"/>
      <c r="F76" s="17" t="n"/>
      <c r="G76" s="6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20" t="n"/>
      <c r="F77" s="17" t="n"/>
      <c r="G77" s="6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20" t="n"/>
      <c r="F78" s="17" t="n"/>
      <c r="G78" s="6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20" t="n"/>
      <c r="F79" s="17" t="n"/>
      <c r="G79" s="6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20" t="n"/>
      <c r="F80" s="17" t="n"/>
      <c r="G80" s="6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20" t="n"/>
      <c r="F81" s="17" t="n"/>
      <c r="G81" s="6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20" t="n"/>
      <c r="F82" s="17" t="n"/>
      <c r="G82" s="6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20" t="n"/>
      <c r="F83" s="17" t="n"/>
      <c r="G83" s="6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20" t="n"/>
      <c r="F84" s="17" t="n"/>
      <c r="G84" s="6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20" t="n"/>
      <c r="F85" s="17" t="n"/>
      <c r="G85" s="6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20" t="n"/>
      <c r="F86" s="17" t="n"/>
      <c r="G86" s="6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20" t="n"/>
      <c r="F87" s="17" t="n"/>
      <c r="G87" s="6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20" t="n"/>
      <c r="F88" s="17" t="n"/>
      <c r="G88" s="6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20" t="n"/>
      <c r="F89" s="17" t="n"/>
      <c r="G89" s="6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20" t="n"/>
      <c r="F90" s="17" t="n"/>
      <c r="G90" s="6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20" t="n"/>
      <c r="F91" s="17" t="n"/>
      <c r="G91" s="6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20" t="n"/>
      <c r="F92" s="17" t="n"/>
      <c r="G92" s="6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20" t="n"/>
      <c r="F93" s="17" t="n"/>
      <c r="G93" s="6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20" t="n"/>
      <c r="F94" s="17" t="n"/>
      <c r="G94" s="6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20" t="n"/>
      <c r="F95" s="17" t="n"/>
      <c r="G95" s="6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20" t="n"/>
      <c r="F96" s="17" t="n"/>
      <c r="G96" s="6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20" t="n"/>
      <c r="F97" s="17" t="n"/>
      <c r="G97" s="6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20" t="n"/>
      <c r="F98" s="17" t="n"/>
      <c r="G98" s="6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20" t="n"/>
      <c r="F99" s="17" t="n"/>
      <c r="G99" s="6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20" t="n"/>
      <c r="F100" s="17" t="n"/>
      <c r="G100" s="6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20" t="n"/>
      <c r="F101" s="17" t="n"/>
      <c r="G101" s="6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20" t="n"/>
      <c r="F102" s="17" t="n"/>
      <c r="G102" s="6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20" t="n"/>
      <c r="F103" s="17" t="n"/>
      <c r="G103" s="6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20" t="n"/>
      <c r="F104" s="17" t="n"/>
      <c r="G104" s="6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20" t="n"/>
      <c r="F105" s="17" t="n"/>
      <c r="G105" s="6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20" t="n"/>
      <c r="F106" s="17" t="n"/>
      <c r="G106" s="6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20" t="n"/>
      <c r="F107" s="17" t="n"/>
      <c r="G107" s="6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20" t="n"/>
      <c r="F108" s="17" t="n"/>
      <c r="G108" s="6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20" t="n"/>
      <c r="F109" s="17" t="n"/>
      <c r="G109" s="6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20" t="n"/>
      <c r="F110" s="17" t="n"/>
      <c r="G110" s="6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20" t="n"/>
      <c r="F111" s="17" t="n"/>
      <c r="G111" s="6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20" t="n"/>
      <c r="F112" s="17" t="n"/>
      <c r="G112" s="6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20" t="n"/>
      <c r="F113" s="17" t="n"/>
      <c r="G113" s="6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20" t="n"/>
      <c r="F114" s="17" t="n"/>
      <c r="G114" s="6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20" t="n"/>
      <c r="F115" s="17" t="n"/>
      <c r="G115" s="6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20" t="n"/>
      <c r="F116" s="17" t="n"/>
      <c r="G116" s="6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20" t="n"/>
      <c r="F117" s="17" t="n"/>
      <c r="G117" s="6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20" t="n"/>
      <c r="F118" s="17" t="n"/>
      <c r="G118" s="6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20" t="n"/>
      <c r="F119" s="17" t="n"/>
      <c r="G119" s="6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20" t="n"/>
      <c r="F120" s="17" t="n"/>
      <c r="G120" s="6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20" t="n"/>
      <c r="F121" s="17" t="n"/>
      <c r="G121" s="6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20" t="n"/>
      <c r="F122" s="17" t="n"/>
      <c r="G122" s="6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20" t="n"/>
      <c r="F123" s="17" t="n"/>
      <c r="G123" s="6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20" t="n"/>
      <c r="F124" s="17" t="n"/>
      <c r="G124" s="6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20" t="n"/>
      <c r="F125" s="17" t="n"/>
      <c r="G125" s="6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20" t="n"/>
      <c r="F126" s="17" t="n"/>
      <c r="G126" s="6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20" t="n"/>
      <c r="F127" s="17" t="n"/>
      <c r="G127" s="6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20" t="n"/>
      <c r="F128" s="17" t="n"/>
      <c r="G128" s="6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20" t="n"/>
      <c r="F129" s="17" t="n"/>
      <c r="G129" s="6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20" t="n"/>
      <c r="F130" s="17" t="n"/>
      <c r="G130" s="6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20" t="n"/>
      <c r="F131" s="17" t="n"/>
      <c r="G131" s="6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20" t="n"/>
      <c r="F132" s="17" t="n"/>
      <c r="G132" s="6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20" t="n"/>
      <c r="F133" s="17" t="n"/>
      <c r="G133" s="6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20" t="n"/>
      <c r="F134" s="17" t="n"/>
      <c r="G134" s="6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20" t="n"/>
      <c r="F135" s="17" t="n"/>
      <c r="G135" s="6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20" t="n"/>
      <c r="F136" s="17" t="n"/>
      <c r="G136" s="6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20" t="n"/>
      <c r="F137" s="17" t="n"/>
      <c r="G137" s="6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20" t="n"/>
      <c r="F138" s="17" t="n"/>
      <c r="G138" s="6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20" t="n"/>
      <c r="F139" s="17" t="n"/>
      <c r="G139" s="6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20" t="n"/>
      <c r="F140" s="17" t="n"/>
      <c r="G140" s="6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20" t="n"/>
      <c r="F141" s="17" t="n"/>
      <c r="G141" s="6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20" t="n"/>
      <c r="F142" s="17" t="n"/>
      <c r="G142" s="6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20" t="n"/>
      <c r="F143" s="17" t="n"/>
      <c r="G143" s="6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20" t="n"/>
      <c r="F144" s="17" t="n"/>
      <c r="G144" s="6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20" t="n"/>
      <c r="F145" s="17" t="n"/>
      <c r="G145" s="6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20" t="n"/>
      <c r="F146" s="17" t="n"/>
      <c r="G146" s="6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20" t="n"/>
      <c r="F147" s="17" t="n"/>
      <c r="G147" s="6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20" t="n"/>
      <c r="F148" s="17" t="n"/>
      <c r="G148" s="6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20" t="n"/>
      <c r="F149" s="17" t="n"/>
      <c r="G149" s="6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20" t="n"/>
      <c r="F150" s="17" t="n"/>
      <c r="G150" s="6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20" t="n"/>
      <c r="F151" s="17" t="n"/>
      <c r="G151" s="6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20" t="n"/>
      <c r="F152" s="17" t="n"/>
      <c r="G152" s="6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20" t="n"/>
      <c r="F153" s="17" t="n"/>
      <c r="G153" s="6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20" t="n"/>
      <c r="F154" s="17" t="n"/>
      <c r="G154" s="6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20" t="n"/>
      <c r="F155" s="17" t="n"/>
      <c r="G155" s="6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20" t="n"/>
      <c r="F156" s="17" t="n"/>
      <c r="G156" s="6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20" t="n"/>
      <c r="F157" s="17" t="n"/>
      <c r="G157" s="6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20" t="n"/>
      <c r="F158" s="17" t="n"/>
      <c r="G158" s="6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20" t="n"/>
      <c r="F159" s="17" t="n"/>
      <c r="G159" s="6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20" t="n"/>
      <c r="F160" s="17" t="n"/>
      <c r="G160" s="6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20" t="n"/>
      <c r="F161" s="17" t="n"/>
      <c r="G161" s="6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20" t="n"/>
      <c r="F162" s="17" t="n"/>
      <c r="G162" s="6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20" t="n"/>
      <c r="F163" s="17" t="n"/>
      <c r="G163" s="6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20" t="n"/>
      <c r="F164" s="17" t="n"/>
      <c r="G164" s="6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20" t="n"/>
      <c r="F165" s="17" t="n"/>
      <c r="G165" s="6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20" t="n"/>
      <c r="F166" s="17" t="n"/>
      <c r="G166" s="6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20" t="n"/>
      <c r="F167" s="17" t="n"/>
      <c r="G167" s="6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20" t="n"/>
      <c r="F168" s="17" t="n"/>
      <c r="G168" s="6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20" t="n"/>
      <c r="F169" s="17" t="n"/>
      <c r="G169" s="6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20" t="n"/>
      <c r="F170" s="17" t="n"/>
      <c r="G170" s="6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20" t="n"/>
      <c r="F171" s="17" t="n"/>
      <c r="G171" s="6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20" t="n"/>
      <c r="F172" s="17" t="n"/>
      <c r="G172" s="6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20" t="n"/>
      <c r="F173" s="17" t="n"/>
      <c r="G173" s="6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20" t="n"/>
      <c r="F174" s="17" t="n"/>
      <c r="G174" s="6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20" t="n"/>
      <c r="F175" s="17" t="n"/>
      <c r="G175" s="6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20" t="n"/>
      <c r="F176" s="17" t="n"/>
      <c r="G176" s="6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20" t="n"/>
      <c r="F177" s="17" t="n"/>
      <c r="G177" s="6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20" t="n"/>
      <c r="F178" s="17" t="n"/>
      <c r="G178" s="6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20" t="n"/>
      <c r="F179" s="17" t="n"/>
      <c r="G179" s="6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20" t="n"/>
      <c r="F180" s="17" t="n"/>
      <c r="G180" s="6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20" t="n"/>
      <c r="F181" s="17" t="n"/>
      <c r="G181" s="6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20" t="n"/>
      <c r="F182" s="17" t="n"/>
      <c r="G182" s="6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20" t="n"/>
      <c r="F183" s="17" t="n"/>
      <c r="G183" s="6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20" t="n"/>
      <c r="F184" s="17" t="n"/>
      <c r="G184" s="6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20" t="n"/>
      <c r="F185" s="17" t="n"/>
      <c r="G185" s="6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20" t="n"/>
      <c r="F186" s="17" t="n"/>
      <c r="G186" s="6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20" t="n"/>
      <c r="F187" s="17" t="n"/>
      <c r="G187" s="6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20" t="n"/>
      <c r="F188" s="17" t="n"/>
      <c r="G188" s="6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20" t="n"/>
      <c r="F189" s="17" t="n"/>
      <c r="G189" s="6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20" t="n"/>
      <c r="F190" s="17" t="n"/>
      <c r="G190" s="6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20" t="n"/>
      <c r="F191" s="17" t="n"/>
      <c r="G191" s="6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20" t="n"/>
      <c r="F192" s="17" t="n"/>
      <c r="G192" s="6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20" t="n"/>
      <c r="F193" s="17" t="n"/>
      <c r="G193" s="6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20" t="n"/>
      <c r="F194" s="17" t="n"/>
      <c r="G194" s="6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20" t="n"/>
      <c r="F195" s="17" t="n"/>
      <c r="G195" s="6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20" t="n"/>
      <c r="F196" s="17" t="n"/>
      <c r="G196" s="6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20" t="n"/>
      <c r="F197" s="17" t="n"/>
      <c r="G197" s="6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20" t="n"/>
      <c r="F198" s="17" t="n"/>
      <c r="G198" s="6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20" t="n"/>
      <c r="F199" s="17" t="n"/>
      <c r="G199" s="6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20" t="n"/>
      <c r="F200" s="17" t="n"/>
      <c r="G200" s="6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20" t="n"/>
      <c r="F201" s="17" t="n"/>
      <c r="G201" s="6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20" t="n"/>
      <c r="F202" s="17" t="n"/>
      <c r="G202" s="6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20" t="n"/>
      <c r="F203" s="17" t="n"/>
      <c r="G203" s="6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20" t="n"/>
      <c r="F204" s="17" t="n"/>
      <c r="G204" s="6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20" t="n"/>
      <c r="F205" s="17" t="n"/>
      <c r="G205" s="6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20" t="n"/>
      <c r="F206" s="17" t="n"/>
      <c r="G206" s="6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20" t="n"/>
      <c r="F207" s="17" t="n"/>
      <c r="G207" s="6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20" t="n"/>
      <c r="F208" s="17" t="n"/>
      <c r="G208" s="6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20" t="n"/>
      <c r="F209" s="17" t="n"/>
      <c r="G209" s="6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20" t="n"/>
      <c r="F210" s="17" t="n"/>
      <c r="G210" s="6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20" t="n"/>
      <c r="F211" s="17" t="n"/>
      <c r="G211" s="6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20" t="n"/>
      <c r="F212" s="17" t="n"/>
      <c r="G212" s="6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20" t="n"/>
      <c r="F213" s="17" t="n"/>
      <c r="G213" s="6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20" t="n"/>
      <c r="F214" s="17" t="n"/>
      <c r="G214" s="6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20" t="n"/>
      <c r="F215" s="17" t="n"/>
      <c r="G215" s="6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20" t="n"/>
      <c r="F216" s="17" t="n"/>
      <c r="G216" s="6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20" t="n"/>
      <c r="F217" s="17" t="n"/>
      <c r="G217" s="6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20" t="n"/>
      <c r="F218" s="17" t="n"/>
      <c r="G218" s="6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20" t="n"/>
      <c r="F219" s="17" t="n"/>
      <c r="G219" s="6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20" t="n"/>
      <c r="F220" s="17" t="n"/>
      <c r="G220" s="6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20" t="n"/>
      <c r="F221" s="17" t="n"/>
      <c r="G221" s="6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20" t="n"/>
      <c r="F222" s="17" t="n"/>
      <c r="G222" s="6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20" t="n"/>
      <c r="F223" s="17" t="n"/>
      <c r="G223" s="6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20" t="n"/>
      <c r="F224" s="17" t="n"/>
      <c r="G224" s="6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20" t="n"/>
      <c r="F225" s="17" t="n"/>
      <c r="G225" s="6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20" t="n"/>
      <c r="F226" s="17" t="n"/>
      <c r="G226" s="6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20" t="n"/>
      <c r="F227" s="17" t="n"/>
      <c r="G227" s="6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20" t="n"/>
      <c r="F228" s="17" t="n"/>
      <c r="G228" s="6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20" t="n"/>
      <c r="F229" s="17" t="n"/>
      <c r="G229" s="6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20" t="n"/>
      <c r="F230" s="17" t="n"/>
      <c r="G230" s="6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20" t="n"/>
      <c r="F231" s="17" t="n"/>
      <c r="G231" s="6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20" t="n"/>
      <c r="F232" s="17" t="n"/>
      <c r="G232" s="6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20" t="n"/>
      <c r="F233" s="17" t="n"/>
      <c r="G233" s="6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20" t="n"/>
      <c r="F234" s="17" t="n"/>
      <c r="G234" s="6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20" t="n"/>
      <c r="F235" s="17" t="n"/>
      <c r="G235" s="6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20" t="n"/>
      <c r="F236" s="17" t="n"/>
      <c r="G236" s="6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20" t="n"/>
      <c r="F237" s="17" t="n"/>
      <c r="G237" s="6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20" t="n"/>
      <c r="F238" s="17" t="n"/>
      <c r="G238" s="6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20" t="n"/>
      <c r="F239" s="17" t="n"/>
      <c r="G239" s="6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20" t="n"/>
      <c r="F240" s="17" t="n"/>
      <c r="G240" s="6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20" t="n"/>
      <c r="F241" s="17" t="n"/>
      <c r="G241" s="6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20" t="n"/>
      <c r="F242" s="17" t="n"/>
      <c r="G242" s="6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20" t="n"/>
      <c r="F243" s="17" t="n"/>
      <c r="G243" s="6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20" t="n"/>
      <c r="F244" s="17" t="n"/>
      <c r="G244" s="6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20" t="n"/>
      <c r="F245" s="17" t="n"/>
      <c r="G245" s="6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20" t="n"/>
      <c r="F246" s="17" t="n"/>
      <c r="G246" s="6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20" t="n"/>
      <c r="F247" s="17" t="n"/>
      <c r="G247" s="6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20" t="n"/>
      <c r="F248" s="17" t="n"/>
      <c r="G248" s="6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20" t="n"/>
      <c r="F249" s="17" t="n"/>
      <c r="G249" s="6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20" t="n"/>
      <c r="F250" s="17" t="n"/>
      <c r="G250" s="6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20" t="n"/>
      <c r="F251" s="17" t="n"/>
      <c r="G251" s="6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20" t="n"/>
      <c r="F252" s="17" t="n"/>
      <c r="G252" s="6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20" t="n"/>
      <c r="F253" s="17" t="n"/>
      <c r="G253" s="6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20" t="n"/>
      <c r="F254" s="17" t="n"/>
      <c r="G254" s="6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20" t="n"/>
      <c r="F255" s="17" t="n"/>
      <c r="G255" s="6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15.5" customWidth="1" min="2" max="2"/>
    <col width="15.5" customWidth="1" min="3" max="3"/>
    <col width="14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DONEM ANALIZ — Kira Portföyü Getiri Komutası</t>
        </is>
      </c>
    </row>
    <row r="2"/>
    <row r="3" ht="22" customHeight="1">
      <c r="A3" s="196" t="inlineStr">
        <is>
          <t>12 aylık sezonsallık — tahsilat ve doluluk zinciri (S03)</t>
        </is>
      </c>
    </row>
    <row r="4"/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62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62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62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62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62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62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62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62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62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62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62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62" t="n">
        <v>0.87</v>
      </c>
      <c r="F17" s="7" t="inlineStr">
        <is>
          <t>12_AY_SEZONSAL</t>
        </is>
      </c>
    </row>
    <row r="18"/>
    <row r="19"/>
    <row r="20">
      <c r="A20" s="25" t="inlineStr">
        <is>
          <t>Sezonsal Trend Özeti</t>
        </is>
      </c>
      <c r="B20" s="8">
        <f>kpg_sezonsalTrend</f>
        <v/>
      </c>
    </row>
    <row r="21"/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62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62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2744"/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HESAP — Kira Portföyü Getiri Komutası</t>
        </is>
      </c>
    </row>
    <row r="2"/>
    <row r="3" ht="22" customHeight="1">
      <c r="A3" s="196" t="inlineStr">
        <is>
          <t>Hesap motoru — ≥40 adım; sabitler AYARLAR'dan</t>
        </is>
      </c>
    </row>
    <row r="4"/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62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62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62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62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62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62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62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62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62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62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62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6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2744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5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ALARMLAR — Kira Portföyü Getiri Komutası</t>
        </is>
      </c>
    </row>
    <row r="2"/>
    <row r="3" ht="22" customHeight="1">
      <c r="A3" s="196" t="inlineStr">
        <is>
          <t>Alarm listesi — varlık + eşik + süre (S05)</t>
        </is>
      </c>
    </row>
    <row r="4"/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62">
        <f>IFERROR(ABS(E6-kpg_esikDoluluk),0)</f>
        <v/>
      </c>
      <c r="D6" s="64">
        <f>raporTarihi</f>
        <v/>
      </c>
      <c r="E6" s="62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62">
        <f>IFERROR(ABS(E7-kpg_esikDoluluk),0)</f>
        <v/>
      </c>
      <c r="D7" s="64">
        <f>raporTarihi</f>
        <v/>
      </c>
      <c r="E7" s="62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62">
        <f>IFERROR(ABS(E8-kpg_esikDoluluk),0)</f>
        <v/>
      </c>
      <c r="D8" s="64">
        <f>raporTarihi</f>
        <v/>
      </c>
      <c r="E8" s="62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62">
        <f>IFERROR(ABS(E9-kpg_esikDoluluk),0)</f>
        <v/>
      </c>
      <c r="D9" s="64">
        <f>raporTarihi</f>
        <v/>
      </c>
      <c r="E9" s="62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62">
        <f>IFERROR(ABS(E10-kpg_esikDoluluk),0)</f>
        <v/>
      </c>
      <c r="D10" s="64">
        <f>raporTarihi</f>
        <v/>
      </c>
      <c r="E10" s="62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62">
        <f>IFERROR(ABS(E11-kpg_esikDoluluk),0)</f>
        <v/>
      </c>
      <c r="D11" s="64">
        <f>raporTarihi</f>
        <v/>
      </c>
      <c r="E11" s="62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62">
        <f>IFERROR(ABS(E12-kpg_esikDoluluk),0)</f>
        <v/>
      </c>
      <c r="D12" s="64">
        <f>raporTarihi</f>
        <v/>
      </c>
      <c r="E12" s="62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62">
        <f>IFERROR(ABS(E13-kpg_esikDoluluk),0)</f>
        <v/>
      </c>
      <c r="D13" s="64">
        <f>raporTarihi</f>
        <v/>
      </c>
      <c r="E13" s="62">
        <f>IFERROR(SUMIF(tblVarliklar[VarlikId],A13,tblVarliklar[OrtDoluluk]),0)</f>
        <v/>
      </c>
      <c r="F13" s="26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kpg_alarmListesi</f>
        <v/>
      </c>
    </row>
    <row r="17"/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244.5" customWidth="1" min="1" max="1"/>
    <col width="33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RAPOR — Kira Portföyü Getiri Komutası</t>
        </is>
      </c>
    </row>
    <row r="2"/>
    <row r="3" ht="22" customHeight="1">
      <c r="A3" s="196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4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9"/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62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6"/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62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62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3"/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7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2744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KONTROLLER — Kira Portföyü Getiri Komutası</t>
        </is>
      </c>
    </row>
    <row r="2"/>
    <row r="3" ht="22" customHeight="1">
      <c r="A3" s="196" t="inlineStr">
        <is>
          <t>Canlı sağlık kontrolleri — formülle</t>
        </is>
      </c>
    </row>
    <row r="4"/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2744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13" customWidth="1" min="9" max="9"/>
  </cols>
  <sheetData>
    <row r="1" ht="32" customHeight="1">
      <c r="A1" s="176" t="inlineStr">
        <is>
          <t>ORNEK VERI — Kira Portföyü Getiri Komutası</t>
        </is>
      </c>
    </row>
    <row r="2"/>
    <row r="3" ht="22" customHeight="1">
      <c r="A3" s="196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64" t="n">
        <v>46242</v>
      </c>
      <c r="D6" s="23" t="n">
        <v>24640</v>
      </c>
      <c r="E6" s="26" t="n">
        <v>0</v>
      </c>
      <c r="F6" s="23" t="n">
        <v>1270</v>
      </c>
      <c r="G6" s="62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64" t="n">
        <v>46239</v>
      </c>
      <c r="D7" s="23" t="n">
        <v>20020</v>
      </c>
      <c r="E7" s="26" t="n">
        <v>0</v>
      </c>
      <c r="F7" s="23" t="n">
        <v>1740</v>
      </c>
      <c r="G7" s="62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64" t="n">
        <v>46236</v>
      </c>
      <c r="D8" s="23" t="n">
        <v>15792</v>
      </c>
      <c r="E8" s="26" t="n">
        <v>2</v>
      </c>
      <c r="F8" s="23" t="n">
        <v>2210</v>
      </c>
      <c r="G8" s="62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64" t="n">
        <v>46233</v>
      </c>
      <c r="D9" s="23" t="n">
        <v>13580</v>
      </c>
      <c r="E9" s="26" t="n">
        <v>0</v>
      </c>
      <c r="F9" s="23" t="n">
        <v>2200</v>
      </c>
      <c r="G9" s="62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64" t="n">
        <v>46230</v>
      </c>
      <c r="D10" s="23" t="n">
        <v>18417</v>
      </c>
      <c r="E10" s="26" t="n">
        <v>5</v>
      </c>
      <c r="F10" s="23" t="n">
        <v>2670</v>
      </c>
      <c r="G10" s="62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64" t="n">
        <v>46227</v>
      </c>
      <c r="D11" s="23" t="n">
        <v>9856</v>
      </c>
      <c r="E11" s="26" t="n">
        <v>2</v>
      </c>
      <c r="F11" s="23" t="n">
        <v>1040</v>
      </c>
      <c r="G11" s="62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64" t="n">
        <v>46224</v>
      </c>
      <c r="D12" s="23" t="n">
        <v>10010</v>
      </c>
      <c r="E12" s="26" t="n">
        <v>0</v>
      </c>
      <c r="F12" s="23" t="n">
        <v>1510</v>
      </c>
      <c r="G12" s="62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64" t="n">
        <v>46221</v>
      </c>
      <c r="D13" s="23" t="n">
        <v>8930</v>
      </c>
      <c r="E13" s="26" t="n">
        <v>0</v>
      </c>
      <c r="F13" s="23" t="n">
        <v>1500</v>
      </c>
      <c r="G13" s="62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64" t="n">
        <v>46218</v>
      </c>
      <c r="D14" s="23" t="n">
        <v>25349</v>
      </c>
      <c r="E14" s="26" t="n">
        <v>2</v>
      </c>
      <c r="F14" s="23" t="n">
        <v>1970</v>
      </c>
      <c r="G14" s="62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64" t="n">
        <v>46215</v>
      </c>
      <c r="D15" s="23" t="n">
        <v>16830</v>
      </c>
      <c r="E15" s="26" t="n">
        <v>3</v>
      </c>
      <c r="F15" s="23" t="n">
        <v>2440</v>
      </c>
      <c r="G15" s="62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64" t="n">
        <v>46212</v>
      </c>
      <c r="D16" s="23" t="n">
        <v>15840</v>
      </c>
      <c r="E16" s="26" t="n">
        <v>0</v>
      </c>
      <c r="F16" s="23" t="n">
        <v>2910</v>
      </c>
      <c r="G16" s="62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64" t="n">
        <v>46209</v>
      </c>
      <c r="D17" s="23" t="n">
        <v>11891</v>
      </c>
      <c r="E17" s="26" t="n">
        <v>2</v>
      </c>
      <c r="F17" s="23" t="n">
        <v>800</v>
      </c>
      <c r="G17" s="62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64" t="n">
        <v>46206</v>
      </c>
      <c r="D18" s="23" t="n">
        <v>24440</v>
      </c>
      <c r="E18" s="26" t="n">
        <v>0</v>
      </c>
      <c r="F18" s="23" t="n">
        <v>1270</v>
      </c>
      <c r="G18" s="62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64" t="n">
        <v>46203</v>
      </c>
      <c r="D19" s="23" t="n">
        <v>11640</v>
      </c>
      <c r="E19" s="26" t="n">
        <v>0</v>
      </c>
      <c r="F19" s="23" t="n">
        <v>1740</v>
      </c>
      <c r="G19" s="62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64" t="n">
        <v>46200</v>
      </c>
      <c r="D20" s="23" t="n">
        <v>9038</v>
      </c>
      <c r="E20" s="26" t="n">
        <v>1</v>
      </c>
      <c r="F20" s="23" t="n">
        <v>2210</v>
      </c>
      <c r="G20" s="62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64" t="n">
        <v>46197</v>
      </c>
      <c r="D21" s="23" t="n">
        <v>8360</v>
      </c>
      <c r="E21" s="26" t="n">
        <v>0</v>
      </c>
      <c r="F21" s="23" t="n">
        <v>2200</v>
      </c>
      <c r="G21" s="62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64" t="n">
        <v>46194</v>
      </c>
      <c r="D22" s="23" t="n">
        <v>25480</v>
      </c>
      <c r="E22" s="26" t="n">
        <v>0</v>
      </c>
      <c r="F22" s="23" t="n">
        <v>2670</v>
      </c>
      <c r="G22" s="62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64" t="n">
        <v>46191</v>
      </c>
      <c r="D23" s="23" t="n">
        <v>19301</v>
      </c>
      <c r="E23" s="26" t="n">
        <v>2</v>
      </c>
      <c r="F23" s="23" t="n">
        <v>1040</v>
      </c>
      <c r="G23" s="62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64" t="n">
        <v>46188</v>
      </c>
      <c r="D24" s="23" t="n">
        <v>17460</v>
      </c>
      <c r="E24" s="26" t="n">
        <v>0</v>
      </c>
      <c r="F24" s="23" t="n">
        <v>1510</v>
      </c>
      <c r="G24" s="62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64" t="n">
        <v>46185</v>
      </c>
      <c r="D25" s="23" t="n">
        <v>9520</v>
      </c>
      <c r="E25" s="26" t="n">
        <v>6</v>
      </c>
      <c r="F25" s="23" t="n">
        <v>1500</v>
      </c>
      <c r="G25" s="62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2744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6" t="inlineStr">
        <is>
          <t>LISTELER — Kira Portföyü Getiri Komutası</t>
        </is>
      </c>
    </row>
    <row r="2"/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4"/>
    <row r="5"/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2744"/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8" defaultRowHeight="15"/>
  <cols>
    <col width="27.5" customWidth="1" min="1" max="1"/>
    <col width="38.5" customWidth="1" min="2" max="2"/>
    <col width="10" customWidth="1" min="3" max="3"/>
    <col width="30.5" customWidth="1" min="4" max="4"/>
    <col width="19.5" customWidth="1" min="5" max="5"/>
    <col width="3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6" t="inlineStr">
        <is>
          <t>AYARLAR — Kira Portföyü Getiri Komutası</t>
        </is>
      </c>
    </row>
    <row r="2"/>
    <row r="3" ht="22" customHeight="1">
      <c r="A3" s="196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6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6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6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6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6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6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6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6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6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6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6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6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29"/>
    <row r="30"/>
    <row r="31"/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0"/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2744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KILAVUZ — Kira Portföyü Getiri Komutası</t>
        </is>
      </c>
    </row>
    <row r="2"/>
    <row r="3" ht="22" customHeight="1">
      <c r="A3" s="197" t="inlineStr">
        <is>
          <t>Kullanım Kılavuzu</t>
        </is>
      </c>
    </row>
    <row r="4"/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2026-09-25T21:23:36Z</dcterms:modified>
</cp:coreProperties>
</file>