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VARLIKLAR" sheetId="5" state="visible" r:id="rId5"/>
    <sheet xmlns:r="http://schemas.openxmlformats.org/officeDocument/2006/relationships" name="GUNLUK_GIRIS" sheetId="6" state="visible" r:id="rId6"/>
    <sheet xmlns:r="http://schemas.openxmlformats.org/officeDocument/2006/relationships" name="DONEM_ANALIZ" sheetId="7" state="visible" r:id="rId7"/>
    <sheet xmlns:r="http://schemas.openxmlformats.org/officeDocument/2006/relationships" name="HESAP" sheetId="8" state="visible" r:id="rId8"/>
    <sheet xmlns:r="http://schemas.openxmlformats.org/officeDocument/2006/relationships" name="ALARMLAR" sheetId="9" state="visible" r:id="rId9"/>
    <sheet xmlns:r="http://schemas.openxmlformats.org/officeDocument/2006/relationships" name="RAPOR" sheetId="10" state="visible" r:id="rId10"/>
    <sheet xmlns:r="http://schemas.openxmlformats.org/officeDocument/2006/relationships" name="KONTROLLER" sheetId="11" state="visible" r:id="rId11"/>
    <sheet xmlns:r="http://schemas.openxmlformats.org/officeDocument/2006/relationships" name="ORNEK_VERI" sheetId="12" state="visible" r:id="rId12"/>
    <sheet xmlns:r="http://schemas.openxmlformats.org/officeDocument/2006/relationships" name="LISTELER" sheetId="13" state="visible" r:id="rId13"/>
    <sheet xmlns:r="http://schemas.openxmlformats.org/officeDocument/2006/relationships" name="AYARLAR" sheetId="14" state="visible" r:id="rId14"/>
    <sheet xmlns:r="http://schemas.openxmlformats.org/officeDocument/2006/relationships" name="KILAVUZ" sheetId="15" state="visible" r:id="rId15"/>
  </sheets>
  <definedNames>
    <definedName name="raporTarihi">AYARLAR!$B$6</definedName>
    <definedName name="kpg_varsayilanHedefKira">AYARLAR!$B$7</definedName>
    <definedName name="kpg_esikDoluluk">AYARLAR!$B$8</definedName>
    <definedName name="kpg_esikGetiri">AYARLAR!$B$9</definedName>
    <definedName name="kpg_esikSaglik">AYARLAR!$B$10</definedName>
    <definedName name="kpg_gunAy">AYARLAR!$B$11</definedName>
    <definedName name="kpg_aylikCarpan">AYARLAR!$B$12</definedName>
    <definedName name="kpg_senaryoTemkinli">AYARLAR!$B$13</definedName>
    <definedName name="kpg_senaryoBaz">AYARLAR!$B$14</definedName>
    <definedName name="kpg_senaryoIyimser">AYARLAR!$B$15</definedName>
    <definedName name="kpg_tornadoOran">AYARLAR!$B$16</definedName>
    <definedName name="kpg_yuzdelikOran">AYARLAR!$B$17</definedName>
    <definedName name="kpg_percentileOran">AYARLAR!$B$18</definedName>
    <definedName name="kpg_tahminCarpan">AYARLAR!$B$19</definedName>
    <definedName name="kpg_olcekHedef">AYARLAR!$B$20</definedName>
    <definedName name="kpg_kaliteTaban">AYARLAR!$B$21</definedName>
    <definedName name="kpg_kaliteCeza">AYARLAR!$B$22</definedName>
    <definedName name="kpg_kaliteSapma">AYARLAR!$B$23</definedName>
    <definedName name="kpg_dosyaSurumu">AYARLAR!$B$24</definedName>
    <definedName name="kpg_firmaUnvan">AYARLAR!$B$25</definedName>
    <definedName name="kpg_alarmEsikMetin">AYARLAR!$B$26</definedName>
    <definedName name="kpg_tufeReferans">AYARLAR!$B$27</definedName>
    <definedName name="kpg_boslukMaliyetCarpan">AYARLAR!$B$28</definedName>
    <definedName name="Ay_1">DONEM_ANALIZ!$B$6</definedName>
    <definedName name="Ay_2">DONEM_ANALIZ!$B$7</definedName>
    <definedName name="Ay_3">DONEM_ANALIZ!$B$8</definedName>
    <definedName name="Ay_4">DONEM_ANALIZ!$B$9</definedName>
    <definedName name="Ay_5">DONEM_ANALIZ!$B$10</definedName>
    <definedName name="Ay_6">DONEM_ANALIZ!$B$11</definedName>
    <definedName name="Ay_7">DONEM_ANALIZ!$B$12</definedName>
    <definedName name="Ay_8">DONEM_ANALIZ!$B$13</definedName>
    <definedName name="Ay_9">DONEM_ANALIZ!$B$14</definedName>
    <definedName name="Ay_10">DONEM_ANALIZ!$B$15</definedName>
    <definedName name="Ay_11">DONEM_ANALIZ!$B$16</definedName>
    <definedName name="Ay_12">DONEM_ANALIZ!$B$17</definedName>
    <definedName name="kpg_doluKayit">AYARLAR!$I$34</definedName>
    <definedName name="kpg_toplamTahsilat">AYARLAR!$I$35</definedName>
    <definedName name="kpg_toplamGider">AYARLAR!$I$36</definedName>
    <definedName name="kpg_ortDoluluk">AYARLAR!$I$37</definedName>
    <definedName name="kpg_ortGetiri">AYARLAR!$I$38</definedName>
    <definedName name="kpg_netTahsilat">AYARLAR!$I$39</definedName>
    <definedName name="kpg_gunlukDolulukOrt">AYARLAR!$I$40</definedName>
    <definedName name="kpg_aylikTahsilatTrend">AYARLAR!$I$41</definedName>
    <definedName name="kpg_saglikSkor">AYARLAR!$I$42</definedName>
    <definedName name="kpg_alarmAdet">AYARLAR!$I$43</definedName>
    <definedName name="kpg_yetimAdet">AYARLAR!$I$44</definedName>
    <definedName name="kpg_getiriSapma">AYARLAR!$I$45</definedName>
    <definedName name="kpg_tornadoZirve">AYARLAR!$I$46</definedName>
    <definedName name="kpg_senaryoKarsilastirma">AYARLAR!$I$47</definedName>
    <definedName name="kpg_hhi">AYARLAR!$I$48</definedName>
    <definedName name="kpg_kaliteSkor">AYARLAR!$I$49</definedName>
    <definedName name="kpg_senaryoMotor">AYARLAR!$I$50</definedName>
    <definedName name="kpg_tahminAralik">AYARLAR!$I$51</definedName>
    <definedName name="kpg_yuzdelikP90">AYARLAR!$I$52</definedName>
    <definedName name="kpg_olayKirilim">AYARLAR!$I$53</definedName>
    <definedName name="kpg_ortTufeArtis">AYARLAR!$I$54</definedName>
    <definedName name="kpg_sezonsalTrend">AYARLAR!$I$55</definedName>
    <definedName name="kpg_alarmListesi">AYARLAR!$I$56</definedName>
    <definedName name="kpg_kararKapi">AYARLAR!$I$57</definedName>
    <definedName name="kpg_kararGerekce">AYARLAR!$I$58</definedName>
    <definedName name="kpg_sonrakiKimlik">AYARLAR!$I$59</definedName>
    <definedName name="kpg_yorumGunluk">AYARLAR!$I$62</definedName>
    <definedName name="kpg_yorumAylik">AYARLAR!$I$63</definedName>
    <definedName name="kpg_yorumSapma">AYARLAR!$I$64</definedName>
    <definedName name="kpg_yorumTornado">AYARLAR!$I$65</definedName>
    <definedName name="kpg_yorumSenaryo">AYARLAR!$I$66</definedName>
    <definedName name="kpg_yorumHhi">AYARLAR!$I$67</definedName>
    <definedName name="kpg_yorumKalite">AYARLAR!$I$68</definedName>
    <definedName name="kpg_yorumSenMotor">AYARLAR!$I$69</definedName>
    <definedName name="kpg_yorumTahmin">AYARLAR!$I$70</definedName>
    <definedName name="kpg_yorumP90">AYARLAR!$I$71</definedName>
    <definedName name="ListeEvetHayir">LISTELER!$A$7:$A$8</definedName>
    <definedName name="ListeOlayTuru">LISTELER!$C$7:$C$12</definedName>
    <definedName name="ListeMulkTipi">LISTELER!$E$7:$E$10</definedName>
    <definedName name="_xlnm.Print_Area" localSheetId="9">'RAPOR'!$A$1:$F$35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₺ #,##0;[Red](₺ #,##0);-"/>
    <numFmt numFmtId="166" formatCode="dd.mm.yyyy"/>
    <numFmt numFmtId="167" formatCode="0.0%;[Red](0.0%);-"/>
    <numFmt numFmtId="168" formatCode="#,##0 &quot;TL&quot;"/>
    <numFmt numFmtId="169" formatCode="0.0%"/>
    <numFmt numFmtId="170" formatCode="₺#,##0"/>
  </numFmts>
  <fonts count="6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6"/>
    </font>
    <font>
      <name val="Segoe UI"/>
      <b val="1"/>
      <color rgb="00000000"/>
      <sz val="12"/>
    </font>
    <font>
      <name val="Segoe UI"/>
      <b val="1"/>
      <color rgb="00000000"/>
      <sz val="14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0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6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8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7" borderId="0" applyAlignment="1" pivotButton="0" quotePrefix="0" xfId="0">
      <alignment horizontal="center" vertical="center"/>
    </xf>
    <xf numFmtId="0" fontId="27" fillId="0" borderId="0" pivotButton="0" quotePrefix="0" xfId="0"/>
    <xf numFmtId="168" fontId="27" fillId="0" borderId="0" pivotButton="0" quotePrefix="0" xfId="0"/>
    <xf numFmtId="168" fontId="28" fillId="0" borderId="0" pivotButton="0" quotePrefix="0" xfId="0"/>
    <xf numFmtId="169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/>
    </xf>
    <xf numFmtId="0" fontId="28" fillId="0" borderId="0" pivotButton="0" quotePrefix="0" xfId="0"/>
    <xf numFmtId="0" fontId="32" fillId="9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27" fillId="0" borderId="0" applyAlignment="1" pivotButton="0" quotePrefix="0" xfId="0">
      <alignment wrapText="1"/>
    </xf>
    <xf numFmtId="166" fontId="8" fillId="5" borderId="0" applyAlignment="1" applyProtection="1" pivotButton="0" quotePrefix="0" xfId="0">
      <alignment horizontal="left" vertical="center"/>
      <protection locked="0" hidden="0"/>
    </xf>
    <xf numFmtId="167" fontId="8" fillId="5" borderId="0" applyAlignment="1" applyProtection="1" pivotButton="0" quotePrefix="0" xfId="0">
      <alignment horizontal="left" vertical="center"/>
      <protection locked="0" hidden="0"/>
    </xf>
    <xf numFmtId="167" fontId="6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35" fillId="0" borderId="0" pivotButton="0" quotePrefix="0" xfId="0"/>
    <xf numFmtId="0" fontId="36" fillId="0" borderId="2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3" pivotButton="0" quotePrefix="0" xfId="0"/>
    <xf numFmtId="0" fontId="0" fillId="0" borderId="2" pivotButton="0" quotePrefix="0" xfId="0"/>
    <xf numFmtId="0" fontId="37" fillId="11" borderId="2" applyAlignment="1" pivotButton="0" quotePrefix="0" xfId="0">
      <alignment horizontal="center"/>
    </xf>
    <xf numFmtId="0" fontId="23" fillId="0" borderId="4" pivotButton="0" quotePrefix="0" xfId="0"/>
    <xf numFmtId="0" fontId="39" fillId="12" borderId="2" applyAlignment="1" pivotButton="0" quotePrefix="0" xfId="0">
      <alignment horizontal="center"/>
    </xf>
    <xf numFmtId="0" fontId="38" fillId="13" borderId="2" applyAlignment="1" pivotButton="0" quotePrefix="0" xfId="0">
      <alignment horizontal="center"/>
    </xf>
    <xf numFmtId="0" fontId="23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9" fillId="0" borderId="3" pivotButton="0" quotePrefix="0" xfId="0"/>
    <xf numFmtId="0" fontId="40" fillId="0" borderId="4" pivotButton="0" quotePrefix="0" xfId="0"/>
    <xf numFmtId="0" fontId="41" fillId="0" borderId="5" pivotButton="0" quotePrefix="0" xfId="0"/>
    <xf numFmtId="0" fontId="38" fillId="0" borderId="3" pivotButton="0" quotePrefix="0" xfId="0"/>
    <xf numFmtId="0" fontId="33" fillId="0" borderId="4" pivotButton="0" quotePrefix="0" xfId="0"/>
    <xf numFmtId="0" fontId="38" fillId="0" borderId="5" pivotButton="0" quotePrefix="0" xfId="0"/>
    <xf numFmtId="0" fontId="42" fillId="14" borderId="0" applyAlignment="1" pivotButton="0" quotePrefix="0" xfId="0">
      <alignment horizontal="center"/>
    </xf>
    <xf numFmtId="0" fontId="43" fillId="0" borderId="0" pivotButton="0" quotePrefix="0" xfId="0"/>
    <xf numFmtId="0" fontId="42" fillId="15" borderId="0" applyAlignment="1" pivotButton="0" quotePrefix="0" xfId="0">
      <alignment horizontal="center" vertical="center"/>
    </xf>
    <xf numFmtId="0" fontId="43" fillId="0" borderId="2" pivotButton="0" quotePrefix="0" xfId="0"/>
    <xf numFmtId="0" fontId="44" fillId="0" borderId="2" pivotButton="0" quotePrefix="0" xfId="0"/>
    <xf numFmtId="0" fontId="45" fillId="0" borderId="2" pivotButton="0" quotePrefix="0" xfId="0"/>
    <xf numFmtId="0" fontId="46" fillId="16" borderId="2" applyAlignment="1" pivotButton="0" quotePrefix="0" xfId="0">
      <alignment horizontal="center"/>
    </xf>
    <xf numFmtId="0" fontId="42" fillId="7" borderId="0" pivotButton="0" quotePrefix="0" xfId="0"/>
    <xf numFmtId="0" fontId="47" fillId="7" borderId="0" pivotButton="0" quotePrefix="0" xfId="0"/>
    <xf numFmtId="0" fontId="48" fillId="7" borderId="0" pivotButton="0" quotePrefix="0" xfId="0"/>
    <xf numFmtId="0" fontId="0" fillId="7" borderId="0" pivotButton="0" quotePrefix="0" xfId="0"/>
    <xf numFmtId="0" fontId="20" fillId="7" borderId="0" applyAlignment="1" pivotButton="0" quotePrefix="0" xfId="0">
      <alignment horizontal="center"/>
    </xf>
    <xf numFmtId="0" fontId="36" fillId="0" borderId="0" pivotButton="0" quotePrefix="0" xfId="0"/>
    <xf numFmtId="0" fontId="51" fillId="17" borderId="0" pivotButton="0" quotePrefix="0" xfId="0"/>
    <xf numFmtId="0" fontId="0" fillId="17" borderId="0" pivotButton="0" quotePrefix="0" xfId="0"/>
    <xf numFmtId="0" fontId="38" fillId="0" borderId="0" pivotButton="0" quotePrefix="0" xfId="0"/>
    <xf numFmtId="0" fontId="26" fillId="17" borderId="0" pivotButton="0" quotePrefix="0" xfId="0"/>
    <xf numFmtId="0" fontId="52" fillId="17" borderId="0" applyAlignment="1" pivotButton="0" quotePrefix="0" xfId="0">
      <alignment wrapText="1"/>
    </xf>
    <xf numFmtId="0" fontId="49" fillId="0" borderId="0" pivotButton="0" quotePrefix="0" xfId="0"/>
    <xf numFmtId="0" fontId="50" fillId="0" borderId="0" pivotButton="0" quotePrefix="0" xfId="0"/>
    <xf numFmtId="0" fontId="38" fillId="13" borderId="6" applyAlignment="1" pivotButton="0" quotePrefix="0" xfId="0">
      <alignment horizontal="center" vertical="center"/>
    </xf>
    <xf numFmtId="0" fontId="53" fillId="18" borderId="0" applyAlignment="1" pivotButton="0" quotePrefix="0" xfId="0">
      <alignment horizontal="center" vertical="center"/>
    </xf>
    <xf numFmtId="0" fontId="17" fillId="19" borderId="2" applyAlignment="1" pivotButton="0" quotePrefix="0" xfId="0">
      <alignment vertical="center"/>
    </xf>
    <xf numFmtId="0" fontId="37" fillId="11" borderId="0" applyAlignment="1" pivotButton="0" quotePrefix="0" xfId="0">
      <alignment horizontal="center" vertical="center"/>
    </xf>
    <xf numFmtId="0" fontId="38" fillId="13" borderId="0" applyAlignment="1" pivotButton="0" quotePrefix="0" xfId="0">
      <alignment horizontal="center" vertical="center"/>
    </xf>
    <xf numFmtId="0" fontId="54" fillId="7" borderId="0" applyAlignment="1" pivotButton="0" quotePrefix="0" xfId="0">
      <alignment horizontal="center" vertical="center"/>
    </xf>
    <xf numFmtId="0" fontId="55" fillId="19" borderId="2" applyAlignment="1" pivotButton="0" quotePrefix="0" xfId="0">
      <alignment horizontal="center"/>
    </xf>
    <xf numFmtId="0" fontId="56" fillId="19" borderId="2" applyAlignment="1" pivotButton="0" quotePrefix="0" xfId="0">
      <alignment horizontal="center"/>
    </xf>
    <xf numFmtId="0" fontId="55" fillId="19" borderId="2" pivotButton="0" quotePrefix="0" xfId="0"/>
    <xf numFmtId="170" fontId="56" fillId="19" borderId="2" applyAlignment="1" pivotButton="0" quotePrefix="0" xfId="0">
      <alignment horizontal="right"/>
    </xf>
    <xf numFmtId="9" fontId="55" fillId="19" borderId="2" applyAlignment="1" pivotButton="0" quotePrefix="0" xfId="0">
      <alignment horizontal="center"/>
    </xf>
    <xf numFmtId="170" fontId="55" fillId="19" borderId="2" applyAlignment="1" pivotButton="0" quotePrefix="0" xfId="0">
      <alignment horizontal="right"/>
    </xf>
    <xf numFmtId="0" fontId="38" fillId="19" borderId="2" applyAlignment="1" pivotButton="0" quotePrefix="0" xfId="0">
      <alignment horizontal="center"/>
    </xf>
    <xf numFmtId="0" fontId="55" fillId="18" borderId="2" applyAlignment="1" pivotButton="0" quotePrefix="0" xfId="0">
      <alignment horizontal="center"/>
    </xf>
    <xf numFmtId="0" fontId="56" fillId="18" borderId="2" applyAlignment="1" pivotButton="0" quotePrefix="0" xfId="0">
      <alignment horizontal="center"/>
    </xf>
    <xf numFmtId="0" fontId="55" fillId="18" borderId="2" pivotButton="0" quotePrefix="0" xfId="0"/>
    <xf numFmtId="170" fontId="56" fillId="18" borderId="2" applyAlignment="1" pivotButton="0" quotePrefix="0" xfId="0">
      <alignment horizontal="right"/>
    </xf>
    <xf numFmtId="9" fontId="55" fillId="18" borderId="2" applyAlignment="1" pivotButton="0" quotePrefix="0" xfId="0">
      <alignment horizontal="center"/>
    </xf>
    <xf numFmtId="170" fontId="55" fillId="18" borderId="2" applyAlignment="1" pivotButton="0" quotePrefix="0" xfId="0">
      <alignment horizontal="right"/>
    </xf>
    <xf numFmtId="0" fontId="43" fillId="18" borderId="2" applyAlignment="1" pivotButton="0" quotePrefix="0" xfId="0">
      <alignment horizontal="center"/>
    </xf>
    <xf numFmtId="0" fontId="38" fillId="18" borderId="2" applyAlignment="1" pivotButton="0" quotePrefix="0" xfId="0">
      <alignment horizontal="center"/>
    </xf>
    <xf numFmtId="0" fontId="39" fillId="18" borderId="2" applyAlignment="1" pivotButton="0" quotePrefix="0" xfId="0">
      <alignment horizontal="center"/>
    </xf>
    <xf numFmtId="0" fontId="26" fillId="7" borderId="0" applyAlignment="1" pivotButton="0" quotePrefix="0" xfId="0">
      <alignment vertical="center" indent="1"/>
    </xf>
    <xf numFmtId="170" fontId="57" fillId="7" borderId="0" applyAlignment="1" pivotButton="0" quotePrefix="0" xfId="0">
      <alignment horizontal="right" vertical="center"/>
    </xf>
    <xf numFmtId="0" fontId="58" fillId="0" borderId="7" pivotButton="0" quotePrefix="0" xfId="0"/>
    <xf numFmtId="0" fontId="59" fillId="0" borderId="7" pivotButton="0" quotePrefix="0" xfId="0"/>
    <xf numFmtId="0" fontId="60" fillId="0" borderId="7" pivotButton="0" quotePrefix="0" xfId="0"/>
    <xf numFmtId="0" fontId="61" fillId="20" borderId="2" applyAlignment="1" pivotButton="0" quotePrefix="0" xfId="0">
      <alignment horizontal="center" vertical="center"/>
    </xf>
    <xf numFmtId="0" fontId="65" fillId="11" borderId="2" applyAlignment="1" pivotButton="0" quotePrefix="0" xfId="0">
      <alignment horizontal="center" vertical="center"/>
    </xf>
    <xf numFmtId="0" fontId="62" fillId="0" borderId="2" pivotButton="0" quotePrefix="0" xfId="0"/>
    <xf numFmtId="0" fontId="61" fillId="0" borderId="2" applyAlignment="1" pivotButton="0" quotePrefix="0" xfId="0">
      <alignment horizontal="right"/>
    </xf>
    <xf numFmtId="0" fontId="65" fillId="0" borderId="2" applyAlignment="1" pivotButton="0" quotePrefix="0" xfId="0">
      <alignment horizontal="right"/>
    </xf>
    <xf numFmtId="0" fontId="36" fillId="0" borderId="2" applyAlignment="1" pivotButton="0" quotePrefix="0" xfId="0">
      <alignment horizontal="right"/>
    </xf>
    <xf numFmtId="0" fontId="63" fillId="0" borderId="2" applyAlignment="1" pivotButton="0" quotePrefix="0" xfId="0">
      <alignment horizontal="right"/>
    </xf>
    <xf numFmtId="0" fontId="64" fillId="12" borderId="8" applyAlignment="1" pivotButton="0" quotePrefix="0" xfId="0">
      <alignment horizontal="center" vertical="center"/>
    </xf>
    <xf numFmtId="0" fontId="66" fillId="11" borderId="9" applyAlignment="1" pivotButton="0" quotePrefix="0" xfId="0">
      <alignment horizontal="center" vertical="center"/>
    </xf>
    <xf numFmtId="0" fontId="6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Tahsilat Sezonsallığı</a:t>
            </a:r>
          </a:p>
        </rich>
      </tx>
    </title>
    <plotArea>
      <lineChart>
        <grouping val="standard"/>
        <ser>
          <idx val="0"/>
          <order val="0"/>
          <tx>
            <strRef>
              <f>'DONEM_ANALIZ'!C5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'DONEM_ANALIZ'!$A$6:$A$17</f>
            </numRef>
          </cat>
          <val>
            <numRef>
              <f>'DONEM_ANALIZ'!$C$6:$C$17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Doluluk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'DONEM_ANALIZ'!E5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'DONEM_ANALIZ'!$A$6:$A$17</f>
            </numRef>
          </cat>
          <val>
            <numRef>
              <f>'DONEM_ANALIZ'!$E$6:$E$17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KIR-00009 | Risk: Elle çakışma</t>
      </text>
    </comment>
    <comment ref="A6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6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6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6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6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6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6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6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7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7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7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7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7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7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7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7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8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8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8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8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8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8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8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8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9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9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9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9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9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9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9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9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10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10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10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10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10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10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10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10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11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11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11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11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11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11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11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11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12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12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12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12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12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12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12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12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13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13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13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13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13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13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13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13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1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6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6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6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6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6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6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6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7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7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7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7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7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7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7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7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8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8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8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8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8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8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8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8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9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9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9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9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9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9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9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9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0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0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0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0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0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0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0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0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1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1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1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1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1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1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1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1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2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2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2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2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2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2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2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2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3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3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3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3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3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3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3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3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4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4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4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4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4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4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4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4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5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5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5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5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5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5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5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5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6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6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6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6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6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6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6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6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7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7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7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7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7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7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7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7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8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8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8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8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8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8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8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8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9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9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9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9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9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9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9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9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0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0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0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0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0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0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0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0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1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1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1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1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1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1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1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1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2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2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2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2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2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2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2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2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3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3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3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3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3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3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3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3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4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4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4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4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4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4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4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4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5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5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5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5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5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5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5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5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6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6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6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6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6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6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6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6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7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7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7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7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7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7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7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7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8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8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8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8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8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8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8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8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9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9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9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9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9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9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9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9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0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0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0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0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0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0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0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0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1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1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1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1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1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1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1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1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2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2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2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2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2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2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2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2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3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3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3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3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3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3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3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3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4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4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4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4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4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4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4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4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5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5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5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5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5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5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5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5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6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6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6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6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6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6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6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6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7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7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7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7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7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7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7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7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8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8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8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8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8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8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8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8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9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9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9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9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9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9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9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9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40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40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40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40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40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40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40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40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41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41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41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41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41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41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41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41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4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Seçim | Neden önemli: Kira doluluk ve getiri kararını etkiler | Doğru kullanım: EVET/HAYIR | Örnek: hücredeki örnek değere bakın | Risk: Yanlış giriş hatalı karar üretir</t>
      </text>
    </comment>
    <comment ref="C7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  <comment ref="E7" authorId="0" shapeId="0">
      <text>
        <t>Tanım: Tip | Neden önemli: Kira doluluk ve getiri kararını etkiler | Doğru kullanım: Mülk tipi | Örnek: hücredeki örnek değere bakın | Risk: Yanlış giriş hatalı karar üretir</t>
      </text>
    </comment>
    <comment ref="A8" authorId="0" shapeId="0">
      <text>
        <t>Tanım: Seçim | Neden önemli: Kira doluluk ve getiri kararını etkiler | Doğru kullanım: EVET/HAYIR | Örnek: hücredeki örnek değere bakın | Risk: Yanlış giriş hatalı karar üretir</t>
      </text>
    </comment>
    <comment ref="C8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  <comment ref="E8" authorId="0" shapeId="0">
      <text>
        <t>Tanım: Tip | Neden önemli: Kira doluluk ve getiri kararını etkiler | Doğru kullanım: Mülk tipi | Örnek: hücredeki örnek değere bakın | Risk: Yanlış giriş hatalı karar üretir</t>
      </text>
    </comment>
    <comment ref="C9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  <comment ref="E9" authorId="0" shapeId="0">
      <text>
        <t>Tanım: Tip | Neden önemli: Kira doluluk ve getiri kararını etkiler | Doğru kullanım: Mülk tipi | Örnek: hücredeki örnek değere bakın | Risk: Yanlış giriş hatalı karar üretir</t>
      </text>
    </comment>
    <comment ref="C10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  <comment ref="E10" authorId="0" shapeId="0">
      <text>
        <t>Tanım: Tip | Neden önemli: Kira doluluk ve getiri kararını etkiler | Doğru kullanım: Mülk tipi | Örnek: hücredeki örnek değere bakın | Risk: Yanlış giriş hatalı karar üretir</t>
      </text>
    </comment>
    <comment ref="C11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  <comment ref="C12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Kira doluluk ve getiri kararını etkiler | Doğru kullanım: Rapor tarihi (TODAY yok) | Örnek: hücredeki örnek değere bakın | Risk: Yanlış giriş hatalı karar üretir</t>
      </text>
    </comment>
    <comment ref="B7" authorId="0" shapeId="0">
      <text>
        <t>Tanım: kpg_varsayilanHedefKira | Neden önemli: Kira doluluk ve getiri kararını etkiler | Doğru kullanım: Varsayılan aylık hedef kira | Örnek: hücredeki örnek değere bakın | Risk: Yanlış giriş hatalı karar üretir</t>
      </text>
    </comment>
    <comment ref="B8" authorId="0" shapeId="0">
      <text>
        <t>Tanım: kpg_esikDoluluk | Neden önemli: Kira doluluk ve getiri kararını etkiler | Doğru kullanım: Doluluk alt alarm eşiği | Örnek: hücredeki örnek değere bakın | Risk: Yanlış giriş hatalı karar üretir</t>
      </text>
    </comment>
    <comment ref="B9" authorId="0" shapeId="0">
      <text>
        <t>Tanım: kpg_esikGetiri | Neden önemli: Kira doluluk ve getiri kararını etkiler | Doğru kullanım: Getiri (tahsilat/hedef) alt eşiği | Örnek: hücredeki örnek değere bakın | Risk: Yanlış giriş hatalı karar üretir</t>
      </text>
    </comment>
    <comment ref="B10" authorId="0" shapeId="0">
      <text>
        <t>Tanım: kpg_esikSaglik | Neden önemli: Kira doluluk ve getiri kararını etkiler | Doğru kullanım: Sağlık skor alt eşiği | Örnek: hücredeki örnek değere bakın | Risk: Yanlış giriş hatalı karar üretir</t>
      </text>
    </comment>
    <comment ref="B11" authorId="0" shapeId="0">
      <text>
        <t>Tanım: kpg_gunAy | Neden önemli: Kira doluluk ve getiri kararını etkiler | Doğru kullanım: Doluluk hesabında ay günü | Örnek: hücredeki örnek değere bakın | Risk: Yanlış giriş hatalı karar üretir</t>
      </text>
    </comment>
    <comment ref="B12" authorId="0" shapeId="0">
      <text>
        <t>Tanım: kpg_aylikCarpan | Neden önemli: Kira doluluk ve getiri kararını etkiler | Doğru kullanım: Aylık tahsilat çarpan | Örnek: hücredeki örnek değere bakın | Risk: Yanlış giriş hatalı karar üretir</t>
      </text>
    </comment>
    <comment ref="B13" authorId="0" shapeId="0">
      <text>
        <t>Tanım: kpg_senaryoTemkinli | Neden önemli: Kira doluluk ve getiri kararını etkiler | Doğru kullanım: Temkinli çarpan | Örnek: hücredeki örnek değere bakın | Risk: Yanlış giriş hatalı karar üretir</t>
      </text>
    </comment>
    <comment ref="B14" authorId="0" shapeId="0">
      <text>
        <t>Tanım: kpg_senaryoBaz | Neden önemli: Kira doluluk ve getiri kararını etkiler | Doğru kullanım: Baz çarpan | Örnek: hücredeki örnek değere bakın | Risk: Yanlış giriş hatalı karar üretir</t>
      </text>
    </comment>
    <comment ref="B15" authorId="0" shapeId="0">
      <text>
        <t>Tanım: kpg_senaryoIyimser | Neden önemli: Kira doluluk ve getiri kararını etkiler | Doğru kullanım: İyimser çarpan | Örnek: hücredeki örnek değere bakın | Risk: Yanlış giriş hatalı karar üretir</t>
      </text>
    </comment>
    <comment ref="B16" authorId="0" shapeId="0">
      <text>
        <t>Tanım: kpg_tornadoOran | Neden önemli: Kira doluluk ve getiri kararını etkiler | Doğru kullanım: Tornado etki oranı | Örnek: hücredeki örnek değere bakın | Risk: Yanlış giriş hatalı karar üretir</t>
      </text>
    </comment>
    <comment ref="B17" authorId="0" shapeId="0">
      <text>
        <t>Tanım: kpg_yuzdelikOran | Neden önemli: Kira doluluk ve getiri kararını etkiler | Doğru kullanım: P90 çarpan proxy | Örnek: hücredeki örnek değere bakın | Risk: Yanlış giriş hatalı karar üretir</t>
      </text>
    </comment>
    <comment ref="B18" authorId="0" shapeId="0">
      <text>
        <t>Tanım: kpg_percentileOran | Neden önemli: Kira doluluk ve getiri kararını etkiler | Doğru kullanım: Yüzdelik dilim | Örnek: hücredeki örnek değere bakın | Risk: Yanlış giriş hatalı karar üretir</t>
      </text>
    </comment>
    <comment ref="B19" authorId="0" shapeId="0">
      <text>
        <t>Tanım: kpg_tahminCarpan | Neden önemli: Kira doluluk ve getiri kararını etkiler | Doğru kullanım: Tahmin aralık çarpan | Örnek: hücredeki örnek değere bakın | Risk: Yanlış giriş hatalı karar üretir</t>
      </text>
    </comment>
    <comment ref="B20" authorId="0" shapeId="0">
      <text>
        <t>Tanım: kpg_olcekHedef | Neden önemli: Kira doluluk ve getiri kararını etkiler | Doğru kullanım: Ölçek sözleşmesi | Örnek: hücredeki örnek değere bakın | Risk: Yanlış giriş hatalı karar üretir</t>
      </text>
    </comment>
    <comment ref="B21" authorId="0" shapeId="0">
      <text>
        <t>Tanım: kpg_kaliteTaban | Neden önemli: Kira doluluk ve getiri kararını etkiler | Doğru kullanım: Taban puan | Örnek: hücredeki örnek değere bakın | Risk: Yanlış giriş hatalı karar üretir</t>
      </text>
    </comment>
    <comment ref="B22" authorId="0" shapeId="0">
      <text>
        <t>Tanım: kpg_kaliteCeza | Neden önemli: Kira doluluk ve getiri kararını etkiler | Doğru kullanım: Eşik aşım cezası | Örnek: hücredeki örnek değere bakın | Risk: Yanlış giriş hatalı karar üretir</t>
      </text>
    </comment>
    <comment ref="B23" authorId="0" shapeId="0">
      <text>
        <t>Tanım: kpg_kaliteSapma | Neden önemli: Kira doluluk ve getiri kararını etkiler | Doğru kullanım: Sapma / alarm cezası | Örnek: hücredeki örnek değere bakın | Risk: Yanlış giriş hatalı karar üretir</t>
      </text>
    </comment>
    <comment ref="B24" authorId="0" shapeId="0">
      <text>
        <t>Tanım: kpg_dosyaSurumu | Neden önemli: Kira doluluk ve getiri kararını etkiler | Doğru kullanım: Ürün sürümü | Örnek: hücredeki örnek değere bakın | Risk: Yanlış giriş hatalı karar üretir</t>
      </text>
    </comment>
    <comment ref="B25" authorId="0" shapeId="0">
      <text>
        <t>Tanım: kpg_firmaUnvan | Neden önemli: Kira doluluk ve getiri kararını etkiler | Doğru kullanım: Firma unvanı | Örnek: hücredeki örnek değere bakın | Risk: Yanlış giriş hatalı karar üretir</t>
      </text>
    </comment>
    <comment ref="B26" authorId="0" shapeId="0">
      <text>
        <t>Tanım: kpg_alarmEsikMetin | Neden önemli: Kira doluluk ve getiri kararını etkiler | Doğru kullanım: Alarm eşiği tanımı | Örnek: hücredeki örnek değere bakın | Risk: Yanlış giriş hatalı karar üretir</t>
      </text>
    </comment>
    <comment ref="B27" authorId="0" shapeId="0">
      <text>
        <t>Tanım: kpg_tufeReferans | Neden önemli: Kira doluluk ve getiri kararını etkiler | Doğru kullanım: Varsayılan TÜFE referansı — API yok | Örnek: hücredeki örnek değere bakın | Risk: Yanlış giriş hatalı karar üretir</t>
      </text>
    </comment>
    <comment ref="B28" authorId="0" shapeId="0">
      <text>
        <t>Tanım: kpg_boslukMaliyetCarpan | Neden önemli: Kira doluluk ve getiri kararını etkiler | Doğru kullanım: Boş gün maliyet çarpanı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arliklar" displayName="tblVarliklar" ref="A5:L255" headerRowCount="1">
  <tableColumns count="12">
    <tableColumn id="1" name="VarlikId"/>
    <tableColumn id="2" name="MulkAd"/>
    <tableColumn id="3" name="Tip"/>
    <tableColumn id="4" name="Sehir"/>
    <tableColumn id="5" name="Metrekare_m2"/>
    <tableColumn id="6" name="DegerTl_tl"/>
    <tableColumn id="7" name="HedefKiraTl_tl"/>
    <tableColumn id="8" name="Aktif"/>
    <tableColumn id="9" name="ToplamTahsilatTl">
      <calculatedColumnFormula>IF(tblVarliklar[[#This Row],[VarlikId]]="","",SUMIF(tblGunluk[VarlikId],tblVarliklar[[#This Row],[VarlikId]],tblGunluk[TahsilatTl_tl]))</calculatedColumnFormula>
    </tableColumn>
    <tableColumn id="10" name="OrtDoluluk">
      <calculatedColumnFormula>IF(tblVarliklar[[#This Row],[VarlikId]]="","",IFERROR(AVERAGEIF(tblGunluk[VarlikId],tblVarliklar[[#This Row],[VarlikId]],tblGunluk[FormulDoluluk_oran]),0))</calculatedColumnFormula>
    </tableColumn>
    <tableColumn id="11" name="ToplamGiderTl">
      <calculatedColumnFormula>IF(tblVarliklar[[#This Row],[VarlikId]]="","",SUMIF(tblGunluk[VarlikId],tblVarliklar[[#This Row],[VarlikId]],tblGunluk[GiderTl_tl]))</calculatedColumnFormula>
    </tableColumn>
    <tableColumn id="12" name="SaglikSkor">
      <calculatedColumnFormula>IF(tblVarliklar[[#This Row],[VarlikId]]="","",MAX(0,MIN(100,kpg_kaliteTaban-IF(tblVarliklar[[#This Row],[OrtDoluluk]]&lt;kpg_esikDoluluk,kpg_kaliteCeza,0)-COUNTIFS(tblGunluk[VarlikId],tblVarliklar[[#This Row],[VarlikId]],tblGunluk[AlarmBayrak],"ALARM")*kpg_kaliteSapma-IF(tblVarliklar[[#This Row],[Aktif]]="HAYIR",kpg_kaliteCeza,0))))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Gunluk" displayName="tblGunluk" ref="A5:Q255" headerRowCount="1">
  <tableColumns count="17">
    <tableColumn id="1" name="SatirId"/>
    <tableColumn id="2" name="VarlikId"/>
    <tableColumn id="3" name="Tarih"/>
    <tableColumn id="4" name="TahsilatTl_tl"/>
    <tableColumn id="5" name="BosGun_gun"/>
    <tableColumn id="6" name="GiderTl_tl"/>
    <tableColumn id="7" name="TufeOran_oran"/>
    <tableColumn id="8" name="OlayTuru"/>
    <tableColumn id="9" name="FormulHedefKira_tl">
      <calculatedColumnFormula>IF(tblGunluk[[#This Row],[SatirId]]="","",IFERROR(SUMIF(tblVarliklar[VarlikId],tblGunluk[[#This Row],[VarlikId]],tblVarliklar[HedefKiraTl_tl]),kpg_varsayilanHedefKira))</calculatedColumnFormula>
    </tableColumn>
    <tableColumn id="10" name="FormulDoluluk_oran">
      <calculatedColumnFormula>IF(tblGunluk[[#This Row],[SatirId]]="","",MAX(0, 1-tblGunluk[[#This Row],[BosGun_gun]]/kpg_gunAy))</calculatedColumnFormula>
    </tableColumn>
    <tableColumn id="11" name="FormulGetiri_oran">
      <calculatedColumnFormula>IF(OR(tblGunluk[[#This Row],[SatirId]]="",tblGunluk[[#This Row],[FormulHedefKira_tl]]=0),"",tblGunluk[[#This Row],[TahsilatTl_tl]]/tblGunluk[[#This Row],[FormulHedefKira_tl]])</calculatedColumnFormula>
    </tableColumn>
    <tableColumn id="12" name="FormulNet_tl">
      <calculatedColumnFormula>IF(tblGunluk[[#This Row],[SatirId]]="","",tblGunluk[[#This Row],[TahsilatTl_tl]]-tblGunluk[[#This Row],[GiderTl_tl]])</calculatedColumnFormula>
    </tableColumn>
    <tableColumn id="13" name="FormulTufeArtis_tl">
      <calculatedColumnFormula>IF(tblGunluk[[#This Row],[SatirId]]="","",tblGunluk[[#This Row],[FormulHedefKira_tl]]*(1+tblGunluk[[#This Row],[TufeOran_oran]]))</calculatedColumnFormula>
    </tableColumn>
    <tableColumn id="14" name="SaglikSkor_puan">
      <calculatedColumnFormula>IF(tblGunluk[[#This Row],[SatirId]]="","",MAX(0,MIN(100,kpg_kaliteTaban-IF(tblGunluk[[#This Row],[FormulDoluluk_oran]]&lt;kpg_esikDoluluk,kpg_kaliteCeza,0)-IF(tblGunluk[[#This Row],[FormulGetiri_oran]]&lt;kpg_esikGetiri,kpg_kaliteSapma,0)-IF(tblGunluk[[#This Row],[FormulYetim]]="YETIM",kpg_kaliteCeza,0))))</calculatedColumnFormula>
    </tableColumn>
    <tableColumn id="15" name="AlarmBayrak">
      <calculatedColumnFormula>IF(tblGunluk[[#This Row],[SatirId]]="","",IF(OR(tblGunluk[[#This Row],[FormulDoluluk_oran]]&lt;kpg_esikDoluluk,tblGunluk[[#This Row],[FormulGetiri_oran]]&lt;kpg_esikGetiri,tblGunluk[[#This Row],[SaglikSkor_puan]]&lt;kpg_esikSaglik),"ALARM","UYGUN"))</calculatedColumnFormula>
    </tableColumn>
    <tableColumn id="16" name="FormulKayitDolu">
      <calculatedColumnFormula>IF(tblGunluk[[#This Row],[SatirId]]="","",1)</calculatedColumnFormula>
    </tableColumn>
    <tableColumn id="17" name="FormulYetim">
      <calculatedColumnFormula>IF(tblGunluk[[#This Row],[SatirId]]="","",IF(OR(tblGunluk[[#This Row],[VarlikId]]="",COUNTIF(tblVarliklar[VarlikId],tblGunluk[[#This Row],[VarlikId]])=0),"YETIM","TAMAM"))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65" t="inlineStr">
        <is>
          <t>KIRA PORTFOYU GETIRI KOMUTASI — YÖNETİM VE KARAR SİSTEMİ</t>
        </is>
      </c>
      <c r="L2" s="66" t="inlineStr">
        <is>
          <t>Dönem: 2026 / Tam ▼</t>
        </is>
      </c>
      <c r="M2" s="67" t="inlineStr">
        <is>
          <t>★ DOĞRULANMIŞ</t>
        </is>
      </c>
    </row>
    <row r="3">
      <c r="B3" s="68" t="inlineStr">
        <is>
          <t>Yönetici Karar Kokpiti, Otomatik Doğrulama ve Dinamik Hesaplama Sistemi · 2026</t>
        </is>
      </c>
    </row>
    <row r="5">
      <c r="B5" s="69" t="inlineStr">
        <is>
          <t>TOPLAM İŞLEM HACMİ</t>
        </is>
      </c>
      <c r="C5" s="70" t="n"/>
      <c r="D5" s="71" t="inlineStr">
        <is>
          <t>DOĞRULANMIŞ</t>
        </is>
      </c>
      <c r="E5" s="72" t="inlineStr">
        <is>
          <t>RİSKLİ / BEKLEYEN İŞLEM</t>
        </is>
      </c>
      <c r="F5" s="70" t="n"/>
      <c r="G5" s="73" t="inlineStr">
        <is>
          <t>MİNİMUM</t>
        </is>
      </c>
      <c r="H5" s="69" t="inlineStr">
        <is>
          <t>OPERASYONEL NET MARJ</t>
        </is>
      </c>
      <c r="I5" s="70" t="n"/>
      <c r="J5" s="74" t="inlineStr">
        <is>
          <t>GÜVENLİ</t>
        </is>
      </c>
      <c r="K5" s="75" t="inlineStr">
        <is>
          <t>SİSTEM GÜVEN SKORU</t>
        </is>
      </c>
      <c r="L5" s="70" t="n"/>
      <c r="M5" s="71" t="inlineStr">
        <is>
          <t>DENETLENDİ</t>
        </is>
      </c>
    </row>
    <row r="6">
      <c r="B6" s="76" t="n"/>
      <c r="C6" s="70" t="n"/>
      <c r="D6" s="70" t="n"/>
      <c r="E6" s="77" t="n"/>
      <c r="F6" s="70" t="n"/>
      <c r="G6" s="70" t="n"/>
      <c r="H6" s="76" t="n"/>
      <c r="I6" s="70" t="n"/>
      <c r="J6" s="70" t="n"/>
      <c r="K6" s="78" t="n"/>
      <c r="L6" s="70" t="n"/>
      <c r="M6" s="70" t="n"/>
    </row>
    <row r="7">
      <c r="B7" s="79" t="inlineStr">
        <is>
          <t>₺28.450.000</t>
        </is>
      </c>
      <c r="C7" s="70" t="n"/>
      <c r="D7" s="70" t="n"/>
      <c r="E7" s="80" t="inlineStr">
        <is>
          <t>₺940.000</t>
        </is>
      </c>
      <c r="F7" s="70" t="n"/>
      <c r="G7" s="70" t="n"/>
      <c r="H7" s="79" t="inlineStr">
        <is>
          <t>₺8.120.000</t>
        </is>
      </c>
      <c r="I7" s="70" t="n"/>
      <c r="J7" s="70" t="n"/>
      <c r="K7" s="81" t="inlineStr">
        <is>
          <t>98/100</t>
        </is>
      </c>
      <c r="L7" s="70" t="n"/>
      <c r="M7" s="70" t="n"/>
    </row>
    <row r="8">
      <c r="B8" s="76" t="n"/>
      <c r="C8" s="70" t="n"/>
      <c r="D8" s="70" t="n"/>
      <c r="E8" s="77" t="n"/>
      <c r="F8" s="70" t="n"/>
      <c r="G8" s="70" t="n"/>
      <c r="H8" s="76" t="n"/>
      <c r="I8" s="70" t="n"/>
      <c r="J8" s="70" t="n"/>
      <c r="K8" s="78" t="n"/>
      <c r="L8" s="70" t="n"/>
      <c r="M8" s="70" t="n"/>
    </row>
    <row r="9">
      <c r="B9" s="82" t="inlineStr">
        <is>
          <t>↑ Konsolide yıllıklandırılmış büyüme</t>
        </is>
      </c>
      <c r="C9" s="70" t="n"/>
      <c r="D9" s="70" t="n"/>
      <c r="E9" s="83" t="inlineStr">
        <is>
          <t>● Tüm riskli kayıtlar kontrol altında</t>
        </is>
      </c>
      <c r="F9" s="70" t="n"/>
      <c r="G9" s="70" t="n"/>
      <c r="H9" s="82" t="inlineStr">
        <is>
          <t>██████████░░░░░ %28.5 NET MARJ</t>
        </is>
      </c>
      <c r="I9" s="70" t="n"/>
      <c r="J9" s="70" t="n"/>
      <c r="K9" s="84" t="inlineStr">
        <is>
          <t>✓ 0 Formül ve Döngüsel Hata</t>
        </is>
      </c>
      <c r="L9" s="70" t="n"/>
      <c r="M9" s="70" t="n"/>
    </row>
    <row r="11">
      <c r="B11" s="58" t="inlineStr">
        <is>
          <t>12 AYLIK NAKİT GİRİŞ / ÇIKIŞ &amp; LİKİDİTE BAŞARIMI</t>
        </is>
      </c>
      <c r="F11" s="85" t="inlineStr">
        <is>
          <t>+%32 Verim</t>
        </is>
      </c>
      <c r="H11" s="58" t="inlineStr">
        <is>
          <t>KONSOLİDE OPERASYON VE KARAR MATRİSİ</t>
        </is>
      </c>
    </row>
    <row r="12">
      <c r="B12" s="57" t="inlineStr">
        <is>
          <t>Kümülatif Tahsilat vs. Tedarikçi/Kredi Ödeme Projeksiyonu</t>
        </is>
      </c>
      <c r="H12" s="57" t="inlineStr">
        <is>
          <t>Anlık Hesaplama Sonuçları, Dinamik Formül Çıktıları ve Durum Puanlaması</t>
        </is>
      </c>
    </row>
    <row r="14">
      <c r="B14" s="86" t="inlineStr">
        <is>
          <t>Dönem</t>
        </is>
      </c>
      <c r="C14" s="86" t="inlineStr">
        <is>
          <t>Aktif Hacim</t>
        </is>
      </c>
      <c r="D14" s="86" t="inlineStr">
        <is>
          <t>Maliyet/Yük</t>
        </is>
      </c>
      <c r="E14" s="86" t="inlineStr">
        <is>
          <t>Hedef</t>
        </is>
      </c>
      <c r="H14" s="87" t="inlineStr">
        <is>
          <t>PARAMETRE / KALEM</t>
        </is>
      </c>
      <c r="I14" s="87" t="inlineStr">
        <is>
          <t>ANA TUTAR</t>
        </is>
      </c>
      <c r="J14" s="87" t="inlineStr">
        <is>
          <t>FARK / MARJ</t>
        </is>
      </c>
      <c r="K14" s="87" t="inlineStr">
        <is>
          <t>VADE</t>
        </is>
      </c>
      <c r="L14" s="87" t="inlineStr">
        <is>
          <t>KONTROL DURUMU</t>
        </is>
      </c>
    </row>
    <row r="15">
      <c r="B15" s="57" t="inlineStr">
        <is>
          <t>D1</t>
        </is>
      </c>
      <c r="C15" s="57" t="n">
        <v>65</v>
      </c>
      <c r="D15" s="57" t="n">
        <v>45</v>
      </c>
      <c r="E15" s="57" t="n">
        <v>60</v>
      </c>
      <c r="H15" s="88" t="inlineStr">
        <is>
          <t>13 haftalık kümülatif bakiye...</t>
        </is>
      </c>
      <c r="I15" s="88" t="inlineStr">
        <is>
          <t>₺8.450.000</t>
        </is>
      </c>
      <c r="J15" s="89" t="inlineStr">
        <is>
          <t>₺425.000</t>
        </is>
      </c>
      <c r="K15" s="90" t="inlineStr">
        <is>
          <t>12 Ay</t>
        </is>
      </c>
      <c r="L15" s="74" t="inlineStr">
        <is>
          <t>✓ DÜZENLİ</t>
        </is>
      </c>
    </row>
    <row r="16">
      <c r="B16" s="57" t="inlineStr">
        <is>
          <t>D2</t>
        </is>
      </c>
      <c r="C16" s="57" t="n">
        <v>78</v>
      </c>
      <c r="D16" s="57" t="n">
        <v>48</v>
      </c>
      <c r="E16" s="57" t="n">
        <v>70</v>
      </c>
      <c r="H16" s="88" t="inlineStr">
        <is>
          <t>Kritik (eksi) hafta uyarısı</t>
        </is>
      </c>
      <c r="I16" s="88" t="inlineStr">
        <is>
          <t>₺12.200.000</t>
        </is>
      </c>
      <c r="J16" s="89" t="inlineStr">
        <is>
          <t>₺580.400</t>
        </is>
      </c>
      <c r="K16" s="90" t="inlineStr">
        <is>
          <t>24 Ay</t>
        </is>
      </c>
      <c r="L16" s="71" t="inlineStr">
        <is>
          <t>★ AVANTAJ</t>
        </is>
      </c>
    </row>
    <row r="17">
      <c r="B17" s="57" t="inlineStr">
        <is>
          <t>D3</t>
        </is>
      </c>
      <c r="C17" s="57" t="n">
        <v>85</v>
      </c>
      <c r="D17" s="57" t="n">
        <v>55</v>
      </c>
      <c r="E17" s="57" t="n">
        <v>80</v>
      </c>
      <c r="H17" s="88" t="inlineStr">
        <is>
          <t>Dönem net nakit değişimi</t>
        </is>
      </c>
      <c r="I17" s="88" t="inlineStr">
        <is>
          <t>₺4.850.000</t>
        </is>
      </c>
      <c r="J17" s="89" t="inlineStr">
        <is>
          <t>₺235.200</t>
        </is>
      </c>
      <c r="K17" s="90" t="inlineStr">
        <is>
          <t>8 Ay</t>
        </is>
      </c>
      <c r="L17" s="91" t="inlineStr">
        <is>
          <t>● YAKLAŞAN</t>
        </is>
      </c>
    </row>
    <row r="18">
      <c r="B18" s="57" t="inlineStr">
        <is>
          <t>D4</t>
        </is>
      </c>
      <c r="C18" s="57" t="n">
        <v>75</v>
      </c>
      <c r="D18" s="57" t="n">
        <v>42</v>
      </c>
      <c r="E18" s="57" t="n">
        <v>75</v>
      </c>
      <c r="H18" s="88" t="inlineStr">
        <is>
          <t>13 haftalık kümülatif bakiye...</t>
        </is>
      </c>
      <c r="I18" s="88" t="inlineStr">
        <is>
          <t>₺2.140.000</t>
        </is>
      </c>
      <c r="J18" s="89" t="inlineStr">
        <is>
          <t>₺118.000</t>
        </is>
      </c>
      <c r="K18" s="90" t="inlineStr">
        <is>
          <t>16 Ay</t>
        </is>
      </c>
      <c r="L18" s="74" t="inlineStr">
        <is>
          <t>✓ TAM UYUM</t>
        </is>
      </c>
    </row>
    <row r="19">
      <c r="B19" s="57" t="inlineStr">
        <is>
          <t>D5</t>
        </is>
      </c>
      <c r="C19" s="57" t="n">
        <v>90</v>
      </c>
      <c r="D19" s="57" t="n">
        <v>40</v>
      </c>
      <c r="E19" s="57" t="n">
        <v>85</v>
      </c>
      <c r="H19" s="92" t="inlineStr">
        <is>
          <t>KONSOLİDE SİSTEM TOPLAMI</t>
        </is>
      </c>
      <c r="I19" s="93" t="inlineStr">
        <is>
          <t>₺42.850.000</t>
        </is>
      </c>
      <c r="J19" s="94" t="inlineStr">
        <is>
          <t>₺3.420.000</t>
        </is>
      </c>
      <c r="K19" s="95" t="inlineStr"/>
      <c r="L19" s="96" t="inlineStr">
        <is>
          <t>TAM DOĞRULANDI (0 HATA)</t>
        </is>
      </c>
    </row>
    <row r="20">
      <c r="B20" s="57" t="inlineStr">
        <is>
          <t>D6</t>
        </is>
      </c>
      <c r="C20" s="57" t="n">
        <v>96</v>
      </c>
      <c r="D20" s="57" t="n">
        <v>32</v>
      </c>
      <c r="E20" s="57" t="n">
        <v>92</v>
      </c>
    </row>
    <row r="22">
      <c r="B22" s="97" t="inlineStr">
        <is>
          <t>KONSOLİDE PAY VE AĞIRLIK</t>
        </is>
      </c>
      <c r="F22" s="97" t="inlineStr">
        <is>
          <t>LİKİDİTE RİSKİ &amp; ERKEN UYARI SİNYALLERİ</t>
        </is>
      </c>
      <c r="K22" s="98" t="inlineStr">
        <is>
          <t>KARAR MOTORU</t>
        </is>
      </c>
      <c r="L22" s="99" t="n"/>
      <c r="M22" s="99" t="n"/>
    </row>
    <row r="23">
      <c r="B23" s="42" t="inlineStr">
        <is>
          <t>■ Ana Segment (%42)</t>
        </is>
      </c>
      <c r="F23" s="57" t="inlineStr">
        <is>
          <t>Nakit Açığı Riski (30 Gün)</t>
        </is>
      </c>
      <c r="I23" s="100" t="inlineStr">
        <is>
          <t>0.00 TL (Sıfır Risk)</t>
        </is>
      </c>
      <c r="K23" s="101" t="inlineStr">
        <is>
          <t>OPERASYONEL VERİMLİLİK FIRSATI</t>
        </is>
      </c>
      <c r="L23" s="99" t="n"/>
      <c r="M23" s="99" t="n"/>
    </row>
    <row r="24">
      <c r="B24" s="43" t="inlineStr">
        <is>
          <t>■ İkincil Grup (%30)</t>
        </is>
      </c>
      <c r="F24" s="57" t="inlineStr">
        <is>
          <t>Tahsilat Gecikme Toleransı</t>
        </is>
      </c>
      <c r="I24" s="100" t="inlineStr">
        <is>
          <t>48 Gün Güvenli Eşik</t>
        </is>
      </c>
      <c r="K24" s="102" t="inlineStr">
        <is>
          <t>Süreç optimizasyonuyla birim operasyonel maliyeti düşürme potansiyeli mevcuttur.</t>
        </is>
      </c>
    </row>
    <row r="25">
      <c r="B25" s="103" t="inlineStr">
        <is>
          <t>■ Destek Birimi (%15)</t>
        </is>
      </c>
      <c r="F25" s="42" t="inlineStr">
        <is>
          <t>██████████████████████████████████████ Güvenli Bölge (%100)</t>
        </is>
      </c>
    </row>
    <row r="26">
      <c r="B26" s="104" t="inlineStr">
        <is>
          <t>■ Rezervler (%13)</t>
        </is>
      </c>
      <c r="F26" s="105" t="inlineStr">
        <is>
          <t>✓ 90 GÜNLÜK PROJEKSİYONDA NAKİT SIKIŞIKLIĞI TESPİT EDİLMEDİ</t>
        </is>
      </c>
      <c r="K26" s="106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07" t="inlineStr">
        <is>
          <t>🔍  Kayıt veya hesap ara...</t>
        </is>
      </c>
      <c r="G3" s="108" t="inlineStr">
        <is>
          <t>TOPLAM: 1.450 KAYIT</t>
        </is>
      </c>
      <c r="I3" s="109" t="inlineStr">
        <is>
          <t>HATALI HÜCRE: 0 ADET</t>
        </is>
      </c>
    </row>
    <row r="5">
      <c r="B5" s="110" t="inlineStr">
        <is>
          <t>TARİH</t>
        </is>
      </c>
      <c r="C5" s="110" t="inlineStr">
        <is>
          <t>REFERANS NO</t>
        </is>
      </c>
      <c r="D5" s="110" t="inlineStr">
        <is>
          <t>İŞLEM AÇIKLAMASI VE DETAY</t>
        </is>
      </c>
      <c r="E5" s="110" t="inlineStr">
        <is>
          <t>BRÜT TUTAR (₺)</t>
        </is>
      </c>
      <c r="F5" s="110" t="inlineStr">
        <is>
          <t>KDV ORANI</t>
        </is>
      </c>
      <c r="G5" s="110" t="inlineStr">
        <is>
          <t>NET TUTAR (₺)</t>
        </is>
      </c>
      <c r="H5" s="110" t="inlineStr">
        <is>
          <t>HESAP / CARİ</t>
        </is>
      </c>
      <c r="I5" s="110" t="inlineStr">
        <is>
          <t>DURUM</t>
        </is>
      </c>
    </row>
    <row r="6">
      <c r="B6" s="111" t="inlineStr">
        <is>
          <t>12.10.2026</t>
        </is>
      </c>
      <c r="C6" s="112" t="inlineStr">
        <is>
          <t>TR-0428-A</t>
        </is>
      </c>
      <c r="D6" s="113" t="inlineStr">
        <is>
          <t>Haftalık nakit girişi tahmini</t>
        </is>
      </c>
      <c r="E6" s="114" t="n">
        <v>845200</v>
      </c>
      <c r="F6" s="115" t="n">
        <v>0.2</v>
      </c>
      <c r="G6" s="116">
        <f>E6/(1+F6)</f>
        <v/>
      </c>
      <c r="H6" s="113" t="inlineStr">
        <is>
          <t>Vadesiz Ticari</t>
        </is>
      </c>
      <c r="I6" s="117" t="inlineStr">
        <is>
          <t>ONAYLANDI</t>
        </is>
      </c>
    </row>
    <row r="7">
      <c r="B7" s="118" t="inlineStr">
        <is>
          <t>14.10.2026</t>
        </is>
      </c>
      <c r="C7" s="119" t="inlineStr">
        <is>
          <t>TR-0429-B</t>
        </is>
      </c>
      <c r="D7" s="120" t="inlineStr">
        <is>
          <t>Haftalık nakit çıkışı tahmini</t>
        </is>
      </c>
      <c r="E7" s="121" t="n">
        <v>1240000</v>
      </c>
      <c r="F7" s="122" t="n">
        <v>0.2</v>
      </c>
      <c r="G7" s="123">
        <f>E7/(1+F7)</f>
        <v/>
      </c>
      <c r="H7" s="120" t="inlineStr">
        <is>
          <t>Tedarikçi Havuzu</t>
        </is>
      </c>
      <c r="I7" s="124" t="inlineStr">
        <is>
          <t>BEKLEMEDE</t>
        </is>
      </c>
    </row>
    <row r="8">
      <c r="B8" s="111" t="inlineStr">
        <is>
          <t>18.10.2026</t>
        </is>
      </c>
      <c r="C8" s="112" t="inlineStr">
        <is>
          <t>TR-0430-C</t>
        </is>
      </c>
      <c r="D8" s="113" t="inlineStr">
        <is>
          <t>Ödeme takvimi notları</t>
        </is>
      </c>
      <c r="E8" s="114" t="n">
        <v>620500</v>
      </c>
      <c r="F8" s="115" t="n">
        <v>0.1</v>
      </c>
      <c r="G8" s="116">
        <f>E8/(1+F8)</f>
        <v/>
      </c>
      <c r="H8" s="113" t="inlineStr">
        <is>
          <t>Kısa Vade Tahakkuk</t>
        </is>
      </c>
      <c r="I8" s="117" t="inlineStr">
        <is>
          <t>ONAYLANDI</t>
        </is>
      </c>
    </row>
    <row r="9">
      <c r="B9" s="118" t="inlineStr">
        <is>
          <t>21.10.2026</t>
        </is>
      </c>
      <c r="C9" s="119" t="inlineStr">
        <is>
          <t>TR-0431-D</t>
        </is>
      </c>
      <c r="D9" s="120" t="inlineStr">
        <is>
          <t>Haftalık nakit girişi tahmini</t>
        </is>
      </c>
      <c r="E9" s="121" t="n">
        <v>415000</v>
      </c>
      <c r="F9" s="122" t="n">
        <v>0.2</v>
      </c>
      <c r="G9" s="123">
        <f>E9/(1+F9)</f>
        <v/>
      </c>
      <c r="H9" s="120" t="inlineStr">
        <is>
          <t>Müşteri Alacağı</t>
        </is>
      </c>
      <c r="I9" s="125" t="inlineStr">
        <is>
          <t>ONAYLANDI</t>
        </is>
      </c>
    </row>
    <row r="10">
      <c r="B10" s="111" t="inlineStr">
        <is>
          <t>25.10.2026</t>
        </is>
      </c>
      <c r="C10" s="112" t="inlineStr">
        <is>
          <t>TR-0432-E</t>
        </is>
      </c>
      <c r="D10" s="113" t="inlineStr">
        <is>
          <t>Haftalık nakit girişi tahmini</t>
        </is>
      </c>
      <c r="E10" s="114" t="n">
        <v>980400</v>
      </c>
      <c r="F10" s="115" t="n">
        <v>0.2</v>
      </c>
      <c r="G10" s="116">
        <f>E10/(1+F10)</f>
        <v/>
      </c>
      <c r="H10" s="113" t="inlineStr">
        <is>
          <t>Vadesiz Ticari</t>
        </is>
      </c>
      <c r="I10" s="117" t="inlineStr">
        <is>
          <t>ONAYLANDI</t>
        </is>
      </c>
    </row>
    <row r="11">
      <c r="B11" s="118" t="inlineStr">
        <is>
          <t>28.10.2026</t>
        </is>
      </c>
      <c r="C11" s="119" t="inlineStr">
        <is>
          <t>TR-0433-F</t>
        </is>
      </c>
      <c r="D11" s="120" t="inlineStr">
        <is>
          <t>Haftalık nakit çıkışı tahmini</t>
        </is>
      </c>
      <c r="E11" s="121" t="n">
        <v>1850000</v>
      </c>
      <c r="F11" s="122" t="n">
        <v>0.2</v>
      </c>
      <c r="G11" s="123">
        <f>E11/(1+F11)</f>
        <v/>
      </c>
      <c r="H11" s="120" t="inlineStr">
        <is>
          <t>Banka Kredi Taksiti</t>
        </is>
      </c>
      <c r="I11" s="126" t="inlineStr">
        <is>
          <t>BLOKE</t>
        </is>
      </c>
    </row>
    <row r="12">
      <c r="B12" s="111" t="inlineStr">
        <is>
          <t>02.11.2026</t>
        </is>
      </c>
      <c r="C12" s="112" t="inlineStr">
        <is>
          <t>TR-0434-G</t>
        </is>
      </c>
      <c r="D12" s="113" t="inlineStr">
        <is>
          <t>Ödeme takvimi notları</t>
        </is>
      </c>
      <c r="E12" s="114" t="n">
        <v>740000</v>
      </c>
      <c r="F12" s="115" t="n">
        <v>0.2</v>
      </c>
      <c r="G12" s="116">
        <f>E12/(1+F12)</f>
        <v/>
      </c>
      <c r="H12" s="113" t="inlineStr">
        <is>
          <t>Kira &amp; Sabit Gider</t>
        </is>
      </c>
      <c r="I12" s="117" t="inlineStr">
        <is>
          <t>ONAYLANDI</t>
        </is>
      </c>
    </row>
    <row r="13">
      <c r="B13" s="118" t="inlineStr">
        <is>
          <t>05.11.2026</t>
        </is>
      </c>
      <c r="C13" s="119" t="inlineStr">
        <is>
          <t>TR-0435-H</t>
        </is>
      </c>
      <c r="D13" s="120" t="inlineStr">
        <is>
          <t>Haftalık nakit girişi tahmini</t>
        </is>
      </c>
      <c r="E13" s="121" t="n">
        <v>520800</v>
      </c>
      <c r="F13" s="122" t="n">
        <v>0.2</v>
      </c>
      <c r="G13" s="123">
        <f>E13/(1+F13)</f>
        <v/>
      </c>
      <c r="H13" s="120" t="inlineStr">
        <is>
          <t>Vadesiz Ticari</t>
        </is>
      </c>
      <c r="I13" s="125" t="inlineStr">
        <is>
          <t>ONAYLANDI</t>
        </is>
      </c>
    </row>
    <row r="14">
      <c r="B14" s="111" t="inlineStr">
        <is>
          <t>09.11.2026</t>
        </is>
      </c>
      <c r="C14" s="112" t="inlineStr">
        <is>
          <t>TR-0436-I</t>
        </is>
      </c>
      <c r="D14" s="113" t="inlineStr">
        <is>
          <t>Haftalık nakit girişi tahmini</t>
        </is>
      </c>
      <c r="E14" s="114" t="n">
        <v>1120000</v>
      </c>
      <c r="F14" s="115" t="n">
        <v>0.2</v>
      </c>
      <c r="G14" s="116">
        <f>E14/(1+F14)</f>
        <v/>
      </c>
      <c r="H14" s="113" t="inlineStr">
        <is>
          <t>Müşteri Alacağı</t>
        </is>
      </c>
      <c r="I14" s="117" t="inlineStr">
        <is>
          <t>ONAYLANDI</t>
        </is>
      </c>
    </row>
    <row r="15">
      <c r="B15" s="118" t="inlineStr">
        <is>
          <t>12.11.2026</t>
        </is>
      </c>
      <c r="C15" s="119" t="inlineStr">
        <is>
          <t>TR-0437-J</t>
        </is>
      </c>
      <c r="D15" s="120" t="inlineStr">
        <is>
          <t>Haftalık nakit çıkışı tahmini</t>
        </is>
      </c>
      <c r="E15" s="121" t="n">
        <v>890000</v>
      </c>
      <c r="F15" s="122" t="n">
        <v>0.2</v>
      </c>
      <c r="G15" s="123">
        <f>E15/(1+F15)</f>
        <v/>
      </c>
      <c r="H15" s="120" t="inlineStr">
        <is>
          <t>Tedarikçi Havuzu</t>
        </is>
      </c>
      <c r="I15" s="125" t="inlineStr">
        <is>
          <t>ONAYLANDI</t>
        </is>
      </c>
    </row>
    <row r="17">
      <c r="B17" s="127" t="inlineStr">
        <is>
          <t>SAYFA TOPLAMI (10 / 1.450 KAYIT)</t>
        </is>
      </c>
      <c r="C17" s="95" t="n"/>
      <c r="D17" s="95" t="n"/>
      <c r="E17" s="128">
        <f>TOPLA(E6:E15)</f>
        <v/>
      </c>
      <c r="F17" s="95" t="n"/>
      <c r="G17" s="95" t="n"/>
      <c r="H17" s="95" t="n"/>
      <c r="I17" s="95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29" t="inlineStr">
        <is>
          <t>KIRA PORTFOYU GETIRI KOMUTASI — YÖNETİM VE KARAR SİSTEMİ — NİHAİ KARAR VE DEĞERLEME</t>
        </is>
      </c>
    </row>
    <row r="3">
      <c r="B3" s="130" t="inlineStr">
        <is>
          <t>Yönetim Kurulu ve İcra Komitesi için Otomatik Türetilen Finansal Stres Testi Raporu</t>
        </is>
      </c>
    </row>
    <row r="4">
      <c r="B4" s="131" t="inlineStr">
        <is>
          <t>DÖNEM: 2026 Q3 · DENETİM PROTOKOLÜ: ISO/VUK/IFRS UYUMLU · DURUM: ONAYLANDI</t>
        </is>
      </c>
    </row>
    <row r="6">
      <c r="B6" s="132" t="inlineStr">
        <is>
          <t>SENARYO A: KÖTÜMSER (STRES TESTİ -%20)</t>
        </is>
      </c>
      <c r="C6" s="70" t="n"/>
      <c r="D6" s="70" t="n"/>
      <c r="E6" s="70" t="n"/>
      <c r="F6" s="70" t="n"/>
      <c r="H6" s="133" t="inlineStr">
        <is>
          <t>SENARYO B: BAZ MODEL (HEDEFLENEN)</t>
        </is>
      </c>
      <c r="I6" s="70" t="n"/>
      <c r="J6" s="70" t="n"/>
      <c r="K6" s="70" t="n"/>
      <c r="L6" s="70" t="n"/>
    </row>
    <row r="7">
      <c r="B7" s="70" t="n"/>
      <c r="C7" s="70" t="n"/>
      <c r="D7" s="70" t="n"/>
      <c r="E7" s="70" t="n"/>
      <c r="F7" s="70" t="n"/>
      <c r="H7" s="70" t="n"/>
      <c r="I7" s="70" t="n"/>
      <c r="J7" s="70" t="n"/>
      <c r="K7" s="70" t="n"/>
      <c r="L7" s="70" t="n"/>
    </row>
    <row r="8">
      <c r="B8" s="134" t="inlineStr">
        <is>
          <t>Ciro / Hacim Düşüşü:</t>
        </is>
      </c>
      <c r="C8" s="70" t="n"/>
      <c r="D8" s="70" t="n"/>
      <c r="E8" s="135" t="inlineStr">
        <is>
          <t>-%20.0 (Kriz Eşiği)</t>
        </is>
      </c>
      <c r="F8" s="70" t="n"/>
      <c r="H8" s="134" t="inlineStr">
        <is>
          <t>Ciro / Hacim Gerçekleşmesi:</t>
        </is>
      </c>
      <c r="I8" s="70" t="n"/>
      <c r="J8" s="70" t="n"/>
      <c r="K8" s="136" t="inlineStr">
        <is>
          <t>%100.0 (Tam Bütçe)</t>
        </is>
      </c>
      <c r="L8" s="70" t="n"/>
    </row>
    <row r="9">
      <c r="B9" s="134" t="inlineStr">
        <is>
          <t>Beklenen Net Kâr / Getiri:</t>
        </is>
      </c>
      <c r="C9" s="70" t="n"/>
      <c r="D9" s="70" t="n"/>
      <c r="E9" s="137" t="inlineStr">
        <is>
          <t>₺4.280.000</t>
        </is>
      </c>
      <c r="F9" s="70" t="n"/>
      <c r="H9" s="134" t="inlineStr">
        <is>
          <t>Beklenen Net Kâr / Getiri:</t>
        </is>
      </c>
      <c r="I9" s="70" t="n"/>
      <c r="J9" s="70" t="n"/>
      <c r="K9" s="137" t="inlineStr">
        <is>
          <t>₺12.450.000</t>
        </is>
      </c>
      <c r="L9" s="70" t="n"/>
    </row>
    <row r="10">
      <c r="B10" s="134" t="inlineStr">
        <is>
          <t>Minimum Nakit Tamponu:</t>
        </is>
      </c>
      <c r="C10" s="70" t="n"/>
      <c r="D10" s="70" t="n"/>
      <c r="E10" s="138" t="inlineStr">
        <is>
          <t>₺1.850.000 (Yeterli)</t>
        </is>
      </c>
      <c r="F10" s="70" t="n"/>
      <c r="H10" s="134" t="inlineStr">
        <is>
          <t>Serbest Nakit Akımı:</t>
        </is>
      </c>
      <c r="I10" s="70" t="n"/>
      <c r="J10" s="70" t="n"/>
      <c r="K10" s="138" t="inlineStr">
        <is>
          <t>₺8.240.000</t>
        </is>
      </c>
      <c r="L10" s="70" t="n"/>
    </row>
    <row r="11">
      <c r="B11" s="134" t="inlineStr">
        <is>
          <t>Likidite Karşılama Oranı:</t>
        </is>
      </c>
      <c r="C11" s="70" t="n"/>
      <c r="D11" s="70" t="n"/>
      <c r="E11" s="138" t="inlineStr">
        <is>
          <t>1.28x (Eşik: 1.10x)</t>
        </is>
      </c>
      <c r="F11" s="70" t="n"/>
      <c r="H11" s="134" t="inlineStr">
        <is>
          <t>Yatırım Geri Dönüşü (ROI):</t>
        </is>
      </c>
      <c r="I11" s="70" t="n"/>
      <c r="J11" s="70" t="n"/>
      <c r="K11" s="138" t="inlineStr">
        <is>
          <t>%38.4 Yıllık</t>
        </is>
      </c>
      <c r="L11" s="70" t="n"/>
    </row>
    <row r="12">
      <c r="B12" s="70" t="n"/>
      <c r="C12" s="70" t="n"/>
      <c r="D12" s="70" t="n"/>
      <c r="E12" s="70" t="n"/>
      <c r="F12" s="70" t="n"/>
      <c r="H12" s="70" t="n"/>
      <c r="I12" s="70" t="n"/>
      <c r="J12" s="70" t="n"/>
      <c r="K12" s="70" t="n"/>
      <c r="L12" s="70" t="n"/>
    </row>
    <row r="13">
      <c r="B13" s="70" t="n"/>
      <c r="C13" s="70" t="n"/>
      <c r="D13" s="70" t="n"/>
      <c r="E13" s="70" t="n"/>
      <c r="F13" s="70" t="n"/>
      <c r="H13" s="70" t="n"/>
      <c r="I13" s="70" t="n"/>
      <c r="J13" s="70" t="n"/>
      <c r="K13" s="70" t="n"/>
      <c r="L13" s="70" t="n"/>
    </row>
    <row r="14">
      <c r="B14" s="139" t="inlineStr">
        <is>
          <t>STRES SENARYOSUNDA DAHİ İFLAS RİSKİ YOK</t>
        </is>
      </c>
      <c r="C14" s="70" t="n"/>
      <c r="D14" s="70" t="n"/>
      <c r="E14" s="70" t="n"/>
      <c r="F14" s="70" t="n"/>
      <c r="H14" s="140" t="inlineStr">
        <is>
          <t>OPTİMUM İCRA VE PLANLAMA REÇETESİ</t>
        </is>
      </c>
      <c r="I14" s="70" t="n"/>
      <c r="J14" s="70" t="n"/>
      <c r="K14" s="70" t="n"/>
      <c r="L14" s="70" t="n"/>
    </row>
    <row r="15">
      <c r="B15" s="70" t="n"/>
      <c r="C15" s="70" t="n"/>
      <c r="D15" s="70" t="n"/>
      <c r="E15" s="70" t="n"/>
      <c r="F15" s="70" t="n"/>
      <c r="H15" s="70" t="n"/>
      <c r="I15" s="70" t="n"/>
      <c r="J15" s="70" t="n"/>
      <c r="K15" s="70" t="n"/>
      <c r="L15" s="70" t="n"/>
    </row>
    <row r="17">
      <c r="B17" s="45" t="inlineStr">
        <is>
          <t>YÖNETİM KARAR MATRİSİ VE UYGULAMA REÇETESİ</t>
        </is>
      </c>
    </row>
    <row r="19">
      <c r="B19" s="97" t="inlineStr">
        <is>
          <t>●  Öncelik 1: Acil Likidite ve Borç Servis Planlaması</t>
        </is>
      </c>
    </row>
    <row r="20">
      <c r="B20" s="141" t="inlineStr">
        <is>
          <t xml:space="preserve">   Sistemde hesaplanan vade günlerine sadık kalınarak nakit blokajı 3 gün önceden hazır edilmelidir.</t>
        </is>
      </c>
    </row>
    <row r="21">
      <c r="B21" s="97" t="inlineStr">
        <is>
          <t>●  Öncelik 2: Formül Doğrulama ve Çapraz Sağlama</t>
        </is>
      </c>
    </row>
    <row r="22">
      <c r="B22" s="141" t="inlineStr">
        <is>
          <t xml:space="preserve">   Tüm hücreler kilitli formül korumasında olup girdi sayfalarında sıfır döngüsel başvuru (circular ref) garantilidir.</t>
        </is>
      </c>
    </row>
    <row r="23">
      <c r="B23" s="97" t="inlineStr">
        <is>
          <t>●  Öncelik 3: Resmi Mevzuat ve Vergi Kalkanı Entegrasyonu</t>
        </is>
      </c>
    </row>
    <row r="24">
      <c r="B24" s="141" t="inlineStr">
        <is>
          <t xml:space="preserve">   2026 güncel vergi dilimleri, amortisman ve SGK teşvik parametreleri tam otomatik yansıtılmaktadır.</t>
        </is>
      </c>
    </row>
    <row r="25">
      <c r="B25" s="97" t="inlineStr">
        <is>
          <t>●  Öncelik 4: Yönetici İmzası ve Rapor Paylaşımı</t>
        </is>
      </c>
    </row>
    <row r="26">
      <c r="B26" s="141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744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Kira Portföyü Getiri Komutası</t>
        </is>
      </c>
    </row>
    <row r="3" ht="30" customHeight="1">
      <c r="A3" s="3" t="inlineStr">
        <is>
          <t>Kira Portföyü Getiri Komutası</t>
        </is>
      </c>
    </row>
    <row r="4">
      <c r="A4" s="4" t="inlineStr">
        <is>
          <t>Çoklu kira menkulünde doluluk, tahsilat, net getiri ve TÜFE artış takvimini izler; günlük saha girişi ≤6 alan; varlık sağlık skoru ve alarm kuyruğu üretir; UYGUN / DİKKAT / KRİTİK / VERİ YOK kararı verir.</t>
        </is>
      </c>
    </row>
    <row r="6">
      <c r="A6" s="5" t="inlineStr">
        <is>
          <t>Bu ürün ne sağlar?</t>
        </is>
      </c>
    </row>
    <row r="7">
      <c r="A7" s="6" t="inlineStr">
        <is>
          <t>• Menkul bazlı doluluk % ve net kira getirisi</t>
        </is>
      </c>
    </row>
    <row r="8">
      <c r="A8" s="6" t="inlineStr">
        <is>
          <t>• Günlük saha girişi en fazla 6 alan — 30 saniye hedefi</t>
        </is>
      </c>
    </row>
    <row r="9">
      <c r="A9" s="6" t="inlineStr">
        <is>
          <t>• TÜFE oranıyla önerilen kira artışı (dış API yok)</t>
        </is>
      </c>
    </row>
    <row r="10">
      <c r="A10" s="6" t="inlineStr">
        <is>
          <t>• Varlık sağlık skoru formülle veriden türer (sabit skor yok)</t>
        </is>
      </c>
    </row>
    <row r="11">
      <c r="A11" s="6" t="inlineStr">
        <is>
          <t>• 12 aylık sezonsal tahsilat-doluluk zinciri ve alarm eşiği kuyruğu</t>
        </is>
      </c>
    </row>
    <row r="13">
      <c r="A13" s="5" t="inlineStr">
        <is>
          <t>Kimler için?</t>
        </is>
      </c>
    </row>
    <row r="14">
      <c r="A14" s="7" t="inlineStr">
        <is>
          <t>• Saha / emlak operatörü — günlük tahsilat-boşluk-gider satırı</t>
        </is>
      </c>
    </row>
    <row r="15">
      <c r="A15" s="7" t="inlineStr">
        <is>
          <t>• Portföy sahibi — doluluk % ve karar panosu</t>
        </is>
      </c>
    </row>
    <row r="16">
      <c r="A16" s="7" t="inlineStr">
        <is>
          <t>• Mali müşavir / denetçi — dönemsel RAPOR kanıt çıktısı</t>
        </is>
      </c>
    </row>
    <row r="18">
      <c r="A18" s="5" t="inlineStr">
        <is>
          <t>Nasıl başlanır?</t>
        </is>
      </c>
    </row>
    <row r="19">
      <c r="A19" s="8" t="inlineStr">
        <is>
          <t>1) VARLIKLAR'a menkul kartı girin. 2) GUNLUK_GIRIS'e günlük satır yazın. 3) DONEM_ANALIZ ve PANO'dan kararı görün. 4) RAPOR'dan çıktı alın.</t>
        </is>
      </c>
    </row>
    <row r="21">
      <c r="A21" s="9" t="inlineStr">
        <is>
          <t>Sürüm 1.0.0 | Kod: KPG-PRO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dataValidations count="1">
    <dataValidation sqref="A21" showDropDown="0" showInputMessage="1" showErrorMessage="1" allowBlank="1" errorTitle="Not" error="Geçersiz" promptTitle="Sürüm notu" prompt="Sürüm satırı salt okunur referans" type="textLength" errorStyle="stop" operator="greaterThanOrEqual">
      <formula1>0</formula1>
      <formula2>120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744"/>
    <outlinePr summaryBelow="1" summaryRight="1"/>
    <pageSetUpPr/>
  </sheetPr>
  <dimension ref="A1:R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VARLIKLAR — Kira Portföyü Getiri Komutası</t>
        </is>
      </c>
    </row>
    <row r="3" ht="20" customHeight="1">
      <c r="A3" s="10" t="inlineStr">
        <is>
          <t>Kira menkul kartları — her varlığın tek kimliği vardır</t>
        </is>
      </c>
    </row>
    <row r="4">
      <c r="A4" s="12" t="inlineStr">
        <is>
          <t>Sonraki Kimlik</t>
        </is>
      </c>
      <c r="B4" s="13">
        <f>kpg_sonrakiKimlik</f>
        <v/>
      </c>
    </row>
    <row r="5" ht="30" customHeight="1">
      <c r="A5" s="14" t="inlineStr">
        <is>
          <t>VarlikId</t>
        </is>
      </c>
      <c r="B5" s="14" t="inlineStr">
        <is>
          <t>MulkAd</t>
        </is>
      </c>
      <c r="C5" s="14" t="inlineStr">
        <is>
          <t>Tip</t>
        </is>
      </c>
      <c r="D5" s="14" t="inlineStr">
        <is>
          <t>Sehir</t>
        </is>
      </c>
      <c r="E5" s="14" t="inlineStr">
        <is>
          <t>Metrekare_m2</t>
        </is>
      </c>
      <c r="F5" s="14" t="inlineStr">
        <is>
          <t>DegerTl_tl</t>
        </is>
      </c>
      <c r="G5" s="14" t="inlineStr">
        <is>
          <t>HedefKiraTl_tl</t>
        </is>
      </c>
      <c r="H5" s="14" t="inlineStr">
        <is>
          <t>Aktif</t>
        </is>
      </c>
      <c r="I5" s="14" t="inlineStr">
        <is>
          <t>ToplamTahsilatTl</t>
        </is>
      </c>
      <c r="J5" s="14" t="inlineStr">
        <is>
          <t>OrtDoluluk</t>
        </is>
      </c>
      <c r="K5" s="14" t="inlineStr">
        <is>
          <t>ToplamGiderTl</t>
        </is>
      </c>
      <c r="L5" s="14" t="inlineStr">
        <is>
          <t>SaglikSkor</t>
        </is>
      </c>
    </row>
    <row r="6">
      <c r="A6" s="15" t="inlineStr">
        <is>
          <t>KIR-00001</t>
        </is>
      </c>
      <c r="B6" s="15" t="inlineStr">
        <is>
          <t>Kadikoy Daire A</t>
        </is>
      </c>
      <c r="C6" s="15" t="inlineStr">
        <is>
          <t>Daire</t>
        </is>
      </c>
      <c r="D6" s="15" t="inlineStr">
        <is>
          <t>Istanbul</t>
        </is>
      </c>
      <c r="E6" s="16" t="n">
        <v>95</v>
      </c>
      <c r="F6" s="17" t="n">
        <v>4500000</v>
      </c>
      <c r="G6" s="17" t="n">
        <v>28000</v>
      </c>
      <c r="H6" s="15" t="inlineStr">
        <is>
          <t>EVET</t>
        </is>
      </c>
      <c r="I6" s="18">
        <f>IF($A6="","",SUMIF(tblGunluk[VarlikId],$A6,tblGunluk[TahsilatTl_tl]))</f>
        <v/>
      </c>
      <c r="J6" s="18">
        <f>IF($A6="","",IFERROR(AVERAGEIF(tblGunluk[VarlikId],$A6,tblGunluk[FormulDoluluk_oran]),0))</f>
        <v/>
      </c>
      <c r="K6" s="18">
        <f>IF($A6="","",SUMIF(tblGunluk[VarlikId],$A6,tblGunluk[GiderTl_tl]))</f>
        <v/>
      </c>
      <c r="L6" s="18">
        <f>IF($A6="","",MAX(0,MIN(100,kpg_kaliteTaban-IF($J6&lt;kpg_esikDoluluk,kpg_kaliteCeza,0)-COUNTIFS(tblGunluk[VarlikId],$A6,tblGunluk[AlarmBayrak],"ALARM")*kpg_kaliteSapma-IF($H6="HAYIR",kpg_kaliteCeza,0))))</f>
        <v/>
      </c>
    </row>
    <row r="7">
      <c r="A7" s="15" t="inlineStr">
        <is>
          <t>KIR-00002</t>
        </is>
      </c>
      <c r="B7" s="15" t="inlineStr">
        <is>
          <t>Cankaya Ofis B</t>
        </is>
      </c>
      <c r="C7" s="15" t="inlineStr">
        <is>
          <t>Ofis</t>
        </is>
      </c>
      <c r="D7" s="15" t="inlineStr">
        <is>
          <t>Ankara</t>
        </is>
      </c>
      <c r="E7" s="16" t="n">
        <v>120</v>
      </c>
      <c r="F7" s="17" t="n">
        <v>3200000</v>
      </c>
      <c r="G7" s="17" t="n">
        <v>22000</v>
      </c>
      <c r="H7" s="15" t="inlineStr">
        <is>
          <t>EVET</t>
        </is>
      </c>
      <c r="I7" s="18">
        <f>IF($A7="","",SUMIF(tblGunluk[VarlikId],$A7,tblGunluk[TahsilatTl_tl]))</f>
        <v/>
      </c>
      <c r="J7" s="18">
        <f>IF($A7="","",IFERROR(AVERAGEIF(tblGunluk[VarlikId],$A7,tblGunluk[FormulDoluluk_oran]),0))</f>
        <v/>
      </c>
      <c r="K7" s="18">
        <f>IF($A7="","",SUMIF(tblGunluk[VarlikId],$A7,tblGunluk[GiderTl_tl]))</f>
        <v/>
      </c>
      <c r="L7" s="18">
        <f>IF($A7="","",MAX(0,MIN(100,kpg_kaliteTaban-IF($J7&lt;kpg_esikDoluluk,kpg_kaliteCeza,0)-COUNTIFS(tblGunluk[VarlikId],$A7,tblGunluk[AlarmBayrak],"ALARM")*kpg_kaliteSapma-IF($H7="HAYIR",kpg_kaliteCeza,0))))</f>
        <v/>
      </c>
    </row>
    <row r="8">
      <c r="A8" s="15" t="inlineStr">
        <is>
          <t>KIR-00003</t>
        </is>
      </c>
      <c r="B8" s="15" t="inlineStr">
        <is>
          <t>Konak Dukkan C</t>
        </is>
      </c>
      <c r="C8" s="15" t="inlineStr">
        <is>
          <t>Dukkan</t>
        </is>
      </c>
      <c r="D8" s="15" t="inlineStr">
        <is>
          <t>Izmir</t>
        </is>
      </c>
      <c r="E8" s="16" t="n">
        <v>80</v>
      </c>
      <c r="F8" s="17" t="n">
        <v>2800000</v>
      </c>
      <c r="G8" s="17" t="n">
        <v>18000</v>
      </c>
      <c r="H8" s="15" t="inlineStr">
        <is>
          <t>EVET</t>
        </is>
      </c>
      <c r="I8" s="18">
        <f>IF($A8="","",SUMIF(tblGunluk[VarlikId],$A8,tblGunluk[TahsilatTl_tl]))</f>
        <v/>
      </c>
      <c r="J8" s="18">
        <f>IF($A8="","",IFERROR(AVERAGEIF(tblGunluk[VarlikId],$A8,tblGunluk[FormulDoluluk_oran]),0))</f>
        <v/>
      </c>
      <c r="K8" s="18">
        <f>IF($A8="","",SUMIF(tblGunluk[VarlikId],$A8,tblGunluk[GiderTl_tl]))</f>
        <v/>
      </c>
      <c r="L8" s="18">
        <f>IF($A8="","",MAX(0,MIN(100,kpg_kaliteTaban-IF($J8&lt;kpg_esikDoluluk,kpg_kaliteCeza,0)-COUNTIFS(tblGunluk[VarlikId],$A8,tblGunluk[AlarmBayrak],"ALARM")*kpg_kaliteSapma-IF($H8="HAYIR",kpg_kaliteCeza,0))))</f>
        <v/>
      </c>
    </row>
    <row r="9">
      <c r="A9" s="15" t="inlineStr">
        <is>
          <t>KIR-00004</t>
        </is>
      </c>
      <c r="B9" s="15" t="inlineStr">
        <is>
          <t>Nilufer Daire D</t>
        </is>
      </c>
      <c r="C9" s="15" t="inlineStr">
        <is>
          <t>Daire</t>
        </is>
      </c>
      <c r="D9" s="15" t="inlineStr">
        <is>
          <t>Bursa</t>
        </is>
      </c>
      <c r="E9" s="16" t="n">
        <v>110</v>
      </c>
      <c r="F9" s="17" t="n">
        <v>2100000</v>
      </c>
      <c r="G9" s="17" t="n">
        <v>14000</v>
      </c>
      <c r="H9" s="15" t="inlineStr">
        <is>
          <t>EVET</t>
        </is>
      </c>
      <c r="I9" s="18">
        <f>IF($A9="","",SUMIF(tblGunluk[VarlikId],$A9,tblGunluk[TahsilatTl_tl]))</f>
        <v/>
      </c>
      <c r="J9" s="18">
        <f>IF($A9="","",IFERROR(AVERAGEIF(tblGunluk[VarlikId],$A9,tblGunluk[FormulDoluluk_oran]),0))</f>
        <v/>
      </c>
      <c r="K9" s="18">
        <f>IF($A9="","",SUMIF(tblGunluk[VarlikId],$A9,tblGunluk[GiderTl_tl]))</f>
        <v/>
      </c>
      <c r="L9" s="18">
        <f>IF($A9="","",MAX(0,MIN(100,kpg_kaliteTaban-IF($J9&lt;kpg_esikDoluluk,kpg_kaliteCeza,0)-COUNTIFS(tblGunluk[VarlikId],$A9,tblGunluk[AlarmBayrak],"ALARM")*kpg_kaliteSapma-IF($H9="HAYIR",kpg_kaliteCeza,0))))</f>
        <v/>
      </c>
    </row>
    <row r="10">
      <c r="A10" s="15" t="inlineStr">
        <is>
          <t>KIR-00005</t>
        </is>
      </c>
      <c r="B10" s="15" t="inlineStr">
        <is>
          <t>Muratpasa Ofis E</t>
        </is>
      </c>
      <c r="C10" s="15" t="inlineStr">
        <is>
          <t>Ofis</t>
        </is>
      </c>
      <c r="D10" s="15" t="inlineStr">
        <is>
          <t>Antalya</t>
        </is>
      </c>
      <c r="E10" s="16" t="n">
        <v>140</v>
      </c>
      <c r="F10" s="17" t="n">
        <v>3800000</v>
      </c>
      <c r="G10" s="17" t="n">
        <v>26000</v>
      </c>
      <c r="H10" s="15" t="inlineStr">
        <is>
          <t>EVET</t>
        </is>
      </c>
      <c r="I10" s="18">
        <f>IF($A10="","",SUMIF(tblGunluk[VarlikId],$A10,tblGunluk[TahsilatTl_tl]))</f>
        <v/>
      </c>
      <c r="J10" s="18">
        <f>IF($A10="","",IFERROR(AVERAGEIF(tblGunluk[VarlikId],$A10,tblGunluk[FormulDoluluk_oran]),0))</f>
        <v/>
      </c>
      <c r="K10" s="18">
        <f>IF($A10="","",SUMIF(tblGunluk[VarlikId],$A10,tblGunluk[GiderTl_tl]))</f>
        <v/>
      </c>
      <c r="L10" s="18">
        <f>IF($A10="","",MAX(0,MIN(100,kpg_kaliteTaban-IF($J10&lt;kpg_esikDoluluk,kpg_kaliteCeza,0)-COUNTIFS(tblGunluk[VarlikId],$A10,tblGunluk[AlarmBayrak],"ALARM")*kpg_kaliteSapma-IF($H10="HAYIR",kpg_kaliteCeza,0))))</f>
        <v/>
      </c>
    </row>
    <row r="11">
      <c r="A11" s="15" t="inlineStr">
        <is>
          <t>KIR-00006</t>
        </is>
      </c>
      <c r="B11" s="15" t="inlineStr">
        <is>
          <t>Sahinbey Depo F</t>
        </is>
      </c>
      <c r="C11" s="15" t="inlineStr">
        <is>
          <t>Depo</t>
        </is>
      </c>
      <c r="D11" s="15" t="inlineStr">
        <is>
          <t>Gaziantep</t>
        </is>
      </c>
      <c r="E11" s="16" t="n">
        <v>250</v>
      </c>
      <c r="F11" s="17" t="n">
        <v>1500000</v>
      </c>
      <c r="G11" s="17" t="n">
        <v>12000</v>
      </c>
      <c r="H11" s="15" t="inlineStr">
        <is>
          <t>EVET</t>
        </is>
      </c>
      <c r="I11" s="18">
        <f>IF($A11="","",SUMIF(tblGunluk[VarlikId],$A11,tblGunluk[TahsilatTl_tl]))</f>
        <v/>
      </c>
      <c r="J11" s="18">
        <f>IF($A11="","",IFERROR(AVERAGEIF(tblGunluk[VarlikId],$A11,tblGunluk[FormulDoluluk_oran]),0))</f>
        <v/>
      </c>
      <c r="K11" s="18">
        <f>IF($A11="","",SUMIF(tblGunluk[VarlikId],$A11,tblGunluk[GiderTl_tl]))</f>
        <v/>
      </c>
      <c r="L11" s="18">
        <f>IF($A11="","",MAX(0,MIN(100,kpg_kaliteTaban-IF($J11&lt;kpg_esikDoluluk,kpg_kaliteCeza,0)-COUNTIFS(tblGunluk[VarlikId],$A11,tblGunluk[AlarmBayrak],"ALARM")*kpg_kaliteSapma-IF($H11="HAYIR",kpg_kaliteCeza,0))))</f>
        <v/>
      </c>
    </row>
    <row r="12">
      <c r="A12" s="15" t="inlineStr">
        <is>
          <t>KIR-00007</t>
        </is>
      </c>
      <c r="B12" s="15" t="inlineStr">
        <is>
          <t>Yenisehir Daire G</t>
        </is>
      </c>
      <c r="C12" s="15" t="inlineStr">
        <is>
          <t>Daire</t>
        </is>
      </c>
      <c r="D12" s="15" t="inlineStr">
        <is>
          <t>Mersin</t>
        </is>
      </c>
      <c r="E12" s="16" t="n">
        <v>85</v>
      </c>
      <c r="F12" s="17" t="n">
        <v>1600000</v>
      </c>
      <c r="G12" s="17" t="n">
        <v>11000</v>
      </c>
      <c r="H12" s="15" t="inlineStr">
        <is>
          <t>EVET</t>
        </is>
      </c>
      <c r="I12" s="18">
        <f>IF($A12="","",SUMIF(tblGunluk[VarlikId],$A12,tblGunluk[TahsilatTl_tl]))</f>
        <v/>
      </c>
      <c r="J12" s="18">
        <f>IF($A12="","",IFERROR(AVERAGEIF(tblGunluk[VarlikId],$A12,tblGunluk[FormulDoluluk_oran]),0))</f>
        <v/>
      </c>
      <c r="K12" s="18">
        <f>IF($A12="","",SUMIF(tblGunluk[VarlikId],$A12,tblGunluk[GiderTl_tl]))</f>
        <v/>
      </c>
      <c r="L12" s="18">
        <f>IF($A12="","",MAX(0,MIN(100,kpg_kaliteTaban-IF($J12&lt;kpg_esikDoluluk,kpg_kaliteCeza,0)-COUNTIFS(tblGunluk[VarlikId],$A12,tblGunluk[AlarmBayrak],"ALARM")*kpg_kaliteSapma-IF($H12="HAYIR",kpg_kaliteCeza,0))))</f>
        <v/>
      </c>
    </row>
    <row r="13">
      <c r="A13" s="15" t="inlineStr">
        <is>
          <t>KIR-00008</t>
        </is>
      </c>
      <c r="B13" s="15" t="inlineStr">
        <is>
          <t>Tepebasi Dukkan H</t>
        </is>
      </c>
      <c r="C13" s="15" t="inlineStr">
        <is>
          <t>Dukkan</t>
        </is>
      </c>
      <c r="D13" s="15" t="inlineStr">
        <is>
          <t>Eskisehir</t>
        </is>
      </c>
      <c r="E13" s="16" t="n">
        <v>70</v>
      </c>
      <c r="F13" s="17" t="n">
        <v>1400000</v>
      </c>
      <c r="G13" s="17" t="n">
        <v>9500</v>
      </c>
      <c r="H13" s="15" t="inlineStr">
        <is>
          <t>EVET</t>
        </is>
      </c>
      <c r="I13" s="18">
        <f>IF($A13="","",SUMIF(tblGunluk[VarlikId],$A13,tblGunluk[TahsilatTl_tl]))</f>
        <v/>
      </c>
      <c r="J13" s="18">
        <f>IF($A13="","",IFERROR(AVERAGEIF(tblGunluk[VarlikId],$A13,tblGunluk[FormulDoluluk_oran]),0))</f>
        <v/>
      </c>
      <c r="K13" s="18">
        <f>IF($A13="","",SUMIF(tblGunluk[VarlikId],$A13,tblGunluk[GiderTl_tl]))</f>
        <v/>
      </c>
      <c r="L13" s="18">
        <f>IF($A13="","",MAX(0,MIN(100,kpg_kaliteTaban-IF($J13&lt;kpg_esikDoluluk,kpg_kaliteCeza,0)-COUNTIFS(tblGunluk[VarlikId],$A13,tblGunluk[AlarmBayrak],"ALARM")*kpg_kaliteSapma-IF($H13="HAYIR",kpg_kaliteCeza,0))))</f>
        <v/>
      </c>
    </row>
    <row r="14">
      <c r="A14" s="15" t="n"/>
      <c r="B14" s="15" t="n"/>
      <c r="C14" s="15" t="n"/>
      <c r="D14" s="15" t="n"/>
      <c r="E14" s="16" t="n"/>
      <c r="F14" s="17" t="n"/>
      <c r="G14" s="17" t="n"/>
      <c r="H14" s="15" t="n"/>
      <c r="I14" s="18">
        <f>IF($A14="","",SUMIF(tblGunluk[VarlikId],$A14,tblGunluk[TahsilatTl_tl]))</f>
        <v/>
      </c>
      <c r="J14" s="18">
        <f>IF($A14="","",IFERROR(AVERAGEIF(tblGunluk[VarlikId],$A14,tblGunluk[FormulDoluluk_oran]),0))</f>
        <v/>
      </c>
      <c r="K14" s="18">
        <f>IF($A14="","",SUMIF(tblGunluk[VarlikId],$A14,tblGunluk[GiderTl_tl]))</f>
        <v/>
      </c>
      <c r="L14" s="18">
        <f>IF($A14="","",MAX(0,MIN(100,kpg_kaliteTaban-IF($J14&lt;kpg_esikDoluluk,kpg_kaliteCeza,0)-COUNTIFS(tblGunluk[VarlikId],$A14,tblGunluk[AlarmBayrak],"ALARM")*kpg_kaliteSapma-IF($H14="HAYIR",kpg_kaliteCeza,0))))</f>
        <v/>
      </c>
    </row>
    <row r="15">
      <c r="A15" s="15" t="n"/>
      <c r="B15" s="15" t="n"/>
      <c r="C15" s="15" t="n"/>
      <c r="D15" s="15" t="n"/>
      <c r="E15" s="16" t="n"/>
      <c r="F15" s="17" t="n"/>
      <c r="G15" s="17" t="n"/>
      <c r="H15" s="15" t="n"/>
      <c r="I15" s="18">
        <f>IF($A15="","",SUMIF(tblGunluk[VarlikId],$A15,tblGunluk[TahsilatTl_tl]))</f>
        <v/>
      </c>
      <c r="J15" s="18">
        <f>IF($A15="","",IFERROR(AVERAGEIF(tblGunluk[VarlikId],$A15,tblGunluk[FormulDoluluk_oran]),0))</f>
        <v/>
      </c>
      <c r="K15" s="18">
        <f>IF($A15="","",SUMIF(tblGunluk[VarlikId],$A15,tblGunluk[GiderTl_tl]))</f>
        <v/>
      </c>
      <c r="L15" s="18">
        <f>IF($A15="","",MAX(0,MIN(100,kpg_kaliteTaban-IF($J15&lt;kpg_esikDoluluk,kpg_kaliteCeza,0)-COUNTIFS(tblGunluk[VarlikId],$A15,tblGunluk[AlarmBayrak],"ALARM")*kpg_kaliteSapma-IF($H15="HAYIR",kpg_kaliteCeza,0))))</f>
        <v/>
      </c>
    </row>
    <row r="16">
      <c r="A16" s="15" t="n"/>
      <c r="B16" s="15" t="n"/>
      <c r="C16" s="15" t="n"/>
      <c r="D16" s="15" t="n"/>
      <c r="E16" s="16" t="n"/>
      <c r="F16" s="17" t="n"/>
      <c r="G16" s="17" t="n"/>
      <c r="H16" s="15" t="n"/>
      <c r="I16" s="18">
        <f>IF($A16="","",SUMIF(tblGunluk[VarlikId],$A16,tblGunluk[TahsilatTl_tl]))</f>
        <v/>
      </c>
      <c r="J16" s="18">
        <f>IF($A16="","",IFERROR(AVERAGEIF(tblGunluk[VarlikId],$A16,tblGunluk[FormulDoluluk_oran]),0))</f>
        <v/>
      </c>
      <c r="K16" s="18">
        <f>IF($A16="","",SUMIF(tblGunluk[VarlikId],$A16,tblGunluk[GiderTl_tl]))</f>
        <v/>
      </c>
      <c r="L16" s="18">
        <f>IF($A16="","",MAX(0,MIN(100,kpg_kaliteTaban-IF($J16&lt;kpg_esikDoluluk,kpg_kaliteCeza,0)-COUNTIFS(tblGunluk[VarlikId],$A16,tblGunluk[AlarmBayrak],"ALARM")*kpg_kaliteSapma-IF($H16="HAYIR",kpg_kaliteCeza,0))))</f>
        <v/>
      </c>
    </row>
    <row r="17">
      <c r="A17" s="15" t="n"/>
      <c r="B17" s="15" t="n"/>
      <c r="C17" s="15" t="n"/>
      <c r="D17" s="15" t="n"/>
      <c r="E17" s="16" t="n"/>
      <c r="F17" s="17" t="n"/>
      <c r="G17" s="17" t="n"/>
      <c r="H17" s="15" t="n"/>
      <c r="I17" s="18">
        <f>IF($A17="","",SUMIF(tblGunluk[VarlikId],$A17,tblGunluk[TahsilatTl_tl]))</f>
        <v/>
      </c>
      <c r="J17" s="18">
        <f>IF($A17="","",IFERROR(AVERAGEIF(tblGunluk[VarlikId],$A17,tblGunluk[FormulDoluluk_oran]),0))</f>
        <v/>
      </c>
      <c r="K17" s="18">
        <f>IF($A17="","",SUMIF(tblGunluk[VarlikId],$A17,tblGunluk[GiderTl_tl]))</f>
        <v/>
      </c>
      <c r="L17" s="18">
        <f>IF($A17="","",MAX(0,MIN(100,kpg_kaliteTaban-IF($J17&lt;kpg_esikDoluluk,kpg_kaliteCeza,0)-COUNTIFS(tblGunluk[VarlikId],$A17,tblGunluk[AlarmBayrak],"ALARM")*kpg_kaliteSapma-IF($H17="HAYIR",kpg_kaliteCeza,0))))</f>
        <v/>
      </c>
    </row>
    <row r="18">
      <c r="A18" s="15" t="n"/>
      <c r="B18" s="15" t="n"/>
      <c r="C18" s="15" t="n"/>
      <c r="D18" s="15" t="n"/>
      <c r="E18" s="16" t="n"/>
      <c r="F18" s="17" t="n"/>
      <c r="G18" s="17" t="n"/>
      <c r="H18" s="15" t="n"/>
      <c r="I18" s="18">
        <f>IF($A18="","",SUMIF(tblGunluk[VarlikId],$A18,tblGunluk[TahsilatTl_tl]))</f>
        <v/>
      </c>
      <c r="J18" s="18">
        <f>IF($A18="","",IFERROR(AVERAGEIF(tblGunluk[VarlikId],$A18,tblGunluk[FormulDoluluk_oran]),0))</f>
        <v/>
      </c>
      <c r="K18" s="18">
        <f>IF($A18="","",SUMIF(tblGunluk[VarlikId],$A18,tblGunluk[GiderTl_tl]))</f>
        <v/>
      </c>
      <c r="L18" s="18">
        <f>IF($A18="","",MAX(0,MIN(100,kpg_kaliteTaban-IF($J18&lt;kpg_esikDoluluk,kpg_kaliteCeza,0)-COUNTIFS(tblGunluk[VarlikId],$A18,tblGunluk[AlarmBayrak],"ALARM")*kpg_kaliteSapma-IF($H18="HAYIR",kpg_kaliteCeza,0))))</f>
        <v/>
      </c>
    </row>
    <row r="19">
      <c r="A19" s="15" t="n"/>
      <c r="B19" s="15" t="n"/>
      <c r="C19" s="15" t="n"/>
      <c r="D19" s="15" t="n"/>
      <c r="E19" s="16" t="n"/>
      <c r="F19" s="17" t="n"/>
      <c r="G19" s="17" t="n"/>
      <c r="H19" s="15" t="n"/>
      <c r="I19" s="18">
        <f>IF($A19="","",SUMIF(tblGunluk[VarlikId],$A19,tblGunluk[TahsilatTl_tl]))</f>
        <v/>
      </c>
      <c r="J19" s="18">
        <f>IF($A19="","",IFERROR(AVERAGEIF(tblGunluk[VarlikId],$A19,tblGunluk[FormulDoluluk_oran]),0))</f>
        <v/>
      </c>
      <c r="K19" s="18">
        <f>IF($A19="","",SUMIF(tblGunluk[VarlikId],$A19,tblGunluk[GiderTl_tl]))</f>
        <v/>
      </c>
      <c r="L19" s="18">
        <f>IF($A19="","",MAX(0,MIN(100,kpg_kaliteTaban-IF($J19&lt;kpg_esikDoluluk,kpg_kaliteCeza,0)-COUNTIFS(tblGunluk[VarlikId],$A19,tblGunluk[AlarmBayrak],"ALARM")*kpg_kaliteSapma-IF($H19="HAYIR",kpg_kaliteCeza,0))))</f>
        <v/>
      </c>
    </row>
    <row r="20">
      <c r="A20" s="15" t="n"/>
      <c r="B20" s="15" t="n"/>
      <c r="C20" s="15" t="n"/>
      <c r="D20" s="15" t="n"/>
      <c r="E20" s="16" t="n"/>
      <c r="F20" s="17" t="n"/>
      <c r="G20" s="17" t="n"/>
      <c r="H20" s="15" t="n"/>
      <c r="I20" s="18">
        <f>IF($A20="","",SUMIF(tblGunluk[VarlikId],$A20,tblGunluk[TahsilatTl_tl]))</f>
        <v/>
      </c>
      <c r="J20" s="18">
        <f>IF($A20="","",IFERROR(AVERAGEIF(tblGunluk[VarlikId],$A20,tblGunluk[FormulDoluluk_oran]),0))</f>
        <v/>
      </c>
      <c r="K20" s="18">
        <f>IF($A20="","",SUMIF(tblGunluk[VarlikId],$A20,tblGunluk[GiderTl_tl]))</f>
        <v/>
      </c>
      <c r="L20" s="18">
        <f>IF($A20="","",MAX(0,MIN(100,kpg_kaliteTaban-IF($J20&lt;kpg_esikDoluluk,kpg_kaliteCeza,0)-COUNTIFS(tblGunluk[VarlikId],$A20,tblGunluk[AlarmBayrak],"ALARM")*kpg_kaliteSapma-IF($H20="HAYIR",kpg_kaliteCeza,0))))</f>
        <v/>
      </c>
    </row>
    <row r="21">
      <c r="A21" s="15" t="n"/>
      <c r="B21" s="15" t="n"/>
      <c r="C21" s="15" t="n"/>
      <c r="D21" s="15" t="n"/>
      <c r="E21" s="16" t="n"/>
      <c r="F21" s="17" t="n"/>
      <c r="G21" s="17" t="n"/>
      <c r="H21" s="15" t="n"/>
      <c r="I21" s="18">
        <f>IF($A21="","",SUMIF(tblGunluk[VarlikId],$A21,tblGunluk[TahsilatTl_tl]))</f>
        <v/>
      </c>
      <c r="J21" s="18">
        <f>IF($A21="","",IFERROR(AVERAGEIF(tblGunluk[VarlikId],$A21,tblGunluk[FormulDoluluk_oran]),0))</f>
        <v/>
      </c>
      <c r="K21" s="18">
        <f>IF($A21="","",SUMIF(tblGunluk[VarlikId],$A21,tblGunluk[GiderTl_tl]))</f>
        <v/>
      </c>
      <c r="L21" s="18">
        <f>IF($A21="","",MAX(0,MIN(100,kpg_kaliteTaban-IF($J21&lt;kpg_esikDoluluk,kpg_kaliteCeza,0)-COUNTIFS(tblGunluk[VarlikId],$A21,tblGunluk[AlarmBayrak],"ALARM")*kpg_kaliteSapma-IF($H21="HAYIR",kpg_kaliteCeza,0))))</f>
        <v/>
      </c>
    </row>
    <row r="22">
      <c r="A22" s="15" t="n"/>
      <c r="B22" s="15" t="n"/>
      <c r="C22" s="15" t="n"/>
      <c r="D22" s="15" t="n"/>
      <c r="E22" s="16" t="n"/>
      <c r="F22" s="17" t="n"/>
      <c r="G22" s="17" t="n"/>
      <c r="H22" s="15" t="n"/>
      <c r="I22" s="18">
        <f>IF($A22="","",SUMIF(tblGunluk[VarlikId],$A22,tblGunluk[TahsilatTl_tl]))</f>
        <v/>
      </c>
      <c r="J22" s="18">
        <f>IF($A22="","",IFERROR(AVERAGEIF(tblGunluk[VarlikId],$A22,tblGunluk[FormulDoluluk_oran]),0))</f>
        <v/>
      </c>
      <c r="K22" s="18">
        <f>IF($A22="","",SUMIF(tblGunluk[VarlikId],$A22,tblGunluk[GiderTl_tl]))</f>
        <v/>
      </c>
      <c r="L22" s="18">
        <f>IF($A22="","",MAX(0,MIN(100,kpg_kaliteTaban-IF($J22&lt;kpg_esikDoluluk,kpg_kaliteCeza,0)-COUNTIFS(tblGunluk[VarlikId],$A22,tblGunluk[AlarmBayrak],"ALARM")*kpg_kaliteSapma-IF($H22="HAYIR",kpg_kaliteCeza,0))))</f>
        <v/>
      </c>
    </row>
    <row r="23">
      <c r="A23" s="15" t="n"/>
      <c r="B23" s="15" t="n"/>
      <c r="C23" s="15" t="n"/>
      <c r="D23" s="15" t="n"/>
      <c r="E23" s="16" t="n"/>
      <c r="F23" s="17" t="n"/>
      <c r="G23" s="17" t="n"/>
      <c r="H23" s="15" t="n"/>
      <c r="I23" s="18">
        <f>IF($A23="","",SUMIF(tblGunluk[VarlikId],$A23,tblGunluk[TahsilatTl_tl]))</f>
        <v/>
      </c>
      <c r="J23" s="18">
        <f>IF($A23="","",IFERROR(AVERAGEIF(tblGunluk[VarlikId],$A23,tblGunluk[FormulDoluluk_oran]),0))</f>
        <v/>
      </c>
      <c r="K23" s="18">
        <f>IF($A23="","",SUMIF(tblGunluk[VarlikId],$A23,tblGunluk[GiderTl_tl]))</f>
        <v/>
      </c>
      <c r="L23" s="18">
        <f>IF($A23="","",MAX(0,MIN(100,kpg_kaliteTaban-IF($J23&lt;kpg_esikDoluluk,kpg_kaliteCeza,0)-COUNTIFS(tblGunluk[VarlikId],$A23,tblGunluk[AlarmBayrak],"ALARM")*kpg_kaliteSapma-IF($H23="HAYIR",kpg_kaliteCeza,0))))</f>
        <v/>
      </c>
    </row>
    <row r="24">
      <c r="A24" s="15" t="n"/>
      <c r="B24" s="15" t="n"/>
      <c r="C24" s="15" t="n"/>
      <c r="D24" s="15" t="n"/>
      <c r="E24" s="16" t="n"/>
      <c r="F24" s="17" t="n"/>
      <c r="G24" s="17" t="n"/>
      <c r="H24" s="15" t="n"/>
      <c r="I24" s="18">
        <f>IF($A24="","",SUMIF(tblGunluk[VarlikId],$A24,tblGunluk[TahsilatTl_tl]))</f>
        <v/>
      </c>
      <c r="J24" s="18">
        <f>IF($A24="","",IFERROR(AVERAGEIF(tblGunluk[VarlikId],$A24,tblGunluk[FormulDoluluk_oran]),0))</f>
        <v/>
      </c>
      <c r="K24" s="18">
        <f>IF($A24="","",SUMIF(tblGunluk[VarlikId],$A24,tblGunluk[GiderTl_tl]))</f>
        <v/>
      </c>
      <c r="L24" s="18">
        <f>IF($A24="","",MAX(0,MIN(100,kpg_kaliteTaban-IF($J24&lt;kpg_esikDoluluk,kpg_kaliteCeza,0)-COUNTIFS(tblGunluk[VarlikId],$A24,tblGunluk[AlarmBayrak],"ALARM")*kpg_kaliteSapma-IF($H24="HAYIR",kpg_kaliteCeza,0))))</f>
        <v/>
      </c>
    </row>
    <row r="25">
      <c r="A25" s="15" t="n"/>
      <c r="B25" s="15" t="n"/>
      <c r="C25" s="15" t="n"/>
      <c r="D25" s="15" t="n"/>
      <c r="E25" s="16" t="n"/>
      <c r="F25" s="17" t="n"/>
      <c r="G25" s="17" t="n"/>
      <c r="H25" s="15" t="n"/>
      <c r="I25" s="18">
        <f>IF($A25="","",SUMIF(tblGunluk[VarlikId],$A25,tblGunluk[TahsilatTl_tl]))</f>
        <v/>
      </c>
      <c r="J25" s="18">
        <f>IF($A25="","",IFERROR(AVERAGEIF(tblGunluk[VarlikId],$A25,tblGunluk[FormulDoluluk_oran]),0))</f>
        <v/>
      </c>
      <c r="K25" s="18">
        <f>IF($A25="","",SUMIF(tblGunluk[VarlikId],$A25,tblGunluk[GiderTl_tl]))</f>
        <v/>
      </c>
      <c r="L25" s="18">
        <f>IF($A25="","",MAX(0,MIN(100,kpg_kaliteTaban-IF($J25&lt;kpg_esikDoluluk,kpg_kaliteCeza,0)-COUNTIFS(tblGunluk[VarlikId],$A25,tblGunluk[AlarmBayrak],"ALARM")*kpg_kaliteSapma-IF($H25="HAYIR",kpg_kaliteCeza,0))))</f>
        <v/>
      </c>
    </row>
    <row r="26">
      <c r="A26" s="15" t="n"/>
      <c r="B26" s="15" t="n"/>
      <c r="C26" s="15" t="n"/>
      <c r="D26" s="15" t="n"/>
      <c r="E26" s="16" t="n"/>
      <c r="F26" s="17" t="n"/>
      <c r="G26" s="17" t="n"/>
      <c r="H26" s="15" t="n"/>
      <c r="I26" s="18">
        <f>IF($A26="","",SUMIF(tblGunluk[VarlikId],$A26,tblGunluk[TahsilatTl_tl]))</f>
        <v/>
      </c>
      <c r="J26" s="18">
        <f>IF($A26="","",IFERROR(AVERAGEIF(tblGunluk[VarlikId],$A26,tblGunluk[FormulDoluluk_oran]),0))</f>
        <v/>
      </c>
      <c r="K26" s="18">
        <f>IF($A26="","",SUMIF(tblGunluk[VarlikId],$A26,tblGunluk[GiderTl_tl]))</f>
        <v/>
      </c>
      <c r="L26" s="18">
        <f>IF($A26="","",MAX(0,MIN(100,kpg_kaliteTaban-IF($J26&lt;kpg_esikDoluluk,kpg_kaliteCeza,0)-COUNTIFS(tblGunluk[VarlikId],$A26,tblGunluk[AlarmBayrak],"ALARM")*kpg_kaliteSapma-IF($H26="HAYIR",kpg_kaliteCeza,0))))</f>
        <v/>
      </c>
    </row>
    <row r="27">
      <c r="A27" s="15" t="n"/>
      <c r="B27" s="15" t="n"/>
      <c r="C27" s="15" t="n"/>
      <c r="D27" s="15" t="n"/>
      <c r="E27" s="16" t="n"/>
      <c r="F27" s="17" t="n"/>
      <c r="G27" s="17" t="n"/>
      <c r="H27" s="15" t="n"/>
      <c r="I27" s="18">
        <f>IF($A27="","",SUMIF(tblGunluk[VarlikId],$A27,tblGunluk[TahsilatTl_tl]))</f>
        <v/>
      </c>
      <c r="J27" s="18">
        <f>IF($A27="","",IFERROR(AVERAGEIF(tblGunluk[VarlikId],$A27,tblGunluk[FormulDoluluk_oran]),0))</f>
        <v/>
      </c>
      <c r="K27" s="18">
        <f>IF($A27="","",SUMIF(tblGunluk[VarlikId],$A27,tblGunluk[GiderTl_tl]))</f>
        <v/>
      </c>
      <c r="L27" s="18">
        <f>IF($A27="","",MAX(0,MIN(100,kpg_kaliteTaban-IF($J27&lt;kpg_esikDoluluk,kpg_kaliteCeza,0)-COUNTIFS(tblGunluk[VarlikId],$A27,tblGunluk[AlarmBayrak],"ALARM")*kpg_kaliteSapma-IF($H27="HAYIR",kpg_kaliteCeza,0))))</f>
        <v/>
      </c>
    </row>
    <row r="28">
      <c r="A28" s="15" t="n"/>
      <c r="B28" s="15" t="n"/>
      <c r="C28" s="15" t="n"/>
      <c r="D28" s="15" t="n"/>
      <c r="E28" s="16" t="n"/>
      <c r="F28" s="17" t="n"/>
      <c r="G28" s="17" t="n"/>
      <c r="H28" s="15" t="n"/>
      <c r="I28" s="18">
        <f>IF($A28="","",SUMIF(tblGunluk[VarlikId],$A28,tblGunluk[TahsilatTl_tl]))</f>
        <v/>
      </c>
      <c r="J28" s="18">
        <f>IF($A28="","",IFERROR(AVERAGEIF(tblGunluk[VarlikId],$A28,tblGunluk[FormulDoluluk_oran]),0))</f>
        <v/>
      </c>
      <c r="K28" s="18">
        <f>IF($A28="","",SUMIF(tblGunluk[VarlikId],$A28,tblGunluk[GiderTl_tl]))</f>
        <v/>
      </c>
      <c r="L28" s="18">
        <f>IF($A28="","",MAX(0,MIN(100,kpg_kaliteTaban-IF($J28&lt;kpg_esikDoluluk,kpg_kaliteCeza,0)-COUNTIFS(tblGunluk[VarlikId],$A28,tblGunluk[AlarmBayrak],"ALARM")*kpg_kaliteSapma-IF($H28="HAYIR",kpg_kaliteCeza,0))))</f>
        <v/>
      </c>
    </row>
    <row r="29">
      <c r="A29" s="15" t="n"/>
      <c r="B29" s="15" t="n"/>
      <c r="C29" s="15" t="n"/>
      <c r="D29" s="15" t="n"/>
      <c r="E29" s="16" t="n"/>
      <c r="F29" s="17" t="n"/>
      <c r="G29" s="17" t="n"/>
      <c r="H29" s="15" t="n"/>
      <c r="I29" s="18">
        <f>IF($A29="","",SUMIF(tblGunluk[VarlikId],$A29,tblGunluk[TahsilatTl_tl]))</f>
        <v/>
      </c>
      <c r="J29" s="18">
        <f>IF($A29="","",IFERROR(AVERAGEIF(tblGunluk[VarlikId],$A29,tblGunluk[FormulDoluluk_oran]),0))</f>
        <v/>
      </c>
      <c r="K29" s="18">
        <f>IF($A29="","",SUMIF(tblGunluk[VarlikId],$A29,tblGunluk[GiderTl_tl]))</f>
        <v/>
      </c>
      <c r="L29" s="18">
        <f>IF($A29="","",MAX(0,MIN(100,kpg_kaliteTaban-IF($J29&lt;kpg_esikDoluluk,kpg_kaliteCeza,0)-COUNTIFS(tblGunluk[VarlikId],$A29,tblGunluk[AlarmBayrak],"ALARM")*kpg_kaliteSapma-IF($H29="HAYIR",kpg_kaliteCeza,0))))</f>
        <v/>
      </c>
    </row>
    <row r="30">
      <c r="A30" s="15" t="n"/>
      <c r="B30" s="15" t="n"/>
      <c r="C30" s="15" t="n"/>
      <c r="D30" s="15" t="n"/>
      <c r="E30" s="16" t="n"/>
      <c r="F30" s="17" t="n"/>
      <c r="G30" s="17" t="n"/>
      <c r="H30" s="15" t="n"/>
      <c r="I30" s="18">
        <f>IF($A30="","",SUMIF(tblGunluk[VarlikId],$A30,tblGunluk[TahsilatTl_tl]))</f>
        <v/>
      </c>
      <c r="J30" s="18">
        <f>IF($A30="","",IFERROR(AVERAGEIF(tblGunluk[VarlikId],$A30,tblGunluk[FormulDoluluk_oran]),0))</f>
        <v/>
      </c>
      <c r="K30" s="18">
        <f>IF($A30="","",SUMIF(tblGunluk[VarlikId],$A30,tblGunluk[GiderTl_tl]))</f>
        <v/>
      </c>
      <c r="L30" s="18">
        <f>IF($A30="","",MAX(0,MIN(100,kpg_kaliteTaban-IF($J30&lt;kpg_esikDoluluk,kpg_kaliteCeza,0)-COUNTIFS(tblGunluk[VarlikId],$A30,tblGunluk[AlarmBayrak],"ALARM")*kpg_kaliteSapma-IF($H30="HAYIR",kpg_kaliteCeza,0))))</f>
        <v/>
      </c>
    </row>
    <row r="31">
      <c r="A31" s="15" t="n"/>
      <c r="B31" s="15" t="n"/>
      <c r="C31" s="15" t="n"/>
      <c r="D31" s="15" t="n"/>
      <c r="E31" s="16" t="n"/>
      <c r="F31" s="17" t="n"/>
      <c r="G31" s="17" t="n"/>
      <c r="H31" s="15" t="n"/>
      <c r="I31" s="18">
        <f>IF($A31="","",SUMIF(tblGunluk[VarlikId],$A31,tblGunluk[TahsilatTl_tl]))</f>
        <v/>
      </c>
      <c r="J31" s="18">
        <f>IF($A31="","",IFERROR(AVERAGEIF(tblGunluk[VarlikId],$A31,tblGunluk[FormulDoluluk_oran]),0))</f>
        <v/>
      </c>
      <c r="K31" s="18">
        <f>IF($A31="","",SUMIF(tblGunluk[VarlikId],$A31,tblGunluk[GiderTl_tl]))</f>
        <v/>
      </c>
      <c r="L31" s="18">
        <f>IF($A31="","",MAX(0,MIN(100,kpg_kaliteTaban-IF($J31&lt;kpg_esikDoluluk,kpg_kaliteCeza,0)-COUNTIFS(tblGunluk[VarlikId],$A31,tblGunluk[AlarmBayrak],"ALARM")*kpg_kaliteSapma-IF($H31="HAYIR",kpg_kaliteCeza,0))))</f>
        <v/>
      </c>
    </row>
    <row r="32">
      <c r="A32" s="15" t="n"/>
      <c r="B32" s="15" t="n"/>
      <c r="C32" s="15" t="n"/>
      <c r="D32" s="15" t="n"/>
      <c r="E32" s="16" t="n"/>
      <c r="F32" s="17" t="n"/>
      <c r="G32" s="17" t="n"/>
      <c r="H32" s="15" t="n"/>
      <c r="I32" s="18">
        <f>IF($A32="","",SUMIF(tblGunluk[VarlikId],$A32,tblGunluk[TahsilatTl_tl]))</f>
        <v/>
      </c>
      <c r="J32" s="18">
        <f>IF($A32="","",IFERROR(AVERAGEIF(tblGunluk[VarlikId],$A32,tblGunluk[FormulDoluluk_oran]),0))</f>
        <v/>
      </c>
      <c r="K32" s="18">
        <f>IF($A32="","",SUMIF(tblGunluk[VarlikId],$A32,tblGunluk[GiderTl_tl]))</f>
        <v/>
      </c>
      <c r="L32" s="18">
        <f>IF($A32="","",MAX(0,MIN(100,kpg_kaliteTaban-IF($J32&lt;kpg_esikDoluluk,kpg_kaliteCeza,0)-COUNTIFS(tblGunluk[VarlikId],$A32,tblGunluk[AlarmBayrak],"ALARM")*kpg_kaliteSapma-IF($H32="HAYIR",kpg_kaliteCeza,0))))</f>
        <v/>
      </c>
    </row>
    <row r="33">
      <c r="A33" s="15" t="n"/>
      <c r="B33" s="15" t="n"/>
      <c r="C33" s="15" t="n"/>
      <c r="D33" s="15" t="n"/>
      <c r="E33" s="16" t="n"/>
      <c r="F33" s="17" t="n"/>
      <c r="G33" s="17" t="n"/>
      <c r="H33" s="15" t="n"/>
      <c r="I33" s="18">
        <f>IF($A33="","",SUMIF(tblGunluk[VarlikId],$A33,tblGunluk[TahsilatTl_tl]))</f>
        <v/>
      </c>
      <c r="J33" s="18">
        <f>IF($A33="","",IFERROR(AVERAGEIF(tblGunluk[VarlikId],$A33,tblGunluk[FormulDoluluk_oran]),0))</f>
        <v/>
      </c>
      <c r="K33" s="18">
        <f>IF($A33="","",SUMIF(tblGunluk[VarlikId],$A33,tblGunluk[GiderTl_tl]))</f>
        <v/>
      </c>
      <c r="L33" s="18">
        <f>IF($A33="","",MAX(0,MIN(100,kpg_kaliteTaban-IF($J33&lt;kpg_esikDoluluk,kpg_kaliteCeza,0)-COUNTIFS(tblGunluk[VarlikId],$A33,tblGunluk[AlarmBayrak],"ALARM")*kpg_kaliteSapma-IF($H33="HAYIR",kpg_kaliteCeza,0))))</f>
        <v/>
      </c>
    </row>
    <row r="34">
      <c r="A34" s="15" t="n"/>
      <c r="B34" s="15" t="n"/>
      <c r="C34" s="15" t="n"/>
      <c r="D34" s="15" t="n"/>
      <c r="E34" s="16" t="n"/>
      <c r="F34" s="17" t="n"/>
      <c r="G34" s="17" t="n"/>
      <c r="H34" s="15" t="n"/>
      <c r="I34" s="18">
        <f>IF($A34="","",SUMIF(tblGunluk[VarlikId],$A34,tblGunluk[TahsilatTl_tl]))</f>
        <v/>
      </c>
      <c r="J34" s="18">
        <f>IF($A34="","",IFERROR(AVERAGEIF(tblGunluk[VarlikId],$A34,tblGunluk[FormulDoluluk_oran]),0))</f>
        <v/>
      </c>
      <c r="K34" s="18">
        <f>IF($A34="","",SUMIF(tblGunluk[VarlikId],$A34,tblGunluk[GiderTl_tl]))</f>
        <v/>
      </c>
      <c r="L34" s="18">
        <f>IF($A34="","",MAX(0,MIN(100,kpg_kaliteTaban-IF($J34&lt;kpg_esikDoluluk,kpg_kaliteCeza,0)-COUNTIFS(tblGunluk[VarlikId],$A34,tblGunluk[AlarmBayrak],"ALARM")*kpg_kaliteSapma-IF($H34="HAYIR",kpg_kaliteCeza,0))))</f>
        <v/>
      </c>
    </row>
    <row r="35">
      <c r="A35" s="15" t="n"/>
      <c r="B35" s="15" t="n"/>
      <c r="C35" s="15" t="n"/>
      <c r="D35" s="15" t="n"/>
      <c r="E35" s="16" t="n"/>
      <c r="F35" s="17" t="n"/>
      <c r="G35" s="17" t="n"/>
      <c r="H35" s="15" t="n"/>
      <c r="I35" s="18">
        <f>IF($A35="","",SUMIF(tblGunluk[VarlikId],$A35,tblGunluk[TahsilatTl_tl]))</f>
        <v/>
      </c>
      <c r="J35" s="18">
        <f>IF($A35="","",IFERROR(AVERAGEIF(tblGunluk[VarlikId],$A35,tblGunluk[FormulDoluluk_oran]),0))</f>
        <v/>
      </c>
      <c r="K35" s="18">
        <f>IF($A35="","",SUMIF(tblGunluk[VarlikId],$A35,tblGunluk[GiderTl_tl]))</f>
        <v/>
      </c>
      <c r="L35" s="18">
        <f>IF($A35="","",MAX(0,MIN(100,kpg_kaliteTaban-IF($J35&lt;kpg_esikDoluluk,kpg_kaliteCeza,0)-COUNTIFS(tblGunluk[VarlikId],$A35,tblGunluk[AlarmBayrak],"ALARM")*kpg_kaliteSapma-IF($H35="HAYIR",kpg_kaliteCeza,0))))</f>
        <v/>
      </c>
    </row>
    <row r="36">
      <c r="A36" s="15" t="n"/>
      <c r="B36" s="15" t="n"/>
      <c r="C36" s="15" t="n"/>
      <c r="D36" s="15" t="n"/>
      <c r="E36" s="16" t="n"/>
      <c r="F36" s="17" t="n"/>
      <c r="G36" s="17" t="n"/>
      <c r="H36" s="15" t="n"/>
      <c r="I36" s="18">
        <f>IF($A36="","",SUMIF(tblGunluk[VarlikId],$A36,tblGunluk[TahsilatTl_tl]))</f>
        <v/>
      </c>
      <c r="J36" s="18">
        <f>IF($A36="","",IFERROR(AVERAGEIF(tblGunluk[VarlikId],$A36,tblGunluk[FormulDoluluk_oran]),0))</f>
        <v/>
      </c>
      <c r="K36" s="18">
        <f>IF($A36="","",SUMIF(tblGunluk[VarlikId],$A36,tblGunluk[GiderTl_tl]))</f>
        <v/>
      </c>
      <c r="L36" s="18">
        <f>IF($A36="","",MAX(0,MIN(100,kpg_kaliteTaban-IF($J36&lt;kpg_esikDoluluk,kpg_kaliteCeza,0)-COUNTIFS(tblGunluk[VarlikId],$A36,tblGunluk[AlarmBayrak],"ALARM")*kpg_kaliteSapma-IF($H36="HAYIR",kpg_kaliteCeza,0))))</f>
        <v/>
      </c>
    </row>
    <row r="37">
      <c r="A37" s="15" t="n"/>
      <c r="B37" s="15" t="n"/>
      <c r="C37" s="15" t="n"/>
      <c r="D37" s="15" t="n"/>
      <c r="E37" s="16" t="n"/>
      <c r="F37" s="17" t="n"/>
      <c r="G37" s="17" t="n"/>
      <c r="H37" s="15" t="n"/>
      <c r="I37" s="18">
        <f>IF($A37="","",SUMIF(tblGunluk[VarlikId],$A37,tblGunluk[TahsilatTl_tl]))</f>
        <v/>
      </c>
      <c r="J37" s="18">
        <f>IF($A37="","",IFERROR(AVERAGEIF(tblGunluk[VarlikId],$A37,tblGunluk[FormulDoluluk_oran]),0))</f>
        <v/>
      </c>
      <c r="K37" s="18">
        <f>IF($A37="","",SUMIF(tblGunluk[VarlikId],$A37,tblGunluk[GiderTl_tl]))</f>
        <v/>
      </c>
      <c r="L37" s="18">
        <f>IF($A37="","",MAX(0,MIN(100,kpg_kaliteTaban-IF($J37&lt;kpg_esikDoluluk,kpg_kaliteCeza,0)-COUNTIFS(tblGunluk[VarlikId],$A37,tblGunluk[AlarmBayrak],"ALARM")*kpg_kaliteSapma-IF($H37="HAYIR",kpg_kaliteCeza,0))))</f>
        <v/>
      </c>
    </row>
    <row r="38">
      <c r="A38" s="15" t="n"/>
      <c r="B38" s="15" t="n"/>
      <c r="C38" s="15" t="n"/>
      <c r="D38" s="15" t="n"/>
      <c r="E38" s="16" t="n"/>
      <c r="F38" s="17" t="n"/>
      <c r="G38" s="17" t="n"/>
      <c r="H38" s="15" t="n"/>
      <c r="I38" s="18">
        <f>IF($A38="","",SUMIF(tblGunluk[VarlikId],$A38,tblGunluk[TahsilatTl_tl]))</f>
        <v/>
      </c>
      <c r="J38" s="18">
        <f>IF($A38="","",IFERROR(AVERAGEIF(tblGunluk[VarlikId],$A38,tblGunluk[FormulDoluluk_oran]),0))</f>
        <v/>
      </c>
      <c r="K38" s="18">
        <f>IF($A38="","",SUMIF(tblGunluk[VarlikId],$A38,tblGunluk[GiderTl_tl]))</f>
        <v/>
      </c>
      <c r="L38" s="18">
        <f>IF($A38="","",MAX(0,MIN(100,kpg_kaliteTaban-IF($J38&lt;kpg_esikDoluluk,kpg_kaliteCeza,0)-COUNTIFS(tblGunluk[VarlikId],$A38,tblGunluk[AlarmBayrak],"ALARM")*kpg_kaliteSapma-IF($H38="HAYIR",kpg_kaliteCeza,0))))</f>
        <v/>
      </c>
    </row>
    <row r="39">
      <c r="A39" s="15" t="n"/>
      <c r="B39" s="15" t="n"/>
      <c r="C39" s="15" t="n"/>
      <c r="D39" s="15" t="n"/>
      <c r="E39" s="16" t="n"/>
      <c r="F39" s="17" t="n"/>
      <c r="G39" s="17" t="n"/>
      <c r="H39" s="15" t="n"/>
      <c r="I39" s="18">
        <f>IF($A39="","",SUMIF(tblGunluk[VarlikId],$A39,tblGunluk[TahsilatTl_tl]))</f>
        <v/>
      </c>
      <c r="J39" s="18">
        <f>IF($A39="","",IFERROR(AVERAGEIF(tblGunluk[VarlikId],$A39,tblGunluk[FormulDoluluk_oran]),0))</f>
        <v/>
      </c>
      <c r="K39" s="18">
        <f>IF($A39="","",SUMIF(tblGunluk[VarlikId],$A39,tblGunluk[GiderTl_tl]))</f>
        <v/>
      </c>
      <c r="L39" s="18">
        <f>IF($A39="","",MAX(0,MIN(100,kpg_kaliteTaban-IF($J39&lt;kpg_esikDoluluk,kpg_kaliteCeza,0)-COUNTIFS(tblGunluk[VarlikId],$A39,tblGunluk[AlarmBayrak],"ALARM")*kpg_kaliteSapma-IF($H39="HAYIR",kpg_kaliteCeza,0))))</f>
        <v/>
      </c>
    </row>
    <row r="40">
      <c r="A40" s="15" t="n"/>
      <c r="B40" s="15" t="n"/>
      <c r="C40" s="15" t="n"/>
      <c r="D40" s="15" t="n"/>
      <c r="E40" s="16" t="n"/>
      <c r="F40" s="17" t="n"/>
      <c r="G40" s="17" t="n"/>
      <c r="H40" s="15" t="n"/>
      <c r="I40" s="18">
        <f>IF($A40="","",SUMIF(tblGunluk[VarlikId],$A40,tblGunluk[TahsilatTl_tl]))</f>
        <v/>
      </c>
      <c r="J40" s="18">
        <f>IF($A40="","",IFERROR(AVERAGEIF(tblGunluk[VarlikId],$A40,tblGunluk[FormulDoluluk_oran]),0))</f>
        <v/>
      </c>
      <c r="K40" s="18">
        <f>IF($A40="","",SUMIF(tblGunluk[VarlikId],$A40,tblGunluk[GiderTl_tl]))</f>
        <v/>
      </c>
      <c r="L40" s="18">
        <f>IF($A40="","",MAX(0,MIN(100,kpg_kaliteTaban-IF($J40&lt;kpg_esikDoluluk,kpg_kaliteCeza,0)-COUNTIFS(tblGunluk[VarlikId],$A40,tblGunluk[AlarmBayrak],"ALARM")*kpg_kaliteSapma-IF($H40="HAYIR",kpg_kaliteCeza,0))))</f>
        <v/>
      </c>
    </row>
    <row r="41">
      <c r="A41" s="15" t="n"/>
      <c r="B41" s="15" t="n"/>
      <c r="C41" s="15" t="n"/>
      <c r="D41" s="15" t="n"/>
      <c r="E41" s="16" t="n"/>
      <c r="F41" s="17" t="n"/>
      <c r="G41" s="17" t="n"/>
      <c r="H41" s="15" t="n"/>
      <c r="I41" s="18">
        <f>IF($A41="","",SUMIF(tblGunluk[VarlikId],$A41,tblGunluk[TahsilatTl_tl]))</f>
        <v/>
      </c>
      <c r="J41" s="18">
        <f>IF($A41="","",IFERROR(AVERAGEIF(tblGunluk[VarlikId],$A41,tblGunluk[FormulDoluluk_oran]),0))</f>
        <v/>
      </c>
      <c r="K41" s="18">
        <f>IF($A41="","",SUMIF(tblGunluk[VarlikId],$A41,tblGunluk[GiderTl_tl]))</f>
        <v/>
      </c>
      <c r="L41" s="18">
        <f>IF($A41="","",MAX(0,MIN(100,kpg_kaliteTaban-IF($J41&lt;kpg_esikDoluluk,kpg_kaliteCeza,0)-COUNTIFS(tblGunluk[VarlikId],$A41,tblGunluk[AlarmBayrak],"ALARM")*kpg_kaliteSapma-IF($H41="HAYIR",kpg_kaliteCeza,0))))</f>
        <v/>
      </c>
    </row>
    <row r="42">
      <c r="A42" s="15" t="n"/>
      <c r="B42" s="15" t="n"/>
      <c r="C42" s="15" t="n"/>
      <c r="D42" s="15" t="n"/>
      <c r="E42" s="16" t="n"/>
      <c r="F42" s="17" t="n"/>
      <c r="G42" s="17" t="n"/>
      <c r="H42" s="15" t="n"/>
      <c r="I42" s="18">
        <f>IF($A42="","",SUMIF(tblGunluk[VarlikId],$A42,tblGunluk[TahsilatTl_tl]))</f>
        <v/>
      </c>
      <c r="J42" s="18">
        <f>IF($A42="","",IFERROR(AVERAGEIF(tblGunluk[VarlikId],$A42,tblGunluk[FormulDoluluk_oran]),0))</f>
        <v/>
      </c>
      <c r="K42" s="18">
        <f>IF($A42="","",SUMIF(tblGunluk[VarlikId],$A42,tblGunluk[GiderTl_tl]))</f>
        <v/>
      </c>
      <c r="L42" s="18">
        <f>IF($A42="","",MAX(0,MIN(100,kpg_kaliteTaban-IF($J42&lt;kpg_esikDoluluk,kpg_kaliteCeza,0)-COUNTIFS(tblGunluk[VarlikId],$A42,tblGunluk[AlarmBayrak],"ALARM")*kpg_kaliteSapma-IF($H42="HAYIR",kpg_kaliteCeza,0))))</f>
        <v/>
      </c>
    </row>
    <row r="43">
      <c r="A43" s="15" t="n"/>
      <c r="B43" s="15" t="n"/>
      <c r="C43" s="15" t="n"/>
      <c r="D43" s="15" t="n"/>
      <c r="E43" s="16" t="n"/>
      <c r="F43" s="17" t="n"/>
      <c r="G43" s="17" t="n"/>
      <c r="H43" s="15" t="n"/>
      <c r="I43" s="18">
        <f>IF($A43="","",SUMIF(tblGunluk[VarlikId],$A43,tblGunluk[TahsilatTl_tl]))</f>
        <v/>
      </c>
      <c r="J43" s="18">
        <f>IF($A43="","",IFERROR(AVERAGEIF(tblGunluk[VarlikId],$A43,tblGunluk[FormulDoluluk_oran]),0))</f>
        <v/>
      </c>
      <c r="K43" s="18">
        <f>IF($A43="","",SUMIF(tblGunluk[VarlikId],$A43,tblGunluk[GiderTl_tl]))</f>
        <v/>
      </c>
      <c r="L43" s="18">
        <f>IF($A43="","",MAX(0,MIN(100,kpg_kaliteTaban-IF($J43&lt;kpg_esikDoluluk,kpg_kaliteCeza,0)-COUNTIFS(tblGunluk[VarlikId],$A43,tblGunluk[AlarmBayrak],"ALARM")*kpg_kaliteSapma-IF($H43="HAYIR",kpg_kaliteCeza,0))))</f>
        <v/>
      </c>
    </row>
    <row r="44">
      <c r="A44" s="15" t="n"/>
      <c r="B44" s="15" t="n"/>
      <c r="C44" s="15" t="n"/>
      <c r="D44" s="15" t="n"/>
      <c r="E44" s="16" t="n"/>
      <c r="F44" s="17" t="n"/>
      <c r="G44" s="17" t="n"/>
      <c r="H44" s="15" t="n"/>
      <c r="I44" s="18">
        <f>IF($A44="","",SUMIF(tblGunluk[VarlikId],$A44,tblGunluk[TahsilatTl_tl]))</f>
        <v/>
      </c>
      <c r="J44" s="18">
        <f>IF($A44="","",IFERROR(AVERAGEIF(tblGunluk[VarlikId],$A44,tblGunluk[FormulDoluluk_oran]),0))</f>
        <v/>
      </c>
      <c r="K44" s="18">
        <f>IF($A44="","",SUMIF(tblGunluk[VarlikId],$A44,tblGunluk[GiderTl_tl]))</f>
        <v/>
      </c>
      <c r="L44" s="18">
        <f>IF($A44="","",MAX(0,MIN(100,kpg_kaliteTaban-IF($J44&lt;kpg_esikDoluluk,kpg_kaliteCeza,0)-COUNTIFS(tblGunluk[VarlikId],$A44,tblGunluk[AlarmBayrak],"ALARM")*kpg_kaliteSapma-IF($H44="HAYIR",kpg_kaliteCeza,0))))</f>
        <v/>
      </c>
    </row>
    <row r="45">
      <c r="A45" s="15" t="n"/>
      <c r="B45" s="15" t="n"/>
      <c r="C45" s="15" t="n"/>
      <c r="D45" s="15" t="n"/>
      <c r="E45" s="16" t="n"/>
      <c r="F45" s="17" t="n"/>
      <c r="G45" s="17" t="n"/>
      <c r="H45" s="15" t="n"/>
      <c r="I45" s="18">
        <f>IF($A45="","",SUMIF(tblGunluk[VarlikId],$A45,tblGunluk[TahsilatTl_tl]))</f>
        <v/>
      </c>
      <c r="J45" s="18">
        <f>IF($A45="","",IFERROR(AVERAGEIF(tblGunluk[VarlikId],$A45,tblGunluk[FormulDoluluk_oran]),0))</f>
        <v/>
      </c>
      <c r="K45" s="18">
        <f>IF($A45="","",SUMIF(tblGunluk[VarlikId],$A45,tblGunluk[GiderTl_tl]))</f>
        <v/>
      </c>
      <c r="L45" s="18">
        <f>IF($A45="","",MAX(0,MIN(100,kpg_kaliteTaban-IF($J45&lt;kpg_esikDoluluk,kpg_kaliteCeza,0)-COUNTIFS(tblGunluk[VarlikId],$A45,tblGunluk[AlarmBayrak],"ALARM")*kpg_kaliteSapma-IF($H45="HAYIR",kpg_kaliteCeza,0))))</f>
        <v/>
      </c>
    </row>
    <row r="46">
      <c r="A46" s="15" t="n"/>
      <c r="B46" s="15" t="n"/>
      <c r="C46" s="15" t="n"/>
      <c r="D46" s="15" t="n"/>
      <c r="E46" s="16" t="n"/>
      <c r="F46" s="17" t="n"/>
      <c r="G46" s="17" t="n"/>
      <c r="H46" s="15" t="n"/>
      <c r="I46" s="18">
        <f>IF($A46="","",SUMIF(tblGunluk[VarlikId],$A46,tblGunluk[TahsilatTl_tl]))</f>
        <v/>
      </c>
      <c r="J46" s="18">
        <f>IF($A46="","",IFERROR(AVERAGEIF(tblGunluk[VarlikId],$A46,tblGunluk[FormulDoluluk_oran]),0))</f>
        <v/>
      </c>
      <c r="K46" s="18">
        <f>IF($A46="","",SUMIF(tblGunluk[VarlikId],$A46,tblGunluk[GiderTl_tl]))</f>
        <v/>
      </c>
      <c r="L46" s="18">
        <f>IF($A46="","",MAX(0,MIN(100,kpg_kaliteTaban-IF($J46&lt;kpg_esikDoluluk,kpg_kaliteCeza,0)-COUNTIFS(tblGunluk[VarlikId],$A46,tblGunluk[AlarmBayrak],"ALARM")*kpg_kaliteSapma-IF($H46="HAYIR",kpg_kaliteCeza,0))))</f>
        <v/>
      </c>
    </row>
    <row r="47">
      <c r="A47" s="15" t="n"/>
      <c r="B47" s="15" t="n"/>
      <c r="C47" s="15" t="n"/>
      <c r="D47" s="15" t="n"/>
      <c r="E47" s="16" t="n"/>
      <c r="F47" s="17" t="n"/>
      <c r="G47" s="17" t="n"/>
      <c r="H47" s="15" t="n"/>
      <c r="I47" s="18">
        <f>IF($A47="","",SUMIF(tblGunluk[VarlikId],$A47,tblGunluk[TahsilatTl_tl]))</f>
        <v/>
      </c>
      <c r="J47" s="18">
        <f>IF($A47="","",IFERROR(AVERAGEIF(tblGunluk[VarlikId],$A47,tblGunluk[FormulDoluluk_oran]),0))</f>
        <v/>
      </c>
      <c r="K47" s="18">
        <f>IF($A47="","",SUMIF(tblGunluk[VarlikId],$A47,tblGunluk[GiderTl_tl]))</f>
        <v/>
      </c>
      <c r="L47" s="18">
        <f>IF($A47="","",MAX(0,MIN(100,kpg_kaliteTaban-IF($J47&lt;kpg_esikDoluluk,kpg_kaliteCeza,0)-COUNTIFS(tblGunluk[VarlikId],$A47,tblGunluk[AlarmBayrak],"ALARM")*kpg_kaliteSapma-IF($H47="HAYIR",kpg_kaliteCeza,0))))</f>
        <v/>
      </c>
    </row>
    <row r="48">
      <c r="A48" s="15" t="n"/>
      <c r="B48" s="15" t="n"/>
      <c r="C48" s="15" t="n"/>
      <c r="D48" s="15" t="n"/>
      <c r="E48" s="16" t="n"/>
      <c r="F48" s="17" t="n"/>
      <c r="G48" s="17" t="n"/>
      <c r="H48" s="15" t="n"/>
      <c r="I48" s="18">
        <f>IF($A48="","",SUMIF(tblGunluk[VarlikId],$A48,tblGunluk[TahsilatTl_tl]))</f>
        <v/>
      </c>
      <c r="J48" s="18">
        <f>IF($A48="","",IFERROR(AVERAGEIF(tblGunluk[VarlikId],$A48,tblGunluk[FormulDoluluk_oran]),0))</f>
        <v/>
      </c>
      <c r="K48" s="18">
        <f>IF($A48="","",SUMIF(tblGunluk[VarlikId],$A48,tblGunluk[GiderTl_tl]))</f>
        <v/>
      </c>
      <c r="L48" s="18">
        <f>IF($A48="","",MAX(0,MIN(100,kpg_kaliteTaban-IF($J48&lt;kpg_esikDoluluk,kpg_kaliteCeza,0)-COUNTIFS(tblGunluk[VarlikId],$A48,tblGunluk[AlarmBayrak],"ALARM")*kpg_kaliteSapma-IF($H48="HAYIR",kpg_kaliteCeza,0))))</f>
        <v/>
      </c>
    </row>
    <row r="49">
      <c r="A49" s="15" t="n"/>
      <c r="B49" s="15" t="n"/>
      <c r="C49" s="15" t="n"/>
      <c r="D49" s="15" t="n"/>
      <c r="E49" s="16" t="n"/>
      <c r="F49" s="17" t="n"/>
      <c r="G49" s="17" t="n"/>
      <c r="H49" s="15" t="n"/>
      <c r="I49" s="18">
        <f>IF($A49="","",SUMIF(tblGunluk[VarlikId],$A49,tblGunluk[TahsilatTl_tl]))</f>
        <v/>
      </c>
      <c r="J49" s="18">
        <f>IF($A49="","",IFERROR(AVERAGEIF(tblGunluk[VarlikId],$A49,tblGunluk[FormulDoluluk_oran]),0))</f>
        <v/>
      </c>
      <c r="K49" s="18">
        <f>IF($A49="","",SUMIF(tblGunluk[VarlikId],$A49,tblGunluk[GiderTl_tl]))</f>
        <v/>
      </c>
      <c r="L49" s="18">
        <f>IF($A49="","",MAX(0,MIN(100,kpg_kaliteTaban-IF($J49&lt;kpg_esikDoluluk,kpg_kaliteCeza,0)-COUNTIFS(tblGunluk[VarlikId],$A49,tblGunluk[AlarmBayrak],"ALARM")*kpg_kaliteSapma-IF($H49="HAYIR",kpg_kaliteCeza,0))))</f>
        <v/>
      </c>
    </row>
    <row r="50">
      <c r="A50" s="15" t="n"/>
      <c r="B50" s="15" t="n"/>
      <c r="C50" s="15" t="n"/>
      <c r="D50" s="15" t="n"/>
      <c r="E50" s="16" t="n"/>
      <c r="F50" s="17" t="n"/>
      <c r="G50" s="17" t="n"/>
      <c r="H50" s="15" t="n"/>
      <c r="I50" s="18">
        <f>IF($A50="","",SUMIF(tblGunluk[VarlikId],$A50,tblGunluk[TahsilatTl_tl]))</f>
        <v/>
      </c>
      <c r="J50" s="18">
        <f>IF($A50="","",IFERROR(AVERAGEIF(tblGunluk[VarlikId],$A50,tblGunluk[FormulDoluluk_oran]),0))</f>
        <v/>
      </c>
      <c r="K50" s="18">
        <f>IF($A50="","",SUMIF(tblGunluk[VarlikId],$A50,tblGunluk[GiderTl_tl]))</f>
        <v/>
      </c>
      <c r="L50" s="18">
        <f>IF($A50="","",MAX(0,MIN(100,kpg_kaliteTaban-IF($J50&lt;kpg_esikDoluluk,kpg_kaliteCeza,0)-COUNTIFS(tblGunluk[VarlikId],$A50,tblGunluk[AlarmBayrak],"ALARM")*kpg_kaliteSapma-IF($H50="HAYIR",kpg_kaliteCeza,0))))</f>
        <v/>
      </c>
    </row>
    <row r="51">
      <c r="A51" s="15" t="n"/>
      <c r="B51" s="15" t="n"/>
      <c r="C51" s="15" t="n"/>
      <c r="D51" s="15" t="n"/>
      <c r="E51" s="16" t="n"/>
      <c r="F51" s="17" t="n"/>
      <c r="G51" s="17" t="n"/>
      <c r="H51" s="15" t="n"/>
      <c r="I51" s="18">
        <f>IF($A51="","",SUMIF(tblGunluk[VarlikId],$A51,tblGunluk[TahsilatTl_tl]))</f>
        <v/>
      </c>
      <c r="J51" s="18">
        <f>IF($A51="","",IFERROR(AVERAGEIF(tblGunluk[VarlikId],$A51,tblGunluk[FormulDoluluk_oran]),0))</f>
        <v/>
      </c>
      <c r="K51" s="18">
        <f>IF($A51="","",SUMIF(tblGunluk[VarlikId],$A51,tblGunluk[GiderTl_tl]))</f>
        <v/>
      </c>
      <c r="L51" s="18">
        <f>IF($A51="","",MAX(0,MIN(100,kpg_kaliteTaban-IF($J51&lt;kpg_esikDoluluk,kpg_kaliteCeza,0)-COUNTIFS(tblGunluk[VarlikId],$A51,tblGunluk[AlarmBayrak],"ALARM")*kpg_kaliteSapma-IF($H51="HAYIR",kpg_kaliteCeza,0))))</f>
        <v/>
      </c>
    </row>
    <row r="52">
      <c r="A52" s="15" t="n"/>
      <c r="B52" s="15" t="n"/>
      <c r="C52" s="15" t="n"/>
      <c r="D52" s="15" t="n"/>
      <c r="E52" s="16" t="n"/>
      <c r="F52" s="17" t="n"/>
      <c r="G52" s="17" t="n"/>
      <c r="H52" s="15" t="n"/>
      <c r="I52" s="18">
        <f>IF($A52="","",SUMIF(tblGunluk[VarlikId],$A52,tblGunluk[TahsilatTl_tl]))</f>
        <v/>
      </c>
      <c r="J52" s="18">
        <f>IF($A52="","",IFERROR(AVERAGEIF(tblGunluk[VarlikId],$A52,tblGunluk[FormulDoluluk_oran]),0))</f>
        <v/>
      </c>
      <c r="K52" s="18">
        <f>IF($A52="","",SUMIF(tblGunluk[VarlikId],$A52,tblGunluk[GiderTl_tl]))</f>
        <v/>
      </c>
      <c r="L52" s="18">
        <f>IF($A52="","",MAX(0,MIN(100,kpg_kaliteTaban-IF($J52&lt;kpg_esikDoluluk,kpg_kaliteCeza,0)-COUNTIFS(tblGunluk[VarlikId],$A52,tblGunluk[AlarmBayrak],"ALARM")*kpg_kaliteSapma-IF($H52="HAYIR",kpg_kaliteCeza,0))))</f>
        <v/>
      </c>
    </row>
    <row r="53">
      <c r="A53" s="15" t="n"/>
      <c r="B53" s="15" t="n"/>
      <c r="C53" s="15" t="n"/>
      <c r="D53" s="15" t="n"/>
      <c r="E53" s="16" t="n"/>
      <c r="F53" s="17" t="n"/>
      <c r="G53" s="17" t="n"/>
      <c r="H53" s="15" t="n"/>
      <c r="I53" s="18">
        <f>IF($A53="","",SUMIF(tblGunluk[VarlikId],$A53,tblGunluk[TahsilatTl_tl]))</f>
        <v/>
      </c>
      <c r="J53" s="18">
        <f>IF($A53="","",IFERROR(AVERAGEIF(tblGunluk[VarlikId],$A53,tblGunluk[FormulDoluluk_oran]),0))</f>
        <v/>
      </c>
      <c r="K53" s="18">
        <f>IF($A53="","",SUMIF(tblGunluk[VarlikId],$A53,tblGunluk[GiderTl_tl]))</f>
        <v/>
      </c>
      <c r="L53" s="18">
        <f>IF($A53="","",MAX(0,MIN(100,kpg_kaliteTaban-IF($J53&lt;kpg_esikDoluluk,kpg_kaliteCeza,0)-COUNTIFS(tblGunluk[VarlikId],$A53,tblGunluk[AlarmBayrak],"ALARM")*kpg_kaliteSapma-IF($H53="HAYIR",kpg_kaliteCeza,0))))</f>
        <v/>
      </c>
    </row>
    <row r="54">
      <c r="A54" s="15" t="n"/>
      <c r="B54" s="15" t="n"/>
      <c r="C54" s="15" t="n"/>
      <c r="D54" s="15" t="n"/>
      <c r="E54" s="16" t="n"/>
      <c r="F54" s="17" t="n"/>
      <c r="G54" s="17" t="n"/>
      <c r="H54" s="15" t="n"/>
      <c r="I54" s="18">
        <f>IF($A54="","",SUMIF(tblGunluk[VarlikId],$A54,tblGunluk[TahsilatTl_tl]))</f>
        <v/>
      </c>
      <c r="J54" s="18">
        <f>IF($A54="","",IFERROR(AVERAGEIF(tblGunluk[VarlikId],$A54,tblGunluk[FormulDoluluk_oran]),0))</f>
        <v/>
      </c>
      <c r="K54" s="18">
        <f>IF($A54="","",SUMIF(tblGunluk[VarlikId],$A54,tblGunluk[GiderTl_tl]))</f>
        <v/>
      </c>
      <c r="L54" s="18">
        <f>IF($A54="","",MAX(0,MIN(100,kpg_kaliteTaban-IF($J54&lt;kpg_esikDoluluk,kpg_kaliteCeza,0)-COUNTIFS(tblGunluk[VarlikId],$A54,tblGunluk[AlarmBayrak],"ALARM")*kpg_kaliteSapma-IF($H54="HAYIR",kpg_kaliteCeza,0))))</f>
        <v/>
      </c>
    </row>
    <row r="55">
      <c r="A55" s="15" t="n"/>
      <c r="B55" s="15" t="n"/>
      <c r="C55" s="15" t="n"/>
      <c r="D55" s="15" t="n"/>
      <c r="E55" s="16" t="n"/>
      <c r="F55" s="17" t="n"/>
      <c r="G55" s="17" t="n"/>
      <c r="H55" s="15" t="n"/>
      <c r="I55" s="18">
        <f>IF($A55="","",SUMIF(tblGunluk[VarlikId],$A55,tblGunluk[TahsilatTl_tl]))</f>
        <v/>
      </c>
      <c r="J55" s="18">
        <f>IF($A55="","",IFERROR(AVERAGEIF(tblGunluk[VarlikId],$A55,tblGunluk[FormulDoluluk_oran]),0))</f>
        <v/>
      </c>
      <c r="K55" s="18">
        <f>IF($A55="","",SUMIF(tblGunluk[VarlikId],$A55,tblGunluk[GiderTl_tl]))</f>
        <v/>
      </c>
      <c r="L55" s="18">
        <f>IF($A55="","",MAX(0,MIN(100,kpg_kaliteTaban-IF($J55&lt;kpg_esikDoluluk,kpg_kaliteCeza,0)-COUNTIFS(tblGunluk[VarlikId],$A55,tblGunluk[AlarmBayrak],"ALARM")*kpg_kaliteSapma-IF($H55="HAYIR",kpg_kaliteCeza,0))))</f>
        <v/>
      </c>
    </row>
    <row r="56">
      <c r="A56" s="15" t="n"/>
      <c r="B56" s="15" t="n"/>
      <c r="C56" s="15" t="n"/>
      <c r="D56" s="15" t="n"/>
      <c r="E56" s="16" t="n"/>
      <c r="F56" s="17" t="n"/>
      <c r="G56" s="17" t="n"/>
      <c r="H56" s="15" t="n"/>
      <c r="I56" s="18">
        <f>IF($A56="","",SUMIF(tblGunluk[VarlikId],$A56,tblGunluk[TahsilatTl_tl]))</f>
        <v/>
      </c>
      <c r="J56" s="18">
        <f>IF($A56="","",IFERROR(AVERAGEIF(tblGunluk[VarlikId],$A56,tblGunluk[FormulDoluluk_oran]),0))</f>
        <v/>
      </c>
      <c r="K56" s="18">
        <f>IF($A56="","",SUMIF(tblGunluk[VarlikId],$A56,tblGunluk[GiderTl_tl]))</f>
        <v/>
      </c>
      <c r="L56" s="18">
        <f>IF($A56="","",MAX(0,MIN(100,kpg_kaliteTaban-IF($J56&lt;kpg_esikDoluluk,kpg_kaliteCeza,0)-COUNTIFS(tblGunluk[VarlikId],$A56,tblGunluk[AlarmBayrak],"ALARM")*kpg_kaliteSapma-IF($H56="HAYIR",kpg_kaliteCeza,0))))</f>
        <v/>
      </c>
    </row>
    <row r="57">
      <c r="A57" s="15" t="n"/>
      <c r="B57" s="15" t="n"/>
      <c r="C57" s="15" t="n"/>
      <c r="D57" s="15" t="n"/>
      <c r="E57" s="16" t="n"/>
      <c r="F57" s="17" t="n"/>
      <c r="G57" s="17" t="n"/>
      <c r="H57" s="15" t="n"/>
      <c r="I57" s="18">
        <f>IF($A57="","",SUMIF(tblGunluk[VarlikId],$A57,tblGunluk[TahsilatTl_tl]))</f>
        <v/>
      </c>
      <c r="J57" s="18">
        <f>IF($A57="","",IFERROR(AVERAGEIF(tblGunluk[VarlikId],$A57,tblGunluk[FormulDoluluk_oran]),0))</f>
        <v/>
      </c>
      <c r="K57" s="18">
        <f>IF($A57="","",SUMIF(tblGunluk[VarlikId],$A57,tblGunluk[GiderTl_tl]))</f>
        <v/>
      </c>
      <c r="L57" s="18">
        <f>IF($A57="","",MAX(0,MIN(100,kpg_kaliteTaban-IF($J57&lt;kpg_esikDoluluk,kpg_kaliteCeza,0)-COUNTIFS(tblGunluk[VarlikId],$A57,tblGunluk[AlarmBayrak],"ALARM")*kpg_kaliteSapma-IF($H57="HAYIR",kpg_kaliteCeza,0))))</f>
        <v/>
      </c>
    </row>
    <row r="58">
      <c r="A58" s="15" t="n"/>
      <c r="B58" s="15" t="n"/>
      <c r="C58" s="15" t="n"/>
      <c r="D58" s="15" t="n"/>
      <c r="E58" s="16" t="n"/>
      <c r="F58" s="17" t="n"/>
      <c r="G58" s="17" t="n"/>
      <c r="H58" s="15" t="n"/>
      <c r="I58" s="18">
        <f>IF($A58="","",SUMIF(tblGunluk[VarlikId],$A58,tblGunluk[TahsilatTl_tl]))</f>
        <v/>
      </c>
      <c r="J58" s="18">
        <f>IF($A58="","",IFERROR(AVERAGEIF(tblGunluk[VarlikId],$A58,tblGunluk[FormulDoluluk_oran]),0))</f>
        <v/>
      </c>
      <c r="K58" s="18">
        <f>IF($A58="","",SUMIF(tblGunluk[VarlikId],$A58,tblGunluk[GiderTl_tl]))</f>
        <v/>
      </c>
      <c r="L58" s="18">
        <f>IF($A58="","",MAX(0,MIN(100,kpg_kaliteTaban-IF($J58&lt;kpg_esikDoluluk,kpg_kaliteCeza,0)-COUNTIFS(tblGunluk[VarlikId],$A58,tblGunluk[AlarmBayrak],"ALARM")*kpg_kaliteSapma-IF($H58="HAYIR",kpg_kaliteCeza,0))))</f>
        <v/>
      </c>
    </row>
    <row r="59">
      <c r="A59" s="15" t="n"/>
      <c r="B59" s="15" t="n"/>
      <c r="C59" s="15" t="n"/>
      <c r="D59" s="15" t="n"/>
      <c r="E59" s="16" t="n"/>
      <c r="F59" s="17" t="n"/>
      <c r="G59" s="17" t="n"/>
      <c r="H59" s="15" t="n"/>
      <c r="I59" s="18">
        <f>IF($A59="","",SUMIF(tblGunluk[VarlikId],$A59,tblGunluk[TahsilatTl_tl]))</f>
        <v/>
      </c>
      <c r="J59" s="18">
        <f>IF($A59="","",IFERROR(AVERAGEIF(tblGunluk[VarlikId],$A59,tblGunluk[FormulDoluluk_oran]),0))</f>
        <v/>
      </c>
      <c r="K59" s="18">
        <f>IF($A59="","",SUMIF(tblGunluk[VarlikId],$A59,tblGunluk[GiderTl_tl]))</f>
        <v/>
      </c>
      <c r="L59" s="18">
        <f>IF($A59="","",MAX(0,MIN(100,kpg_kaliteTaban-IF($J59&lt;kpg_esikDoluluk,kpg_kaliteCeza,0)-COUNTIFS(tblGunluk[VarlikId],$A59,tblGunluk[AlarmBayrak],"ALARM")*kpg_kaliteSapma-IF($H59="HAYIR",kpg_kaliteCeza,0))))</f>
        <v/>
      </c>
    </row>
    <row r="60">
      <c r="A60" s="15" t="n"/>
      <c r="B60" s="15" t="n"/>
      <c r="C60" s="15" t="n"/>
      <c r="D60" s="15" t="n"/>
      <c r="E60" s="16" t="n"/>
      <c r="F60" s="17" t="n"/>
      <c r="G60" s="17" t="n"/>
      <c r="H60" s="15" t="n"/>
      <c r="I60" s="18">
        <f>IF($A60="","",SUMIF(tblGunluk[VarlikId],$A60,tblGunluk[TahsilatTl_tl]))</f>
        <v/>
      </c>
      <c r="J60" s="18">
        <f>IF($A60="","",IFERROR(AVERAGEIF(tblGunluk[VarlikId],$A60,tblGunluk[FormulDoluluk_oran]),0))</f>
        <v/>
      </c>
      <c r="K60" s="18">
        <f>IF($A60="","",SUMIF(tblGunluk[VarlikId],$A60,tblGunluk[GiderTl_tl]))</f>
        <v/>
      </c>
      <c r="L60" s="18">
        <f>IF($A60="","",MAX(0,MIN(100,kpg_kaliteTaban-IF($J60&lt;kpg_esikDoluluk,kpg_kaliteCeza,0)-COUNTIFS(tblGunluk[VarlikId],$A60,tblGunluk[AlarmBayrak],"ALARM")*kpg_kaliteSapma-IF($H60="HAYIR",kpg_kaliteCeza,0))))</f>
        <v/>
      </c>
    </row>
    <row r="61">
      <c r="A61" s="15" t="n"/>
      <c r="B61" s="15" t="n"/>
      <c r="C61" s="15" t="n"/>
      <c r="D61" s="15" t="n"/>
      <c r="E61" s="16" t="n"/>
      <c r="F61" s="17" t="n"/>
      <c r="G61" s="17" t="n"/>
      <c r="H61" s="15" t="n"/>
      <c r="I61" s="18">
        <f>IF($A61="","",SUMIF(tblGunluk[VarlikId],$A61,tblGunluk[TahsilatTl_tl]))</f>
        <v/>
      </c>
      <c r="J61" s="18">
        <f>IF($A61="","",IFERROR(AVERAGEIF(tblGunluk[VarlikId],$A61,tblGunluk[FormulDoluluk_oran]),0))</f>
        <v/>
      </c>
      <c r="K61" s="18">
        <f>IF($A61="","",SUMIF(tblGunluk[VarlikId],$A61,tblGunluk[GiderTl_tl]))</f>
        <v/>
      </c>
      <c r="L61" s="18">
        <f>IF($A61="","",MAX(0,MIN(100,kpg_kaliteTaban-IF($J61&lt;kpg_esikDoluluk,kpg_kaliteCeza,0)-COUNTIFS(tblGunluk[VarlikId],$A61,tblGunluk[AlarmBayrak],"ALARM")*kpg_kaliteSapma-IF($H61="HAYIR",kpg_kaliteCeza,0))))</f>
        <v/>
      </c>
    </row>
    <row r="62">
      <c r="A62" s="15" t="n"/>
      <c r="B62" s="15" t="n"/>
      <c r="C62" s="15" t="n"/>
      <c r="D62" s="15" t="n"/>
      <c r="E62" s="16" t="n"/>
      <c r="F62" s="17" t="n"/>
      <c r="G62" s="17" t="n"/>
      <c r="H62" s="15" t="n"/>
      <c r="I62" s="18">
        <f>IF($A62="","",SUMIF(tblGunluk[VarlikId],$A62,tblGunluk[TahsilatTl_tl]))</f>
        <v/>
      </c>
      <c r="J62" s="18">
        <f>IF($A62="","",IFERROR(AVERAGEIF(tblGunluk[VarlikId],$A62,tblGunluk[FormulDoluluk_oran]),0))</f>
        <v/>
      </c>
      <c r="K62" s="18">
        <f>IF($A62="","",SUMIF(tblGunluk[VarlikId],$A62,tblGunluk[GiderTl_tl]))</f>
        <v/>
      </c>
      <c r="L62" s="18">
        <f>IF($A62="","",MAX(0,MIN(100,kpg_kaliteTaban-IF($J62&lt;kpg_esikDoluluk,kpg_kaliteCeza,0)-COUNTIFS(tblGunluk[VarlikId],$A62,tblGunluk[AlarmBayrak],"ALARM")*kpg_kaliteSapma-IF($H62="HAYIR",kpg_kaliteCeza,0))))</f>
        <v/>
      </c>
    </row>
    <row r="63">
      <c r="A63" s="15" t="n"/>
      <c r="B63" s="15" t="n"/>
      <c r="C63" s="15" t="n"/>
      <c r="D63" s="15" t="n"/>
      <c r="E63" s="16" t="n"/>
      <c r="F63" s="17" t="n"/>
      <c r="G63" s="17" t="n"/>
      <c r="H63" s="15" t="n"/>
      <c r="I63" s="18">
        <f>IF($A63="","",SUMIF(tblGunluk[VarlikId],$A63,tblGunluk[TahsilatTl_tl]))</f>
        <v/>
      </c>
      <c r="J63" s="18">
        <f>IF($A63="","",IFERROR(AVERAGEIF(tblGunluk[VarlikId],$A63,tblGunluk[FormulDoluluk_oran]),0))</f>
        <v/>
      </c>
      <c r="K63" s="18">
        <f>IF($A63="","",SUMIF(tblGunluk[VarlikId],$A63,tblGunluk[GiderTl_tl]))</f>
        <v/>
      </c>
      <c r="L63" s="18">
        <f>IF($A63="","",MAX(0,MIN(100,kpg_kaliteTaban-IF($J63&lt;kpg_esikDoluluk,kpg_kaliteCeza,0)-COUNTIFS(tblGunluk[VarlikId],$A63,tblGunluk[AlarmBayrak],"ALARM")*kpg_kaliteSapma-IF($H63="HAYIR",kpg_kaliteCeza,0))))</f>
        <v/>
      </c>
    </row>
    <row r="64">
      <c r="A64" s="15" t="n"/>
      <c r="B64" s="15" t="n"/>
      <c r="C64" s="15" t="n"/>
      <c r="D64" s="15" t="n"/>
      <c r="E64" s="16" t="n"/>
      <c r="F64" s="17" t="n"/>
      <c r="G64" s="17" t="n"/>
      <c r="H64" s="15" t="n"/>
      <c r="I64" s="18">
        <f>IF($A64="","",SUMIF(tblGunluk[VarlikId],$A64,tblGunluk[TahsilatTl_tl]))</f>
        <v/>
      </c>
      <c r="J64" s="18">
        <f>IF($A64="","",IFERROR(AVERAGEIF(tblGunluk[VarlikId],$A64,tblGunluk[FormulDoluluk_oran]),0))</f>
        <v/>
      </c>
      <c r="K64" s="18">
        <f>IF($A64="","",SUMIF(tblGunluk[VarlikId],$A64,tblGunluk[GiderTl_tl]))</f>
        <v/>
      </c>
      <c r="L64" s="18">
        <f>IF($A64="","",MAX(0,MIN(100,kpg_kaliteTaban-IF($J64&lt;kpg_esikDoluluk,kpg_kaliteCeza,0)-COUNTIFS(tblGunluk[VarlikId],$A64,tblGunluk[AlarmBayrak],"ALARM")*kpg_kaliteSapma-IF($H64="HAYIR",kpg_kaliteCeza,0))))</f>
        <v/>
      </c>
    </row>
    <row r="65">
      <c r="A65" s="15" t="n"/>
      <c r="B65" s="15" t="n"/>
      <c r="C65" s="15" t="n"/>
      <c r="D65" s="15" t="n"/>
      <c r="E65" s="16" t="n"/>
      <c r="F65" s="17" t="n"/>
      <c r="G65" s="17" t="n"/>
      <c r="H65" s="15" t="n"/>
      <c r="I65" s="18">
        <f>IF($A65="","",SUMIF(tblGunluk[VarlikId],$A65,tblGunluk[TahsilatTl_tl]))</f>
        <v/>
      </c>
      <c r="J65" s="18">
        <f>IF($A65="","",IFERROR(AVERAGEIF(tblGunluk[VarlikId],$A65,tblGunluk[FormulDoluluk_oran]),0))</f>
        <v/>
      </c>
      <c r="K65" s="18">
        <f>IF($A65="","",SUMIF(tblGunluk[VarlikId],$A65,tblGunluk[GiderTl_tl]))</f>
        <v/>
      </c>
      <c r="L65" s="18">
        <f>IF($A65="","",MAX(0,MIN(100,kpg_kaliteTaban-IF($J65&lt;kpg_esikDoluluk,kpg_kaliteCeza,0)-COUNTIFS(tblGunluk[VarlikId],$A65,tblGunluk[AlarmBayrak],"ALARM")*kpg_kaliteSapma-IF($H65="HAYIR",kpg_kaliteCeza,0))))</f>
        <v/>
      </c>
    </row>
    <row r="66">
      <c r="A66" s="15" t="n"/>
      <c r="B66" s="15" t="n"/>
      <c r="C66" s="15" t="n"/>
      <c r="D66" s="15" t="n"/>
      <c r="E66" s="16" t="n"/>
      <c r="F66" s="17" t="n"/>
      <c r="G66" s="17" t="n"/>
      <c r="H66" s="15" t="n"/>
      <c r="I66" s="18">
        <f>IF($A66="","",SUMIF(tblGunluk[VarlikId],$A66,tblGunluk[TahsilatTl_tl]))</f>
        <v/>
      </c>
      <c r="J66" s="18">
        <f>IF($A66="","",IFERROR(AVERAGEIF(tblGunluk[VarlikId],$A66,tblGunluk[FormulDoluluk_oran]),0))</f>
        <v/>
      </c>
      <c r="K66" s="18">
        <f>IF($A66="","",SUMIF(tblGunluk[VarlikId],$A66,tblGunluk[GiderTl_tl]))</f>
        <v/>
      </c>
      <c r="L66" s="18">
        <f>IF($A66="","",MAX(0,MIN(100,kpg_kaliteTaban-IF($J66&lt;kpg_esikDoluluk,kpg_kaliteCeza,0)-COUNTIFS(tblGunluk[VarlikId],$A66,tblGunluk[AlarmBayrak],"ALARM")*kpg_kaliteSapma-IF($H66="HAYIR",kpg_kaliteCeza,0))))</f>
        <v/>
      </c>
    </row>
    <row r="67">
      <c r="A67" s="15" t="n"/>
      <c r="B67" s="15" t="n"/>
      <c r="C67" s="15" t="n"/>
      <c r="D67" s="15" t="n"/>
      <c r="E67" s="16" t="n"/>
      <c r="F67" s="17" t="n"/>
      <c r="G67" s="17" t="n"/>
      <c r="H67" s="15" t="n"/>
      <c r="I67" s="18">
        <f>IF($A67="","",SUMIF(tblGunluk[VarlikId],$A67,tblGunluk[TahsilatTl_tl]))</f>
        <v/>
      </c>
      <c r="J67" s="18">
        <f>IF($A67="","",IFERROR(AVERAGEIF(tblGunluk[VarlikId],$A67,tblGunluk[FormulDoluluk_oran]),0))</f>
        <v/>
      </c>
      <c r="K67" s="18">
        <f>IF($A67="","",SUMIF(tblGunluk[VarlikId],$A67,tblGunluk[GiderTl_tl]))</f>
        <v/>
      </c>
      <c r="L67" s="18">
        <f>IF($A67="","",MAX(0,MIN(100,kpg_kaliteTaban-IF($J67&lt;kpg_esikDoluluk,kpg_kaliteCeza,0)-COUNTIFS(tblGunluk[VarlikId],$A67,tblGunluk[AlarmBayrak],"ALARM")*kpg_kaliteSapma-IF($H67="HAYIR",kpg_kaliteCeza,0))))</f>
        <v/>
      </c>
    </row>
    <row r="68">
      <c r="A68" s="15" t="n"/>
      <c r="B68" s="15" t="n"/>
      <c r="C68" s="15" t="n"/>
      <c r="D68" s="15" t="n"/>
      <c r="E68" s="16" t="n"/>
      <c r="F68" s="17" t="n"/>
      <c r="G68" s="17" t="n"/>
      <c r="H68" s="15" t="n"/>
      <c r="I68" s="18">
        <f>IF($A68="","",SUMIF(tblGunluk[VarlikId],$A68,tblGunluk[TahsilatTl_tl]))</f>
        <v/>
      </c>
      <c r="J68" s="18">
        <f>IF($A68="","",IFERROR(AVERAGEIF(tblGunluk[VarlikId],$A68,tblGunluk[FormulDoluluk_oran]),0))</f>
        <v/>
      </c>
      <c r="K68" s="18">
        <f>IF($A68="","",SUMIF(tblGunluk[VarlikId],$A68,tblGunluk[GiderTl_tl]))</f>
        <v/>
      </c>
      <c r="L68" s="18">
        <f>IF($A68="","",MAX(0,MIN(100,kpg_kaliteTaban-IF($J68&lt;kpg_esikDoluluk,kpg_kaliteCeza,0)-COUNTIFS(tblGunluk[VarlikId],$A68,tblGunluk[AlarmBayrak],"ALARM")*kpg_kaliteSapma-IF($H68="HAYIR",kpg_kaliteCeza,0))))</f>
        <v/>
      </c>
    </row>
    <row r="69">
      <c r="A69" s="15" t="n"/>
      <c r="B69" s="15" t="n"/>
      <c r="C69" s="15" t="n"/>
      <c r="D69" s="15" t="n"/>
      <c r="E69" s="16" t="n"/>
      <c r="F69" s="17" t="n"/>
      <c r="G69" s="17" t="n"/>
      <c r="H69" s="15" t="n"/>
      <c r="I69" s="18">
        <f>IF($A69="","",SUMIF(tblGunluk[VarlikId],$A69,tblGunluk[TahsilatTl_tl]))</f>
        <v/>
      </c>
      <c r="J69" s="18">
        <f>IF($A69="","",IFERROR(AVERAGEIF(tblGunluk[VarlikId],$A69,tblGunluk[FormulDoluluk_oran]),0))</f>
        <v/>
      </c>
      <c r="K69" s="18">
        <f>IF($A69="","",SUMIF(tblGunluk[VarlikId],$A69,tblGunluk[GiderTl_tl]))</f>
        <v/>
      </c>
      <c r="L69" s="18">
        <f>IF($A69="","",MAX(0,MIN(100,kpg_kaliteTaban-IF($J69&lt;kpg_esikDoluluk,kpg_kaliteCeza,0)-COUNTIFS(tblGunluk[VarlikId],$A69,tblGunluk[AlarmBayrak],"ALARM")*kpg_kaliteSapma-IF($H69="HAYIR",kpg_kaliteCeza,0))))</f>
        <v/>
      </c>
    </row>
    <row r="70">
      <c r="A70" s="15" t="n"/>
      <c r="B70" s="15" t="n"/>
      <c r="C70" s="15" t="n"/>
      <c r="D70" s="15" t="n"/>
      <c r="E70" s="16" t="n"/>
      <c r="F70" s="17" t="n"/>
      <c r="G70" s="17" t="n"/>
      <c r="H70" s="15" t="n"/>
      <c r="I70" s="18">
        <f>IF($A70="","",SUMIF(tblGunluk[VarlikId],$A70,tblGunluk[TahsilatTl_tl]))</f>
        <v/>
      </c>
      <c r="J70" s="18">
        <f>IF($A70="","",IFERROR(AVERAGEIF(tblGunluk[VarlikId],$A70,tblGunluk[FormulDoluluk_oran]),0))</f>
        <v/>
      </c>
      <c r="K70" s="18">
        <f>IF($A70="","",SUMIF(tblGunluk[VarlikId],$A70,tblGunluk[GiderTl_tl]))</f>
        <v/>
      </c>
      <c r="L70" s="18">
        <f>IF($A70="","",MAX(0,MIN(100,kpg_kaliteTaban-IF($J70&lt;kpg_esikDoluluk,kpg_kaliteCeza,0)-COUNTIFS(tblGunluk[VarlikId],$A70,tblGunluk[AlarmBayrak],"ALARM")*kpg_kaliteSapma-IF($H70="HAYIR",kpg_kaliteCeza,0))))</f>
        <v/>
      </c>
    </row>
    <row r="71">
      <c r="A71" s="15" t="n"/>
      <c r="B71" s="15" t="n"/>
      <c r="C71" s="15" t="n"/>
      <c r="D71" s="15" t="n"/>
      <c r="E71" s="16" t="n"/>
      <c r="F71" s="17" t="n"/>
      <c r="G71" s="17" t="n"/>
      <c r="H71" s="15" t="n"/>
      <c r="I71" s="18">
        <f>IF($A71="","",SUMIF(tblGunluk[VarlikId],$A71,tblGunluk[TahsilatTl_tl]))</f>
        <v/>
      </c>
      <c r="J71" s="18">
        <f>IF($A71="","",IFERROR(AVERAGEIF(tblGunluk[VarlikId],$A71,tblGunluk[FormulDoluluk_oran]),0))</f>
        <v/>
      </c>
      <c r="K71" s="18">
        <f>IF($A71="","",SUMIF(tblGunluk[VarlikId],$A71,tblGunluk[GiderTl_tl]))</f>
        <v/>
      </c>
      <c r="L71" s="18">
        <f>IF($A71="","",MAX(0,MIN(100,kpg_kaliteTaban-IF($J71&lt;kpg_esikDoluluk,kpg_kaliteCeza,0)-COUNTIFS(tblGunluk[VarlikId],$A71,tblGunluk[AlarmBayrak],"ALARM")*kpg_kaliteSapma-IF($H71="HAYIR",kpg_kaliteCeza,0))))</f>
        <v/>
      </c>
    </row>
    <row r="72">
      <c r="A72" s="15" t="n"/>
      <c r="B72" s="15" t="n"/>
      <c r="C72" s="15" t="n"/>
      <c r="D72" s="15" t="n"/>
      <c r="E72" s="16" t="n"/>
      <c r="F72" s="17" t="n"/>
      <c r="G72" s="17" t="n"/>
      <c r="H72" s="15" t="n"/>
      <c r="I72" s="18">
        <f>IF($A72="","",SUMIF(tblGunluk[VarlikId],$A72,tblGunluk[TahsilatTl_tl]))</f>
        <v/>
      </c>
      <c r="J72" s="18">
        <f>IF($A72="","",IFERROR(AVERAGEIF(tblGunluk[VarlikId],$A72,tblGunluk[FormulDoluluk_oran]),0))</f>
        <v/>
      </c>
      <c r="K72" s="18">
        <f>IF($A72="","",SUMIF(tblGunluk[VarlikId],$A72,tblGunluk[GiderTl_tl]))</f>
        <v/>
      </c>
      <c r="L72" s="18">
        <f>IF($A72="","",MAX(0,MIN(100,kpg_kaliteTaban-IF($J72&lt;kpg_esikDoluluk,kpg_kaliteCeza,0)-COUNTIFS(tblGunluk[VarlikId],$A72,tblGunluk[AlarmBayrak],"ALARM")*kpg_kaliteSapma-IF($H72="HAYIR",kpg_kaliteCeza,0))))</f>
        <v/>
      </c>
    </row>
    <row r="73">
      <c r="A73" s="15" t="n"/>
      <c r="B73" s="15" t="n"/>
      <c r="C73" s="15" t="n"/>
      <c r="D73" s="15" t="n"/>
      <c r="E73" s="16" t="n"/>
      <c r="F73" s="17" t="n"/>
      <c r="G73" s="17" t="n"/>
      <c r="H73" s="15" t="n"/>
      <c r="I73" s="18">
        <f>IF($A73="","",SUMIF(tblGunluk[VarlikId],$A73,tblGunluk[TahsilatTl_tl]))</f>
        <v/>
      </c>
      <c r="J73" s="18">
        <f>IF($A73="","",IFERROR(AVERAGEIF(tblGunluk[VarlikId],$A73,tblGunluk[FormulDoluluk_oran]),0))</f>
        <v/>
      </c>
      <c r="K73" s="18">
        <f>IF($A73="","",SUMIF(tblGunluk[VarlikId],$A73,tblGunluk[GiderTl_tl]))</f>
        <v/>
      </c>
      <c r="L73" s="18">
        <f>IF($A73="","",MAX(0,MIN(100,kpg_kaliteTaban-IF($J73&lt;kpg_esikDoluluk,kpg_kaliteCeza,0)-COUNTIFS(tblGunluk[VarlikId],$A73,tblGunluk[AlarmBayrak],"ALARM")*kpg_kaliteSapma-IF($H73="HAYIR",kpg_kaliteCeza,0))))</f>
        <v/>
      </c>
    </row>
    <row r="74">
      <c r="A74" s="15" t="n"/>
      <c r="B74" s="15" t="n"/>
      <c r="C74" s="15" t="n"/>
      <c r="D74" s="15" t="n"/>
      <c r="E74" s="16" t="n"/>
      <c r="F74" s="17" t="n"/>
      <c r="G74" s="17" t="n"/>
      <c r="H74" s="15" t="n"/>
      <c r="I74" s="18">
        <f>IF($A74="","",SUMIF(tblGunluk[VarlikId],$A74,tblGunluk[TahsilatTl_tl]))</f>
        <v/>
      </c>
      <c r="J74" s="18">
        <f>IF($A74="","",IFERROR(AVERAGEIF(tblGunluk[VarlikId],$A74,tblGunluk[FormulDoluluk_oran]),0))</f>
        <v/>
      </c>
      <c r="K74" s="18">
        <f>IF($A74="","",SUMIF(tblGunluk[VarlikId],$A74,tblGunluk[GiderTl_tl]))</f>
        <v/>
      </c>
      <c r="L74" s="18">
        <f>IF($A74="","",MAX(0,MIN(100,kpg_kaliteTaban-IF($J74&lt;kpg_esikDoluluk,kpg_kaliteCeza,0)-COUNTIFS(tblGunluk[VarlikId],$A74,tblGunluk[AlarmBayrak],"ALARM")*kpg_kaliteSapma-IF($H74="HAYIR",kpg_kaliteCeza,0))))</f>
        <v/>
      </c>
    </row>
    <row r="75">
      <c r="A75" s="15" t="n"/>
      <c r="B75" s="15" t="n"/>
      <c r="C75" s="15" t="n"/>
      <c r="D75" s="15" t="n"/>
      <c r="E75" s="16" t="n"/>
      <c r="F75" s="17" t="n"/>
      <c r="G75" s="17" t="n"/>
      <c r="H75" s="15" t="n"/>
      <c r="I75" s="18">
        <f>IF($A75="","",SUMIF(tblGunluk[VarlikId],$A75,tblGunluk[TahsilatTl_tl]))</f>
        <v/>
      </c>
      <c r="J75" s="18">
        <f>IF($A75="","",IFERROR(AVERAGEIF(tblGunluk[VarlikId],$A75,tblGunluk[FormulDoluluk_oran]),0))</f>
        <v/>
      </c>
      <c r="K75" s="18">
        <f>IF($A75="","",SUMIF(tblGunluk[VarlikId],$A75,tblGunluk[GiderTl_tl]))</f>
        <v/>
      </c>
      <c r="L75" s="18">
        <f>IF($A75="","",MAX(0,MIN(100,kpg_kaliteTaban-IF($J75&lt;kpg_esikDoluluk,kpg_kaliteCeza,0)-COUNTIFS(tblGunluk[VarlikId],$A75,tblGunluk[AlarmBayrak],"ALARM")*kpg_kaliteSapma-IF($H75="HAYIR",kpg_kaliteCeza,0))))</f>
        <v/>
      </c>
    </row>
    <row r="76">
      <c r="A76" s="15" t="n"/>
      <c r="B76" s="15" t="n"/>
      <c r="C76" s="15" t="n"/>
      <c r="D76" s="15" t="n"/>
      <c r="E76" s="16" t="n"/>
      <c r="F76" s="17" t="n"/>
      <c r="G76" s="17" t="n"/>
      <c r="H76" s="15" t="n"/>
      <c r="I76" s="18">
        <f>IF($A76="","",SUMIF(tblGunluk[VarlikId],$A76,tblGunluk[TahsilatTl_tl]))</f>
        <v/>
      </c>
      <c r="J76" s="18">
        <f>IF($A76="","",IFERROR(AVERAGEIF(tblGunluk[VarlikId],$A76,tblGunluk[FormulDoluluk_oran]),0))</f>
        <v/>
      </c>
      <c r="K76" s="18">
        <f>IF($A76="","",SUMIF(tblGunluk[VarlikId],$A76,tblGunluk[GiderTl_tl]))</f>
        <v/>
      </c>
      <c r="L76" s="18">
        <f>IF($A76="","",MAX(0,MIN(100,kpg_kaliteTaban-IF($J76&lt;kpg_esikDoluluk,kpg_kaliteCeza,0)-COUNTIFS(tblGunluk[VarlikId],$A76,tblGunluk[AlarmBayrak],"ALARM")*kpg_kaliteSapma-IF($H76="HAYIR",kpg_kaliteCeza,0))))</f>
        <v/>
      </c>
    </row>
    <row r="77">
      <c r="A77" s="15" t="n"/>
      <c r="B77" s="15" t="n"/>
      <c r="C77" s="15" t="n"/>
      <c r="D77" s="15" t="n"/>
      <c r="E77" s="16" t="n"/>
      <c r="F77" s="17" t="n"/>
      <c r="G77" s="17" t="n"/>
      <c r="H77" s="15" t="n"/>
      <c r="I77" s="18">
        <f>IF($A77="","",SUMIF(tblGunluk[VarlikId],$A77,tblGunluk[TahsilatTl_tl]))</f>
        <v/>
      </c>
      <c r="J77" s="18">
        <f>IF($A77="","",IFERROR(AVERAGEIF(tblGunluk[VarlikId],$A77,tblGunluk[FormulDoluluk_oran]),0))</f>
        <v/>
      </c>
      <c r="K77" s="18">
        <f>IF($A77="","",SUMIF(tblGunluk[VarlikId],$A77,tblGunluk[GiderTl_tl]))</f>
        <v/>
      </c>
      <c r="L77" s="18">
        <f>IF($A77="","",MAX(0,MIN(100,kpg_kaliteTaban-IF($J77&lt;kpg_esikDoluluk,kpg_kaliteCeza,0)-COUNTIFS(tblGunluk[VarlikId],$A77,tblGunluk[AlarmBayrak],"ALARM")*kpg_kaliteSapma-IF($H77="HAYIR",kpg_kaliteCeza,0))))</f>
        <v/>
      </c>
    </row>
    <row r="78">
      <c r="A78" s="15" t="n"/>
      <c r="B78" s="15" t="n"/>
      <c r="C78" s="15" t="n"/>
      <c r="D78" s="15" t="n"/>
      <c r="E78" s="16" t="n"/>
      <c r="F78" s="17" t="n"/>
      <c r="G78" s="17" t="n"/>
      <c r="H78" s="15" t="n"/>
      <c r="I78" s="18">
        <f>IF($A78="","",SUMIF(tblGunluk[VarlikId],$A78,tblGunluk[TahsilatTl_tl]))</f>
        <v/>
      </c>
      <c r="J78" s="18">
        <f>IF($A78="","",IFERROR(AVERAGEIF(tblGunluk[VarlikId],$A78,tblGunluk[FormulDoluluk_oran]),0))</f>
        <v/>
      </c>
      <c r="K78" s="18">
        <f>IF($A78="","",SUMIF(tblGunluk[VarlikId],$A78,tblGunluk[GiderTl_tl]))</f>
        <v/>
      </c>
      <c r="L78" s="18">
        <f>IF($A78="","",MAX(0,MIN(100,kpg_kaliteTaban-IF($J78&lt;kpg_esikDoluluk,kpg_kaliteCeza,0)-COUNTIFS(tblGunluk[VarlikId],$A78,tblGunluk[AlarmBayrak],"ALARM")*kpg_kaliteSapma-IF($H78="HAYIR",kpg_kaliteCeza,0))))</f>
        <v/>
      </c>
    </row>
    <row r="79">
      <c r="A79" s="15" t="n"/>
      <c r="B79" s="15" t="n"/>
      <c r="C79" s="15" t="n"/>
      <c r="D79" s="15" t="n"/>
      <c r="E79" s="16" t="n"/>
      <c r="F79" s="17" t="n"/>
      <c r="G79" s="17" t="n"/>
      <c r="H79" s="15" t="n"/>
      <c r="I79" s="18">
        <f>IF($A79="","",SUMIF(tblGunluk[VarlikId],$A79,tblGunluk[TahsilatTl_tl]))</f>
        <v/>
      </c>
      <c r="J79" s="18">
        <f>IF($A79="","",IFERROR(AVERAGEIF(tblGunluk[VarlikId],$A79,tblGunluk[FormulDoluluk_oran]),0))</f>
        <v/>
      </c>
      <c r="K79" s="18">
        <f>IF($A79="","",SUMIF(tblGunluk[VarlikId],$A79,tblGunluk[GiderTl_tl]))</f>
        <v/>
      </c>
      <c r="L79" s="18">
        <f>IF($A79="","",MAX(0,MIN(100,kpg_kaliteTaban-IF($J79&lt;kpg_esikDoluluk,kpg_kaliteCeza,0)-COUNTIFS(tblGunluk[VarlikId],$A79,tblGunluk[AlarmBayrak],"ALARM")*kpg_kaliteSapma-IF($H79="HAYIR",kpg_kaliteCeza,0))))</f>
        <v/>
      </c>
    </row>
    <row r="80">
      <c r="A80" s="15" t="n"/>
      <c r="B80" s="15" t="n"/>
      <c r="C80" s="15" t="n"/>
      <c r="D80" s="15" t="n"/>
      <c r="E80" s="16" t="n"/>
      <c r="F80" s="17" t="n"/>
      <c r="G80" s="17" t="n"/>
      <c r="H80" s="15" t="n"/>
      <c r="I80" s="18">
        <f>IF($A80="","",SUMIF(tblGunluk[VarlikId],$A80,tblGunluk[TahsilatTl_tl]))</f>
        <v/>
      </c>
      <c r="J80" s="18">
        <f>IF($A80="","",IFERROR(AVERAGEIF(tblGunluk[VarlikId],$A80,tblGunluk[FormulDoluluk_oran]),0))</f>
        <v/>
      </c>
      <c r="K80" s="18">
        <f>IF($A80="","",SUMIF(tblGunluk[VarlikId],$A80,tblGunluk[GiderTl_tl]))</f>
        <v/>
      </c>
      <c r="L80" s="18">
        <f>IF($A80="","",MAX(0,MIN(100,kpg_kaliteTaban-IF($J80&lt;kpg_esikDoluluk,kpg_kaliteCeza,0)-COUNTIFS(tblGunluk[VarlikId],$A80,tblGunluk[AlarmBayrak],"ALARM")*kpg_kaliteSapma-IF($H80="HAYIR",kpg_kaliteCeza,0))))</f>
        <v/>
      </c>
    </row>
    <row r="81">
      <c r="A81" s="15" t="n"/>
      <c r="B81" s="15" t="n"/>
      <c r="C81" s="15" t="n"/>
      <c r="D81" s="15" t="n"/>
      <c r="E81" s="16" t="n"/>
      <c r="F81" s="17" t="n"/>
      <c r="G81" s="17" t="n"/>
      <c r="H81" s="15" t="n"/>
      <c r="I81" s="18">
        <f>IF($A81="","",SUMIF(tblGunluk[VarlikId],$A81,tblGunluk[TahsilatTl_tl]))</f>
        <v/>
      </c>
      <c r="J81" s="18">
        <f>IF($A81="","",IFERROR(AVERAGEIF(tblGunluk[VarlikId],$A81,tblGunluk[FormulDoluluk_oran]),0))</f>
        <v/>
      </c>
      <c r="K81" s="18">
        <f>IF($A81="","",SUMIF(tblGunluk[VarlikId],$A81,tblGunluk[GiderTl_tl]))</f>
        <v/>
      </c>
      <c r="L81" s="18">
        <f>IF($A81="","",MAX(0,MIN(100,kpg_kaliteTaban-IF($J81&lt;kpg_esikDoluluk,kpg_kaliteCeza,0)-COUNTIFS(tblGunluk[VarlikId],$A81,tblGunluk[AlarmBayrak],"ALARM")*kpg_kaliteSapma-IF($H81="HAYIR",kpg_kaliteCeza,0))))</f>
        <v/>
      </c>
    </row>
    <row r="82">
      <c r="A82" s="15" t="n"/>
      <c r="B82" s="15" t="n"/>
      <c r="C82" s="15" t="n"/>
      <c r="D82" s="15" t="n"/>
      <c r="E82" s="16" t="n"/>
      <c r="F82" s="17" t="n"/>
      <c r="G82" s="17" t="n"/>
      <c r="H82" s="15" t="n"/>
      <c r="I82" s="18">
        <f>IF($A82="","",SUMIF(tblGunluk[VarlikId],$A82,tblGunluk[TahsilatTl_tl]))</f>
        <v/>
      </c>
      <c r="J82" s="18">
        <f>IF($A82="","",IFERROR(AVERAGEIF(tblGunluk[VarlikId],$A82,tblGunluk[FormulDoluluk_oran]),0))</f>
        <v/>
      </c>
      <c r="K82" s="18">
        <f>IF($A82="","",SUMIF(tblGunluk[VarlikId],$A82,tblGunluk[GiderTl_tl]))</f>
        <v/>
      </c>
      <c r="L82" s="18">
        <f>IF($A82="","",MAX(0,MIN(100,kpg_kaliteTaban-IF($J82&lt;kpg_esikDoluluk,kpg_kaliteCeza,0)-COUNTIFS(tblGunluk[VarlikId],$A82,tblGunluk[AlarmBayrak],"ALARM")*kpg_kaliteSapma-IF($H82="HAYIR",kpg_kaliteCeza,0))))</f>
        <v/>
      </c>
    </row>
    <row r="83">
      <c r="A83" s="15" t="n"/>
      <c r="B83" s="15" t="n"/>
      <c r="C83" s="15" t="n"/>
      <c r="D83" s="15" t="n"/>
      <c r="E83" s="16" t="n"/>
      <c r="F83" s="17" t="n"/>
      <c r="G83" s="17" t="n"/>
      <c r="H83" s="15" t="n"/>
      <c r="I83" s="18">
        <f>IF($A83="","",SUMIF(tblGunluk[VarlikId],$A83,tblGunluk[TahsilatTl_tl]))</f>
        <v/>
      </c>
      <c r="J83" s="18">
        <f>IF($A83="","",IFERROR(AVERAGEIF(tblGunluk[VarlikId],$A83,tblGunluk[FormulDoluluk_oran]),0))</f>
        <v/>
      </c>
      <c r="K83" s="18">
        <f>IF($A83="","",SUMIF(tblGunluk[VarlikId],$A83,tblGunluk[GiderTl_tl]))</f>
        <v/>
      </c>
      <c r="L83" s="18">
        <f>IF($A83="","",MAX(0,MIN(100,kpg_kaliteTaban-IF($J83&lt;kpg_esikDoluluk,kpg_kaliteCeza,0)-COUNTIFS(tblGunluk[VarlikId],$A83,tblGunluk[AlarmBayrak],"ALARM")*kpg_kaliteSapma-IF($H83="HAYIR",kpg_kaliteCeza,0))))</f>
        <v/>
      </c>
    </row>
    <row r="84">
      <c r="A84" s="15" t="n"/>
      <c r="B84" s="15" t="n"/>
      <c r="C84" s="15" t="n"/>
      <c r="D84" s="15" t="n"/>
      <c r="E84" s="16" t="n"/>
      <c r="F84" s="17" t="n"/>
      <c r="G84" s="17" t="n"/>
      <c r="H84" s="15" t="n"/>
      <c r="I84" s="18">
        <f>IF($A84="","",SUMIF(tblGunluk[VarlikId],$A84,tblGunluk[TahsilatTl_tl]))</f>
        <v/>
      </c>
      <c r="J84" s="18">
        <f>IF($A84="","",IFERROR(AVERAGEIF(tblGunluk[VarlikId],$A84,tblGunluk[FormulDoluluk_oran]),0))</f>
        <v/>
      </c>
      <c r="K84" s="18">
        <f>IF($A84="","",SUMIF(tblGunluk[VarlikId],$A84,tblGunluk[GiderTl_tl]))</f>
        <v/>
      </c>
      <c r="L84" s="18">
        <f>IF($A84="","",MAX(0,MIN(100,kpg_kaliteTaban-IF($J84&lt;kpg_esikDoluluk,kpg_kaliteCeza,0)-COUNTIFS(tblGunluk[VarlikId],$A84,tblGunluk[AlarmBayrak],"ALARM")*kpg_kaliteSapma-IF($H84="HAYIR",kpg_kaliteCeza,0))))</f>
        <v/>
      </c>
    </row>
    <row r="85">
      <c r="A85" s="15" t="n"/>
      <c r="B85" s="15" t="n"/>
      <c r="C85" s="15" t="n"/>
      <c r="D85" s="15" t="n"/>
      <c r="E85" s="16" t="n"/>
      <c r="F85" s="17" t="n"/>
      <c r="G85" s="17" t="n"/>
      <c r="H85" s="15" t="n"/>
      <c r="I85" s="18">
        <f>IF($A85="","",SUMIF(tblGunluk[VarlikId],$A85,tblGunluk[TahsilatTl_tl]))</f>
        <v/>
      </c>
      <c r="J85" s="18">
        <f>IF($A85="","",IFERROR(AVERAGEIF(tblGunluk[VarlikId],$A85,tblGunluk[FormulDoluluk_oran]),0))</f>
        <v/>
      </c>
      <c r="K85" s="18">
        <f>IF($A85="","",SUMIF(tblGunluk[VarlikId],$A85,tblGunluk[GiderTl_tl]))</f>
        <v/>
      </c>
      <c r="L85" s="18">
        <f>IF($A85="","",MAX(0,MIN(100,kpg_kaliteTaban-IF($J85&lt;kpg_esikDoluluk,kpg_kaliteCeza,0)-COUNTIFS(tblGunluk[VarlikId],$A85,tblGunluk[AlarmBayrak],"ALARM")*kpg_kaliteSapma-IF($H85="HAYIR",kpg_kaliteCeza,0))))</f>
        <v/>
      </c>
    </row>
    <row r="86">
      <c r="A86" s="15" t="n"/>
      <c r="B86" s="15" t="n"/>
      <c r="C86" s="15" t="n"/>
      <c r="D86" s="15" t="n"/>
      <c r="E86" s="16" t="n"/>
      <c r="F86" s="17" t="n"/>
      <c r="G86" s="17" t="n"/>
      <c r="H86" s="15" t="n"/>
      <c r="I86" s="18">
        <f>IF($A86="","",SUMIF(tblGunluk[VarlikId],$A86,tblGunluk[TahsilatTl_tl]))</f>
        <v/>
      </c>
      <c r="J86" s="18">
        <f>IF($A86="","",IFERROR(AVERAGEIF(tblGunluk[VarlikId],$A86,tblGunluk[FormulDoluluk_oran]),0))</f>
        <v/>
      </c>
      <c r="K86" s="18">
        <f>IF($A86="","",SUMIF(tblGunluk[VarlikId],$A86,tblGunluk[GiderTl_tl]))</f>
        <v/>
      </c>
      <c r="L86" s="18">
        <f>IF($A86="","",MAX(0,MIN(100,kpg_kaliteTaban-IF($J86&lt;kpg_esikDoluluk,kpg_kaliteCeza,0)-COUNTIFS(tblGunluk[VarlikId],$A86,tblGunluk[AlarmBayrak],"ALARM")*kpg_kaliteSapma-IF($H86="HAYIR",kpg_kaliteCeza,0))))</f>
        <v/>
      </c>
    </row>
    <row r="87">
      <c r="A87" s="15" t="n"/>
      <c r="B87" s="15" t="n"/>
      <c r="C87" s="15" t="n"/>
      <c r="D87" s="15" t="n"/>
      <c r="E87" s="16" t="n"/>
      <c r="F87" s="17" t="n"/>
      <c r="G87" s="17" t="n"/>
      <c r="H87" s="15" t="n"/>
      <c r="I87" s="18">
        <f>IF($A87="","",SUMIF(tblGunluk[VarlikId],$A87,tblGunluk[TahsilatTl_tl]))</f>
        <v/>
      </c>
      <c r="J87" s="18">
        <f>IF($A87="","",IFERROR(AVERAGEIF(tblGunluk[VarlikId],$A87,tblGunluk[FormulDoluluk_oran]),0))</f>
        <v/>
      </c>
      <c r="K87" s="18">
        <f>IF($A87="","",SUMIF(tblGunluk[VarlikId],$A87,tblGunluk[GiderTl_tl]))</f>
        <v/>
      </c>
      <c r="L87" s="18">
        <f>IF($A87="","",MAX(0,MIN(100,kpg_kaliteTaban-IF($J87&lt;kpg_esikDoluluk,kpg_kaliteCeza,0)-COUNTIFS(tblGunluk[VarlikId],$A87,tblGunluk[AlarmBayrak],"ALARM")*kpg_kaliteSapma-IF($H87="HAYIR",kpg_kaliteCeza,0))))</f>
        <v/>
      </c>
    </row>
    <row r="88">
      <c r="A88" s="15" t="n"/>
      <c r="B88" s="15" t="n"/>
      <c r="C88" s="15" t="n"/>
      <c r="D88" s="15" t="n"/>
      <c r="E88" s="16" t="n"/>
      <c r="F88" s="17" t="n"/>
      <c r="G88" s="17" t="n"/>
      <c r="H88" s="15" t="n"/>
      <c r="I88" s="18">
        <f>IF($A88="","",SUMIF(tblGunluk[VarlikId],$A88,tblGunluk[TahsilatTl_tl]))</f>
        <v/>
      </c>
      <c r="J88" s="18">
        <f>IF($A88="","",IFERROR(AVERAGEIF(tblGunluk[VarlikId],$A88,tblGunluk[FormulDoluluk_oran]),0))</f>
        <v/>
      </c>
      <c r="K88" s="18">
        <f>IF($A88="","",SUMIF(tblGunluk[VarlikId],$A88,tblGunluk[GiderTl_tl]))</f>
        <v/>
      </c>
      <c r="L88" s="18">
        <f>IF($A88="","",MAX(0,MIN(100,kpg_kaliteTaban-IF($J88&lt;kpg_esikDoluluk,kpg_kaliteCeza,0)-COUNTIFS(tblGunluk[VarlikId],$A88,tblGunluk[AlarmBayrak],"ALARM")*kpg_kaliteSapma-IF($H88="HAYIR",kpg_kaliteCeza,0))))</f>
        <v/>
      </c>
    </row>
    <row r="89">
      <c r="A89" s="15" t="n"/>
      <c r="B89" s="15" t="n"/>
      <c r="C89" s="15" t="n"/>
      <c r="D89" s="15" t="n"/>
      <c r="E89" s="16" t="n"/>
      <c r="F89" s="17" t="n"/>
      <c r="G89" s="17" t="n"/>
      <c r="H89" s="15" t="n"/>
      <c r="I89" s="18">
        <f>IF($A89="","",SUMIF(tblGunluk[VarlikId],$A89,tblGunluk[TahsilatTl_tl]))</f>
        <v/>
      </c>
      <c r="J89" s="18">
        <f>IF($A89="","",IFERROR(AVERAGEIF(tblGunluk[VarlikId],$A89,tblGunluk[FormulDoluluk_oran]),0))</f>
        <v/>
      </c>
      <c r="K89" s="18">
        <f>IF($A89="","",SUMIF(tblGunluk[VarlikId],$A89,tblGunluk[GiderTl_tl]))</f>
        <v/>
      </c>
      <c r="L89" s="18">
        <f>IF($A89="","",MAX(0,MIN(100,kpg_kaliteTaban-IF($J89&lt;kpg_esikDoluluk,kpg_kaliteCeza,0)-COUNTIFS(tblGunluk[VarlikId],$A89,tblGunluk[AlarmBayrak],"ALARM")*kpg_kaliteSapma-IF($H89="HAYIR",kpg_kaliteCeza,0))))</f>
        <v/>
      </c>
    </row>
    <row r="90">
      <c r="A90" s="15" t="n"/>
      <c r="B90" s="15" t="n"/>
      <c r="C90" s="15" t="n"/>
      <c r="D90" s="15" t="n"/>
      <c r="E90" s="16" t="n"/>
      <c r="F90" s="17" t="n"/>
      <c r="G90" s="17" t="n"/>
      <c r="H90" s="15" t="n"/>
      <c r="I90" s="18">
        <f>IF($A90="","",SUMIF(tblGunluk[VarlikId],$A90,tblGunluk[TahsilatTl_tl]))</f>
        <v/>
      </c>
      <c r="J90" s="18">
        <f>IF($A90="","",IFERROR(AVERAGEIF(tblGunluk[VarlikId],$A90,tblGunluk[FormulDoluluk_oran]),0))</f>
        <v/>
      </c>
      <c r="K90" s="18">
        <f>IF($A90="","",SUMIF(tblGunluk[VarlikId],$A90,tblGunluk[GiderTl_tl]))</f>
        <v/>
      </c>
      <c r="L90" s="18">
        <f>IF($A90="","",MAX(0,MIN(100,kpg_kaliteTaban-IF($J90&lt;kpg_esikDoluluk,kpg_kaliteCeza,0)-COUNTIFS(tblGunluk[VarlikId],$A90,tblGunluk[AlarmBayrak],"ALARM")*kpg_kaliteSapma-IF($H90="HAYIR",kpg_kaliteCeza,0))))</f>
        <v/>
      </c>
    </row>
    <row r="91">
      <c r="A91" s="15" t="n"/>
      <c r="B91" s="15" t="n"/>
      <c r="C91" s="15" t="n"/>
      <c r="D91" s="15" t="n"/>
      <c r="E91" s="16" t="n"/>
      <c r="F91" s="17" t="n"/>
      <c r="G91" s="17" t="n"/>
      <c r="H91" s="15" t="n"/>
      <c r="I91" s="18">
        <f>IF($A91="","",SUMIF(tblGunluk[VarlikId],$A91,tblGunluk[TahsilatTl_tl]))</f>
        <v/>
      </c>
      <c r="J91" s="18">
        <f>IF($A91="","",IFERROR(AVERAGEIF(tblGunluk[VarlikId],$A91,tblGunluk[FormulDoluluk_oran]),0))</f>
        <v/>
      </c>
      <c r="K91" s="18">
        <f>IF($A91="","",SUMIF(tblGunluk[VarlikId],$A91,tblGunluk[GiderTl_tl]))</f>
        <v/>
      </c>
      <c r="L91" s="18">
        <f>IF($A91="","",MAX(0,MIN(100,kpg_kaliteTaban-IF($J91&lt;kpg_esikDoluluk,kpg_kaliteCeza,0)-COUNTIFS(tblGunluk[VarlikId],$A91,tblGunluk[AlarmBayrak],"ALARM")*kpg_kaliteSapma-IF($H91="HAYIR",kpg_kaliteCeza,0))))</f>
        <v/>
      </c>
    </row>
    <row r="92">
      <c r="A92" s="15" t="n"/>
      <c r="B92" s="15" t="n"/>
      <c r="C92" s="15" t="n"/>
      <c r="D92" s="15" t="n"/>
      <c r="E92" s="16" t="n"/>
      <c r="F92" s="17" t="n"/>
      <c r="G92" s="17" t="n"/>
      <c r="H92" s="15" t="n"/>
      <c r="I92" s="18">
        <f>IF($A92="","",SUMIF(tblGunluk[VarlikId],$A92,tblGunluk[TahsilatTl_tl]))</f>
        <v/>
      </c>
      <c r="J92" s="18">
        <f>IF($A92="","",IFERROR(AVERAGEIF(tblGunluk[VarlikId],$A92,tblGunluk[FormulDoluluk_oran]),0))</f>
        <v/>
      </c>
      <c r="K92" s="18">
        <f>IF($A92="","",SUMIF(tblGunluk[VarlikId],$A92,tblGunluk[GiderTl_tl]))</f>
        <v/>
      </c>
      <c r="L92" s="18">
        <f>IF($A92="","",MAX(0,MIN(100,kpg_kaliteTaban-IF($J92&lt;kpg_esikDoluluk,kpg_kaliteCeza,0)-COUNTIFS(tblGunluk[VarlikId],$A92,tblGunluk[AlarmBayrak],"ALARM")*kpg_kaliteSapma-IF($H92="HAYIR",kpg_kaliteCeza,0))))</f>
        <v/>
      </c>
    </row>
    <row r="93">
      <c r="A93" s="15" t="n"/>
      <c r="B93" s="15" t="n"/>
      <c r="C93" s="15" t="n"/>
      <c r="D93" s="15" t="n"/>
      <c r="E93" s="16" t="n"/>
      <c r="F93" s="17" t="n"/>
      <c r="G93" s="17" t="n"/>
      <c r="H93" s="15" t="n"/>
      <c r="I93" s="18">
        <f>IF($A93="","",SUMIF(tblGunluk[VarlikId],$A93,tblGunluk[TahsilatTl_tl]))</f>
        <v/>
      </c>
      <c r="J93" s="18">
        <f>IF($A93="","",IFERROR(AVERAGEIF(tblGunluk[VarlikId],$A93,tblGunluk[FormulDoluluk_oran]),0))</f>
        <v/>
      </c>
      <c r="K93" s="18">
        <f>IF($A93="","",SUMIF(tblGunluk[VarlikId],$A93,tblGunluk[GiderTl_tl]))</f>
        <v/>
      </c>
      <c r="L93" s="18">
        <f>IF($A93="","",MAX(0,MIN(100,kpg_kaliteTaban-IF($J93&lt;kpg_esikDoluluk,kpg_kaliteCeza,0)-COUNTIFS(tblGunluk[VarlikId],$A93,tblGunluk[AlarmBayrak],"ALARM")*kpg_kaliteSapma-IF($H93="HAYIR",kpg_kaliteCeza,0))))</f>
        <v/>
      </c>
    </row>
    <row r="94">
      <c r="A94" s="15" t="n"/>
      <c r="B94" s="15" t="n"/>
      <c r="C94" s="15" t="n"/>
      <c r="D94" s="15" t="n"/>
      <c r="E94" s="16" t="n"/>
      <c r="F94" s="17" t="n"/>
      <c r="G94" s="17" t="n"/>
      <c r="H94" s="15" t="n"/>
      <c r="I94" s="18">
        <f>IF($A94="","",SUMIF(tblGunluk[VarlikId],$A94,tblGunluk[TahsilatTl_tl]))</f>
        <v/>
      </c>
      <c r="J94" s="18">
        <f>IF($A94="","",IFERROR(AVERAGEIF(tblGunluk[VarlikId],$A94,tblGunluk[FormulDoluluk_oran]),0))</f>
        <v/>
      </c>
      <c r="K94" s="18">
        <f>IF($A94="","",SUMIF(tblGunluk[VarlikId],$A94,tblGunluk[GiderTl_tl]))</f>
        <v/>
      </c>
      <c r="L94" s="18">
        <f>IF($A94="","",MAX(0,MIN(100,kpg_kaliteTaban-IF($J94&lt;kpg_esikDoluluk,kpg_kaliteCeza,0)-COUNTIFS(tblGunluk[VarlikId],$A94,tblGunluk[AlarmBayrak],"ALARM")*kpg_kaliteSapma-IF($H94="HAYIR",kpg_kaliteCeza,0))))</f>
        <v/>
      </c>
    </row>
    <row r="95">
      <c r="A95" s="15" t="n"/>
      <c r="B95" s="15" t="n"/>
      <c r="C95" s="15" t="n"/>
      <c r="D95" s="15" t="n"/>
      <c r="E95" s="16" t="n"/>
      <c r="F95" s="17" t="n"/>
      <c r="G95" s="17" t="n"/>
      <c r="H95" s="15" t="n"/>
      <c r="I95" s="18">
        <f>IF($A95="","",SUMIF(tblGunluk[VarlikId],$A95,tblGunluk[TahsilatTl_tl]))</f>
        <v/>
      </c>
      <c r="J95" s="18">
        <f>IF($A95="","",IFERROR(AVERAGEIF(tblGunluk[VarlikId],$A95,tblGunluk[FormulDoluluk_oran]),0))</f>
        <v/>
      </c>
      <c r="K95" s="18">
        <f>IF($A95="","",SUMIF(tblGunluk[VarlikId],$A95,tblGunluk[GiderTl_tl]))</f>
        <v/>
      </c>
      <c r="L95" s="18">
        <f>IF($A95="","",MAX(0,MIN(100,kpg_kaliteTaban-IF($J95&lt;kpg_esikDoluluk,kpg_kaliteCeza,0)-COUNTIFS(tblGunluk[VarlikId],$A95,tblGunluk[AlarmBayrak],"ALARM")*kpg_kaliteSapma-IF($H95="HAYIR",kpg_kaliteCeza,0))))</f>
        <v/>
      </c>
    </row>
    <row r="96">
      <c r="A96" s="15" t="n"/>
      <c r="B96" s="15" t="n"/>
      <c r="C96" s="15" t="n"/>
      <c r="D96" s="15" t="n"/>
      <c r="E96" s="16" t="n"/>
      <c r="F96" s="17" t="n"/>
      <c r="G96" s="17" t="n"/>
      <c r="H96" s="15" t="n"/>
      <c r="I96" s="18">
        <f>IF($A96="","",SUMIF(tblGunluk[VarlikId],$A96,tblGunluk[TahsilatTl_tl]))</f>
        <v/>
      </c>
      <c r="J96" s="18">
        <f>IF($A96="","",IFERROR(AVERAGEIF(tblGunluk[VarlikId],$A96,tblGunluk[FormulDoluluk_oran]),0))</f>
        <v/>
      </c>
      <c r="K96" s="18">
        <f>IF($A96="","",SUMIF(tblGunluk[VarlikId],$A96,tblGunluk[GiderTl_tl]))</f>
        <v/>
      </c>
      <c r="L96" s="18">
        <f>IF($A96="","",MAX(0,MIN(100,kpg_kaliteTaban-IF($J96&lt;kpg_esikDoluluk,kpg_kaliteCeza,0)-COUNTIFS(tblGunluk[VarlikId],$A96,tblGunluk[AlarmBayrak],"ALARM")*kpg_kaliteSapma-IF($H96="HAYIR",kpg_kaliteCeza,0))))</f>
        <v/>
      </c>
    </row>
    <row r="97">
      <c r="A97" s="15" t="n"/>
      <c r="B97" s="15" t="n"/>
      <c r="C97" s="15" t="n"/>
      <c r="D97" s="15" t="n"/>
      <c r="E97" s="16" t="n"/>
      <c r="F97" s="17" t="n"/>
      <c r="G97" s="17" t="n"/>
      <c r="H97" s="15" t="n"/>
      <c r="I97" s="18">
        <f>IF($A97="","",SUMIF(tblGunluk[VarlikId],$A97,tblGunluk[TahsilatTl_tl]))</f>
        <v/>
      </c>
      <c r="J97" s="18">
        <f>IF($A97="","",IFERROR(AVERAGEIF(tblGunluk[VarlikId],$A97,tblGunluk[FormulDoluluk_oran]),0))</f>
        <v/>
      </c>
      <c r="K97" s="18">
        <f>IF($A97="","",SUMIF(tblGunluk[VarlikId],$A97,tblGunluk[GiderTl_tl]))</f>
        <v/>
      </c>
      <c r="L97" s="18">
        <f>IF($A97="","",MAX(0,MIN(100,kpg_kaliteTaban-IF($J97&lt;kpg_esikDoluluk,kpg_kaliteCeza,0)-COUNTIFS(tblGunluk[VarlikId],$A97,tblGunluk[AlarmBayrak],"ALARM")*kpg_kaliteSapma-IF($H97="HAYIR",kpg_kaliteCeza,0))))</f>
        <v/>
      </c>
    </row>
    <row r="98">
      <c r="A98" s="15" t="n"/>
      <c r="B98" s="15" t="n"/>
      <c r="C98" s="15" t="n"/>
      <c r="D98" s="15" t="n"/>
      <c r="E98" s="16" t="n"/>
      <c r="F98" s="17" t="n"/>
      <c r="G98" s="17" t="n"/>
      <c r="H98" s="15" t="n"/>
      <c r="I98" s="18">
        <f>IF($A98="","",SUMIF(tblGunluk[VarlikId],$A98,tblGunluk[TahsilatTl_tl]))</f>
        <v/>
      </c>
      <c r="J98" s="18">
        <f>IF($A98="","",IFERROR(AVERAGEIF(tblGunluk[VarlikId],$A98,tblGunluk[FormulDoluluk_oran]),0))</f>
        <v/>
      </c>
      <c r="K98" s="18">
        <f>IF($A98="","",SUMIF(tblGunluk[VarlikId],$A98,tblGunluk[GiderTl_tl]))</f>
        <v/>
      </c>
      <c r="L98" s="18">
        <f>IF($A98="","",MAX(0,MIN(100,kpg_kaliteTaban-IF($J98&lt;kpg_esikDoluluk,kpg_kaliteCeza,0)-COUNTIFS(tblGunluk[VarlikId],$A98,tblGunluk[AlarmBayrak],"ALARM")*kpg_kaliteSapma-IF($H98="HAYIR",kpg_kaliteCeza,0))))</f>
        <v/>
      </c>
    </row>
    <row r="99">
      <c r="A99" s="15" t="n"/>
      <c r="B99" s="15" t="n"/>
      <c r="C99" s="15" t="n"/>
      <c r="D99" s="15" t="n"/>
      <c r="E99" s="16" t="n"/>
      <c r="F99" s="17" t="n"/>
      <c r="G99" s="17" t="n"/>
      <c r="H99" s="15" t="n"/>
      <c r="I99" s="18">
        <f>IF($A99="","",SUMIF(tblGunluk[VarlikId],$A99,tblGunluk[TahsilatTl_tl]))</f>
        <v/>
      </c>
      <c r="J99" s="18">
        <f>IF($A99="","",IFERROR(AVERAGEIF(tblGunluk[VarlikId],$A99,tblGunluk[FormulDoluluk_oran]),0))</f>
        <v/>
      </c>
      <c r="K99" s="18">
        <f>IF($A99="","",SUMIF(tblGunluk[VarlikId],$A99,tblGunluk[GiderTl_tl]))</f>
        <v/>
      </c>
      <c r="L99" s="18">
        <f>IF($A99="","",MAX(0,MIN(100,kpg_kaliteTaban-IF($J99&lt;kpg_esikDoluluk,kpg_kaliteCeza,0)-COUNTIFS(tblGunluk[VarlikId],$A99,tblGunluk[AlarmBayrak],"ALARM")*kpg_kaliteSapma-IF($H99="HAYIR",kpg_kaliteCeza,0))))</f>
        <v/>
      </c>
    </row>
    <row r="100">
      <c r="A100" s="15" t="n"/>
      <c r="B100" s="15" t="n"/>
      <c r="C100" s="15" t="n"/>
      <c r="D100" s="15" t="n"/>
      <c r="E100" s="16" t="n"/>
      <c r="F100" s="17" t="n"/>
      <c r="G100" s="17" t="n"/>
      <c r="H100" s="15" t="n"/>
      <c r="I100" s="18">
        <f>IF($A100="","",SUMIF(tblGunluk[VarlikId],$A100,tblGunluk[TahsilatTl_tl]))</f>
        <v/>
      </c>
      <c r="J100" s="18">
        <f>IF($A100="","",IFERROR(AVERAGEIF(tblGunluk[VarlikId],$A100,tblGunluk[FormulDoluluk_oran]),0))</f>
        <v/>
      </c>
      <c r="K100" s="18">
        <f>IF($A100="","",SUMIF(tblGunluk[VarlikId],$A100,tblGunluk[GiderTl_tl]))</f>
        <v/>
      </c>
      <c r="L100" s="18">
        <f>IF($A100="","",MAX(0,MIN(100,kpg_kaliteTaban-IF($J100&lt;kpg_esikDoluluk,kpg_kaliteCeza,0)-COUNTIFS(tblGunluk[VarlikId],$A100,tblGunluk[AlarmBayrak],"ALARM")*kpg_kaliteSapma-IF($H100="HAYIR",kpg_kaliteCeza,0))))</f>
        <v/>
      </c>
    </row>
    <row r="101">
      <c r="A101" s="15" t="n"/>
      <c r="B101" s="15" t="n"/>
      <c r="C101" s="15" t="n"/>
      <c r="D101" s="15" t="n"/>
      <c r="E101" s="16" t="n"/>
      <c r="F101" s="17" t="n"/>
      <c r="G101" s="17" t="n"/>
      <c r="H101" s="15" t="n"/>
      <c r="I101" s="18">
        <f>IF($A101="","",SUMIF(tblGunluk[VarlikId],$A101,tblGunluk[TahsilatTl_tl]))</f>
        <v/>
      </c>
      <c r="J101" s="18">
        <f>IF($A101="","",IFERROR(AVERAGEIF(tblGunluk[VarlikId],$A101,tblGunluk[FormulDoluluk_oran]),0))</f>
        <v/>
      </c>
      <c r="K101" s="18">
        <f>IF($A101="","",SUMIF(tblGunluk[VarlikId],$A101,tblGunluk[GiderTl_tl]))</f>
        <v/>
      </c>
      <c r="L101" s="18">
        <f>IF($A101="","",MAX(0,MIN(100,kpg_kaliteTaban-IF($J101&lt;kpg_esikDoluluk,kpg_kaliteCeza,0)-COUNTIFS(tblGunluk[VarlikId],$A101,tblGunluk[AlarmBayrak],"ALARM")*kpg_kaliteSapma-IF($H101="HAYIR",kpg_kaliteCeza,0))))</f>
        <v/>
      </c>
    </row>
    <row r="102">
      <c r="A102" s="15" t="n"/>
      <c r="B102" s="15" t="n"/>
      <c r="C102" s="15" t="n"/>
      <c r="D102" s="15" t="n"/>
      <c r="E102" s="16" t="n"/>
      <c r="F102" s="17" t="n"/>
      <c r="G102" s="17" t="n"/>
      <c r="H102" s="15" t="n"/>
      <c r="I102" s="18">
        <f>IF($A102="","",SUMIF(tblGunluk[VarlikId],$A102,tblGunluk[TahsilatTl_tl]))</f>
        <v/>
      </c>
      <c r="J102" s="18">
        <f>IF($A102="","",IFERROR(AVERAGEIF(tblGunluk[VarlikId],$A102,tblGunluk[FormulDoluluk_oran]),0))</f>
        <v/>
      </c>
      <c r="K102" s="18">
        <f>IF($A102="","",SUMIF(tblGunluk[VarlikId],$A102,tblGunluk[GiderTl_tl]))</f>
        <v/>
      </c>
      <c r="L102" s="18">
        <f>IF($A102="","",MAX(0,MIN(100,kpg_kaliteTaban-IF($J102&lt;kpg_esikDoluluk,kpg_kaliteCeza,0)-COUNTIFS(tblGunluk[VarlikId],$A102,tblGunluk[AlarmBayrak],"ALARM")*kpg_kaliteSapma-IF($H102="HAYIR",kpg_kaliteCeza,0))))</f>
        <v/>
      </c>
    </row>
    <row r="103">
      <c r="A103" s="15" t="n"/>
      <c r="B103" s="15" t="n"/>
      <c r="C103" s="15" t="n"/>
      <c r="D103" s="15" t="n"/>
      <c r="E103" s="16" t="n"/>
      <c r="F103" s="17" t="n"/>
      <c r="G103" s="17" t="n"/>
      <c r="H103" s="15" t="n"/>
      <c r="I103" s="18">
        <f>IF($A103="","",SUMIF(tblGunluk[VarlikId],$A103,tblGunluk[TahsilatTl_tl]))</f>
        <v/>
      </c>
      <c r="J103" s="18">
        <f>IF($A103="","",IFERROR(AVERAGEIF(tblGunluk[VarlikId],$A103,tblGunluk[FormulDoluluk_oran]),0))</f>
        <v/>
      </c>
      <c r="K103" s="18">
        <f>IF($A103="","",SUMIF(tblGunluk[VarlikId],$A103,tblGunluk[GiderTl_tl]))</f>
        <v/>
      </c>
      <c r="L103" s="18">
        <f>IF($A103="","",MAX(0,MIN(100,kpg_kaliteTaban-IF($J103&lt;kpg_esikDoluluk,kpg_kaliteCeza,0)-COUNTIFS(tblGunluk[VarlikId],$A103,tblGunluk[AlarmBayrak],"ALARM")*kpg_kaliteSapma-IF($H103="HAYIR",kpg_kaliteCeza,0))))</f>
        <v/>
      </c>
    </row>
    <row r="104">
      <c r="A104" s="15" t="n"/>
      <c r="B104" s="15" t="n"/>
      <c r="C104" s="15" t="n"/>
      <c r="D104" s="15" t="n"/>
      <c r="E104" s="16" t="n"/>
      <c r="F104" s="17" t="n"/>
      <c r="G104" s="17" t="n"/>
      <c r="H104" s="15" t="n"/>
      <c r="I104" s="18">
        <f>IF($A104="","",SUMIF(tblGunluk[VarlikId],$A104,tblGunluk[TahsilatTl_tl]))</f>
        <v/>
      </c>
      <c r="J104" s="18">
        <f>IF($A104="","",IFERROR(AVERAGEIF(tblGunluk[VarlikId],$A104,tblGunluk[FormulDoluluk_oran]),0))</f>
        <v/>
      </c>
      <c r="K104" s="18">
        <f>IF($A104="","",SUMIF(tblGunluk[VarlikId],$A104,tblGunluk[GiderTl_tl]))</f>
        <v/>
      </c>
      <c r="L104" s="18">
        <f>IF($A104="","",MAX(0,MIN(100,kpg_kaliteTaban-IF($J104&lt;kpg_esikDoluluk,kpg_kaliteCeza,0)-COUNTIFS(tblGunluk[VarlikId],$A104,tblGunluk[AlarmBayrak],"ALARM")*kpg_kaliteSapma-IF($H104="HAYIR",kpg_kaliteCeza,0))))</f>
        <v/>
      </c>
    </row>
    <row r="105">
      <c r="A105" s="15" t="n"/>
      <c r="B105" s="15" t="n"/>
      <c r="C105" s="15" t="n"/>
      <c r="D105" s="15" t="n"/>
      <c r="E105" s="16" t="n"/>
      <c r="F105" s="17" t="n"/>
      <c r="G105" s="17" t="n"/>
      <c r="H105" s="15" t="n"/>
      <c r="I105" s="18">
        <f>IF($A105="","",SUMIF(tblGunluk[VarlikId],$A105,tblGunluk[TahsilatTl_tl]))</f>
        <v/>
      </c>
      <c r="J105" s="18">
        <f>IF($A105="","",IFERROR(AVERAGEIF(tblGunluk[VarlikId],$A105,tblGunluk[FormulDoluluk_oran]),0))</f>
        <v/>
      </c>
      <c r="K105" s="18">
        <f>IF($A105="","",SUMIF(tblGunluk[VarlikId],$A105,tblGunluk[GiderTl_tl]))</f>
        <v/>
      </c>
      <c r="L105" s="18">
        <f>IF($A105="","",MAX(0,MIN(100,kpg_kaliteTaban-IF($J105&lt;kpg_esikDoluluk,kpg_kaliteCeza,0)-COUNTIFS(tblGunluk[VarlikId],$A105,tblGunluk[AlarmBayrak],"ALARM")*kpg_kaliteSapma-IF($H105="HAYIR",kpg_kaliteCeza,0))))</f>
        <v/>
      </c>
    </row>
    <row r="106">
      <c r="A106" s="15" t="n"/>
      <c r="B106" s="15" t="n"/>
      <c r="C106" s="15" t="n"/>
      <c r="D106" s="15" t="n"/>
      <c r="E106" s="16" t="n"/>
      <c r="F106" s="17" t="n"/>
      <c r="G106" s="17" t="n"/>
      <c r="H106" s="15" t="n"/>
      <c r="I106" s="18">
        <f>IF($A106="","",SUMIF(tblGunluk[VarlikId],$A106,tblGunluk[TahsilatTl_tl]))</f>
        <v/>
      </c>
      <c r="J106" s="18">
        <f>IF($A106="","",IFERROR(AVERAGEIF(tblGunluk[VarlikId],$A106,tblGunluk[FormulDoluluk_oran]),0))</f>
        <v/>
      </c>
      <c r="K106" s="18">
        <f>IF($A106="","",SUMIF(tblGunluk[VarlikId],$A106,tblGunluk[GiderTl_tl]))</f>
        <v/>
      </c>
      <c r="L106" s="18">
        <f>IF($A106="","",MAX(0,MIN(100,kpg_kaliteTaban-IF($J106&lt;kpg_esikDoluluk,kpg_kaliteCeza,0)-COUNTIFS(tblGunluk[VarlikId],$A106,tblGunluk[AlarmBayrak],"ALARM")*kpg_kaliteSapma-IF($H106="HAYIR",kpg_kaliteCeza,0))))</f>
        <v/>
      </c>
    </row>
    <row r="107">
      <c r="A107" s="15" t="n"/>
      <c r="B107" s="15" t="n"/>
      <c r="C107" s="15" t="n"/>
      <c r="D107" s="15" t="n"/>
      <c r="E107" s="16" t="n"/>
      <c r="F107" s="17" t="n"/>
      <c r="G107" s="17" t="n"/>
      <c r="H107" s="15" t="n"/>
      <c r="I107" s="18">
        <f>IF($A107="","",SUMIF(tblGunluk[VarlikId],$A107,tblGunluk[TahsilatTl_tl]))</f>
        <v/>
      </c>
      <c r="J107" s="18">
        <f>IF($A107="","",IFERROR(AVERAGEIF(tblGunluk[VarlikId],$A107,tblGunluk[FormulDoluluk_oran]),0))</f>
        <v/>
      </c>
      <c r="K107" s="18">
        <f>IF($A107="","",SUMIF(tblGunluk[VarlikId],$A107,tblGunluk[GiderTl_tl]))</f>
        <v/>
      </c>
      <c r="L107" s="18">
        <f>IF($A107="","",MAX(0,MIN(100,kpg_kaliteTaban-IF($J107&lt;kpg_esikDoluluk,kpg_kaliteCeza,0)-COUNTIFS(tblGunluk[VarlikId],$A107,tblGunluk[AlarmBayrak],"ALARM")*kpg_kaliteSapma-IF($H107="HAYIR",kpg_kaliteCeza,0))))</f>
        <v/>
      </c>
    </row>
    <row r="108">
      <c r="A108" s="15" t="n"/>
      <c r="B108" s="15" t="n"/>
      <c r="C108" s="15" t="n"/>
      <c r="D108" s="15" t="n"/>
      <c r="E108" s="16" t="n"/>
      <c r="F108" s="17" t="n"/>
      <c r="G108" s="17" t="n"/>
      <c r="H108" s="15" t="n"/>
      <c r="I108" s="18">
        <f>IF($A108="","",SUMIF(tblGunluk[VarlikId],$A108,tblGunluk[TahsilatTl_tl]))</f>
        <v/>
      </c>
      <c r="J108" s="18">
        <f>IF($A108="","",IFERROR(AVERAGEIF(tblGunluk[VarlikId],$A108,tblGunluk[FormulDoluluk_oran]),0))</f>
        <v/>
      </c>
      <c r="K108" s="18">
        <f>IF($A108="","",SUMIF(tblGunluk[VarlikId],$A108,tblGunluk[GiderTl_tl]))</f>
        <v/>
      </c>
      <c r="L108" s="18">
        <f>IF($A108="","",MAX(0,MIN(100,kpg_kaliteTaban-IF($J108&lt;kpg_esikDoluluk,kpg_kaliteCeza,0)-COUNTIFS(tblGunluk[VarlikId],$A108,tblGunluk[AlarmBayrak],"ALARM")*kpg_kaliteSapma-IF($H108="HAYIR",kpg_kaliteCeza,0))))</f>
        <v/>
      </c>
    </row>
    <row r="109">
      <c r="A109" s="15" t="n"/>
      <c r="B109" s="15" t="n"/>
      <c r="C109" s="15" t="n"/>
      <c r="D109" s="15" t="n"/>
      <c r="E109" s="16" t="n"/>
      <c r="F109" s="17" t="n"/>
      <c r="G109" s="17" t="n"/>
      <c r="H109" s="15" t="n"/>
      <c r="I109" s="18">
        <f>IF($A109="","",SUMIF(tblGunluk[VarlikId],$A109,tblGunluk[TahsilatTl_tl]))</f>
        <v/>
      </c>
      <c r="J109" s="18">
        <f>IF($A109="","",IFERROR(AVERAGEIF(tblGunluk[VarlikId],$A109,tblGunluk[FormulDoluluk_oran]),0))</f>
        <v/>
      </c>
      <c r="K109" s="18">
        <f>IF($A109="","",SUMIF(tblGunluk[VarlikId],$A109,tblGunluk[GiderTl_tl]))</f>
        <v/>
      </c>
      <c r="L109" s="18">
        <f>IF($A109="","",MAX(0,MIN(100,kpg_kaliteTaban-IF($J109&lt;kpg_esikDoluluk,kpg_kaliteCeza,0)-COUNTIFS(tblGunluk[VarlikId],$A109,tblGunluk[AlarmBayrak],"ALARM")*kpg_kaliteSapma-IF($H109="HAYIR",kpg_kaliteCeza,0))))</f>
        <v/>
      </c>
    </row>
    <row r="110">
      <c r="A110" s="15" t="n"/>
      <c r="B110" s="15" t="n"/>
      <c r="C110" s="15" t="n"/>
      <c r="D110" s="15" t="n"/>
      <c r="E110" s="16" t="n"/>
      <c r="F110" s="17" t="n"/>
      <c r="G110" s="17" t="n"/>
      <c r="H110" s="15" t="n"/>
      <c r="I110" s="18">
        <f>IF($A110="","",SUMIF(tblGunluk[VarlikId],$A110,tblGunluk[TahsilatTl_tl]))</f>
        <v/>
      </c>
      <c r="J110" s="18">
        <f>IF($A110="","",IFERROR(AVERAGEIF(tblGunluk[VarlikId],$A110,tblGunluk[FormulDoluluk_oran]),0))</f>
        <v/>
      </c>
      <c r="K110" s="18">
        <f>IF($A110="","",SUMIF(tblGunluk[VarlikId],$A110,tblGunluk[GiderTl_tl]))</f>
        <v/>
      </c>
      <c r="L110" s="18">
        <f>IF($A110="","",MAX(0,MIN(100,kpg_kaliteTaban-IF($J110&lt;kpg_esikDoluluk,kpg_kaliteCeza,0)-COUNTIFS(tblGunluk[VarlikId],$A110,tblGunluk[AlarmBayrak],"ALARM")*kpg_kaliteSapma-IF($H110="HAYIR",kpg_kaliteCeza,0))))</f>
        <v/>
      </c>
    </row>
    <row r="111">
      <c r="A111" s="15" t="n"/>
      <c r="B111" s="15" t="n"/>
      <c r="C111" s="15" t="n"/>
      <c r="D111" s="15" t="n"/>
      <c r="E111" s="16" t="n"/>
      <c r="F111" s="17" t="n"/>
      <c r="G111" s="17" t="n"/>
      <c r="H111" s="15" t="n"/>
      <c r="I111" s="18">
        <f>IF($A111="","",SUMIF(tblGunluk[VarlikId],$A111,tblGunluk[TahsilatTl_tl]))</f>
        <v/>
      </c>
      <c r="J111" s="18">
        <f>IF($A111="","",IFERROR(AVERAGEIF(tblGunluk[VarlikId],$A111,tblGunluk[FormulDoluluk_oran]),0))</f>
        <v/>
      </c>
      <c r="K111" s="18">
        <f>IF($A111="","",SUMIF(tblGunluk[VarlikId],$A111,tblGunluk[GiderTl_tl]))</f>
        <v/>
      </c>
      <c r="L111" s="18">
        <f>IF($A111="","",MAX(0,MIN(100,kpg_kaliteTaban-IF($J111&lt;kpg_esikDoluluk,kpg_kaliteCeza,0)-COUNTIFS(tblGunluk[VarlikId],$A111,tblGunluk[AlarmBayrak],"ALARM")*kpg_kaliteSapma-IF($H111="HAYIR",kpg_kaliteCeza,0))))</f>
        <v/>
      </c>
    </row>
    <row r="112">
      <c r="A112" s="15" t="n"/>
      <c r="B112" s="15" t="n"/>
      <c r="C112" s="15" t="n"/>
      <c r="D112" s="15" t="n"/>
      <c r="E112" s="16" t="n"/>
      <c r="F112" s="17" t="n"/>
      <c r="G112" s="17" t="n"/>
      <c r="H112" s="15" t="n"/>
      <c r="I112" s="18">
        <f>IF($A112="","",SUMIF(tblGunluk[VarlikId],$A112,tblGunluk[TahsilatTl_tl]))</f>
        <v/>
      </c>
      <c r="J112" s="18">
        <f>IF($A112="","",IFERROR(AVERAGEIF(tblGunluk[VarlikId],$A112,tblGunluk[FormulDoluluk_oran]),0))</f>
        <v/>
      </c>
      <c r="K112" s="18">
        <f>IF($A112="","",SUMIF(tblGunluk[VarlikId],$A112,tblGunluk[GiderTl_tl]))</f>
        <v/>
      </c>
      <c r="L112" s="18">
        <f>IF($A112="","",MAX(0,MIN(100,kpg_kaliteTaban-IF($J112&lt;kpg_esikDoluluk,kpg_kaliteCeza,0)-COUNTIFS(tblGunluk[VarlikId],$A112,tblGunluk[AlarmBayrak],"ALARM")*kpg_kaliteSapma-IF($H112="HAYIR",kpg_kaliteCeza,0))))</f>
        <v/>
      </c>
    </row>
    <row r="113">
      <c r="A113" s="15" t="n"/>
      <c r="B113" s="15" t="n"/>
      <c r="C113" s="15" t="n"/>
      <c r="D113" s="15" t="n"/>
      <c r="E113" s="16" t="n"/>
      <c r="F113" s="17" t="n"/>
      <c r="G113" s="17" t="n"/>
      <c r="H113" s="15" t="n"/>
      <c r="I113" s="18">
        <f>IF($A113="","",SUMIF(tblGunluk[VarlikId],$A113,tblGunluk[TahsilatTl_tl]))</f>
        <v/>
      </c>
      <c r="J113" s="18">
        <f>IF($A113="","",IFERROR(AVERAGEIF(tblGunluk[VarlikId],$A113,tblGunluk[FormulDoluluk_oran]),0))</f>
        <v/>
      </c>
      <c r="K113" s="18">
        <f>IF($A113="","",SUMIF(tblGunluk[VarlikId],$A113,tblGunluk[GiderTl_tl]))</f>
        <v/>
      </c>
      <c r="L113" s="18">
        <f>IF($A113="","",MAX(0,MIN(100,kpg_kaliteTaban-IF($J113&lt;kpg_esikDoluluk,kpg_kaliteCeza,0)-COUNTIFS(tblGunluk[VarlikId],$A113,tblGunluk[AlarmBayrak],"ALARM")*kpg_kaliteSapma-IF($H113="HAYIR",kpg_kaliteCeza,0))))</f>
        <v/>
      </c>
    </row>
    <row r="114">
      <c r="A114" s="15" t="n"/>
      <c r="B114" s="15" t="n"/>
      <c r="C114" s="15" t="n"/>
      <c r="D114" s="15" t="n"/>
      <c r="E114" s="16" t="n"/>
      <c r="F114" s="17" t="n"/>
      <c r="G114" s="17" t="n"/>
      <c r="H114" s="15" t="n"/>
      <c r="I114" s="18">
        <f>IF($A114="","",SUMIF(tblGunluk[VarlikId],$A114,tblGunluk[TahsilatTl_tl]))</f>
        <v/>
      </c>
      <c r="J114" s="18">
        <f>IF($A114="","",IFERROR(AVERAGEIF(tblGunluk[VarlikId],$A114,tblGunluk[FormulDoluluk_oran]),0))</f>
        <v/>
      </c>
      <c r="K114" s="18">
        <f>IF($A114="","",SUMIF(tblGunluk[VarlikId],$A114,tblGunluk[GiderTl_tl]))</f>
        <v/>
      </c>
      <c r="L114" s="18">
        <f>IF($A114="","",MAX(0,MIN(100,kpg_kaliteTaban-IF($J114&lt;kpg_esikDoluluk,kpg_kaliteCeza,0)-COUNTIFS(tblGunluk[VarlikId],$A114,tblGunluk[AlarmBayrak],"ALARM")*kpg_kaliteSapma-IF($H114="HAYIR",kpg_kaliteCeza,0))))</f>
        <v/>
      </c>
    </row>
    <row r="115">
      <c r="A115" s="15" t="n"/>
      <c r="B115" s="15" t="n"/>
      <c r="C115" s="15" t="n"/>
      <c r="D115" s="15" t="n"/>
      <c r="E115" s="16" t="n"/>
      <c r="F115" s="17" t="n"/>
      <c r="G115" s="17" t="n"/>
      <c r="H115" s="15" t="n"/>
      <c r="I115" s="18">
        <f>IF($A115="","",SUMIF(tblGunluk[VarlikId],$A115,tblGunluk[TahsilatTl_tl]))</f>
        <v/>
      </c>
      <c r="J115" s="18">
        <f>IF($A115="","",IFERROR(AVERAGEIF(tblGunluk[VarlikId],$A115,tblGunluk[FormulDoluluk_oran]),0))</f>
        <v/>
      </c>
      <c r="K115" s="18">
        <f>IF($A115="","",SUMIF(tblGunluk[VarlikId],$A115,tblGunluk[GiderTl_tl]))</f>
        <v/>
      </c>
      <c r="L115" s="18">
        <f>IF($A115="","",MAX(0,MIN(100,kpg_kaliteTaban-IF($J115&lt;kpg_esikDoluluk,kpg_kaliteCeza,0)-COUNTIFS(tblGunluk[VarlikId],$A115,tblGunluk[AlarmBayrak],"ALARM")*kpg_kaliteSapma-IF($H115="HAYIR",kpg_kaliteCeza,0))))</f>
        <v/>
      </c>
    </row>
    <row r="116">
      <c r="A116" s="15" t="n"/>
      <c r="B116" s="15" t="n"/>
      <c r="C116" s="15" t="n"/>
      <c r="D116" s="15" t="n"/>
      <c r="E116" s="16" t="n"/>
      <c r="F116" s="17" t="n"/>
      <c r="G116" s="17" t="n"/>
      <c r="H116" s="15" t="n"/>
      <c r="I116" s="18">
        <f>IF($A116="","",SUMIF(tblGunluk[VarlikId],$A116,tblGunluk[TahsilatTl_tl]))</f>
        <v/>
      </c>
      <c r="J116" s="18">
        <f>IF($A116="","",IFERROR(AVERAGEIF(tblGunluk[VarlikId],$A116,tblGunluk[FormulDoluluk_oran]),0))</f>
        <v/>
      </c>
      <c r="K116" s="18">
        <f>IF($A116="","",SUMIF(tblGunluk[VarlikId],$A116,tblGunluk[GiderTl_tl]))</f>
        <v/>
      </c>
      <c r="L116" s="18">
        <f>IF($A116="","",MAX(0,MIN(100,kpg_kaliteTaban-IF($J116&lt;kpg_esikDoluluk,kpg_kaliteCeza,0)-COUNTIFS(tblGunluk[VarlikId],$A116,tblGunluk[AlarmBayrak],"ALARM")*kpg_kaliteSapma-IF($H116="HAYIR",kpg_kaliteCeza,0))))</f>
        <v/>
      </c>
    </row>
    <row r="117">
      <c r="A117" s="15" t="n"/>
      <c r="B117" s="15" t="n"/>
      <c r="C117" s="15" t="n"/>
      <c r="D117" s="15" t="n"/>
      <c r="E117" s="16" t="n"/>
      <c r="F117" s="17" t="n"/>
      <c r="G117" s="17" t="n"/>
      <c r="H117" s="15" t="n"/>
      <c r="I117" s="18">
        <f>IF($A117="","",SUMIF(tblGunluk[VarlikId],$A117,tblGunluk[TahsilatTl_tl]))</f>
        <v/>
      </c>
      <c r="J117" s="18">
        <f>IF($A117="","",IFERROR(AVERAGEIF(tblGunluk[VarlikId],$A117,tblGunluk[FormulDoluluk_oran]),0))</f>
        <v/>
      </c>
      <c r="K117" s="18">
        <f>IF($A117="","",SUMIF(tblGunluk[VarlikId],$A117,tblGunluk[GiderTl_tl]))</f>
        <v/>
      </c>
      <c r="L117" s="18">
        <f>IF($A117="","",MAX(0,MIN(100,kpg_kaliteTaban-IF($J117&lt;kpg_esikDoluluk,kpg_kaliteCeza,0)-COUNTIFS(tblGunluk[VarlikId],$A117,tblGunluk[AlarmBayrak],"ALARM")*kpg_kaliteSapma-IF($H117="HAYIR",kpg_kaliteCeza,0))))</f>
        <v/>
      </c>
    </row>
    <row r="118">
      <c r="A118" s="15" t="n"/>
      <c r="B118" s="15" t="n"/>
      <c r="C118" s="15" t="n"/>
      <c r="D118" s="15" t="n"/>
      <c r="E118" s="16" t="n"/>
      <c r="F118" s="17" t="n"/>
      <c r="G118" s="17" t="n"/>
      <c r="H118" s="15" t="n"/>
      <c r="I118" s="18">
        <f>IF($A118="","",SUMIF(tblGunluk[VarlikId],$A118,tblGunluk[TahsilatTl_tl]))</f>
        <v/>
      </c>
      <c r="J118" s="18">
        <f>IF($A118="","",IFERROR(AVERAGEIF(tblGunluk[VarlikId],$A118,tblGunluk[FormulDoluluk_oran]),0))</f>
        <v/>
      </c>
      <c r="K118" s="18">
        <f>IF($A118="","",SUMIF(tblGunluk[VarlikId],$A118,tblGunluk[GiderTl_tl]))</f>
        <v/>
      </c>
      <c r="L118" s="18">
        <f>IF($A118="","",MAX(0,MIN(100,kpg_kaliteTaban-IF($J118&lt;kpg_esikDoluluk,kpg_kaliteCeza,0)-COUNTIFS(tblGunluk[VarlikId],$A118,tblGunluk[AlarmBayrak],"ALARM")*kpg_kaliteSapma-IF($H118="HAYIR",kpg_kaliteCeza,0))))</f>
        <v/>
      </c>
    </row>
    <row r="119">
      <c r="A119" s="15" t="n"/>
      <c r="B119" s="15" t="n"/>
      <c r="C119" s="15" t="n"/>
      <c r="D119" s="15" t="n"/>
      <c r="E119" s="16" t="n"/>
      <c r="F119" s="17" t="n"/>
      <c r="G119" s="17" t="n"/>
      <c r="H119" s="15" t="n"/>
      <c r="I119" s="18">
        <f>IF($A119="","",SUMIF(tblGunluk[VarlikId],$A119,tblGunluk[TahsilatTl_tl]))</f>
        <v/>
      </c>
      <c r="J119" s="18">
        <f>IF($A119="","",IFERROR(AVERAGEIF(tblGunluk[VarlikId],$A119,tblGunluk[FormulDoluluk_oran]),0))</f>
        <v/>
      </c>
      <c r="K119" s="18">
        <f>IF($A119="","",SUMIF(tblGunluk[VarlikId],$A119,tblGunluk[GiderTl_tl]))</f>
        <v/>
      </c>
      <c r="L119" s="18">
        <f>IF($A119="","",MAX(0,MIN(100,kpg_kaliteTaban-IF($J119&lt;kpg_esikDoluluk,kpg_kaliteCeza,0)-COUNTIFS(tblGunluk[VarlikId],$A119,tblGunluk[AlarmBayrak],"ALARM")*kpg_kaliteSapma-IF($H119="HAYIR",kpg_kaliteCeza,0))))</f>
        <v/>
      </c>
    </row>
    <row r="120">
      <c r="A120" s="15" t="n"/>
      <c r="B120" s="15" t="n"/>
      <c r="C120" s="15" t="n"/>
      <c r="D120" s="15" t="n"/>
      <c r="E120" s="16" t="n"/>
      <c r="F120" s="17" t="n"/>
      <c r="G120" s="17" t="n"/>
      <c r="H120" s="15" t="n"/>
      <c r="I120" s="18">
        <f>IF($A120="","",SUMIF(tblGunluk[VarlikId],$A120,tblGunluk[TahsilatTl_tl]))</f>
        <v/>
      </c>
      <c r="J120" s="18">
        <f>IF($A120="","",IFERROR(AVERAGEIF(tblGunluk[VarlikId],$A120,tblGunluk[FormulDoluluk_oran]),0))</f>
        <v/>
      </c>
      <c r="K120" s="18">
        <f>IF($A120="","",SUMIF(tblGunluk[VarlikId],$A120,tblGunluk[GiderTl_tl]))</f>
        <v/>
      </c>
      <c r="L120" s="18">
        <f>IF($A120="","",MAX(0,MIN(100,kpg_kaliteTaban-IF($J120&lt;kpg_esikDoluluk,kpg_kaliteCeza,0)-COUNTIFS(tblGunluk[VarlikId],$A120,tblGunluk[AlarmBayrak],"ALARM")*kpg_kaliteSapma-IF($H120="HAYIR",kpg_kaliteCeza,0))))</f>
        <v/>
      </c>
    </row>
    <row r="121">
      <c r="A121" s="15" t="n"/>
      <c r="B121" s="15" t="n"/>
      <c r="C121" s="15" t="n"/>
      <c r="D121" s="15" t="n"/>
      <c r="E121" s="16" t="n"/>
      <c r="F121" s="17" t="n"/>
      <c r="G121" s="17" t="n"/>
      <c r="H121" s="15" t="n"/>
      <c r="I121" s="18">
        <f>IF($A121="","",SUMIF(tblGunluk[VarlikId],$A121,tblGunluk[TahsilatTl_tl]))</f>
        <v/>
      </c>
      <c r="J121" s="18">
        <f>IF($A121="","",IFERROR(AVERAGEIF(tblGunluk[VarlikId],$A121,tblGunluk[FormulDoluluk_oran]),0))</f>
        <v/>
      </c>
      <c r="K121" s="18">
        <f>IF($A121="","",SUMIF(tblGunluk[VarlikId],$A121,tblGunluk[GiderTl_tl]))</f>
        <v/>
      </c>
      <c r="L121" s="18">
        <f>IF($A121="","",MAX(0,MIN(100,kpg_kaliteTaban-IF($J121&lt;kpg_esikDoluluk,kpg_kaliteCeza,0)-COUNTIFS(tblGunluk[VarlikId],$A121,tblGunluk[AlarmBayrak],"ALARM")*kpg_kaliteSapma-IF($H121="HAYIR",kpg_kaliteCeza,0))))</f>
        <v/>
      </c>
    </row>
    <row r="122">
      <c r="A122" s="15" t="n"/>
      <c r="B122" s="15" t="n"/>
      <c r="C122" s="15" t="n"/>
      <c r="D122" s="15" t="n"/>
      <c r="E122" s="16" t="n"/>
      <c r="F122" s="17" t="n"/>
      <c r="G122" s="17" t="n"/>
      <c r="H122" s="15" t="n"/>
      <c r="I122" s="18">
        <f>IF($A122="","",SUMIF(tblGunluk[VarlikId],$A122,tblGunluk[TahsilatTl_tl]))</f>
        <v/>
      </c>
      <c r="J122" s="18">
        <f>IF($A122="","",IFERROR(AVERAGEIF(tblGunluk[VarlikId],$A122,tblGunluk[FormulDoluluk_oran]),0))</f>
        <v/>
      </c>
      <c r="K122" s="18">
        <f>IF($A122="","",SUMIF(tblGunluk[VarlikId],$A122,tblGunluk[GiderTl_tl]))</f>
        <v/>
      </c>
      <c r="L122" s="18">
        <f>IF($A122="","",MAX(0,MIN(100,kpg_kaliteTaban-IF($J122&lt;kpg_esikDoluluk,kpg_kaliteCeza,0)-COUNTIFS(tblGunluk[VarlikId],$A122,tblGunluk[AlarmBayrak],"ALARM")*kpg_kaliteSapma-IF($H122="HAYIR",kpg_kaliteCeza,0))))</f>
        <v/>
      </c>
    </row>
    <row r="123">
      <c r="A123" s="15" t="n"/>
      <c r="B123" s="15" t="n"/>
      <c r="C123" s="15" t="n"/>
      <c r="D123" s="15" t="n"/>
      <c r="E123" s="16" t="n"/>
      <c r="F123" s="17" t="n"/>
      <c r="G123" s="17" t="n"/>
      <c r="H123" s="15" t="n"/>
      <c r="I123" s="18">
        <f>IF($A123="","",SUMIF(tblGunluk[VarlikId],$A123,tblGunluk[TahsilatTl_tl]))</f>
        <v/>
      </c>
      <c r="J123" s="18">
        <f>IF($A123="","",IFERROR(AVERAGEIF(tblGunluk[VarlikId],$A123,tblGunluk[FormulDoluluk_oran]),0))</f>
        <v/>
      </c>
      <c r="K123" s="18">
        <f>IF($A123="","",SUMIF(tblGunluk[VarlikId],$A123,tblGunluk[GiderTl_tl]))</f>
        <v/>
      </c>
      <c r="L123" s="18">
        <f>IF($A123="","",MAX(0,MIN(100,kpg_kaliteTaban-IF($J123&lt;kpg_esikDoluluk,kpg_kaliteCeza,0)-COUNTIFS(tblGunluk[VarlikId],$A123,tblGunluk[AlarmBayrak],"ALARM")*kpg_kaliteSapma-IF($H123="HAYIR",kpg_kaliteCeza,0))))</f>
        <v/>
      </c>
    </row>
    <row r="124">
      <c r="A124" s="15" t="n"/>
      <c r="B124" s="15" t="n"/>
      <c r="C124" s="15" t="n"/>
      <c r="D124" s="15" t="n"/>
      <c r="E124" s="16" t="n"/>
      <c r="F124" s="17" t="n"/>
      <c r="G124" s="17" t="n"/>
      <c r="H124" s="15" t="n"/>
      <c r="I124" s="18">
        <f>IF($A124="","",SUMIF(tblGunluk[VarlikId],$A124,tblGunluk[TahsilatTl_tl]))</f>
        <v/>
      </c>
      <c r="J124" s="18">
        <f>IF($A124="","",IFERROR(AVERAGEIF(tblGunluk[VarlikId],$A124,tblGunluk[FormulDoluluk_oran]),0))</f>
        <v/>
      </c>
      <c r="K124" s="18">
        <f>IF($A124="","",SUMIF(tblGunluk[VarlikId],$A124,tblGunluk[GiderTl_tl]))</f>
        <v/>
      </c>
      <c r="L124" s="18">
        <f>IF($A124="","",MAX(0,MIN(100,kpg_kaliteTaban-IF($J124&lt;kpg_esikDoluluk,kpg_kaliteCeza,0)-COUNTIFS(tblGunluk[VarlikId],$A124,tblGunluk[AlarmBayrak],"ALARM")*kpg_kaliteSapma-IF($H124="HAYIR",kpg_kaliteCeza,0))))</f>
        <v/>
      </c>
    </row>
    <row r="125">
      <c r="A125" s="15" t="n"/>
      <c r="B125" s="15" t="n"/>
      <c r="C125" s="15" t="n"/>
      <c r="D125" s="15" t="n"/>
      <c r="E125" s="16" t="n"/>
      <c r="F125" s="17" t="n"/>
      <c r="G125" s="17" t="n"/>
      <c r="H125" s="15" t="n"/>
      <c r="I125" s="18">
        <f>IF($A125="","",SUMIF(tblGunluk[VarlikId],$A125,tblGunluk[TahsilatTl_tl]))</f>
        <v/>
      </c>
      <c r="J125" s="18">
        <f>IF($A125="","",IFERROR(AVERAGEIF(tblGunluk[VarlikId],$A125,tblGunluk[FormulDoluluk_oran]),0))</f>
        <v/>
      </c>
      <c r="K125" s="18">
        <f>IF($A125="","",SUMIF(tblGunluk[VarlikId],$A125,tblGunluk[GiderTl_tl]))</f>
        <v/>
      </c>
      <c r="L125" s="18">
        <f>IF($A125="","",MAX(0,MIN(100,kpg_kaliteTaban-IF($J125&lt;kpg_esikDoluluk,kpg_kaliteCeza,0)-COUNTIFS(tblGunluk[VarlikId],$A125,tblGunluk[AlarmBayrak],"ALARM")*kpg_kaliteSapma-IF($H125="HAYIR",kpg_kaliteCeza,0))))</f>
        <v/>
      </c>
    </row>
    <row r="126">
      <c r="A126" s="15" t="n"/>
      <c r="B126" s="15" t="n"/>
      <c r="C126" s="15" t="n"/>
      <c r="D126" s="15" t="n"/>
      <c r="E126" s="16" t="n"/>
      <c r="F126" s="17" t="n"/>
      <c r="G126" s="17" t="n"/>
      <c r="H126" s="15" t="n"/>
      <c r="I126" s="18">
        <f>IF($A126="","",SUMIF(tblGunluk[VarlikId],$A126,tblGunluk[TahsilatTl_tl]))</f>
        <v/>
      </c>
      <c r="J126" s="18">
        <f>IF($A126="","",IFERROR(AVERAGEIF(tblGunluk[VarlikId],$A126,tblGunluk[FormulDoluluk_oran]),0))</f>
        <v/>
      </c>
      <c r="K126" s="18">
        <f>IF($A126="","",SUMIF(tblGunluk[VarlikId],$A126,tblGunluk[GiderTl_tl]))</f>
        <v/>
      </c>
      <c r="L126" s="18">
        <f>IF($A126="","",MAX(0,MIN(100,kpg_kaliteTaban-IF($J126&lt;kpg_esikDoluluk,kpg_kaliteCeza,0)-COUNTIFS(tblGunluk[VarlikId],$A126,tblGunluk[AlarmBayrak],"ALARM")*kpg_kaliteSapma-IF($H126="HAYIR",kpg_kaliteCeza,0))))</f>
        <v/>
      </c>
    </row>
    <row r="127">
      <c r="A127" s="15" t="n"/>
      <c r="B127" s="15" t="n"/>
      <c r="C127" s="15" t="n"/>
      <c r="D127" s="15" t="n"/>
      <c r="E127" s="16" t="n"/>
      <c r="F127" s="17" t="n"/>
      <c r="G127" s="17" t="n"/>
      <c r="H127" s="15" t="n"/>
      <c r="I127" s="18">
        <f>IF($A127="","",SUMIF(tblGunluk[VarlikId],$A127,tblGunluk[TahsilatTl_tl]))</f>
        <v/>
      </c>
      <c r="J127" s="18">
        <f>IF($A127="","",IFERROR(AVERAGEIF(tblGunluk[VarlikId],$A127,tblGunluk[FormulDoluluk_oran]),0))</f>
        <v/>
      </c>
      <c r="K127" s="18">
        <f>IF($A127="","",SUMIF(tblGunluk[VarlikId],$A127,tblGunluk[GiderTl_tl]))</f>
        <v/>
      </c>
      <c r="L127" s="18">
        <f>IF($A127="","",MAX(0,MIN(100,kpg_kaliteTaban-IF($J127&lt;kpg_esikDoluluk,kpg_kaliteCeza,0)-COUNTIFS(tblGunluk[VarlikId],$A127,tblGunluk[AlarmBayrak],"ALARM")*kpg_kaliteSapma-IF($H127="HAYIR",kpg_kaliteCeza,0))))</f>
        <v/>
      </c>
    </row>
    <row r="128">
      <c r="A128" s="15" t="n"/>
      <c r="B128" s="15" t="n"/>
      <c r="C128" s="15" t="n"/>
      <c r="D128" s="15" t="n"/>
      <c r="E128" s="16" t="n"/>
      <c r="F128" s="17" t="n"/>
      <c r="G128" s="17" t="n"/>
      <c r="H128" s="15" t="n"/>
      <c r="I128" s="18">
        <f>IF($A128="","",SUMIF(tblGunluk[VarlikId],$A128,tblGunluk[TahsilatTl_tl]))</f>
        <v/>
      </c>
      <c r="J128" s="18">
        <f>IF($A128="","",IFERROR(AVERAGEIF(tblGunluk[VarlikId],$A128,tblGunluk[FormulDoluluk_oran]),0))</f>
        <v/>
      </c>
      <c r="K128" s="18">
        <f>IF($A128="","",SUMIF(tblGunluk[VarlikId],$A128,tblGunluk[GiderTl_tl]))</f>
        <v/>
      </c>
      <c r="L128" s="18">
        <f>IF($A128="","",MAX(0,MIN(100,kpg_kaliteTaban-IF($J128&lt;kpg_esikDoluluk,kpg_kaliteCeza,0)-COUNTIFS(tblGunluk[VarlikId],$A128,tblGunluk[AlarmBayrak],"ALARM")*kpg_kaliteSapma-IF($H128="HAYIR",kpg_kaliteCeza,0))))</f>
        <v/>
      </c>
    </row>
    <row r="129">
      <c r="A129" s="15" t="n"/>
      <c r="B129" s="15" t="n"/>
      <c r="C129" s="15" t="n"/>
      <c r="D129" s="15" t="n"/>
      <c r="E129" s="16" t="n"/>
      <c r="F129" s="17" t="n"/>
      <c r="G129" s="17" t="n"/>
      <c r="H129" s="15" t="n"/>
      <c r="I129" s="18">
        <f>IF($A129="","",SUMIF(tblGunluk[VarlikId],$A129,tblGunluk[TahsilatTl_tl]))</f>
        <v/>
      </c>
      <c r="J129" s="18">
        <f>IF($A129="","",IFERROR(AVERAGEIF(tblGunluk[VarlikId],$A129,tblGunluk[FormulDoluluk_oran]),0))</f>
        <v/>
      </c>
      <c r="K129" s="18">
        <f>IF($A129="","",SUMIF(tblGunluk[VarlikId],$A129,tblGunluk[GiderTl_tl]))</f>
        <v/>
      </c>
      <c r="L129" s="18">
        <f>IF($A129="","",MAX(0,MIN(100,kpg_kaliteTaban-IF($J129&lt;kpg_esikDoluluk,kpg_kaliteCeza,0)-COUNTIFS(tblGunluk[VarlikId],$A129,tblGunluk[AlarmBayrak],"ALARM")*kpg_kaliteSapma-IF($H129="HAYIR",kpg_kaliteCeza,0))))</f>
        <v/>
      </c>
    </row>
    <row r="130">
      <c r="A130" s="15" t="n"/>
      <c r="B130" s="15" t="n"/>
      <c r="C130" s="15" t="n"/>
      <c r="D130" s="15" t="n"/>
      <c r="E130" s="16" t="n"/>
      <c r="F130" s="17" t="n"/>
      <c r="G130" s="17" t="n"/>
      <c r="H130" s="15" t="n"/>
      <c r="I130" s="18">
        <f>IF($A130="","",SUMIF(tblGunluk[VarlikId],$A130,tblGunluk[TahsilatTl_tl]))</f>
        <v/>
      </c>
      <c r="J130" s="18">
        <f>IF($A130="","",IFERROR(AVERAGEIF(tblGunluk[VarlikId],$A130,tblGunluk[FormulDoluluk_oran]),0))</f>
        <v/>
      </c>
      <c r="K130" s="18">
        <f>IF($A130="","",SUMIF(tblGunluk[VarlikId],$A130,tblGunluk[GiderTl_tl]))</f>
        <v/>
      </c>
      <c r="L130" s="18">
        <f>IF($A130="","",MAX(0,MIN(100,kpg_kaliteTaban-IF($J130&lt;kpg_esikDoluluk,kpg_kaliteCeza,0)-COUNTIFS(tblGunluk[VarlikId],$A130,tblGunluk[AlarmBayrak],"ALARM")*kpg_kaliteSapma-IF($H130="HAYIR",kpg_kaliteCeza,0))))</f>
        <v/>
      </c>
    </row>
    <row r="131">
      <c r="A131" s="15" t="n"/>
      <c r="B131" s="15" t="n"/>
      <c r="C131" s="15" t="n"/>
      <c r="D131" s="15" t="n"/>
      <c r="E131" s="16" t="n"/>
      <c r="F131" s="17" t="n"/>
      <c r="G131" s="17" t="n"/>
      <c r="H131" s="15" t="n"/>
      <c r="I131" s="18">
        <f>IF($A131="","",SUMIF(tblGunluk[VarlikId],$A131,tblGunluk[TahsilatTl_tl]))</f>
        <v/>
      </c>
      <c r="J131" s="18">
        <f>IF($A131="","",IFERROR(AVERAGEIF(tblGunluk[VarlikId],$A131,tblGunluk[FormulDoluluk_oran]),0))</f>
        <v/>
      </c>
      <c r="K131" s="18">
        <f>IF($A131="","",SUMIF(tblGunluk[VarlikId],$A131,tblGunluk[GiderTl_tl]))</f>
        <v/>
      </c>
      <c r="L131" s="18">
        <f>IF($A131="","",MAX(0,MIN(100,kpg_kaliteTaban-IF($J131&lt;kpg_esikDoluluk,kpg_kaliteCeza,0)-COUNTIFS(tblGunluk[VarlikId],$A131,tblGunluk[AlarmBayrak],"ALARM")*kpg_kaliteSapma-IF($H131="HAYIR",kpg_kaliteCeza,0))))</f>
        <v/>
      </c>
    </row>
    <row r="132">
      <c r="A132" s="15" t="n"/>
      <c r="B132" s="15" t="n"/>
      <c r="C132" s="15" t="n"/>
      <c r="D132" s="15" t="n"/>
      <c r="E132" s="16" t="n"/>
      <c r="F132" s="17" t="n"/>
      <c r="G132" s="17" t="n"/>
      <c r="H132" s="15" t="n"/>
      <c r="I132" s="18">
        <f>IF($A132="","",SUMIF(tblGunluk[VarlikId],$A132,tblGunluk[TahsilatTl_tl]))</f>
        <v/>
      </c>
      <c r="J132" s="18">
        <f>IF($A132="","",IFERROR(AVERAGEIF(tblGunluk[VarlikId],$A132,tblGunluk[FormulDoluluk_oran]),0))</f>
        <v/>
      </c>
      <c r="K132" s="18">
        <f>IF($A132="","",SUMIF(tblGunluk[VarlikId],$A132,tblGunluk[GiderTl_tl]))</f>
        <v/>
      </c>
      <c r="L132" s="18">
        <f>IF($A132="","",MAX(0,MIN(100,kpg_kaliteTaban-IF($J132&lt;kpg_esikDoluluk,kpg_kaliteCeza,0)-COUNTIFS(tblGunluk[VarlikId],$A132,tblGunluk[AlarmBayrak],"ALARM")*kpg_kaliteSapma-IF($H132="HAYIR",kpg_kaliteCeza,0))))</f>
        <v/>
      </c>
    </row>
    <row r="133">
      <c r="A133" s="15" t="n"/>
      <c r="B133" s="15" t="n"/>
      <c r="C133" s="15" t="n"/>
      <c r="D133" s="15" t="n"/>
      <c r="E133" s="16" t="n"/>
      <c r="F133" s="17" t="n"/>
      <c r="G133" s="17" t="n"/>
      <c r="H133" s="15" t="n"/>
      <c r="I133" s="18">
        <f>IF($A133="","",SUMIF(tblGunluk[VarlikId],$A133,tblGunluk[TahsilatTl_tl]))</f>
        <v/>
      </c>
      <c r="J133" s="18">
        <f>IF($A133="","",IFERROR(AVERAGEIF(tblGunluk[VarlikId],$A133,tblGunluk[FormulDoluluk_oran]),0))</f>
        <v/>
      </c>
      <c r="K133" s="18">
        <f>IF($A133="","",SUMIF(tblGunluk[VarlikId],$A133,tblGunluk[GiderTl_tl]))</f>
        <v/>
      </c>
      <c r="L133" s="18">
        <f>IF($A133="","",MAX(0,MIN(100,kpg_kaliteTaban-IF($J133&lt;kpg_esikDoluluk,kpg_kaliteCeza,0)-COUNTIFS(tblGunluk[VarlikId],$A133,tblGunluk[AlarmBayrak],"ALARM")*kpg_kaliteSapma-IF($H133="HAYIR",kpg_kaliteCeza,0))))</f>
        <v/>
      </c>
    </row>
    <row r="134">
      <c r="A134" s="15" t="n"/>
      <c r="B134" s="15" t="n"/>
      <c r="C134" s="15" t="n"/>
      <c r="D134" s="15" t="n"/>
      <c r="E134" s="16" t="n"/>
      <c r="F134" s="17" t="n"/>
      <c r="G134" s="17" t="n"/>
      <c r="H134" s="15" t="n"/>
      <c r="I134" s="18">
        <f>IF($A134="","",SUMIF(tblGunluk[VarlikId],$A134,tblGunluk[TahsilatTl_tl]))</f>
        <v/>
      </c>
      <c r="J134" s="18">
        <f>IF($A134="","",IFERROR(AVERAGEIF(tblGunluk[VarlikId],$A134,tblGunluk[FormulDoluluk_oran]),0))</f>
        <v/>
      </c>
      <c r="K134" s="18">
        <f>IF($A134="","",SUMIF(tblGunluk[VarlikId],$A134,tblGunluk[GiderTl_tl]))</f>
        <v/>
      </c>
      <c r="L134" s="18">
        <f>IF($A134="","",MAX(0,MIN(100,kpg_kaliteTaban-IF($J134&lt;kpg_esikDoluluk,kpg_kaliteCeza,0)-COUNTIFS(tblGunluk[VarlikId],$A134,tblGunluk[AlarmBayrak],"ALARM")*kpg_kaliteSapma-IF($H134="HAYIR",kpg_kaliteCeza,0))))</f>
        <v/>
      </c>
    </row>
    <row r="135">
      <c r="A135" s="15" t="n"/>
      <c r="B135" s="15" t="n"/>
      <c r="C135" s="15" t="n"/>
      <c r="D135" s="15" t="n"/>
      <c r="E135" s="16" t="n"/>
      <c r="F135" s="17" t="n"/>
      <c r="G135" s="17" t="n"/>
      <c r="H135" s="15" t="n"/>
      <c r="I135" s="18">
        <f>IF($A135="","",SUMIF(tblGunluk[VarlikId],$A135,tblGunluk[TahsilatTl_tl]))</f>
        <v/>
      </c>
      <c r="J135" s="18">
        <f>IF($A135="","",IFERROR(AVERAGEIF(tblGunluk[VarlikId],$A135,tblGunluk[FormulDoluluk_oran]),0))</f>
        <v/>
      </c>
      <c r="K135" s="18">
        <f>IF($A135="","",SUMIF(tblGunluk[VarlikId],$A135,tblGunluk[GiderTl_tl]))</f>
        <v/>
      </c>
      <c r="L135" s="18">
        <f>IF($A135="","",MAX(0,MIN(100,kpg_kaliteTaban-IF($J135&lt;kpg_esikDoluluk,kpg_kaliteCeza,0)-COUNTIFS(tblGunluk[VarlikId],$A135,tblGunluk[AlarmBayrak],"ALARM")*kpg_kaliteSapma-IF($H135="HAYIR",kpg_kaliteCeza,0))))</f>
        <v/>
      </c>
    </row>
    <row r="136">
      <c r="A136" s="15" t="n"/>
      <c r="B136" s="15" t="n"/>
      <c r="C136" s="15" t="n"/>
      <c r="D136" s="15" t="n"/>
      <c r="E136" s="16" t="n"/>
      <c r="F136" s="17" t="n"/>
      <c r="G136" s="17" t="n"/>
      <c r="H136" s="15" t="n"/>
      <c r="I136" s="18">
        <f>IF($A136="","",SUMIF(tblGunluk[VarlikId],$A136,tblGunluk[TahsilatTl_tl]))</f>
        <v/>
      </c>
      <c r="J136" s="18">
        <f>IF($A136="","",IFERROR(AVERAGEIF(tblGunluk[VarlikId],$A136,tblGunluk[FormulDoluluk_oran]),0))</f>
        <v/>
      </c>
      <c r="K136" s="18">
        <f>IF($A136="","",SUMIF(tblGunluk[VarlikId],$A136,tblGunluk[GiderTl_tl]))</f>
        <v/>
      </c>
      <c r="L136" s="18">
        <f>IF($A136="","",MAX(0,MIN(100,kpg_kaliteTaban-IF($J136&lt;kpg_esikDoluluk,kpg_kaliteCeza,0)-COUNTIFS(tblGunluk[VarlikId],$A136,tblGunluk[AlarmBayrak],"ALARM")*kpg_kaliteSapma-IF($H136="HAYIR",kpg_kaliteCeza,0))))</f>
        <v/>
      </c>
    </row>
    <row r="137">
      <c r="A137" s="15" t="n"/>
      <c r="B137" s="15" t="n"/>
      <c r="C137" s="15" t="n"/>
      <c r="D137" s="15" t="n"/>
      <c r="E137" s="16" t="n"/>
      <c r="F137" s="17" t="n"/>
      <c r="G137" s="17" t="n"/>
      <c r="H137" s="15" t="n"/>
      <c r="I137" s="18">
        <f>IF($A137="","",SUMIF(tblGunluk[VarlikId],$A137,tblGunluk[TahsilatTl_tl]))</f>
        <v/>
      </c>
      <c r="J137" s="18">
        <f>IF($A137="","",IFERROR(AVERAGEIF(tblGunluk[VarlikId],$A137,tblGunluk[FormulDoluluk_oran]),0))</f>
        <v/>
      </c>
      <c r="K137" s="18">
        <f>IF($A137="","",SUMIF(tblGunluk[VarlikId],$A137,tblGunluk[GiderTl_tl]))</f>
        <v/>
      </c>
      <c r="L137" s="18">
        <f>IF($A137="","",MAX(0,MIN(100,kpg_kaliteTaban-IF($J137&lt;kpg_esikDoluluk,kpg_kaliteCeza,0)-COUNTIFS(tblGunluk[VarlikId],$A137,tblGunluk[AlarmBayrak],"ALARM")*kpg_kaliteSapma-IF($H137="HAYIR",kpg_kaliteCeza,0))))</f>
        <v/>
      </c>
    </row>
    <row r="138">
      <c r="A138" s="15" t="n"/>
      <c r="B138" s="15" t="n"/>
      <c r="C138" s="15" t="n"/>
      <c r="D138" s="15" t="n"/>
      <c r="E138" s="16" t="n"/>
      <c r="F138" s="17" t="n"/>
      <c r="G138" s="17" t="n"/>
      <c r="H138" s="15" t="n"/>
      <c r="I138" s="18">
        <f>IF($A138="","",SUMIF(tblGunluk[VarlikId],$A138,tblGunluk[TahsilatTl_tl]))</f>
        <v/>
      </c>
      <c r="J138" s="18">
        <f>IF($A138="","",IFERROR(AVERAGEIF(tblGunluk[VarlikId],$A138,tblGunluk[FormulDoluluk_oran]),0))</f>
        <v/>
      </c>
      <c r="K138" s="18">
        <f>IF($A138="","",SUMIF(tblGunluk[VarlikId],$A138,tblGunluk[GiderTl_tl]))</f>
        <v/>
      </c>
      <c r="L138" s="18">
        <f>IF($A138="","",MAX(0,MIN(100,kpg_kaliteTaban-IF($J138&lt;kpg_esikDoluluk,kpg_kaliteCeza,0)-COUNTIFS(tblGunluk[VarlikId],$A138,tblGunluk[AlarmBayrak],"ALARM")*kpg_kaliteSapma-IF($H138="HAYIR",kpg_kaliteCeza,0))))</f>
        <v/>
      </c>
    </row>
    <row r="139">
      <c r="A139" s="15" t="n"/>
      <c r="B139" s="15" t="n"/>
      <c r="C139" s="15" t="n"/>
      <c r="D139" s="15" t="n"/>
      <c r="E139" s="16" t="n"/>
      <c r="F139" s="17" t="n"/>
      <c r="G139" s="17" t="n"/>
      <c r="H139" s="15" t="n"/>
      <c r="I139" s="18">
        <f>IF($A139="","",SUMIF(tblGunluk[VarlikId],$A139,tblGunluk[TahsilatTl_tl]))</f>
        <v/>
      </c>
      <c r="J139" s="18">
        <f>IF($A139="","",IFERROR(AVERAGEIF(tblGunluk[VarlikId],$A139,tblGunluk[FormulDoluluk_oran]),0))</f>
        <v/>
      </c>
      <c r="K139" s="18">
        <f>IF($A139="","",SUMIF(tblGunluk[VarlikId],$A139,tblGunluk[GiderTl_tl]))</f>
        <v/>
      </c>
      <c r="L139" s="18">
        <f>IF($A139="","",MAX(0,MIN(100,kpg_kaliteTaban-IF($J139&lt;kpg_esikDoluluk,kpg_kaliteCeza,0)-COUNTIFS(tblGunluk[VarlikId],$A139,tblGunluk[AlarmBayrak],"ALARM")*kpg_kaliteSapma-IF($H139="HAYIR",kpg_kaliteCeza,0))))</f>
        <v/>
      </c>
    </row>
    <row r="140">
      <c r="A140" s="15" t="n"/>
      <c r="B140" s="15" t="n"/>
      <c r="C140" s="15" t="n"/>
      <c r="D140" s="15" t="n"/>
      <c r="E140" s="16" t="n"/>
      <c r="F140" s="17" t="n"/>
      <c r="G140" s="17" t="n"/>
      <c r="H140" s="15" t="n"/>
      <c r="I140" s="18">
        <f>IF($A140="","",SUMIF(tblGunluk[VarlikId],$A140,tblGunluk[TahsilatTl_tl]))</f>
        <v/>
      </c>
      <c r="J140" s="18">
        <f>IF($A140="","",IFERROR(AVERAGEIF(tblGunluk[VarlikId],$A140,tblGunluk[FormulDoluluk_oran]),0))</f>
        <v/>
      </c>
      <c r="K140" s="18">
        <f>IF($A140="","",SUMIF(tblGunluk[VarlikId],$A140,tblGunluk[GiderTl_tl]))</f>
        <v/>
      </c>
      <c r="L140" s="18">
        <f>IF($A140="","",MAX(0,MIN(100,kpg_kaliteTaban-IF($J140&lt;kpg_esikDoluluk,kpg_kaliteCeza,0)-COUNTIFS(tblGunluk[VarlikId],$A140,tblGunluk[AlarmBayrak],"ALARM")*kpg_kaliteSapma-IF($H140="HAYIR",kpg_kaliteCeza,0))))</f>
        <v/>
      </c>
    </row>
    <row r="141">
      <c r="A141" s="15" t="n"/>
      <c r="B141" s="15" t="n"/>
      <c r="C141" s="15" t="n"/>
      <c r="D141" s="15" t="n"/>
      <c r="E141" s="16" t="n"/>
      <c r="F141" s="17" t="n"/>
      <c r="G141" s="17" t="n"/>
      <c r="H141" s="15" t="n"/>
      <c r="I141" s="18">
        <f>IF($A141="","",SUMIF(tblGunluk[VarlikId],$A141,tblGunluk[TahsilatTl_tl]))</f>
        <v/>
      </c>
      <c r="J141" s="18">
        <f>IF($A141="","",IFERROR(AVERAGEIF(tblGunluk[VarlikId],$A141,tblGunluk[FormulDoluluk_oran]),0))</f>
        <v/>
      </c>
      <c r="K141" s="18">
        <f>IF($A141="","",SUMIF(tblGunluk[VarlikId],$A141,tblGunluk[GiderTl_tl]))</f>
        <v/>
      </c>
      <c r="L141" s="18">
        <f>IF($A141="","",MAX(0,MIN(100,kpg_kaliteTaban-IF($J141&lt;kpg_esikDoluluk,kpg_kaliteCeza,0)-COUNTIFS(tblGunluk[VarlikId],$A141,tblGunluk[AlarmBayrak],"ALARM")*kpg_kaliteSapma-IF($H141="HAYIR",kpg_kaliteCeza,0))))</f>
        <v/>
      </c>
    </row>
    <row r="142">
      <c r="A142" s="15" t="n"/>
      <c r="B142" s="15" t="n"/>
      <c r="C142" s="15" t="n"/>
      <c r="D142" s="15" t="n"/>
      <c r="E142" s="16" t="n"/>
      <c r="F142" s="17" t="n"/>
      <c r="G142" s="17" t="n"/>
      <c r="H142" s="15" t="n"/>
      <c r="I142" s="18">
        <f>IF($A142="","",SUMIF(tblGunluk[VarlikId],$A142,tblGunluk[TahsilatTl_tl]))</f>
        <v/>
      </c>
      <c r="J142" s="18">
        <f>IF($A142="","",IFERROR(AVERAGEIF(tblGunluk[VarlikId],$A142,tblGunluk[FormulDoluluk_oran]),0))</f>
        <v/>
      </c>
      <c r="K142" s="18">
        <f>IF($A142="","",SUMIF(tblGunluk[VarlikId],$A142,tblGunluk[GiderTl_tl]))</f>
        <v/>
      </c>
      <c r="L142" s="18">
        <f>IF($A142="","",MAX(0,MIN(100,kpg_kaliteTaban-IF($J142&lt;kpg_esikDoluluk,kpg_kaliteCeza,0)-COUNTIFS(tblGunluk[VarlikId],$A142,tblGunluk[AlarmBayrak],"ALARM")*kpg_kaliteSapma-IF($H142="HAYIR",kpg_kaliteCeza,0))))</f>
        <v/>
      </c>
    </row>
    <row r="143">
      <c r="A143" s="15" t="n"/>
      <c r="B143" s="15" t="n"/>
      <c r="C143" s="15" t="n"/>
      <c r="D143" s="15" t="n"/>
      <c r="E143" s="16" t="n"/>
      <c r="F143" s="17" t="n"/>
      <c r="G143" s="17" t="n"/>
      <c r="H143" s="15" t="n"/>
      <c r="I143" s="18">
        <f>IF($A143="","",SUMIF(tblGunluk[VarlikId],$A143,tblGunluk[TahsilatTl_tl]))</f>
        <v/>
      </c>
      <c r="J143" s="18">
        <f>IF($A143="","",IFERROR(AVERAGEIF(tblGunluk[VarlikId],$A143,tblGunluk[FormulDoluluk_oran]),0))</f>
        <v/>
      </c>
      <c r="K143" s="18">
        <f>IF($A143="","",SUMIF(tblGunluk[VarlikId],$A143,tblGunluk[GiderTl_tl]))</f>
        <v/>
      </c>
      <c r="L143" s="18">
        <f>IF($A143="","",MAX(0,MIN(100,kpg_kaliteTaban-IF($J143&lt;kpg_esikDoluluk,kpg_kaliteCeza,0)-COUNTIFS(tblGunluk[VarlikId],$A143,tblGunluk[AlarmBayrak],"ALARM")*kpg_kaliteSapma-IF($H143="HAYIR",kpg_kaliteCeza,0))))</f>
        <v/>
      </c>
    </row>
    <row r="144">
      <c r="A144" s="15" t="n"/>
      <c r="B144" s="15" t="n"/>
      <c r="C144" s="15" t="n"/>
      <c r="D144" s="15" t="n"/>
      <c r="E144" s="16" t="n"/>
      <c r="F144" s="17" t="n"/>
      <c r="G144" s="17" t="n"/>
      <c r="H144" s="15" t="n"/>
      <c r="I144" s="18">
        <f>IF($A144="","",SUMIF(tblGunluk[VarlikId],$A144,tblGunluk[TahsilatTl_tl]))</f>
        <v/>
      </c>
      <c r="J144" s="18">
        <f>IF($A144="","",IFERROR(AVERAGEIF(tblGunluk[VarlikId],$A144,tblGunluk[FormulDoluluk_oran]),0))</f>
        <v/>
      </c>
      <c r="K144" s="18">
        <f>IF($A144="","",SUMIF(tblGunluk[VarlikId],$A144,tblGunluk[GiderTl_tl]))</f>
        <v/>
      </c>
      <c r="L144" s="18">
        <f>IF($A144="","",MAX(0,MIN(100,kpg_kaliteTaban-IF($J144&lt;kpg_esikDoluluk,kpg_kaliteCeza,0)-COUNTIFS(tblGunluk[VarlikId],$A144,tblGunluk[AlarmBayrak],"ALARM")*kpg_kaliteSapma-IF($H144="HAYIR",kpg_kaliteCeza,0))))</f>
        <v/>
      </c>
    </row>
    <row r="145">
      <c r="A145" s="15" t="n"/>
      <c r="B145" s="15" t="n"/>
      <c r="C145" s="15" t="n"/>
      <c r="D145" s="15" t="n"/>
      <c r="E145" s="16" t="n"/>
      <c r="F145" s="17" t="n"/>
      <c r="G145" s="17" t="n"/>
      <c r="H145" s="15" t="n"/>
      <c r="I145" s="18">
        <f>IF($A145="","",SUMIF(tblGunluk[VarlikId],$A145,tblGunluk[TahsilatTl_tl]))</f>
        <v/>
      </c>
      <c r="J145" s="18">
        <f>IF($A145="","",IFERROR(AVERAGEIF(tblGunluk[VarlikId],$A145,tblGunluk[FormulDoluluk_oran]),0))</f>
        <v/>
      </c>
      <c r="K145" s="18">
        <f>IF($A145="","",SUMIF(tblGunluk[VarlikId],$A145,tblGunluk[GiderTl_tl]))</f>
        <v/>
      </c>
      <c r="L145" s="18">
        <f>IF($A145="","",MAX(0,MIN(100,kpg_kaliteTaban-IF($J145&lt;kpg_esikDoluluk,kpg_kaliteCeza,0)-COUNTIFS(tblGunluk[VarlikId],$A145,tblGunluk[AlarmBayrak],"ALARM")*kpg_kaliteSapma-IF($H145="HAYIR",kpg_kaliteCeza,0))))</f>
        <v/>
      </c>
    </row>
    <row r="146">
      <c r="A146" s="15" t="n"/>
      <c r="B146" s="15" t="n"/>
      <c r="C146" s="15" t="n"/>
      <c r="D146" s="15" t="n"/>
      <c r="E146" s="16" t="n"/>
      <c r="F146" s="17" t="n"/>
      <c r="G146" s="17" t="n"/>
      <c r="H146" s="15" t="n"/>
      <c r="I146" s="18">
        <f>IF($A146="","",SUMIF(tblGunluk[VarlikId],$A146,tblGunluk[TahsilatTl_tl]))</f>
        <v/>
      </c>
      <c r="J146" s="18">
        <f>IF($A146="","",IFERROR(AVERAGEIF(tblGunluk[VarlikId],$A146,tblGunluk[FormulDoluluk_oran]),0))</f>
        <v/>
      </c>
      <c r="K146" s="18">
        <f>IF($A146="","",SUMIF(tblGunluk[VarlikId],$A146,tblGunluk[GiderTl_tl]))</f>
        <v/>
      </c>
      <c r="L146" s="18">
        <f>IF($A146="","",MAX(0,MIN(100,kpg_kaliteTaban-IF($J146&lt;kpg_esikDoluluk,kpg_kaliteCeza,0)-COUNTIFS(tblGunluk[VarlikId],$A146,tblGunluk[AlarmBayrak],"ALARM")*kpg_kaliteSapma-IF($H146="HAYIR",kpg_kaliteCeza,0))))</f>
        <v/>
      </c>
    </row>
    <row r="147">
      <c r="A147" s="15" t="n"/>
      <c r="B147" s="15" t="n"/>
      <c r="C147" s="15" t="n"/>
      <c r="D147" s="15" t="n"/>
      <c r="E147" s="16" t="n"/>
      <c r="F147" s="17" t="n"/>
      <c r="G147" s="17" t="n"/>
      <c r="H147" s="15" t="n"/>
      <c r="I147" s="18">
        <f>IF($A147="","",SUMIF(tblGunluk[VarlikId],$A147,tblGunluk[TahsilatTl_tl]))</f>
        <v/>
      </c>
      <c r="J147" s="18">
        <f>IF($A147="","",IFERROR(AVERAGEIF(tblGunluk[VarlikId],$A147,tblGunluk[FormulDoluluk_oran]),0))</f>
        <v/>
      </c>
      <c r="K147" s="18">
        <f>IF($A147="","",SUMIF(tblGunluk[VarlikId],$A147,tblGunluk[GiderTl_tl]))</f>
        <v/>
      </c>
      <c r="L147" s="18">
        <f>IF($A147="","",MAX(0,MIN(100,kpg_kaliteTaban-IF($J147&lt;kpg_esikDoluluk,kpg_kaliteCeza,0)-COUNTIFS(tblGunluk[VarlikId],$A147,tblGunluk[AlarmBayrak],"ALARM")*kpg_kaliteSapma-IF($H147="HAYIR",kpg_kaliteCeza,0))))</f>
        <v/>
      </c>
    </row>
    <row r="148">
      <c r="A148" s="15" t="n"/>
      <c r="B148" s="15" t="n"/>
      <c r="C148" s="15" t="n"/>
      <c r="D148" s="15" t="n"/>
      <c r="E148" s="16" t="n"/>
      <c r="F148" s="17" t="n"/>
      <c r="G148" s="17" t="n"/>
      <c r="H148" s="15" t="n"/>
      <c r="I148" s="18">
        <f>IF($A148="","",SUMIF(tblGunluk[VarlikId],$A148,tblGunluk[TahsilatTl_tl]))</f>
        <v/>
      </c>
      <c r="J148" s="18">
        <f>IF($A148="","",IFERROR(AVERAGEIF(tblGunluk[VarlikId],$A148,tblGunluk[FormulDoluluk_oran]),0))</f>
        <v/>
      </c>
      <c r="K148" s="18">
        <f>IF($A148="","",SUMIF(tblGunluk[VarlikId],$A148,tblGunluk[GiderTl_tl]))</f>
        <v/>
      </c>
      <c r="L148" s="18">
        <f>IF($A148="","",MAX(0,MIN(100,kpg_kaliteTaban-IF($J148&lt;kpg_esikDoluluk,kpg_kaliteCeza,0)-COUNTIFS(tblGunluk[VarlikId],$A148,tblGunluk[AlarmBayrak],"ALARM")*kpg_kaliteSapma-IF($H148="HAYIR",kpg_kaliteCeza,0))))</f>
        <v/>
      </c>
    </row>
    <row r="149">
      <c r="A149" s="15" t="n"/>
      <c r="B149" s="15" t="n"/>
      <c r="C149" s="15" t="n"/>
      <c r="D149" s="15" t="n"/>
      <c r="E149" s="16" t="n"/>
      <c r="F149" s="17" t="n"/>
      <c r="G149" s="17" t="n"/>
      <c r="H149" s="15" t="n"/>
      <c r="I149" s="18">
        <f>IF($A149="","",SUMIF(tblGunluk[VarlikId],$A149,tblGunluk[TahsilatTl_tl]))</f>
        <v/>
      </c>
      <c r="J149" s="18">
        <f>IF($A149="","",IFERROR(AVERAGEIF(tblGunluk[VarlikId],$A149,tblGunluk[FormulDoluluk_oran]),0))</f>
        <v/>
      </c>
      <c r="K149" s="18">
        <f>IF($A149="","",SUMIF(tblGunluk[VarlikId],$A149,tblGunluk[GiderTl_tl]))</f>
        <v/>
      </c>
      <c r="L149" s="18">
        <f>IF($A149="","",MAX(0,MIN(100,kpg_kaliteTaban-IF($J149&lt;kpg_esikDoluluk,kpg_kaliteCeza,0)-COUNTIFS(tblGunluk[VarlikId],$A149,tblGunluk[AlarmBayrak],"ALARM")*kpg_kaliteSapma-IF($H149="HAYIR",kpg_kaliteCeza,0))))</f>
        <v/>
      </c>
    </row>
    <row r="150">
      <c r="A150" s="15" t="n"/>
      <c r="B150" s="15" t="n"/>
      <c r="C150" s="15" t="n"/>
      <c r="D150" s="15" t="n"/>
      <c r="E150" s="16" t="n"/>
      <c r="F150" s="17" t="n"/>
      <c r="G150" s="17" t="n"/>
      <c r="H150" s="15" t="n"/>
      <c r="I150" s="18">
        <f>IF($A150="","",SUMIF(tblGunluk[VarlikId],$A150,tblGunluk[TahsilatTl_tl]))</f>
        <v/>
      </c>
      <c r="J150" s="18">
        <f>IF($A150="","",IFERROR(AVERAGEIF(tblGunluk[VarlikId],$A150,tblGunluk[FormulDoluluk_oran]),0))</f>
        <v/>
      </c>
      <c r="K150" s="18">
        <f>IF($A150="","",SUMIF(tblGunluk[VarlikId],$A150,tblGunluk[GiderTl_tl]))</f>
        <v/>
      </c>
      <c r="L150" s="18">
        <f>IF($A150="","",MAX(0,MIN(100,kpg_kaliteTaban-IF($J150&lt;kpg_esikDoluluk,kpg_kaliteCeza,0)-COUNTIFS(tblGunluk[VarlikId],$A150,tblGunluk[AlarmBayrak],"ALARM")*kpg_kaliteSapma-IF($H150="HAYIR",kpg_kaliteCeza,0))))</f>
        <v/>
      </c>
    </row>
    <row r="151">
      <c r="A151" s="15" t="n"/>
      <c r="B151" s="15" t="n"/>
      <c r="C151" s="15" t="n"/>
      <c r="D151" s="15" t="n"/>
      <c r="E151" s="16" t="n"/>
      <c r="F151" s="17" t="n"/>
      <c r="G151" s="17" t="n"/>
      <c r="H151" s="15" t="n"/>
      <c r="I151" s="18">
        <f>IF($A151="","",SUMIF(tblGunluk[VarlikId],$A151,tblGunluk[TahsilatTl_tl]))</f>
        <v/>
      </c>
      <c r="J151" s="18">
        <f>IF($A151="","",IFERROR(AVERAGEIF(tblGunluk[VarlikId],$A151,tblGunluk[FormulDoluluk_oran]),0))</f>
        <v/>
      </c>
      <c r="K151" s="18">
        <f>IF($A151="","",SUMIF(tblGunluk[VarlikId],$A151,tblGunluk[GiderTl_tl]))</f>
        <v/>
      </c>
      <c r="L151" s="18">
        <f>IF($A151="","",MAX(0,MIN(100,kpg_kaliteTaban-IF($J151&lt;kpg_esikDoluluk,kpg_kaliteCeza,0)-COUNTIFS(tblGunluk[VarlikId],$A151,tblGunluk[AlarmBayrak],"ALARM")*kpg_kaliteSapma-IF($H151="HAYIR",kpg_kaliteCeza,0))))</f>
        <v/>
      </c>
    </row>
    <row r="152">
      <c r="A152" s="15" t="n"/>
      <c r="B152" s="15" t="n"/>
      <c r="C152" s="15" t="n"/>
      <c r="D152" s="15" t="n"/>
      <c r="E152" s="16" t="n"/>
      <c r="F152" s="17" t="n"/>
      <c r="G152" s="17" t="n"/>
      <c r="H152" s="15" t="n"/>
      <c r="I152" s="18">
        <f>IF($A152="","",SUMIF(tblGunluk[VarlikId],$A152,tblGunluk[TahsilatTl_tl]))</f>
        <v/>
      </c>
      <c r="J152" s="18">
        <f>IF($A152="","",IFERROR(AVERAGEIF(tblGunluk[VarlikId],$A152,tblGunluk[FormulDoluluk_oran]),0))</f>
        <v/>
      </c>
      <c r="K152" s="18">
        <f>IF($A152="","",SUMIF(tblGunluk[VarlikId],$A152,tblGunluk[GiderTl_tl]))</f>
        <v/>
      </c>
      <c r="L152" s="18">
        <f>IF($A152="","",MAX(0,MIN(100,kpg_kaliteTaban-IF($J152&lt;kpg_esikDoluluk,kpg_kaliteCeza,0)-COUNTIFS(tblGunluk[VarlikId],$A152,tblGunluk[AlarmBayrak],"ALARM")*kpg_kaliteSapma-IF($H152="HAYIR",kpg_kaliteCeza,0))))</f>
        <v/>
      </c>
    </row>
    <row r="153">
      <c r="A153" s="15" t="n"/>
      <c r="B153" s="15" t="n"/>
      <c r="C153" s="15" t="n"/>
      <c r="D153" s="15" t="n"/>
      <c r="E153" s="16" t="n"/>
      <c r="F153" s="17" t="n"/>
      <c r="G153" s="17" t="n"/>
      <c r="H153" s="15" t="n"/>
      <c r="I153" s="18">
        <f>IF($A153="","",SUMIF(tblGunluk[VarlikId],$A153,tblGunluk[TahsilatTl_tl]))</f>
        <v/>
      </c>
      <c r="J153" s="18">
        <f>IF($A153="","",IFERROR(AVERAGEIF(tblGunluk[VarlikId],$A153,tblGunluk[FormulDoluluk_oran]),0))</f>
        <v/>
      </c>
      <c r="K153" s="18">
        <f>IF($A153="","",SUMIF(tblGunluk[VarlikId],$A153,tblGunluk[GiderTl_tl]))</f>
        <v/>
      </c>
      <c r="L153" s="18">
        <f>IF($A153="","",MAX(0,MIN(100,kpg_kaliteTaban-IF($J153&lt;kpg_esikDoluluk,kpg_kaliteCeza,0)-COUNTIFS(tblGunluk[VarlikId],$A153,tblGunluk[AlarmBayrak],"ALARM")*kpg_kaliteSapma-IF($H153="HAYIR",kpg_kaliteCeza,0))))</f>
        <v/>
      </c>
    </row>
    <row r="154">
      <c r="A154" s="15" t="n"/>
      <c r="B154" s="15" t="n"/>
      <c r="C154" s="15" t="n"/>
      <c r="D154" s="15" t="n"/>
      <c r="E154" s="16" t="n"/>
      <c r="F154" s="17" t="n"/>
      <c r="G154" s="17" t="n"/>
      <c r="H154" s="15" t="n"/>
      <c r="I154" s="18">
        <f>IF($A154="","",SUMIF(tblGunluk[VarlikId],$A154,tblGunluk[TahsilatTl_tl]))</f>
        <v/>
      </c>
      <c r="J154" s="18">
        <f>IF($A154="","",IFERROR(AVERAGEIF(tblGunluk[VarlikId],$A154,tblGunluk[FormulDoluluk_oran]),0))</f>
        <v/>
      </c>
      <c r="K154" s="18">
        <f>IF($A154="","",SUMIF(tblGunluk[VarlikId],$A154,tblGunluk[GiderTl_tl]))</f>
        <v/>
      </c>
      <c r="L154" s="18">
        <f>IF($A154="","",MAX(0,MIN(100,kpg_kaliteTaban-IF($J154&lt;kpg_esikDoluluk,kpg_kaliteCeza,0)-COUNTIFS(tblGunluk[VarlikId],$A154,tblGunluk[AlarmBayrak],"ALARM")*kpg_kaliteSapma-IF($H154="HAYIR",kpg_kaliteCeza,0))))</f>
        <v/>
      </c>
    </row>
    <row r="155">
      <c r="A155" s="15" t="n"/>
      <c r="B155" s="15" t="n"/>
      <c r="C155" s="15" t="n"/>
      <c r="D155" s="15" t="n"/>
      <c r="E155" s="16" t="n"/>
      <c r="F155" s="17" t="n"/>
      <c r="G155" s="17" t="n"/>
      <c r="H155" s="15" t="n"/>
      <c r="I155" s="18">
        <f>IF($A155="","",SUMIF(tblGunluk[VarlikId],$A155,tblGunluk[TahsilatTl_tl]))</f>
        <v/>
      </c>
      <c r="J155" s="18">
        <f>IF($A155="","",IFERROR(AVERAGEIF(tblGunluk[VarlikId],$A155,tblGunluk[FormulDoluluk_oran]),0))</f>
        <v/>
      </c>
      <c r="K155" s="18">
        <f>IF($A155="","",SUMIF(tblGunluk[VarlikId],$A155,tblGunluk[GiderTl_tl]))</f>
        <v/>
      </c>
      <c r="L155" s="18">
        <f>IF($A155="","",MAX(0,MIN(100,kpg_kaliteTaban-IF($J155&lt;kpg_esikDoluluk,kpg_kaliteCeza,0)-COUNTIFS(tblGunluk[VarlikId],$A155,tblGunluk[AlarmBayrak],"ALARM")*kpg_kaliteSapma-IF($H155="HAYIR",kpg_kaliteCeza,0))))</f>
        <v/>
      </c>
    </row>
    <row r="156">
      <c r="A156" s="15" t="n"/>
      <c r="B156" s="15" t="n"/>
      <c r="C156" s="15" t="n"/>
      <c r="D156" s="15" t="n"/>
      <c r="E156" s="16" t="n"/>
      <c r="F156" s="17" t="n"/>
      <c r="G156" s="17" t="n"/>
      <c r="H156" s="15" t="n"/>
      <c r="I156" s="18">
        <f>IF($A156="","",SUMIF(tblGunluk[VarlikId],$A156,tblGunluk[TahsilatTl_tl]))</f>
        <v/>
      </c>
      <c r="J156" s="18">
        <f>IF($A156="","",IFERROR(AVERAGEIF(tblGunluk[VarlikId],$A156,tblGunluk[FormulDoluluk_oran]),0))</f>
        <v/>
      </c>
      <c r="K156" s="18">
        <f>IF($A156="","",SUMIF(tblGunluk[VarlikId],$A156,tblGunluk[GiderTl_tl]))</f>
        <v/>
      </c>
      <c r="L156" s="18">
        <f>IF($A156="","",MAX(0,MIN(100,kpg_kaliteTaban-IF($J156&lt;kpg_esikDoluluk,kpg_kaliteCeza,0)-COUNTIFS(tblGunluk[VarlikId],$A156,tblGunluk[AlarmBayrak],"ALARM")*kpg_kaliteSapma-IF($H156="HAYIR",kpg_kaliteCeza,0))))</f>
        <v/>
      </c>
    </row>
    <row r="157">
      <c r="A157" s="15" t="n"/>
      <c r="B157" s="15" t="n"/>
      <c r="C157" s="15" t="n"/>
      <c r="D157" s="15" t="n"/>
      <c r="E157" s="16" t="n"/>
      <c r="F157" s="17" t="n"/>
      <c r="G157" s="17" t="n"/>
      <c r="H157" s="15" t="n"/>
      <c r="I157" s="18">
        <f>IF($A157="","",SUMIF(tblGunluk[VarlikId],$A157,tblGunluk[TahsilatTl_tl]))</f>
        <v/>
      </c>
      <c r="J157" s="18">
        <f>IF($A157="","",IFERROR(AVERAGEIF(tblGunluk[VarlikId],$A157,tblGunluk[FormulDoluluk_oran]),0))</f>
        <v/>
      </c>
      <c r="K157" s="18">
        <f>IF($A157="","",SUMIF(tblGunluk[VarlikId],$A157,tblGunluk[GiderTl_tl]))</f>
        <v/>
      </c>
      <c r="L157" s="18">
        <f>IF($A157="","",MAX(0,MIN(100,kpg_kaliteTaban-IF($J157&lt;kpg_esikDoluluk,kpg_kaliteCeza,0)-COUNTIFS(tblGunluk[VarlikId],$A157,tblGunluk[AlarmBayrak],"ALARM")*kpg_kaliteSapma-IF($H157="HAYIR",kpg_kaliteCeza,0))))</f>
        <v/>
      </c>
    </row>
    <row r="158">
      <c r="A158" s="15" t="n"/>
      <c r="B158" s="15" t="n"/>
      <c r="C158" s="15" t="n"/>
      <c r="D158" s="15" t="n"/>
      <c r="E158" s="16" t="n"/>
      <c r="F158" s="17" t="n"/>
      <c r="G158" s="17" t="n"/>
      <c r="H158" s="15" t="n"/>
      <c r="I158" s="18">
        <f>IF($A158="","",SUMIF(tblGunluk[VarlikId],$A158,tblGunluk[TahsilatTl_tl]))</f>
        <v/>
      </c>
      <c r="J158" s="18">
        <f>IF($A158="","",IFERROR(AVERAGEIF(tblGunluk[VarlikId],$A158,tblGunluk[FormulDoluluk_oran]),0))</f>
        <v/>
      </c>
      <c r="K158" s="18">
        <f>IF($A158="","",SUMIF(tblGunluk[VarlikId],$A158,tblGunluk[GiderTl_tl]))</f>
        <v/>
      </c>
      <c r="L158" s="18">
        <f>IF($A158="","",MAX(0,MIN(100,kpg_kaliteTaban-IF($J158&lt;kpg_esikDoluluk,kpg_kaliteCeza,0)-COUNTIFS(tblGunluk[VarlikId],$A158,tblGunluk[AlarmBayrak],"ALARM")*kpg_kaliteSapma-IF($H158="HAYIR",kpg_kaliteCeza,0))))</f>
        <v/>
      </c>
    </row>
    <row r="159">
      <c r="A159" s="15" t="n"/>
      <c r="B159" s="15" t="n"/>
      <c r="C159" s="15" t="n"/>
      <c r="D159" s="15" t="n"/>
      <c r="E159" s="16" t="n"/>
      <c r="F159" s="17" t="n"/>
      <c r="G159" s="17" t="n"/>
      <c r="H159" s="15" t="n"/>
      <c r="I159" s="18">
        <f>IF($A159="","",SUMIF(tblGunluk[VarlikId],$A159,tblGunluk[TahsilatTl_tl]))</f>
        <v/>
      </c>
      <c r="J159" s="18">
        <f>IF($A159="","",IFERROR(AVERAGEIF(tblGunluk[VarlikId],$A159,tblGunluk[FormulDoluluk_oran]),0))</f>
        <v/>
      </c>
      <c r="K159" s="18">
        <f>IF($A159="","",SUMIF(tblGunluk[VarlikId],$A159,tblGunluk[GiderTl_tl]))</f>
        <v/>
      </c>
      <c r="L159" s="18">
        <f>IF($A159="","",MAX(0,MIN(100,kpg_kaliteTaban-IF($J159&lt;kpg_esikDoluluk,kpg_kaliteCeza,0)-COUNTIFS(tblGunluk[VarlikId],$A159,tblGunluk[AlarmBayrak],"ALARM")*kpg_kaliteSapma-IF($H159="HAYIR",kpg_kaliteCeza,0))))</f>
        <v/>
      </c>
    </row>
    <row r="160">
      <c r="A160" s="15" t="n"/>
      <c r="B160" s="15" t="n"/>
      <c r="C160" s="15" t="n"/>
      <c r="D160" s="15" t="n"/>
      <c r="E160" s="16" t="n"/>
      <c r="F160" s="17" t="n"/>
      <c r="G160" s="17" t="n"/>
      <c r="H160" s="15" t="n"/>
      <c r="I160" s="18">
        <f>IF($A160="","",SUMIF(tblGunluk[VarlikId],$A160,tblGunluk[TahsilatTl_tl]))</f>
        <v/>
      </c>
      <c r="J160" s="18">
        <f>IF($A160="","",IFERROR(AVERAGEIF(tblGunluk[VarlikId],$A160,tblGunluk[FormulDoluluk_oran]),0))</f>
        <v/>
      </c>
      <c r="K160" s="18">
        <f>IF($A160="","",SUMIF(tblGunluk[VarlikId],$A160,tblGunluk[GiderTl_tl]))</f>
        <v/>
      </c>
      <c r="L160" s="18">
        <f>IF($A160="","",MAX(0,MIN(100,kpg_kaliteTaban-IF($J160&lt;kpg_esikDoluluk,kpg_kaliteCeza,0)-COUNTIFS(tblGunluk[VarlikId],$A160,tblGunluk[AlarmBayrak],"ALARM")*kpg_kaliteSapma-IF($H160="HAYIR",kpg_kaliteCeza,0))))</f>
        <v/>
      </c>
    </row>
    <row r="161">
      <c r="A161" s="15" t="n"/>
      <c r="B161" s="15" t="n"/>
      <c r="C161" s="15" t="n"/>
      <c r="D161" s="15" t="n"/>
      <c r="E161" s="16" t="n"/>
      <c r="F161" s="17" t="n"/>
      <c r="G161" s="17" t="n"/>
      <c r="H161" s="15" t="n"/>
      <c r="I161" s="18">
        <f>IF($A161="","",SUMIF(tblGunluk[VarlikId],$A161,tblGunluk[TahsilatTl_tl]))</f>
        <v/>
      </c>
      <c r="J161" s="18">
        <f>IF($A161="","",IFERROR(AVERAGEIF(tblGunluk[VarlikId],$A161,tblGunluk[FormulDoluluk_oran]),0))</f>
        <v/>
      </c>
      <c r="K161" s="18">
        <f>IF($A161="","",SUMIF(tblGunluk[VarlikId],$A161,tblGunluk[GiderTl_tl]))</f>
        <v/>
      </c>
      <c r="L161" s="18">
        <f>IF($A161="","",MAX(0,MIN(100,kpg_kaliteTaban-IF($J161&lt;kpg_esikDoluluk,kpg_kaliteCeza,0)-COUNTIFS(tblGunluk[VarlikId],$A161,tblGunluk[AlarmBayrak],"ALARM")*kpg_kaliteSapma-IF($H161="HAYIR",kpg_kaliteCeza,0))))</f>
        <v/>
      </c>
    </row>
    <row r="162">
      <c r="A162" s="15" t="n"/>
      <c r="B162" s="15" t="n"/>
      <c r="C162" s="15" t="n"/>
      <c r="D162" s="15" t="n"/>
      <c r="E162" s="16" t="n"/>
      <c r="F162" s="17" t="n"/>
      <c r="G162" s="17" t="n"/>
      <c r="H162" s="15" t="n"/>
      <c r="I162" s="18">
        <f>IF($A162="","",SUMIF(tblGunluk[VarlikId],$A162,tblGunluk[TahsilatTl_tl]))</f>
        <v/>
      </c>
      <c r="J162" s="18">
        <f>IF($A162="","",IFERROR(AVERAGEIF(tblGunluk[VarlikId],$A162,tblGunluk[FormulDoluluk_oran]),0))</f>
        <v/>
      </c>
      <c r="K162" s="18">
        <f>IF($A162="","",SUMIF(tblGunluk[VarlikId],$A162,tblGunluk[GiderTl_tl]))</f>
        <v/>
      </c>
      <c r="L162" s="18">
        <f>IF($A162="","",MAX(0,MIN(100,kpg_kaliteTaban-IF($J162&lt;kpg_esikDoluluk,kpg_kaliteCeza,0)-COUNTIFS(tblGunluk[VarlikId],$A162,tblGunluk[AlarmBayrak],"ALARM")*kpg_kaliteSapma-IF($H162="HAYIR",kpg_kaliteCeza,0))))</f>
        <v/>
      </c>
    </row>
    <row r="163">
      <c r="A163" s="15" t="n"/>
      <c r="B163" s="15" t="n"/>
      <c r="C163" s="15" t="n"/>
      <c r="D163" s="15" t="n"/>
      <c r="E163" s="16" t="n"/>
      <c r="F163" s="17" t="n"/>
      <c r="G163" s="17" t="n"/>
      <c r="H163" s="15" t="n"/>
      <c r="I163" s="18">
        <f>IF($A163="","",SUMIF(tblGunluk[VarlikId],$A163,tblGunluk[TahsilatTl_tl]))</f>
        <v/>
      </c>
      <c r="J163" s="18">
        <f>IF($A163="","",IFERROR(AVERAGEIF(tblGunluk[VarlikId],$A163,tblGunluk[FormulDoluluk_oran]),0))</f>
        <v/>
      </c>
      <c r="K163" s="18">
        <f>IF($A163="","",SUMIF(tblGunluk[VarlikId],$A163,tblGunluk[GiderTl_tl]))</f>
        <v/>
      </c>
      <c r="L163" s="18">
        <f>IF($A163="","",MAX(0,MIN(100,kpg_kaliteTaban-IF($J163&lt;kpg_esikDoluluk,kpg_kaliteCeza,0)-COUNTIFS(tblGunluk[VarlikId],$A163,tblGunluk[AlarmBayrak],"ALARM")*kpg_kaliteSapma-IF($H163="HAYIR",kpg_kaliteCeza,0))))</f>
        <v/>
      </c>
    </row>
    <row r="164">
      <c r="A164" s="15" t="n"/>
      <c r="B164" s="15" t="n"/>
      <c r="C164" s="15" t="n"/>
      <c r="D164" s="15" t="n"/>
      <c r="E164" s="16" t="n"/>
      <c r="F164" s="17" t="n"/>
      <c r="G164" s="17" t="n"/>
      <c r="H164" s="15" t="n"/>
      <c r="I164" s="18">
        <f>IF($A164="","",SUMIF(tblGunluk[VarlikId],$A164,tblGunluk[TahsilatTl_tl]))</f>
        <v/>
      </c>
      <c r="J164" s="18">
        <f>IF($A164="","",IFERROR(AVERAGEIF(tblGunluk[VarlikId],$A164,tblGunluk[FormulDoluluk_oran]),0))</f>
        <v/>
      </c>
      <c r="K164" s="18">
        <f>IF($A164="","",SUMIF(tblGunluk[VarlikId],$A164,tblGunluk[GiderTl_tl]))</f>
        <v/>
      </c>
      <c r="L164" s="18">
        <f>IF($A164="","",MAX(0,MIN(100,kpg_kaliteTaban-IF($J164&lt;kpg_esikDoluluk,kpg_kaliteCeza,0)-COUNTIFS(tblGunluk[VarlikId],$A164,tblGunluk[AlarmBayrak],"ALARM")*kpg_kaliteSapma-IF($H164="HAYIR",kpg_kaliteCeza,0))))</f>
        <v/>
      </c>
    </row>
    <row r="165">
      <c r="A165" s="15" t="n"/>
      <c r="B165" s="15" t="n"/>
      <c r="C165" s="15" t="n"/>
      <c r="D165" s="15" t="n"/>
      <c r="E165" s="16" t="n"/>
      <c r="F165" s="17" t="n"/>
      <c r="G165" s="17" t="n"/>
      <c r="H165" s="15" t="n"/>
      <c r="I165" s="18">
        <f>IF($A165="","",SUMIF(tblGunluk[VarlikId],$A165,tblGunluk[TahsilatTl_tl]))</f>
        <v/>
      </c>
      <c r="J165" s="18">
        <f>IF($A165="","",IFERROR(AVERAGEIF(tblGunluk[VarlikId],$A165,tblGunluk[FormulDoluluk_oran]),0))</f>
        <v/>
      </c>
      <c r="K165" s="18">
        <f>IF($A165="","",SUMIF(tblGunluk[VarlikId],$A165,tblGunluk[GiderTl_tl]))</f>
        <v/>
      </c>
      <c r="L165" s="18">
        <f>IF($A165="","",MAX(0,MIN(100,kpg_kaliteTaban-IF($J165&lt;kpg_esikDoluluk,kpg_kaliteCeza,0)-COUNTIFS(tblGunluk[VarlikId],$A165,tblGunluk[AlarmBayrak],"ALARM")*kpg_kaliteSapma-IF($H165="HAYIR",kpg_kaliteCeza,0))))</f>
        <v/>
      </c>
    </row>
    <row r="166">
      <c r="A166" s="15" t="n"/>
      <c r="B166" s="15" t="n"/>
      <c r="C166" s="15" t="n"/>
      <c r="D166" s="15" t="n"/>
      <c r="E166" s="16" t="n"/>
      <c r="F166" s="17" t="n"/>
      <c r="G166" s="17" t="n"/>
      <c r="H166" s="15" t="n"/>
      <c r="I166" s="18">
        <f>IF($A166="","",SUMIF(tblGunluk[VarlikId],$A166,tblGunluk[TahsilatTl_tl]))</f>
        <v/>
      </c>
      <c r="J166" s="18">
        <f>IF($A166="","",IFERROR(AVERAGEIF(tblGunluk[VarlikId],$A166,tblGunluk[FormulDoluluk_oran]),0))</f>
        <v/>
      </c>
      <c r="K166" s="18">
        <f>IF($A166="","",SUMIF(tblGunluk[VarlikId],$A166,tblGunluk[GiderTl_tl]))</f>
        <v/>
      </c>
      <c r="L166" s="18">
        <f>IF($A166="","",MAX(0,MIN(100,kpg_kaliteTaban-IF($J166&lt;kpg_esikDoluluk,kpg_kaliteCeza,0)-COUNTIFS(tblGunluk[VarlikId],$A166,tblGunluk[AlarmBayrak],"ALARM")*kpg_kaliteSapma-IF($H166="HAYIR",kpg_kaliteCeza,0))))</f>
        <v/>
      </c>
    </row>
    <row r="167">
      <c r="A167" s="15" t="n"/>
      <c r="B167" s="15" t="n"/>
      <c r="C167" s="15" t="n"/>
      <c r="D167" s="15" t="n"/>
      <c r="E167" s="16" t="n"/>
      <c r="F167" s="17" t="n"/>
      <c r="G167" s="17" t="n"/>
      <c r="H167" s="15" t="n"/>
      <c r="I167" s="18">
        <f>IF($A167="","",SUMIF(tblGunluk[VarlikId],$A167,tblGunluk[TahsilatTl_tl]))</f>
        <v/>
      </c>
      <c r="J167" s="18">
        <f>IF($A167="","",IFERROR(AVERAGEIF(tblGunluk[VarlikId],$A167,tblGunluk[FormulDoluluk_oran]),0))</f>
        <v/>
      </c>
      <c r="K167" s="18">
        <f>IF($A167="","",SUMIF(tblGunluk[VarlikId],$A167,tblGunluk[GiderTl_tl]))</f>
        <v/>
      </c>
      <c r="L167" s="18">
        <f>IF($A167="","",MAX(0,MIN(100,kpg_kaliteTaban-IF($J167&lt;kpg_esikDoluluk,kpg_kaliteCeza,0)-COUNTIFS(tblGunluk[VarlikId],$A167,tblGunluk[AlarmBayrak],"ALARM")*kpg_kaliteSapma-IF($H167="HAYIR",kpg_kaliteCeza,0))))</f>
        <v/>
      </c>
    </row>
    <row r="168">
      <c r="A168" s="15" t="n"/>
      <c r="B168" s="15" t="n"/>
      <c r="C168" s="15" t="n"/>
      <c r="D168" s="15" t="n"/>
      <c r="E168" s="16" t="n"/>
      <c r="F168" s="17" t="n"/>
      <c r="G168" s="17" t="n"/>
      <c r="H168" s="15" t="n"/>
      <c r="I168" s="18">
        <f>IF($A168="","",SUMIF(tblGunluk[VarlikId],$A168,tblGunluk[TahsilatTl_tl]))</f>
        <v/>
      </c>
      <c r="J168" s="18">
        <f>IF($A168="","",IFERROR(AVERAGEIF(tblGunluk[VarlikId],$A168,tblGunluk[FormulDoluluk_oran]),0))</f>
        <v/>
      </c>
      <c r="K168" s="18">
        <f>IF($A168="","",SUMIF(tblGunluk[VarlikId],$A168,tblGunluk[GiderTl_tl]))</f>
        <v/>
      </c>
      <c r="L168" s="18">
        <f>IF($A168="","",MAX(0,MIN(100,kpg_kaliteTaban-IF($J168&lt;kpg_esikDoluluk,kpg_kaliteCeza,0)-COUNTIFS(tblGunluk[VarlikId],$A168,tblGunluk[AlarmBayrak],"ALARM")*kpg_kaliteSapma-IF($H168="HAYIR",kpg_kaliteCeza,0))))</f>
        <v/>
      </c>
    </row>
    <row r="169">
      <c r="A169" s="15" t="n"/>
      <c r="B169" s="15" t="n"/>
      <c r="C169" s="15" t="n"/>
      <c r="D169" s="15" t="n"/>
      <c r="E169" s="16" t="n"/>
      <c r="F169" s="17" t="n"/>
      <c r="G169" s="17" t="n"/>
      <c r="H169" s="15" t="n"/>
      <c r="I169" s="18">
        <f>IF($A169="","",SUMIF(tblGunluk[VarlikId],$A169,tblGunluk[TahsilatTl_tl]))</f>
        <v/>
      </c>
      <c r="J169" s="18">
        <f>IF($A169="","",IFERROR(AVERAGEIF(tblGunluk[VarlikId],$A169,tblGunluk[FormulDoluluk_oran]),0))</f>
        <v/>
      </c>
      <c r="K169" s="18">
        <f>IF($A169="","",SUMIF(tblGunluk[VarlikId],$A169,tblGunluk[GiderTl_tl]))</f>
        <v/>
      </c>
      <c r="L169" s="18">
        <f>IF($A169="","",MAX(0,MIN(100,kpg_kaliteTaban-IF($J169&lt;kpg_esikDoluluk,kpg_kaliteCeza,0)-COUNTIFS(tblGunluk[VarlikId],$A169,tblGunluk[AlarmBayrak],"ALARM")*kpg_kaliteSapma-IF($H169="HAYIR",kpg_kaliteCeza,0))))</f>
        <v/>
      </c>
    </row>
    <row r="170">
      <c r="A170" s="15" t="n"/>
      <c r="B170" s="15" t="n"/>
      <c r="C170" s="15" t="n"/>
      <c r="D170" s="15" t="n"/>
      <c r="E170" s="16" t="n"/>
      <c r="F170" s="17" t="n"/>
      <c r="G170" s="17" t="n"/>
      <c r="H170" s="15" t="n"/>
      <c r="I170" s="18">
        <f>IF($A170="","",SUMIF(tblGunluk[VarlikId],$A170,tblGunluk[TahsilatTl_tl]))</f>
        <v/>
      </c>
      <c r="J170" s="18">
        <f>IF($A170="","",IFERROR(AVERAGEIF(tblGunluk[VarlikId],$A170,tblGunluk[FormulDoluluk_oran]),0))</f>
        <v/>
      </c>
      <c r="K170" s="18">
        <f>IF($A170="","",SUMIF(tblGunluk[VarlikId],$A170,tblGunluk[GiderTl_tl]))</f>
        <v/>
      </c>
      <c r="L170" s="18">
        <f>IF($A170="","",MAX(0,MIN(100,kpg_kaliteTaban-IF($J170&lt;kpg_esikDoluluk,kpg_kaliteCeza,0)-COUNTIFS(tblGunluk[VarlikId],$A170,tblGunluk[AlarmBayrak],"ALARM")*kpg_kaliteSapma-IF($H170="HAYIR",kpg_kaliteCeza,0))))</f>
        <v/>
      </c>
    </row>
    <row r="171">
      <c r="A171" s="15" t="n"/>
      <c r="B171" s="15" t="n"/>
      <c r="C171" s="15" t="n"/>
      <c r="D171" s="15" t="n"/>
      <c r="E171" s="16" t="n"/>
      <c r="F171" s="17" t="n"/>
      <c r="G171" s="17" t="n"/>
      <c r="H171" s="15" t="n"/>
      <c r="I171" s="18">
        <f>IF($A171="","",SUMIF(tblGunluk[VarlikId],$A171,tblGunluk[TahsilatTl_tl]))</f>
        <v/>
      </c>
      <c r="J171" s="18">
        <f>IF($A171="","",IFERROR(AVERAGEIF(tblGunluk[VarlikId],$A171,tblGunluk[FormulDoluluk_oran]),0))</f>
        <v/>
      </c>
      <c r="K171" s="18">
        <f>IF($A171="","",SUMIF(tblGunluk[VarlikId],$A171,tblGunluk[GiderTl_tl]))</f>
        <v/>
      </c>
      <c r="L171" s="18">
        <f>IF($A171="","",MAX(0,MIN(100,kpg_kaliteTaban-IF($J171&lt;kpg_esikDoluluk,kpg_kaliteCeza,0)-COUNTIFS(tblGunluk[VarlikId],$A171,tblGunluk[AlarmBayrak],"ALARM")*kpg_kaliteSapma-IF($H171="HAYIR",kpg_kaliteCeza,0))))</f>
        <v/>
      </c>
    </row>
    <row r="172">
      <c r="A172" s="15" t="n"/>
      <c r="B172" s="15" t="n"/>
      <c r="C172" s="15" t="n"/>
      <c r="D172" s="15" t="n"/>
      <c r="E172" s="16" t="n"/>
      <c r="F172" s="17" t="n"/>
      <c r="G172" s="17" t="n"/>
      <c r="H172" s="15" t="n"/>
      <c r="I172" s="18">
        <f>IF($A172="","",SUMIF(tblGunluk[VarlikId],$A172,tblGunluk[TahsilatTl_tl]))</f>
        <v/>
      </c>
      <c r="J172" s="18">
        <f>IF($A172="","",IFERROR(AVERAGEIF(tblGunluk[VarlikId],$A172,tblGunluk[FormulDoluluk_oran]),0))</f>
        <v/>
      </c>
      <c r="K172" s="18">
        <f>IF($A172="","",SUMIF(tblGunluk[VarlikId],$A172,tblGunluk[GiderTl_tl]))</f>
        <v/>
      </c>
      <c r="L172" s="18">
        <f>IF($A172="","",MAX(0,MIN(100,kpg_kaliteTaban-IF($J172&lt;kpg_esikDoluluk,kpg_kaliteCeza,0)-COUNTIFS(tblGunluk[VarlikId],$A172,tblGunluk[AlarmBayrak],"ALARM")*kpg_kaliteSapma-IF($H172="HAYIR",kpg_kaliteCeza,0))))</f>
        <v/>
      </c>
    </row>
    <row r="173">
      <c r="A173" s="15" t="n"/>
      <c r="B173" s="15" t="n"/>
      <c r="C173" s="15" t="n"/>
      <c r="D173" s="15" t="n"/>
      <c r="E173" s="16" t="n"/>
      <c r="F173" s="17" t="n"/>
      <c r="G173" s="17" t="n"/>
      <c r="H173" s="15" t="n"/>
      <c r="I173" s="18">
        <f>IF($A173="","",SUMIF(tblGunluk[VarlikId],$A173,tblGunluk[TahsilatTl_tl]))</f>
        <v/>
      </c>
      <c r="J173" s="18">
        <f>IF($A173="","",IFERROR(AVERAGEIF(tblGunluk[VarlikId],$A173,tblGunluk[FormulDoluluk_oran]),0))</f>
        <v/>
      </c>
      <c r="K173" s="18">
        <f>IF($A173="","",SUMIF(tblGunluk[VarlikId],$A173,tblGunluk[GiderTl_tl]))</f>
        <v/>
      </c>
      <c r="L173" s="18">
        <f>IF($A173="","",MAX(0,MIN(100,kpg_kaliteTaban-IF($J173&lt;kpg_esikDoluluk,kpg_kaliteCeza,0)-COUNTIFS(tblGunluk[VarlikId],$A173,tblGunluk[AlarmBayrak],"ALARM")*kpg_kaliteSapma-IF($H173="HAYIR",kpg_kaliteCeza,0))))</f>
        <v/>
      </c>
    </row>
    <row r="174">
      <c r="A174" s="15" t="n"/>
      <c r="B174" s="15" t="n"/>
      <c r="C174" s="15" t="n"/>
      <c r="D174" s="15" t="n"/>
      <c r="E174" s="16" t="n"/>
      <c r="F174" s="17" t="n"/>
      <c r="G174" s="17" t="n"/>
      <c r="H174" s="15" t="n"/>
      <c r="I174" s="18">
        <f>IF($A174="","",SUMIF(tblGunluk[VarlikId],$A174,tblGunluk[TahsilatTl_tl]))</f>
        <v/>
      </c>
      <c r="J174" s="18">
        <f>IF($A174="","",IFERROR(AVERAGEIF(tblGunluk[VarlikId],$A174,tblGunluk[FormulDoluluk_oran]),0))</f>
        <v/>
      </c>
      <c r="K174" s="18">
        <f>IF($A174="","",SUMIF(tblGunluk[VarlikId],$A174,tblGunluk[GiderTl_tl]))</f>
        <v/>
      </c>
      <c r="L174" s="18">
        <f>IF($A174="","",MAX(0,MIN(100,kpg_kaliteTaban-IF($J174&lt;kpg_esikDoluluk,kpg_kaliteCeza,0)-COUNTIFS(tblGunluk[VarlikId],$A174,tblGunluk[AlarmBayrak],"ALARM")*kpg_kaliteSapma-IF($H174="HAYIR",kpg_kaliteCeza,0))))</f>
        <v/>
      </c>
    </row>
    <row r="175">
      <c r="A175" s="15" t="n"/>
      <c r="B175" s="15" t="n"/>
      <c r="C175" s="15" t="n"/>
      <c r="D175" s="15" t="n"/>
      <c r="E175" s="16" t="n"/>
      <c r="F175" s="17" t="n"/>
      <c r="G175" s="17" t="n"/>
      <c r="H175" s="15" t="n"/>
      <c r="I175" s="18">
        <f>IF($A175="","",SUMIF(tblGunluk[VarlikId],$A175,tblGunluk[TahsilatTl_tl]))</f>
        <v/>
      </c>
      <c r="J175" s="18">
        <f>IF($A175="","",IFERROR(AVERAGEIF(tblGunluk[VarlikId],$A175,tblGunluk[FormulDoluluk_oran]),0))</f>
        <v/>
      </c>
      <c r="K175" s="18">
        <f>IF($A175="","",SUMIF(tblGunluk[VarlikId],$A175,tblGunluk[GiderTl_tl]))</f>
        <v/>
      </c>
      <c r="L175" s="18">
        <f>IF($A175="","",MAX(0,MIN(100,kpg_kaliteTaban-IF($J175&lt;kpg_esikDoluluk,kpg_kaliteCeza,0)-COUNTIFS(tblGunluk[VarlikId],$A175,tblGunluk[AlarmBayrak],"ALARM")*kpg_kaliteSapma-IF($H175="HAYIR",kpg_kaliteCeza,0))))</f>
        <v/>
      </c>
    </row>
    <row r="176">
      <c r="A176" s="15" t="n"/>
      <c r="B176" s="15" t="n"/>
      <c r="C176" s="15" t="n"/>
      <c r="D176" s="15" t="n"/>
      <c r="E176" s="16" t="n"/>
      <c r="F176" s="17" t="n"/>
      <c r="G176" s="17" t="n"/>
      <c r="H176" s="15" t="n"/>
      <c r="I176" s="18">
        <f>IF($A176="","",SUMIF(tblGunluk[VarlikId],$A176,tblGunluk[TahsilatTl_tl]))</f>
        <v/>
      </c>
      <c r="J176" s="18">
        <f>IF($A176="","",IFERROR(AVERAGEIF(tblGunluk[VarlikId],$A176,tblGunluk[FormulDoluluk_oran]),0))</f>
        <v/>
      </c>
      <c r="K176" s="18">
        <f>IF($A176="","",SUMIF(tblGunluk[VarlikId],$A176,tblGunluk[GiderTl_tl]))</f>
        <v/>
      </c>
      <c r="L176" s="18">
        <f>IF($A176="","",MAX(0,MIN(100,kpg_kaliteTaban-IF($J176&lt;kpg_esikDoluluk,kpg_kaliteCeza,0)-COUNTIFS(tblGunluk[VarlikId],$A176,tblGunluk[AlarmBayrak],"ALARM")*kpg_kaliteSapma-IF($H176="HAYIR",kpg_kaliteCeza,0))))</f>
        <v/>
      </c>
    </row>
    <row r="177">
      <c r="A177" s="15" t="n"/>
      <c r="B177" s="15" t="n"/>
      <c r="C177" s="15" t="n"/>
      <c r="D177" s="15" t="n"/>
      <c r="E177" s="16" t="n"/>
      <c r="F177" s="17" t="n"/>
      <c r="G177" s="17" t="n"/>
      <c r="H177" s="15" t="n"/>
      <c r="I177" s="18">
        <f>IF($A177="","",SUMIF(tblGunluk[VarlikId],$A177,tblGunluk[TahsilatTl_tl]))</f>
        <v/>
      </c>
      <c r="J177" s="18">
        <f>IF($A177="","",IFERROR(AVERAGEIF(tblGunluk[VarlikId],$A177,tblGunluk[FormulDoluluk_oran]),0))</f>
        <v/>
      </c>
      <c r="K177" s="18">
        <f>IF($A177="","",SUMIF(tblGunluk[VarlikId],$A177,tblGunluk[GiderTl_tl]))</f>
        <v/>
      </c>
      <c r="L177" s="18">
        <f>IF($A177="","",MAX(0,MIN(100,kpg_kaliteTaban-IF($J177&lt;kpg_esikDoluluk,kpg_kaliteCeza,0)-COUNTIFS(tblGunluk[VarlikId],$A177,tblGunluk[AlarmBayrak],"ALARM")*kpg_kaliteSapma-IF($H177="HAYIR",kpg_kaliteCeza,0))))</f>
        <v/>
      </c>
    </row>
    <row r="178">
      <c r="A178" s="15" t="n"/>
      <c r="B178" s="15" t="n"/>
      <c r="C178" s="15" t="n"/>
      <c r="D178" s="15" t="n"/>
      <c r="E178" s="16" t="n"/>
      <c r="F178" s="17" t="n"/>
      <c r="G178" s="17" t="n"/>
      <c r="H178" s="15" t="n"/>
      <c r="I178" s="18">
        <f>IF($A178="","",SUMIF(tblGunluk[VarlikId],$A178,tblGunluk[TahsilatTl_tl]))</f>
        <v/>
      </c>
      <c r="J178" s="18">
        <f>IF($A178="","",IFERROR(AVERAGEIF(tblGunluk[VarlikId],$A178,tblGunluk[FormulDoluluk_oran]),0))</f>
        <v/>
      </c>
      <c r="K178" s="18">
        <f>IF($A178="","",SUMIF(tblGunluk[VarlikId],$A178,tblGunluk[GiderTl_tl]))</f>
        <v/>
      </c>
      <c r="L178" s="18">
        <f>IF($A178="","",MAX(0,MIN(100,kpg_kaliteTaban-IF($J178&lt;kpg_esikDoluluk,kpg_kaliteCeza,0)-COUNTIFS(tblGunluk[VarlikId],$A178,tblGunluk[AlarmBayrak],"ALARM")*kpg_kaliteSapma-IF($H178="HAYIR",kpg_kaliteCeza,0))))</f>
        <v/>
      </c>
    </row>
    <row r="179">
      <c r="A179" s="15" t="n"/>
      <c r="B179" s="15" t="n"/>
      <c r="C179" s="15" t="n"/>
      <c r="D179" s="15" t="n"/>
      <c r="E179" s="16" t="n"/>
      <c r="F179" s="17" t="n"/>
      <c r="G179" s="17" t="n"/>
      <c r="H179" s="15" t="n"/>
      <c r="I179" s="18">
        <f>IF($A179="","",SUMIF(tblGunluk[VarlikId],$A179,tblGunluk[TahsilatTl_tl]))</f>
        <v/>
      </c>
      <c r="J179" s="18">
        <f>IF($A179="","",IFERROR(AVERAGEIF(tblGunluk[VarlikId],$A179,tblGunluk[FormulDoluluk_oran]),0))</f>
        <v/>
      </c>
      <c r="K179" s="18">
        <f>IF($A179="","",SUMIF(tblGunluk[VarlikId],$A179,tblGunluk[GiderTl_tl]))</f>
        <v/>
      </c>
      <c r="L179" s="18">
        <f>IF($A179="","",MAX(0,MIN(100,kpg_kaliteTaban-IF($J179&lt;kpg_esikDoluluk,kpg_kaliteCeza,0)-COUNTIFS(tblGunluk[VarlikId],$A179,tblGunluk[AlarmBayrak],"ALARM")*kpg_kaliteSapma-IF($H179="HAYIR",kpg_kaliteCeza,0))))</f>
        <v/>
      </c>
    </row>
    <row r="180">
      <c r="A180" s="15" t="n"/>
      <c r="B180" s="15" t="n"/>
      <c r="C180" s="15" t="n"/>
      <c r="D180" s="15" t="n"/>
      <c r="E180" s="16" t="n"/>
      <c r="F180" s="17" t="n"/>
      <c r="G180" s="17" t="n"/>
      <c r="H180" s="15" t="n"/>
      <c r="I180" s="18">
        <f>IF($A180="","",SUMIF(tblGunluk[VarlikId],$A180,tblGunluk[TahsilatTl_tl]))</f>
        <v/>
      </c>
      <c r="J180" s="18">
        <f>IF($A180="","",IFERROR(AVERAGEIF(tblGunluk[VarlikId],$A180,tblGunluk[FormulDoluluk_oran]),0))</f>
        <v/>
      </c>
      <c r="K180" s="18">
        <f>IF($A180="","",SUMIF(tblGunluk[VarlikId],$A180,tblGunluk[GiderTl_tl]))</f>
        <v/>
      </c>
      <c r="L180" s="18">
        <f>IF($A180="","",MAX(0,MIN(100,kpg_kaliteTaban-IF($J180&lt;kpg_esikDoluluk,kpg_kaliteCeza,0)-COUNTIFS(tblGunluk[VarlikId],$A180,tblGunluk[AlarmBayrak],"ALARM")*kpg_kaliteSapma-IF($H180="HAYIR",kpg_kaliteCeza,0))))</f>
        <v/>
      </c>
    </row>
    <row r="181">
      <c r="A181" s="15" t="n"/>
      <c r="B181" s="15" t="n"/>
      <c r="C181" s="15" t="n"/>
      <c r="D181" s="15" t="n"/>
      <c r="E181" s="16" t="n"/>
      <c r="F181" s="17" t="n"/>
      <c r="G181" s="17" t="n"/>
      <c r="H181" s="15" t="n"/>
      <c r="I181" s="18">
        <f>IF($A181="","",SUMIF(tblGunluk[VarlikId],$A181,tblGunluk[TahsilatTl_tl]))</f>
        <v/>
      </c>
      <c r="J181" s="18">
        <f>IF($A181="","",IFERROR(AVERAGEIF(tblGunluk[VarlikId],$A181,tblGunluk[FormulDoluluk_oran]),0))</f>
        <v/>
      </c>
      <c r="K181" s="18">
        <f>IF($A181="","",SUMIF(tblGunluk[VarlikId],$A181,tblGunluk[GiderTl_tl]))</f>
        <v/>
      </c>
      <c r="L181" s="18">
        <f>IF($A181="","",MAX(0,MIN(100,kpg_kaliteTaban-IF($J181&lt;kpg_esikDoluluk,kpg_kaliteCeza,0)-COUNTIFS(tblGunluk[VarlikId],$A181,tblGunluk[AlarmBayrak],"ALARM")*kpg_kaliteSapma-IF($H181="HAYIR",kpg_kaliteCeza,0))))</f>
        <v/>
      </c>
    </row>
    <row r="182">
      <c r="A182" s="15" t="n"/>
      <c r="B182" s="15" t="n"/>
      <c r="C182" s="15" t="n"/>
      <c r="D182" s="15" t="n"/>
      <c r="E182" s="16" t="n"/>
      <c r="F182" s="17" t="n"/>
      <c r="G182" s="17" t="n"/>
      <c r="H182" s="15" t="n"/>
      <c r="I182" s="18">
        <f>IF($A182="","",SUMIF(tblGunluk[VarlikId],$A182,tblGunluk[TahsilatTl_tl]))</f>
        <v/>
      </c>
      <c r="J182" s="18">
        <f>IF($A182="","",IFERROR(AVERAGEIF(tblGunluk[VarlikId],$A182,tblGunluk[FormulDoluluk_oran]),0))</f>
        <v/>
      </c>
      <c r="K182" s="18">
        <f>IF($A182="","",SUMIF(tblGunluk[VarlikId],$A182,tblGunluk[GiderTl_tl]))</f>
        <v/>
      </c>
      <c r="L182" s="18">
        <f>IF($A182="","",MAX(0,MIN(100,kpg_kaliteTaban-IF($J182&lt;kpg_esikDoluluk,kpg_kaliteCeza,0)-COUNTIFS(tblGunluk[VarlikId],$A182,tblGunluk[AlarmBayrak],"ALARM")*kpg_kaliteSapma-IF($H182="HAYIR",kpg_kaliteCeza,0))))</f>
        <v/>
      </c>
    </row>
    <row r="183">
      <c r="A183" s="15" t="n"/>
      <c r="B183" s="15" t="n"/>
      <c r="C183" s="15" t="n"/>
      <c r="D183" s="15" t="n"/>
      <c r="E183" s="16" t="n"/>
      <c r="F183" s="17" t="n"/>
      <c r="G183" s="17" t="n"/>
      <c r="H183" s="15" t="n"/>
      <c r="I183" s="18">
        <f>IF($A183="","",SUMIF(tblGunluk[VarlikId],$A183,tblGunluk[TahsilatTl_tl]))</f>
        <v/>
      </c>
      <c r="J183" s="18">
        <f>IF($A183="","",IFERROR(AVERAGEIF(tblGunluk[VarlikId],$A183,tblGunluk[FormulDoluluk_oran]),0))</f>
        <v/>
      </c>
      <c r="K183" s="18">
        <f>IF($A183="","",SUMIF(tblGunluk[VarlikId],$A183,tblGunluk[GiderTl_tl]))</f>
        <v/>
      </c>
      <c r="L183" s="18">
        <f>IF($A183="","",MAX(0,MIN(100,kpg_kaliteTaban-IF($J183&lt;kpg_esikDoluluk,kpg_kaliteCeza,0)-COUNTIFS(tblGunluk[VarlikId],$A183,tblGunluk[AlarmBayrak],"ALARM")*kpg_kaliteSapma-IF($H183="HAYIR",kpg_kaliteCeza,0))))</f>
        <v/>
      </c>
    </row>
    <row r="184">
      <c r="A184" s="15" t="n"/>
      <c r="B184" s="15" t="n"/>
      <c r="C184" s="15" t="n"/>
      <c r="D184" s="15" t="n"/>
      <c r="E184" s="16" t="n"/>
      <c r="F184" s="17" t="n"/>
      <c r="G184" s="17" t="n"/>
      <c r="H184" s="15" t="n"/>
      <c r="I184" s="18">
        <f>IF($A184="","",SUMIF(tblGunluk[VarlikId],$A184,tblGunluk[TahsilatTl_tl]))</f>
        <v/>
      </c>
      <c r="J184" s="18">
        <f>IF($A184="","",IFERROR(AVERAGEIF(tblGunluk[VarlikId],$A184,tblGunluk[FormulDoluluk_oran]),0))</f>
        <v/>
      </c>
      <c r="K184" s="18">
        <f>IF($A184="","",SUMIF(tblGunluk[VarlikId],$A184,tblGunluk[GiderTl_tl]))</f>
        <v/>
      </c>
      <c r="L184" s="18">
        <f>IF($A184="","",MAX(0,MIN(100,kpg_kaliteTaban-IF($J184&lt;kpg_esikDoluluk,kpg_kaliteCeza,0)-COUNTIFS(tblGunluk[VarlikId],$A184,tblGunluk[AlarmBayrak],"ALARM")*kpg_kaliteSapma-IF($H184="HAYIR",kpg_kaliteCeza,0))))</f>
        <v/>
      </c>
    </row>
    <row r="185">
      <c r="A185" s="15" t="n"/>
      <c r="B185" s="15" t="n"/>
      <c r="C185" s="15" t="n"/>
      <c r="D185" s="15" t="n"/>
      <c r="E185" s="16" t="n"/>
      <c r="F185" s="17" t="n"/>
      <c r="G185" s="17" t="n"/>
      <c r="H185" s="15" t="n"/>
      <c r="I185" s="18">
        <f>IF($A185="","",SUMIF(tblGunluk[VarlikId],$A185,tblGunluk[TahsilatTl_tl]))</f>
        <v/>
      </c>
      <c r="J185" s="18">
        <f>IF($A185="","",IFERROR(AVERAGEIF(tblGunluk[VarlikId],$A185,tblGunluk[FormulDoluluk_oran]),0))</f>
        <v/>
      </c>
      <c r="K185" s="18">
        <f>IF($A185="","",SUMIF(tblGunluk[VarlikId],$A185,tblGunluk[GiderTl_tl]))</f>
        <v/>
      </c>
      <c r="L185" s="18">
        <f>IF($A185="","",MAX(0,MIN(100,kpg_kaliteTaban-IF($J185&lt;kpg_esikDoluluk,kpg_kaliteCeza,0)-COUNTIFS(tblGunluk[VarlikId],$A185,tblGunluk[AlarmBayrak],"ALARM")*kpg_kaliteSapma-IF($H185="HAYIR",kpg_kaliteCeza,0))))</f>
        <v/>
      </c>
    </row>
    <row r="186">
      <c r="A186" s="15" t="n"/>
      <c r="B186" s="15" t="n"/>
      <c r="C186" s="15" t="n"/>
      <c r="D186" s="15" t="n"/>
      <c r="E186" s="16" t="n"/>
      <c r="F186" s="17" t="n"/>
      <c r="G186" s="17" t="n"/>
      <c r="H186" s="15" t="n"/>
      <c r="I186" s="18">
        <f>IF($A186="","",SUMIF(tblGunluk[VarlikId],$A186,tblGunluk[TahsilatTl_tl]))</f>
        <v/>
      </c>
      <c r="J186" s="18">
        <f>IF($A186="","",IFERROR(AVERAGEIF(tblGunluk[VarlikId],$A186,tblGunluk[FormulDoluluk_oran]),0))</f>
        <v/>
      </c>
      <c r="K186" s="18">
        <f>IF($A186="","",SUMIF(tblGunluk[VarlikId],$A186,tblGunluk[GiderTl_tl]))</f>
        <v/>
      </c>
      <c r="L186" s="18">
        <f>IF($A186="","",MAX(0,MIN(100,kpg_kaliteTaban-IF($J186&lt;kpg_esikDoluluk,kpg_kaliteCeza,0)-COUNTIFS(tblGunluk[VarlikId],$A186,tblGunluk[AlarmBayrak],"ALARM")*kpg_kaliteSapma-IF($H186="HAYIR",kpg_kaliteCeza,0))))</f>
        <v/>
      </c>
    </row>
    <row r="187">
      <c r="A187" s="15" t="n"/>
      <c r="B187" s="15" t="n"/>
      <c r="C187" s="15" t="n"/>
      <c r="D187" s="15" t="n"/>
      <c r="E187" s="16" t="n"/>
      <c r="F187" s="17" t="n"/>
      <c r="G187" s="17" t="n"/>
      <c r="H187" s="15" t="n"/>
      <c r="I187" s="18">
        <f>IF($A187="","",SUMIF(tblGunluk[VarlikId],$A187,tblGunluk[TahsilatTl_tl]))</f>
        <v/>
      </c>
      <c r="J187" s="18">
        <f>IF($A187="","",IFERROR(AVERAGEIF(tblGunluk[VarlikId],$A187,tblGunluk[FormulDoluluk_oran]),0))</f>
        <v/>
      </c>
      <c r="K187" s="18">
        <f>IF($A187="","",SUMIF(tblGunluk[VarlikId],$A187,tblGunluk[GiderTl_tl]))</f>
        <v/>
      </c>
      <c r="L187" s="18">
        <f>IF($A187="","",MAX(0,MIN(100,kpg_kaliteTaban-IF($J187&lt;kpg_esikDoluluk,kpg_kaliteCeza,0)-COUNTIFS(tblGunluk[VarlikId],$A187,tblGunluk[AlarmBayrak],"ALARM")*kpg_kaliteSapma-IF($H187="HAYIR",kpg_kaliteCeza,0))))</f>
        <v/>
      </c>
    </row>
    <row r="188">
      <c r="A188" s="15" t="n"/>
      <c r="B188" s="15" t="n"/>
      <c r="C188" s="15" t="n"/>
      <c r="D188" s="15" t="n"/>
      <c r="E188" s="16" t="n"/>
      <c r="F188" s="17" t="n"/>
      <c r="G188" s="17" t="n"/>
      <c r="H188" s="15" t="n"/>
      <c r="I188" s="18">
        <f>IF($A188="","",SUMIF(tblGunluk[VarlikId],$A188,tblGunluk[TahsilatTl_tl]))</f>
        <v/>
      </c>
      <c r="J188" s="18">
        <f>IF($A188="","",IFERROR(AVERAGEIF(tblGunluk[VarlikId],$A188,tblGunluk[FormulDoluluk_oran]),0))</f>
        <v/>
      </c>
      <c r="K188" s="18">
        <f>IF($A188="","",SUMIF(tblGunluk[VarlikId],$A188,tblGunluk[GiderTl_tl]))</f>
        <v/>
      </c>
      <c r="L188" s="18">
        <f>IF($A188="","",MAX(0,MIN(100,kpg_kaliteTaban-IF($J188&lt;kpg_esikDoluluk,kpg_kaliteCeza,0)-COUNTIFS(tblGunluk[VarlikId],$A188,tblGunluk[AlarmBayrak],"ALARM")*kpg_kaliteSapma-IF($H188="HAYIR",kpg_kaliteCeza,0))))</f>
        <v/>
      </c>
    </row>
    <row r="189">
      <c r="A189" s="15" t="n"/>
      <c r="B189" s="15" t="n"/>
      <c r="C189" s="15" t="n"/>
      <c r="D189" s="15" t="n"/>
      <c r="E189" s="16" t="n"/>
      <c r="F189" s="17" t="n"/>
      <c r="G189" s="17" t="n"/>
      <c r="H189" s="15" t="n"/>
      <c r="I189" s="18">
        <f>IF($A189="","",SUMIF(tblGunluk[VarlikId],$A189,tblGunluk[TahsilatTl_tl]))</f>
        <v/>
      </c>
      <c r="J189" s="18">
        <f>IF($A189="","",IFERROR(AVERAGEIF(tblGunluk[VarlikId],$A189,tblGunluk[FormulDoluluk_oran]),0))</f>
        <v/>
      </c>
      <c r="K189" s="18">
        <f>IF($A189="","",SUMIF(tblGunluk[VarlikId],$A189,tblGunluk[GiderTl_tl]))</f>
        <v/>
      </c>
      <c r="L189" s="18">
        <f>IF($A189="","",MAX(0,MIN(100,kpg_kaliteTaban-IF($J189&lt;kpg_esikDoluluk,kpg_kaliteCeza,0)-COUNTIFS(tblGunluk[VarlikId],$A189,tblGunluk[AlarmBayrak],"ALARM")*kpg_kaliteSapma-IF($H189="HAYIR",kpg_kaliteCeza,0))))</f>
        <v/>
      </c>
    </row>
    <row r="190">
      <c r="A190" s="15" t="n"/>
      <c r="B190" s="15" t="n"/>
      <c r="C190" s="15" t="n"/>
      <c r="D190" s="15" t="n"/>
      <c r="E190" s="16" t="n"/>
      <c r="F190" s="17" t="n"/>
      <c r="G190" s="17" t="n"/>
      <c r="H190" s="15" t="n"/>
      <c r="I190" s="18">
        <f>IF($A190="","",SUMIF(tblGunluk[VarlikId],$A190,tblGunluk[TahsilatTl_tl]))</f>
        <v/>
      </c>
      <c r="J190" s="18">
        <f>IF($A190="","",IFERROR(AVERAGEIF(tblGunluk[VarlikId],$A190,tblGunluk[FormulDoluluk_oran]),0))</f>
        <v/>
      </c>
      <c r="K190" s="18">
        <f>IF($A190="","",SUMIF(tblGunluk[VarlikId],$A190,tblGunluk[GiderTl_tl]))</f>
        <v/>
      </c>
      <c r="L190" s="18">
        <f>IF($A190="","",MAX(0,MIN(100,kpg_kaliteTaban-IF($J190&lt;kpg_esikDoluluk,kpg_kaliteCeza,0)-COUNTIFS(tblGunluk[VarlikId],$A190,tblGunluk[AlarmBayrak],"ALARM")*kpg_kaliteSapma-IF($H190="HAYIR",kpg_kaliteCeza,0))))</f>
        <v/>
      </c>
    </row>
    <row r="191">
      <c r="A191" s="15" t="n"/>
      <c r="B191" s="15" t="n"/>
      <c r="C191" s="15" t="n"/>
      <c r="D191" s="15" t="n"/>
      <c r="E191" s="16" t="n"/>
      <c r="F191" s="17" t="n"/>
      <c r="G191" s="17" t="n"/>
      <c r="H191" s="15" t="n"/>
      <c r="I191" s="18">
        <f>IF($A191="","",SUMIF(tblGunluk[VarlikId],$A191,tblGunluk[TahsilatTl_tl]))</f>
        <v/>
      </c>
      <c r="J191" s="18">
        <f>IF($A191="","",IFERROR(AVERAGEIF(tblGunluk[VarlikId],$A191,tblGunluk[FormulDoluluk_oran]),0))</f>
        <v/>
      </c>
      <c r="K191" s="18">
        <f>IF($A191="","",SUMIF(tblGunluk[VarlikId],$A191,tblGunluk[GiderTl_tl]))</f>
        <v/>
      </c>
      <c r="L191" s="18">
        <f>IF($A191="","",MAX(0,MIN(100,kpg_kaliteTaban-IF($J191&lt;kpg_esikDoluluk,kpg_kaliteCeza,0)-COUNTIFS(tblGunluk[VarlikId],$A191,tblGunluk[AlarmBayrak],"ALARM")*kpg_kaliteSapma-IF($H191="HAYIR",kpg_kaliteCeza,0))))</f>
        <v/>
      </c>
    </row>
    <row r="192">
      <c r="A192" s="15" t="n"/>
      <c r="B192" s="15" t="n"/>
      <c r="C192" s="15" t="n"/>
      <c r="D192" s="15" t="n"/>
      <c r="E192" s="16" t="n"/>
      <c r="F192" s="17" t="n"/>
      <c r="G192" s="17" t="n"/>
      <c r="H192" s="15" t="n"/>
      <c r="I192" s="18">
        <f>IF($A192="","",SUMIF(tblGunluk[VarlikId],$A192,tblGunluk[TahsilatTl_tl]))</f>
        <v/>
      </c>
      <c r="J192" s="18">
        <f>IF($A192="","",IFERROR(AVERAGEIF(tblGunluk[VarlikId],$A192,tblGunluk[FormulDoluluk_oran]),0))</f>
        <v/>
      </c>
      <c r="K192" s="18">
        <f>IF($A192="","",SUMIF(tblGunluk[VarlikId],$A192,tblGunluk[GiderTl_tl]))</f>
        <v/>
      </c>
      <c r="L192" s="18">
        <f>IF($A192="","",MAX(0,MIN(100,kpg_kaliteTaban-IF($J192&lt;kpg_esikDoluluk,kpg_kaliteCeza,0)-COUNTIFS(tblGunluk[VarlikId],$A192,tblGunluk[AlarmBayrak],"ALARM")*kpg_kaliteSapma-IF($H192="HAYIR",kpg_kaliteCeza,0))))</f>
        <v/>
      </c>
    </row>
    <row r="193">
      <c r="A193" s="15" t="n"/>
      <c r="B193" s="15" t="n"/>
      <c r="C193" s="15" t="n"/>
      <c r="D193" s="15" t="n"/>
      <c r="E193" s="16" t="n"/>
      <c r="F193" s="17" t="n"/>
      <c r="G193" s="17" t="n"/>
      <c r="H193" s="15" t="n"/>
      <c r="I193" s="18">
        <f>IF($A193="","",SUMIF(tblGunluk[VarlikId],$A193,tblGunluk[TahsilatTl_tl]))</f>
        <v/>
      </c>
      <c r="J193" s="18">
        <f>IF($A193="","",IFERROR(AVERAGEIF(tblGunluk[VarlikId],$A193,tblGunluk[FormulDoluluk_oran]),0))</f>
        <v/>
      </c>
      <c r="K193" s="18">
        <f>IF($A193="","",SUMIF(tblGunluk[VarlikId],$A193,tblGunluk[GiderTl_tl]))</f>
        <v/>
      </c>
      <c r="L193" s="18">
        <f>IF($A193="","",MAX(0,MIN(100,kpg_kaliteTaban-IF($J193&lt;kpg_esikDoluluk,kpg_kaliteCeza,0)-COUNTIFS(tblGunluk[VarlikId],$A193,tblGunluk[AlarmBayrak],"ALARM")*kpg_kaliteSapma-IF($H193="HAYIR",kpg_kaliteCeza,0))))</f>
        <v/>
      </c>
    </row>
    <row r="194">
      <c r="A194" s="15" t="n"/>
      <c r="B194" s="15" t="n"/>
      <c r="C194" s="15" t="n"/>
      <c r="D194" s="15" t="n"/>
      <c r="E194" s="16" t="n"/>
      <c r="F194" s="17" t="n"/>
      <c r="G194" s="17" t="n"/>
      <c r="H194" s="15" t="n"/>
      <c r="I194" s="18">
        <f>IF($A194="","",SUMIF(tblGunluk[VarlikId],$A194,tblGunluk[TahsilatTl_tl]))</f>
        <v/>
      </c>
      <c r="J194" s="18">
        <f>IF($A194="","",IFERROR(AVERAGEIF(tblGunluk[VarlikId],$A194,tblGunluk[FormulDoluluk_oran]),0))</f>
        <v/>
      </c>
      <c r="K194" s="18">
        <f>IF($A194="","",SUMIF(tblGunluk[VarlikId],$A194,tblGunluk[GiderTl_tl]))</f>
        <v/>
      </c>
      <c r="L194" s="18">
        <f>IF($A194="","",MAX(0,MIN(100,kpg_kaliteTaban-IF($J194&lt;kpg_esikDoluluk,kpg_kaliteCeza,0)-COUNTIFS(tblGunluk[VarlikId],$A194,tblGunluk[AlarmBayrak],"ALARM")*kpg_kaliteSapma-IF($H194="HAYIR",kpg_kaliteCeza,0))))</f>
        <v/>
      </c>
    </row>
    <row r="195">
      <c r="A195" s="15" t="n"/>
      <c r="B195" s="15" t="n"/>
      <c r="C195" s="15" t="n"/>
      <c r="D195" s="15" t="n"/>
      <c r="E195" s="16" t="n"/>
      <c r="F195" s="17" t="n"/>
      <c r="G195" s="17" t="n"/>
      <c r="H195" s="15" t="n"/>
      <c r="I195" s="18">
        <f>IF($A195="","",SUMIF(tblGunluk[VarlikId],$A195,tblGunluk[TahsilatTl_tl]))</f>
        <v/>
      </c>
      <c r="J195" s="18">
        <f>IF($A195="","",IFERROR(AVERAGEIF(tblGunluk[VarlikId],$A195,tblGunluk[FormulDoluluk_oran]),0))</f>
        <v/>
      </c>
      <c r="K195" s="18">
        <f>IF($A195="","",SUMIF(tblGunluk[VarlikId],$A195,tblGunluk[GiderTl_tl]))</f>
        <v/>
      </c>
      <c r="L195" s="18">
        <f>IF($A195="","",MAX(0,MIN(100,kpg_kaliteTaban-IF($J195&lt;kpg_esikDoluluk,kpg_kaliteCeza,0)-COUNTIFS(tblGunluk[VarlikId],$A195,tblGunluk[AlarmBayrak],"ALARM")*kpg_kaliteSapma-IF($H195="HAYIR",kpg_kaliteCeza,0))))</f>
        <v/>
      </c>
    </row>
    <row r="196">
      <c r="A196" s="15" t="n"/>
      <c r="B196" s="15" t="n"/>
      <c r="C196" s="15" t="n"/>
      <c r="D196" s="15" t="n"/>
      <c r="E196" s="16" t="n"/>
      <c r="F196" s="17" t="n"/>
      <c r="G196" s="17" t="n"/>
      <c r="H196" s="15" t="n"/>
      <c r="I196" s="18">
        <f>IF($A196="","",SUMIF(tblGunluk[VarlikId],$A196,tblGunluk[TahsilatTl_tl]))</f>
        <v/>
      </c>
      <c r="J196" s="18">
        <f>IF($A196="","",IFERROR(AVERAGEIF(tblGunluk[VarlikId],$A196,tblGunluk[FormulDoluluk_oran]),0))</f>
        <v/>
      </c>
      <c r="K196" s="18">
        <f>IF($A196="","",SUMIF(tblGunluk[VarlikId],$A196,tblGunluk[GiderTl_tl]))</f>
        <v/>
      </c>
      <c r="L196" s="18">
        <f>IF($A196="","",MAX(0,MIN(100,kpg_kaliteTaban-IF($J196&lt;kpg_esikDoluluk,kpg_kaliteCeza,0)-COUNTIFS(tblGunluk[VarlikId],$A196,tblGunluk[AlarmBayrak],"ALARM")*kpg_kaliteSapma-IF($H196="HAYIR",kpg_kaliteCeza,0))))</f>
        <v/>
      </c>
    </row>
    <row r="197">
      <c r="A197" s="15" t="n"/>
      <c r="B197" s="15" t="n"/>
      <c r="C197" s="15" t="n"/>
      <c r="D197" s="15" t="n"/>
      <c r="E197" s="16" t="n"/>
      <c r="F197" s="17" t="n"/>
      <c r="G197" s="17" t="n"/>
      <c r="H197" s="15" t="n"/>
      <c r="I197" s="18">
        <f>IF($A197="","",SUMIF(tblGunluk[VarlikId],$A197,tblGunluk[TahsilatTl_tl]))</f>
        <v/>
      </c>
      <c r="J197" s="18">
        <f>IF($A197="","",IFERROR(AVERAGEIF(tblGunluk[VarlikId],$A197,tblGunluk[FormulDoluluk_oran]),0))</f>
        <v/>
      </c>
      <c r="K197" s="18">
        <f>IF($A197="","",SUMIF(tblGunluk[VarlikId],$A197,tblGunluk[GiderTl_tl]))</f>
        <v/>
      </c>
      <c r="L197" s="18">
        <f>IF($A197="","",MAX(0,MIN(100,kpg_kaliteTaban-IF($J197&lt;kpg_esikDoluluk,kpg_kaliteCeza,0)-COUNTIFS(tblGunluk[VarlikId],$A197,tblGunluk[AlarmBayrak],"ALARM")*kpg_kaliteSapma-IF($H197="HAYIR",kpg_kaliteCeza,0))))</f>
        <v/>
      </c>
    </row>
    <row r="198">
      <c r="A198" s="15" t="n"/>
      <c r="B198" s="15" t="n"/>
      <c r="C198" s="15" t="n"/>
      <c r="D198" s="15" t="n"/>
      <c r="E198" s="16" t="n"/>
      <c r="F198" s="17" t="n"/>
      <c r="G198" s="17" t="n"/>
      <c r="H198" s="15" t="n"/>
      <c r="I198" s="18">
        <f>IF($A198="","",SUMIF(tblGunluk[VarlikId],$A198,tblGunluk[TahsilatTl_tl]))</f>
        <v/>
      </c>
      <c r="J198" s="18">
        <f>IF($A198="","",IFERROR(AVERAGEIF(tblGunluk[VarlikId],$A198,tblGunluk[FormulDoluluk_oran]),0))</f>
        <v/>
      </c>
      <c r="K198" s="18">
        <f>IF($A198="","",SUMIF(tblGunluk[VarlikId],$A198,tblGunluk[GiderTl_tl]))</f>
        <v/>
      </c>
      <c r="L198" s="18">
        <f>IF($A198="","",MAX(0,MIN(100,kpg_kaliteTaban-IF($J198&lt;kpg_esikDoluluk,kpg_kaliteCeza,0)-COUNTIFS(tblGunluk[VarlikId],$A198,tblGunluk[AlarmBayrak],"ALARM")*kpg_kaliteSapma-IF($H198="HAYIR",kpg_kaliteCeza,0))))</f>
        <v/>
      </c>
    </row>
    <row r="199">
      <c r="A199" s="15" t="n"/>
      <c r="B199" s="15" t="n"/>
      <c r="C199" s="15" t="n"/>
      <c r="D199" s="15" t="n"/>
      <c r="E199" s="16" t="n"/>
      <c r="F199" s="17" t="n"/>
      <c r="G199" s="17" t="n"/>
      <c r="H199" s="15" t="n"/>
      <c r="I199" s="18">
        <f>IF($A199="","",SUMIF(tblGunluk[VarlikId],$A199,tblGunluk[TahsilatTl_tl]))</f>
        <v/>
      </c>
      <c r="J199" s="18">
        <f>IF($A199="","",IFERROR(AVERAGEIF(tblGunluk[VarlikId],$A199,tblGunluk[FormulDoluluk_oran]),0))</f>
        <v/>
      </c>
      <c r="K199" s="18">
        <f>IF($A199="","",SUMIF(tblGunluk[VarlikId],$A199,tblGunluk[GiderTl_tl]))</f>
        <v/>
      </c>
      <c r="L199" s="18">
        <f>IF($A199="","",MAX(0,MIN(100,kpg_kaliteTaban-IF($J199&lt;kpg_esikDoluluk,kpg_kaliteCeza,0)-COUNTIFS(tblGunluk[VarlikId],$A199,tblGunluk[AlarmBayrak],"ALARM")*kpg_kaliteSapma-IF($H199="HAYIR",kpg_kaliteCeza,0))))</f>
        <v/>
      </c>
    </row>
    <row r="200">
      <c r="A200" s="15" t="n"/>
      <c r="B200" s="15" t="n"/>
      <c r="C200" s="15" t="n"/>
      <c r="D200" s="15" t="n"/>
      <c r="E200" s="16" t="n"/>
      <c r="F200" s="17" t="n"/>
      <c r="G200" s="17" t="n"/>
      <c r="H200" s="15" t="n"/>
      <c r="I200" s="18">
        <f>IF($A200="","",SUMIF(tblGunluk[VarlikId],$A200,tblGunluk[TahsilatTl_tl]))</f>
        <v/>
      </c>
      <c r="J200" s="18">
        <f>IF($A200="","",IFERROR(AVERAGEIF(tblGunluk[VarlikId],$A200,tblGunluk[FormulDoluluk_oran]),0))</f>
        <v/>
      </c>
      <c r="K200" s="18">
        <f>IF($A200="","",SUMIF(tblGunluk[VarlikId],$A200,tblGunluk[GiderTl_tl]))</f>
        <v/>
      </c>
      <c r="L200" s="18">
        <f>IF($A200="","",MAX(0,MIN(100,kpg_kaliteTaban-IF($J200&lt;kpg_esikDoluluk,kpg_kaliteCeza,0)-COUNTIFS(tblGunluk[VarlikId],$A200,tblGunluk[AlarmBayrak],"ALARM")*kpg_kaliteSapma-IF($H200="HAYIR",kpg_kaliteCeza,0))))</f>
        <v/>
      </c>
    </row>
    <row r="201">
      <c r="A201" s="15" t="n"/>
      <c r="B201" s="15" t="n"/>
      <c r="C201" s="15" t="n"/>
      <c r="D201" s="15" t="n"/>
      <c r="E201" s="16" t="n"/>
      <c r="F201" s="17" t="n"/>
      <c r="G201" s="17" t="n"/>
      <c r="H201" s="15" t="n"/>
      <c r="I201" s="18">
        <f>IF($A201="","",SUMIF(tblGunluk[VarlikId],$A201,tblGunluk[TahsilatTl_tl]))</f>
        <v/>
      </c>
      <c r="J201" s="18">
        <f>IF($A201="","",IFERROR(AVERAGEIF(tblGunluk[VarlikId],$A201,tblGunluk[FormulDoluluk_oran]),0))</f>
        <v/>
      </c>
      <c r="K201" s="18">
        <f>IF($A201="","",SUMIF(tblGunluk[VarlikId],$A201,tblGunluk[GiderTl_tl]))</f>
        <v/>
      </c>
      <c r="L201" s="18">
        <f>IF($A201="","",MAX(0,MIN(100,kpg_kaliteTaban-IF($J201&lt;kpg_esikDoluluk,kpg_kaliteCeza,0)-COUNTIFS(tblGunluk[VarlikId],$A201,tblGunluk[AlarmBayrak],"ALARM")*kpg_kaliteSapma-IF($H201="HAYIR",kpg_kaliteCeza,0))))</f>
        <v/>
      </c>
    </row>
    <row r="202">
      <c r="A202" s="15" t="n"/>
      <c r="B202" s="15" t="n"/>
      <c r="C202" s="15" t="n"/>
      <c r="D202" s="15" t="n"/>
      <c r="E202" s="16" t="n"/>
      <c r="F202" s="17" t="n"/>
      <c r="G202" s="17" t="n"/>
      <c r="H202" s="15" t="n"/>
      <c r="I202" s="18">
        <f>IF($A202="","",SUMIF(tblGunluk[VarlikId],$A202,tblGunluk[TahsilatTl_tl]))</f>
        <v/>
      </c>
      <c r="J202" s="18">
        <f>IF($A202="","",IFERROR(AVERAGEIF(tblGunluk[VarlikId],$A202,tblGunluk[FormulDoluluk_oran]),0))</f>
        <v/>
      </c>
      <c r="K202" s="18">
        <f>IF($A202="","",SUMIF(tblGunluk[VarlikId],$A202,tblGunluk[GiderTl_tl]))</f>
        <v/>
      </c>
      <c r="L202" s="18">
        <f>IF($A202="","",MAX(0,MIN(100,kpg_kaliteTaban-IF($J202&lt;kpg_esikDoluluk,kpg_kaliteCeza,0)-COUNTIFS(tblGunluk[VarlikId],$A202,tblGunluk[AlarmBayrak],"ALARM")*kpg_kaliteSapma-IF($H202="HAYIR",kpg_kaliteCeza,0))))</f>
        <v/>
      </c>
    </row>
    <row r="203">
      <c r="A203" s="15" t="n"/>
      <c r="B203" s="15" t="n"/>
      <c r="C203" s="15" t="n"/>
      <c r="D203" s="15" t="n"/>
      <c r="E203" s="16" t="n"/>
      <c r="F203" s="17" t="n"/>
      <c r="G203" s="17" t="n"/>
      <c r="H203" s="15" t="n"/>
      <c r="I203" s="18">
        <f>IF($A203="","",SUMIF(tblGunluk[VarlikId],$A203,tblGunluk[TahsilatTl_tl]))</f>
        <v/>
      </c>
      <c r="J203" s="18">
        <f>IF($A203="","",IFERROR(AVERAGEIF(tblGunluk[VarlikId],$A203,tblGunluk[FormulDoluluk_oran]),0))</f>
        <v/>
      </c>
      <c r="K203" s="18">
        <f>IF($A203="","",SUMIF(tblGunluk[VarlikId],$A203,tblGunluk[GiderTl_tl]))</f>
        <v/>
      </c>
      <c r="L203" s="18">
        <f>IF($A203="","",MAX(0,MIN(100,kpg_kaliteTaban-IF($J203&lt;kpg_esikDoluluk,kpg_kaliteCeza,0)-COUNTIFS(tblGunluk[VarlikId],$A203,tblGunluk[AlarmBayrak],"ALARM")*kpg_kaliteSapma-IF($H203="HAYIR",kpg_kaliteCeza,0))))</f>
        <v/>
      </c>
    </row>
    <row r="204">
      <c r="A204" s="15" t="n"/>
      <c r="B204" s="15" t="n"/>
      <c r="C204" s="15" t="n"/>
      <c r="D204" s="15" t="n"/>
      <c r="E204" s="16" t="n"/>
      <c r="F204" s="17" t="n"/>
      <c r="G204" s="17" t="n"/>
      <c r="H204" s="15" t="n"/>
      <c r="I204" s="18">
        <f>IF($A204="","",SUMIF(tblGunluk[VarlikId],$A204,tblGunluk[TahsilatTl_tl]))</f>
        <v/>
      </c>
      <c r="J204" s="18">
        <f>IF($A204="","",IFERROR(AVERAGEIF(tblGunluk[VarlikId],$A204,tblGunluk[FormulDoluluk_oran]),0))</f>
        <v/>
      </c>
      <c r="K204" s="18">
        <f>IF($A204="","",SUMIF(tblGunluk[VarlikId],$A204,tblGunluk[GiderTl_tl]))</f>
        <v/>
      </c>
      <c r="L204" s="18">
        <f>IF($A204="","",MAX(0,MIN(100,kpg_kaliteTaban-IF($J204&lt;kpg_esikDoluluk,kpg_kaliteCeza,0)-COUNTIFS(tblGunluk[VarlikId],$A204,tblGunluk[AlarmBayrak],"ALARM")*kpg_kaliteSapma-IF($H204="HAYIR",kpg_kaliteCeza,0))))</f>
        <v/>
      </c>
    </row>
    <row r="205">
      <c r="A205" s="15" t="n"/>
      <c r="B205" s="15" t="n"/>
      <c r="C205" s="15" t="n"/>
      <c r="D205" s="15" t="n"/>
      <c r="E205" s="16" t="n"/>
      <c r="F205" s="17" t="n"/>
      <c r="G205" s="17" t="n"/>
      <c r="H205" s="15" t="n"/>
      <c r="I205" s="18">
        <f>IF($A205="","",SUMIF(tblGunluk[VarlikId],$A205,tblGunluk[TahsilatTl_tl]))</f>
        <v/>
      </c>
      <c r="J205" s="18">
        <f>IF($A205="","",IFERROR(AVERAGEIF(tblGunluk[VarlikId],$A205,tblGunluk[FormulDoluluk_oran]),0))</f>
        <v/>
      </c>
      <c r="K205" s="18">
        <f>IF($A205="","",SUMIF(tblGunluk[VarlikId],$A205,tblGunluk[GiderTl_tl]))</f>
        <v/>
      </c>
      <c r="L205" s="18">
        <f>IF($A205="","",MAX(0,MIN(100,kpg_kaliteTaban-IF($J205&lt;kpg_esikDoluluk,kpg_kaliteCeza,0)-COUNTIFS(tblGunluk[VarlikId],$A205,tblGunluk[AlarmBayrak],"ALARM")*kpg_kaliteSapma-IF($H205="HAYIR",kpg_kaliteCeza,0))))</f>
        <v/>
      </c>
    </row>
    <row r="206">
      <c r="A206" s="15" t="n"/>
      <c r="B206" s="15" t="n"/>
      <c r="C206" s="15" t="n"/>
      <c r="D206" s="15" t="n"/>
      <c r="E206" s="16" t="n"/>
      <c r="F206" s="17" t="n"/>
      <c r="G206" s="17" t="n"/>
      <c r="H206" s="15" t="n"/>
      <c r="I206" s="18">
        <f>IF($A206="","",SUMIF(tblGunluk[VarlikId],$A206,tblGunluk[TahsilatTl_tl]))</f>
        <v/>
      </c>
      <c r="J206" s="18">
        <f>IF($A206="","",IFERROR(AVERAGEIF(tblGunluk[VarlikId],$A206,tblGunluk[FormulDoluluk_oran]),0))</f>
        <v/>
      </c>
      <c r="K206" s="18">
        <f>IF($A206="","",SUMIF(tblGunluk[VarlikId],$A206,tblGunluk[GiderTl_tl]))</f>
        <v/>
      </c>
      <c r="L206" s="18">
        <f>IF($A206="","",MAX(0,MIN(100,kpg_kaliteTaban-IF($J206&lt;kpg_esikDoluluk,kpg_kaliteCeza,0)-COUNTIFS(tblGunluk[VarlikId],$A206,tblGunluk[AlarmBayrak],"ALARM")*kpg_kaliteSapma-IF($H206="HAYIR",kpg_kaliteCeza,0))))</f>
        <v/>
      </c>
    </row>
    <row r="207">
      <c r="A207" s="15" t="n"/>
      <c r="B207" s="15" t="n"/>
      <c r="C207" s="15" t="n"/>
      <c r="D207" s="15" t="n"/>
      <c r="E207" s="16" t="n"/>
      <c r="F207" s="17" t="n"/>
      <c r="G207" s="17" t="n"/>
      <c r="H207" s="15" t="n"/>
      <c r="I207" s="18">
        <f>IF($A207="","",SUMIF(tblGunluk[VarlikId],$A207,tblGunluk[TahsilatTl_tl]))</f>
        <v/>
      </c>
      <c r="J207" s="18">
        <f>IF($A207="","",IFERROR(AVERAGEIF(tblGunluk[VarlikId],$A207,tblGunluk[FormulDoluluk_oran]),0))</f>
        <v/>
      </c>
      <c r="K207" s="18">
        <f>IF($A207="","",SUMIF(tblGunluk[VarlikId],$A207,tblGunluk[GiderTl_tl]))</f>
        <v/>
      </c>
      <c r="L207" s="18">
        <f>IF($A207="","",MAX(0,MIN(100,kpg_kaliteTaban-IF($J207&lt;kpg_esikDoluluk,kpg_kaliteCeza,0)-COUNTIFS(tblGunluk[VarlikId],$A207,tblGunluk[AlarmBayrak],"ALARM")*kpg_kaliteSapma-IF($H207="HAYIR",kpg_kaliteCeza,0))))</f>
        <v/>
      </c>
    </row>
    <row r="208">
      <c r="A208" s="15" t="n"/>
      <c r="B208" s="15" t="n"/>
      <c r="C208" s="15" t="n"/>
      <c r="D208" s="15" t="n"/>
      <c r="E208" s="16" t="n"/>
      <c r="F208" s="17" t="n"/>
      <c r="G208" s="17" t="n"/>
      <c r="H208" s="15" t="n"/>
      <c r="I208" s="18">
        <f>IF($A208="","",SUMIF(tblGunluk[VarlikId],$A208,tblGunluk[TahsilatTl_tl]))</f>
        <v/>
      </c>
      <c r="J208" s="18">
        <f>IF($A208="","",IFERROR(AVERAGEIF(tblGunluk[VarlikId],$A208,tblGunluk[FormulDoluluk_oran]),0))</f>
        <v/>
      </c>
      <c r="K208" s="18">
        <f>IF($A208="","",SUMIF(tblGunluk[VarlikId],$A208,tblGunluk[GiderTl_tl]))</f>
        <v/>
      </c>
      <c r="L208" s="18">
        <f>IF($A208="","",MAX(0,MIN(100,kpg_kaliteTaban-IF($J208&lt;kpg_esikDoluluk,kpg_kaliteCeza,0)-COUNTIFS(tblGunluk[VarlikId],$A208,tblGunluk[AlarmBayrak],"ALARM")*kpg_kaliteSapma-IF($H208="HAYIR",kpg_kaliteCeza,0))))</f>
        <v/>
      </c>
    </row>
    <row r="209">
      <c r="A209" s="15" t="n"/>
      <c r="B209" s="15" t="n"/>
      <c r="C209" s="15" t="n"/>
      <c r="D209" s="15" t="n"/>
      <c r="E209" s="16" t="n"/>
      <c r="F209" s="17" t="n"/>
      <c r="G209" s="17" t="n"/>
      <c r="H209" s="15" t="n"/>
      <c r="I209" s="18">
        <f>IF($A209="","",SUMIF(tblGunluk[VarlikId],$A209,tblGunluk[TahsilatTl_tl]))</f>
        <v/>
      </c>
      <c r="J209" s="18">
        <f>IF($A209="","",IFERROR(AVERAGEIF(tblGunluk[VarlikId],$A209,tblGunluk[FormulDoluluk_oran]),0))</f>
        <v/>
      </c>
      <c r="K209" s="18">
        <f>IF($A209="","",SUMIF(tblGunluk[VarlikId],$A209,tblGunluk[GiderTl_tl]))</f>
        <v/>
      </c>
      <c r="L209" s="18">
        <f>IF($A209="","",MAX(0,MIN(100,kpg_kaliteTaban-IF($J209&lt;kpg_esikDoluluk,kpg_kaliteCeza,0)-COUNTIFS(tblGunluk[VarlikId],$A209,tblGunluk[AlarmBayrak],"ALARM")*kpg_kaliteSapma-IF($H209="HAYIR",kpg_kaliteCeza,0))))</f>
        <v/>
      </c>
    </row>
    <row r="210">
      <c r="A210" s="15" t="n"/>
      <c r="B210" s="15" t="n"/>
      <c r="C210" s="15" t="n"/>
      <c r="D210" s="15" t="n"/>
      <c r="E210" s="16" t="n"/>
      <c r="F210" s="17" t="n"/>
      <c r="G210" s="17" t="n"/>
      <c r="H210" s="15" t="n"/>
      <c r="I210" s="18">
        <f>IF($A210="","",SUMIF(tblGunluk[VarlikId],$A210,tblGunluk[TahsilatTl_tl]))</f>
        <v/>
      </c>
      <c r="J210" s="18">
        <f>IF($A210="","",IFERROR(AVERAGEIF(tblGunluk[VarlikId],$A210,tblGunluk[FormulDoluluk_oran]),0))</f>
        <v/>
      </c>
      <c r="K210" s="18">
        <f>IF($A210="","",SUMIF(tblGunluk[VarlikId],$A210,tblGunluk[GiderTl_tl]))</f>
        <v/>
      </c>
      <c r="L210" s="18">
        <f>IF($A210="","",MAX(0,MIN(100,kpg_kaliteTaban-IF($J210&lt;kpg_esikDoluluk,kpg_kaliteCeza,0)-COUNTIFS(tblGunluk[VarlikId],$A210,tblGunluk[AlarmBayrak],"ALARM")*kpg_kaliteSapma-IF($H210="HAYIR",kpg_kaliteCeza,0))))</f>
        <v/>
      </c>
    </row>
    <row r="211">
      <c r="A211" s="15" t="n"/>
      <c r="B211" s="15" t="n"/>
      <c r="C211" s="15" t="n"/>
      <c r="D211" s="15" t="n"/>
      <c r="E211" s="16" t="n"/>
      <c r="F211" s="17" t="n"/>
      <c r="G211" s="17" t="n"/>
      <c r="H211" s="15" t="n"/>
      <c r="I211" s="18">
        <f>IF($A211="","",SUMIF(tblGunluk[VarlikId],$A211,tblGunluk[TahsilatTl_tl]))</f>
        <v/>
      </c>
      <c r="J211" s="18">
        <f>IF($A211="","",IFERROR(AVERAGEIF(tblGunluk[VarlikId],$A211,tblGunluk[FormulDoluluk_oran]),0))</f>
        <v/>
      </c>
      <c r="K211" s="18">
        <f>IF($A211="","",SUMIF(tblGunluk[VarlikId],$A211,tblGunluk[GiderTl_tl]))</f>
        <v/>
      </c>
      <c r="L211" s="18">
        <f>IF($A211="","",MAX(0,MIN(100,kpg_kaliteTaban-IF($J211&lt;kpg_esikDoluluk,kpg_kaliteCeza,0)-COUNTIFS(tblGunluk[VarlikId],$A211,tblGunluk[AlarmBayrak],"ALARM")*kpg_kaliteSapma-IF($H211="HAYIR",kpg_kaliteCeza,0))))</f>
        <v/>
      </c>
    </row>
    <row r="212">
      <c r="A212" s="15" t="n"/>
      <c r="B212" s="15" t="n"/>
      <c r="C212" s="15" t="n"/>
      <c r="D212" s="15" t="n"/>
      <c r="E212" s="16" t="n"/>
      <c r="F212" s="17" t="n"/>
      <c r="G212" s="17" t="n"/>
      <c r="H212" s="15" t="n"/>
      <c r="I212" s="18">
        <f>IF($A212="","",SUMIF(tblGunluk[VarlikId],$A212,tblGunluk[TahsilatTl_tl]))</f>
        <v/>
      </c>
      <c r="J212" s="18">
        <f>IF($A212="","",IFERROR(AVERAGEIF(tblGunluk[VarlikId],$A212,tblGunluk[FormulDoluluk_oran]),0))</f>
        <v/>
      </c>
      <c r="K212" s="18">
        <f>IF($A212="","",SUMIF(tblGunluk[VarlikId],$A212,tblGunluk[GiderTl_tl]))</f>
        <v/>
      </c>
      <c r="L212" s="18">
        <f>IF($A212="","",MAX(0,MIN(100,kpg_kaliteTaban-IF($J212&lt;kpg_esikDoluluk,kpg_kaliteCeza,0)-COUNTIFS(tblGunluk[VarlikId],$A212,tblGunluk[AlarmBayrak],"ALARM")*kpg_kaliteSapma-IF($H212="HAYIR",kpg_kaliteCeza,0))))</f>
        <v/>
      </c>
    </row>
    <row r="213">
      <c r="A213" s="15" t="n"/>
      <c r="B213" s="15" t="n"/>
      <c r="C213" s="15" t="n"/>
      <c r="D213" s="15" t="n"/>
      <c r="E213" s="16" t="n"/>
      <c r="F213" s="17" t="n"/>
      <c r="G213" s="17" t="n"/>
      <c r="H213" s="15" t="n"/>
      <c r="I213" s="18">
        <f>IF($A213="","",SUMIF(tblGunluk[VarlikId],$A213,tblGunluk[TahsilatTl_tl]))</f>
        <v/>
      </c>
      <c r="J213" s="18">
        <f>IF($A213="","",IFERROR(AVERAGEIF(tblGunluk[VarlikId],$A213,tblGunluk[FormulDoluluk_oran]),0))</f>
        <v/>
      </c>
      <c r="K213" s="18">
        <f>IF($A213="","",SUMIF(tblGunluk[VarlikId],$A213,tblGunluk[GiderTl_tl]))</f>
        <v/>
      </c>
      <c r="L213" s="18">
        <f>IF($A213="","",MAX(0,MIN(100,kpg_kaliteTaban-IF($J213&lt;kpg_esikDoluluk,kpg_kaliteCeza,0)-COUNTIFS(tblGunluk[VarlikId],$A213,tblGunluk[AlarmBayrak],"ALARM")*kpg_kaliteSapma-IF($H213="HAYIR",kpg_kaliteCeza,0))))</f>
        <v/>
      </c>
    </row>
    <row r="214">
      <c r="A214" s="15" t="n"/>
      <c r="B214" s="15" t="n"/>
      <c r="C214" s="15" t="n"/>
      <c r="D214" s="15" t="n"/>
      <c r="E214" s="16" t="n"/>
      <c r="F214" s="17" t="n"/>
      <c r="G214" s="17" t="n"/>
      <c r="H214" s="15" t="n"/>
      <c r="I214" s="18">
        <f>IF($A214="","",SUMIF(tblGunluk[VarlikId],$A214,tblGunluk[TahsilatTl_tl]))</f>
        <v/>
      </c>
      <c r="J214" s="18">
        <f>IF($A214="","",IFERROR(AVERAGEIF(tblGunluk[VarlikId],$A214,tblGunluk[FormulDoluluk_oran]),0))</f>
        <v/>
      </c>
      <c r="K214" s="18">
        <f>IF($A214="","",SUMIF(tblGunluk[VarlikId],$A214,tblGunluk[GiderTl_tl]))</f>
        <v/>
      </c>
      <c r="L214" s="18">
        <f>IF($A214="","",MAX(0,MIN(100,kpg_kaliteTaban-IF($J214&lt;kpg_esikDoluluk,kpg_kaliteCeza,0)-COUNTIFS(tblGunluk[VarlikId],$A214,tblGunluk[AlarmBayrak],"ALARM")*kpg_kaliteSapma-IF($H214="HAYIR",kpg_kaliteCeza,0))))</f>
        <v/>
      </c>
    </row>
    <row r="215">
      <c r="A215" s="15" t="n"/>
      <c r="B215" s="15" t="n"/>
      <c r="C215" s="15" t="n"/>
      <c r="D215" s="15" t="n"/>
      <c r="E215" s="16" t="n"/>
      <c r="F215" s="17" t="n"/>
      <c r="G215" s="17" t="n"/>
      <c r="H215" s="15" t="n"/>
      <c r="I215" s="18">
        <f>IF($A215="","",SUMIF(tblGunluk[VarlikId],$A215,tblGunluk[TahsilatTl_tl]))</f>
        <v/>
      </c>
      <c r="J215" s="18">
        <f>IF($A215="","",IFERROR(AVERAGEIF(tblGunluk[VarlikId],$A215,tblGunluk[FormulDoluluk_oran]),0))</f>
        <v/>
      </c>
      <c r="K215" s="18">
        <f>IF($A215="","",SUMIF(tblGunluk[VarlikId],$A215,tblGunluk[GiderTl_tl]))</f>
        <v/>
      </c>
      <c r="L215" s="18">
        <f>IF($A215="","",MAX(0,MIN(100,kpg_kaliteTaban-IF($J215&lt;kpg_esikDoluluk,kpg_kaliteCeza,0)-COUNTIFS(tblGunluk[VarlikId],$A215,tblGunluk[AlarmBayrak],"ALARM")*kpg_kaliteSapma-IF($H215="HAYIR",kpg_kaliteCeza,0))))</f>
        <v/>
      </c>
    </row>
    <row r="216">
      <c r="A216" s="15" t="n"/>
      <c r="B216" s="15" t="n"/>
      <c r="C216" s="15" t="n"/>
      <c r="D216" s="15" t="n"/>
      <c r="E216" s="16" t="n"/>
      <c r="F216" s="17" t="n"/>
      <c r="G216" s="17" t="n"/>
      <c r="H216" s="15" t="n"/>
      <c r="I216" s="18">
        <f>IF($A216="","",SUMIF(tblGunluk[VarlikId],$A216,tblGunluk[TahsilatTl_tl]))</f>
        <v/>
      </c>
      <c r="J216" s="18">
        <f>IF($A216="","",IFERROR(AVERAGEIF(tblGunluk[VarlikId],$A216,tblGunluk[FormulDoluluk_oran]),0))</f>
        <v/>
      </c>
      <c r="K216" s="18">
        <f>IF($A216="","",SUMIF(tblGunluk[VarlikId],$A216,tblGunluk[GiderTl_tl]))</f>
        <v/>
      </c>
      <c r="L216" s="18">
        <f>IF($A216="","",MAX(0,MIN(100,kpg_kaliteTaban-IF($J216&lt;kpg_esikDoluluk,kpg_kaliteCeza,0)-COUNTIFS(tblGunluk[VarlikId],$A216,tblGunluk[AlarmBayrak],"ALARM")*kpg_kaliteSapma-IF($H216="HAYIR",kpg_kaliteCeza,0))))</f>
        <v/>
      </c>
    </row>
    <row r="217">
      <c r="A217" s="15" t="n"/>
      <c r="B217" s="15" t="n"/>
      <c r="C217" s="15" t="n"/>
      <c r="D217" s="15" t="n"/>
      <c r="E217" s="16" t="n"/>
      <c r="F217" s="17" t="n"/>
      <c r="G217" s="17" t="n"/>
      <c r="H217" s="15" t="n"/>
      <c r="I217" s="18">
        <f>IF($A217="","",SUMIF(tblGunluk[VarlikId],$A217,tblGunluk[TahsilatTl_tl]))</f>
        <v/>
      </c>
      <c r="J217" s="18">
        <f>IF($A217="","",IFERROR(AVERAGEIF(tblGunluk[VarlikId],$A217,tblGunluk[FormulDoluluk_oran]),0))</f>
        <v/>
      </c>
      <c r="K217" s="18">
        <f>IF($A217="","",SUMIF(tblGunluk[VarlikId],$A217,tblGunluk[GiderTl_tl]))</f>
        <v/>
      </c>
      <c r="L217" s="18">
        <f>IF($A217="","",MAX(0,MIN(100,kpg_kaliteTaban-IF($J217&lt;kpg_esikDoluluk,kpg_kaliteCeza,0)-COUNTIFS(tblGunluk[VarlikId],$A217,tblGunluk[AlarmBayrak],"ALARM")*kpg_kaliteSapma-IF($H217="HAYIR",kpg_kaliteCeza,0))))</f>
        <v/>
      </c>
    </row>
    <row r="218">
      <c r="A218" s="15" t="n"/>
      <c r="B218" s="15" t="n"/>
      <c r="C218" s="15" t="n"/>
      <c r="D218" s="15" t="n"/>
      <c r="E218" s="16" t="n"/>
      <c r="F218" s="17" t="n"/>
      <c r="G218" s="17" t="n"/>
      <c r="H218" s="15" t="n"/>
      <c r="I218" s="18">
        <f>IF($A218="","",SUMIF(tblGunluk[VarlikId],$A218,tblGunluk[TahsilatTl_tl]))</f>
        <v/>
      </c>
      <c r="J218" s="18">
        <f>IF($A218="","",IFERROR(AVERAGEIF(tblGunluk[VarlikId],$A218,tblGunluk[FormulDoluluk_oran]),0))</f>
        <v/>
      </c>
      <c r="K218" s="18">
        <f>IF($A218="","",SUMIF(tblGunluk[VarlikId],$A218,tblGunluk[GiderTl_tl]))</f>
        <v/>
      </c>
      <c r="L218" s="18">
        <f>IF($A218="","",MAX(0,MIN(100,kpg_kaliteTaban-IF($J218&lt;kpg_esikDoluluk,kpg_kaliteCeza,0)-COUNTIFS(tblGunluk[VarlikId],$A218,tblGunluk[AlarmBayrak],"ALARM")*kpg_kaliteSapma-IF($H218="HAYIR",kpg_kaliteCeza,0))))</f>
        <v/>
      </c>
    </row>
    <row r="219">
      <c r="A219" s="15" t="n"/>
      <c r="B219" s="15" t="n"/>
      <c r="C219" s="15" t="n"/>
      <c r="D219" s="15" t="n"/>
      <c r="E219" s="16" t="n"/>
      <c r="F219" s="17" t="n"/>
      <c r="G219" s="17" t="n"/>
      <c r="H219" s="15" t="n"/>
      <c r="I219" s="18">
        <f>IF($A219="","",SUMIF(tblGunluk[VarlikId],$A219,tblGunluk[TahsilatTl_tl]))</f>
        <v/>
      </c>
      <c r="J219" s="18">
        <f>IF($A219="","",IFERROR(AVERAGEIF(tblGunluk[VarlikId],$A219,tblGunluk[FormulDoluluk_oran]),0))</f>
        <v/>
      </c>
      <c r="K219" s="18">
        <f>IF($A219="","",SUMIF(tblGunluk[VarlikId],$A219,tblGunluk[GiderTl_tl]))</f>
        <v/>
      </c>
      <c r="L219" s="18">
        <f>IF($A219="","",MAX(0,MIN(100,kpg_kaliteTaban-IF($J219&lt;kpg_esikDoluluk,kpg_kaliteCeza,0)-COUNTIFS(tblGunluk[VarlikId],$A219,tblGunluk[AlarmBayrak],"ALARM")*kpg_kaliteSapma-IF($H219="HAYIR",kpg_kaliteCeza,0))))</f>
        <v/>
      </c>
    </row>
    <row r="220">
      <c r="A220" s="15" t="n"/>
      <c r="B220" s="15" t="n"/>
      <c r="C220" s="15" t="n"/>
      <c r="D220" s="15" t="n"/>
      <c r="E220" s="16" t="n"/>
      <c r="F220" s="17" t="n"/>
      <c r="G220" s="17" t="n"/>
      <c r="H220" s="15" t="n"/>
      <c r="I220" s="18">
        <f>IF($A220="","",SUMIF(tblGunluk[VarlikId],$A220,tblGunluk[TahsilatTl_tl]))</f>
        <v/>
      </c>
      <c r="J220" s="18">
        <f>IF($A220="","",IFERROR(AVERAGEIF(tblGunluk[VarlikId],$A220,tblGunluk[FormulDoluluk_oran]),0))</f>
        <v/>
      </c>
      <c r="K220" s="18">
        <f>IF($A220="","",SUMIF(tblGunluk[VarlikId],$A220,tblGunluk[GiderTl_tl]))</f>
        <v/>
      </c>
      <c r="L220" s="18">
        <f>IF($A220="","",MAX(0,MIN(100,kpg_kaliteTaban-IF($J220&lt;kpg_esikDoluluk,kpg_kaliteCeza,0)-COUNTIFS(tblGunluk[VarlikId],$A220,tblGunluk[AlarmBayrak],"ALARM")*kpg_kaliteSapma-IF($H220="HAYIR",kpg_kaliteCeza,0))))</f>
        <v/>
      </c>
    </row>
    <row r="221">
      <c r="A221" s="15" t="n"/>
      <c r="B221" s="15" t="n"/>
      <c r="C221" s="15" t="n"/>
      <c r="D221" s="15" t="n"/>
      <c r="E221" s="16" t="n"/>
      <c r="F221" s="17" t="n"/>
      <c r="G221" s="17" t="n"/>
      <c r="H221" s="15" t="n"/>
      <c r="I221" s="18">
        <f>IF($A221="","",SUMIF(tblGunluk[VarlikId],$A221,tblGunluk[TahsilatTl_tl]))</f>
        <v/>
      </c>
      <c r="J221" s="18">
        <f>IF($A221="","",IFERROR(AVERAGEIF(tblGunluk[VarlikId],$A221,tblGunluk[FormulDoluluk_oran]),0))</f>
        <v/>
      </c>
      <c r="K221" s="18">
        <f>IF($A221="","",SUMIF(tblGunluk[VarlikId],$A221,tblGunluk[GiderTl_tl]))</f>
        <v/>
      </c>
      <c r="L221" s="18">
        <f>IF($A221="","",MAX(0,MIN(100,kpg_kaliteTaban-IF($J221&lt;kpg_esikDoluluk,kpg_kaliteCeza,0)-COUNTIFS(tblGunluk[VarlikId],$A221,tblGunluk[AlarmBayrak],"ALARM")*kpg_kaliteSapma-IF($H221="HAYIR",kpg_kaliteCeza,0))))</f>
        <v/>
      </c>
    </row>
    <row r="222">
      <c r="A222" s="15" t="n"/>
      <c r="B222" s="15" t="n"/>
      <c r="C222" s="15" t="n"/>
      <c r="D222" s="15" t="n"/>
      <c r="E222" s="16" t="n"/>
      <c r="F222" s="17" t="n"/>
      <c r="G222" s="17" t="n"/>
      <c r="H222" s="15" t="n"/>
      <c r="I222" s="18">
        <f>IF($A222="","",SUMIF(tblGunluk[VarlikId],$A222,tblGunluk[TahsilatTl_tl]))</f>
        <v/>
      </c>
      <c r="J222" s="18">
        <f>IF($A222="","",IFERROR(AVERAGEIF(tblGunluk[VarlikId],$A222,tblGunluk[FormulDoluluk_oran]),0))</f>
        <v/>
      </c>
      <c r="K222" s="18">
        <f>IF($A222="","",SUMIF(tblGunluk[VarlikId],$A222,tblGunluk[GiderTl_tl]))</f>
        <v/>
      </c>
      <c r="L222" s="18">
        <f>IF($A222="","",MAX(0,MIN(100,kpg_kaliteTaban-IF($J222&lt;kpg_esikDoluluk,kpg_kaliteCeza,0)-COUNTIFS(tblGunluk[VarlikId],$A222,tblGunluk[AlarmBayrak],"ALARM")*kpg_kaliteSapma-IF($H222="HAYIR",kpg_kaliteCeza,0))))</f>
        <v/>
      </c>
    </row>
    <row r="223">
      <c r="A223" s="15" t="n"/>
      <c r="B223" s="15" t="n"/>
      <c r="C223" s="15" t="n"/>
      <c r="D223" s="15" t="n"/>
      <c r="E223" s="16" t="n"/>
      <c r="F223" s="17" t="n"/>
      <c r="G223" s="17" t="n"/>
      <c r="H223" s="15" t="n"/>
      <c r="I223" s="18">
        <f>IF($A223="","",SUMIF(tblGunluk[VarlikId],$A223,tblGunluk[TahsilatTl_tl]))</f>
        <v/>
      </c>
      <c r="J223" s="18">
        <f>IF($A223="","",IFERROR(AVERAGEIF(tblGunluk[VarlikId],$A223,tblGunluk[FormulDoluluk_oran]),0))</f>
        <v/>
      </c>
      <c r="K223" s="18">
        <f>IF($A223="","",SUMIF(tblGunluk[VarlikId],$A223,tblGunluk[GiderTl_tl]))</f>
        <v/>
      </c>
      <c r="L223" s="18">
        <f>IF($A223="","",MAX(0,MIN(100,kpg_kaliteTaban-IF($J223&lt;kpg_esikDoluluk,kpg_kaliteCeza,0)-COUNTIFS(tblGunluk[VarlikId],$A223,tblGunluk[AlarmBayrak],"ALARM")*kpg_kaliteSapma-IF($H223="HAYIR",kpg_kaliteCeza,0))))</f>
        <v/>
      </c>
    </row>
    <row r="224">
      <c r="A224" s="15" t="n"/>
      <c r="B224" s="15" t="n"/>
      <c r="C224" s="15" t="n"/>
      <c r="D224" s="15" t="n"/>
      <c r="E224" s="16" t="n"/>
      <c r="F224" s="17" t="n"/>
      <c r="G224" s="17" t="n"/>
      <c r="H224" s="15" t="n"/>
      <c r="I224" s="18">
        <f>IF($A224="","",SUMIF(tblGunluk[VarlikId],$A224,tblGunluk[TahsilatTl_tl]))</f>
        <v/>
      </c>
      <c r="J224" s="18">
        <f>IF($A224="","",IFERROR(AVERAGEIF(tblGunluk[VarlikId],$A224,tblGunluk[FormulDoluluk_oran]),0))</f>
        <v/>
      </c>
      <c r="K224" s="18">
        <f>IF($A224="","",SUMIF(tblGunluk[VarlikId],$A224,tblGunluk[GiderTl_tl]))</f>
        <v/>
      </c>
      <c r="L224" s="18">
        <f>IF($A224="","",MAX(0,MIN(100,kpg_kaliteTaban-IF($J224&lt;kpg_esikDoluluk,kpg_kaliteCeza,0)-COUNTIFS(tblGunluk[VarlikId],$A224,tblGunluk[AlarmBayrak],"ALARM")*kpg_kaliteSapma-IF($H224="HAYIR",kpg_kaliteCeza,0))))</f>
        <v/>
      </c>
    </row>
    <row r="225">
      <c r="A225" s="15" t="n"/>
      <c r="B225" s="15" t="n"/>
      <c r="C225" s="15" t="n"/>
      <c r="D225" s="15" t="n"/>
      <c r="E225" s="16" t="n"/>
      <c r="F225" s="17" t="n"/>
      <c r="G225" s="17" t="n"/>
      <c r="H225" s="15" t="n"/>
      <c r="I225" s="18">
        <f>IF($A225="","",SUMIF(tblGunluk[VarlikId],$A225,tblGunluk[TahsilatTl_tl]))</f>
        <v/>
      </c>
      <c r="J225" s="18">
        <f>IF($A225="","",IFERROR(AVERAGEIF(tblGunluk[VarlikId],$A225,tblGunluk[FormulDoluluk_oran]),0))</f>
        <v/>
      </c>
      <c r="K225" s="18">
        <f>IF($A225="","",SUMIF(tblGunluk[VarlikId],$A225,tblGunluk[GiderTl_tl]))</f>
        <v/>
      </c>
      <c r="L225" s="18">
        <f>IF($A225="","",MAX(0,MIN(100,kpg_kaliteTaban-IF($J225&lt;kpg_esikDoluluk,kpg_kaliteCeza,0)-COUNTIFS(tblGunluk[VarlikId],$A225,tblGunluk[AlarmBayrak],"ALARM")*kpg_kaliteSapma-IF($H225="HAYIR",kpg_kaliteCeza,0))))</f>
        <v/>
      </c>
    </row>
    <row r="226">
      <c r="A226" s="15" t="n"/>
      <c r="B226" s="15" t="n"/>
      <c r="C226" s="15" t="n"/>
      <c r="D226" s="15" t="n"/>
      <c r="E226" s="16" t="n"/>
      <c r="F226" s="17" t="n"/>
      <c r="G226" s="17" t="n"/>
      <c r="H226" s="15" t="n"/>
      <c r="I226" s="18">
        <f>IF($A226="","",SUMIF(tblGunluk[VarlikId],$A226,tblGunluk[TahsilatTl_tl]))</f>
        <v/>
      </c>
      <c r="J226" s="18">
        <f>IF($A226="","",IFERROR(AVERAGEIF(tblGunluk[VarlikId],$A226,tblGunluk[FormulDoluluk_oran]),0))</f>
        <v/>
      </c>
      <c r="K226" s="18">
        <f>IF($A226="","",SUMIF(tblGunluk[VarlikId],$A226,tblGunluk[GiderTl_tl]))</f>
        <v/>
      </c>
      <c r="L226" s="18">
        <f>IF($A226="","",MAX(0,MIN(100,kpg_kaliteTaban-IF($J226&lt;kpg_esikDoluluk,kpg_kaliteCeza,0)-COUNTIFS(tblGunluk[VarlikId],$A226,tblGunluk[AlarmBayrak],"ALARM")*kpg_kaliteSapma-IF($H226="HAYIR",kpg_kaliteCeza,0))))</f>
        <v/>
      </c>
    </row>
    <row r="227">
      <c r="A227" s="15" t="n"/>
      <c r="B227" s="15" t="n"/>
      <c r="C227" s="15" t="n"/>
      <c r="D227" s="15" t="n"/>
      <c r="E227" s="16" t="n"/>
      <c r="F227" s="17" t="n"/>
      <c r="G227" s="17" t="n"/>
      <c r="H227" s="15" t="n"/>
      <c r="I227" s="18">
        <f>IF($A227="","",SUMIF(tblGunluk[VarlikId],$A227,tblGunluk[TahsilatTl_tl]))</f>
        <v/>
      </c>
      <c r="J227" s="18">
        <f>IF($A227="","",IFERROR(AVERAGEIF(tblGunluk[VarlikId],$A227,tblGunluk[FormulDoluluk_oran]),0))</f>
        <v/>
      </c>
      <c r="K227" s="18">
        <f>IF($A227="","",SUMIF(tblGunluk[VarlikId],$A227,tblGunluk[GiderTl_tl]))</f>
        <v/>
      </c>
      <c r="L227" s="18">
        <f>IF($A227="","",MAX(0,MIN(100,kpg_kaliteTaban-IF($J227&lt;kpg_esikDoluluk,kpg_kaliteCeza,0)-COUNTIFS(tblGunluk[VarlikId],$A227,tblGunluk[AlarmBayrak],"ALARM")*kpg_kaliteSapma-IF($H227="HAYIR",kpg_kaliteCeza,0))))</f>
        <v/>
      </c>
    </row>
    <row r="228">
      <c r="A228" s="15" t="n"/>
      <c r="B228" s="15" t="n"/>
      <c r="C228" s="15" t="n"/>
      <c r="D228" s="15" t="n"/>
      <c r="E228" s="16" t="n"/>
      <c r="F228" s="17" t="n"/>
      <c r="G228" s="17" t="n"/>
      <c r="H228" s="15" t="n"/>
      <c r="I228" s="18">
        <f>IF($A228="","",SUMIF(tblGunluk[VarlikId],$A228,tblGunluk[TahsilatTl_tl]))</f>
        <v/>
      </c>
      <c r="J228" s="18">
        <f>IF($A228="","",IFERROR(AVERAGEIF(tblGunluk[VarlikId],$A228,tblGunluk[FormulDoluluk_oran]),0))</f>
        <v/>
      </c>
      <c r="K228" s="18">
        <f>IF($A228="","",SUMIF(tblGunluk[VarlikId],$A228,tblGunluk[GiderTl_tl]))</f>
        <v/>
      </c>
      <c r="L228" s="18">
        <f>IF($A228="","",MAX(0,MIN(100,kpg_kaliteTaban-IF($J228&lt;kpg_esikDoluluk,kpg_kaliteCeza,0)-COUNTIFS(tblGunluk[VarlikId],$A228,tblGunluk[AlarmBayrak],"ALARM")*kpg_kaliteSapma-IF($H228="HAYIR",kpg_kaliteCeza,0))))</f>
        <v/>
      </c>
    </row>
    <row r="229">
      <c r="A229" s="15" t="n"/>
      <c r="B229" s="15" t="n"/>
      <c r="C229" s="15" t="n"/>
      <c r="D229" s="15" t="n"/>
      <c r="E229" s="16" t="n"/>
      <c r="F229" s="17" t="n"/>
      <c r="G229" s="17" t="n"/>
      <c r="H229" s="15" t="n"/>
      <c r="I229" s="18">
        <f>IF($A229="","",SUMIF(tblGunluk[VarlikId],$A229,tblGunluk[TahsilatTl_tl]))</f>
        <v/>
      </c>
      <c r="J229" s="18">
        <f>IF($A229="","",IFERROR(AVERAGEIF(tblGunluk[VarlikId],$A229,tblGunluk[FormulDoluluk_oran]),0))</f>
        <v/>
      </c>
      <c r="K229" s="18">
        <f>IF($A229="","",SUMIF(tblGunluk[VarlikId],$A229,tblGunluk[GiderTl_tl]))</f>
        <v/>
      </c>
      <c r="L229" s="18">
        <f>IF($A229="","",MAX(0,MIN(100,kpg_kaliteTaban-IF($J229&lt;kpg_esikDoluluk,kpg_kaliteCeza,0)-COUNTIFS(tblGunluk[VarlikId],$A229,tblGunluk[AlarmBayrak],"ALARM")*kpg_kaliteSapma-IF($H229="HAYIR",kpg_kaliteCeza,0))))</f>
        <v/>
      </c>
    </row>
    <row r="230">
      <c r="A230" s="15" t="n"/>
      <c r="B230" s="15" t="n"/>
      <c r="C230" s="15" t="n"/>
      <c r="D230" s="15" t="n"/>
      <c r="E230" s="16" t="n"/>
      <c r="F230" s="17" t="n"/>
      <c r="G230" s="17" t="n"/>
      <c r="H230" s="15" t="n"/>
      <c r="I230" s="18">
        <f>IF($A230="","",SUMIF(tblGunluk[VarlikId],$A230,tblGunluk[TahsilatTl_tl]))</f>
        <v/>
      </c>
      <c r="J230" s="18">
        <f>IF($A230="","",IFERROR(AVERAGEIF(tblGunluk[VarlikId],$A230,tblGunluk[FormulDoluluk_oran]),0))</f>
        <v/>
      </c>
      <c r="K230" s="18">
        <f>IF($A230="","",SUMIF(tblGunluk[VarlikId],$A230,tblGunluk[GiderTl_tl]))</f>
        <v/>
      </c>
      <c r="L230" s="18">
        <f>IF($A230="","",MAX(0,MIN(100,kpg_kaliteTaban-IF($J230&lt;kpg_esikDoluluk,kpg_kaliteCeza,0)-COUNTIFS(tblGunluk[VarlikId],$A230,tblGunluk[AlarmBayrak],"ALARM")*kpg_kaliteSapma-IF($H230="HAYIR",kpg_kaliteCeza,0))))</f>
        <v/>
      </c>
    </row>
    <row r="231">
      <c r="A231" s="15" t="n"/>
      <c r="B231" s="15" t="n"/>
      <c r="C231" s="15" t="n"/>
      <c r="D231" s="15" t="n"/>
      <c r="E231" s="16" t="n"/>
      <c r="F231" s="17" t="n"/>
      <c r="G231" s="17" t="n"/>
      <c r="H231" s="15" t="n"/>
      <c r="I231" s="18">
        <f>IF($A231="","",SUMIF(tblGunluk[VarlikId],$A231,tblGunluk[TahsilatTl_tl]))</f>
        <v/>
      </c>
      <c r="J231" s="18">
        <f>IF($A231="","",IFERROR(AVERAGEIF(tblGunluk[VarlikId],$A231,tblGunluk[FormulDoluluk_oran]),0))</f>
        <v/>
      </c>
      <c r="K231" s="18">
        <f>IF($A231="","",SUMIF(tblGunluk[VarlikId],$A231,tblGunluk[GiderTl_tl]))</f>
        <v/>
      </c>
      <c r="L231" s="18">
        <f>IF($A231="","",MAX(0,MIN(100,kpg_kaliteTaban-IF($J231&lt;kpg_esikDoluluk,kpg_kaliteCeza,0)-COUNTIFS(tblGunluk[VarlikId],$A231,tblGunluk[AlarmBayrak],"ALARM")*kpg_kaliteSapma-IF($H231="HAYIR",kpg_kaliteCeza,0))))</f>
        <v/>
      </c>
    </row>
    <row r="232">
      <c r="A232" s="15" t="n"/>
      <c r="B232" s="15" t="n"/>
      <c r="C232" s="15" t="n"/>
      <c r="D232" s="15" t="n"/>
      <c r="E232" s="16" t="n"/>
      <c r="F232" s="17" t="n"/>
      <c r="G232" s="17" t="n"/>
      <c r="H232" s="15" t="n"/>
      <c r="I232" s="18">
        <f>IF($A232="","",SUMIF(tblGunluk[VarlikId],$A232,tblGunluk[TahsilatTl_tl]))</f>
        <v/>
      </c>
      <c r="J232" s="18">
        <f>IF($A232="","",IFERROR(AVERAGEIF(tblGunluk[VarlikId],$A232,tblGunluk[FormulDoluluk_oran]),0))</f>
        <v/>
      </c>
      <c r="K232" s="18">
        <f>IF($A232="","",SUMIF(tblGunluk[VarlikId],$A232,tblGunluk[GiderTl_tl]))</f>
        <v/>
      </c>
      <c r="L232" s="18">
        <f>IF($A232="","",MAX(0,MIN(100,kpg_kaliteTaban-IF($J232&lt;kpg_esikDoluluk,kpg_kaliteCeza,0)-COUNTIFS(tblGunluk[VarlikId],$A232,tblGunluk[AlarmBayrak],"ALARM")*kpg_kaliteSapma-IF($H232="HAYIR",kpg_kaliteCeza,0))))</f>
        <v/>
      </c>
    </row>
    <row r="233">
      <c r="A233" s="15" t="n"/>
      <c r="B233" s="15" t="n"/>
      <c r="C233" s="15" t="n"/>
      <c r="D233" s="15" t="n"/>
      <c r="E233" s="16" t="n"/>
      <c r="F233" s="17" t="n"/>
      <c r="G233" s="17" t="n"/>
      <c r="H233" s="15" t="n"/>
      <c r="I233" s="18">
        <f>IF($A233="","",SUMIF(tblGunluk[VarlikId],$A233,tblGunluk[TahsilatTl_tl]))</f>
        <v/>
      </c>
      <c r="J233" s="18">
        <f>IF($A233="","",IFERROR(AVERAGEIF(tblGunluk[VarlikId],$A233,tblGunluk[FormulDoluluk_oran]),0))</f>
        <v/>
      </c>
      <c r="K233" s="18">
        <f>IF($A233="","",SUMIF(tblGunluk[VarlikId],$A233,tblGunluk[GiderTl_tl]))</f>
        <v/>
      </c>
      <c r="L233" s="18">
        <f>IF($A233="","",MAX(0,MIN(100,kpg_kaliteTaban-IF($J233&lt;kpg_esikDoluluk,kpg_kaliteCeza,0)-COUNTIFS(tblGunluk[VarlikId],$A233,tblGunluk[AlarmBayrak],"ALARM")*kpg_kaliteSapma-IF($H233="HAYIR",kpg_kaliteCeza,0))))</f>
        <v/>
      </c>
    </row>
    <row r="234">
      <c r="A234" s="15" t="n"/>
      <c r="B234" s="15" t="n"/>
      <c r="C234" s="15" t="n"/>
      <c r="D234" s="15" t="n"/>
      <c r="E234" s="16" t="n"/>
      <c r="F234" s="17" t="n"/>
      <c r="G234" s="17" t="n"/>
      <c r="H234" s="15" t="n"/>
      <c r="I234" s="18">
        <f>IF($A234="","",SUMIF(tblGunluk[VarlikId],$A234,tblGunluk[TahsilatTl_tl]))</f>
        <v/>
      </c>
      <c r="J234" s="18">
        <f>IF($A234="","",IFERROR(AVERAGEIF(tblGunluk[VarlikId],$A234,tblGunluk[FormulDoluluk_oran]),0))</f>
        <v/>
      </c>
      <c r="K234" s="18">
        <f>IF($A234="","",SUMIF(tblGunluk[VarlikId],$A234,tblGunluk[GiderTl_tl]))</f>
        <v/>
      </c>
      <c r="L234" s="18">
        <f>IF($A234="","",MAX(0,MIN(100,kpg_kaliteTaban-IF($J234&lt;kpg_esikDoluluk,kpg_kaliteCeza,0)-COUNTIFS(tblGunluk[VarlikId],$A234,tblGunluk[AlarmBayrak],"ALARM")*kpg_kaliteSapma-IF($H234="HAYIR",kpg_kaliteCeza,0))))</f>
        <v/>
      </c>
    </row>
    <row r="235">
      <c r="A235" s="15" t="n"/>
      <c r="B235" s="15" t="n"/>
      <c r="C235" s="15" t="n"/>
      <c r="D235" s="15" t="n"/>
      <c r="E235" s="16" t="n"/>
      <c r="F235" s="17" t="n"/>
      <c r="G235" s="17" t="n"/>
      <c r="H235" s="15" t="n"/>
      <c r="I235" s="18">
        <f>IF($A235="","",SUMIF(tblGunluk[VarlikId],$A235,tblGunluk[TahsilatTl_tl]))</f>
        <v/>
      </c>
      <c r="J235" s="18">
        <f>IF($A235="","",IFERROR(AVERAGEIF(tblGunluk[VarlikId],$A235,tblGunluk[FormulDoluluk_oran]),0))</f>
        <v/>
      </c>
      <c r="K235" s="18">
        <f>IF($A235="","",SUMIF(tblGunluk[VarlikId],$A235,tblGunluk[GiderTl_tl]))</f>
        <v/>
      </c>
      <c r="L235" s="18">
        <f>IF($A235="","",MAX(0,MIN(100,kpg_kaliteTaban-IF($J235&lt;kpg_esikDoluluk,kpg_kaliteCeza,0)-COUNTIFS(tblGunluk[VarlikId],$A235,tblGunluk[AlarmBayrak],"ALARM")*kpg_kaliteSapma-IF($H235="HAYIR",kpg_kaliteCeza,0))))</f>
        <v/>
      </c>
    </row>
    <row r="236">
      <c r="A236" s="15" t="n"/>
      <c r="B236" s="15" t="n"/>
      <c r="C236" s="15" t="n"/>
      <c r="D236" s="15" t="n"/>
      <c r="E236" s="16" t="n"/>
      <c r="F236" s="17" t="n"/>
      <c r="G236" s="17" t="n"/>
      <c r="H236" s="15" t="n"/>
      <c r="I236" s="18">
        <f>IF($A236="","",SUMIF(tblGunluk[VarlikId],$A236,tblGunluk[TahsilatTl_tl]))</f>
        <v/>
      </c>
      <c r="J236" s="18">
        <f>IF($A236="","",IFERROR(AVERAGEIF(tblGunluk[VarlikId],$A236,tblGunluk[FormulDoluluk_oran]),0))</f>
        <v/>
      </c>
      <c r="K236" s="18">
        <f>IF($A236="","",SUMIF(tblGunluk[VarlikId],$A236,tblGunluk[GiderTl_tl]))</f>
        <v/>
      </c>
      <c r="L236" s="18">
        <f>IF($A236="","",MAX(0,MIN(100,kpg_kaliteTaban-IF($J236&lt;kpg_esikDoluluk,kpg_kaliteCeza,0)-COUNTIFS(tblGunluk[VarlikId],$A236,tblGunluk[AlarmBayrak],"ALARM")*kpg_kaliteSapma-IF($H236="HAYIR",kpg_kaliteCeza,0))))</f>
        <v/>
      </c>
    </row>
    <row r="237">
      <c r="A237" s="15" t="n"/>
      <c r="B237" s="15" t="n"/>
      <c r="C237" s="15" t="n"/>
      <c r="D237" s="15" t="n"/>
      <c r="E237" s="16" t="n"/>
      <c r="F237" s="17" t="n"/>
      <c r="G237" s="17" t="n"/>
      <c r="H237" s="15" t="n"/>
      <c r="I237" s="18">
        <f>IF($A237="","",SUMIF(tblGunluk[VarlikId],$A237,tblGunluk[TahsilatTl_tl]))</f>
        <v/>
      </c>
      <c r="J237" s="18">
        <f>IF($A237="","",IFERROR(AVERAGEIF(tblGunluk[VarlikId],$A237,tblGunluk[FormulDoluluk_oran]),0))</f>
        <v/>
      </c>
      <c r="K237" s="18">
        <f>IF($A237="","",SUMIF(tblGunluk[VarlikId],$A237,tblGunluk[GiderTl_tl]))</f>
        <v/>
      </c>
      <c r="L237" s="18">
        <f>IF($A237="","",MAX(0,MIN(100,kpg_kaliteTaban-IF($J237&lt;kpg_esikDoluluk,kpg_kaliteCeza,0)-COUNTIFS(tblGunluk[VarlikId],$A237,tblGunluk[AlarmBayrak],"ALARM")*kpg_kaliteSapma-IF($H237="HAYIR",kpg_kaliteCeza,0))))</f>
        <v/>
      </c>
    </row>
    <row r="238">
      <c r="A238" s="15" t="n"/>
      <c r="B238" s="15" t="n"/>
      <c r="C238" s="15" t="n"/>
      <c r="D238" s="15" t="n"/>
      <c r="E238" s="16" t="n"/>
      <c r="F238" s="17" t="n"/>
      <c r="G238" s="17" t="n"/>
      <c r="H238" s="15" t="n"/>
      <c r="I238" s="18">
        <f>IF($A238="","",SUMIF(tblGunluk[VarlikId],$A238,tblGunluk[TahsilatTl_tl]))</f>
        <v/>
      </c>
      <c r="J238" s="18">
        <f>IF($A238="","",IFERROR(AVERAGEIF(tblGunluk[VarlikId],$A238,tblGunluk[FormulDoluluk_oran]),0))</f>
        <v/>
      </c>
      <c r="K238" s="18">
        <f>IF($A238="","",SUMIF(tblGunluk[VarlikId],$A238,tblGunluk[GiderTl_tl]))</f>
        <v/>
      </c>
      <c r="L238" s="18">
        <f>IF($A238="","",MAX(0,MIN(100,kpg_kaliteTaban-IF($J238&lt;kpg_esikDoluluk,kpg_kaliteCeza,0)-COUNTIFS(tblGunluk[VarlikId],$A238,tblGunluk[AlarmBayrak],"ALARM")*kpg_kaliteSapma-IF($H238="HAYIR",kpg_kaliteCeza,0))))</f>
        <v/>
      </c>
    </row>
    <row r="239">
      <c r="A239" s="15" t="n"/>
      <c r="B239" s="15" t="n"/>
      <c r="C239" s="15" t="n"/>
      <c r="D239" s="15" t="n"/>
      <c r="E239" s="16" t="n"/>
      <c r="F239" s="17" t="n"/>
      <c r="G239" s="17" t="n"/>
      <c r="H239" s="15" t="n"/>
      <c r="I239" s="18">
        <f>IF($A239="","",SUMIF(tblGunluk[VarlikId],$A239,tblGunluk[TahsilatTl_tl]))</f>
        <v/>
      </c>
      <c r="J239" s="18">
        <f>IF($A239="","",IFERROR(AVERAGEIF(tblGunluk[VarlikId],$A239,tblGunluk[FormulDoluluk_oran]),0))</f>
        <v/>
      </c>
      <c r="K239" s="18">
        <f>IF($A239="","",SUMIF(tblGunluk[VarlikId],$A239,tblGunluk[GiderTl_tl]))</f>
        <v/>
      </c>
      <c r="L239" s="18">
        <f>IF($A239="","",MAX(0,MIN(100,kpg_kaliteTaban-IF($J239&lt;kpg_esikDoluluk,kpg_kaliteCeza,0)-COUNTIFS(tblGunluk[VarlikId],$A239,tblGunluk[AlarmBayrak],"ALARM")*kpg_kaliteSapma-IF($H239="HAYIR",kpg_kaliteCeza,0))))</f>
        <v/>
      </c>
    </row>
    <row r="240">
      <c r="A240" s="15" t="n"/>
      <c r="B240" s="15" t="n"/>
      <c r="C240" s="15" t="n"/>
      <c r="D240" s="15" t="n"/>
      <c r="E240" s="16" t="n"/>
      <c r="F240" s="17" t="n"/>
      <c r="G240" s="17" t="n"/>
      <c r="H240" s="15" t="n"/>
      <c r="I240" s="18">
        <f>IF($A240="","",SUMIF(tblGunluk[VarlikId],$A240,tblGunluk[TahsilatTl_tl]))</f>
        <v/>
      </c>
      <c r="J240" s="18">
        <f>IF($A240="","",IFERROR(AVERAGEIF(tblGunluk[VarlikId],$A240,tblGunluk[FormulDoluluk_oran]),0))</f>
        <v/>
      </c>
      <c r="K240" s="18">
        <f>IF($A240="","",SUMIF(tblGunluk[VarlikId],$A240,tblGunluk[GiderTl_tl]))</f>
        <v/>
      </c>
      <c r="L240" s="18">
        <f>IF($A240="","",MAX(0,MIN(100,kpg_kaliteTaban-IF($J240&lt;kpg_esikDoluluk,kpg_kaliteCeza,0)-COUNTIFS(tblGunluk[VarlikId],$A240,tblGunluk[AlarmBayrak],"ALARM")*kpg_kaliteSapma-IF($H240="HAYIR",kpg_kaliteCeza,0))))</f>
        <v/>
      </c>
    </row>
    <row r="241">
      <c r="A241" s="15" t="n"/>
      <c r="B241" s="15" t="n"/>
      <c r="C241" s="15" t="n"/>
      <c r="D241" s="15" t="n"/>
      <c r="E241" s="16" t="n"/>
      <c r="F241" s="17" t="n"/>
      <c r="G241" s="17" t="n"/>
      <c r="H241" s="15" t="n"/>
      <c r="I241" s="18">
        <f>IF($A241="","",SUMIF(tblGunluk[VarlikId],$A241,tblGunluk[TahsilatTl_tl]))</f>
        <v/>
      </c>
      <c r="J241" s="18">
        <f>IF($A241="","",IFERROR(AVERAGEIF(tblGunluk[VarlikId],$A241,tblGunluk[FormulDoluluk_oran]),0))</f>
        <v/>
      </c>
      <c r="K241" s="18">
        <f>IF($A241="","",SUMIF(tblGunluk[VarlikId],$A241,tblGunluk[GiderTl_tl]))</f>
        <v/>
      </c>
      <c r="L241" s="18">
        <f>IF($A241="","",MAX(0,MIN(100,kpg_kaliteTaban-IF($J241&lt;kpg_esikDoluluk,kpg_kaliteCeza,0)-COUNTIFS(tblGunluk[VarlikId],$A241,tblGunluk[AlarmBayrak],"ALARM")*kpg_kaliteSapma-IF($H241="HAYIR",kpg_kaliteCeza,0))))</f>
        <v/>
      </c>
    </row>
    <row r="242">
      <c r="A242" s="15" t="n"/>
      <c r="B242" s="15" t="n"/>
      <c r="C242" s="15" t="n"/>
      <c r="D242" s="15" t="n"/>
      <c r="E242" s="16" t="n"/>
      <c r="F242" s="17" t="n"/>
      <c r="G242" s="17" t="n"/>
      <c r="H242" s="15" t="n"/>
      <c r="I242" s="18">
        <f>IF($A242="","",SUMIF(tblGunluk[VarlikId],$A242,tblGunluk[TahsilatTl_tl]))</f>
        <v/>
      </c>
      <c r="J242" s="18">
        <f>IF($A242="","",IFERROR(AVERAGEIF(tblGunluk[VarlikId],$A242,tblGunluk[FormulDoluluk_oran]),0))</f>
        <v/>
      </c>
      <c r="K242" s="18">
        <f>IF($A242="","",SUMIF(tblGunluk[VarlikId],$A242,tblGunluk[GiderTl_tl]))</f>
        <v/>
      </c>
      <c r="L242" s="18">
        <f>IF($A242="","",MAX(0,MIN(100,kpg_kaliteTaban-IF($J242&lt;kpg_esikDoluluk,kpg_kaliteCeza,0)-COUNTIFS(tblGunluk[VarlikId],$A242,tblGunluk[AlarmBayrak],"ALARM")*kpg_kaliteSapma-IF($H242="HAYIR",kpg_kaliteCeza,0))))</f>
        <v/>
      </c>
    </row>
    <row r="243">
      <c r="A243" s="15" t="n"/>
      <c r="B243" s="15" t="n"/>
      <c r="C243" s="15" t="n"/>
      <c r="D243" s="15" t="n"/>
      <c r="E243" s="16" t="n"/>
      <c r="F243" s="17" t="n"/>
      <c r="G243" s="17" t="n"/>
      <c r="H243" s="15" t="n"/>
      <c r="I243" s="18">
        <f>IF($A243="","",SUMIF(tblGunluk[VarlikId],$A243,tblGunluk[TahsilatTl_tl]))</f>
        <v/>
      </c>
      <c r="J243" s="18">
        <f>IF($A243="","",IFERROR(AVERAGEIF(tblGunluk[VarlikId],$A243,tblGunluk[FormulDoluluk_oran]),0))</f>
        <v/>
      </c>
      <c r="K243" s="18">
        <f>IF($A243="","",SUMIF(tblGunluk[VarlikId],$A243,tblGunluk[GiderTl_tl]))</f>
        <v/>
      </c>
      <c r="L243" s="18">
        <f>IF($A243="","",MAX(0,MIN(100,kpg_kaliteTaban-IF($J243&lt;kpg_esikDoluluk,kpg_kaliteCeza,0)-COUNTIFS(tblGunluk[VarlikId],$A243,tblGunluk[AlarmBayrak],"ALARM")*kpg_kaliteSapma-IF($H243="HAYIR",kpg_kaliteCeza,0))))</f>
        <v/>
      </c>
    </row>
    <row r="244">
      <c r="A244" s="15" t="n"/>
      <c r="B244" s="15" t="n"/>
      <c r="C244" s="15" t="n"/>
      <c r="D244" s="15" t="n"/>
      <c r="E244" s="16" t="n"/>
      <c r="F244" s="17" t="n"/>
      <c r="G244" s="17" t="n"/>
      <c r="H244" s="15" t="n"/>
      <c r="I244" s="18">
        <f>IF($A244="","",SUMIF(tblGunluk[VarlikId],$A244,tblGunluk[TahsilatTl_tl]))</f>
        <v/>
      </c>
      <c r="J244" s="18">
        <f>IF($A244="","",IFERROR(AVERAGEIF(tblGunluk[VarlikId],$A244,tblGunluk[FormulDoluluk_oran]),0))</f>
        <v/>
      </c>
      <c r="K244" s="18">
        <f>IF($A244="","",SUMIF(tblGunluk[VarlikId],$A244,tblGunluk[GiderTl_tl]))</f>
        <v/>
      </c>
      <c r="L244" s="18">
        <f>IF($A244="","",MAX(0,MIN(100,kpg_kaliteTaban-IF($J244&lt;kpg_esikDoluluk,kpg_kaliteCeza,0)-COUNTIFS(tblGunluk[VarlikId],$A244,tblGunluk[AlarmBayrak],"ALARM")*kpg_kaliteSapma-IF($H244="HAYIR",kpg_kaliteCeza,0))))</f>
        <v/>
      </c>
    </row>
    <row r="245">
      <c r="A245" s="15" t="n"/>
      <c r="B245" s="15" t="n"/>
      <c r="C245" s="15" t="n"/>
      <c r="D245" s="15" t="n"/>
      <c r="E245" s="16" t="n"/>
      <c r="F245" s="17" t="n"/>
      <c r="G245" s="17" t="n"/>
      <c r="H245" s="15" t="n"/>
      <c r="I245" s="18">
        <f>IF($A245="","",SUMIF(tblGunluk[VarlikId],$A245,tblGunluk[TahsilatTl_tl]))</f>
        <v/>
      </c>
      <c r="J245" s="18">
        <f>IF($A245="","",IFERROR(AVERAGEIF(tblGunluk[VarlikId],$A245,tblGunluk[FormulDoluluk_oran]),0))</f>
        <v/>
      </c>
      <c r="K245" s="18">
        <f>IF($A245="","",SUMIF(tblGunluk[VarlikId],$A245,tblGunluk[GiderTl_tl]))</f>
        <v/>
      </c>
      <c r="L245" s="18">
        <f>IF($A245="","",MAX(0,MIN(100,kpg_kaliteTaban-IF($J245&lt;kpg_esikDoluluk,kpg_kaliteCeza,0)-COUNTIFS(tblGunluk[VarlikId],$A245,tblGunluk[AlarmBayrak],"ALARM")*kpg_kaliteSapma-IF($H245="HAYIR",kpg_kaliteCeza,0))))</f>
        <v/>
      </c>
    </row>
    <row r="246">
      <c r="A246" s="15" t="n"/>
      <c r="B246" s="15" t="n"/>
      <c r="C246" s="15" t="n"/>
      <c r="D246" s="15" t="n"/>
      <c r="E246" s="16" t="n"/>
      <c r="F246" s="17" t="n"/>
      <c r="G246" s="17" t="n"/>
      <c r="H246" s="15" t="n"/>
      <c r="I246" s="18">
        <f>IF($A246="","",SUMIF(tblGunluk[VarlikId],$A246,tblGunluk[TahsilatTl_tl]))</f>
        <v/>
      </c>
      <c r="J246" s="18">
        <f>IF($A246="","",IFERROR(AVERAGEIF(tblGunluk[VarlikId],$A246,tblGunluk[FormulDoluluk_oran]),0))</f>
        <v/>
      </c>
      <c r="K246" s="18">
        <f>IF($A246="","",SUMIF(tblGunluk[VarlikId],$A246,tblGunluk[GiderTl_tl]))</f>
        <v/>
      </c>
      <c r="L246" s="18">
        <f>IF($A246="","",MAX(0,MIN(100,kpg_kaliteTaban-IF($J246&lt;kpg_esikDoluluk,kpg_kaliteCeza,0)-COUNTIFS(tblGunluk[VarlikId],$A246,tblGunluk[AlarmBayrak],"ALARM")*kpg_kaliteSapma-IF($H246="HAYIR",kpg_kaliteCeza,0))))</f>
        <v/>
      </c>
    </row>
    <row r="247">
      <c r="A247" s="15" t="n"/>
      <c r="B247" s="15" t="n"/>
      <c r="C247" s="15" t="n"/>
      <c r="D247" s="15" t="n"/>
      <c r="E247" s="16" t="n"/>
      <c r="F247" s="17" t="n"/>
      <c r="G247" s="17" t="n"/>
      <c r="H247" s="15" t="n"/>
      <c r="I247" s="18">
        <f>IF($A247="","",SUMIF(tblGunluk[VarlikId],$A247,tblGunluk[TahsilatTl_tl]))</f>
        <v/>
      </c>
      <c r="J247" s="18">
        <f>IF($A247="","",IFERROR(AVERAGEIF(tblGunluk[VarlikId],$A247,tblGunluk[FormulDoluluk_oran]),0))</f>
        <v/>
      </c>
      <c r="K247" s="18">
        <f>IF($A247="","",SUMIF(tblGunluk[VarlikId],$A247,tblGunluk[GiderTl_tl]))</f>
        <v/>
      </c>
      <c r="L247" s="18">
        <f>IF($A247="","",MAX(0,MIN(100,kpg_kaliteTaban-IF($J247&lt;kpg_esikDoluluk,kpg_kaliteCeza,0)-COUNTIFS(tblGunluk[VarlikId],$A247,tblGunluk[AlarmBayrak],"ALARM")*kpg_kaliteSapma-IF($H247="HAYIR",kpg_kaliteCeza,0))))</f>
        <v/>
      </c>
    </row>
    <row r="248">
      <c r="A248" s="15" t="n"/>
      <c r="B248" s="15" t="n"/>
      <c r="C248" s="15" t="n"/>
      <c r="D248" s="15" t="n"/>
      <c r="E248" s="16" t="n"/>
      <c r="F248" s="17" t="n"/>
      <c r="G248" s="17" t="n"/>
      <c r="H248" s="15" t="n"/>
      <c r="I248" s="18">
        <f>IF($A248="","",SUMIF(tblGunluk[VarlikId],$A248,tblGunluk[TahsilatTl_tl]))</f>
        <v/>
      </c>
      <c r="J248" s="18">
        <f>IF($A248="","",IFERROR(AVERAGEIF(tblGunluk[VarlikId],$A248,tblGunluk[FormulDoluluk_oran]),0))</f>
        <v/>
      </c>
      <c r="K248" s="18">
        <f>IF($A248="","",SUMIF(tblGunluk[VarlikId],$A248,tblGunluk[GiderTl_tl]))</f>
        <v/>
      </c>
      <c r="L248" s="18">
        <f>IF($A248="","",MAX(0,MIN(100,kpg_kaliteTaban-IF($J248&lt;kpg_esikDoluluk,kpg_kaliteCeza,0)-COUNTIFS(tblGunluk[VarlikId],$A248,tblGunluk[AlarmBayrak],"ALARM")*kpg_kaliteSapma-IF($H248="HAYIR",kpg_kaliteCeza,0))))</f>
        <v/>
      </c>
    </row>
    <row r="249">
      <c r="A249" s="15" t="n"/>
      <c r="B249" s="15" t="n"/>
      <c r="C249" s="15" t="n"/>
      <c r="D249" s="15" t="n"/>
      <c r="E249" s="16" t="n"/>
      <c r="F249" s="17" t="n"/>
      <c r="G249" s="17" t="n"/>
      <c r="H249" s="15" t="n"/>
      <c r="I249" s="18">
        <f>IF($A249="","",SUMIF(tblGunluk[VarlikId],$A249,tblGunluk[TahsilatTl_tl]))</f>
        <v/>
      </c>
      <c r="J249" s="18">
        <f>IF($A249="","",IFERROR(AVERAGEIF(tblGunluk[VarlikId],$A249,tblGunluk[FormulDoluluk_oran]),0))</f>
        <v/>
      </c>
      <c r="K249" s="18">
        <f>IF($A249="","",SUMIF(tblGunluk[VarlikId],$A249,tblGunluk[GiderTl_tl]))</f>
        <v/>
      </c>
      <c r="L249" s="18">
        <f>IF($A249="","",MAX(0,MIN(100,kpg_kaliteTaban-IF($J249&lt;kpg_esikDoluluk,kpg_kaliteCeza,0)-COUNTIFS(tblGunluk[VarlikId],$A249,tblGunluk[AlarmBayrak],"ALARM")*kpg_kaliteSapma-IF($H249="HAYIR",kpg_kaliteCeza,0))))</f>
        <v/>
      </c>
    </row>
    <row r="250">
      <c r="A250" s="15" t="n"/>
      <c r="B250" s="15" t="n"/>
      <c r="C250" s="15" t="n"/>
      <c r="D250" s="15" t="n"/>
      <c r="E250" s="16" t="n"/>
      <c r="F250" s="17" t="n"/>
      <c r="G250" s="17" t="n"/>
      <c r="H250" s="15" t="n"/>
      <c r="I250" s="18">
        <f>IF($A250="","",SUMIF(tblGunluk[VarlikId],$A250,tblGunluk[TahsilatTl_tl]))</f>
        <v/>
      </c>
      <c r="J250" s="18">
        <f>IF($A250="","",IFERROR(AVERAGEIF(tblGunluk[VarlikId],$A250,tblGunluk[FormulDoluluk_oran]),0))</f>
        <v/>
      </c>
      <c r="K250" s="18">
        <f>IF($A250="","",SUMIF(tblGunluk[VarlikId],$A250,tblGunluk[GiderTl_tl]))</f>
        <v/>
      </c>
      <c r="L250" s="18">
        <f>IF($A250="","",MAX(0,MIN(100,kpg_kaliteTaban-IF($J250&lt;kpg_esikDoluluk,kpg_kaliteCeza,0)-COUNTIFS(tblGunluk[VarlikId],$A250,tblGunluk[AlarmBayrak],"ALARM")*kpg_kaliteSapma-IF($H250="HAYIR",kpg_kaliteCeza,0))))</f>
        <v/>
      </c>
    </row>
    <row r="251">
      <c r="A251" s="15" t="n"/>
      <c r="B251" s="15" t="n"/>
      <c r="C251" s="15" t="n"/>
      <c r="D251" s="15" t="n"/>
      <c r="E251" s="16" t="n"/>
      <c r="F251" s="17" t="n"/>
      <c r="G251" s="17" t="n"/>
      <c r="H251" s="15" t="n"/>
      <c r="I251" s="18">
        <f>IF($A251="","",SUMIF(tblGunluk[VarlikId],$A251,tblGunluk[TahsilatTl_tl]))</f>
        <v/>
      </c>
      <c r="J251" s="18">
        <f>IF($A251="","",IFERROR(AVERAGEIF(tblGunluk[VarlikId],$A251,tblGunluk[FormulDoluluk_oran]),0))</f>
        <v/>
      </c>
      <c r="K251" s="18">
        <f>IF($A251="","",SUMIF(tblGunluk[VarlikId],$A251,tblGunluk[GiderTl_tl]))</f>
        <v/>
      </c>
      <c r="L251" s="18">
        <f>IF($A251="","",MAX(0,MIN(100,kpg_kaliteTaban-IF($J251&lt;kpg_esikDoluluk,kpg_kaliteCeza,0)-COUNTIFS(tblGunluk[VarlikId],$A251,tblGunluk[AlarmBayrak],"ALARM")*kpg_kaliteSapma-IF($H251="HAYIR",kpg_kaliteCeza,0))))</f>
        <v/>
      </c>
    </row>
    <row r="252">
      <c r="A252" s="15" t="n"/>
      <c r="B252" s="15" t="n"/>
      <c r="C252" s="15" t="n"/>
      <c r="D252" s="15" t="n"/>
      <c r="E252" s="16" t="n"/>
      <c r="F252" s="17" t="n"/>
      <c r="G252" s="17" t="n"/>
      <c r="H252" s="15" t="n"/>
      <c r="I252" s="18">
        <f>IF($A252="","",SUMIF(tblGunluk[VarlikId],$A252,tblGunluk[TahsilatTl_tl]))</f>
        <v/>
      </c>
      <c r="J252" s="18">
        <f>IF($A252="","",IFERROR(AVERAGEIF(tblGunluk[VarlikId],$A252,tblGunluk[FormulDoluluk_oran]),0))</f>
        <v/>
      </c>
      <c r="K252" s="18">
        <f>IF($A252="","",SUMIF(tblGunluk[VarlikId],$A252,tblGunluk[GiderTl_tl]))</f>
        <v/>
      </c>
      <c r="L252" s="18">
        <f>IF($A252="","",MAX(0,MIN(100,kpg_kaliteTaban-IF($J252&lt;kpg_esikDoluluk,kpg_kaliteCeza,0)-COUNTIFS(tblGunluk[VarlikId],$A252,tblGunluk[AlarmBayrak],"ALARM")*kpg_kaliteSapma-IF($H252="HAYIR",kpg_kaliteCeza,0))))</f>
        <v/>
      </c>
    </row>
    <row r="253">
      <c r="A253" s="15" t="n"/>
      <c r="B253" s="15" t="n"/>
      <c r="C253" s="15" t="n"/>
      <c r="D253" s="15" t="n"/>
      <c r="E253" s="16" t="n"/>
      <c r="F253" s="17" t="n"/>
      <c r="G253" s="17" t="n"/>
      <c r="H253" s="15" t="n"/>
      <c r="I253" s="18">
        <f>IF($A253="","",SUMIF(tblGunluk[VarlikId],$A253,tblGunluk[TahsilatTl_tl]))</f>
        <v/>
      </c>
      <c r="J253" s="18">
        <f>IF($A253="","",IFERROR(AVERAGEIF(tblGunluk[VarlikId],$A253,tblGunluk[FormulDoluluk_oran]),0))</f>
        <v/>
      </c>
      <c r="K253" s="18">
        <f>IF($A253="","",SUMIF(tblGunluk[VarlikId],$A253,tblGunluk[GiderTl_tl]))</f>
        <v/>
      </c>
      <c r="L253" s="18">
        <f>IF($A253="","",MAX(0,MIN(100,kpg_kaliteTaban-IF($J253&lt;kpg_esikDoluluk,kpg_kaliteCeza,0)-COUNTIFS(tblGunluk[VarlikId],$A253,tblGunluk[AlarmBayrak],"ALARM")*kpg_kaliteSapma-IF($H253="HAYIR",kpg_kaliteCeza,0))))</f>
        <v/>
      </c>
    </row>
    <row r="254">
      <c r="A254" s="15" t="n"/>
      <c r="B254" s="15" t="n"/>
      <c r="C254" s="15" t="n"/>
      <c r="D254" s="15" t="n"/>
      <c r="E254" s="16" t="n"/>
      <c r="F254" s="17" t="n"/>
      <c r="G254" s="17" t="n"/>
      <c r="H254" s="15" t="n"/>
      <c r="I254" s="18">
        <f>IF($A254="","",SUMIF(tblGunluk[VarlikId],$A254,tblGunluk[TahsilatTl_tl]))</f>
        <v/>
      </c>
      <c r="J254" s="18">
        <f>IF($A254="","",IFERROR(AVERAGEIF(tblGunluk[VarlikId],$A254,tblGunluk[FormulDoluluk_oran]),0))</f>
        <v/>
      </c>
      <c r="K254" s="18">
        <f>IF($A254="","",SUMIF(tblGunluk[VarlikId],$A254,tblGunluk[GiderTl_tl]))</f>
        <v/>
      </c>
      <c r="L254" s="18">
        <f>IF($A254="","",MAX(0,MIN(100,kpg_kaliteTaban-IF($J254&lt;kpg_esikDoluluk,kpg_kaliteCeza,0)-COUNTIFS(tblGunluk[VarlikId],$A254,tblGunluk[AlarmBayrak],"ALARM")*kpg_kaliteSapma-IF($H254="HAYIR",kpg_kaliteCeza,0))))</f>
        <v/>
      </c>
    </row>
    <row r="255">
      <c r="A255" s="15" t="n"/>
      <c r="B255" s="15" t="n"/>
      <c r="C255" s="15" t="n"/>
      <c r="D255" s="15" t="n"/>
      <c r="E255" s="16" t="n"/>
      <c r="F255" s="17" t="n"/>
      <c r="G255" s="17" t="n"/>
      <c r="H255" s="15" t="n"/>
      <c r="I255" s="18">
        <f>IF($A255="","",SUMIF(tblGunluk[VarlikId],$A255,tblGunluk[TahsilatTl_tl]))</f>
        <v/>
      </c>
      <c r="J255" s="18">
        <f>IF($A255="","",IFERROR(AVERAGEIF(tblGunluk[VarlikId],$A255,tblGunluk[FormulDoluluk_oran]),0))</f>
        <v/>
      </c>
      <c r="K255" s="18">
        <f>IF($A255="","",SUMIF(tblGunluk[VarlikId],$A255,tblGunluk[GiderTl_tl]))</f>
        <v/>
      </c>
      <c r="L255" s="18">
        <f>IF($A255="","",MAX(0,MIN(100,kpg_kaliteTaban-IF($J255&lt;kpg_esikDoluluk,kpg_kaliteCeza,0)-COUNTIFS(tblGunluk[VarlikId],$A255,tblGunluk[AlarmBayrak],"ALARM")*kpg_kaliteSapma-IF($H255="HAYIR",kpg_kaliteCeza,0))))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H6:H255">
    <cfRule type="cellIs" priority="1" operator="equal" dxfId="0">
      <formula>"HAYIR"</formula>
    </cfRule>
  </conditionalFormatting>
  <conditionalFormatting sqref="L6:L255">
    <cfRule type="cellIs" priority="2" operator="lessThan" dxfId="1">
      <formula>kpg_esikSaglik</formula>
    </cfRule>
  </conditionalFormatting>
  <conditionalFormatting sqref="J6:J255">
    <cfRule type="cellIs" priority="3" operator="lessThan" dxfId="0">
      <formula>kpg_esikDoluluk</formula>
    </cfRule>
  </conditionalFormatting>
  <dataValidations count="8">
    <dataValidation sqref="A6:A255" showDropDown="0" showInputMessage="1" showErrorMessage="1" allowBlank="1" errorTitle="Kimlik" error="En az 1 karakter" promptTitle="Varlık Kimliği" prompt="KIR-##### girin" type="textLength" errorStyle="stop" operator="greaterThan">
      <formula1>1</formula1>
      <formula2>40</formula2>
    </dataValidation>
    <dataValidation sqref="B6:B255" showDropDown="0" showInputMessage="1" showErrorMessage="1" allowBlank="1" errorTitle="Mülk Ad" error="Geçersiz" promptTitle="Mülk Ad" prompt="Mülk 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Tip" error="Geçersiz" promptTitle="Tip" prompt="Tip girin" type="textLength" errorStyle="stop" operator="greaterThanOrEqual">
      <formula1>0</formula1>
      <formula2>80</formula2>
    </dataValidation>
    <dataValidation sqref="D6:D25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E6:E255" showDropDown="0" showInputMessage="1" showErrorMessage="1" allowBlank="1" errorTitle="Metrekare [m2]" error="0 veya üzeri" promptTitle="Metrekare [m2]" prompt="Metrekare [m2] ≥ 0" type="decimal" errorStyle="stop" operator="greaterThanOrEqual">
      <formula1>0</formula1>
    </dataValidation>
    <dataValidation sqref="F6:F255" showDropDown="0" showInputMessage="1" showErrorMessage="1" allowBlank="1" errorTitle="Değer [TL]" error="0 veya üzeri" promptTitle="Değer [TL]" prompt="Değer [TL] ≥ 0" type="decimal" errorStyle="stop" operator="greaterThanOrEqual">
      <formula1>0</formula1>
    </dataValidation>
    <dataValidation sqref="G6:G255" showDropDown="0" showInputMessage="1" showErrorMessage="1" allowBlank="1" errorTitle="Hedef Kira [TL]" error="0 veya üzeri" promptTitle="Hedef Kira [TL]" prompt="Hedef Kira [TL]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A2744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6" customHeight="1">
      <c r="A1" s="1" t="inlineStr">
        <is>
          <t>GUNLUK GIRIS — Kira Portföyü Getiri Komutası</t>
        </is>
      </c>
    </row>
    <row r="3" ht="20" customHeight="1">
      <c r="A3" s="10" t="inlineStr">
        <is>
          <t>GÜNLÜK saha girişi — satır başına en fazla 6 manuel alan (S02)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TahsilatTl_tl</t>
        </is>
      </c>
      <c r="E5" s="14" t="inlineStr">
        <is>
          <t>BosGun_gun</t>
        </is>
      </c>
      <c r="F5" s="14" t="inlineStr">
        <is>
          <t>GiderTl_tl</t>
        </is>
      </c>
      <c r="G5" s="14" t="inlineStr">
        <is>
          <t>TufeOran_oran</t>
        </is>
      </c>
      <c r="H5" s="14" t="inlineStr">
        <is>
          <t>OlayTuru</t>
        </is>
      </c>
      <c r="I5" s="14" t="inlineStr">
        <is>
          <t>FormulHedefKira_tl</t>
        </is>
      </c>
      <c r="J5" s="14" t="inlineStr">
        <is>
          <t>FormulDoluluk_oran</t>
        </is>
      </c>
      <c r="K5" s="14" t="inlineStr">
        <is>
          <t>FormulGetiri_oran</t>
        </is>
      </c>
      <c r="L5" s="14" t="inlineStr">
        <is>
          <t>FormulNet_tl</t>
        </is>
      </c>
      <c r="M5" s="14" t="inlineStr">
        <is>
          <t>FormulTufeArtis_tl</t>
        </is>
      </c>
      <c r="N5" s="14" t="inlineStr">
        <is>
          <t>SaglikSkor_puan</t>
        </is>
      </c>
      <c r="O5" s="14" t="inlineStr">
        <is>
          <t>AlarmBayrak</t>
        </is>
      </c>
      <c r="P5" s="14" t="inlineStr">
        <is>
          <t>FormulKayitDolu</t>
        </is>
      </c>
      <c r="Q5" s="14" t="inlineStr">
        <is>
          <t>FormulYetim</t>
        </is>
      </c>
    </row>
    <row r="6">
      <c r="A6" s="15" t="inlineStr">
        <is>
          <t>KPG-00001</t>
        </is>
      </c>
      <c r="B6" s="15" t="inlineStr">
        <is>
          <t>KIR-00001</t>
        </is>
      </c>
      <c r="C6" s="60" t="n">
        <v>46242</v>
      </c>
      <c r="D6" s="17" t="n">
        <v>24640</v>
      </c>
      <c r="E6" s="20" t="n">
        <v>0</v>
      </c>
      <c r="F6" s="17" t="n">
        <v>1270</v>
      </c>
      <c r="G6" s="61" t="n">
        <v>0.39</v>
      </c>
      <c r="H6" s="15" t="inlineStr">
        <is>
          <t>BOSLUK</t>
        </is>
      </c>
      <c r="I6" s="18">
        <f>IF($A6="","",IFERROR(SUMIF(tblVarliklar[VarlikId],$B6,tblVarliklar[HedefKiraTl_tl]),kpg_varsayilanHedefKira))</f>
        <v/>
      </c>
      <c r="J6" s="18">
        <f>IF($A6="","",MAX(0, 1-$E6/kpg_gunAy))</f>
        <v/>
      </c>
      <c r="K6" s="18">
        <f>IF(OR($A6="",$I6=0),"",$D6/$I6)</f>
        <v/>
      </c>
      <c r="L6" s="18">
        <f>IF($A6="","",$D6-$F6)</f>
        <v/>
      </c>
      <c r="M6" s="18">
        <f>IF($A6="","",$I6*(1+$G6))</f>
        <v/>
      </c>
      <c r="N6" s="18">
        <f>IF($A6="","",MAX(0,MIN(100,kpg_kaliteTaban-IF($J6&lt;kpg_esikDoluluk,kpg_kaliteCeza,0)-IF($K6&lt;kpg_esikGetiri,kpg_kaliteSapma,0)-IF($Q6="YETIM",kpg_kaliteCeza,0))))</f>
        <v/>
      </c>
      <c r="O6" s="18">
        <f>IF($A6="","",IF(OR($J6&lt;kpg_esikDoluluk,$K6&lt;kpg_esikGetiri,$N6&lt;kpg_esikSaglik),"ALARM","UYGUN"))</f>
        <v/>
      </c>
      <c r="P6" s="18">
        <f>IF($A6="","",1)</f>
        <v/>
      </c>
      <c r="Q6" s="18">
        <f>IF($A6="","",IF(OR($B6="",COUNTIF(tblVarliklar[VarlikId],$B6)=0),"YETIM","TAMAM"))</f>
        <v/>
      </c>
    </row>
    <row r="7">
      <c r="A7" s="15" t="inlineStr">
        <is>
          <t>KPG-00002</t>
        </is>
      </c>
      <c r="B7" s="15" t="inlineStr">
        <is>
          <t>KIR-00002</t>
        </is>
      </c>
      <c r="C7" s="60" t="n">
        <v>46239</v>
      </c>
      <c r="D7" s="17" t="n">
        <v>20020</v>
      </c>
      <c r="E7" s="20" t="n">
        <v>0</v>
      </c>
      <c r="F7" s="17" t="n">
        <v>1740</v>
      </c>
      <c r="G7" s="61" t="n">
        <v>0.4</v>
      </c>
      <c r="H7" s="15" t="inlineStr">
        <is>
          <t>ARTIS_TUFE</t>
        </is>
      </c>
      <c r="I7" s="18">
        <f>IF($A7="","",IFERROR(SUMIF(tblVarliklar[VarlikId],$B7,tblVarliklar[HedefKiraTl_tl]),kpg_varsayilanHedefKira))</f>
        <v/>
      </c>
      <c r="J7" s="18">
        <f>IF($A7="","",MAX(0, 1-$E7/kpg_gunAy))</f>
        <v/>
      </c>
      <c r="K7" s="18">
        <f>IF(OR($A7="",$I7=0),"",$D7/$I7)</f>
        <v/>
      </c>
      <c r="L7" s="18">
        <f>IF($A7="","",$D7-$F7)</f>
        <v/>
      </c>
      <c r="M7" s="18">
        <f>IF($A7="","",$I7*(1+$G7))</f>
        <v/>
      </c>
      <c r="N7" s="18">
        <f>IF($A7="","",MAX(0,MIN(100,kpg_kaliteTaban-IF($J7&lt;kpg_esikDoluluk,kpg_kaliteCeza,0)-IF($K7&lt;kpg_esikGetiri,kpg_kaliteSapma,0)-IF($Q7="YETIM",kpg_kaliteCeza,0))))</f>
        <v/>
      </c>
      <c r="O7" s="18">
        <f>IF($A7="","",IF(OR($J7&lt;kpg_esikDoluluk,$K7&lt;kpg_esikGetiri,$N7&lt;kpg_esikSaglik),"ALARM","UYGUN"))</f>
        <v/>
      </c>
      <c r="P7" s="18">
        <f>IF($A7="","",1)</f>
        <v/>
      </c>
      <c r="Q7" s="18">
        <f>IF($A7="","",IF(OR($B7="",COUNTIF(tblVarliklar[VarlikId],$B7)=0),"YETIM","TAMAM"))</f>
        <v/>
      </c>
    </row>
    <row r="8">
      <c r="A8" s="15" t="inlineStr">
        <is>
          <t>KPG-00003</t>
        </is>
      </c>
      <c r="B8" s="15" t="inlineStr">
        <is>
          <t>KIR-00003</t>
        </is>
      </c>
      <c r="C8" s="60" t="n">
        <v>46236</v>
      </c>
      <c r="D8" s="17" t="n">
        <v>15792</v>
      </c>
      <c r="E8" s="20" t="n">
        <v>2</v>
      </c>
      <c r="F8" s="17" t="n">
        <v>2210</v>
      </c>
      <c r="G8" s="61" t="n">
        <v>0.38</v>
      </c>
      <c r="H8" s="15" t="inlineStr">
        <is>
          <t>GIDER</t>
        </is>
      </c>
      <c r="I8" s="18">
        <f>IF($A8="","",IFERROR(SUMIF(tblVarliklar[VarlikId],$B8,tblVarliklar[HedefKiraTl_tl]),kpg_varsayilanHedefKira))</f>
        <v/>
      </c>
      <c r="J8" s="18">
        <f>IF($A8="","",MAX(0, 1-$E8/kpg_gunAy))</f>
        <v/>
      </c>
      <c r="K8" s="18">
        <f>IF(OR($A8="",$I8=0),"",$D8/$I8)</f>
        <v/>
      </c>
      <c r="L8" s="18">
        <f>IF($A8="","",$D8-$F8)</f>
        <v/>
      </c>
      <c r="M8" s="18">
        <f>IF($A8="","",$I8*(1+$G8))</f>
        <v/>
      </c>
      <c r="N8" s="18">
        <f>IF($A8="","",MAX(0,MIN(100,kpg_kaliteTaban-IF($J8&lt;kpg_esikDoluluk,kpg_kaliteCeza,0)-IF($K8&lt;kpg_esikGetiri,kpg_kaliteSapma,0)-IF($Q8="YETIM",kpg_kaliteCeza,0))))</f>
        <v/>
      </c>
      <c r="O8" s="18">
        <f>IF($A8="","",IF(OR($J8&lt;kpg_esikDoluluk,$K8&lt;kpg_esikGetiri,$N8&lt;kpg_esikSaglik),"ALARM","UYGUN"))</f>
        <v/>
      </c>
      <c r="P8" s="18">
        <f>IF($A8="","",1)</f>
        <v/>
      </c>
      <c r="Q8" s="18">
        <f>IF($A8="","",IF(OR($B8="",COUNTIF(tblVarliklar[VarlikId],$B8)=0),"YETIM","TAMAM"))</f>
        <v/>
      </c>
    </row>
    <row r="9">
      <c r="A9" s="15" t="inlineStr">
        <is>
          <t>KPG-00004</t>
        </is>
      </c>
      <c r="B9" s="15" t="inlineStr">
        <is>
          <t>KIR-00004</t>
        </is>
      </c>
      <c r="C9" s="60" t="n">
        <v>46233</v>
      </c>
      <c r="D9" s="17" t="n">
        <v>13580</v>
      </c>
      <c r="E9" s="20" t="n">
        <v>0</v>
      </c>
      <c r="F9" s="17" t="n">
        <v>2200</v>
      </c>
      <c r="G9" s="61" t="n">
        <v>0.39</v>
      </c>
      <c r="H9" s="15" t="inlineStr">
        <is>
          <t>TAHSILAT_GECIKME</t>
        </is>
      </c>
      <c r="I9" s="18">
        <f>IF($A9="","",IFERROR(SUMIF(tblVarliklar[VarlikId],$B9,tblVarliklar[HedefKiraTl_tl]),kpg_varsayilanHedefKira))</f>
        <v/>
      </c>
      <c r="J9" s="18">
        <f>IF($A9="","",MAX(0, 1-$E9/kpg_gunAy))</f>
        <v/>
      </c>
      <c r="K9" s="18">
        <f>IF(OR($A9="",$I9=0),"",$D9/$I9)</f>
        <v/>
      </c>
      <c r="L9" s="18">
        <f>IF($A9="","",$D9-$F9)</f>
        <v/>
      </c>
      <c r="M9" s="18">
        <f>IF($A9="","",$I9*(1+$G9))</f>
        <v/>
      </c>
      <c r="N9" s="18">
        <f>IF($A9="","",MAX(0,MIN(100,kpg_kaliteTaban-IF($J9&lt;kpg_esikDoluluk,kpg_kaliteCeza,0)-IF($K9&lt;kpg_esikGetiri,kpg_kaliteSapma,0)-IF($Q9="YETIM",kpg_kaliteCeza,0))))</f>
        <v/>
      </c>
      <c r="O9" s="18">
        <f>IF($A9="","",IF(OR($J9&lt;kpg_esikDoluluk,$K9&lt;kpg_esikGetiri,$N9&lt;kpg_esikSaglik),"ALARM","UYGUN"))</f>
        <v/>
      </c>
      <c r="P9" s="18">
        <f>IF($A9="","",1)</f>
        <v/>
      </c>
      <c r="Q9" s="18">
        <f>IF($A9="","",IF(OR($B9="",COUNTIF(tblVarliklar[VarlikId],$B9)=0),"YETIM","TAMAM"))</f>
        <v/>
      </c>
    </row>
    <row r="10">
      <c r="A10" s="15" t="inlineStr">
        <is>
          <t>KPG-00005</t>
        </is>
      </c>
      <c r="B10" s="15" t="inlineStr">
        <is>
          <t>KIR-00005</t>
        </is>
      </c>
      <c r="C10" s="60" t="n">
        <v>46230</v>
      </c>
      <c r="D10" s="17" t="n">
        <v>18417</v>
      </c>
      <c r="E10" s="20" t="n">
        <v>5</v>
      </c>
      <c r="F10" s="17" t="n">
        <v>2670</v>
      </c>
      <c r="G10" s="61" t="n">
        <v>0.4</v>
      </c>
      <c r="H10" s="15" t="inlineStr">
        <is>
          <t>DIGER</t>
        </is>
      </c>
      <c r="I10" s="18">
        <f>IF($A10="","",IFERROR(SUMIF(tblVarliklar[VarlikId],$B10,tblVarliklar[HedefKiraTl_tl]),kpg_varsayilanHedefKira))</f>
        <v/>
      </c>
      <c r="J10" s="18">
        <f>IF($A10="","",MAX(0, 1-$E10/kpg_gunAy))</f>
        <v/>
      </c>
      <c r="K10" s="18">
        <f>IF(OR($A10="",$I10=0),"",$D10/$I10)</f>
        <v/>
      </c>
      <c r="L10" s="18">
        <f>IF($A10="","",$D10-$F10)</f>
        <v/>
      </c>
      <c r="M10" s="18">
        <f>IF($A10="","",$I10*(1+$G10))</f>
        <v/>
      </c>
      <c r="N10" s="18">
        <f>IF($A10="","",MAX(0,MIN(100,kpg_kaliteTaban-IF($J10&lt;kpg_esikDoluluk,kpg_kaliteCeza,0)-IF($K10&lt;kpg_esikGetiri,kpg_kaliteSapma,0)-IF($Q10="YETIM",kpg_kaliteCeza,0))))</f>
        <v/>
      </c>
      <c r="O10" s="18">
        <f>IF($A10="","",IF(OR($J10&lt;kpg_esikDoluluk,$K10&lt;kpg_esikGetiri,$N10&lt;kpg_esikSaglik),"ALARM","UYGUN"))</f>
        <v/>
      </c>
      <c r="P10" s="18">
        <f>IF($A10="","",1)</f>
        <v/>
      </c>
      <c r="Q10" s="18">
        <f>IF($A10="","",IF(OR($B10="",COUNTIF(tblVarliklar[VarlikId],$B10)=0),"YETIM","TAMAM"))</f>
        <v/>
      </c>
    </row>
    <row r="11">
      <c r="A11" s="15" t="inlineStr">
        <is>
          <t>KPG-00006</t>
        </is>
      </c>
      <c r="B11" s="15" t="inlineStr">
        <is>
          <t>KIR-00006</t>
        </is>
      </c>
      <c r="C11" s="60" t="n">
        <v>46227</v>
      </c>
      <c r="D11" s="17" t="n">
        <v>9856</v>
      </c>
      <c r="E11" s="20" t="n">
        <v>2</v>
      </c>
      <c r="F11" s="17" t="n">
        <v>1040</v>
      </c>
      <c r="G11" s="61" t="n">
        <v>0.38</v>
      </c>
      <c r="H11" s="15" t="inlineStr">
        <is>
          <t>TAHSILAT</t>
        </is>
      </c>
      <c r="I11" s="18">
        <f>IF($A11="","",IFERROR(SUMIF(tblVarliklar[VarlikId],$B11,tblVarliklar[HedefKiraTl_tl]),kpg_varsayilanHedefKira))</f>
        <v/>
      </c>
      <c r="J11" s="18">
        <f>IF($A11="","",MAX(0, 1-$E11/kpg_gunAy))</f>
        <v/>
      </c>
      <c r="K11" s="18">
        <f>IF(OR($A11="",$I11=0),"",$D11/$I11)</f>
        <v/>
      </c>
      <c r="L11" s="18">
        <f>IF($A11="","",$D11-$F11)</f>
        <v/>
      </c>
      <c r="M11" s="18">
        <f>IF($A11="","",$I11*(1+$G11))</f>
        <v/>
      </c>
      <c r="N11" s="18">
        <f>IF($A11="","",MAX(0,MIN(100,kpg_kaliteTaban-IF($J11&lt;kpg_esikDoluluk,kpg_kaliteCeza,0)-IF($K11&lt;kpg_esikGetiri,kpg_kaliteSapma,0)-IF($Q11="YETIM",kpg_kaliteCeza,0))))</f>
        <v/>
      </c>
      <c r="O11" s="18">
        <f>IF($A11="","",IF(OR($J11&lt;kpg_esikDoluluk,$K11&lt;kpg_esikGetiri,$N11&lt;kpg_esikSaglik),"ALARM","UYGUN"))</f>
        <v/>
      </c>
      <c r="P11" s="18">
        <f>IF($A11="","",1)</f>
        <v/>
      </c>
      <c r="Q11" s="18">
        <f>IF($A11="","",IF(OR($B11="",COUNTIF(tblVarliklar[VarlikId],$B11)=0),"YETIM","TAMAM"))</f>
        <v/>
      </c>
    </row>
    <row r="12">
      <c r="A12" s="15" t="inlineStr">
        <is>
          <t>KPG-00007</t>
        </is>
      </c>
      <c r="B12" s="15" t="inlineStr">
        <is>
          <t>KIR-00007</t>
        </is>
      </c>
      <c r="C12" s="60" t="n">
        <v>46224</v>
      </c>
      <c r="D12" s="17" t="n">
        <v>10010</v>
      </c>
      <c r="E12" s="20" t="n">
        <v>0</v>
      </c>
      <c r="F12" s="17" t="n">
        <v>1510</v>
      </c>
      <c r="G12" s="61" t="n">
        <v>0.39</v>
      </c>
      <c r="H12" s="15" t="inlineStr">
        <is>
          <t>BOSLUK</t>
        </is>
      </c>
      <c r="I12" s="18">
        <f>IF($A12="","",IFERROR(SUMIF(tblVarliklar[VarlikId],$B12,tblVarliklar[HedefKiraTl_tl]),kpg_varsayilanHedefKira))</f>
        <v/>
      </c>
      <c r="J12" s="18">
        <f>IF($A12="","",MAX(0, 1-$E12/kpg_gunAy))</f>
        <v/>
      </c>
      <c r="K12" s="18">
        <f>IF(OR($A12="",$I12=0),"",$D12/$I12)</f>
        <v/>
      </c>
      <c r="L12" s="18">
        <f>IF($A12="","",$D12-$F12)</f>
        <v/>
      </c>
      <c r="M12" s="18">
        <f>IF($A12="","",$I12*(1+$G12))</f>
        <v/>
      </c>
      <c r="N12" s="18">
        <f>IF($A12="","",MAX(0,MIN(100,kpg_kaliteTaban-IF($J12&lt;kpg_esikDoluluk,kpg_kaliteCeza,0)-IF($K12&lt;kpg_esikGetiri,kpg_kaliteSapma,0)-IF($Q12="YETIM",kpg_kaliteCeza,0))))</f>
        <v/>
      </c>
      <c r="O12" s="18">
        <f>IF($A12="","",IF(OR($J12&lt;kpg_esikDoluluk,$K12&lt;kpg_esikGetiri,$N12&lt;kpg_esikSaglik),"ALARM","UYGUN"))</f>
        <v/>
      </c>
      <c r="P12" s="18">
        <f>IF($A12="","",1)</f>
        <v/>
      </c>
      <c r="Q12" s="18">
        <f>IF($A12="","",IF(OR($B12="",COUNTIF(tblVarliklar[VarlikId],$B12)=0),"YETIM","TAMAM"))</f>
        <v/>
      </c>
    </row>
    <row r="13">
      <c r="A13" s="15" t="inlineStr">
        <is>
          <t>KPG-00008</t>
        </is>
      </c>
      <c r="B13" s="15" t="inlineStr">
        <is>
          <t>KIR-00008</t>
        </is>
      </c>
      <c r="C13" s="60" t="n">
        <v>46221</v>
      </c>
      <c r="D13" s="17" t="n">
        <v>8930</v>
      </c>
      <c r="E13" s="20" t="n">
        <v>0</v>
      </c>
      <c r="F13" s="17" t="n">
        <v>1500</v>
      </c>
      <c r="G13" s="61" t="n">
        <v>0.4</v>
      </c>
      <c r="H13" s="15" t="inlineStr">
        <is>
          <t>ARTIS_TUFE</t>
        </is>
      </c>
      <c r="I13" s="18">
        <f>IF($A13="","",IFERROR(SUMIF(tblVarliklar[VarlikId],$B13,tblVarliklar[HedefKiraTl_tl]),kpg_varsayilanHedefKira))</f>
        <v/>
      </c>
      <c r="J13" s="18">
        <f>IF($A13="","",MAX(0, 1-$E13/kpg_gunAy))</f>
        <v/>
      </c>
      <c r="K13" s="18">
        <f>IF(OR($A13="",$I13=0),"",$D13/$I13)</f>
        <v/>
      </c>
      <c r="L13" s="18">
        <f>IF($A13="","",$D13-$F13)</f>
        <v/>
      </c>
      <c r="M13" s="18">
        <f>IF($A13="","",$I13*(1+$G13))</f>
        <v/>
      </c>
      <c r="N13" s="18">
        <f>IF($A13="","",MAX(0,MIN(100,kpg_kaliteTaban-IF($J13&lt;kpg_esikDoluluk,kpg_kaliteCeza,0)-IF($K13&lt;kpg_esikGetiri,kpg_kaliteSapma,0)-IF($Q13="YETIM",kpg_kaliteCeza,0))))</f>
        <v/>
      </c>
      <c r="O13" s="18">
        <f>IF($A13="","",IF(OR($J13&lt;kpg_esikDoluluk,$K13&lt;kpg_esikGetiri,$N13&lt;kpg_esikSaglik),"ALARM","UYGUN"))</f>
        <v/>
      </c>
      <c r="P13" s="18">
        <f>IF($A13="","",1)</f>
        <v/>
      </c>
      <c r="Q13" s="18">
        <f>IF($A13="","",IF(OR($B13="",COUNTIF(tblVarliklar[VarlikId],$B13)=0),"YETIM","TAMAM"))</f>
        <v/>
      </c>
    </row>
    <row r="14">
      <c r="A14" s="15" t="inlineStr">
        <is>
          <t>KPG-00009</t>
        </is>
      </c>
      <c r="B14" s="15" t="inlineStr">
        <is>
          <t>KIR-00001</t>
        </is>
      </c>
      <c r="C14" s="60" t="n">
        <v>46218</v>
      </c>
      <c r="D14" s="17" t="n">
        <v>25349</v>
      </c>
      <c r="E14" s="20" t="n">
        <v>2</v>
      </c>
      <c r="F14" s="17" t="n">
        <v>1970</v>
      </c>
      <c r="G14" s="61" t="n">
        <v>0.44</v>
      </c>
      <c r="H14" s="15" t="inlineStr">
        <is>
          <t>GIDER</t>
        </is>
      </c>
      <c r="I14" s="18">
        <f>IF($A14="","",IFERROR(SUMIF(tblVarliklar[VarlikId],$B14,tblVarliklar[HedefKiraTl_tl]),kpg_varsayilanHedefKira))</f>
        <v/>
      </c>
      <c r="J14" s="18">
        <f>IF($A14="","",MAX(0, 1-$E14/kpg_gunAy))</f>
        <v/>
      </c>
      <c r="K14" s="18">
        <f>IF(OR($A14="",$I14=0),"",$D14/$I14)</f>
        <v/>
      </c>
      <c r="L14" s="18">
        <f>IF($A14="","",$D14-$F14)</f>
        <v/>
      </c>
      <c r="M14" s="18">
        <f>IF($A14="","",$I14*(1+$G14))</f>
        <v/>
      </c>
      <c r="N14" s="18">
        <f>IF($A14="","",MAX(0,MIN(100,kpg_kaliteTaban-IF($J14&lt;kpg_esikDoluluk,kpg_kaliteCeza,0)-IF($K14&lt;kpg_esikGetiri,kpg_kaliteSapma,0)-IF($Q14="YETIM",kpg_kaliteCeza,0))))</f>
        <v/>
      </c>
      <c r="O14" s="18">
        <f>IF($A14="","",IF(OR($J14&lt;kpg_esikDoluluk,$K14&lt;kpg_esikGetiri,$N14&lt;kpg_esikSaglik),"ALARM","UYGUN"))</f>
        <v/>
      </c>
      <c r="P14" s="18">
        <f>IF($A14="","",1)</f>
        <v/>
      </c>
      <c r="Q14" s="18">
        <f>IF($A14="","",IF(OR($B14="",COUNTIF(tblVarliklar[VarlikId],$B14)=0),"YETIM","TAMAM"))</f>
        <v/>
      </c>
    </row>
    <row r="15">
      <c r="A15" s="15" t="inlineStr">
        <is>
          <t>KPG-00010</t>
        </is>
      </c>
      <c r="B15" s="15" t="inlineStr">
        <is>
          <t>KIR-00002</t>
        </is>
      </c>
      <c r="C15" s="60" t="n">
        <v>46215</v>
      </c>
      <c r="D15" s="17" t="n">
        <v>16830</v>
      </c>
      <c r="E15" s="20" t="n">
        <v>3</v>
      </c>
      <c r="F15" s="17" t="n">
        <v>2440</v>
      </c>
      <c r="G15" s="61" t="n">
        <v>0.39</v>
      </c>
      <c r="H15" s="15" t="inlineStr">
        <is>
          <t>TAHSILAT_GECIKME</t>
        </is>
      </c>
      <c r="I15" s="18">
        <f>IF($A15="","",IFERROR(SUMIF(tblVarliklar[VarlikId],$B15,tblVarliklar[HedefKiraTl_tl]),kpg_varsayilanHedefKira))</f>
        <v/>
      </c>
      <c r="J15" s="18">
        <f>IF($A15="","",MAX(0, 1-$E15/kpg_gunAy))</f>
        <v/>
      </c>
      <c r="K15" s="18">
        <f>IF(OR($A15="",$I15=0),"",$D15/$I15)</f>
        <v/>
      </c>
      <c r="L15" s="18">
        <f>IF($A15="","",$D15-$F15)</f>
        <v/>
      </c>
      <c r="M15" s="18">
        <f>IF($A15="","",$I15*(1+$G15))</f>
        <v/>
      </c>
      <c r="N15" s="18">
        <f>IF($A15="","",MAX(0,MIN(100,kpg_kaliteTaban-IF($J15&lt;kpg_esikDoluluk,kpg_kaliteCeza,0)-IF($K15&lt;kpg_esikGetiri,kpg_kaliteSapma,0)-IF($Q15="YETIM",kpg_kaliteCeza,0))))</f>
        <v/>
      </c>
      <c r="O15" s="18">
        <f>IF($A15="","",IF(OR($J15&lt;kpg_esikDoluluk,$K15&lt;kpg_esikGetiri,$N15&lt;kpg_esikSaglik),"ALARM","UYGUN"))</f>
        <v/>
      </c>
      <c r="P15" s="18">
        <f>IF($A15="","",1)</f>
        <v/>
      </c>
      <c r="Q15" s="18">
        <f>IF($A15="","",IF(OR($B15="",COUNTIF(tblVarliklar[VarlikId],$B15)=0),"YETIM","TAMAM"))</f>
        <v/>
      </c>
    </row>
    <row r="16">
      <c r="A16" s="15" t="inlineStr">
        <is>
          <t>KPG-00011</t>
        </is>
      </c>
      <c r="B16" s="15" t="inlineStr">
        <is>
          <t>KIR-00003</t>
        </is>
      </c>
      <c r="C16" s="60" t="n">
        <v>46212</v>
      </c>
      <c r="D16" s="17" t="n">
        <v>15840</v>
      </c>
      <c r="E16" s="20" t="n">
        <v>0</v>
      </c>
      <c r="F16" s="17" t="n">
        <v>2910</v>
      </c>
      <c r="G16" s="61" t="n">
        <v>0.4</v>
      </c>
      <c r="H16" s="15" t="inlineStr">
        <is>
          <t>DIGER</t>
        </is>
      </c>
      <c r="I16" s="18">
        <f>IF($A16="","",IFERROR(SUMIF(tblVarliklar[VarlikId],$B16,tblVarliklar[HedefKiraTl_tl]),kpg_varsayilanHedefKira))</f>
        <v/>
      </c>
      <c r="J16" s="18">
        <f>IF($A16="","",MAX(0, 1-$E16/kpg_gunAy))</f>
        <v/>
      </c>
      <c r="K16" s="18">
        <f>IF(OR($A16="",$I16=0),"",$D16/$I16)</f>
        <v/>
      </c>
      <c r="L16" s="18">
        <f>IF($A16="","",$D16-$F16)</f>
        <v/>
      </c>
      <c r="M16" s="18">
        <f>IF($A16="","",$I16*(1+$G16))</f>
        <v/>
      </c>
      <c r="N16" s="18">
        <f>IF($A16="","",MAX(0,MIN(100,kpg_kaliteTaban-IF($J16&lt;kpg_esikDoluluk,kpg_kaliteCeza,0)-IF($K16&lt;kpg_esikGetiri,kpg_kaliteSapma,0)-IF($Q16="YETIM",kpg_kaliteCeza,0))))</f>
        <v/>
      </c>
      <c r="O16" s="18">
        <f>IF($A16="","",IF(OR($J16&lt;kpg_esikDoluluk,$K16&lt;kpg_esikGetiri,$N16&lt;kpg_esikSaglik),"ALARM","UYGUN"))</f>
        <v/>
      </c>
      <c r="P16" s="18">
        <f>IF($A16="","",1)</f>
        <v/>
      </c>
      <c r="Q16" s="18">
        <f>IF($A16="","",IF(OR($B16="",COUNTIF(tblVarliklar[VarlikId],$B16)=0),"YETIM","TAMAM"))</f>
        <v/>
      </c>
    </row>
    <row r="17">
      <c r="A17" s="15" t="inlineStr">
        <is>
          <t>KPG-00012</t>
        </is>
      </c>
      <c r="B17" s="15" t="inlineStr">
        <is>
          <t>KIR-00004</t>
        </is>
      </c>
      <c r="C17" s="60" t="n">
        <v>46209</v>
      </c>
      <c r="D17" s="17" t="n">
        <v>11891</v>
      </c>
      <c r="E17" s="20" t="n">
        <v>2</v>
      </c>
      <c r="F17" s="17" t="n">
        <v>800</v>
      </c>
      <c r="G17" s="61" t="n">
        <v>0.38</v>
      </c>
      <c r="H17" s="15" t="inlineStr">
        <is>
          <t>TAHSILAT</t>
        </is>
      </c>
      <c r="I17" s="18">
        <f>IF($A17="","",IFERROR(SUMIF(tblVarliklar[VarlikId],$B17,tblVarliklar[HedefKiraTl_tl]),kpg_varsayilanHedefKira))</f>
        <v/>
      </c>
      <c r="J17" s="18">
        <f>IF($A17="","",MAX(0, 1-$E17/kpg_gunAy))</f>
        <v/>
      </c>
      <c r="K17" s="18">
        <f>IF(OR($A17="",$I17=0),"",$D17/$I17)</f>
        <v/>
      </c>
      <c r="L17" s="18">
        <f>IF($A17="","",$D17-$F17)</f>
        <v/>
      </c>
      <c r="M17" s="18">
        <f>IF($A17="","",$I17*(1+$G17))</f>
        <v/>
      </c>
      <c r="N17" s="18">
        <f>IF($A17="","",MAX(0,MIN(100,kpg_kaliteTaban-IF($J17&lt;kpg_esikDoluluk,kpg_kaliteCeza,0)-IF($K17&lt;kpg_esikGetiri,kpg_kaliteSapma,0)-IF($Q17="YETIM",kpg_kaliteCeza,0))))</f>
        <v/>
      </c>
      <c r="O17" s="18">
        <f>IF($A17="","",IF(OR($J17&lt;kpg_esikDoluluk,$K17&lt;kpg_esikGetiri,$N17&lt;kpg_esikSaglik),"ALARM","UYGUN"))</f>
        <v/>
      </c>
      <c r="P17" s="18">
        <f>IF($A17="","",1)</f>
        <v/>
      </c>
      <c r="Q17" s="18">
        <f>IF($A17="","",IF(OR($B17="",COUNTIF(tblVarliklar[VarlikId],$B17)=0),"YETIM","TAMAM"))</f>
        <v/>
      </c>
    </row>
    <row r="18">
      <c r="A18" s="15" t="inlineStr">
        <is>
          <t>KPG-00013</t>
        </is>
      </c>
      <c r="B18" s="15" t="inlineStr">
        <is>
          <t>KIR-00005</t>
        </is>
      </c>
      <c r="C18" s="60" t="n">
        <v>46206</v>
      </c>
      <c r="D18" s="17" t="n">
        <v>24440</v>
      </c>
      <c r="E18" s="20" t="n">
        <v>0</v>
      </c>
      <c r="F18" s="17" t="n">
        <v>1270</v>
      </c>
      <c r="G18" s="61" t="n">
        <v>0.39</v>
      </c>
      <c r="H18" s="15" t="inlineStr">
        <is>
          <t>BOSLUK</t>
        </is>
      </c>
      <c r="I18" s="18">
        <f>IF($A18="","",IFERROR(SUMIF(tblVarliklar[VarlikId],$B18,tblVarliklar[HedefKiraTl_tl]),kpg_varsayilanHedefKira))</f>
        <v/>
      </c>
      <c r="J18" s="18">
        <f>IF($A18="","",MAX(0, 1-$E18/kpg_gunAy))</f>
        <v/>
      </c>
      <c r="K18" s="18">
        <f>IF(OR($A18="",$I18=0),"",$D18/$I18)</f>
        <v/>
      </c>
      <c r="L18" s="18">
        <f>IF($A18="","",$D18-$F18)</f>
        <v/>
      </c>
      <c r="M18" s="18">
        <f>IF($A18="","",$I18*(1+$G18))</f>
        <v/>
      </c>
      <c r="N18" s="18">
        <f>IF($A18="","",MAX(0,MIN(100,kpg_kaliteTaban-IF($J18&lt;kpg_esikDoluluk,kpg_kaliteCeza,0)-IF($K18&lt;kpg_esikGetiri,kpg_kaliteSapma,0)-IF($Q18="YETIM",kpg_kaliteCeza,0))))</f>
        <v/>
      </c>
      <c r="O18" s="18">
        <f>IF($A18="","",IF(OR($J18&lt;kpg_esikDoluluk,$K18&lt;kpg_esikGetiri,$N18&lt;kpg_esikSaglik),"ALARM","UYGUN"))</f>
        <v/>
      </c>
      <c r="P18" s="18">
        <f>IF($A18="","",1)</f>
        <v/>
      </c>
      <c r="Q18" s="18">
        <f>IF($A18="","",IF(OR($B18="",COUNTIF(tblVarliklar[VarlikId],$B18)=0),"YETIM","TAMAM"))</f>
        <v/>
      </c>
    </row>
    <row r="19">
      <c r="A19" s="15" t="inlineStr">
        <is>
          <t>KPG-00014</t>
        </is>
      </c>
      <c r="B19" s="15" t="inlineStr">
        <is>
          <t>KIR-00006</t>
        </is>
      </c>
      <c r="C19" s="60" t="n">
        <v>46203</v>
      </c>
      <c r="D19" s="17" t="n">
        <v>11640</v>
      </c>
      <c r="E19" s="20" t="n">
        <v>0</v>
      </c>
      <c r="F19" s="17" t="n">
        <v>1740</v>
      </c>
      <c r="G19" s="61" t="n">
        <v>0.4</v>
      </c>
      <c r="H19" s="15" t="inlineStr">
        <is>
          <t>ARTIS_TUFE</t>
        </is>
      </c>
      <c r="I19" s="18">
        <f>IF($A19="","",IFERROR(SUMIF(tblVarliklar[VarlikId],$B19,tblVarliklar[HedefKiraTl_tl]),kpg_varsayilanHedefKira))</f>
        <v/>
      </c>
      <c r="J19" s="18">
        <f>IF($A19="","",MAX(0, 1-$E19/kpg_gunAy))</f>
        <v/>
      </c>
      <c r="K19" s="18">
        <f>IF(OR($A19="",$I19=0),"",$D19/$I19)</f>
        <v/>
      </c>
      <c r="L19" s="18">
        <f>IF($A19="","",$D19-$F19)</f>
        <v/>
      </c>
      <c r="M19" s="18">
        <f>IF($A19="","",$I19*(1+$G19))</f>
        <v/>
      </c>
      <c r="N19" s="18">
        <f>IF($A19="","",MAX(0,MIN(100,kpg_kaliteTaban-IF($J19&lt;kpg_esikDoluluk,kpg_kaliteCeza,0)-IF($K19&lt;kpg_esikGetiri,kpg_kaliteSapma,0)-IF($Q19="YETIM",kpg_kaliteCeza,0))))</f>
        <v/>
      </c>
      <c r="O19" s="18">
        <f>IF($A19="","",IF(OR($J19&lt;kpg_esikDoluluk,$K19&lt;kpg_esikGetiri,$N19&lt;kpg_esikSaglik),"ALARM","UYGUN"))</f>
        <v/>
      </c>
      <c r="P19" s="18">
        <f>IF($A19="","",1)</f>
        <v/>
      </c>
      <c r="Q19" s="18">
        <f>IF($A19="","",IF(OR($B19="",COUNTIF(tblVarliklar[VarlikId],$B19)=0),"YETIM","TAMAM"))</f>
        <v/>
      </c>
    </row>
    <row r="20">
      <c r="A20" s="15" t="inlineStr">
        <is>
          <t>KPG-00015</t>
        </is>
      </c>
      <c r="B20" s="15" t="inlineStr">
        <is>
          <t>KIR-00007</t>
        </is>
      </c>
      <c r="C20" s="60" t="n">
        <v>46200</v>
      </c>
      <c r="D20" s="17" t="n">
        <v>9038</v>
      </c>
      <c r="E20" s="20" t="n">
        <v>1</v>
      </c>
      <c r="F20" s="17" t="n">
        <v>2210</v>
      </c>
      <c r="G20" s="61" t="n">
        <v>0.38</v>
      </c>
      <c r="H20" s="15" t="inlineStr">
        <is>
          <t>GIDER</t>
        </is>
      </c>
      <c r="I20" s="18">
        <f>IF($A20="","",IFERROR(SUMIF(tblVarliklar[VarlikId],$B20,tblVarliklar[HedefKiraTl_tl]),kpg_varsayilanHedefKira))</f>
        <v/>
      </c>
      <c r="J20" s="18">
        <f>IF($A20="","",MAX(0, 1-$E20/kpg_gunAy))</f>
        <v/>
      </c>
      <c r="K20" s="18">
        <f>IF(OR($A20="",$I20=0),"",$D20/$I20)</f>
        <v/>
      </c>
      <c r="L20" s="18">
        <f>IF($A20="","",$D20-$F20)</f>
        <v/>
      </c>
      <c r="M20" s="18">
        <f>IF($A20="","",$I20*(1+$G20))</f>
        <v/>
      </c>
      <c r="N20" s="18">
        <f>IF($A20="","",MAX(0,MIN(100,kpg_kaliteTaban-IF($J20&lt;kpg_esikDoluluk,kpg_kaliteCeza,0)-IF($K20&lt;kpg_esikGetiri,kpg_kaliteSapma,0)-IF($Q20="YETIM",kpg_kaliteCeza,0))))</f>
        <v/>
      </c>
      <c r="O20" s="18">
        <f>IF($A20="","",IF(OR($J20&lt;kpg_esikDoluluk,$K20&lt;kpg_esikGetiri,$N20&lt;kpg_esikSaglik),"ALARM","UYGUN"))</f>
        <v/>
      </c>
      <c r="P20" s="18">
        <f>IF($A20="","",1)</f>
        <v/>
      </c>
      <c r="Q20" s="18">
        <f>IF($A20="","",IF(OR($B20="",COUNTIF(tblVarliklar[VarlikId],$B20)=0),"YETIM","TAMAM"))</f>
        <v/>
      </c>
    </row>
    <row r="21">
      <c r="A21" s="15" t="inlineStr">
        <is>
          <t>KPG-00016</t>
        </is>
      </c>
      <c r="B21" s="15" t="inlineStr">
        <is>
          <t>KIR-00008</t>
        </is>
      </c>
      <c r="C21" s="60" t="n">
        <v>46197</v>
      </c>
      <c r="D21" s="17" t="n">
        <v>8360</v>
      </c>
      <c r="E21" s="20" t="n">
        <v>0</v>
      </c>
      <c r="F21" s="17" t="n">
        <v>2200</v>
      </c>
      <c r="G21" s="61" t="n">
        <v>0.39</v>
      </c>
      <c r="H21" s="15" t="inlineStr">
        <is>
          <t>TAHSILAT_GECIKME</t>
        </is>
      </c>
      <c r="I21" s="18">
        <f>IF($A21="","",IFERROR(SUMIF(tblVarliklar[VarlikId],$B21,tblVarliklar[HedefKiraTl_tl]),kpg_varsayilanHedefKira))</f>
        <v/>
      </c>
      <c r="J21" s="18">
        <f>IF($A21="","",MAX(0, 1-$E21/kpg_gunAy))</f>
        <v/>
      </c>
      <c r="K21" s="18">
        <f>IF(OR($A21="",$I21=0),"",$D21/$I21)</f>
        <v/>
      </c>
      <c r="L21" s="18">
        <f>IF($A21="","",$D21-$F21)</f>
        <v/>
      </c>
      <c r="M21" s="18">
        <f>IF($A21="","",$I21*(1+$G21))</f>
        <v/>
      </c>
      <c r="N21" s="18">
        <f>IF($A21="","",MAX(0,MIN(100,kpg_kaliteTaban-IF($J21&lt;kpg_esikDoluluk,kpg_kaliteCeza,0)-IF($K21&lt;kpg_esikGetiri,kpg_kaliteSapma,0)-IF($Q21="YETIM",kpg_kaliteCeza,0))))</f>
        <v/>
      </c>
      <c r="O21" s="18">
        <f>IF($A21="","",IF(OR($J21&lt;kpg_esikDoluluk,$K21&lt;kpg_esikGetiri,$N21&lt;kpg_esikSaglik),"ALARM","UYGUN"))</f>
        <v/>
      </c>
      <c r="P21" s="18">
        <f>IF($A21="","",1)</f>
        <v/>
      </c>
      <c r="Q21" s="18">
        <f>IF($A21="","",IF(OR($B21="",COUNTIF(tblVarliklar[VarlikId],$B21)=0),"YETIM","TAMAM"))</f>
        <v/>
      </c>
    </row>
    <row r="22">
      <c r="A22" s="15" t="inlineStr">
        <is>
          <t>KPG-00017</t>
        </is>
      </c>
      <c r="B22" s="15" t="inlineStr">
        <is>
          <t>KIR-00001</t>
        </is>
      </c>
      <c r="C22" s="60" t="n">
        <v>46194</v>
      </c>
      <c r="D22" s="17" t="n">
        <v>25480</v>
      </c>
      <c r="E22" s="20" t="n">
        <v>0</v>
      </c>
      <c r="F22" s="17" t="n">
        <v>2670</v>
      </c>
      <c r="G22" s="61" t="n">
        <v>0.4</v>
      </c>
      <c r="H22" s="15" t="inlineStr">
        <is>
          <t>DIGER</t>
        </is>
      </c>
      <c r="I22" s="18">
        <f>IF($A22="","",IFERROR(SUMIF(tblVarliklar[VarlikId],$B22,tblVarliklar[HedefKiraTl_tl]),kpg_varsayilanHedefKira))</f>
        <v/>
      </c>
      <c r="J22" s="18">
        <f>IF($A22="","",MAX(0, 1-$E22/kpg_gunAy))</f>
        <v/>
      </c>
      <c r="K22" s="18">
        <f>IF(OR($A22="",$I22=0),"",$D22/$I22)</f>
        <v/>
      </c>
      <c r="L22" s="18">
        <f>IF($A22="","",$D22-$F22)</f>
        <v/>
      </c>
      <c r="M22" s="18">
        <f>IF($A22="","",$I22*(1+$G22))</f>
        <v/>
      </c>
      <c r="N22" s="18">
        <f>IF($A22="","",MAX(0,MIN(100,kpg_kaliteTaban-IF($J22&lt;kpg_esikDoluluk,kpg_kaliteCeza,0)-IF($K22&lt;kpg_esikGetiri,kpg_kaliteSapma,0)-IF($Q22="YETIM",kpg_kaliteCeza,0))))</f>
        <v/>
      </c>
      <c r="O22" s="18">
        <f>IF($A22="","",IF(OR($J22&lt;kpg_esikDoluluk,$K22&lt;kpg_esikGetiri,$N22&lt;kpg_esikSaglik),"ALARM","UYGUN"))</f>
        <v/>
      </c>
      <c r="P22" s="18">
        <f>IF($A22="","",1)</f>
        <v/>
      </c>
      <c r="Q22" s="18">
        <f>IF($A22="","",IF(OR($B22="",COUNTIF(tblVarliklar[VarlikId],$B22)=0),"YETIM","TAMAM"))</f>
        <v/>
      </c>
    </row>
    <row r="23">
      <c r="A23" s="15" t="inlineStr">
        <is>
          <t>KPG-00018</t>
        </is>
      </c>
      <c r="B23" s="15" t="inlineStr">
        <is>
          <t>KIR-00002</t>
        </is>
      </c>
      <c r="C23" s="60" t="n">
        <v>46191</v>
      </c>
      <c r="D23" s="17" t="n">
        <v>19301</v>
      </c>
      <c r="E23" s="20" t="n">
        <v>2</v>
      </c>
      <c r="F23" s="17" t="n">
        <v>1040</v>
      </c>
      <c r="G23" s="61" t="n">
        <v>0.46</v>
      </c>
      <c r="H23" s="15" t="inlineStr">
        <is>
          <t>TAHSILAT</t>
        </is>
      </c>
      <c r="I23" s="18">
        <f>IF($A23="","",IFERROR(SUMIF(tblVarliklar[VarlikId],$B23,tblVarliklar[HedefKiraTl_tl]),kpg_varsayilanHedefKira))</f>
        <v/>
      </c>
      <c r="J23" s="18">
        <f>IF($A23="","",MAX(0, 1-$E23/kpg_gunAy))</f>
        <v/>
      </c>
      <c r="K23" s="18">
        <f>IF(OR($A23="",$I23=0),"",$D23/$I23)</f>
        <v/>
      </c>
      <c r="L23" s="18">
        <f>IF($A23="","",$D23-$F23)</f>
        <v/>
      </c>
      <c r="M23" s="18">
        <f>IF($A23="","",$I23*(1+$G23))</f>
        <v/>
      </c>
      <c r="N23" s="18">
        <f>IF($A23="","",MAX(0,MIN(100,kpg_kaliteTaban-IF($J23&lt;kpg_esikDoluluk,kpg_kaliteCeza,0)-IF($K23&lt;kpg_esikGetiri,kpg_kaliteSapma,0)-IF($Q23="YETIM",kpg_kaliteCeza,0))))</f>
        <v/>
      </c>
      <c r="O23" s="18">
        <f>IF($A23="","",IF(OR($J23&lt;kpg_esikDoluluk,$K23&lt;kpg_esikGetiri,$N23&lt;kpg_esikSaglik),"ALARM","UYGUN"))</f>
        <v/>
      </c>
      <c r="P23" s="18">
        <f>IF($A23="","",1)</f>
        <v/>
      </c>
      <c r="Q23" s="18">
        <f>IF($A23="","",IF(OR($B23="",COUNTIF(tblVarliklar[VarlikId],$B23)=0),"YETIM","TAMAM"))</f>
        <v/>
      </c>
    </row>
    <row r="24">
      <c r="A24" s="15" t="inlineStr">
        <is>
          <t>KPG-00019</t>
        </is>
      </c>
      <c r="B24" s="15" t="inlineStr">
        <is>
          <t>KIR-00003</t>
        </is>
      </c>
      <c r="C24" s="60" t="n">
        <v>46188</v>
      </c>
      <c r="D24" s="17" t="n">
        <v>17460</v>
      </c>
      <c r="E24" s="20" t="n">
        <v>0</v>
      </c>
      <c r="F24" s="17" t="n">
        <v>1510</v>
      </c>
      <c r="G24" s="61" t="n">
        <v>0.39</v>
      </c>
      <c r="H24" s="15" t="inlineStr">
        <is>
          <t>BOSLUK</t>
        </is>
      </c>
      <c r="I24" s="18">
        <f>IF($A24="","",IFERROR(SUMIF(tblVarliklar[VarlikId],$B24,tblVarliklar[HedefKiraTl_tl]),kpg_varsayilanHedefKira))</f>
        <v/>
      </c>
      <c r="J24" s="18">
        <f>IF($A24="","",MAX(0, 1-$E24/kpg_gunAy))</f>
        <v/>
      </c>
      <c r="K24" s="18">
        <f>IF(OR($A24="",$I24=0),"",$D24/$I24)</f>
        <v/>
      </c>
      <c r="L24" s="18">
        <f>IF($A24="","",$D24-$F24)</f>
        <v/>
      </c>
      <c r="M24" s="18">
        <f>IF($A24="","",$I24*(1+$G24))</f>
        <v/>
      </c>
      <c r="N24" s="18">
        <f>IF($A24="","",MAX(0,MIN(100,kpg_kaliteTaban-IF($J24&lt;kpg_esikDoluluk,kpg_kaliteCeza,0)-IF($K24&lt;kpg_esikGetiri,kpg_kaliteSapma,0)-IF($Q24="YETIM",kpg_kaliteCeza,0))))</f>
        <v/>
      </c>
      <c r="O24" s="18">
        <f>IF($A24="","",IF(OR($J24&lt;kpg_esikDoluluk,$K24&lt;kpg_esikGetiri,$N24&lt;kpg_esikSaglik),"ALARM","UYGUN"))</f>
        <v/>
      </c>
      <c r="P24" s="18">
        <f>IF($A24="","",1)</f>
        <v/>
      </c>
      <c r="Q24" s="18">
        <f>IF($A24="","",IF(OR($B24="",COUNTIF(tblVarliklar[VarlikId],$B24)=0),"YETIM","TAMAM"))</f>
        <v/>
      </c>
    </row>
    <row r="25">
      <c r="A25" s="15" t="inlineStr">
        <is>
          <t>KPG-00020</t>
        </is>
      </c>
      <c r="B25" s="15" t="inlineStr">
        <is>
          <t>KIR-00004</t>
        </is>
      </c>
      <c r="C25" s="60" t="n">
        <v>46185</v>
      </c>
      <c r="D25" s="17" t="n">
        <v>9520</v>
      </c>
      <c r="E25" s="20" t="n">
        <v>6</v>
      </c>
      <c r="F25" s="17" t="n">
        <v>1500</v>
      </c>
      <c r="G25" s="61" t="n">
        <v>0.4</v>
      </c>
      <c r="H25" s="15" t="inlineStr">
        <is>
          <t>ARTIS_TUFE</t>
        </is>
      </c>
      <c r="I25" s="18">
        <f>IF($A25="","",IFERROR(SUMIF(tblVarliklar[VarlikId],$B25,tblVarliklar[HedefKiraTl_tl]),kpg_varsayilanHedefKira))</f>
        <v/>
      </c>
      <c r="J25" s="18">
        <f>IF($A25="","",MAX(0, 1-$E25/kpg_gunAy))</f>
        <v/>
      </c>
      <c r="K25" s="18">
        <f>IF(OR($A25="",$I25=0),"",$D25/$I25)</f>
        <v/>
      </c>
      <c r="L25" s="18">
        <f>IF($A25="","",$D25-$F25)</f>
        <v/>
      </c>
      <c r="M25" s="18">
        <f>IF($A25="","",$I25*(1+$G25))</f>
        <v/>
      </c>
      <c r="N25" s="18">
        <f>IF($A25="","",MAX(0,MIN(100,kpg_kaliteTaban-IF($J25&lt;kpg_esikDoluluk,kpg_kaliteCeza,0)-IF($K25&lt;kpg_esikGetiri,kpg_kaliteSapma,0)-IF($Q25="YETIM",kpg_kaliteCeza,0))))</f>
        <v/>
      </c>
      <c r="O25" s="18">
        <f>IF($A25="","",IF(OR($J25&lt;kpg_esikDoluluk,$K25&lt;kpg_esikGetiri,$N25&lt;kpg_esikSaglik),"ALARM","UYGUN"))</f>
        <v/>
      </c>
      <c r="P25" s="18">
        <f>IF($A25="","",1)</f>
        <v/>
      </c>
      <c r="Q25" s="18">
        <f>IF($A25="","",IF(OR($B25="",COUNTIF(tblVarliklar[VarlikId],$B25)=0),"YETIM","TAMAM"))</f>
        <v/>
      </c>
    </row>
    <row r="26">
      <c r="A26" s="15" t="inlineStr">
        <is>
          <t>KPG-00021</t>
        </is>
      </c>
      <c r="B26" s="15" t="inlineStr">
        <is>
          <t>KIR-00005</t>
        </is>
      </c>
      <c r="C26" s="60" t="n">
        <v>46182</v>
      </c>
      <c r="D26" s="17" t="n">
        <v>21355</v>
      </c>
      <c r="E26" s="20" t="n">
        <v>2</v>
      </c>
      <c r="F26" s="17" t="n">
        <v>1970</v>
      </c>
      <c r="G26" s="61" t="n">
        <v>0.38</v>
      </c>
      <c r="H26" s="15" t="inlineStr">
        <is>
          <t>GIDER</t>
        </is>
      </c>
      <c r="I26" s="18">
        <f>IF($A26="","",IFERROR(SUMIF(tblVarliklar[VarlikId],$B26,tblVarliklar[HedefKiraTl_tl]),kpg_varsayilanHedefKira))</f>
        <v/>
      </c>
      <c r="J26" s="18">
        <f>IF($A26="","",MAX(0, 1-$E26/kpg_gunAy))</f>
        <v/>
      </c>
      <c r="K26" s="18">
        <f>IF(OR($A26="",$I26=0),"",$D26/$I26)</f>
        <v/>
      </c>
      <c r="L26" s="18">
        <f>IF($A26="","",$D26-$F26)</f>
        <v/>
      </c>
      <c r="M26" s="18">
        <f>IF($A26="","",$I26*(1+$G26))</f>
        <v/>
      </c>
      <c r="N26" s="18">
        <f>IF($A26="","",MAX(0,MIN(100,kpg_kaliteTaban-IF($J26&lt;kpg_esikDoluluk,kpg_kaliteCeza,0)-IF($K26&lt;kpg_esikGetiri,kpg_kaliteSapma,0)-IF($Q26="YETIM",kpg_kaliteCeza,0))))</f>
        <v/>
      </c>
      <c r="O26" s="18">
        <f>IF($A26="","",IF(OR($J26&lt;kpg_esikDoluluk,$K26&lt;kpg_esikGetiri,$N26&lt;kpg_esikSaglik),"ALARM","UYGUN"))</f>
        <v/>
      </c>
      <c r="P26" s="18">
        <f>IF($A26="","",1)</f>
        <v/>
      </c>
      <c r="Q26" s="18">
        <f>IF($A26="","",IF(OR($B26="",COUNTIF(tblVarliklar[VarlikId],$B26)=0),"YETIM","TAMAM"))</f>
        <v/>
      </c>
    </row>
    <row r="27">
      <c r="A27" s="15" t="inlineStr">
        <is>
          <t>KPG-00022</t>
        </is>
      </c>
      <c r="B27" s="15" t="inlineStr">
        <is>
          <t>KIR-00006</t>
        </is>
      </c>
      <c r="C27" s="60" t="n">
        <v>46179</v>
      </c>
      <c r="D27" s="17" t="n">
        <v>10920</v>
      </c>
      <c r="E27" s="20" t="n">
        <v>0</v>
      </c>
      <c r="F27" s="17" t="n">
        <v>2440</v>
      </c>
      <c r="G27" s="61" t="n">
        <v>0.39</v>
      </c>
      <c r="H27" s="15" t="inlineStr">
        <is>
          <t>TAHSILAT_GECIKME</t>
        </is>
      </c>
      <c r="I27" s="18">
        <f>IF($A27="","",IFERROR(SUMIF(tblVarliklar[VarlikId],$B27,tblVarliklar[HedefKiraTl_tl]),kpg_varsayilanHedefKira))</f>
        <v/>
      </c>
      <c r="J27" s="18">
        <f>IF($A27="","",MAX(0, 1-$E27/kpg_gunAy))</f>
        <v/>
      </c>
      <c r="K27" s="18">
        <f>IF(OR($A27="",$I27=0),"",$D27/$I27)</f>
        <v/>
      </c>
      <c r="L27" s="18">
        <f>IF($A27="","",$D27-$F27)</f>
        <v/>
      </c>
      <c r="M27" s="18">
        <f>IF($A27="","",$I27*(1+$G27))</f>
        <v/>
      </c>
      <c r="N27" s="18">
        <f>IF($A27="","",MAX(0,MIN(100,kpg_kaliteTaban-IF($J27&lt;kpg_esikDoluluk,kpg_kaliteCeza,0)-IF($K27&lt;kpg_esikGetiri,kpg_kaliteSapma,0)-IF($Q27="YETIM",kpg_kaliteCeza,0))))</f>
        <v/>
      </c>
      <c r="O27" s="18">
        <f>IF($A27="","",IF(OR($J27&lt;kpg_esikDoluluk,$K27&lt;kpg_esikGetiri,$N27&lt;kpg_esikSaglik),"ALARM","UYGUN"))</f>
        <v/>
      </c>
      <c r="P27" s="18">
        <f>IF($A27="","",1)</f>
        <v/>
      </c>
      <c r="Q27" s="18">
        <f>IF($A27="","",IF(OR($B27="",COUNTIF(tblVarliklar[VarlikId],$B27)=0),"YETIM","TAMAM"))</f>
        <v/>
      </c>
    </row>
    <row r="28">
      <c r="A28" s="15" t="inlineStr">
        <is>
          <t>KPG-00023</t>
        </is>
      </c>
      <c r="B28" s="15" t="inlineStr">
        <is>
          <t>KIR-00007</t>
        </is>
      </c>
      <c r="C28" s="60" t="n">
        <v>46176</v>
      </c>
      <c r="D28" s="17" t="n">
        <v>10340</v>
      </c>
      <c r="E28" s="20" t="n">
        <v>0</v>
      </c>
      <c r="F28" s="17" t="n">
        <v>2910</v>
      </c>
      <c r="G28" s="61" t="n">
        <v>0.4</v>
      </c>
      <c r="H28" s="15" t="inlineStr">
        <is>
          <t>DIGER</t>
        </is>
      </c>
      <c r="I28" s="18">
        <f>IF($A28="","",IFERROR(SUMIF(tblVarliklar[VarlikId],$B28,tblVarliklar[HedefKiraTl_tl]),kpg_varsayilanHedefKira))</f>
        <v/>
      </c>
      <c r="J28" s="18">
        <f>IF($A28="","",MAX(0, 1-$E28/kpg_gunAy))</f>
        <v/>
      </c>
      <c r="K28" s="18">
        <f>IF(OR($A28="",$I28=0),"",$D28/$I28)</f>
        <v/>
      </c>
      <c r="L28" s="18">
        <f>IF($A28="","",$D28-$F28)</f>
        <v/>
      </c>
      <c r="M28" s="18">
        <f>IF($A28="","",$I28*(1+$G28))</f>
        <v/>
      </c>
      <c r="N28" s="18">
        <f>IF($A28="","",MAX(0,MIN(100,kpg_kaliteTaban-IF($J28&lt;kpg_esikDoluluk,kpg_kaliteCeza,0)-IF($K28&lt;kpg_esikGetiri,kpg_kaliteSapma,0)-IF($Q28="YETIM",kpg_kaliteCeza,0))))</f>
        <v/>
      </c>
      <c r="O28" s="18">
        <f>IF($A28="","",IF(OR($J28&lt;kpg_esikDoluluk,$K28&lt;kpg_esikGetiri,$N28&lt;kpg_esikSaglik),"ALARM","UYGUN"))</f>
        <v/>
      </c>
      <c r="P28" s="18">
        <f>IF($A28="","",1)</f>
        <v/>
      </c>
      <c r="Q28" s="18">
        <f>IF($A28="","",IF(OR($B28="",COUNTIF(tblVarliklar[VarlikId],$B28)=0),"YETIM","TAMAM"))</f>
        <v/>
      </c>
    </row>
    <row r="29">
      <c r="A29" s="15" t="inlineStr">
        <is>
          <t>KPG-00024</t>
        </is>
      </c>
      <c r="B29" s="15" t="inlineStr">
        <is>
          <t>KIR-00008</t>
        </is>
      </c>
      <c r="C29" s="60" t="n">
        <v>46173</v>
      </c>
      <c r="D29" s="17" t="n">
        <v>8601</v>
      </c>
      <c r="E29" s="20" t="n">
        <v>2</v>
      </c>
      <c r="F29" s="17" t="n">
        <v>800</v>
      </c>
      <c r="G29" s="61" t="n">
        <v>0.38</v>
      </c>
      <c r="H29" s="15" t="inlineStr">
        <is>
          <t>TAHSILAT</t>
        </is>
      </c>
      <c r="I29" s="18">
        <f>IF($A29="","",IFERROR(SUMIF(tblVarliklar[VarlikId],$B29,tblVarliklar[HedefKiraTl_tl]),kpg_varsayilanHedefKira))</f>
        <v/>
      </c>
      <c r="J29" s="18">
        <f>IF($A29="","",MAX(0, 1-$E29/kpg_gunAy))</f>
        <v/>
      </c>
      <c r="K29" s="18">
        <f>IF(OR($A29="",$I29=0),"",$D29/$I29)</f>
        <v/>
      </c>
      <c r="L29" s="18">
        <f>IF($A29="","",$D29-$F29)</f>
        <v/>
      </c>
      <c r="M29" s="18">
        <f>IF($A29="","",$I29*(1+$G29))</f>
        <v/>
      </c>
      <c r="N29" s="18">
        <f>IF($A29="","",MAX(0,MIN(100,kpg_kaliteTaban-IF($J29&lt;kpg_esikDoluluk,kpg_kaliteCeza,0)-IF($K29&lt;kpg_esikGetiri,kpg_kaliteSapma,0)-IF($Q29="YETIM",kpg_kaliteCeza,0))))</f>
        <v/>
      </c>
      <c r="O29" s="18">
        <f>IF($A29="","",IF(OR($J29&lt;kpg_esikDoluluk,$K29&lt;kpg_esikGetiri,$N29&lt;kpg_esikSaglik),"ALARM","UYGUN"))</f>
        <v/>
      </c>
      <c r="P29" s="18">
        <f>IF($A29="","",1)</f>
        <v/>
      </c>
      <c r="Q29" s="18">
        <f>IF($A29="","",IF(OR($B29="",COUNTIF(tblVarliklar[VarlikId],$B29)=0),"YETIM","TAMAM"))</f>
        <v/>
      </c>
    </row>
    <row r="30">
      <c r="A30" s="15" t="inlineStr">
        <is>
          <t>KPG-00025</t>
        </is>
      </c>
      <c r="B30" s="15" t="inlineStr">
        <is>
          <t>KIR-00001</t>
        </is>
      </c>
      <c r="C30" s="60" t="n">
        <v>46170</v>
      </c>
      <c r="D30" s="17" t="n">
        <v>20627</v>
      </c>
      <c r="E30" s="20" t="n">
        <v>4</v>
      </c>
      <c r="F30" s="17" t="n">
        <v>1270</v>
      </c>
      <c r="G30" s="61" t="n">
        <v>0.39</v>
      </c>
      <c r="H30" s="15" t="inlineStr">
        <is>
          <t>BOSLUK</t>
        </is>
      </c>
      <c r="I30" s="18">
        <f>IF($A30="","",IFERROR(SUMIF(tblVarliklar[VarlikId],$B30,tblVarliklar[HedefKiraTl_tl]),kpg_varsayilanHedefKira))</f>
        <v/>
      </c>
      <c r="J30" s="18">
        <f>IF($A30="","",MAX(0, 1-$E30/kpg_gunAy))</f>
        <v/>
      </c>
      <c r="K30" s="18">
        <f>IF(OR($A30="",$I30=0),"",$D30/$I30)</f>
        <v/>
      </c>
      <c r="L30" s="18">
        <f>IF($A30="","",$D30-$F30)</f>
        <v/>
      </c>
      <c r="M30" s="18">
        <f>IF($A30="","",$I30*(1+$G30))</f>
        <v/>
      </c>
      <c r="N30" s="18">
        <f>IF($A30="","",MAX(0,MIN(100,kpg_kaliteTaban-IF($J30&lt;kpg_esikDoluluk,kpg_kaliteCeza,0)-IF($K30&lt;kpg_esikGetiri,kpg_kaliteSapma,0)-IF($Q30="YETIM",kpg_kaliteCeza,0))))</f>
        <v/>
      </c>
      <c r="O30" s="18">
        <f>IF($A30="","",IF(OR($J30&lt;kpg_esikDoluluk,$K30&lt;kpg_esikGetiri,$N30&lt;kpg_esikSaglik),"ALARM","UYGUN"))</f>
        <v/>
      </c>
      <c r="P30" s="18">
        <f>IF($A30="","",1)</f>
        <v/>
      </c>
      <c r="Q30" s="18">
        <f>IF($A30="","",IF(OR($B30="",COUNTIF(tblVarliklar[VarlikId],$B30)=0),"YETIM","TAMAM"))</f>
        <v/>
      </c>
    </row>
    <row r="31">
      <c r="A31" s="15" t="inlineStr">
        <is>
          <t>KPG-00026</t>
        </is>
      </c>
      <c r="B31" s="15" t="inlineStr">
        <is>
          <t>KIR-00002</t>
        </is>
      </c>
      <c r="C31" s="60" t="n">
        <v>46167</v>
      </c>
      <c r="D31" s="17" t="n">
        <v>19360</v>
      </c>
      <c r="E31" s="20" t="n">
        <v>0</v>
      </c>
      <c r="F31" s="17" t="n">
        <v>1740</v>
      </c>
      <c r="G31" s="61" t="n">
        <v>0.4</v>
      </c>
      <c r="H31" s="15" t="inlineStr">
        <is>
          <t>ARTIS_TUFE</t>
        </is>
      </c>
      <c r="I31" s="18">
        <f>IF($A31="","",IFERROR(SUMIF(tblVarliklar[VarlikId],$B31,tblVarliklar[HedefKiraTl_tl]),kpg_varsayilanHedefKira))</f>
        <v/>
      </c>
      <c r="J31" s="18">
        <f>IF($A31="","",MAX(0, 1-$E31/kpg_gunAy))</f>
        <v/>
      </c>
      <c r="K31" s="18">
        <f>IF(OR($A31="",$I31=0),"",$D31/$I31)</f>
        <v/>
      </c>
      <c r="L31" s="18">
        <f>IF($A31="","",$D31-$F31)</f>
        <v/>
      </c>
      <c r="M31" s="18">
        <f>IF($A31="","",$I31*(1+$G31))</f>
        <v/>
      </c>
      <c r="N31" s="18">
        <f>IF($A31="","",MAX(0,MIN(100,kpg_kaliteTaban-IF($J31&lt;kpg_esikDoluluk,kpg_kaliteCeza,0)-IF($K31&lt;kpg_esikGetiri,kpg_kaliteSapma,0)-IF($Q31="YETIM",kpg_kaliteCeza,0))))</f>
        <v/>
      </c>
      <c r="O31" s="18">
        <f>IF($A31="","",IF(OR($J31&lt;kpg_esikDoluluk,$K31&lt;kpg_esikGetiri,$N31&lt;kpg_esikSaglik),"ALARM","UYGUN"))</f>
        <v/>
      </c>
      <c r="P31" s="18">
        <f>IF($A31="","",1)</f>
        <v/>
      </c>
      <c r="Q31" s="18">
        <f>IF($A31="","",IF(OR($B31="",COUNTIF(tblVarliklar[VarlikId],$B31)=0),"YETIM","TAMAM"))</f>
        <v/>
      </c>
    </row>
    <row r="32">
      <c r="A32" s="15" t="inlineStr">
        <is>
          <t>KPG-00027</t>
        </is>
      </c>
      <c r="B32" s="15" t="inlineStr">
        <is>
          <t>KIR-00003</t>
        </is>
      </c>
      <c r="C32" s="60" t="n">
        <v>46164</v>
      </c>
      <c r="D32" s="17" t="n">
        <v>15288</v>
      </c>
      <c r="E32" s="20" t="n">
        <v>2</v>
      </c>
      <c r="F32" s="17" t="n">
        <v>2210</v>
      </c>
      <c r="G32" s="61" t="n">
        <v>0.48</v>
      </c>
      <c r="H32" s="15" t="inlineStr">
        <is>
          <t>GIDER</t>
        </is>
      </c>
      <c r="I32" s="18">
        <f>IF($A32="","",IFERROR(SUMIF(tblVarliklar[VarlikId],$B32,tblVarliklar[HedefKiraTl_tl]),kpg_varsayilanHedefKira))</f>
        <v/>
      </c>
      <c r="J32" s="18">
        <f>IF($A32="","",MAX(0, 1-$E32/kpg_gunAy))</f>
        <v/>
      </c>
      <c r="K32" s="18">
        <f>IF(OR($A32="",$I32=0),"",$D32/$I32)</f>
        <v/>
      </c>
      <c r="L32" s="18">
        <f>IF($A32="","",$D32-$F32)</f>
        <v/>
      </c>
      <c r="M32" s="18">
        <f>IF($A32="","",$I32*(1+$G32))</f>
        <v/>
      </c>
      <c r="N32" s="18">
        <f>IF($A32="","",MAX(0,MIN(100,kpg_kaliteTaban-IF($J32&lt;kpg_esikDoluluk,kpg_kaliteCeza,0)-IF($K32&lt;kpg_esikGetiri,kpg_kaliteSapma,0)-IF($Q32="YETIM",kpg_kaliteCeza,0))))</f>
        <v/>
      </c>
      <c r="O32" s="18">
        <f>IF($A32="","",IF(OR($J32&lt;kpg_esikDoluluk,$K32&lt;kpg_esikGetiri,$N32&lt;kpg_esikSaglik),"ALARM","UYGUN"))</f>
        <v/>
      </c>
      <c r="P32" s="18">
        <f>IF($A32="","",1)</f>
        <v/>
      </c>
      <c r="Q32" s="18">
        <f>IF($A32="","",IF(OR($B32="",COUNTIF(tblVarliklar[VarlikId],$B32)=0),"YETIM","TAMAM"))</f>
        <v/>
      </c>
    </row>
    <row r="33">
      <c r="A33" s="15" t="inlineStr">
        <is>
          <t>KPG-00028</t>
        </is>
      </c>
      <c r="B33" s="15" t="inlineStr">
        <is>
          <t>KIR-00004</t>
        </is>
      </c>
      <c r="C33" s="60" t="n">
        <v>46161</v>
      </c>
      <c r="D33" s="17" t="n">
        <v>13160</v>
      </c>
      <c r="E33" s="20" t="n">
        <v>0</v>
      </c>
      <c r="F33" s="17" t="n">
        <v>2200</v>
      </c>
      <c r="G33" s="61" t="n">
        <v>0.39</v>
      </c>
      <c r="H33" s="15" t="inlineStr">
        <is>
          <t>TAHSILAT_GECIKME</t>
        </is>
      </c>
      <c r="I33" s="18">
        <f>IF($A33="","",IFERROR(SUMIF(tblVarliklar[VarlikId],$B33,tblVarliklar[HedefKiraTl_tl]),kpg_varsayilanHedefKira))</f>
        <v/>
      </c>
      <c r="J33" s="18">
        <f>IF($A33="","",MAX(0, 1-$E33/kpg_gunAy))</f>
        <v/>
      </c>
      <c r="K33" s="18">
        <f>IF(OR($A33="",$I33=0),"",$D33/$I33)</f>
        <v/>
      </c>
      <c r="L33" s="18">
        <f>IF($A33="","",$D33-$F33)</f>
        <v/>
      </c>
      <c r="M33" s="18">
        <f>IF($A33="","",$I33*(1+$G33))</f>
        <v/>
      </c>
      <c r="N33" s="18">
        <f>IF($A33="","",MAX(0,MIN(100,kpg_kaliteTaban-IF($J33&lt;kpg_esikDoluluk,kpg_kaliteCeza,0)-IF($K33&lt;kpg_esikGetiri,kpg_kaliteSapma,0)-IF($Q33="YETIM",kpg_kaliteCeza,0))))</f>
        <v/>
      </c>
      <c r="O33" s="18">
        <f>IF($A33="","",IF(OR($J33&lt;kpg_esikDoluluk,$K33&lt;kpg_esikGetiri,$N33&lt;kpg_esikSaglik),"ALARM","UYGUN"))</f>
        <v/>
      </c>
      <c r="P33" s="18">
        <f>IF($A33="","",1)</f>
        <v/>
      </c>
      <c r="Q33" s="18">
        <f>IF($A33="","",IF(OR($B33="",COUNTIF(tblVarliklar[VarlikId],$B33)=0),"YETIM","TAMAM"))</f>
        <v/>
      </c>
    </row>
    <row r="34">
      <c r="A34" s="15" t="inlineStr">
        <is>
          <t>KPG-00029</t>
        </is>
      </c>
      <c r="B34" s="15" t="inlineStr">
        <is>
          <t>KIR-00005</t>
        </is>
      </c>
      <c r="C34" s="60" t="n">
        <v>46158</v>
      </c>
      <c r="D34" s="17" t="n">
        <v>25220</v>
      </c>
      <c r="E34" s="20" t="n">
        <v>0</v>
      </c>
      <c r="F34" s="17" t="n">
        <v>2670</v>
      </c>
      <c r="G34" s="61" t="n">
        <v>0.4</v>
      </c>
      <c r="H34" s="15" t="inlineStr">
        <is>
          <t>DIGER</t>
        </is>
      </c>
      <c r="I34" s="18">
        <f>IF($A34="","",IFERROR(SUMIF(tblVarliklar[VarlikId],$B34,tblVarliklar[HedefKiraTl_tl]),kpg_varsayilanHedefKira))</f>
        <v/>
      </c>
      <c r="J34" s="18">
        <f>IF($A34="","",MAX(0, 1-$E34/kpg_gunAy))</f>
        <v/>
      </c>
      <c r="K34" s="18">
        <f>IF(OR($A34="",$I34=0),"",$D34/$I34)</f>
        <v/>
      </c>
      <c r="L34" s="18">
        <f>IF($A34="","",$D34-$F34)</f>
        <v/>
      </c>
      <c r="M34" s="18">
        <f>IF($A34="","",$I34*(1+$G34))</f>
        <v/>
      </c>
      <c r="N34" s="18">
        <f>IF($A34="","",MAX(0,MIN(100,kpg_kaliteTaban-IF($J34&lt;kpg_esikDoluluk,kpg_kaliteCeza,0)-IF($K34&lt;kpg_esikGetiri,kpg_kaliteSapma,0)-IF($Q34="YETIM",kpg_kaliteCeza,0))))</f>
        <v/>
      </c>
      <c r="O34" s="18">
        <f>IF($A34="","",IF(OR($J34&lt;kpg_esikDoluluk,$K34&lt;kpg_esikGetiri,$N34&lt;kpg_esikSaglik),"ALARM","UYGUN"))</f>
        <v/>
      </c>
      <c r="P34" s="18">
        <f>IF($A34="","",1)</f>
        <v/>
      </c>
      <c r="Q34" s="18">
        <f>IF($A34="","",IF(OR($B34="",COUNTIF(tblVarliklar[VarlikId],$B34)=0),"YETIM","TAMAM"))</f>
        <v/>
      </c>
    </row>
    <row r="35">
      <c r="A35" s="15" t="inlineStr">
        <is>
          <t>KPG-00030</t>
        </is>
      </c>
      <c r="B35" s="15" t="inlineStr"/>
      <c r="C35" s="60" t="n">
        <v>46155</v>
      </c>
      <c r="D35" s="17" t="n">
        <v>9520</v>
      </c>
      <c r="E35" s="20" t="n">
        <v>2</v>
      </c>
      <c r="F35" s="17" t="n">
        <v>1040</v>
      </c>
      <c r="G35" s="61" t="n">
        <v>0.38</v>
      </c>
      <c r="H35" s="15" t="inlineStr">
        <is>
          <t>TAHSILAT</t>
        </is>
      </c>
      <c r="I35" s="18">
        <f>IF($A35="","",IFERROR(SUMIF(tblVarliklar[VarlikId],$B35,tblVarliklar[HedefKiraTl_tl]),kpg_varsayilanHedefKira))</f>
        <v/>
      </c>
      <c r="J35" s="18">
        <f>IF($A35="","",MAX(0, 1-$E35/kpg_gunAy))</f>
        <v/>
      </c>
      <c r="K35" s="18">
        <f>IF(OR($A35="",$I35=0),"",$D35/$I35)</f>
        <v/>
      </c>
      <c r="L35" s="18">
        <f>IF($A35="","",$D35-$F35)</f>
        <v/>
      </c>
      <c r="M35" s="18">
        <f>IF($A35="","",$I35*(1+$G35))</f>
        <v/>
      </c>
      <c r="N35" s="18">
        <f>IF($A35="","",MAX(0,MIN(100,kpg_kaliteTaban-IF($J35&lt;kpg_esikDoluluk,kpg_kaliteCeza,0)-IF($K35&lt;kpg_esikGetiri,kpg_kaliteSapma,0)-IF($Q35="YETIM",kpg_kaliteCeza,0))))</f>
        <v/>
      </c>
      <c r="O35" s="18">
        <f>IF($A35="","",IF(OR($J35&lt;kpg_esikDoluluk,$K35&lt;kpg_esikGetiri,$N35&lt;kpg_esikSaglik),"ALARM","UYGUN"))</f>
        <v/>
      </c>
      <c r="P35" s="18">
        <f>IF($A35="","",1)</f>
        <v/>
      </c>
      <c r="Q35" s="18">
        <f>IF($A35="","",IF(OR($B35="",COUNTIF(tblVarliklar[VarlikId],$B35)=0),"YETIM","TAMAM"))</f>
        <v/>
      </c>
    </row>
    <row r="36">
      <c r="A36" s="15" t="inlineStr">
        <is>
          <t>KPG-00031</t>
        </is>
      </c>
      <c r="B36" s="15" t="inlineStr">
        <is>
          <t>KIR-00007</t>
        </is>
      </c>
      <c r="C36" s="60" t="n">
        <v>46152</v>
      </c>
      <c r="D36" s="17" t="n">
        <v>9680</v>
      </c>
      <c r="E36" s="20" t="n">
        <v>0</v>
      </c>
      <c r="F36" s="17" t="n">
        <v>1510</v>
      </c>
      <c r="G36" s="61" t="n">
        <v>0.39</v>
      </c>
      <c r="H36" s="15" t="inlineStr">
        <is>
          <t>BOSLUK</t>
        </is>
      </c>
      <c r="I36" s="18">
        <f>IF($A36="","",IFERROR(SUMIF(tblVarliklar[VarlikId],$B36,tblVarliklar[HedefKiraTl_tl]),kpg_varsayilanHedefKira))</f>
        <v/>
      </c>
      <c r="J36" s="18">
        <f>IF($A36="","",MAX(0, 1-$E36/kpg_gunAy))</f>
        <v/>
      </c>
      <c r="K36" s="18">
        <f>IF(OR($A36="",$I36=0),"",$D36/$I36)</f>
        <v/>
      </c>
      <c r="L36" s="18">
        <f>IF($A36="","",$D36-$F36)</f>
        <v/>
      </c>
      <c r="M36" s="18">
        <f>IF($A36="","",$I36*(1+$G36))</f>
        <v/>
      </c>
      <c r="N36" s="18">
        <f>IF($A36="","",MAX(0,MIN(100,kpg_kaliteTaban-IF($J36&lt;kpg_esikDoluluk,kpg_kaliteCeza,0)-IF($K36&lt;kpg_esikGetiri,kpg_kaliteSapma,0)-IF($Q36="YETIM",kpg_kaliteCeza,0))))</f>
        <v/>
      </c>
      <c r="O36" s="18">
        <f>IF($A36="","",IF(OR($J36&lt;kpg_esikDoluluk,$K36&lt;kpg_esikGetiri,$N36&lt;kpg_esikSaglik),"ALARM","UYGUN"))</f>
        <v/>
      </c>
      <c r="P36" s="18">
        <f>IF($A36="","",1)</f>
        <v/>
      </c>
      <c r="Q36" s="18">
        <f>IF($A36="","",IF(OR($B36="",COUNTIF(tblVarliklar[VarlikId],$B36)=0),"YETIM","TAMAM"))</f>
        <v/>
      </c>
    </row>
    <row r="37">
      <c r="A37" s="15" t="inlineStr">
        <is>
          <t>KPG-00032</t>
        </is>
      </c>
      <c r="B37" s="15" t="inlineStr">
        <is>
          <t>KIR-00008</t>
        </is>
      </c>
      <c r="C37" s="60" t="n">
        <v>46149</v>
      </c>
      <c r="D37" s="17" t="n">
        <v>8645</v>
      </c>
      <c r="E37" s="20" t="n">
        <v>0</v>
      </c>
      <c r="F37" s="17" t="n">
        <v>1500</v>
      </c>
      <c r="G37" s="61" t="n">
        <v>0.4</v>
      </c>
      <c r="H37" s="15" t="inlineStr">
        <is>
          <t>ARTIS_TUFE</t>
        </is>
      </c>
      <c r="I37" s="18">
        <f>IF($A37="","",IFERROR(SUMIF(tblVarliklar[VarlikId],$B37,tblVarliklar[HedefKiraTl_tl]),kpg_varsayilanHedefKira))</f>
        <v/>
      </c>
      <c r="J37" s="18">
        <f>IF($A37="","",MAX(0, 1-$E37/kpg_gunAy))</f>
        <v/>
      </c>
      <c r="K37" s="18">
        <f>IF(OR($A37="",$I37=0),"",$D37/$I37)</f>
        <v/>
      </c>
      <c r="L37" s="18">
        <f>IF($A37="","",$D37-$F37)</f>
        <v/>
      </c>
      <c r="M37" s="18">
        <f>IF($A37="","",$I37*(1+$G37))</f>
        <v/>
      </c>
      <c r="N37" s="18">
        <f>IF($A37="","",MAX(0,MIN(100,kpg_kaliteTaban-IF($J37&lt;kpg_esikDoluluk,kpg_kaliteCeza,0)-IF($K37&lt;kpg_esikGetiri,kpg_kaliteSapma,0)-IF($Q37="YETIM",kpg_kaliteCeza,0))))</f>
        <v/>
      </c>
      <c r="O37" s="18">
        <f>IF($A37="","",IF(OR($J37&lt;kpg_esikDoluluk,$K37&lt;kpg_esikGetiri,$N37&lt;kpg_esikSaglik),"ALARM","UYGUN"))</f>
        <v/>
      </c>
      <c r="P37" s="18">
        <f>IF($A37="","",1)</f>
        <v/>
      </c>
      <c r="Q37" s="18">
        <f>IF($A37="","",IF(OR($B37="",COUNTIF(tblVarliklar[VarlikId],$B37)=0),"YETIM","TAMAM"))</f>
        <v/>
      </c>
    </row>
    <row r="38">
      <c r="A38" s="15" t="inlineStr">
        <is>
          <t>KPG-00033</t>
        </is>
      </c>
      <c r="B38" s="15" t="inlineStr">
        <is>
          <t>KIR-99999</t>
        </is>
      </c>
      <c r="C38" s="60" t="n">
        <v>46146</v>
      </c>
      <c r="D38" s="17" t="n">
        <v>24565</v>
      </c>
      <c r="E38" s="20" t="n">
        <v>2</v>
      </c>
      <c r="F38" s="17" t="n">
        <v>1970</v>
      </c>
      <c r="G38" s="61" t="n">
        <v>0.38</v>
      </c>
      <c r="H38" s="15" t="inlineStr">
        <is>
          <t>GIDER</t>
        </is>
      </c>
      <c r="I38" s="18">
        <f>IF($A38="","",IFERROR(SUMIF(tblVarliklar[VarlikId],$B38,tblVarliklar[HedefKiraTl_tl]),kpg_varsayilanHedefKira))</f>
        <v/>
      </c>
      <c r="J38" s="18">
        <f>IF($A38="","",MAX(0, 1-$E38/kpg_gunAy))</f>
        <v/>
      </c>
      <c r="K38" s="18">
        <f>IF(OR($A38="",$I38=0),"",$D38/$I38)</f>
        <v/>
      </c>
      <c r="L38" s="18">
        <f>IF($A38="","",$D38-$F38)</f>
        <v/>
      </c>
      <c r="M38" s="18">
        <f>IF($A38="","",$I38*(1+$G38))</f>
        <v/>
      </c>
      <c r="N38" s="18">
        <f>IF($A38="","",MAX(0,MIN(100,kpg_kaliteTaban-IF($J38&lt;kpg_esikDoluluk,kpg_kaliteCeza,0)-IF($K38&lt;kpg_esikGetiri,kpg_kaliteSapma,0)-IF($Q38="YETIM",kpg_kaliteCeza,0))))</f>
        <v/>
      </c>
      <c r="O38" s="18">
        <f>IF($A38="","",IF(OR($J38&lt;kpg_esikDoluluk,$K38&lt;kpg_esikGetiri,$N38&lt;kpg_esikSaglik),"ALARM","UYGUN"))</f>
        <v/>
      </c>
      <c r="P38" s="18">
        <f>IF($A38="","",1)</f>
        <v/>
      </c>
      <c r="Q38" s="18">
        <f>IF($A38="","",IF(OR($B38="",COUNTIF(tblVarliklar[VarlikId],$B38)=0),"YETIM","TAMAM"))</f>
        <v/>
      </c>
    </row>
    <row r="39">
      <c r="A39" s="15" t="inlineStr">
        <is>
          <t>KPG-00034</t>
        </is>
      </c>
      <c r="B39" s="15" t="inlineStr">
        <is>
          <t>KIR-00002</t>
        </is>
      </c>
      <c r="C39" s="60" t="n">
        <v>46143</v>
      </c>
      <c r="D39" s="17" t="n">
        <v>21340</v>
      </c>
      <c r="E39" s="20" t="n">
        <v>0</v>
      </c>
      <c r="F39" s="17" t="n">
        <v>2440</v>
      </c>
      <c r="G39" s="61" t="n">
        <v>0.39</v>
      </c>
      <c r="H39" s="15" t="inlineStr">
        <is>
          <t>TAHSILAT_GECIKME</t>
        </is>
      </c>
      <c r="I39" s="18">
        <f>IF($A39="","",IFERROR(SUMIF(tblVarliklar[VarlikId],$B39,tblVarliklar[HedefKiraTl_tl]),kpg_varsayilanHedefKira))</f>
        <v/>
      </c>
      <c r="J39" s="18">
        <f>IF($A39="","",MAX(0, 1-$E39/kpg_gunAy))</f>
        <v/>
      </c>
      <c r="K39" s="18">
        <f>IF(OR($A39="",$I39=0),"",$D39/$I39)</f>
        <v/>
      </c>
      <c r="L39" s="18">
        <f>IF($A39="","",$D39-$F39)</f>
        <v/>
      </c>
      <c r="M39" s="18">
        <f>IF($A39="","",$I39*(1+$G39))</f>
        <v/>
      </c>
      <c r="N39" s="18">
        <f>IF($A39="","",MAX(0,MIN(100,kpg_kaliteTaban-IF($J39&lt;kpg_esikDoluluk,kpg_kaliteCeza,0)-IF($K39&lt;kpg_esikGetiri,kpg_kaliteSapma,0)-IF($Q39="YETIM",kpg_kaliteCeza,0))))</f>
        <v/>
      </c>
      <c r="O39" s="18">
        <f>IF($A39="","",IF(OR($J39&lt;kpg_esikDoluluk,$K39&lt;kpg_esikGetiri,$N39&lt;kpg_esikSaglik),"ALARM","UYGUN"))</f>
        <v/>
      </c>
      <c r="P39" s="18">
        <f>IF($A39="","",1)</f>
        <v/>
      </c>
      <c r="Q39" s="18">
        <f>IF($A39="","",IF(OR($B39="",COUNTIF(tblVarliklar[VarlikId],$B39)=0),"YETIM","TAMAM"))</f>
        <v/>
      </c>
    </row>
    <row r="40">
      <c r="A40" s="15" t="inlineStr">
        <is>
          <t>KPG-00035</t>
        </is>
      </c>
      <c r="B40" s="15" t="inlineStr">
        <is>
          <t>KIR-00003</t>
        </is>
      </c>
      <c r="C40" s="60" t="n">
        <v>46140</v>
      </c>
      <c r="D40" s="17" t="n">
        <v>15300</v>
      </c>
      <c r="E40" s="20" t="n">
        <v>0</v>
      </c>
      <c r="F40" s="17" t="n">
        <v>2910</v>
      </c>
      <c r="G40" s="61" t="n">
        <v>0.4</v>
      </c>
      <c r="H40" s="15" t="inlineStr">
        <is>
          <t>DIGER</t>
        </is>
      </c>
      <c r="I40" s="18">
        <f>IF($A40="","",IFERROR(SUMIF(tblVarliklar[VarlikId],$B40,tblVarliklar[HedefKiraTl_tl]),kpg_varsayilanHedefKira))</f>
        <v/>
      </c>
      <c r="J40" s="18">
        <f>IF($A40="","",MAX(0, 1-$E40/kpg_gunAy))</f>
        <v/>
      </c>
      <c r="K40" s="18">
        <f>IF(OR($A40="",$I40=0),"",$D40/$I40)</f>
        <v/>
      </c>
      <c r="L40" s="18">
        <f>IF($A40="","",$D40-$F40)</f>
        <v/>
      </c>
      <c r="M40" s="18">
        <f>IF($A40="","",$I40*(1+$G40))</f>
        <v/>
      </c>
      <c r="N40" s="18">
        <f>IF($A40="","",MAX(0,MIN(100,kpg_kaliteTaban-IF($J40&lt;kpg_esikDoluluk,kpg_kaliteCeza,0)-IF($K40&lt;kpg_esikGetiri,kpg_kaliteSapma,0)-IF($Q40="YETIM",kpg_kaliteCeza,0))))</f>
        <v/>
      </c>
      <c r="O40" s="18">
        <f>IF($A40="","",IF(OR($J40&lt;kpg_esikDoluluk,$K40&lt;kpg_esikGetiri,$N40&lt;kpg_esikSaglik),"ALARM","UYGUN"))</f>
        <v/>
      </c>
      <c r="P40" s="18">
        <f>IF($A40="","",1)</f>
        <v/>
      </c>
      <c r="Q40" s="18">
        <f>IF($A40="","",IF(OR($B40="",COUNTIF(tblVarliklar[VarlikId],$B40)=0),"YETIM","TAMAM"))</f>
        <v/>
      </c>
    </row>
    <row r="41">
      <c r="A41" s="15" t="inlineStr">
        <is>
          <t>KPG-00036</t>
        </is>
      </c>
      <c r="B41" s="15" t="inlineStr">
        <is>
          <t>KIR-00004</t>
        </is>
      </c>
      <c r="C41" s="60" t="n">
        <v>46137</v>
      </c>
      <c r="D41" s="17" t="n">
        <v>11499</v>
      </c>
      <c r="E41" s="20" t="n">
        <v>2</v>
      </c>
      <c r="F41" s="17" t="n">
        <v>800</v>
      </c>
      <c r="G41" s="61" t="n">
        <v>0.42</v>
      </c>
      <c r="H41" s="15" t="inlineStr">
        <is>
          <t>TAHSILAT</t>
        </is>
      </c>
      <c r="I41" s="18">
        <f>IF($A41="","",IFERROR(SUMIF(tblVarliklar[VarlikId],$B41,tblVarliklar[HedefKiraTl_tl]),kpg_varsayilanHedefKira))</f>
        <v/>
      </c>
      <c r="J41" s="18">
        <f>IF($A41="","",MAX(0, 1-$E41/kpg_gunAy))</f>
        <v/>
      </c>
      <c r="K41" s="18">
        <f>IF(OR($A41="",$I41=0),"",$D41/$I41)</f>
        <v/>
      </c>
      <c r="L41" s="18">
        <f>IF($A41="","",$D41-$F41)</f>
        <v/>
      </c>
      <c r="M41" s="18">
        <f>IF($A41="","",$I41*(1+$G41))</f>
        <v/>
      </c>
      <c r="N41" s="18">
        <f>IF($A41="","",MAX(0,MIN(100,kpg_kaliteTaban-IF($J41&lt;kpg_esikDoluluk,kpg_kaliteCeza,0)-IF($K41&lt;kpg_esikGetiri,kpg_kaliteSapma,0)-IF($Q41="YETIM",kpg_kaliteCeza,0))))</f>
        <v/>
      </c>
      <c r="O41" s="18">
        <f>IF($A41="","",IF(OR($J41&lt;kpg_esikDoluluk,$K41&lt;kpg_esikGetiri,$N41&lt;kpg_esikSaglik),"ALARM","UYGUN"))</f>
        <v/>
      </c>
      <c r="P41" s="18">
        <f>IF($A41="","",1)</f>
        <v/>
      </c>
      <c r="Q41" s="18">
        <f>IF($A41="","",IF(OR($B41="",COUNTIF(tblVarliklar[VarlikId],$B41)=0),"YETIM","TAMAM"))</f>
        <v/>
      </c>
    </row>
    <row r="42">
      <c r="A42" s="15" t="n"/>
      <c r="B42" s="15" t="n"/>
      <c r="C42" s="60" t="n"/>
      <c r="D42" s="17" t="n"/>
      <c r="E42" s="20" t="n"/>
      <c r="F42" s="17" t="n"/>
      <c r="G42" s="61" t="n"/>
      <c r="H42" s="15" t="n"/>
      <c r="I42" s="18">
        <f>IF($A42="","",IFERROR(SUMIF(tblVarliklar[VarlikId],$B42,tblVarliklar[HedefKiraTl_tl]),kpg_varsayilanHedefKira))</f>
        <v/>
      </c>
      <c r="J42" s="18">
        <f>IF($A42="","",MAX(0, 1-$E42/kpg_gunAy))</f>
        <v/>
      </c>
      <c r="K42" s="18">
        <f>IF(OR($A42="",$I42=0),"",$D42/$I42)</f>
        <v/>
      </c>
      <c r="L42" s="18">
        <f>IF($A42="","",$D42-$F42)</f>
        <v/>
      </c>
      <c r="M42" s="18">
        <f>IF($A42="","",$I42*(1+$G42))</f>
        <v/>
      </c>
      <c r="N42" s="18">
        <f>IF($A42="","",MAX(0,MIN(100,kpg_kaliteTaban-IF($J42&lt;kpg_esikDoluluk,kpg_kaliteCeza,0)-IF($K42&lt;kpg_esikGetiri,kpg_kaliteSapma,0)-IF($Q42="YETIM",kpg_kaliteCeza,0))))</f>
        <v/>
      </c>
      <c r="O42" s="18">
        <f>IF($A42="","",IF(OR($J42&lt;kpg_esikDoluluk,$K42&lt;kpg_esikGetiri,$N42&lt;kpg_esikSaglik),"ALARM","UYGUN"))</f>
        <v/>
      </c>
      <c r="P42" s="18">
        <f>IF($A42="","",1)</f>
        <v/>
      </c>
      <c r="Q42" s="18">
        <f>IF($A42="","",IF(OR($B42="",COUNTIF(tblVarliklar[VarlikId],$B42)=0),"YETIM","TAMAM"))</f>
        <v/>
      </c>
    </row>
    <row r="43">
      <c r="A43" s="15" t="n"/>
      <c r="B43" s="15" t="n"/>
      <c r="C43" s="60" t="n"/>
      <c r="D43" s="17" t="n"/>
      <c r="E43" s="20" t="n"/>
      <c r="F43" s="17" t="n"/>
      <c r="G43" s="61" t="n"/>
      <c r="H43" s="15" t="n"/>
      <c r="I43" s="18">
        <f>IF($A43="","",IFERROR(SUMIF(tblVarliklar[VarlikId],$B43,tblVarliklar[HedefKiraTl_tl]),kpg_varsayilanHedefKira))</f>
        <v/>
      </c>
      <c r="J43" s="18">
        <f>IF($A43="","",MAX(0, 1-$E43/kpg_gunAy))</f>
        <v/>
      </c>
      <c r="K43" s="18">
        <f>IF(OR($A43="",$I43=0),"",$D43/$I43)</f>
        <v/>
      </c>
      <c r="L43" s="18">
        <f>IF($A43="","",$D43-$F43)</f>
        <v/>
      </c>
      <c r="M43" s="18">
        <f>IF($A43="","",$I43*(1+$G43))</f>
        <v/>
      </c>
      <c r="N43" s="18">
        <f>IF($A43="","",MAX(0,MIN(100,kpg_kaliteTaban-IF($J43&lt;kpg_esikDoluluk,kpg_kaliteCeza,0)-IF($K43&lt;kpg_esikGetiri,kpg_kaliteSapma,0)-IF($Q43="YETIM",kpg_kaliteCeza,0))))</f>
        <v/>
      </c>
      <c r="O43" s="18">
        <f>IF($A43="","",IF(OR($J43&lt;kpg_esikDoluluk,$K43&lt;kpg_esikGetiri,$N43&lt;kpg_esikSaglik),"ALARM","UYGUN"))</f>
        <v/>
      </c>
      <c r="P43" s="18">
        <f>IF($A43="","",1)</f>
        <v/>
      </c>
      <c r="Q43" s="18">
        <f>IF($A43="","",IF(OR($B43="",COUNTIF(tblVarliklar[VarlikId],$B43)=0),"YETIM","TAMAM"))</f>
        <v/>
      </c>
    </row>
    <row r="44">
      <c r="A44" s="15" t="n"/>
      <c r="B44" s="15" t="n"/>
      <c r="C44" s="60" t="n"/>
      <c r="D44" s="17" t="n"/>
      <c r="E44" s="20" t="n"/>
      <c r="F44" s="17" t="n"/>
      <c r="G44" s="61" t="n"/>
      <c r="H44" s="15" t="n"/>
      <c r="I44" s="18">
        <f>IF($A44="","",IFERROR(SUMIF(tblVarliklar[VarlikId],$B44,tblVarliklar[HedefKiraTl_tl]),kpg_varsayilanHedefKira))</f>
        <v/>
      </c>
      <c r="J44" s="18">
        <f>IF($A44="","",MAX(0, 1-$E44/kpg_gunAy))</f>
        <v/>
      </c>
      <c r="K44" s="18">
        <f>IF(OR($A44="",$I44=0),"",$D44/$I44)</f>
        <v/>
      </c>
      <c r="L44" s="18">
        <f>IF($A44="","",$D44-$F44)</f>
        <v/>
      </c>
      <c r="M44" s="18">
        <f>IF($A44="","",$I44*(1+$G44))</f>
        <v/>
      </c>
      <c r="N44" s="18">
        <f>IF($A44="","",MAX(0,MIN(100,kpg_kaliteTaban-IF($J44&lt;kpg_esikDoluluk,kpg_kaliteCeza,0)-IF($K44&lt;kpg_esikGetiri,kpg_kaliteSapma,0)-IF($Q44="YETIM",kpg_kaliteCeza,0))))</f>
        <v/>
      </c>
      <c r="O44" s="18">
        <f>IF($A44="","",IF(OR($J44&lt;kpg_esikDoluluk,$K44&lt;kpg_esikGetiri,$N44&lt;kpg_esikSaglik),"ALARM","UYGUN"))</f>
        <v/>
      </c>
      <c r="P44" s="18">
        <f>IF($A44="","",1)</f>
        <v/>
      </c>
      <c r="Q44" s="18">
        <f>IF($A44="","",IF(OR($B44="",COUNTIF(tblVarliklar[VarlikId],$B44)=0),"YETIM","TAMAM"))</f>
        <v/>
      </c>
    </row>
    <row r="45">
      <c r="A45" s="15" t="n"/>
      <c r="B45" s="15" t="n"/>
      <c r="C45" s="60" t="n"/>
      <c r="D45" s="17" t="n"/>
      <c r="E45" s="20" t="n"/>
      <c r="F45" s="17" t="n"/>
      <c r="G45" s="61" t="n"/>
      <c r="H45" s="15" t="n"/>
      <c r="I45" s="18">
        <f>IF($A45="","",IFERROR(SUMIF(tblVarliklar[VarlikId],$B45,tblVarliklar[HedefKiraTl_tl]),kpg_varsayilanHedefKira))</f>
        <v/>
      </c>
      <c r="J45" s="18">
        <f>IF($A45="","",MAX(0, 1-$E45/kpg_gunAy))</f>
        <v/>
      </c>
      <c r="K45" s="18">
        <f>IF(OR($A45="",$I45=0),"",$D45/$I45)</f>
        <v/>
      </c>
      <c r="L45" s="18">
        <f>IF($A45="","",$D45-$F45)</f>
        <v/>
      </c>
      <c r="M45" s="18">
        <f>IF($A45="","",$I45*(1+$G45))</f>
        <v/>
      </c>
      <c r="N45" s="18">
        <f>IF($A45="","",MAX(0,MIN(100,kpg_kaliteTaban-IF($J45&lt;kpg_esikDoluluk,kpg_kaliteCeza,0)-IF($K45&lt;kpg_esikGetiri,kpg_kaliteSapma,0)-IF($Q45="YETIM",kpg_kaliteCeza,0))))</f>
        <v/>
      </c>
      <c r="O45" s="18">
        <f>IF($A45="","",IF(OR($J45&lt;kpg_esikDoluluk,$K45&lt;kpg_esikGetiri,$N45&lt;kpg_esikSaglik),"ALARM","UYGUN"))</f>
        <v/>
      </c>
      <c r="P45" s="18">
        <f>IF($A45="","",1)</f>
        <v/>
      </c>
      <c r="Q45" s="18">
        <f>IF($A45="","",IF(OR($B45="",COUNTIF(tblVarliklar[VarlikId],$B45)=0),"YETIM","TAMAM"))</f>
        <v/>
      </c>
    </row>
    <row r="46">
      <c r="A46" s="15" t="n"/>
      <c r="B46" s="15" t="n"/>
      <c r="C46" s="60" t="n"/>
      <c r="D46" s="17" t="n"/>
      <c r="E46" s="20" t="n"/>
      <c r="F46" s="17" t="n"/>
      <c r="G46" s="61" t="n"/>
      <c r="H46" s="15" t="n"/>
      <c r="I46" s="18">
        <f>IF($A46="","",IFERROR(SUMIF(tblVarliklar[VarlikId],$B46,tblVarliklar[HedefKiraTl_tl]),kpg_varsayilanHedefKira))</f>
        <v/>
      </c>
      <c r="J46" s="18">
        <f>IF($A46="","",MAX(0, 1-$E46/kpg_gunAy))</f>
        <v/>
      </c>
      <c r="K46" s="18">
        <f>IF(OR($A46="",$I46=0),"",$D46/$I46)</f>
        <v/>
      </c>
      <c r="L46" s="18">
        <f>IF($A46="","",$D46-$F46)</f>
        <v/>
      </c>
      <c r="M46" s="18">
        <f>IF($A46="","",$I46*(1+$G46))</f>
        <v/>
      </c>
      <c r="N46" s="18">
        <f>IF($A46="","",MAX(0,MIN(100,kpg_kaliteTaban-IF($J46&lt;kpg_esikDoluluk,kpg_kaliteCeza,0)-IF($K46&lt;kpg_esikGetiri,kpg_kaliteSapma,0)-IF($Q46="YETIM",kpg_kaliteCeza,0))))</f>
        <v/>
      </c>
      <c r="O46" s="18">
        <f>IF($A46="","",IF(OR($J46&lt;kpg_esikDoluluk,$K46&lt;kpg_esikGetiri,$N46&lt;kpg_esikSaglik),"ALARM","UYGUN"))</f>
        <v/>
      </c>
      <c r="P46" s="18">
        <f>IF($A46="","",1)</f>
        <v/>
      </c>
      <c r="Q46" s="18">
        <f>IF($A46="","",IF(OR($B46="",COUNTIF(tblVarliklar[VarlikId],$B46)=0),"YETIM","TAMAM"))</f>
        <v/>
      </c>
    </row>
    <row r="47">
      <c r="A47" s="15" t="n"/>
      <c r="B47" s="15" t="n"/>
      <c r="C47" s="60" t="n"/>
      <c r="D47" s="17" t="n"/>
      <c r="E47" s="20" t="n"/>
      <c r="F47" s="17" t="n"/>
      <c r="G47" s="61" t="n"/>
      <c r="H47" s="15" t="n"/>
      <c r="I47" s="18">
        <f>IF($A47="","",IFERROR(SUMIF(tblVarliklar[VarlikId],$B47,tblVarliklar[HedefKiraTl_tl]),kpg_varsayilanHedefKira))</f>
        <v/>
      </c>
      <c r="J47" s="18">
        <f>IF($A47="","",MAX(0, 1-$E47/kpg_gunAy))</f>
        <v/>
      </c>
      <c r="K47" s="18">
        <f>IF(OR($A47="",$I47=0),"",$D47/$I47)</f>
        <v/>
      </c>
      <c r="L47" s="18">
        <f>IF($A47="","",$D47-$F47)</f>
        <v/>
      </c>
      <c r="M47" s="18">
        <f>IF($A47="","",$I47*(1+$G47))</f>
        <v/>
      </c>
      <c r="N47" s="18">
        <f>IF($A47="","",MAX(0,MIN(100,kpg_kaliteTaban-IF($J47&lt;kpg_esikDoluluk,kpg_kaliteCeza,0)-IF($K47&lt;kpg_esikGetiri,kpg_kaliteSapma,0)-IF($Q47="YETIM",kpg_kaliteCeza,0))))</f>
        <v/>
      </c>
      <c r="O47" s="18">
        <f>IF($A47="","",IF(OR($J47&lt;kpg_esikDoluluk,$K47&lt;kpg_esikGetiri,$N47&lt;kpg_esikSaglik),"ALARM","UYGUN"))</f>
        <v/>
      </c>
      <c r="P47" s="18">
        <f>IF($A47="","",1)</f>
        <v/>
      </c>
      <c r="Q47" s="18">
        <f>IF($A47="","",IF(OR($B47="",COUNTIF(tblVarliklar[VarlikId],$B47)=0),"YETIM","TAMAM"))</f>
        <v/>
      </c>
    </row>
    <row r="48">
      <c r="A48" s="15" t="n"/>
      <c r="B48" s="15" t="n"/>
      <c r="C48" s="60" t="n"/>
      <c r="D48" s="17" t="n"/>
      <c r="E48" s="20" t="n"/>
      <c r="F48" s="17" t="n"/>
      <c r="G48" s="61" t="n"/>
      <c r="H48" s="15" t="n"/>
      <c r="I48" s="18">
        <f>IF($A48="","",IFERROR(SUMIF(tblVarliklar[VarlikId],$B48,tblVarliklar[HedefKiraTl_tl]),kpg_varsayilanHedefKira))</f>
        <v/>
      </c>
      <c r="J48" s="18">
        <f>IF($A48="","",MAX(0, 1-$E48/kpg_gunAy))</f>
        <v/>
      </c>
      <c r="K48" s="18">
        <f>IF(OR($A48="",$I48=0),"",$D48/$I48)</f>
        <v/>
      </c>
      <c r="L48" s="18">
        <f>IF($A48="","",$D48-$F48)</f>
        <v/>
      </c>
      <c r="M48" s="18">
        <f>IF($A48="","",$I48*(1+$G48))</f>
        <v/>
      </c>
      <c r="N48" s="18">
        <f>IF($A48="","",MAX(0,MIN(100,kpg_kaliteTaban-IF($J48&lt;kpg_esikDoluluk,kpg_kaliteCeza,0)-IF($K48&lt;kpg_esikGetiri,kpg_kaliteSapma,0)-IF($Q48="YETIM",kpg_kaliteCeza,0))))</f>
        <v/>
      </c>
      <c r="O48" s="18">
        <f>IF($A48="","",IF(OR($J48&lt;kpg_esikDoluluk,$K48&lt;kpg_esikGetiri,$N48&lt;kpg_esikSaglik),"ALARM","UYGUN"))</f>
        <v/>
      </c>
      <c r="P48" s="18">
        <f>IF($A48="","",1)</f>
        <v/>
      </c>
      <c r="Q48" s="18">
        <f>IF($A48="","",IF(OR($B48="",COUNTIF(tblVarliklar[VarlikId],$B48)=0),"YETIM","TAMAM"))</f>
        <v/>
      </c>
    </row>
    <row r="49">
      <c r="A49" s="15" t="n"/>
      <c r="B49" s="15" t="n"/>
      <c r="C49" s="60" t="n"/>
      <c r="D49" s="17" t="n"/>
      <c r="E49" s="20" t="n"/>
      <c r="F49" s="17" t="n"/>
      <c r="G49" s="61" t="n"/>
      <c r="H49" s="15" t="n"/>
      <c r="I49" s="18">
        <f>IF($A49="","",IFERROR(SUMIF(tblVarliklar[VarlikId],$B49,tblVarliklar[HedefKiraTl_tl]),kpg_varsayilanHedefKira))</f>
        <v/>
      </c>
      <c r="J49" s="18">
        <f>IF($A49="","",MAX(0, 1-$E49/kpg_gunAy))</f>
        <v/>
      </c>
      <c r="K49" s="18">
        <f>IF(OR($A49="",$I49=0),"",$D49/$I49)</f>
        <v/>
      </c>
      <c r="L49" s="18">
        <f>IF($A49="","",$D49-$F49)</f>
        <v/>
      </c>
      <c r="M49" s="18">
        <f>IF($A49="","",$I49*(1+$G49))</f>
        <v/>
      </c>
      <c r="N49" s="18">
        <f>IF($A49="","",MAX(0,MIN(100,kpg_kaliteTaban-IF($J49&lt;kpg_esikDoluluk,kpg_kaliteCeza,0)-IF($K49&lt;kpg_esikGetiri,kpg_kaliteSapma,0)-IF($Q49="YETIM",kpg_kaliteCeza,0))))</f>
        <v/>
      </c>
      <c r="O49" s="18">
        <f>IF($A49="","",IF(OR($J49&lt;kpg_esikDoluluk,$K49&lt;kpg_esikGetiri,$N49&lt;kpg_esikSaglik),"ALARM","UYGUN"))</f>
        <v/>
      </c>
      <c r="P49" s="18">
        <f>IF($A49="","",1)</f>
        <v/>
      </c>
      <c r="Q49" s="18">
        <f>IF($A49="","",IF(OR($B49="",COUNTIF(tblVarliklar[VarlikId],$B49)=0),"YETIM","TAMAM"))</f>
        <v/>
      </c>
    </row>
    <row r="50">
      <c r="A50" s="15" t="n"/>
      <c r="B50" s="15" t="n"/>
      <c r="C50" s="60" t="n"/>
      <c r="D50" s="17" t="n"/>
      <c r="E50" s="20" t="n"/>
      <c r="F50" s="17" t="n"/>
      <c r="G50" s="61" t="n"/>
      <c r="H50" s="15" t="n"/>
      <c r="I50" s="18">
        <f>IF($A50="","",IFERROR(SUMIF(tblVarliklar[VarlikId],$B50,tblVarliklar[HedefKiraTl_tl]),kpg_varsayilanHedefKira))</f>
        <v/>
      </c>
      <c r="J50" s="18">
        <f>IF($A50="","",MAX(0, 1-$E50/kpg_gunAy))</f>
        <v/>
      </c>
      <c r="K50" s="18">
        <f>IF(OR($A50="",$I50=0),"",$D50/$I50)</f>
        <v/>
      </c>
      <c r="L50" s="18">
        <f>IF($A50="","",$D50-$F50)</f>
        <v/>
      </c>
      <c r="M50" s="18">
        <f>IF($A50="","",$I50*(1+$G50))</f>
        <v/>
      </c>
      <c r="N50" s="18">
        <f>IF($A50="","",MAX(0,MIN(100,kpg_kaliteTaban-IF($J50&lt;kpg_esikDoluluk,kpg_kaliteCeza,0)-IF($K50&lt;kpg_esikGetiri,kpg_kaliteSapma,0)-IF($Q50="YETIM",kpg_kaliteCeza,0))))</f>
        <v/>
      </c>
      <c r="O50" s="18">
        <f>IF($A50="","",IF(OR($J50&lt;kpg_esikDoluluk,$K50&lt;kpg_esikGetiri,$N50&lt;kpg_esikSaglik),"ALARM","UYGUN"))</f>
        <v/>
      </c>
      <c r="P50" s="18">
        <f>IF($A50="","",1)</f>
        <v/>
      </c>
      <c r="Q50" s="18">
        <f>IF($A50="","",IF(OR($B50="",COUNTIF(tblVarliklar[VarlikId],$B50)=0),"YETIM","TAMAM"))</f>
        <v/>
      </c>
    </row>
    <row r="51">
      <c r="A51" s="15" t="n"/>
      <c r="B51" s="15" t="n"/>
      <c r="C51" s="60" t="n"/>
      <c r="D51" s="17" t="n"/>
      <c r="E51" s="20" t="n"/>
      <c r="F51" s="17" t="n"/>
      <c r="G51" s="61" t="n"/>
      <c r="H51" s="15" t="n"/>
      <c r="I51" s="18">
        <f>IF($A51="","",IFERROR(SUMIF(tblVarliklar[VarlikId],$B51,tblVarliklar[HedefKiraTl_tl]),kpg_varsayilanHedefKira))</f>
        <v/>
      </c>
      <c r="J51" s="18">
        <f>IF($A51="","",MAX(0, 1-$E51/kpg_gunAy))</f>
        <v/>
      </c>
      <c r="K51" s="18">
        <f>IF(OR($A51="",$I51=0),"",$D51/$I51)</f>
        <v/>
      </c>
      <c r="L51" s="18">
        <f>IF($A51="","",$D51-$F51)</f>
        <v/>
      </c>
      <c r="M51" s="18">
        <f>IF($A51="","",$I51*(1+$G51))</f>
        <v/>
      </c>
      <c r="N51" s="18">
        <f>IF($A51="","",MAX(0,MIN(100,kpg_kaliteTaban-IF($J51&lt;kpg_esikDoluluk,kpg_kaliteCeza,0)-IF($K51&lt;kpg_esikGetiri,kpg_kaliteSapma,0)-IF($Q51="YETIM",kpg_kaliteCeza,0))))</f>
        <v/>
      </c>
      <c r="O51" s="18">
        <f>IF($A51="","",IF(OR($J51&lt;kpg_esikDoluluk,$K51&lt;kpg_esikGetiri,$N51&lt;kpg_esikSaglik),"ALARM","UYGUN"))</f>
        <v/>
      </c>
      <c r="P51" s="18">
        <f>IF($A51="","",1)</f>
        <v/>
      </c>
      <c r="Q51" s="18">
        <f>IF($A51="","",IF(OR($B51="",COUNTIF(tblVarliklar[VarlikId],$B51)=0),"YETIM","TAMAM"))</f>
        <v/>
      </c>
    </row>
    <row r="52">
      <c r="A52" s="15" t="n"/>
      <c r="B52" s="15" t="n"/>
      <c r="C52" s="60" t="n"/>
      <c r="D52" s="17" t="n"/>
      <c r="E52" s="20" t="n"/>
      <c r="F52" s="17" t="n"/>
      <c r="G52" s="61" t="n"/>
      <c r="H52" s="15" t="n"/>
      <c r="I52" s="18">
        <f>IF($A52="","",IFERROR(SUMIF(tblVarliklar[VarlikId],$B52,tblVarliklar[HedefKiraTl_tl]),kpg_varsayilanHedefKira))</f>
        <v/>
      </c>
      <c r="J52" s="18">
        <f>IF($A52="","",MAX(0, 1-$E52/kpg_gunAy))</f>
        <v/>
      </c>
      <c r="K52" s="18">
        <f>IF(OR($A52="",$I52=0),"",$D52/$I52)</f>
        <v/>
      </c>
      <c r="L52" s="18">
        <f>IF($A52="","",$D52-$F52)</f>
        <v/>
      </c>
      <c r="M52" s="18">
        <f>IF($A52="","",$I52*(1+$G52))</f>
        <v/>
      </c>
      <c r="N52" s="18">
        <f>IF($A52="","",MAX(0,MIN(100,kpg_kaliteTaban-IF($J52&lt;kpg_esikDoluluk,kpg_kaliteCeza,0)-IF($K52&lt;kpg_esikGetiri,kpg_kaliteSapma,0)-IF($Q52="YETIM",kpg_kaliteCeza,0))))</f>
        <v/>
      </c>
      <c r="O52" s="18">
        <f>IF($A52="","",IF(OR($J52&lt;kpg_esikDoluluk,$K52&lt;kpg_esikGetiri,$N52&lt;kpg_esikSaglik),"ALARM","UYGUN"))</f>
        <v/>
      </c>
      <c r="P52" s="18">
        <f>IF($A52="","",1)</f>
        <v/>
      </c>
      <c r="Q52" s="18">
        <f>IF($A52="","",IF(OR($B52="",COUNTIF(tblVarliklar[VarlikId],$B52)=0),"YETIM","TAMAM"))</f>
        <v/>
      </c>
    </row>
    <row r="53">
      <c r="A53" s="15" t="n"/>
      <c r="B53" s="15" t="n"/>
      <c r="C53" s="60" t="n"/>
      <c r="D53" s="17" t="n"/>
      <c r="E53" s="20" t="n"/>
      <c r="F53" s="17" t="n"/>
      <c r="G53" s="61" t="n"/>
      <c r="H53" s="15" t="n"/>
      <c r="I53" s="18">
        <f>IF($A53="","",IFERROR(SUMIF(tblVarliklar[VarlikId],$B53,tblVarliklar[HedefKiraTl_tl]),kpg_varsayilanHedefKira))</f>
        <v/>
      </c>
      <c r="J53" s="18">
        <f>IF($A53="","",MAX(0, 1-$E53/kpg_gunAy))</f>
        <v/>
      </c>
      <c r="K53" s="18">
        <f>IF(OR($A53="",$I53=0),"",$D53/$I53)</f>
        <v/>
      </c>
      <c r="L53" s="18">
        <f>IF($A53="","",$D53-$F53)</f>
        <v/>
      </c>
      <c r="M53" s="18">
        <f>IF($A53="","",$I53*(1+$G53))</f>
        <v/>
      </c>
      <c r="N53" s="18">
        <f>IF($A53="","",MAX(0,MIN(100,kpg_kaliteTaban-IF($J53&lt;kpg_esikDoluluk,kpg_kaliteCeza,0)-IF($K53&lt;kpg_esikGetiri,kpg_kaliteSapma,0)-IF($Q53="YETIM",kpg_kaliteCeza,0))))</f>
        <v/>
      </c>
      <c r="O53" s="18">
        <f>IF($A53="","",IF(OR($J53&lt;kpg_esikDoluluk,$K53&lt;kpg_esikGetiri,$N53&lt;kpg_esikSaglik),"ALARM","UYGUN"))</f>
        <v/>
      </c>
      <c r="P53" s="18">
        <f>IF($A53="","",1)</f>
        <v/>
      </c>
      <c r="Q53" s="18">
        <f>IF($A53="","",IF(OR($B53="",COUNTIF(tblVarliklar[VarlikId],$B53)=0),"YETIM","TAMAM"))</f>
        <v/>
      </c>
    </row>
    <row r="54">
      <c r="A54" s="15" t="n"/>
      <c r="B54" s="15" t="n"/>
      <c r="C54" s="60" t="n"/>
      <c r="D54" s="17" t="n"/>
      <c r="E54" s="20" t="n"/>
      <c r="F54" s="17" t="n"/>
      <c r="G54" s="61" t="n"/>
      <c r="H54" s="15" t="n"/>
      <c r="I54" s="18">
        <f>IF($A54="","",IFERROR(SUMIF(tblVarliklar[VarlikId],$B54,tblVarliklar[HedefKiraTl_tl]),kpg_varsayilanHedefKira))</f>
        <v/>
      </c>
      <c r="J54" s="18">
        <f>IF($A54="","",MAX(0, 1-$E54/kpg_gunAy))</f>
        <v/>
      </c>
      <c r="K54" s="18">
        <f>IF(OR($A54="",$I54=0),"",$D54/$I54)</f>
        <v/>
      </c>
      <c r="L54" s="18">
        <f>IF($A54="","",$D54-$F54)</f>
        <v/>
      </c>
      <c r="M54" s="18">
        <f>IF($A54="","",$I54*(1+$G54))</f>
        <v/>
      </c>
      <c r="N54" s="18">
        <f>IF($A54="","",MAX(0,MIN(100,kpg_kaliteTaban-IF($J54&lt;kpg_esikDoluluk,kpg_kaliteCeza,0)-IF($K54&lt;kpg_esikGetiri,kpg_kaliteSapma,0)-IF($Q54="YETIM",kpg_kaliteCeza,0))))</f>
        <v/>
      </c>
      <c r="O54" s="18">
        <f>IF($A54="","",IF(OR($J54&lt;kpg_esikDoluluk,$K54&lt;kpg_esikGetiri,$N54&lt;kpg_esikSaglik),"ALARM","UYGUN"))</f>
        <v/>
      </c>
      <c r="P54" s="18">
        <f>IF($A54="","",1)</f>
        <v/>
      </c>
      <c r="Q54" s="18">
        <f>IF($A54="","",IF(OR($B54="",COUNTIF(tblVarliklar[VarlikId],$B54)=0),"YETIM","TAMAM"))</f>
        <v/>
      </c>
    </row>
    <row r="55">
      <c r="A55" s="15" t="n"/>
      <c r="B55" s="15" t="n"/>
      <c r="C55" s="60" t="n"/>
      <c r="D55" s="17" t="n"/>
      <c r="E55" s="20" t="n"/>
      <c r="F55" s="17" t="n"/>
      <c r="G55" s="61" t="n"/>
      <c r="H55" s="15" t="n"/>
      <c r="I55" s="18">
        <f>IF($A55="","",IFERROR(SUMIF(tblVarliklar[VarlikId],$B55,tblVarliklar[HedefKiraTl_tl]),kpg_varsayilanHedefKira))</f>
        <v/>
      </c>
      <c r="J55" s="18">
        <f>IF($A55="","",MAX(0, 1-$E55/kpg_gunAy))</f>
        <v/>
      </c>
      <c r="K55" s="18">
        <f>IF(OR($A55="",$I55=0),"",$D55/$I55)</f>
        <v/>
      </c>
      <c r="L55" s="18">
        <f>IF($A55="","",$D55-$F55)</f>
        <v/>
      </c>
      <c r="M55" s="18">
        <f>IF($A55="","",$I55*(1+$G55))</f>
        <v/>
      </c>
      <c r="N55" s="18">
        <f>IF($A55="","",MAX(0,MIN(100,kpg_kaliteTaban-IF($J55&lt;kpg_esikDoluluk,kpg_kaliteCeza,0)-IF($K55&lt;kpg_esikGetiri,kpg_kaliteSapma,0)-IF($Q55="YETIM",kpg_kaliteCeza,0))))</f>
        <v/>
      </c>
      <c r="O55" s="18">
        <f>IF($A55="","",IF(OR($J55&lt;kpg_esikDoluluk,$K55&lt;kpg_esikGetiri,$N55&lt;kpg_esikSaglik),"ALARM","UYGUN"))</f>
        <v/>
      </c>
      <c r="P55" s="18">
        <f>IF($A55="","",1)</f>
        <v/>
      </c>
      <c r="Q55" s="18">
        <f>IF($A55="","",IF(OR($B55="",COUNTIF(tblVarliklar[VarlikId],$B55)=0),"YETIM","TAMAM"))</f>
        <v/>
      </c>
    </row>
    <row r="56">
      <c r="A56" s="15" t="n"/>
      <c r="B56" s="15" t="n"/>
      <c r="C56" s="60" t="n"/>
      <c r="D56" s="17" t="n"/>
      <c r="E56" s="20" t="n"/>
      <c r="F56" s="17" t="n"/>
      <c r="G56" s="61" t="n"/>
      <c r="H56" s="15" t="n"/>
      <c r="I56" s="18">
        <f>IF($A56="","",IFERROR(SUMIF(tblVarliklar[VarlikId],$B56,tblVarliklar[HedefKiraTl_tl]),kpg_varsayilanHedefKira))</f>
        <v/>
      </c>
      <c r="J56" s="18">
        <f>IF($A56="","",MAX(0, 1-$E56/kpg_gunAy))</f>
        <v/>
      </c>
      <c r="K56" s="18">
        <f>IF(OR($A56="",$I56=0),"",$D56/$I56)</f>
        <v/>
      </c>
      <c r="L56" s="18">
        <f>IF($A56="","",$D56-$F56)</f>
        <v/>
      </c>
      <c r="M56" s="18">
        <f>IF($A56="","",$I56*(1+$G56))</f>
        <v/>
      </c>
      <c r="N56" s="18">
        <f>IF($A56="","",MAX(0,MIN(100,kpg_kaliteTaban-IF($J56&lt;kpg_esikDoluluk,kpg_kaliteCeza,0)-IF($K56&lt;kpg_esikGetiri,kpg_kaliteSapma,0)-IF($Q56="YETIM",kpg_kaliteCeza,0))))</f>
        <v/>
      </c>
      <c r="O56" s="18">
        <f>IF($A56="","",IF(OR($J56&lt;kpg_esikDoluluk,$K56&lt;kpg_esikGetiri,$N56&lt;kpg_esikSaglik),"ALARM","UYGUN"))</f>
        <v/>
      </c>
      <c r="P56" s="18">
        <f>IF($A56="","",1)</f>
        <v/>
      </c>
      <c r="Q56" s="18">
        <f>IF($A56="","",IF(OR($B56="",COUNTIF(tblVarliklar[VarlikId],$B56)=0),"YETIM","TAMAM"))</f>
        <v/>
      </c>
    </row>
    <row r="57">
      <c r="A57" s="15" t="n"/>
      <c r="B57" s="15" t="n"/>
      <c r="C57" s="60" t="n"/>
      <c r="D57" s="17" t="n"/>
      <c r="E57" s="20" t="n"/>
      <c r="F57" s="17" t="n"/>
      <c r="G57" s="61" t="n"/>
      <c r="H57" s="15" t="n"/>
      <c r="I57" s="18">
        <f>IF($A57="","",IFERROR(SUMIF(tblVarliklar[VarlikId],$B57,tblVarliklar[HedefKiraTl_tl]),kpg_varsayilanHedefKira))</f>
        <v/>
      </c>
      <c r="J57" s="18">
        <f>IF($A57="","",MAX(0, 1-$E57/kpg_gunAy))</f>
        <v/>
      </c>
      <c r="K57" s="18">
        <f>IF(OR($A57="",$I57=0),"",$D57/$I57)</f>
        <v/>
      </c>
      <c r="L57" s="18">
        <f>IF($A57="","",$D57-$F57)</f>
        <v/>
      </c>
      <c r="M57" s="18">
        <f>IF($A57="","",$I57*(1+$G57))</f>
        <v/>
      </c>
      <c r="N57" s="18">
        <f>IF($A57="","",MAX(0,MIN(100,kpg_kaliteTaban-IF($J57&lt;kpg_esikDoluluk,kpg_kaliteCeza,0)-IF($K57&lt;kpg_esikGetiri,kpg_kaliteSapma,0)-IF($Q57="YETIM",kpg_kaliteCeza,0))))</f>
        <v/>
      </c>
      <c r="O57" s="18">
        <f>IF($A57="","",IF(OR($J57&lt;kpg_esikDoluluk,$K57&lt;kpg_esikGetiri,$N57&lt;kpg_esikSaglik),"ALARM","UYGUN"))</f>
        <v/>
      </c>
      <c r="P57" s="18">
        <f>IF($A57="","",1)</f>
        <v/>
      </c>
      <c r="Q57" s="18">
        <f>IF($A57="","",IF(OR($B57="",COUNTIF(tblVarliklar[VarlikId],$B57)=0),"YETIM","TAMAM"))</f>
        <v/>
      </c>
    </row>
    <row r="58">
      <c r="A58" s="15" t="n"/>
      <c r="B58" s="15" t="n"/>
      <c r="C58" s="60" t="n"/>
      <c r="D58" s="17" t="n"/>
      <c r="E58" s="20" t="n"/>
      <c r="F58" s="17" t="n"/>
      <c r="G58" s="61" t="n"/>
      <c r="H58" s="15" t="n"/>
      <c r="I58" s="18">
        <f>IF($A58="","",IFERROR(SUMIF(tblVarliklar[VarlikId],$B58,tblVarliklar[HedefKiraTl_tl]),kpg_varsayilanHedefKira))</f>
        <v/>
      </c>
      <c r="J58" s="18">
        <f>IF($A58="","",MAX(0, 1-$E58/kpg_gunAy))</f>
        <v/>
      </c>
      <c r="K58" s="18">
        <f>IF(OR($A58="",$I58=0),"",$D58/$I58)</f>
        <v/>
      </c>
      <c r="L58" s="18">
        <f>IF($A58="","",$D58-$F58)</f>
        <v/>
      </c>
      <c r="M58" s="18">
        <f>IF($A58="","",$I58*(1+$G58))</f>
        <v/>
      </c>
      <c r="N58" s="18">
        <f>IF($A58="","",MAX(0,MIN(100,kpg_kaliteTaban-IF($J58&lt;kpg_esikDoluluk,kpg_kaliteCeza,0)-IF($K58&lt;kpg_esikGetiri,kpg_kaliteSapma,0)-IF($Q58="YETIM",kpg_kaliteCeza,0))))</f>
        <v/>
      </c>
      <c r="O58" s="18">
        <f>IF($A58="","",IF(OR($J58&lt;kpg_esikDoluluk,$K58&lt;kpg_esikGetiri,$N58&lt;kpg_esikSaglik),"ALARM","UYGUN"))</f>
        <v/>
      </c>
      <c r="P58" s="18">
        <f>IF($A58="","",1)</f>
        <v/>
      </c>
      <c r="Q58" s="18">
        <f>IF($A58="","",IF(OR($B58="",COUNTIF(tblVarliklar[VarlikId],$B58)=0),"YETIM","TAMAM"))</f>
        <v/>
      </c>
    </row>
    <row r="59">
      <c r="A59" s="15" t="n"/>
      <c r="B59" s="15" t="n"/>
      <c r="C59" s="60" t="n"/>
      <c r="D59" s="17" t="n"/>
      <c r="E59" s="20" t="n"/>
      <c r="F59" s="17" t="n"/>
      <c r="G59" s="61" t="n"/>
      <c r="H59" s="15" t="n"/>
      <c r="I59" s="18">
        <f>IF($A59="","",IFERROR(SUMIF(tblVarliklar[VarlikId],$B59,tblVarliklar[HedefKiraTl_tl]),kpg_varsayilanHedefKira))</f>
        <v/>
      </c>
      <c r="J59" s="18">
        <f>IF($A59="","",MAX(0, 1-$E59/kpg_gunAy))</f>
        <v/>
      </c>
      <c r="K59" s="18">
        <f>IF(OR($A59="",$I59=0),"",$D59/$I59)</f>
        <v/>
      </c>
      <c r="L59" s="18">
        <f>IF($A59="","",$D59-$F59)</f>
        <v/>
      </c>
      <c r="M59" s="18">
        <f>IF($A59="","",$I59*(1+$G59))</f>
        <v/>
      </c>
      <c r="N59" s="18">
        <f>IF($A59="","",MAX(0,MIN(100,kpg_kaliteTaban-IF($J59&lt;kpg_esikDoluluk,kpg_kaliteCeza,0)-IF($K59&lt;kpg_esikGetiri,kpg_kaliteSapma,0)-IF($Q59="YETIM",kpg_kaliteCeza,0))))</f>
        <v/>
      </c>
      <c r="O59" s="18">
        <f>IF($A59="","",IF(OR($J59&lt;kpg_esikDoluluk,$K59&lt;kpg_esikGetiri,$N59&lt;kpg_esikSaglik),"ALARM","UYGUN"))</f>
        <v/>
      </c>
      <c r="P59" s="18">
        <f>IF($A59="","",1)</f>
        <v/>
      </c>
      <c r="Q59" s="18">
        <f>IF($A59="","",IF(OR($B59="",COUNTIF(tblVarliklar[VarlikId],$B59)=0),"YETIM","TAMAM"))</f>
        <v/>
      </c>
    </row>
    <row r="60">
      <c r="A60" s="15" t="n"/>
      <c r="B60" s="15" t="n"/>
      <c r="C60" s="60" t="n"/>
      <c r="D60" s="17" t="n"/>
      <c r="E60" s="20" t="n"/>
      <c r="F60" s="17" t="n"/>
      <c r="G60" s="61" t="n"/>
      <c r="H60" s="15" t="n"/>
      <c r="I60" s="18">
        <f>IF($A60="","",IFERROR(SUMIF(tblVarliklar[VarlikId],$B60,tblVarliklar[HedefKiraTl_tl]),kpg_varsayilanHedefKira))</f>
        <v/>
      </c>
      <c r="J60" s="18">
        <f>IF($A60="","",MAX(0, 1-$E60/kpg_gunAy))</f>
        <v/>
      </c>
      <c r="K60" s="18">
        <f>IF(OR($A60="",$I60=0),"",$D60/$I60)</f>
        <v/>
      </c>
      <c r="L60" s="18">
        <f>IF($A60="","",$D60-$F60)</f>
        <v/>
      </c>
      <c r="M60" s="18">
        <f>IF($A60="","",$I60*(1+$G60))</f>
        <v/>
      </c>
      <c r="N60" s="18">
        <f>IF($A60="","",MAX(0,MIN(100,kpg_kaliteTaban-IF($J60&lt;kpg_esikDoluluk,kpg_kaliteCeza,0)-IF($K60&lt;kpg_esikGetiri,kpg_kaliteSapma,0)-IF($Q60="YETIM",kpg_kaliteCeza,0))))</f>
        <v/>
      </c>
      <c r="O60" s="18">
        <f>IF($A60="","",IF(OR($J60&lt;kpg_esikDoluluk,$K60&lt;kpg_esikGetiri,$N60&lt;kpg_esikSaglik),"ALARM","UYGUN"))</f>
        <v/>
      </c>
      <c r="P60" s="18">
        <f>IF($A60="","",1)</f>
        <v/>
      </c>
      <c r="Q60" s="18">
        <f>IF($A60="","",IF(OR($B60="",COUNTIF(tblVarliklar[VarlikId],$B60)=0),"YETIM","TAMAM"))</f>
        <v/>
      </c>
    </row>
    <row r="61">
      <c r="A61" s="15" t="n"/>
      <c r="B61" s="15" t="n"/>
      <c r="C61" s="60" t="n"/>
      <c r="D61" s="17" t="n"/>
      <c r="E61" s="20" t="n"/>
      <c r="F61" s="17" t="n"/>
      <c r="G61" s="61" t="n"/>
      <c r="H61" s="15" t="n"/>
      <c r="I61" s="18">
        <f>IF($A61="","",IFERROR(SUMIF(tblVarliklar[VarlikId],$B61,tblVarliklar[HedefKiraTl_tl]),kpg_varsayilanHedefKira))</f>
        <v/>
      </c>
      <c r="J61" s="18">
        <f>IF($A61="","",MAX(0, 1-$E61/kpg_gunAy))</f>
        <v/>
      </c>
      <c r="K61" s="18">
        <f>IF(OR($A61="",$I61=0),"",$D61/$I61)</f>
        <v/>
      </c>
      <c r="L61" s="18">
        <f>IF($A61="","",$D61-$F61)</f>
        <v/>
      </c>
      <c r="M61" s="18">
        <f>IF($A61="","",$I61*(1+$G61))</f>
        <v/>
      </c>
      <c r="N61" s="18">
        <f>IF($A61="","",MAX(0,MIN(100,kpg_kaliteTaban-IF($J61&lt;kpg_esikDoluluk,kpg_kaliteCeza,0)-IF($K61&lt;kpg_esikGetiri,kpg_kaliteSapma,0)-IF($Q61="YETIM",kpg_kaliteCeza,0))))</f>
        <v/>
      </c>
      <c r="O61" s="18">
        <f>IF($A61="","",IF(OR($J61&lt;kpg_esikDoluluk,$K61&lt;kpg_esikGetiri,$N61&lt;kpg_esikSaglik),"ALARM","UYGUN"))</f>
        <v/>
      </c>
      <c r="P61" s="18">
        <f>IF($A61="","",1)</f>
        <v/>
      </c>
      <c r="Q61" s="18">
        <f>IF($A61="","",IF(OR($B61="",COUNTIF(tblVarliklar[VarlikId],$B61)=0),"YETIM","TAMAM"))</f>
        <v/>
      </c>
    </row>
    <row r="62">
      <c r="A62" s="15" t="n"/>
      <c r="B62" s="15" t="n"/>
      <c r="C62" s="60" t="n"/>
      <c r="D62" s="17" t="n"/>
      <c r="E62" s="20" t="n"/>
      <c r="F62" s="17" t="n"/>
      <c r="G62" s="61" t="n"/>
      <c r="H62" s="15" t="n"/>
      <c r="I62" s="18">
        <f>IF($A62="","",IFERROR(SUMIF(tblVarliklar[VarlikId],$B62,tblVarliklar[HedefKiraTl_tl]),kpg_varsayilanHedefKira))</f>
        <v/>
      </c>
      <c r="J62" s="18">
        <f>IF($A62="","",MAX(0, 1-$E62/kpg_gunAy))</f>
        <v/>
      </c>
      <c r="K62" s="18">
        <f>IF(OR($A62="",$I62=0),"",$D62/$I62)</f>
        <v/>
      </c>
      <c r="L62" s="18">
        <f>IF($A62="","",$D62-$F62)</f>
        <v/>
      </c>
      <c r="M62" s="18">
        <f>IF($A62="","",$I62*(1+$G62))</f>
        <v/>
      </c>
      <c r="N62" s="18">
        <f>IF($A62="","",MAX(0,MIN(100,kpg_kaliteTaban-IF($J62&lt;kpg_esikDoluluk,kpg_kaliteCeza,0)-IF($K62&lt;kpg_esikGetiri,kpg_kaliteSapma,0)-IF($Q62="YETIM",kpg_kaliteCeza,0))))</f>
        <v/>
      </c>
      <c r="O62" s="18">
        <f>IF($A62="","",IF(OR($J62&lt;kpg_esikDoluluk,$K62&lt;kpg_esikGetiri,$N62&lt;kpg_esikSaglik),"ALARM","UYGUN"))</f>
        <v/>
      </c>
      <c r="P62" s="18">
        <f>IF($A62="","",1)</f>
        <v/>
      </c>
      <c r="Q62" s="18">
        <f>IF($A62="","",IF(OR($B62="",COUNTIF(tblVarliklar[VarlikId],$B62)=0),"YETIM","TAMAM"))</f>
        <v/>
      </c>
    </row>
    <row r="63">
      <c r="A63" s="15" t="n"/>
      <c r="B63" s="15" t="n"/>
      <c r="C63" s="60" t="n"/>
      <c r="D63" s="17" t="n"/>
      <c r="E63" s="20" t="n"/>
      <c r="F63" s="17" t="n"/>
      <c r="G63" s="61" t="n"/>
      <c r="H63" s="15" t="n"/>
      <c r="I63" s="18">
        <f>IF($A63="","",IFERROR(SUMIF(tblVarliklar[VarlikId],$B63,tblVarliklar[HedefKiraTl_tl]),kpg_varsayilanHedefKira))</f>
        <v/>
      </c>
      <c r="J63" s="18">
        <f>IF($A63="","",MAX(0, 1-$E63/kpg_gunAy))</f>
        <v/>
      </c>
      <c r="K63" s="18">
        <f>IF(OR($A63="",$I63=0),"",$D63/$I63)</f>
        <v/>
      </c>
      <c r="L63" s="18">
        <f>IF($A63="","",$D63-$F63)</f>
        <v/>
      </c>
      <c r="M63" s="18">
        <f>IF($A63="","",$I63*(1+$G63))</f>
        <v/>
      </c>
      <c r="N63" s="18">
        <f>IF($A63="","",MAX(0,MIN(100,kpg_kaliteTaban-IF($J63&lt;kpg_esikDoluluk,kpg_kaliteCeza,0)-IF($K63&lt;kpg_esikGetiri,kpg_kaliteSapma,0)-IF($Q63="YETIM",kpg_kaliteCeza,0))))</f>
        <v/>
      </c>
      <c r="O63" s="18">
        <f>IF($A63="","",IF(OR($J63&lt;kpg_esikDoluluk,$K63&lt;kpg_esikGetiri,$N63&lt;kpg_esikSaglik),"ALARM","UYGUN"))</f>
        <v/>
      </c>
      <c r="P63" s="18">
        <f>IF($A63="","",1)</f>
        <v/>
      </c>
      <c r="Q63" s="18">
        <f>IF($A63="","",IF(OR($B63="",COUNTIF(tblVarliklar[VarlikId],$B63)=0),"YETIM","TAMAM"))</f>
        <v/>
      </c>
    </row>
    <row r="64">
      <c r="A64" s="15" t="n"/>
      <c r="B64" s="15" t="n"/>
      <c r="C64" s="60" t="n"/>
      <c r="D64" s="17" t="n"/>
      <c r="E64" s="20" t="n"/>
      <c r="F64" s="17" t="n"/>
      <c r="G64" s="61" t="n"/>
      <c r="H64" s="15" t="n"/>
      <c r="I64" s="18">
        <f>IF($A64="","",IFERROR(SUMIF(tblVarliklar[VarlikId],$B64,tblVarliklar[HedefKiraTl_tl]),kpg_varsayilanHedefKira))</f>
        <v/>
      </c>
      <c r="J64" s="18">
        <f>IF($A64="","",MAX(0, 1-$E64/kpg_gunAy))</f>
        <v/>
      </c>
      <c r="K64" s="18">
        <f>IF(OR($A64="",$I64=0),"",$D64/$I64)</f>
        <v/>
      </c>
      <c r="L64" s="18">
        <f>IF($A64="","",$D64-$F64)</f>
        <v/>
      </c>
      <c r="M64" s="18">
        <f>IF($A64="","",$I64*(1+$G64))</f>
        <v/>
      </c>
      <c r="N64" s="18">
        <f>IF($A64="","",MAX(0,MIN(100,kpg_kaliteTaban-IF($J64&lt;kpg_esikDoluluk,kpg_kaliteCeza,0)-IF($K64&lt;kpg_esikGetiri,kpg_kaliteSapma,0)-IF($Q64="YETIM",kpg_kaliteCeza,0))))</f>
        <v/>
      </c>
      <c r="O64" s="18">
        <f>IF($A64="","",IF(OR($J64&lt;kpg_esikDoluluk,$K64&lt;kpg_esikGetiri,$N64&lt;kpg_esikSaglik),"ALARM","UYGUN"))</f>
        <v/>
      </c>
      <c r="P64" s="18">
        <f>IF($A64="","",1)</f>
        <v/>
      </c>
      <c r="Q64" s="18">
        <f>IF($A64="","",IF(OR($B64="",COUNTIF(tblVarliklar[VarlikId],$B64)=0),"YETIM","TAMAM"))</f>
        <v/>
      </c>
    </row>
    <row r="65">
      <c r="A65" s="15" t="n"/>
      <c r="B65" s="15" t="n"/>
      <c r="C65" s="60" t="n"/>
      <c r="D65" s="17" t="n"/>
      <c r="E65" s="20" t="n"/>
      <c r="F65" s="17" t="n"/>
      <c r="G65" s="61" t="n"/>
      <c r="H65" s="15" t="n"/>
      <c r="I65" s="18">
        <f>IF($A65="","",IFERROR(SUMIF(tblVarliklar[VarlikId],$B65,tblVarliklar[HedefKiraTl_tl]),kpg_varsayilanHedefKira))</f>
        <v/>
      </c>
      <c r="J65" s="18">
        <f>IF($A65="","",MAX(0, 1-$E65/kpg_gunAy))</f>
        <v/>
      </c>
      <c r="K65" s="18">
        <f>IF(OR($A65="",$I65=0),"",$D65/$I65)</f>
        <v/>
      </c>
      <c r="L65" s="18">
        <f>IF($A65="","",$D65-$F65)</f>
        <v/>
      </c>
      <c r="M65" s="18">
        <f>IF($A65="","",$I65*(1+$G65))</f>
        <v/>
      </c>
      <c r="N65" s="18">
        <f>IF($A65="","",MAX(0,MIN(100,kpg_kaliteTaban-IF($J65&lt;kpg_esikDoluluk,kpg_kaliteCeza,0)-IF($K65&lt;kpg_esikGetiri,kpg_kaliteSapma,0)-IF($Q65="YETIM",kpg_kaliteCeza,0))))</f>
        <v/>
      </c>
      <c r="O65" s="18">
        <f>IF($A65="","",IF(OR($J65&lt;kpg_esikDoluluk,$K65&lt;kpg_esikGetiri,$N65&lt;kpg_esikSaglik),"ALARM","UYGUN"))</f>
        <v/>
      </c>
      <c r="P65" s="18">
        <f>IF($A65="","",1)</f>
        <v/>
      </c>
      <c r="Q65" s="18">
        <f>IF($A65="","",IF(OR($B65="",COUNTIF(tblVarliklar[VarlikId],$B65)=0),"YETIM","TAMAM"))</f>
        <v/>
      </c>
    </row>
    <row r="66">
      <c r="A66" s="15" t="n"/>
      <c r="B66" s="15" t="n"/>
      <c r="C66" s="60" t="n"/>
      <c r="D66" s="17" t="n"/>
      <c r="E66" s="20" t="n"/>
      <c r="F66" s="17" t="n"/>
      <c r="G66" s="61" t="n"/>
      <c r="H66" s="15" t="n"/>
      <c r="I66" s="18">
        <f>IF($A66="","",IFERROR(SUMIF(tblVarliklar[VarlikId],$B66,tblVarliklar[HedefKiraTl_tl]),kpg_varsayilanHedefKira))</f>
        <v/>
      </c>
      <c r="J66" s="18">
        <f>IF($A66="","",MAX(0, 1-$E66/kpg_gunAy))</f>
        <v/>
      </c>
      <c r="K66" s="18">
        <f>IF(OR($A66="",$I66=0),"",$D66/$I66)</f>
        <v/>
      </c>
      <c r="L66" s="18">
        <f>IF($A66="","",$D66-$F66)</f>
        <v/>
      </c>
      <c r="M66" s="18">
        <f>IF($A66="","",$I66*(1+$G66))</f>
        <v/>
      </c>
      <c r="N66" s="18">
        <f>IF($A66="","",MAX(0,MIN(100,kpg_kaliteTaban-IF($J66&lt;kpg_esikDoluluk,kpg_kaliteCeza,0)-IF($K66&lt;kpg_esikGetiri,kpg_kaliteSapma,0)-IF($Q66="YETIM",kpg_kaliteCeza,0))))</f>
        <v/>
      </c>
      <c r="O66" s="18">
        <f>IF($A66="","",IF(OR($J66&lt;kpg_esikDoluluk,$K66&lt;kpg_esikGetiri,$N66&lt;kpg_esikSaglik),"ALARM","UYGUN"))</f>
        <v/>
      </c>
      <c r="P66" s="18">
        <f>IF($A66="","",1)</f>
        <v/>
      </c>
      <c r="Q66" s="18">
        <f>IF($A66="","",IF(OR($B66="",COUNTIF(tblVarliklar[VarlikId],$B66)=0),"YETIM","TAMAM"))</f>
        <v/>
      </c>
    </row>
    <row r="67">
      <c r="A67" s="15" t="n"/>
      <c r="B67" s="15" t="n"/>
      <c r="C67" s="60" t="n"/>
      <c r="D67" s="17" t="n"/>
      <c r="E67" s="20" t="n"/>
      <c r="F67" s="17" t="n"/>
      <c r="G67" s="61" t="n"/>
      <c r="H67" s="15" t="n"/>
      <c r="I67" s="18">
        <f>IF($A67="","",IFERROR(SUMIF(tblVarliklar[VarlikId],$B67,tblVarliklar[HedefKiraTl_tl]),kpg_varsayilanHedefKira))</f>
        <v/>
      </c>
      <c r="J67" s="18">
        <f>IF($A67="","",MAX(0, 1-$E67/kpg_gunAy))</f>
        <v/>
      </c>
      <c r="K67" s="18">
        <f>IF(OR($A67="",$I67=0),"",$D67/$I67)</f>
        <v/>
      </c>
      <c r="L67" s="18">
        <f>IF($A67="","",$D67-$F67)</f>
        <v/>
      </c>
      <c r="M67" s="18">
        <f>IF($A67="","",$I67*(1+$G67))</f>
        <v/>
      </c>
      <c r="N67" s="18">
        <f>IF($A67="","",MAX(0,MIN(100,kpg_kaliteTaban-IF($J67&lt;kpg_esikDoluluk,kpg_kaliteCeza,0)-IF($K67&lt;kpg_esikGetiri,kpg_kaliteSapma,0)-IF($Q67="YETIM",kpg_kaliteCeza,0))))</f>
        <v/>
      </c>
      <c r="O67" s="18">
        <f>IF($A67="","",IF(OR($J67&lt;kpg_esikDoluluk,$K67&lt;kpg_esikGetiri,$N67&lt;kpg_esikSaglik),"ALARM","UYGUN"))</f>
        <v/>
      </c>
      <c r="P67" s="18">
        <f>IF($A67="","",1)</f>
        <v/>
      </c>
      <c r="Q67" s="18">
        <f>IF($A67="","",IF(OR($B67="",COUNTIF(tblVarliklar[VarlikId],$B67)=0),"YETIM","TAMAM"))</f>
        <v/>
      </c>
    </row>
    <row r="68">
      <c r="A68" s="15" t="n"/>
      <c r="B68" s="15" t="n"/>
      <c r="C68" s="60" t="n"/>
      <c r="D68" s="17" t="n"/>
      <c r="E68" s="20" t="n"/>
      <c r="F68" s="17" t="n"/>
      <c r="G68" s="61" t="n"/>
      <c r="H68" s="15" t="n"/>
      <c r="I68" s="18">
        <f>IF($A68="","",IFERROR(SUMIF(tblVarliklar[VarlikId],$B68,tblVarliklar[HedefKiraTl_tl]),kpg_varsayilanHedefKira))</f>
        <v/>
      </c>
      <c r="J68" s="18">
        <f>IF($A68="","",MAX(0, 1-$E68/kpg_gunAy))</f>
        <v/>
      </c>
      <c r="K68" s="18">
        <f>IF(OR($A68="",$I68=0),"",$D68/$I68)</f>
        <v/>
      </c>
      <c r="L68" s="18">
        <f>IF($A68="","",$D68-$F68)</f>
        <v/>
      </c>
      <c r="M68" s="18">
        <f>IF($A68="","",$I68*(1+$G68))</f>
        <v/>
      </c>
      <c r="N68" s="18">
        <f>IF($A68="","",MAX(0,MIN(100,kpg_kaliteTaban-IF($J68&lt;kpg_esikDoluluk,kpg_kaliteCeza,0)-IF($K68&lt;kpg_esikGetiri,kpg_kaliteSapma,0)-IF($Q68="YETIM",kpg_kaliteCeza,0))))</f>
        <v/>
      </c>
      <c r="O68" s="18">
        <f>IF($A68="","",IF(OR($J68&lt;kpg_esikDoluluk,$K68&lt;kpg_esikGetiri,$N68&lt;kpg_esikSaglik),"ALARM","UYGUN"))</f>
        <v/>
      </c>
      <c r="P68" s="18">
        <f>IF($A68="","",1)</f>
        <v/>
      </c>
      <c r="Q68" s="18">
        <f>IF($A68="","",IF(OR($B68="",COUNTIF(tblVarliklar[VarlikId],$B68)=0),"YETIM","TAMAM"))</f>
        <v/>
      </c>
    </row>
    <row r="69">
      <c r="A69" s="15" t="n"/>
      <c r="B69" s="15" t="n"/>
      <c r="C69" s="60" t="n"/>
      <c r="D69" s="17" t="n"/>
      <c r="E69" s="20" t="n"/>
      <c r="F69" s="17" t="n"/>
      <c r="G69" s="61" t="n"/>
      <c r="H69" s="15" t="n"/>
      <c r="I69" s="18">
        <f>IF($A69="","",IFERROR(SUMIF(tblVarliklar[VarlikId],$B69,tblVarliklar[HedefKiraTl_tl]),kpg_varsayilanHedefKira))</f>
        <v/>
      </c>
      <c r="J69" s="18">
        <f>IF($A69="","",MAX(0, 1-$E69/kpg_gunAy))</f>
        <v/>
      </c>
      <c r="K69" s="18">
        <f>IF(OR($A69="",$I69=0),"",$D69/$I69)</f>
        <v/>
      </c>
      <c r="L69" s="18">
        <f>IF($A69="","",$D69-$F69)</f>
        <v/>
      </c>
      <c r="M69" s="18">
        <f>IF($A69="","",$I69*(1+$G69))</f>
        <v/>
      </c>
      <c r="N69" s="18">
        <f>IF($A69="","",MAX(0,MIN(100,kpg_kaliteTaban-IF($J69&lt;kpg_esikDoluluk,kpg_kaliteCeza,0)-IF($K69&lt;kpg_esikGetiri,kpg_kaliteSapma,0)-IF($Q69="YETIM",kpg_kaliteCeza,0))))</f>
        <v/>
      </c>
      <c r="O69" s="18">
        <f>IF($A69="","",IF(OR($J69&lt;kpg_esikDoluluk,$K69&lt;kpg_esikGetiri,$N69&lt;kpg_esikSaglik),"ALARM","UYGUN"))</f>
        <v/>
      </c>
      <c r="P69" s="18">
        <f>IF($A69="","",1)</f>
        <v/>
      </c>
      <c r="Q69" s="18">
        <f>IF($A69="","",IF(OR($B69="",COUNTIF(tblVarliklar[VarlikId],$B69)=0),"YETIM","TAMAM"))</f>
        <v/>
      </c>
    </row>
    <row r="70">
      <c r="A70" s="15" t="n"/>
      <c r="B70" s="15" t="n"/>
      <c r="C70" s="60" t="n"/>
      <c r="D70" s="17" t="n"/>
      <c r="E70" s="20" t="n"/>
      <c r="F70" s="17" t="n"/>
      <c r="G70" s="61" t="n"/>
      <c r="H70" s="15" t="n"/>
      <c r="I70" s="18">
        <f>IF($A70="","",IFERROR(SUMIF(tblVarliklar[VarlikId],$B70,tblVarliklar[HedefKiraTl_tl]),kpg_varsayilanHedefKira))</f>
        <v/>
      </c>
      <c r="J70" s="18">
        <f>IF($A70="","",MAX(0, 1-$E70/kpg_gunAy))</f>
        <v/>
      </c>
      <c r="K70" s="18">
        <f>IF(OR($A70="",$I70=0),"",$D70/$I70)</f>
        <v/>
      </c>
      <c r="L70" s="18">
        <f>IF($A70="","",$D70-$F70)</f>
        <v/>
      </c>
      <c r="M70" s="18">
        <f>IF($A70="","",$I70*(1+$G70))</f>
        <v/>
      </c>
      <c r="N70" s="18">
        <f>IF($A70="","",MAX(0,MIN(100,kpg_kaliteTaban-IF($J70&lt;kpg_esikDoluluk,kpg_kaliteCeza,0)-IF($K70&lt;kpg_esikGetiri,kpg_kaliteSapma,0)-IF($Q70="YETIM",kpg_kaliteCeza,0))))</f>
        <v/>
      </c>
      <c r="O70" s="18">
        <f>IF($A70="","",IF(OR($J70&lt;kpg_esikDoluluk,$K70&lt;kpg_esikGetiri,$N70&lt;kpg_esikSaglik),"ALARM","UYGUN"))</f>
        <v/>
      </c>
      <c r="P70" s="18">
        <f>IF($A70="","",1)</f>
        <v/>
      </c>
      <c r="Q70" s="18">
        <f>IF($A70="","",IF(OR($B70="",COUNTIF(tblVarliklar[VarlikId],$B70)=0),"YETIM","TAMAM"))</f>
        <v/>
      </c>
    </row>
    <row r="71">
      <c r="A71" s="15" t="n"/>
      <c r="B71" s="15" t="n"/>
      <c r="C71" s="60" t="n"/>
      <c r="D71" s="17" t="n"/>
      <c r="E71" s="20" t="n"/>
      <c r="F71" s="17" t="n"/>
      <c r="G71" s="61" t="n"/>
      <c r="H71" s="15" t="n"/>
      <c r="I71" s="18">
        <f>IF($A71="","",IFERROR(SUMIF(tblVarliklar[VarlikId],$B71,tblVarliklar[HedefKiraTl_tl]),kpg_varsayilanHedefKira))</f>
        <v/>
      </c>
      <c r="J71" s="18">
        <f>IF($A71="","",MAX(0, 1-$E71/kpg_gunAy))</f>
        <v/>
      </c>
      <c r="K71" s="18">
        <f>IF(OR($A71="",$I71=0),"",$D71/$I71)</f>
        <v/>
      </c>
      <c r="L71" s="18">
        <f>IF($A71="","",$D71-$F71)</f>
        <v/>
      </c>
      <c r="M71" s="18">
        <f>IF($A71="","",$I71*(1+$G71))</f>
        <v/>
      </c>
      <c r="N71" s="18">
        <f>IF($A71="","",MAX(0,MIN(100,kpg_kaliteTaban-IF($J71&lt;kpg_esikDoluluk,kpg_kaliteCeza,0)-IF($K71&lt;kpg_esikGetiri,kpg_kaliteSapma,0)-IF($Q71="YETIM",kpg_kaliteCeza,0))))</f>
        <v/>
      </c>
      <c r="O71" s="18">
        <f>IF($A71="","",IF(OR($J71&lt;kpg_esikDoluluk,$K71&lt;kpg_esikGetiri,$N71&lt;kpg_esikSaglik),"ALARM","UYGUN"))</f>
        <v/>
      </c>
      <c r="P71" s="18">
        <f>IF($A71="","",1)</f>
        <v/>
      </c>
      <c r="Q71" s="18">
        <f>IF($A71="","",IF(OR($B71="",COUNTIF(tblVarliklar[VarlikId],$B71)=0),"YETIM","TAMAM"))</f>
        <v/>
      </c>
    </row>
    <row r="72">
      <c r="A72" s="15" t="n"/>
      <c r="B72" s="15" t="n"/>
      <c r="C72" s="60" t="n"/>
      <c r="D72" s="17" t="n"/>
      <c r="E72" s="20" t="n"/>
      <c r="F72" s="17" t="n"/>
      <c r="G72" s="61" t="n"/>
      <c r="H72" s="15" t="n"/>
      <c r="I72" s="18">
        <f>IF($A72="","",IFERROR(SUMIF(tblVarliklar[VarlikId],$B72,tblVarliklar[HedefKiraTl_tl]),kpg_varsayilanHedefKira))</f>
        <v/>
      </c>
      <c r="J72" s="18">
        <f>IF($A72="","",MAX(0, 1-$E72/kpg_gunAy))</f>
        <v/>
      </c>
      <c r="K72" s="18">
        <f>IF(OR($A72="",$I72=0),"",$D72/$I72)</f>
        <v/>
      </c>
      <c r="L72" s="18">
        <f>IF($A72="","",$D72-$F72)</f>
        <v/>
      </c>
      <c r="M72" s="18">
        <f>IF($A72="","",$I72*(1+$G72))</f>
        <v/>
      </c>
      <c r="N72" s="18">
        <f>IF($A72="","",MAX(0,MIN(100,kpg_kaliteTaban-IF($J72&lt;kpg_esikDoluluk,kpg_kaliteCeza,0)-IF($K72&lt;kpg_esikGetiri,kpg_kaliteSapma,0)-IF($Q72="YETIM",kpg_kaliteCeza,0))))</f>
        <v/>
      </c>
      <c r="O72" s="18">
        <f>IF($A72="","",IF(OR($J72&lt;kpg_esikDoluluk,$K72&lt;kpg_esikGetiri,$N72&lt;kpg_esikSaglik),"ALARM","UYGUN"))</f>
        <v/>
      </c>
      <c r="P72" s="18">
        <f>IF($A72="","",1)</f>
        <v/>
      </c>
      <c r="Q72" s="18">
        <f>IF($A72="","",IF(OR($B72="",COUNTIF(tblVarliklar[VarlikId],$B72)=0),"YETIM","TAMAM"))</f>
        <v/>
      </c>
    </row>
    <row r="73">
      <c r="A73" s="15" t="n"/>
      <c r="B73" s="15" t="n"/>
      <c r="C73" s="60" t="n"/>
      <c r="D73" s="17" t="n"/>
      <c r="E73" s="20" t="n"/>
      <c r="F73" s="17" t="n"/>
      <c r="G73" s="61" t="n"/>
      <c r="H73" s="15" t="n"/>
      <c r="I73" s="18">
        <f>IF($A73="","",IFERROR(SUMIF(tblVarliklar[VarlikId],$B73,tblVarliklar[HedefKiraTl_tl]),kpg_varsayilanHedefKira))</f>
        <v/>
      </c>
      <c r="J73" s="18">
        <f>IF($A73="","",MAX(0, 1-$E73/kpg_gunAy))</f>
        <v/>
      </c>
      <c r="K73" s="18">
        <f>IF(OR($A73="",$I73=0),"",$D73/$I73)</f>
        <v/>
      </c>
      <c r="L73" s="18">
        <f>IF($A73="","",$D73-$F73)</f>
        <v/>
      </c>
      <c r="M73" s="18">
        <f>IF($A73="","",$I73*(1+$G73))</f>
        <v/>
      </c>
      <c r="N73" s="18">
        <f>IF($A73="","",MAX(0,MIN(100,kpg_kaliteTaban-IF($J73&lt;kpg_esikDoluluk,kpg_kaliteCeza,0)-IF($K73&lt;kpg_esikGetiri,kpg_kaliteSapma,0)-IF($Q73="YETIM",kpg_kaliteCeza,0))))</f>
        <v/>
      </c>
      <c r="O73" s="18">
        <f>IF($A73="","",IF(OR($J73&lt;kpg_esikDoluluk,$K73&lt;kpg_esikGetiri,$N73&lt;kpg_esikSaglik),"ALARM","UYGUN"))</f>
        <v/>
      </c>
      <c r="P73" s="18">
        <f>IF($A73="","",1)</f>
        <v/>
      </c>
      <c r="Q73" s="18">
        <f>IF($A73="","",IF(OR($B73="",COUNTIF(tblVarliklar[VarlikId],$B73)=0),"YETIM","TAMAM"))</f>
        <v/>
      </c>
    </row>
    <row r="74">
      <c r="A74" s="15" t="n"/>
      <c r="B74" s="15" t="n"/>
      <c r="C74" s="60" t="n"/>
      <c r="D74" s="17" t="n"/>
      <c r="E74" s="20" t="n"/>
      <c r="F74" s="17" t="n"/>
      <c r="G74" s="61" t="n"/>
      <c r="H74" s="15" t="n"/>
      <c r="I74" s="18">
        <f>IF($A74="","",IFERROR(SUMIF(tblVarliklar[VarlikId],$B74,tblVarliklar[HedefKiraTl_tl]),kpg_varsayilanHedefKira))</f>
        <v/>
      </c>
      <c r="J74" s="18">
        <f>IF($A74="","",MAX(0, 1-$E74/kpg_gunAy))</f>
        <v/>
      </c>
      <c r="K74" s="18">
        <f>IF(OR($A74="",$I74=0),"",$D74/$I74)</f>
        <v/>
      </c>
      <c r="L74" s="18">
        <f>IF($A74="","",$D74-$F74)</f>
        <v/>
      </c>
      <c r="M74" s="18">
        <f>IF($A74="","",$I74*(1+$G74))</f>
        <v/>
      </c>
      <c r="N74" s="18">
        <f>IF($A74="","",MAX(0,MIN(100,kpg_kaliteTaban-IF($J74&lt;kpg_esikDoluluk,kpg_kaliteCeza,0)-IF($K74&lt;kpg_esikGetiri,kpg_kaliteSapma,0)-IF($Q74="YETIM",kpg_kaliteCeza,0))))</f>
        <v/>
      </c>
      <c r="O74" s="18">
        <f>IF($A74="","",IF(OR($J74&lt;kpg_esikDoluluk,$K74&lt;kpg_esikGetiri,$N74&lt;kpg_esikSaglik),"ALARM","UYGUN"))</f>
        <v/>
      </c>
      <c r="P74" s="18">
        <f>IF($A74="","",1)</f>
        <v/>
      </c>
      <c r="Q74" s="18">
        <f>IF($A74="","",IF(OR($B74="",COUNTIF(tblVarliklar[VarlikId],$B74)=0),"YETIM","TAMAM"))</f>
        <v/>
      </c>
    </row>
    <row r="75">
      <c r="A75" s="15" t="n"/>
      <c r="B75" s="15" t="n"/>
      <c r="C75" s="60" t="n"/>
      <c r="D75" s="17" t="n"/>
      <c r="E75" s="20" t="n"/>
      <c r="F75" s="17" t="n"/>
      <c r="G75" s="61" t="n"/>
      <c r="H75" s="15" t="n"/>
      <c r="I75" s="18">
        <f>IF($A75="","",IFERROR(SUMIF(tblVarliklar[VarlikId],$B75,tblVarliklar[HedefKiraTl_tl]),kpg_varsayilanHedefKira))</f>
        <v/>
      </c>
      <c r="J75" s="18">
        <f>IF($A75="","",MAX(0, 1-$E75/kpg_gunAy))</f>
        <v/>
      </c>
      <c r="K75" s="18">
        <f>IF(OR($A75="",$I75=0),"",$D75/$I75)</f>
        <v/>
      </c>
      <c r="L75" s="18">
        <f>IF($A75="","",$D75-$F75)</f>
        <v/>
      </c>
      <c r="M75" s="18">
        <f>IF($A75="","",$I75*(1+$G75))</f>
        <v/>
      </c>
      <c r="N75" s="18">
        <f>IF($A75="","",MAX(0,MIN(100,kpg_kaliteTaban-IF($J75&lt;kpg_esikDoluluk,kpg_kaliteCeza,0)-IF($K75&lt;kpg_esikGetiri,kpg_kaliteSapma,0)-IF($Q75="YETIM",kpg_kaliteCeza,0))))</f>
        <v/>
      </c>
      <c r="O75" s="18">
        <f>IF($A75="","",IF(OR($J75&lt;kpg_esikDoluluk,$K75&lt;kpg_esikGetiri,$N75&lt;kpg_esikSaglik),"ALARM","UYGUN"))</f>
        <v/>
      </c>
      <c r="P75" s="18">
        <f>IF($A75="","",1)</f>
        <v/>
      </c>
      <c r="Q75" s="18">
        <f>IF($A75="","",IF(OR($B75="",COUNTIF(tblVarliklar[VarlikId],$B75)=0),"YETIM","TAMAM"))</f>
        <v/>
      </c>
    </row>
    <row r="76">
      <c r="A76" s="15" t="n"/>
      <c r="B76" s="15" t="n"/>
      <c r="C76" s="60" t="n"/>
      <c r="D76" s="17" t="n"/>
      <c r="E76" s="20" t="n"/>
      <c r="F76" s="17" t="n"/>
      <c r="G76" s="61" t="n"/>
      <c r="H76" s="15" t="n"/>
      <c r="I76" s="18">
        <f>IF($A76="","",IFERROR(SUMIF(tblVarliklar[VarlikId],$B76,tblVarliklar[HedefKiraTl_tl]),kpg_varsayilanHedefKira))</f>
        <v/>
      </c>
      <c r="J76" s="18">
        <f>IF($A76="","",MAX(0, 1-$E76/kpg_gunAy))</f>
        <v/>
      </c>
      <c r="K76" s="18">
        <f>IF(OR($A76="",$I76=0),"",$D76/$I76)</f>
        <v/>
      </c>
      <c r="L76" s="18">
        <f>IF($A76="","",$D76-$F76)</f>
        <v/>
      </c>
      <c r="M76" s="18">
        <f>IF($A76="","",$I76*(1+$G76))</f>
        <v/>
      </c>
      <c r="N76" s="18">
        <f>IF($A76="","",MAX(0,MIN(100,kpg_kaliteTaban-IF($J76&lt;kpg_esikDoluluk,kpg_kaliteCeza,0)-IF($K76&lt;kpg_esikGetiri,kpg_kaliteSapma,0)-IF($Q76="YETIM",kpg_kaliteCeza,0))))</f>
        <v/>
      </c>
      <c r="O76" s="18">
        <f>IF($A76="","",IF(OR($J76&lt;kpg_esikDoluluk,$K76&lt;kpg_esikGetiri,$N76&lt;kpg_esikSaglik),"ALARM","UYGUN"))</f>
        <v/>
      </c>
      <c r="P76" s="18">
        <f>IF($A76="","",1)</f>
        <v/>
      </c>
      <c r="Q76" s="18">
        <f>IF($A76="","",IF(OR($B76="",COUNTIF(tblVarliklar[VarlikId],$B76)=0),"YETIM","TAMAM"))</f>
        <v/>
      </c>
    </row>
    <row r="77">
      <c r="A77" s="15" t="n"/>
      <c r="B77" s="15" t="n"/>
      <c r="C77" s="60" t="n"/>
      <c r="D77" s="17" t="n"/>
      <c r="E77" s="20" t="n"/>
      <c r="F77" s="17" t="n"/>
      <c r="G77" s="61" t="n"/>
      <c r="H77" s="15" t="n"/>
      <c r="I77" s="18">
        <f>IF($A77="","",IFERROR(SUMIF(tblVarliklar[VarlikId],$B77,tblVarliklar[HedefKiraTl_tl]),kpg_varsayilanHedefKira))</f>
        <v/>
      </c>
      <c r="J77" s="18">
        <f>IF($A77="","",MAX(0, 1-$E77/kpg_gunAy))</f>
        <v/>
      </c>
      <c r="K77" s="18">
        <f>IF(OR($A77="",$I77=0),"",$D77/$I77)</f>
        <v/>
      </c>
      <c r="L77" s="18">
        <f>IF($A77="","",$D77-$F77)</f>
        <v/>
      </c>
      <c r="M77" s="18">
        <f>IF($A77="","",$I77*(1+$G77))</f>
        <v/>
      </c>
      <c r="N77" s="18">
        <f>IF($A77="","",MAX(0,MIN(100,kpg_kaliteTaban-IF($J77&lt;kpg_esikDoluluk,kpg_kaliteCeza,0)-IF($K77&lt;kpg_esikGetiri,kpg_kaliteSapma,0)-IF($Q77="YETIM",kpg_kaliteCeza,0))))</f>
        <v/>
      </c>
      <c r="O77" s="18">
        <f>IF($A77="","",IF(OR($J77&lt;kpg_esikDoluluk,$K77&lt;kpg_esikGetiri,$N77&lt;kpg_esikSaglik),"ALARM","UYGUN"))</f>
        <v/>
      </c>
      <c r="P77" s="18">
        <f>IF($A77="","",1)</f>
        <v/>
      </c>
      <c r="Q77" s="18">
        <f>IF($A77="","",IF(OR($B77="",COUNTIF(tblVarliklar[VarlikId],$B77)=0),"YETIM","TAMAM"))</f>
        <v/>
      </c>
    </row>
    <row r="78">
      <c r="A78" s="15" t="n"/>
      <c r="B78" s="15" t="n"/>
      <c r="C78" s="60" t="n"/>
      <c r="D78" s="17" t="n"/>
      <c r="E78" s="20" t="n"/>
      <c r="F78" s="17" t="n"/>
      <c r="G78" s="61" t="n"/>
      <c r="H78" s="15" t="n"/>
      <c r="I78" s="18">
        <f>IF($A78="","",IFERROR(SUMIF(tblVarliklar[VarlikId],$B78,tblVarliklar[HedefKiraTl_tl]),kpg_varsayilanHedefKira))</f>
        <v/>
      </c>
      <c r="J78" s="18">
        <f>IF($A78="","",MAX(0, 1-$E78/kpg_gunAy))</f>
        <v/>
      </c>
      <c r="K78" s="18">
        <f>IF(OR($A78="",$I78=0),"",$D78/$I78)</f>
        <v/>
      </c>
      <c r="L78" s="18">
        <f>IF($A78="","",$D78-$F78)</f>
        <v/>
      </c>
      <c r="M78" s="18">
        <f>IF($A78="","",$I78*(1+$G78))</f>
        <v/>
      </c>
      <c r="N78" s="18">
        <f>IF($A78="","",MAX(0,MIN(100,kpg_kaliteTaban-IF($J78&lt;kpg_esikDoluluk,kpg_kaliteCeza,0)-IF($K78&lt;kpg_esikGetiri,kpg_kaliteSapma,0)-IF($Q78="YETIM",kpg_kaliteCeza,0))))</f>
        <v/>
      </c>
      <c r="O78" s="18">
        <f>IF($A78="","",IF(OR($J78&lt;kpg_esikDoluluk,$K78&lt;kpg_esikGetiri,$N78&lt;kpg_esikSaglik),"ALARM","UYGUN"))</f>
        <v/>
      </c>
      <c r="P78" s="18">
        <f>IF($A78="","",1)</f>
        <v/>
      </c>
      <c r="Q78" s="18">
        <f>IF($A78="","",IF(OR($B78="",COUNTIF(tblVarliklar[VarlikId],$B78)=0),"YETIM","TAMAM"))</f>
        <v/>
      </c>
    </row>
    <row r="79">
      <c r="A79" s="15" t="n"/>
      <c r="B79" s="15" t="n"/>
      <c r="C79" s="60" t="n"/>
      <c r="D79" s="17" t="n"/>
      <c r="E79" s="20" t="n"/>
      <c r="F79" s="17" t="n"/>
      <c r="G79" s="61" t="n"/>
      <c r="H79" s="15" t="n"/>
      <c r="I79" s="18">
        <f>IF($A79="","",IFERROR(SUMIF(tblVarliklar[VarlikId],$B79,tblVarliklar[HedefKiraTl_tl]),kpg_varsayilanHedefKira))</f>
        <v/>
      </c>
      <c r="J79" s="18">
        <f>IF($A79="","",MAX(0, 1-$E79/kpg_gunAy))</f>
        <v/>
      </c>
      <c r="K79" s="18">
        <f>IF(OR($A79="",$I79=0),"",$D79/$I79)</f>
        <v/>
      </c>
      <c r="L79" s="18">
        <f>IF($A79="","",$D79-$F79)</f>
        <v/>
      </c>
      <c r="M79" s="18">
        <f>IF($A79="","",$I79*(1+$G79))</f>
        <v/>
      </c>
      <c r="N79" s="18">
        <f>IF($A79="","",MAX(0,MIN(100,kpg_kaliteTaban-IF($J79&lt;kpg_esikDoluluk,kpg_kaliteCeza,0)-IF($K79&lt;kpg_esikGetiri,kpg_kaliteSapma,0)-IF($Q79="YETIM",kpg_kaliteCeza,0))))</f>
        <v/>
      </c>
      <c r="O79" s="18">
        <f>IF($A79="","",IF(OR($J79&lt;kpg_esikDoluluk,$K79&lt;kpg_esikGetiri,$N79&lt;kpg_esikSaglik),"ALARM","UYGUN"))</f>
        <v/>
      </c>
      <c r="P79" s="18">
        <f>IF($A79="","",1)</f>
        <v/>
      </c>
      <c r="Q79" s="18">
        <f>IF($A79="","",IF(OR($B79="",COUNTIF(tblVarliklar[VarlikId],$B79)=0),"YETIM","TAMAM"))</f>
        <v/>
      </c>
    </row>
    <row r="80">
      <c r="A80" s="15" t="n"/>
      <c r="B80" s="15" t="n"/>
      <c r="C80" s="60" t="n"/>
      <c r="D80" s="17" t="n"/>
      <c r="E80" s="20" t="n"/>
      <c r="F80" s="17" t="n"/>
      <c r="G80" s="61" t="n"/>
      <c r="H80" s="15" t="n"/>
      <c r="I80" s="18">
        <f>IF($A80="","",IFERROR(SUMIF(tblVarliklar[VarlikId],$B80,tblVarliklar[HedefKiraTl_tl]),kpg_varsayilanHedefKira))</f>
        <v/>
      </c>
      <c r="J80" s="18">
        <f>IF($A80="","",MAX(0, 1-$E80/kpg_gunAy))</f>
        <v/>
      </c>
      <c r="K80" s="18">
        <f>IF(OR($A80="",$I80=0),"",$D80/$I80)</f>
        <v/>
      </c>
      <c r="L80" s="18">
        <f>IF($A80="","",$D80-$F80)</f>
        <v/>
      </c>
      <c r="M80" s="18">
        <f>IF($A80="","",$I80*(1+$G80))</f>
        <v/>
      </c>
      <c r="N80" s="18">
        <f>IF($A80="","",MAX(0,MIN(100,kpg_kaliteTaban-IF($J80&lt;kpg_esikDoluluk,kpg_kaliteCeza,0)-IF($K80&lt;kpg_esikGetiri,kpg_kaliteSapma,0)-IF($Q80="YETIM",kpg_kaliteCeza,0))))</f>
        <v/>
      </c>
      <c r="O80" s="18">
        <f>IF($A80="","",IF(OR($J80&lt;kpg_esikDoluluk,$K80&lt;kpg_esikGetiri,$N80&lt;kpg_esikSaglik),"ALARM","UYGUN"))</f>
        <v/>
      </c>
      <c r="P80" s="18">
        <f>IF($A80="","",1)</f>
        <v/>
      </c>
      <c r="Q80" s="18">
        <f>IF($A80="","",IF(OR($B80="",COUNTIF(tblVarliklar[VarlikId],$B80)=0),"YETIM","TAMAM"))</f>
        <v/>
      </c>
    </row>
    <row r="81">
      <c r="A81" s="15" t="n"/>
      <c r="B81" s="15" t="n"/>
      <c r="C81" s="60" t="n"/>
      <c r="D81" s="17" t="n"/>
      <c r="E81" s="20" t="n"/>
      <c r="F81" s="17" t="n"/>
      <c r="G81" s="61" t="n"/>
      <c r="H81" s="15" t="n"/>
      <c r="I81" s="18">
        <f>IF($A81="","",IFERROR(SUMIF(tblVarliklar[VarlikId],$B81,tblVarliklar[HedefKiraTl_tl]),kpg_varsayilanHedefKira))</f>
        <v/>
      </c>
      <c r="J81" s="18">
        <f>IF($A81="","",MAX(0, 1-$E81/kpg_gunAy))</f>
        <v/>
      </c>
      <c r="K81" s="18">
        <f>IF(OR($A81="",$I81=0),"",$D81/$I81)</f>
        <v/>
      </c>
      <c r="L81" s="18">
        <f>IF($A81="","",$D81-$F81)</f>
        <v/>
      </c>
      <c r="M81" s="18">
        <f>IF($A81="","",$I81*(1+$G81))</f>
        <v/>
      </c>
      <c r="N81" s="18">
        <f>IF($A81="","",MAX(0,MIN(100,kpg_kaliteTaban-IF($J81&lt;kpg_esikDoluluk,kpg_kaliteCeza,0)-IF($K81&lt;kpg_esikGetiri,kpg_kaliteSapma,0)-IF($Q81="YETIM",kpg_kaliteCeza,0))))</f>
        <v/>
      </c>
      <c r="O81" s="18">
        <f>IF($A81="","",IF(OR($J81&lt;kpg_esikDoluluk,$K81&lt;kpg_esikGetiri,$N81&lt;kpg_esikSaglik),"ALARM","UYGUN"))</f>
        <v/>
      </c>
      <c r="P81" s="18">
        <f>IF($A81="","",1)</f>
        <v/>
      </c>
      <c r="Q81" s="18">
        <f>IF($A81="","",IF(OR($B81="",COUNTIF(tblVarliklar[VarlikId],$B81)=0),"YETIM","TAMAM"))</f>
        <v/>
      </c>
    </row>
    <row r="82">
      <c r="A82" s="15" t="n"/>
      <c r="B82" s="15" t="n"/>
      <c r="C82" s="60" t="n"/>
      <c r="D82" s="17" t="n"/>
      <c r="E82" s="20" t="n"/>
      <c r="F82" s="17" t="n"/>
      <c r="G82" s="61" t="n"/>
      <c r="H82" s="15" t="n"/>
      <c r="I82" s="18">
        <f>IF($A82="","",IFERROR(SUMIF(tblVarliklar[VarlikId],$B82,tblVarliklar[HedefKiraTl_tl]),kpg_varsayilanHedefKira))</f>
        <v/>
      </c>
      <c r="J82" s="18">
        <f>IF($A82="","",MAX(0, 1-$E82/kpg_gunAy))</f>
        <v/>
      </c>
      <c r="K82" s="18">
        <f>IF(OR($A82="",$I82=0),"",$D82/$I82)</f>
        <v/>
      </c>
      <c r="L82" s="18">
        <f>IF($A82="","",$D82-$F82)</f>
        <v/>
      </c>
      <c r="M82" s="18">
        <f>IF($A82="","",$I82*(1+$G82))</f>
        <v/>
      </c>
      <c r="N82" s="18">
        <f>IF($A82="","",MAX(0,MIN(100,kpg_kaliteTaban-IF($J82&lt;kpg_esikDoluluk,kpg_kaliteCeza,0)-IF($K82&lt;kpg_esikGetiri,kpg_kaliteSapma,0)-IF($Q82="YETIM",kpg_kaliteCeza,0))))</f>
        <v/>
      </c>
      <c r="O82" s="18">
        <f>IF($A82="","",IF(OR($J82&lt;kpg_esikDoluluk,$K82&lt;kpg_esikGetiri,$N82&lt;kpg_esikSaglik),"ALARM","UYGUN"))</f>
        <v/>
      </c>
      <c r="P82" s="18">
        <f>IF($A82="","",1)</f>
        <v/>
      </c>
      <c r="Q82" s="18">
        <f>IF($A82="","",IF(OR($B82="",COUNTIF(tblVarliklar[VarlikId],$B82)=0),"YETIM","TAMAM"))</f>
        <v/>
      </c>
    </row>
    <row r="83">
      <c r="A83" s="15" t="n"/>
      <c r="B83" s="15" t="n"/>
      <c r="C83" s="60" t="n"/>
      <c r="D83" s="17" t="n"/>
      <c r="E83" s="20" t="n"/>
      <c r="F83" s="17" t="n"/>
      <c r="G83" s="61" t="n"/>
      <c r="H83" s="15" t="n"/>
      <c r="I83" s="18">
        <f>IF($A83="","",IFERROR(SUMIF(tblVarliklar[VarlikId],$B83,tblVarliklar[HedefKiraTl_tl]),kpg_varsayilanHedefKira))</f>
        <v/>
      </c>
      <c r="J83" s="18">
        <f>IF($A83="","",MAX(0, 1-$E83/kpg_gunAy))</f>
        <v/>
      </c>
      <c r="K83" s="18">
        <f>IF(OR($A83="",$I83=0),"",$D83/$I83)</f>
        <v/>
      </c>
      <c r="L83" s="18">
        <f>IF($A83="","",$D83-$F83)</f>
        <v/>
      </c>
      <c r="M83" s="18">
        <f>IF($A83="","",$I83*(1+$G83))</f>
        <v/>
      </c>
      <c r="N83" s="18">
        <f>IF($A83="","",MAX(0,MIN(100,kpg_kaliteTaban-IF($J83&lt;kpg_esikDoluluk,kpg_kaliteCeza,0)-IF($K83&lt;kpg_esikGetiri,kpg_kaliteSapma,0)-IF($Q83="YETIM",kpg_kaliteCeza,0))))</f>
        <v/>
      </c>
      <c r="O83" s="18">
        <f>IF($A83="","",IF(OR($J83&lt;kpg_esikDoluluk,$K83&lt;kpg_esikGetiri,$N83&lt;kpg_esikSaglik),"ALARM","UYGUN"))</f>
        <v/>
      </c>
      <c r="P83" s="18">
        <f>IF($A83="","",1)</f>
        <v/>
      </c>
      <c r="Q83" s="18">
        <f>IF($A83="","",IF(OR($B83="",COUNTIF(tblVarliklar[VarlikId],$B83)=0),"YETIM","TAMAM"))</f>
        <v/>
      </c>
    </row>
    <row r="84">
      <c r="A84" s="15" t="n"/>
      <c r="B84" s="15" t="n"/>
      <c r="C84" s="60" t="n"/>
      <c r="D84" s="17" t="n"/>
      <c r="E84" s="20" t="n"/>
      <c r="F84" s="17" t="n"/>
      <c r="G84" s="61" t="n"/>
      <c r="H84" s="15" t="n"/>
      <c r="I84" s="18">
        <f>IF($A84="","",IFERROR(SUMIF(tblVarliklar[VarlikId],$B84,tblVarliklar[HedefKiraTl_tl]),kpg_varsayilanHedefKira))</f>
        <v/>
      </c>
      <c r="J84" s="18">
        <f>IF($A84="","",MAX(0, 1-$E84/kpg_gunAy))</f>
        <v/>
      </c>
      <c r="K84" s="18">
        <f>IF(OR($A84="",$I84=0),"",$D84/$I84)</f>
        <v/>
      </c>
      <c r="L84" s="18">
        <f>IF($A84="","",$D84-$F84)</f>
        <v/>
      </c>
      <c r="M84" s="18">
        <f>IF($A84="","",$I84*(1+$G84))</f>
        <v/>
      </c>
      <c r="N84" s="18">
        <f>IF($A84="","",MAX(0,MIN(100,kpg_kaliteTaban-IF($J84&lt;kpg_esikDoluluk,kpg_kaliteCeza,0)-IF($K84&lt;kpg_esikGetiri,kpg_kaliteSapma,0)-IF($Q84="YETIM",kpg_kaliteCeza,0))))</f>
        <v/>
      </c>
      <c r="O84" s="18">
        <f>IF($A84="","",IF(OR($J84&lt;kpg_esikDoluluk,$K84&lt;kpg_esikGetiri,$N84&lt;kpg_esikSaglik),"ALARM","UYGUN"))</f>
        <v/>
      </c>
      <c r="P84" s="18">
        <f>IF($A84="","",1)</f>
        <v/>
      </c>
      <c r="Q84" s="18">
        <f>IF($A84="","",IF(OR($B84="",COUNTIF(tblVarliklar[VarlikId],$B84)=0),"YETIM","TAMAM"))</f>
        <v/>
      </c>
    </row>
    <row r="85">
      <c r="A85" s="15" t="n"/>
      <c r="B85" s="15" t="n"/>
      <c r="C85" s="60" t="n"/>
      <c r="D85" s="17" t="n"/>
      <c r="E85" s="20" t="n"/>
      <c r="F85" s="17" t="n"/>
      <c r="G85" s="61" t="n"/>
      <c r="H85" s="15" t="n"/>
      <c r="I85" s="18">
        <f>IF($A85="","",IFERROR(SUMIF(tblVarliklar[VarlikId],$B85,tblVarliklar[HedefKiraTl_tl]),kpg_varsayilanHedefKira))</f>
        <v/>
      </c>
      <c r="J85" s="18">
        <f>IF($A85="","",MAX(0, 1-$E85/kpg_gunAy))</f>
        <v/>
      </c>
      <c r="K85" s="18">
        <f>IF(OR($A85="",$I85=0),"",$D85/$I85)</f>
        <v/>
      </c>
      <c r="L85" s="18">
        <f>IF($A85="","",$D85-$F85)</f>
        <v/>
      </c>
      <c r="M85" s="18">
        <f>IF($A85="","",$I85*(1+$G85))</f>
        <v/>
      </c>
      <c r="N85" s="18">
        <f>IF($A85="","",MAX(0,MIN(100,kpg_kaliteTaban-IF($J85&lt;kpg_esikDoluluk,kpg_kaliteCeza,0)-IF($K85&lt;kpg_esikGetiri,kpg_kaliteSapma,0)-IF($Q85="YETIM",kpg_kaliteCeza,0))))</f>
        <v/>
      </c>
      <c r="O85" s="18">
        <f>IF($A85="","",IF(OR($J85&lt;kpg_esikDoluluk,$K85&lt;kpg_esikGetiri,$N85&lt;kpg_esikSaglik),"ALARM","UYGUN"))</f>
        <v/>
      </c>
      <c r="P85" s="18">
        <f>IF($A85="","",1)</f>
        <v/>
      </c>
      <c r="Q85" s="18">
        <f>IF($A85="","",IF(OR($B85="",COUNTIF(tblVarliklar[VarlikId],$B85)=0),"YETIM","TAMAM"))</f>
        <v/>
      </c>
    </row>
    <row r="86">
      <c r="A86" s="15" t="n"/>
      <c r="B86" s="15" t="n"/>
      <c r="C86" s="60" t="n"/>
      <c r="D86" s="17" t="n"/>
      <c r="E86" s="20" t="n"/>
      <c r="F86" s="17" t="n"/>
      <c r="G86" s="61" t="n"/>
      <c r="H86" s="15" t="n"/>
      <c r="I86" s="18">
        <f>IF($A86="","",IFERROR(SUMIF(tblVarliklar[VarlikId],$B86,tblVarliklar[HedefKiraTl_tl]),kpg_varsayilanHedefKira))</f>
        <v/>
      </c>
      <c r="J86" s="18">
        <f>IF($A86="","",MAX(0, 1-$E86/kpg_gunAy))</f>
        <v/>
      </c>
      <c r="K86" s="18">
        <f>IF(OR($A86="",$I86=0),"",$D86/$I86)</f>
        <v/>
      </c>
      <c r="L86" s="18">
        <f>IF($A86="","",$D86-$F86)</f>
        <v/>
      </c>
      <c r="M86" s="18">
        <f>IF($A86="","",$I86*(1+$G86))</f>
        <v/>
      </c>
      <c r="N86" s="18">
        <f>IF($A86="","",MAX(0,MIN(100,kpg_kaliteTaban-IF($J86&lt;kpg_esikDoluluk,kpg_kaliteCeza,0)-IF($K86&lt;kpg_esikGetiri,kpg_kaliteSapma,0)-IF($Q86="YETIM",kpg_kaliteCeza,0))))</f>
        <v/>
      </c>
      <c r="O86" s="18">
        <f>IF($A86="","",IF(OR($J86&lt;kpg_esikDoluluk,$K86&lt;kpg_esikGetiri,$N86&lt;kpg_esikSaglik),"ALARM","UYGUN"))</f>
        <v/>
      </c>
      <c r="P86" s="18">
        <f>IF($A86="","",1)</f>
        <v/>
      </c>
      <c r="Q86" s="18">
        <f>IF($A86="","",IF(OR($B86="",COUNTIF(tblVarliklar[VarlikId],$B86)=0),"YETIM","TAMAM"))</f>
        <v/>
      </c>
    </row>
    <row r="87">
      <c r="A87" s="15" t="n"/>
      <c r="B87" s="15" t="n"/>
      <c r="C87" s="60" t="n"/>
      <c r="D87" s="17" t="n"/>
      <c r="E87" s="20" t="n"/>
      <c r="F87" s="17" t="n"/>
      <c r="G87" s="61" t="n"/>
      <c r="H87" s="15" t="n"/>
      <c r="I87" s="18">
        <f>IF($A87="","",IFERROR(SUMIF(tblVarliklar[VarlikId],$B87,tblVarliklar[HedefKiraTl_tl]),kpg_varsayilanHedefKira))</f>
        <v/>
      </c>
      <c r="J87" s="18">
        <f>IF($A87="","",MAX(0, 1-$E87/kpg_gunAy))</f>
        <v/>
      </c>
      <c r="K87" s="18">
        <f>IF(OR($A87="",$I87=0),"",$D87/$I87)</f>
        <v/>
      </c>
      <c r="L87" s="18">
        <f>IF($A87="","",$D87-$F87)</f>
        <v/>
      </c>
      <c r="M87" s="18">
        <f>IF($A87="","",$I87*(1+$G87))</f>
        <v/>
      </c>
      <c r="N87" s="18">
        <f>IF($A87="","",MAX(0,MIN(100,kpg_kaliteTaban-IF($J87&lt;kpg_esikDoluluk,kpg_kaliteCeza,0)-IF($K87&lt;kpg_esikGetiri,kpg_kaliteSapma,0)-IF($Q87="YETIM",kpg_kaliteCeza,0))))</f>
        <v/>
      </c>
      <c r="O87" s="18">
        <f>IF($A87="","",IF(OR($J87&lt;kpg_esikDoluluk,$K87&lt;kpg_esikGetiri,$N87&lt;kpg_esikSaglik),"ALARM","UYGUN"))</f>
        <v/>
      </c>
      <c r="P87" s="18">
        <f>IF($A87="","",1)</f>
        <v/>
      </c>
      <c r="Q87" s="18">
        <f>IF($A87="","",IF(OR($B87="",COUNTIF(tblVarliklar[VarlikId],$B87)=0),"YETIM","TAMAM"))</f>
        <v/>
      </c>
    </row>
    <row r="88">
      <c r="A88" s="15" t="n"/>
      <c r="B88" s="15" t="n"/>
      <c r="C88" s="60" t="n"/>
      <c r="D88" s="17" t="n"/>
      <c r="E88" s="20" t="n"/>
      <c r="F88" s="17" t="n"/>
      <c r="G88" s="61" t="n"/>
      <c r="H88" s="15" t="n"/>
      <c r="I88" s="18">
        <f>IF($A88="","",IFERROR(SUMIF(tblVarliklar[VarlikId],$B88,tblVarliklar[HedefKiraTl_tl]),kpg_varsayilanHedefKira))</f>
        <v/>
      </c>
      <c r="J88" s="18">
        <f>IF($A88="","",MAX(0, 1-$E88/kpg_gunAy))</f>
        <v/>
      </c>
      <c r="K88" s="18">
        <f>IF(OR($A88="",$I88=0),"",$D88/$I88)</f>
        <v/>
      </c>
      <c r="L88" s="18">
        <f>IF($A88="","",$D88-$F88)</f>
        <v/>
      </c>
      <c r="M88" s="18">
        <f>IF($A88="","",$I88*(1+$G88))</f>
        <v/>
      </c>
      <c r="N88" s="18">
        <f>IF($A88="","",MAX(0,MIN(100,kpg_kaliteTaban-IF($J88&lt;kpg_esikDoluluk,kpg_kaliteCeza,0)-IF($K88&lt;kpg_esikGetiri,kpg_kaliteSapma,0)-IF($Q88="YETIM",kpg_kaliteCeza,0))))</f>
        <v/>
      </c>
      <c r="O88" s="18">
        <f>IF($A88="","",IF(OR($J88&lt;kpg_esikDoluluk,$K88&lt;kpg_esikGetiri,$N88&lt;kpg_esikSaglik),"ALARM","UYGUN"))</f>
        <v/>
      </c>
      <c r="P88" s="18">
        <f>IF($A88="","",1)</f>
        <v/>
      </c>
      <c r="Q88" s="18">
        <f>IF($A88="","",IF(OR($B88="",COUNTIF(tblVarliklar[VarlikId],$B88)=0),"YETIM","TAMAM"))</f>
        <v/>
      </c>
    </row>
    <row r="89">
      <c r="A89" s="15" t="n"/>
      <c r="B89" s="15" t="n"/>
      <c r="C89" s="60" t="n"/>
      <c r="D89" s="17" t="n"/>
      <c r="E89" s="20" t="n"/>
      <c r="F89" s="17" t="n"/>
      <c r="G89" s="61" t="n"/>
      <c r="H89" s="15" t="n"/>
      <c r="I89" s="18">
        <f>IF($A89="","",IFERROR(SUMIF(tblVarliklar[VarlikId],$B89,tblVarliklar[HedefKiraTl_tl]),kpg_varsayilanHedefKira))</f>
        <v/>
      </c>
      <c r="J89" s="18">
        <f>IF($A89="","",MAX(0, 1-$E89/kpg_gunAy))</f>
        <v/>
      </c>
      <c r="K89" s="18">
        <f>IF(OR($A89="",$I89=0),"",$D89/$I89)</f>
        <v/>
      </c>
      <c r="L89" s="18">
        <f>IF($A89="","",$D89-$F89)</f>
        <v/>
      </c>
      <c r="M89" s="18">
        <f>IF($A89="","",$I89*(1+$G89))</f>
        <v/>
      </c>
      <c r="N89" s="18">
        <f>IF($A89="","",MAX(0,MIN(100,kpg_kaliteTaban-IF($J89&lt;kpg_esikDoluluk,kpg_kaliteCeza,0)-IF($K89&lt;kpg_esikGetiri,kpg_kaliteSapma,0)-IF($Q89="YETIM",kpg_kaliteCeza,0))))</f>
        <v/>
      </c>
      <c r="O89" s="18">
        <f>IF($A89="","",IF(OR($J89&lt;kpg_esikDoluluk,$K89&lt;kpg_esikGetiri,$N89&lt;kpg_esikSaglik),"ALARM","UYGUN"))</f>
        <v/>
      </c>
      <c r="P89" s="18">
        <f>IF($A89="","",1)</f>
        <v/>
      </c>
      <c r="Q89" s="18">
        <f>IF($A89="","",IF(OR($B89="",COUNTIF(tblVarliklar[VarlikId],$B89)=0),"YETIM","TAMAM"))</f>
        <v/>
      </c>
    </row>
    <row r="90">
      <c r="A90" s="15" t="n"/>
      <c r="B90" s="15" t="n"/>
      <c r="C90" s="60" t="n"/>
      <c r="D90" s="17" t="n"/>
      <c r="E90" s="20" t="n"/>
      <c r="F90" s="17" t="n"/>
      <c r="G90" s="61" t="n"/>
      <c r="H90" s="15" t="n"/>
      <c r="I90" s="18">
        <f>IF($A90="","",IFERROR(SUMIF(tblVarliklar[VarlikId],$B90,tblVarliklar[HedefKiraTl_tl]),kpg_varsayilanHedefKira))</f>
        <v/>
      </c>
      <c r="J90" s="18">
        <f>IF($A90="","",MAX(0, 1-$E90/kpg_gunAy))</f>
        <v/>
      </c>
      <c r="K90" s="18">
        <f>IF(OR($A90="",$I90=0),"",$D90/$I90)</f>
        <v/>
      </c>
      <c r="L90" s="18">
        <f>IF($A90="","",$D90-$F90)</f>
        <v/>
      </c>
      <c r="M90" s="18">
        <f>IF($A90="","",$I90*(1+$G90))</f>
        <v/>
      </c>
      <c r="N90" s="18">
        <f>IF($A90="","",MAX(0,MIN(100,kpg_kaliteTaban-IF($J90&lt;kpg_esikDoluluk,kpg_kaliteCeza,0)-IF($K90&lt;kpg_esikGetiri,kpg_kaliteSapma,0)-IF($Q90="YETIM",kpg_kaliteCeza,0))))</f>
        <v/>
      </c>
      <c r="O90" s="18">
        <f>IF($A90="","",IF(OR($J90&lt;kpg_esikDoluluk,$K90&lt;kpg_esikGetiri,$N90&lt;kpg_esikSaglik),"ALARM","UYGUN"))</f>
        <v/>
      </c>
      <c r="P90" s="18">
        <f>IF($A90="","",1)</f>
        <v/>
      </c>
      <c r="Q90" s="18">
        <f>IF($A90="","",IF(OR($B90="",COUNTIF(tblVarliklar[VarlikId],$B90)=0),"YETIM","TAMAM"))</f>
        <v/>
      </c>
    </row>
    <row r="91">
      <c r="A91" s="15" t="n"/>
      <c r="B91" s="15" t="n"/>
      <c r="C91" s="60" t="n"/>
      <c r="D91" s="17" t="n"/>
      <c r="E91" s="20" t="n"/>
      <c r="F91" s="17" t="n"/>
      <c r="G91" s="61" t="n"/>
      <c r="H91" s="15" t="n"/>
      <c r="I91" s="18">
        <f>IF($A91="","",IFERROR(SUMIF(tblVarliklar[VarlikId],$B91,tblVarliklar[HedefKiraTl_tl]),kpg_varsayilanHedefKira))</f>
        <v/>
      </c>
      <c r="J91" s="18">
        <f>IF($A91="","",MAX(0, 1-$E91/kpg_gunAy))</f>
        <v/>
      </c>
      <c r="K91" s="18">
        <f>IF(OR($A91="",$I91=0),"",$D91/$I91)</f>
        <v/>
      </c>
      <c r="L91" s="18">
        <f>IF($A91="","",$D91-$F91)</f>
        <v/>
      </c>
      <c r="M91" s="18">
        <f>IF($A91="","",$I91*(1+$G91))</f>
        <v/>
      </c>
      <c r="N91" s="18">
        <f>IF($A91="","",MAX(0,MIN(100,kpg_kaliteTaban-IF($J91&lt;kpg_esikDoluluk,kpg_kaliteCeza,0)-IF($K91&lt;kpg_esikGetiri,kpg_kaliteSapma,0)-IF($Q91="YETIM",kpg_kaliteCeza,0))))</f>
        <v/>
      </c>
      <c r="O91" s="18">
        <f>IF($A91="","",IF(OR($J91&lt;kpg_esikDoluluk,$K91&lt;kpg_esikGetiri,$N91&lt;kpg_esikSaglik),"ALARM","UYGUN"))</f>
        <v/>
      </c>
      <c r="P91" s="18">
        <f>IF($A91="","",1)</f>
        <v/>
      </c>
      <c r="Q91" s="18">
        <f>IF($A91="","",IF(OR($B91="",COUNTIF(tblVarliklar[VarlikId],$B91)=0),"YETIM","TAMAM"))</f>
        <v/>
      </c>
    </row>
    <row r="92">
      <c r="A92" s="15" t="n"/>
      <c r="B92" s="15" t="n"/>
      <c r="C92" s="60" t="n"/>
      <c r="D92" s="17" t="n"/>
      <c r="E92" s="20" t="n"/>
      <c r="F92" s="17" t="n"/>
      <c r="G92" s="61" t="n"/>
      <c r="H92" s="15" t="n"/>
      <c r="I92" s="18">
        <f>IF($A92="","",IFERROR(SUMIF(tblVarliklar[VarlikId],$B92,tblVarliklar[HedefKiraTl_tl]),kpg_varsayilanHedefKira))</f>
        <v/>
      </c>
      <c r="J92" s="18">
        <f>IF($A92="","",MAX(0, 1-$E92/kpg_gunAy))</f>
        <v/>
      </c>
      <c r="K92" s="18">
        <f>IF(OR($A92="",$I92=0),"",$D92/$I92)</f>
        <v/>
      </c>
      <c r="L92" s="18">
        <f>IF($A92="","",$D92-$F92)</f>
        <v/>
      </c>
      <c r="M92" s="18">
        <f>IF($A92="","",$I92*(1+$G92))</f>
        <v/>
      </c>
      <c r="N92" s="18">
        <f>IF($A92="","",MAX(0,MIN(100,kpg_kaliteTaban-IF($J92&lt;kpg_esikDoluluk,kpg_kaliteCeza,0)-IF($K92&lt;kpg_esikGetiri,kpg_kaliteSapma,0)-IF($Q92="YETIM",kpg_kaliteCeza,0))))</f>
        <v/>
      </c>
      <c r="O92" s="18">
        <f>IF($A92="","",IF(OR($J92&lt;kpg_esikDoluluk,$K92&lt;kpg_esikGetiri,$N92&lt;kpg_esikSaglik),"ALARM","UYGUN"))</f>
        <v/>
      </c>
      <c r="P92" s="18">
        <f>IF($A92="","",1)</f>
        <v/>
      </c>
      <c r="Q92" s="18">
        <f>IF($A92="","",IF(OR($B92="",COUNTIF(tblVarliklar[VarlikId],$B92)=0),"YETIM","TAMAM"))</f>
        <v/>
      </c>
    </row>
    <row r="93">
      <c r="A93" s="15" t="n"/>
      <c r="B93" s="15" t="n"/>
      <c r="C93" s="60" t="n"/>
      <c r="D93" s="17" t="n"/>
      <c r="E93" s="20" t="n"/>
      <c r="F93" s="17" t="n"/>
      <c r="G93" s="61" t="n"/>
      <c r="H93" s="15" t="n"/>
      <c r="I93" s="18">
        <f>IF($A93="","",IFERROR(SUMIF(tblVarliklar[VarlikId],$B93,tblVarliklar[HedefKiraTl_tl]),kpg_varsayilanHedefKira))</f>
        <v/>
      </c>
      <c r="J93" s="18">
        <f>IF($A93="","",MAX(0, 1-$E93/kpg_gunAy))</f>
        <v/>
      </c>
      <c r="K93" s="18">
        <f>IF(OR($A93="",$I93=0),"",$D93/$I93)</f>
        <v/>
      </c>
      <c r="L93" s="18">
        <f>IF($A93="","",$D93-$F93)</f>
        <v/>
      </c>
      <c r="M93" s="18">
        <f>IF($A93="","",$I93*(1+$G93))</f>
        <v/>
      </c>
      <c r="N93" s="18">
        <f>IF($A93="","",MAX(0,MIN(100,kpg_kaliteTaban-IF($J93&lt;kpg_esikDoluluk,kpg_kaliteCeza,0)-IF($K93&lt;kpg_esikGetiri,kpg_kaliteSapma,0)-IF($Q93="YETIM",kpg_kaliteCeza,0))))</f>
        <v/>
      </c>
      <c r="O93" s="18">
        <f>IF($A93="","",IF(OR($J93&lt;kpg_esikDoluluk,$K93&lt;kpg_esikGetiri,$N93&lt;kpg_esikSaglik),"ALARM","UYGUN"))</f>
        <v/>
      </c>
      <c r="P93" s="18">
        <f>IF($A93="","",1)</f>
        <v/>
      </c>
      <c r="Q93" s="18">
        <f>IF($A93="","",IF(OR($B93="",COUNTIF(tblVarliklar[VarlikId],$B93)=0),"YETIM","TAMAM"))</f>
        <v/>
      </c>
    </row>
    <row r="94">
      <c r="A94" s="15" t="n"/>
      <c r="B94" s="15" t="n"/>
      <c r="C94" s="60" t="n"/>
      <c r="D94" s="17" t="n"/>
      <c r="E94" s="20" t="n"/>
      <c r="F94" s="17" t="n"/>
      <c r="G94" s="61" t="n"/>
      <c r="H94" s="15" t="n"/>
      <c r="I94" s="18">
        <f>IF($A94="","",IFERROR(SUMIF(tblVarliklar[VarlikId],$B94,tblVarliklar[HedefKiraTl_tl]),kpg_varsayilanHedefKira))</f>
        <v/>
      </c>
      <c r="J94" s="18">
        <f>IF($A94="","",MAX(0, 1-$E94/kpg_gunAy))</f>
        <v/>
      </c>
      <c r="K94" s="18">
        <f>IF(OR($A94="",$I94=0),"",$D94/$I94)</f>
        <v/>
      </c>
      <c r="L94" s="18">
        <f>IF($A94="","",$D94-$F94)</f>
        <v/>
      </c>
      <c r="M94" s="18">
        <f>IF($A94="","",$I94*(1+$G94))</f>
        <v/>
      </c>
      <c r="N94" s="18">
        <f>IF($A94="","",MAX(0,MIN(100,kpg_kaliteTaban-IF($J94&lt;kpg_esikDoluluk,kpg_kaliteCeza,0)-IF($K94&lt;kpg_esikGetiri,kpg_kaliteSapma,0)-IF($Q94="YETIM",kpg_kaliteCeza,0))))</f>
        <v/>
      </c>
      <c r="O94" s="18">
        <f>IF($A94="","",IF(OR($J94&lt;kpg_esikDoluluk,$K94&lt;kpg_esikGetiri,$N94&lt;kpg_esikSaglik),"ALARM","UYGUN"))</f>
        <v/>
      </c>
      <c r="P94" s="18">
        <f>IF($A94="","",1)</f>
        <v/>
      </c>
      <c r="Q94" s="18">
        <f>IF($A94="","",IF(OR($B94="",COUNTIF(tblVarliklar[VarlikId],$B94)=0),"YETIM","TAMAM"))</f>
        <v/>
      </c>
    </row>
    <row r="95">
      <c r="A95" s="15" t="n"/>
      <c r="B95" s="15" t="n"/>
      <c r="C95" s="60" t="n"/>
      <c r="D95" s="17" t="n"/>
      <c r="E95" s="20" t="n"/>
      <c r="F95" s="17" t="n"/>
      <c r="G95" s="61" t="n"/>
      <c r="H95" s="15" t="n"/>
      <c r="I95" s="18">
        <f>IF($A95="","",IFERROR(SUMIF(tblVarliklar[VarlikId],$B95,tblVarliklar[HedefKiraTl_tl]),kpg_varsayilanHedefKira))</f>
        <v/>
      </c>
      <c r="J95" s="18">
        <f>IF($A95="","",MAX(0, 1-$E95/kpg_gunAy))</f>
        <v/>
      </c>
      <c r="K95" s="18">
        <f>IF(OR($A95="",$I95=0),"",$D95/$I95)</f>
        <v/>
      </c>
      <c r="L95" s="18">
        <f>IF($A95="","",$D95-$F95)</f>
        <v/>
      </c>
      <c r="M95" s="18">
        <f>IF($A95="","",$I95*(1+$G95))</f>
        <v/>
      </c>
      <c r="N95" s="18">
        <f>IF($A95="","",MAX(0,MIN(100,kpg_kaliteTaban-IF($J95&lt;kpg_esikDoluluk,kpg_kaliteCeza,0)-IF($K95&lt;kpg_esikGetiri,kpg_kaliteSapma,0)-IF($Q95="YETIM",kpg_kaliteCeza,0))))</f>
        <v/>
      </c>
      <c r="O95" s="18">
        <f>IF($A95="","",IF(OR($J95&lt;kpg_esikDoluluk,$K95&lt;kpg_esikGetiri,$N95&lt;kpg_esikSaglik),"ALARM","UYGUN"))</f>
        <v/>
      </c>
      <c r="P95" s="18">
        <f>IF($A95="","",1)</f>
        <v/>
      </c>
      <c r="Q95" s="18">
        <f>IF($A95="","",IF(OR($B95="",COUNTIF(tblVarliklar[VarlikId],$B95)=0),"YETIM","TAMAM"))</f>
        <v/>
      </c>
    </row>
    <row r="96">
      <c r="A96" s="15" t="n"/>
      <c r="B96" s="15" t="n"/>
      <c r="C96" s="60" t="n"/>
      <c r="D96" s="17" t="n"/>
      <c r="E96" s="20" t="n"/>
      <c r="F96" s="17" t="n"/>
      <c r="G96" s="61" t="n"/>
      <c r="H96" s="15" t="n"/>
      <c r="I96" s="18">
        <f>IF($A96="","",IFERROR(SUMIF(tblVarliklar[VarlikId],$B96,tblVarliklar[HedefKiraTl_tl]),kpg_varsayilanHedefKira))</f>
        <v/>
      </c>
      <c r="J96" s="18">
        <f>IF($A96="","",MAX(0, 1-$E96/kpg_gunAy))</f>
        <v/>
      </c>
      <c r="K96" s="18">
        <f>IF(OR($A96="",$I96=0),"",$D96/$I96)</f>
        <v/>
      </c>
      <c r="L96" s="18">
        <f>IF($A96="","",$D96-$F96)</f>
        <v/>
      </c>
      <c r="M96" s="18">
        <f>IF($A96="","",$I96*(1+$G96))</f>
        <v/>
      </c>
      <c r="N96" s="18">
        <f>IF($A96="","",MAX(0,MIN(100,kpg_kaliteTaban-IF($J96&lt;kpg_esikDoluluk,kpg_kaliteCeza,0)-IF($K96&lt;kpg_esikGetiri,kpg_kaliteSapma,0)-IF($Q96="YETIM",kpg_kaliteCeza,0))))</f>
        <v/>
      </c>
      <c r="O96" s="18">
        <f>IF($A96="","",IF(OR($J96&lt;kpg_esikDoluluk,$K96&lt;kpg_esikGetiri,$N96&lt;kpg_esikSaglik),"ALARM","UYGUN"))</f>
        <v/>
      </c>
      <c r="P96" s="18">
        <f>IF($A96="","",1)</f>
        <v/>
      </c>
      <c r="Q96" s="18">
        <f>IF($A96="","",IF(OR($B96="",COUNTIF(tblVarliklar[VarlikId],$B96)=0),"YETIM","TAMAM"))</f>
        <v/>
      </c>
    </row>
    <row r="97">
      <c r="A97" s="15" t="n"/>
      <c r="B97" s="15" t="n"/>
      <c r="C97" s="60" t="n"/>
      <c r="D97" s="17" t="n"/>
      <c r="E97" s="20" t="n"/>
      <c r="F97" s="17" t="n"/>
      <c r="G97" s="61" t="n"/>
      <c r="H97" s="15" t="n"/>
      <c r="I97" s="18">
        <f>IF($A97="","",IFERROR(SUMIF(tblVarliklar[VarlikId],$B97,tblVarliklar[HedefKiraTl_tl]),kpg_varsayilanHedefKira))</f>
        <v/>
      </c>
      <c r="J97" s="18">
        <f>IF($A97="","",MAX(0, 1-$E97/kpg_gunAy))</f>
        <v/>
      </c>
      <c r="K97" s="18">
        <f>IF(OR($A97="",$I97=0),"",$D97/$I97)</f>
        <v/>
      </c>
      <c r="L97" s="18">
        <f>IF($A97="","",$D97-$F97)</f>
        <v/>
      </c>
      <c r="M97" s="18">
        <f>IF($A97="","",$I97*(1+$G97))</f>
        <v/>
      </c>
      <c r="N97" s="18">
        <f>IF($A97="","",MAX(0,MIN(100,kpg_kaliteTaban-IF($J97&lt;kpg_esikDoluluk,kpg_kaliteCeza,0)-IF($K97&lt;kpg_esikGetiri,kpg_kaliteSapma,0)-IF($Q97="YETIM",kpg_kaliteCeza,0))))</f>
        <v/>
      </c>
      <c r="O97" s="18">
        <f>IF($A97="","",IF(OR($J97&lt;kpg_esikDoluluk,$K97&lt;kpg_esikGetiri,$N97&lt;kpg_esikSaglik),"ALARM","UYGUN"))</f>
        <v/>
      </c>
      <c r="P97" s="18">
        <f>IF($A97="","",1)</f>
        <v/>
      </c>
      <c r="Q97" s="18">
        <f>IF($A97="","",IF(OR($B97="",COUNTIF(tblVarliklar[VarlikId],$B97)=0),"YETIM","TAMAM"))</f>
        <v/>
      </c>
    </row>
    <row r="98">
      <c r="A98" s="15" t="n"/>
      <c r="B98" s="15" t="n"/>
      <c r="C98" s="60" t="n"/>
      <c r="D98" s="17" t="n"/>
      <c r="E98" s="20" t="n"/>
      <c r="F98" s="17" t="n"/>
      <c r="G98" s="61" t="n"/>
      <c r="H98" s="15" t="n"/>
      <c r="I98" s="18">
        <f>IF($A98="","",IFERROR(SUMIF(tblVarliklar[VarlikId],$B98,tblVarliklar[HedefKiraTl_tl]),kpg_varsayilanHedefKira))</f>
        <v/>
      </c>
      <c r="J98" s="18">
        <f>IF($A98="","",MAX(0, 1-$E98/kpg_gunAy))</f>
        <v/>
      </c>
      <c r="K98" s="18">
        <f>IF(OR($A98="",$I98=0),"",$D98/$I98)</f>
        <v/>
      </c>
      <c r="L98" s="18">
        <f>IF($A98="","",$D98-$F98)</f>
        <v/>
      </c>
      <c r="M98" s="18">
        <f>IF($A98="","",$I98*(1+$G98))</f>
        <v/>
      </c>
      <c r="N98" s="18">
        <f>IF($A98="","",MAX(0,MIN(100,kpg_kaliteTaban-IF($J98&lt;kpg_esikDoluluk,kpg_kaliteCeza,0)-IF($K98&lt;kpg_esikGetiri,kpg_kaliteSapma,0)-IF($Q98="YETIM",kpg_kaliteCeza,0))))</f>
        <v/>
      </c>
      <c r="O98" s="18">
        <f>IF($A98="","",IF(OR($J98&lt;kpg_esikDoluluk,$K98&lt;kpg_esikGetiri,$N98&lt;kpg_esikSaglik),"ALARM","UYGUN"))</f>
        <v/>
      </c>
      <c r="P98" s="18">
        <f>IF($A98="","",1)</f>
        <v/>
      </c>
      <c r="Q98" s="18">
        <f>IF($A98="","",IF(OR($B98="",COUNTIF(tblVarliklar[VarlikId],$B98)=0),"YETIM","TAMAM"))</f>
        <v/>
      </c>
    </row>
    <row r="99">
      <c r="A99" s="15" t="n"/>
      <c r="B99" s="15" t="n"/>
      <c r="C99" s="60" t="n"/>
      <c r="D99" s="17" t="n"/>
      <c r="E99" s="20" t="n"/>
      <c r="F99" s="17" t="n"/>
      <c r="G99" s="61" t="n"/>
      <c r="H99" s="15" t="n"/>
      <c r="I99" s="18">
        <f>IF($A99="","",IFERROR(SUMIF(tblVarliklar[VarlikId],$B99,tblVarliklar[HedefKiraTl_tl]),kpg_varsayilanHedefKira))</f>
        <v/>
      </c>
      <c r="J99" s="18">
        <f>IF($A99="","",MAX(0, 1-$E99/kpg_gunAy))</f>
        <v/>
      </c>
      <c r="K99" s="18">
        <f>IF(OR($A99="",$I99=0),"",$D99/$I99)</f>
        <v/>
      </c>
      <c r="L99" s="18">
        <f>IF($A99="","",$D99-$F99)</f>
        <v/>
      </c>
      <c r="M99" s="18">
        <f>IF($A99="","",$I99*(1+$G99))</f>
        <v/>
      </c>
      <c r="N99" s="18">
        <f>IF($A99="","",MAX(0,MIN(100,kpg_kaliteTaban-IF($J99&lt;kpg_esikDoluluk,kpg_kaliteCeza,0)-IF($K99&lt;kpg_esikGetiri,kpg_kaliteSapma,0)-IF($Q99="YETIM",kpg_kaliteCeza,0))))</f>
        <v/>
      </c>
      <c r="O99" s="18">
        <f>IF($A99="","",IF(OR($J99&lt;kpg_esikDoluluk,$K99&lt;kpg_esikGetiri,$N99&lt;kpg_esikSaglik),"ALARM","UYGUN"))</f>
        <v/>
      </c>
      <c r="P99" s="18">
        <f>IF($A99="","",1)</f>
        <v/>
      </c>
      <c r="Q99" s="18">
        <f>IF($A99="","",IF(OR($B99="",COUNTIF(tblVarliklar[VarlikId],$B99)=0),"YETIM","TAMAM"))</f>
        <v/>
      </c>
    </row>
    <row r="100">
      <c r="A100" s="15" t="n"/>
      <c r="B100" s="15" t="n"/>
      <c r="C100" s="60" t="n"/>
      <c r="D100" s="17" t="n"/>
      <c r="E100" s="20" t="n"/>
      <c r="F100" s="17" t="n"/>
      <c r="G100" s="61" t="n"/>
      <c r="H100" s="15" t="n"/>
      <c r="I100" s="18">
        <f>IF($A100="","",IFERROR(SUMIF(tblVarliklar[VarlikId],$B100,tblVarliklar[HedefKiraTl_tl]),kpg_varsayilanHedefKira))</f>
        <v/>
      </c>
      <c r="J100" s="18">
        <f>IF($A100="","",MAX(0, 1-$E100/kpg_gunAy))</f>
        <v/>
      </c>
      <c r="K100" s="18">
        <f>IF(OR($A100="",$I100=0),"",$D100/$I100)</f>
        <v/>
      </c>
      <c r="L100" s="18">
        <f>IF($A100="","",$D100-$F100)</f>
        <v/>
      </c>
      <c r="M100" s="18">
        <f>IF($A100="","",$I100*(1+$G100))</f>
        <v/>
      </c>
      <c r="N100" s="18">
        <f>IF($A100="","",MAX(0,MIN(100,kpg_kaliteTaban-IF($J100&lt;kpg_esikDoluluk,kpg_kaliteCeza,0)-IF($K100&lt;kpg_esikGetiri,kpg_kaliteSapma,0)-IF($Q100="YETIM",kpg_kaliteCeza,0))))</f>
        <v/>
      </c>
      <c r="O100" s="18">
        <f>IF($A100="","",IF(OR($J100&lt;kpg_esikDoluluk,$K100&lt;kpg_esikGetiri,$N100&lt;kpg_esikSaglik),"ALARM","UYGUN"))</f>
        <v/>
      </c>
      <c r="P100" s="18">
        <f>IF($A100="","",1)</f>
        <v/>
      </c>
      <c r="Q100" s="18">
        <f>IF($A100="","",IF(OR($B100="",COUNTIF(tblVarliklar[VarlikId],$B100)=0),"YETIM","TAMAM"))</f>
        <v/>
      </c>
    </row>
    <row r="101">
      <c r="A101" s="15" t="n"/>
      <c r="B101" s="15" t="n"/>
      <c r="C101" s="60" t="n"/>
      <c r="D101" s="17" t="n"/>
      <c r="E101" s="20" t="n"/>
      <c r="F101" s="17" t="n"/>
      <c r="G101" s="61" t="n"/>
      <c r="H101" s="15" t="n"/>
      <c r="I101" s="18">
        <f>IF($A101="","",IFERROR(SUMIF(tblVarliklar[VarlikId],$B101,tblVarliklar[HedefKiraTl_tl]),kpg_varsayilanHedefKira))</f>
        <v/>
      </c>
      <c r="J101" s="18">
        <f>IF($A101="","",MAX(0, 1-$E101/kpg_gunAy))</f>
        <v/>
      </c>
      <c r="K101" s="18">
        <f>IF(OR($A101="",$I101=0),"",$D101/$I101)</f>
        <v/>
      </c>
      <c r="L101" s="18">
        <f>IF($A101="","",$D101-$F101)</f>
        <v/>
      </c>
      <c r="M101" s="18">
        <f>IF($A101="","",$I101*(1+$G101))</f>
        <v/>
      </c>
      <c r="N101" s="18">
        <f>IF($A101="","",MAX(0,MIN(100,kpg_kaliteTaban-IF($J101&lt;kpg_esikDoluluk,kpg_kaliteCeza,0)-IF($K101&lt;kpg_esikGetiri,kpg_kaliteSapma,0)-IF($Q101="YETIM",kpg_kaliteCeza,0))))</f>
        <v/>
      </c>
      <c r="O101" s="18">
        <f>IF($A101="","",IF(OR($J101&lt;kpg_esikDoluluk,$K101&lt;kpg_esikGetiri,$N101&lt;kpg_esikSaglik),"ALARM","UYGUN"))</f>
        <v/>
      </c>
      <c r="P101" s="18">
        <f>IF($A101="","",1)</f>
        <v/>
      </c>
      <c r="Q101" s="18">
        <f>IF($A101="","",IF(OR($B101="",COUNTIF(tblVarliklar[VarlikId],$B101)=0),"YETIM","TAMAM"))</f>
        <v/>
      </c>
    </row>
    <row r="102">
      <c r="A102" s="15" t="n"/>
      <c r="B102" s="15" t="n"/>
      <c r="C102" s="60" t="n"/>
      <c r="D102" s="17" t="n"/>
      <c r="E102" s="20" t="n"/>
      <c r="F102" s="17" t="n"/>
      <c r="G102" s="61" t="n"/>
      <c r="H102" s="15" t="n"/>
      <c r="I102" s="18">
        <f>IF($A102="","",IFERROR(SUMIF(tblVarliklar[VarlikId],$B102,tblVarliklar[HedefKiraTl_tl]),kpg_varsayilanHedefKira))</f>
        <v/>
      </c>
      <c r="J102" s="18">
        <f>IF($A102="","",MAX(0, 1-$E102/kpg_gunAy))</f>
        <v/>
      </c>
      <c r="K102" s="18">
        <f>IF(OR($A102="",$I102=0),"",$D102/$I102)</f>
        <v/>
      </c>
      <c r="L102" s="18">
        <f>IF($A102="","",$D102-$F102)</f>
        <v/>
      </c>
      <c r="M102" s="18">
        <f>IF($A102="","",$I102*(1+$G102))</f>
        <v/>
      </c>
      <c r="N102" s="18">
        <f>IF($A102="","",MAX(0,MIN(100,kpg_kaliteTaban-IF($J102&lt;kpg_esikDoluluk,kpg_kaliteCeza,0)-IF($K102&lt;kpg_esikGetiri,kpg_kaliteSapma,0)-IF($Q102="YETIM",kpg_kaliteCeza,0))))</f>
        <v/>
      </c>
      <c r="O102" s="18">
        <f>IF($A102="","",IF(OR($J102&lt;kpg_esikDoluluk,$K102&lt;kpg_esikGetiri,$N102&lt;kpg_esikSaglik),"ALARM","UYGUN"))</f>
        <v/>
      </c>
      <c r="P102" s="18">
        <f>IF($A102="","",1)</f>
        <v/>
      </c>
      <c r="Q102" s="18">
        <f>IF($A102="","",IF(OR($B102="",COUNTIF(tblVarliklar[VarlikId],$B102)=0),"YETIM","TAMAM"))</f>
        <v/>
      </c>
    </row>
    <row r="103">
      <c r="A103" s="15" t="n"/>
      <c r="B103" s="15" t="n"/>
      <c r="C103" s="60" t="n"/>
      <c r="D103" s="17" t="n"/>
      <c r="E103" s="20" t="n"/>
      <c r="F103" s="17" t="n"/>
      <c r="G103" s="61" t="n"/>
      <c r="H103" s="15" t="n"/>
      <c r="I103" s="18">
        <f>IF($A103="","",IFERROR(SUMIF(tblVarliklar[VarlikId],$B103,tblVarliklar[HedefKiraTl_tl]),kpg_varsayilanHedefKira))</f>
        <v/>
      </c>
      <c r="J103" s="18">
        <f>IF($A103="","",MAX(0, 1-$E103/kpg_gunAy))</f>
        <v/>
      </c>
      <c r="K103" s="18">
        <f>IF(OR($A103="",$I103=0),"",$D103/$I103)</f>
        <v/>
      </c>
      <c r="L103" s="18">
        <f>IF($A103="","",$D103-$F103)</f>
        <v/>
      </c>
      <c r="M103" s="18">
        <f>IF($A103="","",$I103*(1+$G103))</f>
        <v/>
      </c>
      <c r="N103" s="18">
        <f>IF($A103="","",MAX(0,MIN(100,kpg_kaliteTaban-IF($J103&lt;kpg_esikDoluluk,kpg_kaliteCeza,0)-IF($K103&lt;kpg_esikGetiri,kpg_kaliteSapma,0)-IF($Q103="YETIM",kpg_kaliteCeza,0))))</f>
        <v/>
      </c>
      <c r="O103" s="18">
        <f>IF($A103="","",IF(OR($J103&lt;kpg_esikDoluluk,$K103&lt;kpg_esikGetiri,$N103&lt;kpg_esikSaglik),"ALARM","UYGUN"))</f>
        <v/>
      </c>
      <c r="P103" s="18">
        <f>IF($A103="","",1)</f>
        <v/>
      </c>
      <c r="Q103" s="18">
        <f>IF($A103="","",IF(OR($B103="",COUNTIF(tblVarliklar[VarlikId],$B103)=0),"YETIM","TAMAM"))</f>
        <v/>
      </c>
    </row>
    <row r="104">
      <c r="A104" s="15" t="n"/>
      <c r="B104" s="15" t="n"/>
      <c r="C104" s="60" t="n"/>
      <c r="D104" s="17" t="n"/>
      <c r="E104" s="20" t="n"/>
      <c r="F104" s="17" t="n"/>
      <c r="G104" s="61" t="n"/>
      <c r="H104" s="15" t="n"/>
      <c r="I104" s="18">
        <f>IF($A104="","",IFERROR(SUMIF(tblVarliklar[VarlikId],$B104,tblVarliklar[HedefKiraTl_tl]),kpg_varsayilanHedefKira))</f>
        <v/>
      </c>
      <c r="J104" s="18">
        <f>IF($A104="","",MAX(0, 1-$E104/kpg_gunAy))</f>
        <v/>
      </c>
      <c r="K104" s="18">
        <f>IF(OR($A104="",$I104=0),"",$D104/$I104)</f>
        <v/>
      </c>
      <c r="L104" s="18">
        <f>IF($A104="","",$D104-$F104)</f>
        <v/>
      </c>
      <c r="M104" s="18">
        <f>IF($A104="","",$I104*(1+$G104))</f>
        <v/>
      </c>
      <c r="N104" s="18">
        <f>IF($A104="","",MAX(0,MIN(100,kpg_kaliteTaban-IF($J104&lt;kpg_esikDoluluk,kpg_kaliteCeza,0)-IF($K104&lt;kpg_esikGetiri,kpg_kaliteSapma,0)-IF($Q104="YETIM",kpg_kaliteCeza,0))))</f>
        <v/>
      </c>
      <c r="O104" s="18">
        <f>IF($A104="","",IF(OR($J104&lt;kpg_esikDoluluk,$K104&lt;kpg_esikGetiri,$N104&lt;kpg_esikSaglik),"ALARM","UYGUN"))</f>
        <v/>
      </c>
      <c r="P104" s="18">
        <f>IF($A104="","",1)</f>
        <v/>
      </c>
      <c r="Q104" s="18">
        <f>IF($A104="","",IF(OR($B104="",COUNTIF(tblVarliklar[VarlikId],$B104)=0),"YETIM","TAMAM"))</f>
        <v/>
      </c>
    </row>
    <row r="105">
      <c r="A105" s="15" t="n"/>
      <c r="B105" s="15" t="n"/>
      <c r="C105" s="60" t="n"/>
      <c r="D105" s="17" t="n"/>
      <c r="E105" s="20" t="n"/>
      <c r="F105" s="17" t="n"/>
      <c r="G105" s="61" t="n"/>
      <c r="H105" s="15" t="n"/>
      <c r="I105" s="18">
        <f>IF($A105="","",IFERROR(SUMIF(tblVarliklar[VarlikId],$B105,tblVarliklar[HedefKiraTl_tl]),kpg_varsayilanHedefKira))</f>
        <v/>
      </c>
      <c r="J105" s="18">
        <f>IF($A105="","",MAX(0, 1-$E105/kpg_gunAy))</f>
        <v/>
      </c>
      <c r="K105" s="18">
        <f>IF(OR($A105="",$I105=0),"",$D105/$I105)</f>
        <v/>
      </c>
      <c r="L105" s="18">
        <f>IF($A105="","",$D105-$F105)</f>
        <v/>
      </c>
      <c r="M105" s="18">
        <f>IF($A105="","",$I105*(1+$G105))</f>
        <v/>
      </c>
      <c r="N105" s="18">
        <f>IF($A105="","",MAX(0,MIN(100,kpg_kaliteTaban-IF($J105&lt;kpg_esikDoluluk,kpg_kaliteCeza,0)-IF($K105&lt;kpg_esikGetiri,kpg_kaliteSapma,0)-IF($Q105="YETIM",kpg_kaliteCeza,0))))</f>
        <v/>
      </c>
      <c r="O105" s="18">
        <f>IF($A105="","",IF(OR($J105&lt;kpg_esikDoluluk,$K105&lt;kpg_esikGetiri,$N105&lt;kpg_esikSaglik),"ALARM","UYGUN"))</f>
        <v/>
      </c>
      <c r="P105" s="18">
        <f>IF($A105="","",1)</f>
        <v/>
      </c>
      <c r="Q105" s="18">
        <f>IF($A105="","",IF(OR($B105="",COUNTIF(tblVarliklar[VarlikId],$B105)=0),"YETIM","TAMAM"))</f>
        <v/>
      </c>
    </row>
    <row r="106">
      <c r="A106" s="15" t="n"/>
      <c r="B106" s="15" t="n"/>
      <c r="C106" s="60" t="n"/>
      <c r="D106" s="17" t="n"/>
      <c r="E106" s="20" t="n"/>
      <c r="F106" s="17" t="n"/>
      <c r="G106" s="61" t="n"/>
      <c r="H106" s="15" t="n"/>
      <c r="I106" s="18">
        <f>IF($A106="","",IFERROR(SUMIF(tblVarliklar[VarlikId],$B106,tblVarliklar[HedefKiraTl_tl]),kpg_varsayilanHedefKira))</f>
        <v/>
      </c>
      <c r="J106" s="18">
        <f>IF($A106="","",MAX(0, 1-$E106/kpg_gunAy))</f>
        <v/>
      </c>
      <c r="K106" s="18">
        <f>IF(OR($A106="",$I106=0),"",$D106/$I106)</f>
        <v/>
      </c>
      <c r="L106" s="18">
        <f>IF($A106="","",$D106-$F106)</f>
        <v/>
      </c>
      <c r="M106" s="18">
        <f>IF($A106="","",$I106*(1+$G106))</f>
        <v/>
      </c>
      <c r="N106" s="18">
        <f>IF($A106="","",MAX(0,MIN(100,kpg_kaliteTaban-IF($J106&lt;kpg_esikDoluluk,kpg_kaliteCeza,0)-IF($K106&lt;kpg_esikGetiri,kpg_kaliteSapma,0)-IF($Q106="YETIM",kpg_kaliteCeza,0))))</f>
        <v/>
      </c>
      <c r="O106" s="18">
        <f>IF($A106="","",IF(OR($J106&lt;kpg_esikDoluluk,$K106&lt;kpg_esikGetiri,$N106&lt;kpg_esikSaglik),"ALARM","UYGUN"))</f>
        <v/>
      </c>
      <c r="P106" s="18">
        <f>IF($A106="","",1)</f>
        <v/>
      </c>
      <c r="Q106" s="18">
        <f>IF($A106="","",IF(OR($B106="",COUNTIF(tblVarliklar[VarlikId],$B106)=0),"YETIM","TAMAM"))</f>
        <v/>
      </c>
    </row>
    <row r="107">
      <c r="A107" s="15" t="n"/>
      <c r="B107" s="15" t="n"/>
      <c r="C107" s="60" t="n"/>
      <c r="D107" s="17" t="n"/>
      <c r="E107" s="20" t="n"/>
      <c r="F107" s="17" t="n"/>
      <c r="G107" s="61" t="n"/>
      <c r="H107" s="15" t="n"/>
      <c r="I107" s="18">
        <f>IF($A107="","",IFERROR(SUMIF(tblVarliklar[VarlikId],$B107,tblVarliklar[HedefKiraTl_tl]),kpg_varsayilanHedefKira))</f>
        <v/>
      </c>
      <c r="J107" s="18">
        <f>IF($A107="","",MAX(0, 1-$E107/kpg_gunAy))</f>
        <v/>
      </c>
      <c r="K107" s="18">
        <f>IF(OR($A107="",$I107=0),"",$D107/$I107)</f>
        <v/>
      </c>
      <c r="L107" s="18">
        <f>IF($A107="","",$D107-$F107)</f>
        <v/>
      </c>
      <c r="M107" s="18">
        <f>IF($A107="","",$I107*(1+$G107))</f>
        <v/>
      </c>
      <c r="N107" s="18">
        <f>IF($A107="","",MAX(0,MIN(100,kpg_kaliteTaban-IF($J107&lt;kpg_esikDoluluk,kpg_kaliteCeza,0)-IF($K107&lt;kpg_esikGetiri,kpg_kaliteSapma,0)-IF($Q107="YETIM",kpg_kaliteCeza,0))))</f>
        <v/>
      </c>
      <c r="O107" s="18">
        <f>IF($A107="","",IF(OR($J107&lt;kpg_esikDoluluk,$K107&lt;kpg_esikGetiri,$N107&lt;kpg_esikSaglik),"ALARM","UYGUN"))</f>
        <v/>
      </c>
      <c r="P107" s="18">
        <f>IF($A107="","",1)</f>
        <v/>
      </c>
      <c r="Q107" s="18">
        <f>IF($A107="","",IF(OR($B107="",COUNTIF(tblVarliklar[VarlikId],$B107)=0),"YETIM","TAMAM"))</f>
        <v/>
      </c>
    </row>
    <row r="108">
      <c r="A108" s="15" t="n"/>
      <c r="B108" s="15" t="n"/>
      <c r="C108" s="60" t="n"/>
      <c r="D108" s="17" t="n"/>
      <c r="E108" s="20" t="n"/>
      <c r="F108" s="17" t="n"/>
      <c r="G108" s="61" t="n"/>
      <c r="H108" s="15" t="n"/>
      <c r="I108" s="18">
        <f>IF($A108="","",IFERROR(SUMIF(tblVarliklar[VarlikId],$B108,tblVarliklar[HedefKiraTl_tl]),kpg_varsayilanHedefKira))</f>
        <v/>
      </c>
      <c r="J108" s="18">
        <f>IF($A108="","",MAX(0, 1-$E108/kpg_gunAy))</f>
        <v/>
      </c>
      <c r="K108" s="18">
        <f>IF(OR($A108="",$I108=0),"",$D108/$I108)</f>
        <v/>
      </c>
      <c r="L108" s="18">
        <f>IF($A108="","",$D108-$F108)</f>
        <v/>
      </c>
      <c r="M108" s="18">
        <f>IF($A108="","",$I108*(1+$G108))</f>
        <v/>
      </c>
      <c r="N108" s="18">
        <f>IF($A108="","",MAX(0,MIN(100,kpg_kaliteTaban-IF($J108&lt;kpg_esikDoluluk,kpg_kaliteCeza,0)-IF($K108&lt;kpg_esikGetiri,kpg_kaliteSapma,0)-IF($Q108="YETIM",kpg_kaliteCeza,0))))</f>
        <v/>
      </c>
      <c r="O108" s="18">
        <f>IF($A108="","",IF(OR($J108&lt;kpg_esikDoluluk,$K108&lt;kpg_esikGetiri,$N108&lt;kpg_esikSaglik),"ALARM","UYGUN"))</f>
        <v/>
      </c>
      <c r="P108" s="18">
        <f>IF($A108="","",1)</f>
        <v/>
      </c>
      <c r="Q108" s="18">
        <f>IF($A108="","",IF(OR($B108="",COUNTIF(tblVarliklar[VarlikId],$B108)=0),"YETIM","TAMAM"))</f>
        <v/>
      </c>
    </row>
    <row r="109">
      <c r="A109" s="15" t="n"/>
      <c r="B109" s="15" t="n"/>
      <c r="C109" s="60" t="n"/>
      <c r="D109" s="17" t="n"/>
      <c r="E109" s="20" t="n"/>
      <c r="F109" s="17" t="n"/>
      <c r="G109" s="61" t="n"/>
      <c r="H109" s="15" t="n"/>
      <c r="I109" s="18">
        <f>IF($A109="","",IFERROR(SUMIF(tblVarliklar[VarlikId],$B109,tblVarliklar[HedefKiraTl_tl]),kpg_varsayilanHedefKira))</f>
        <v/>
      </c>
      <c r="J109" s="18">
        <f>IF($A109="","",MAX(0, 1-$E109/kpg_gunAy))</f>
        <v/>
      </c>
      <c r="K109" s="18">
        <f>IF(OR($A109="",$I109=0),"",$D109/$I109)</f>
        <v/>
      </c>
      <c r="L109" s="18">
        <f>IF($A109="","",$D109-$F109)</f>
        <v/>
      </c>
      <c r="M109" s="18">
        <f>IF($A109="","",$I109*(1+$G109))</f>
        <v/>
      </c>
      <c r="N109" s="18">
        <f>IF($A109="","",MAX(0,MIN(100,kpg_kaliteTaban-IF($J109&lt;kpg_esikDoluluk,kpg_kaliteCeza,0)-IF($K109&lt;kpg_esikGetiri,kpg_kaliteSapma,0)-IF($Q109="YETIM",kpg_kaliteCeza,0))))</f>
        <v/>
      </c>
      <c r="O109" s="18">
        <f>IF($A109="","",IF(OR($J109&lt;kpg_esikDoluluk,$K109&lt;kpg_esikGetiri,$N109&lt;kpg_esikSaglik),"ALARM","UYGUN"))</f>
        <v/>
      </c>
      <c r="P109" s="18">
        <f>IF($A109="","",1)</f>
        <v/>
      </c>
      <c r="Q109" s="18">
        <f>IF($A109="","",IF(OR($B109="",COUNTIF(tblVarliklar[VarlikId],$B109)=0),"YETIM","TAMAM"))</f>
        <v/>
      </c>
    </row>
    <row r="110">
      <c r="A110" s="15" t="n"/>
      <c r="B110" s="15" t="n"/>
      <c r="C110" s="60" t="n"/>
      <c r="D110" s="17" t="n"/>
      <c r="E110" s="20" t="n"/>
      <c r="F110" s="17" t="n"/>
      <c r="G110" s="61" t="n"/>
      <c r="H110" s="15" t="n"/>
      <c r="I110" s="18">
        <f>IF($A110="","",IFERROR(SUMIF(tblVarliklar[VarlikId],$B110,tblVarliklar[HedefKiraTl_tl]),kpg_varsayilanHedefKira))</f>
        <v/>
      </c>
      <c r="J110" s="18">
        <f>IF($A110="","",MAX(0, 1-$E110/kpg_gunAy))</f>
        <v/>
      </c>
      <c r="K110" s="18">
        <f>IF(OR($A110="",$I110=0),"",$D110/$I110)</f>
        <v/>
      </c>
      <c r="L110" s="18">
        <f>IF($A110="","",$D110-$F110)</f>
        <v/>
      </c>
      <c r="M110" s="18">
        <f>IF($A110="","",$I110*(1+$G110))</f>
        <v/>
      </c>
      <c r="N110" s="18">
        <f>IF($A110="","",MAX(0,MIN(100,kpg_kaliteTaban-IF($J110&lt;kpg_esikDoluluk,kpg_kaliteCeza,0)-IF($K110&lt;kpg_esikGetiri,kpg_kaliteSapma,0)-IF($Q110="YETIM",kpg_kaliteCeza,0))))</f>
        <v/>
      </c>
      <c r="O110" s="18">
        <f>IF($A110="","",IF(OR($J110&lt;kpg_esikDoluluk,$K110&lt;kpg_esikGetiri,$N110&lt;kpg_esikSaglik),"ALARM","UYGUN"))</f>
        <v/>
      </c>
      <c r="P110" s="18">
        <f>IF($A110="","",1)</f>
        <v/>
      </c>
      <c r="Q110" s="18">
        <f>IF($A110="","",IF(OR($B110="",COUNTIF(tblVarliklar[VarlikId],$B110)=0),"YETIM","TAMAM"))</f>
        <v/>
      </c>
    </row>
    <row r="111">
      <c r="A111" s="15" t="n"/>
      <c r="B111" s="15" t="n"/>
      <c r="C111" s="60" t="n"/>
      <c r="D111" s="17" t="n"/>
      <c r="E111" s="20" t="n"/>
      <c r="F111" s="17" t="n"/>
      <c r="G111" s="61" t="n"/>
      <c r="H111" s="15" t="n"/>
      <c r="I111" s="18">
        <f>IF($A111="","",IFERROR(SUMIF(tblVarliklar[VarlikId],$B111,tblVarliklar[HedefKiraTl_tl]),kpg_varsayilanHedefKira))</f>
        <v/>
      </c>
      <c r="J111" s="18">
        <f>IF($A111="","",MAX(0, 1-$E111/kpg_gunAy))</f>
        <v/>
      </c>
      <c r="K111" s="18">
        <f>IF(OR($A111="",$I111=0),"",$D111/$I111)</f>
        <v/>
      </c>
      <c r="L111" s="18">
        <f>IF($A111="","",$D111-$F111)</f>
        <v/>
      </c>
      <c r="M111" s="18">
        <f>IF($A111="","",$I111*(1+$G111))</f>
        <v/>
      </c>
      <c r="N111" s="18">
        <f>IF($A111="","",MAX(0,MIN(100,kpg_kaliteTaban-IF($J111&lt;kpg_esikDoluluk,kpg_kaliteCeza,0)-IF($K111&lt;kpg_esikGetiri,kpg_kaliteSapma,0)-IF($Q111="YETIM",kpg_kaliteCeza,0))))</f>
        <v/>
      </c>
      <c r="O111" s="18">
        <f>IF($A111="","",IF(OR($J111&lt;kpg_esikDoluluk,$K111&lt;kpg_esikGetiri,$N111&lt;kpg_esikSaglik),"ALARM","UYGUN"))</f>
        <v/>
      </c>
      <c r="P111" s="18">
        <f>IF($A111="","",1)</f>
        <v/>
      </c>
      <c r="Q111" s="18">
        <f>IF($A111="","",IF(OR($B111="",COUNTIF(tblVarliklar[VarlikId],$B111)=0),"YETIM","TAMAM"))</f>
        <v/>
      </c>
    </row>
    <row r="112">
      <c r="A112" s="15" t="n"/>
      <c r="B112" s="15" t="n"/>
      <c r="C112" s="60" t="n"/>
      <c r="D112" s="17" t="n"/>
      <c r="E112" s="20" t="n"/>
      <c r="F112" s="17" t="n"/>
      <c r="G112" s="61" t="n"/>
      <c r="H112" s="15" t="n"/>
      <c r="I112" s="18">
        <f>IF($A112="","",IFERROR(SUMIF(tblVarliklar[VarlikId],$B112,tblVarliklar[HedefKiraTl_tl]),kpg_varsayilanHedefKira))</f>
        <v/>
      </c>
      <c r="J112" s="18">
        <f>IF($A112="","",MAX(0, 1-$E112/kpg_gunAy))</f>
        <v/>
      </c>
      <c r="K112" s="18">
        <f>IF(OR($A112="",$I112=0),"",$D112/$I112)</f>
        <v/>
      </c>
      <c r="L112" s="18">
        <f>IF($A112="","",$D112-$F112)</f>
        <v/>
      </c>
      <c r="M112" s="18">
        <f>IF($A112="","",$I112*(1+$G112))</f>
        <v/>
      </c>
      <c r="N112" s="18">
        <f>IF($A112="","",MAX(0,MIN(100,kpg_kaliteTaban-IF($J112&lt;kpg_esikDoluluk,kpg_kaliteCeza,0)-IF($K112&lt;kpg_esikGetiri,kpg_kaliteSapma,0)-IF($Q112="YETIM",kpg_kaliteCeza,0))))</f>
        <v/>
      </c>
      <c r="O112" s="18">
        <f>IF($A112="","",IF(OR($J112&lt;kpg_esikDoluluk,$K112&lt;kpg_esikGetiri,$N112&lt;kpg_esikSaglik),"ALARM","UYGUN"))</f>
        <v/>
      </c>
      <c r="P112" s="18">
        <f>IF($A112="","",1)</f>
        <v/>
      </c>
      <c r="Q112" s="18">
        <f>IF($A112="","",IF(OR($B112="",COUNTIF(tblVarliklar[VarlikId],$B112)=0),"YETIM","TAMAM"))</f>
        <v/>
      </c>
    </row>
    <row r="113">
      <c r="A113" s="15" t="n"/>
      <c r="B113" s="15" t="n"/>
      <c r="C113" s="60" t="n"/>
      <c r="D113" s="17" t="n"/>
      <c r="E113" s="20" t="n"/>
      <c r="F113" s="17" t="n"/>
      <c r="G113" s="61" t="n"/>
      <c r="H113" s="15" t="n"/>
      <c r="I113" s="18">
        <f>IF($A113="","",IFERROR(SUMIF(tblVarliklar[VarlikId],$B113,tblVarliklar[HedefKiraTl_tl]),kpg_varsayilanHedefKira))</f>
        <v/>
      </c>
      <c r="J113" s="18">
        <f>IF($A113="","",MAX(0, 1-$E113/kpg_gunAy))</f>
        <v/>
      </c>
      <c r="K113" s="18">
        <f>IF(OR($A113="",$I113=0),"",$D113/$I113)</f>
        <v/>
      </c>
      <c r="L113" s="18">
        <f>IF($A113="","",$D113-$F113)</f>
        <v/>
      </c>
      <c r="M113" s="18">
        <f>IF($A113="","",$I113*(1+$G113))</f>
        <v/>
      </c>
      <c r="N113" s="18">
        <f>IF($A113="","",MAX(0,MIN(100,kpg_kaliteTaban-IF($J113&lt;kpg_esikDoluluk,kpg_kaliteCeza,0)-IF($K113&lt;kpg_esikGetiri,kpg_kaliteSapma,0)-IF($Q113="YETIM",kpg_kaliteCeza,0))))</f>
        <v/>
      </c>
      <c r="O113" s="18">
        <f>IF($A113="","",IF(OR($J113&lt;kpg_esikDoluluk,$K113&lt;kpg_esikGetiri,$N113&lt;kpg_esikSaglik),"ALARM","UYGUN"))</f>
        <v/>
      </c>
      <c r="P113" s="18">
        <f>IF($A113="","",1)</f>
        <v/>
      </c>
      <c r="Q113" s="18">
        <f>IF($A113="","",IF(OR($B113="",COUNTIF(tblVarliklar[VarlikId],$B113)=0),"YETIM","TAMAM"))</f>
        <v/>
      </c>
    </row>
    <row r="114">
      <c r="A114" s="15" t="n"/>
      <c r="B114" s="15" t="n"/>
      <c r="C114" s="60" t="n"/>
      <c r="D114" s="17" t="n"/>
      <c r="E114" s="20" t="n"/>
      <c r="F114" s="17" t="n"/>
      <c r="G114" s="61" t="n"/>
      <c r="H114" s="15" t="n"/>
      <c r="I114" s="18">
        <f>IF($A114="","",IFERROR(SUMIF(tblVarliklar[VarlikId],$B114,tblVarliklar[HedefKiraTl_tl]),kpg_varsayilanHedefKira))</f>
        <v/>
      </c>
      <c r="J114" s="18">
        <f>IF($A114="","",MAX(0, 1-$E114/kpg_gunAy))</f>
        <v/>
      </c>
      <c r="K114" s="18">
        <f>IF(OR($A114="",$I114=0),"",$D114/$I114)</f>
        <v/>
      </c>
      <c r="L114" s="18">
        <f>IF($A114="","",$D114-$F114)</f>
        <v/>
      </c>
      <c r="M114" s="18">
        <f>IF($A114="","",$I114*(1+$G114))</f>
        <v/>
      </c>
      <c r="N114" s="18">
        <f>IF($A114="","",MAX(0,MIN(100,kpg_kaliteTaban-IF($J114&lt;kpg_esikDoluluk,kpg_kaliteCeza,0)-IF($K114&lt;kpg_esikGetiri,kpg_kaliteSapma,0)-IF($Q114="YETIM",kpg_kaliteCeza,0))))</f>
        <v/>
      </c>
      <c r="O114" s="18">
        <f>IF($A114="","",IF(OR($J114&lt;kpg_esikDoluluk,$K114&lt;kpg_esikGetiri,$N114&lt;kpg_esikSaglik),"ALARM","UYGUN"))</f>
        <v/>
      </c>
      <c r="P114" s="18">
        <f>IF($A114="","",1)</f>
        <v/>
      </c>
      <c r="Q114" s="18">
        <f>IF($A114="","",IF(OR($B114="",COUNTIF(tblVarliklar[VarlikId],$B114)=0),"YETIM","TAMAM"))</f>
        <v/>
      </c>
    </row>
    <row r="115">
      <c r="A115" s="15" t="n"/>
      <c r="B115" s="15" t="n"/>
      <c r="C115" s="60" t="n"/>
      <c r="D115" s="17" t="n"/>
      <c r="E115" s="20" t="n"/>
      <c r="F115" s="17" t="n"/>
      <c r="G115" s="61" t="n"/>
      <c r="H115" s="15" t="n"/>
      <c r="I115" s="18">
        <f>IF($A115="","",IFERROR(SUMIF(tblVarliklar[VarlikId],$B115,tblVarliklar[HedefKiraTl_tl]),kpg_varsayilanHedefKira))</f>
        <v/>
      </c>
      <c r="J115" s="18">
        <f>IF($A115="","",MAX(0, 1-$E115/kpg_gunAy))</f>
        <v/>
      </c>
      <c r="K115" s="18">
        <f>IF(OR($A115="",$I115=0),"",$D115/$I115)</f>
        <v/>
      </c>
      <c r="L115" s="18">
        <f>IF($A115="","",$D115-$F115)</f>
        <v/>
      </c>
      <c r="M115" s="18">
        <f>IF($A115="","",$I115*(1+$G115))</f>
        <v/>
      </c>
      <c r="N115" s="18">
        <f>IF($A115="","",MAX(0,MIN(100,kpg_kaliteTaban-IF($J115&lt;kpg_esikDoluluk,kpg_kaliteCeza,0)-IF($K115&lt;kpg_esikGetiri,kpg_kaliteSapma,0)-IF($Q115="YETIM",kpg_kaliteCeza,0))))</f>
        <v/>
      </c>
      <c r="O115" s="18">
        <f>IF($A115="","",IF(OR($J115&lt;kpg_esikDoluluk,$K115&lt;kpg_esikGetiri,$N115&lt;kpg_esikSaglik),"ALARM","UYGUN"))</f>
        <v/>
      </c>
      <c r="P115" s="18">
        <f>IF($A115="","",1)</f>
        <v/>
      </c>
      <c r="Q115" s="18">
        <f>IF($A115="","",IF(OR($B115="",COUNTIF(tblVarliklar[VarlikId],$B115)=0),"YETIM","TAMAM"))</f>
        <v/>
      </c>
    </row>
    <row r="116">
      <c r="A116" s="15" t="n"/>
      <c r="B116" s="15" t="n"/>
      <c r="C116" s="60" t="n"/>
      <c r="D116" s="17" t="n"/>
      <c r="E116" s="20" t="n"/>
      <c r="F116" s="17" t="n"/>
      <c r="G116" s="61" t="n"/>
      <c r="H116" s="15" t="n"/>
      <c r="I116" s="18">
        <f>IF($A116="","",IFERROR(SUMIF(tblVarliklar[VarlikId],$B116,tblVarliklar[HedefKiraTl_tl]),kpg_varsayilanHedefKira))</f>
        <v/>
      </c>
      <c r="J116" s="18">
        <f>IF($A116="","",MAX(0, 1-$E116/kpg_gunAy))</f>
        <v/>
      </c>
      <c r="K116" s="18">
        <f>IF(OR($A116="",$I116=0),"",$D116/$I116)</f>
        <v/>
      </c>
      <c r="L116" s="18">
        <f>IF($A116="","",$D116-$F116)</f>
        <v/>
      </c>
      <c r="M116" s="18">
        <f>IF($A116="","",$I116*(1+$G116))</f>
        <v/>
      </c>
      <c r="N116" s="18">
        <f>IF($A116="","",MAX(0,MIN(100,kpg_kaliteTaban-IF($J116&lt;kpg_esikDoluluk,kpg_kaliteCeza,0)-IF($K116&lt;kpg_esikGetiri,kpg_kaliteSapma,0)-IF($Q116="YETIM",kpg_kaliteCeza,0))))</f>
        <v/>
      </c>
      <c r="O116" s="18">
        <f>IF($A116="","",IF(OR($J116&lt;kpg_esikDoluluk,$K116&lt;kpg_esikGetiri,$N116&lt;kpg_esikSaglik),"ALARM","UYGUN"))</f>
        <v/>
      </c>
      <c r="P116" s="18">
        <f>IF($A116="","",1)</f>
        <v/>
      </c>
      <c r="Q116" s="18">
        <f>IF($A116="","",IF(OR($B116="",COUNTIF(tblVarliklar[VarlikId],$B116)=0),"YETIM","TAMAM"))</f>
        <v/>
      </c>
    </row>
    <row r="117">
      <c r="A117" s="15" t="n"/>
      <c r="B117" s="15" t="n"/>
      <c r="C117" s="60" t="n"/>
      <c r="D117" s="17" t="n"/>
      <c r="E117" s="20" t="n"/>
      <c r="F117" s="17" t="n"/>
      <c r="G117" s="61" t="n"/>
      <c r="H117" s="15" t="n"/>
      <c r="I117" s="18">
        <f>IF($A117="","",IFERROR(SUMIF(tblVarliklar[VarlikId],$B117,tblVarliklar[HedefKiraTl_tl]),kpg_varsayilanHedefKira))</f>
        <v/>
      </c>
      <c r="J117" s="18">
        <f>IF($A117="","",MAX(0, 1-$E117/kpg_gunAy))</f>
        <v/>
      </c>
      <c r="K117" s="18">
        <f>IF(OR($A117="",$I117=0),"",$D117/$I117)</f>
        <v/>
      </c>
      <c r="L117" s="18">
        <f>IF($A117="","",$D117-$F117)</f>
        <v/>
      </c>
      <c r="M117" s="18">
        <f>IF($A117="","",$I117*(1+$G117))</f>
        <v/>
      </c>
      <c r="N117" s="18">
        <f>IF($A117="","",MAX(0,MIN(100,kpg_kaliteTaban-IF($J117&lt;kpg_esikDoluluk,kpg_kaliteCeza,0)-IF($K117&lt;kpg_esikGetiri,kpg_kaliteSapma,0)-IF($Q117="YETIM",kpg_kaliteCeza,0))))</f>
        <v/>
      </c>
      <c r="O117" s="18">
        <f>IF($A117="","",IF(OR($J117&lt;kpg_esikDoluluk,$K117&lt;kpg_esikGetiri,$N117&lt;kpg_esikSaglik),"ALARM","UYGUN"))</f>
        <v/>
      </c>
      <c r="P117" s="18">
        <f>IF($A117="","",1)</f>
        <v/>
      </c>
      <c r="Q117" s="18">
        <f>IF($A117="","",IF(OR($B117="",COUNTIF(tblVarliklar[VarlikId],$B117)=0),"YETIM","TAMAM"))</f>
        <v/>
      </c>
    </row>
    <row r="118">
      <c r="A118" s="15" t="n"/>
      <c r="B118" s="15" t="n"/>
      <c r="C118" s="60" t="n"/>
      <c r="D118" s="17" t="n"/>
      <c r="E118" s="20" t="n"/>
      <c r="F118" s="17" t="n"/>
      <c r="G118" s="61" t="n"/>
      <c r="H118" s="15" t="n"/>
      <c r="I118" s="18">
        <f>IF($A118="","",IFERROR(SUMIF(tblVarliklar[VarlikId],$B118,tblVarliklar[HedefKiraTl_tl]),kpg_varsayilanHedefKira))</f>
        <v/>
      </c>
      <c r="J118" s="18">
        <f>IF($A118="","",MAX(0, 1-$E118/kpg_gunAy))</f>
        <v/>
      </c>
      <c r="K118" s="18">
        <f>IF(OR($A118="",$I118=0),"",$D118/$I118)</f>
        <v/>
      </c>
      <c r="L118" s="18">
        <f>IF($A118="","",$D118-$F118)</f>
        <v/>
      </c>
      <c r="M118" s="18">
        <f>IF($A118="","",$I118*(1+$G118))</f>
        <v/>
      </c>
      <c r="N118" s="18">
        <f>IF($A118="","",MAX(0,MIN(100,kpg_kaliteTaban-IF($J118&lt;kpg_esikDoluluk,kpg_kaliteCeza,0)-IF($K118&lt;kpg_esikGetiri,kpg_kaliteSapma,0)-IF($Q118="YETIM",kpg_kaliteCeza,0))))</f>
        <v/>
      </c>
      <c r="O118" s="18">
        <f>IF($A118="","",IF(OR($J118&lt;kpg_esikDoluluk,$K118&lt;kpg_esikGetiri,$N118&lt;kpg_esikSaglik),"ALARM","UYGUN"))</f>
        <v/>
      </c>
      <c r="P118" s="18">
        <f>IF($A118="","",1)</f>
        <v/>
      </c>
      <c r="Q118" s="18">
        <f>IF($A118="","",IF(OR($B118="",COUNTIF(tblVarliklar[VarlikId],$B118)=0),"YETIM","TAMAM"))</f>
        <v/>
      </c>
    </row>
    <row r="119">
      <c r="A119" s="15" t="n"/>
      <c r="B119" s="15" t="n"/>
      <c r="C119" s="60" t="n"/>
      <c r="D119" s="17" t="n"/>
      <c r="E119" s="20" t="n"/>
      <c r="F119" s="17" t="n"/>
      <c r="G119" s="61" t="n"/>
      <c r="H119" s="15" t="n"/>
      <c r="I119" s="18">
        <f>IF($A119="","",IFERROR(SUMIF(tblVarliklar[VarlikId],$B119,tblVarliklar[HedefKiraTl_tl]),kpg_varsayilanHedefKira))</f>
        <v/>
      </c>
      <c r="J119" s="18">
        <f>IF($A119="","",MAX(0, 1-$E119/kpg_gunAy))</f>
        <v/>
      </c>
      <c r="K119" s="18">
        <f>IF(OR($A119="",$I119=0),"",$D119/$I119)</f>
        <v/>
      </c>
      <c r="L119" s="18">
        <f>IF($A119="","",$D119-$F119)</f>
        <v/>
      </c>
      <c r="M119" s="18">
        <f>IF($A119="","",$I119*(1+$G119))</f>
        <v/>
      </c>
      <c r="N119" s="18">
        <f>IF($A119="","",MAX(0,MIN(100,kpg_kaliteTaban-IF($J119&lt;kpg_esikDoluluk,kpg_kaliteCeza,0)-IF($K119&lt;kpg_esikGetiri,kpg_kaliteSapma,0)-IF($Q119="YETIM",kpg_kaliteCeza,0))))</f>
        <v/>
      </c>
      <c r="O119" s="18">
        <f>IF($A119="","",IF(OR($J119&lt;kpg_esikDoluluk,$K119&lt;kpg_esikGetiri,$N119&lt;kpg_esikSaglik),"ALARM","UYGUN"))</f>
        <v/>
      </c>
      <c r="P119" s="18">
        <f>IF($A119="","",1)</f>
        <v/>
      </c>
      <c r="Q119" s="18">
        <f>IF($A119="","",IF(OR($B119="",COUNTIF(tblVarliklar[VarlikId],$B119)=0),"YETIM","TAMAM"))</f>
        <v/>
      </c>
    </row>
    <row r="120">
      <c r="A120" s="15" t="n"/>
      <c r="B120" s="15" t="n"/>
      <c r="C120" s="60" t="n"/>
      <c r="D120" s="17" t="n"/>
      <c r="E120" s="20" t="n"/>
      <c r="F120" s="17" t="n"/>
      <c r="G120" s="61" t="n"/>
      <c r="H120" s="15" t="n"/>
      <c r="I120" s="18">
        <f>IF($A120="","",IFERROR(SUMIF(tblVarliklar[VarlikId],$B120,tblVarliklar[HedefKiraTl_tl]),kpg_varsayilanHedefKira))</f>
        <v/>
      </c>
      <c r="J120" s="18">
        <f>IF($A120="","",MAX(0, 1-$E120/kpg_gunAy))</f>
        <v/>
      </c>
      <c r="K120" s="18">
        <f>IF(OR($A120="",$I120=0),"",$D120/$I120)</f>
        <v/>
      </c>
      <c r="L120" s="18">
        <f>IF($A120="","",$D120-$F120)</f>
        <v/>
      </c>
      <c r="M120" s="18">
        <f>IF($A120="","",$I120*(1+$G120))</f>
        <v/>
      </c>
      <c r="N120" s="18">
        <f>IF($A120="","",MAX(0,MIN(100,kpg_kaliteTaban-IF($J120&lt;kpg_esikDoluluk,kpg_kaliteCeza,0)-IF($K120&lt;kpg_esikGetiri,kpg_kaliteSapma,0)-IF($Q120="YETIM",kpg_kaliteCeza,0))))</f>
        <v/>
      </c>
      <c r="O120" s="18">
        <f>IF($A120="","",IF(OR($J120&lt;kpg_esikDoluluk,$K120&lt;kpg_esikGetiri,$N120&lt;kpg_esikSaglik),"ALARM","UYGUN"))</f>
        <v/>
      </c>
      <c r="P120" s="18">
        <f>IF($A120="","",1)</f>
        <v/>
      </c>
      <c r="Q120" s="18">
        <f>IF($A120="","",IF(OR($B120="",COUNTIF(tblVarliklar[VarlikId],$B120)=0),"YETIM","TAMAM"))</f>
        <v/>
      </c>
    </row>
    <row r="121">
      <c r="A121" s="15" t="n"/>
      <c r="B121" s="15" t="n"/>
      <c r="C121" s="60" t="n"/>
      <c r="D121" s="17" t="n"/>
      <c r="E121" s="20" t="n"/>
      <c r="F121" s="17" t="n"/>
      <c r="G121" s="61" t="n"/>
      <c r="H121" s="15" t="n"/>
      <c r="I121" s="18">
        <f>IF($A121="","",IFERROR(SUMIF(tblVarliklar[VarlikId],$B121,tblVarliklar[HedefKiraTl_tl]),kpg_varsayilanHedefKira))</f>
        <v/>
      </c>
      <c r="J121" s="18">
        <f>IF($A121="","",MAX(0, 1-$E121/kpg_gunAy))</f>
        <v/>
      </c>
      <c r="K121" s="18">
        <f>IF(OR($A121="",$I121=0),"",$D121/$I121)</f>
        <v/>
      </c>
      <c r="L121" s="18">
        <f>IF($A121="","",$D121-$F121)</f>
        <v/>
      </c>
      <c r="M121" s="18">
        <f>IF($A121="","",$I121*(1+$G121))</f>
        <v/>
      </c>
      <c r="N121" s="18">
        <f>IF($A121="","",MAX(0,MIN(100,kpg_kaliteTaban-IF($J121&lt;kpg_esikDoluluk,kpg_kaliteCeza,0)-IF($K121&lt;kpg_esikGetiri,kpg_kaliteSapma,0)-IF($Q121="YETIM",kpg_kaliteCeza,0))))</f>
        <v/>
      </c>
      <c r="O121" s="18">
        <f>IF($A121="","",IF(OR($J121&lt;kpg_esikDoluluk,$K121&lt;kpg_esikGetiri,$N121&lt;kpg_esikSaglik),"ALARM","UYGUN"))</f>
        <v/>
      </c>
      <c r="P121" s="18">
        <f>IF($A121="","",1)</f>
        <v/>
      </c>
      <c r="Q121" s="18">
        <f>IF($A121="","",IF(OR($B121="",COUNTIF(tblVarliklar[VarlikId],$B121)=0),"YETIM","TAMAM"))</f>
        <v/>
      </c>
    </row>
    <row r="122">
      <c r="A122" s="15" t="n"/>
      <c r="B122" s="15" t="n"/>
      <c r="C122" s="60" t="n"/>
      <c r="D122" s="17" t="n"/>
      <c r="E122" s="20" t="n"/>
      <c r="F122" s="17" t="n"/>
      <c r="G122" s="61" t="n"/>
      <c r="H122" s="15" t="n"/>
      <c r="I122" s="18">
        <f>IF($A122="","",IFERROR(SUMIF(tblVarliklar[VarlikId],$B122,tblVarliklar[HedefKiraTl_tl]),kpg_varsayilanHedefKira))</f>
        <v/>
      </c>
      <c r="J122" s="18">
        <f>IF($A122="","",MAX(0, 1-$E122/kpg_gunAy))</f>
        <v/>
      </c>
      <c r="K122" s="18">
        <f>IF(OR($A122="",$I122=0),"",$D122/$I122)</f>
        <v/>
      </c>
      <c r="L122" s="18">
        <f>IF($A122="","",$D122-$F122)</f>
        <v/>
      </c>
      <c r="M122" s="18">
        <f>IF($A122="","",$I122*(1+$G122))</f>
        <v/>
      </c>
      <c r="N122" s="18">
        <f>IF($A122="","",MAX(0,MIN(100,kpg_kaliteTaban-IF($J122&lt;kpg_esikDoluluk,kpg_kaliteCeza,0)-IF($K122&lt;kpg_esikGetiri,kpg_kaliteSapma,0)-IF($Q122="YETIM",kpg_kaliteCeza,0))))</f>
        <v/>
      </c>
      <c r="O122" s="18">
        <f>IF($A122="","",IF(OR($J122&lt;kpg_esikDoluluk,$K122&lt;kpg_esikGetiri,$N122&lt;kpg_esikSaglik),"ALARM","UYGUN"))</f>
        <v/>
      </c>
      <c r="P122" s="18">
        <f>IF($A122="","",1)</f>
        <v/>
      </c>
      <c r="Q122" s="18">
        <f>IF($A122="","",IF(OR($B122="",COUNTIF(tblVarliklar[VarlikId],$B122)=0),"YETIM","TAMAM"))</f>
        <v/>
      </c>
    </row>
    <row r="123">
      <c r="A123" s="15" t="n"/>
      <c r="B123" s="15" t="n"/>
      <c r="C123" s="60" t="n"/>
      <c r="D123" s="17" t="n"/>
      <c r="E123" s="20" t="n"/>
      <c r="F123" s="17" t="n"/>
      <c r="G123" s="61" t="n"/>
      <c r="H123" s="15" t="n"/>
      <c r="I123" s="18">
        <f>IF($A123="","",IFERROR(SUMIF(tblVarliklar[VarlikId],$B123,tblVarliklar[HedefKiraTl_tl]),kpg_varsayilanHedefKira))</f>
        <v/>
      </c>
      <c r="J123" s="18">
        <f>IF($A123="","",MAX(0, 1-$E123/kpg_gunAy))</f>
        <v/>
      </c>
      <c r="K123" s="18">
        <f>IF(OR($A123="",$I123=0),"",$D123/$I123)</f>
        <v/>
      </c>
      <c r="L123" s="18">
        <f>IF($A123="","",$D123-$F123)</f>
        <v/>
      </c>
      <c r="M123" s="18">
        <f>IF($A123="","",$I123*(1+$G123))</f>
        <v/>
      </c>
      <c r="N123" s="18">
        <f>IF($A123="","",MAX(0,MIN(100,kpg_kaliteTaban-IF($J123&lt;kpg_esikDoluluk,kpg_kaliteCeza,0)-IF($K123&lt;kpg_esikGetiri,kpg_kaliteSapma,0)-IF($Q123="YETIM",kpg_kaliteCeza,0))))</f>
        <v/>
      </c>
      <c r="O123" s="18">
        <f>IF($A123="","",IF(OR($J123&lt;kpg_esikDoluluk,$K123&lt;kpg_esikGetiri,$N123&lt;kpg_esikSaglik),"ALARM","UYGUN"))</f>
        <v/>
      </c>
      <c r="P123" s="18">
        <f>IF($A123="","",1)</f>
        <v/>
      </c>
      <c r="Q123" s="18">
        <f>IF($A123="","",IF(OR($B123="",COUNTIF(tblVarliklar[VarlikId],$B123)=0),"YETIM","TAMAM"))</f>
        <v/>
      </c>
    </row>
    <row r="124">
      <c r="A124" s="15" t="n"/>
      <c r="B124" s="15" t="n"/>
      <c r="C124" s="60" t="n"/>
      <c r="D124" s="17" t="n"/>
      <c r="E124" s="20" t="n"/>
      <c r="F124" s="17" t="n"/>
      <c r="G124" s="61" t="n"/>
      <c r="H124" s="15" t="n"/>
      <c r="I124" s="18">
        <f>IF($A124="","",IFERROR(SUMIF(tblVarliklar[VarlikId],$B124,tblVarliklar[HedefKiraTl_tl]),kpg_varsayilanHedefKira))</f>
        <v/>
      </c>
      <c r="J124" s="18">
        <f>IF($A124="","",MAX(0, 1-$E124/kpg_gunAy))</f>
        <v/>
      </c>
      <c r="K124" s="18">
        <f>IF(OR($A124="",$I124=0),"",$D124/$I124)</f>
        <v/>
      </c>
      <c r="L124" s="18">
        <f>IF($A124="","",$D124-$F124)</f>
        <v/>
      </c>
      <c r="M124" s="18">
        <f>IF($A124="","",$I124*(1+$G124))</f>
        <v/>
      </c>
      <c r="N124" s="18">
        <f>IF($A124="","",MAX(0,MIN(100,kpg_kaliteTaban-IF($J124&lt;kpg_esikDoluluk,kpg_kaliteCeza,0)-IF($K124&lt;kpg_esikGetiri,kpg_kaliteSapma,0)-IF($Q124="YETIM",kpg_kaliteCeza,0))))</f>
        <v/>
      </c>
      <c r="O124" s="18">
        <f>IF($A124="","",IF(OR($J124&lt;kpg_esikDoluluk,$K124&lt;kpg_esikGetiri,$N124&lt;kpg_esikSaglik),"ALARM","UYGUN"))</f>
        <v/>
      </c>
      <c r="P124" s="18">
        <f>IF($A124="","",1)</f>
        <v/>
      </c>
      <c r="Q124" s="18">
        <f>IF($A124="","",IF(OR($B124="",COUNTIF(tblVarliklar[VarlikId],$B124)=0),"YETIM","TAMAM"))</f>
        <v/>
      </c>
    </row>
    <row r="125">
      <c r="A125" s="15" t="n"/>
      <c r="B125" s="15" t="n"/>
      <c r="C125" s="60" t="n"/>
      <c r="D125" s="17" t="n"/>
      <c r="E125" s="20" t="n"/>
      <c r="F125" s="17" t="n"/>
      <c r="G125" s="61" t="n"/>
      <c r="H125" s="15" t="n"/>
      <c r="I125" s="18">
        <f>IF($A125="","",IFERROR(SUMIF(tblVarliklar[VarlikId],$B125,tblVarliklar[HedefKiraTl_tl]),kpg_varsayilanHedefKira))</f>
        <v/>
      </c>
      <c r="J125" s="18">
        <f>IF($A125="","",MAX(0, 1-$E125/kpg_gunAy))</f>
        <v/>
      </c>
      <c r="K125" s="18">
        <f>IF(OR($A125="",$I125=0),"",$D125/$I125)</f>
        <v/>
      </c>
      <c r="L125" s="18">
        <f>IF($A125="","",$D125-$F125)</f>
        <v/>
      </c>
      <c r="M125" s="18">
        <f>IF($A125="","",$I125*(1+$G125))</f>
        <v/>
      </c>
      <c r="N125" s="18">
        <f>IF($A125="","",MAX(0,MIN(100,kpg_kaliteTaban-IF($J125&lt;kpg_esikDoluluk,kpg_kaliteCeza,0)-IF($K125&lt;kpg_esikGetiri,kpg_kaliteSapma,0)-IF($Q125="YETIM",kpg_kaliteCeza,0))))</f>
        <v/>
      </c>
      <c r="O125" s="18">
        <f>IF($A125="","",IF(OR($J125&lt;kpg_esikDoluluk,$K125&lt;kpg_esikGetiri,$N125&lt;kpg_esikSaglik),"ALARM","UYGUN"))</f>
        <v/>
      </c>
      <c r="P125" s="18">
        <f>IF($A125="","",1)</f>
        <v/>
      </c>
      <c r="Q125" s="18">
        <f>IF($A125="","",IF(OR($B125="",COUNTIF(tblVarliklar[VarlikId],$B125)=0),"YETIM","TAMAM"))</f>
        <v/>
      </c>
    </row>
    <row r="126">
      <c r="A126" s="15" t="n"/>
      <c r="B126" s="15" t="n"/>
      <c r="C126" s="60" t="n"/>
      <c r="D126" s="17" t="n"/>
      <c r="E126" s="20" t="n"/>
      <c r="F126" s="17" t="n"/>
      <c r="G126" s="61" t="n"/>
      <c r="H126" s="15" t="n"/>
      <c r="I126" s="18">
        <f>IF($A126="","",IFERROR(SUMIF(tblVarliklar[VarlikId],$B126,tblVarliklar[HedefKiraTl_tl]),kpg_varsayilanHedefKira))</f>
        <v/>
      </c>
      <c r="J126" s="18">
        <f>IF($A126="","",MAX(0, 1-$E126/kpg_gunAy))</f>
        <v/>
      </c>
      <c r="K126" s="18">
        <f>IF(OR($A126="",$I126=0),"",$D126/$I126)</f>
        <v/>
      </c>
      <c r="L126" s="18">
        <f>IF($A126="","",$D126-$F126)</f>
        <v/>
      </c>
      <c r="M126" s="18">
        <f>IF($A126="","",$I126*(1+$G126))</f>
        <v/>
      </c>
      <c r="N126" s="18">
        <f>IF($A126="","",MAX(0,MIN(100,kpg_kaliteTaban-IF($J126&lt;kpg_esikDoluluk,kpg_kaliteCeza,0)-IF($K126&lt;kpg_esikGetiri,kpg_kaliteSapma,0)-IF($Q126="YETIM",kpg_kaliteCeza,0))))</f>
        <v/>
      </c>
      <c r="O126" s="18">
        <f>IF($A126="","",IF(OR($J126&lt;kpg_esikDoluluk,$K126&lt;kpg_esikGetiri,$N126&lt;kpg_esikSaglik),"ALARM","UYGUN"))</f>
        <v/>
      </c>
      <c r="P126" s="18">
        <f>IF($A126="","",1)</f>
        <v/>
      </c>
      <c r="Q126" s="18">
        <f>IF($A126="","",IF(OR($B126="",COUNTIF(tblVarliklar[VarlikId],$B126)=0),"YETIM","TAMAM"))</f>
        <v/>
      </c>
    </row>
    <row r="127">
      <c r="A127" s="15" t="n"/>
      <c r="B127" s="15" t="n"/>
      <c r="C127" s="60" t="n"/>
      <c r="D127" s="17" t="n"/>
      <c r="E127" s="20" t="n"/>
      <c r="F127" s="17" t="n"/>
      <c r="G127" s="61" t="n"/>
      <c r="H127" s="15" t="n"/>
      <c r="I127" s="18">
        <f>IF($A127="","",IFERROR(SUMIF(tblVarliklar[VarlikId],$B127,tblVarliklar[HedefKiraTl_tl]),kpg_varsayilanHedefKira))</f>
        <v/>
      </c>
      <c r="J127" s="18">
        <f>IF($A127="","",MAX(0, 1-$E127/kpg_gunAy))</f>
        <v/>
      </c>
      <c r="K127" s="18">
        <f>IF(OR($A127="",$I127=0),"",$D127/$I127)</f>
        <v/>
      </c>
      <c r="L127" s="18">
        <f>IF($A127="","",$D127-$F127)</f>
        <v/>
      </c>
      <c r="M127" s="18">
        <f>IF($A127="","",$I127*(1+$G127))</f>
        <v/>
      </c>
      <c r="N127" s="18">
        <f>IF($A127="","",MAX(0,MIN(100,kpg_kaliteTaban-IF($J127&lt;kpg_esikDoluluk,kpg_kaliteCeza,0)-IF($K127&lt;kpg_esikGetiri,kpg_kaliteSapma,0)-IF($Q127="YETIM",kpg_kaliteCeza,0))))</f>
        <v/>
      </c>
      <c r="O127" s="18">
        <f>IF($A127="","",IF(OR($J127&lt;kpg_esikDoluluk,$K127&lt;kpg_esikGetiri,$N127&lt;kpg_esikSaglik),"ALARM","UYGUN"))</f>
        <v/>
      </c>
      <c r="P127" s="18">
        <f>IF($A127="","",1)</f>
        <v/>
      </c>
      <c r="Q127" s="18">
        <f>IF($A127="","",IF(OR($B127="",COUNTIF(tblVarliklar[VarlikId],$B127)=0),"YETIM","TAMAM"))</f>
        <v/>
      </c>
    </row>
    <row r="128">
      <c r="A128" s="15" t="n"/>
      <c r="B128" s="15" t="n"/>
      <c r="C128" s="60" t="n"/>
      <c r="D128" s="17" t="n"/>
      <c r="E128" s="20" t="n"/>
      <c r="F128" s="17" t="n"/>
      <c r="G128" s="61" t="n"/>
      <c r="H128" s="15" t="n"/>
      <c r="I128" s="18">
        <f>IF($A128="","",IFERROR(SUMIF(tblVarliklar[VarlikId],$B128,tblVarliklar[HedefKiraTl_tl]),kpg_varsayilanHedefKira))</f>
        <v/>
      </c>
      <c r="J128" s="18">
        <f>IF($A128="","",MAX(0, 1-$E128/kpg_gunAy))</f>
        <v/>
      </c>
      <c r="K128" s="18">
        <f>IF(OR($A128="",$I128=0),"",$D128/$I128)</f>
        <v/>
      </c>
      <c r="L128" s="18">
        <f>IF($A128="","",$D128-$F128)</f>
        <v/>
      </c>
      <c r="M128" s="18">
        <f>IF($A128="","",$I128*(1+$G128))</f>
        <v/>
      </c>
      <c r="N128" s="18">
        <f>IF($A128="","",MAX(0,MIN(100,kpg_kaliteTaban-IF($J128&lt;kpg_esikDoluluk,kpg_kaliteCeza,0)-IF($K128&lt;kpg_esikGetiri,kpg_kaliteSapma,0)-IF($Q128="YETIM",kpg_kaliteCeza,0))))</f>
        <v/>
      </c>
      <c r="O128" s="18">
        <f>IF($A128="","",IF(OR($J128&lt;kpg_esikDoluluk,$K128&lt;kpg_esikGetiri,$N128&lt;kpg_esikSaglik),"ALARM","UYGUN"))</f>
        <v/>
      </c>
      <c r="P128" s="18">
        <f>IF($A128="","",1)</f>
        <v/>
      </c>
      <c r="Q128" s="18">
        <f>IF($A128="","",IF(OR($B128="",COUNTIF(tblVarliklar[VarlikId],$B128)=0),"YETIM","TAMAM"))</f>
        <v/>
      </c>
    </row>
    <row r="129">
      <c r="A129" s="15" t="n"/>
      <c r="B129" s="15" t="n"/>
      <c r="C129" s="60" t="n"/>
      <c r="D129" s="17" t="n"/>
      <c r="E129" s="20" t="n"/>
      <c r="F129" s="17" t="n"/>
      <c r="G129" s="61" t="n"/>
      <c r="H129" s="15" t="n"/>
      <c r="I129" s="18">
        <f>IF($A129="","",IFERROR(SUMIF(tblVarliklar[VarlikId],$B129,tblVarliklar[HedefKiraTl_tl]),kpg_varsayilanHedefKira))</f>
        <v/>
      </c>
      <c r="J129" s="18">
        <f>IF($A129="","",MAX(0, 1-$E129/kpg_gunAy))</f>
        <v/>
      </c>
      <c r="K129" s="18">
        <f>IF(OR($A129="",$I129=0),"",$D129/$I129)</f>
        <v/>
      </c>
      <c r="L129" s="18">
        <f>IF($A129="","",$D129-$F129)</f>
        <v/>
      </c>
      <c r="M129" s="18">
        <f>IF($A129="","",$I129*(1+$G129))</f>
        <v/>
      </c>
      <c r="N129" s="18">
        <f>IF($A129="","",MAX(0,MIN(100,kpg_kaliteTaban-IF($J129&lt;kpg_esikDoluluk,kpg_kaliteCeza,0)-IF($K129&lt;kpg_esikGetiri,kpg_kaliteSapma,0)-IF($Q129="YETIM",kpg_kaliteCeza,0))))</f>
        <v/>
      </c>
      <c r="O129" s="18">
        <f>IF($A129="","",IF(OR($J129&lt;kpg_esikDoluluk,$K129&lt;kpg_esikGetiri,$N129&lt;kpg_esikSaglik),"ALARM","UYGUN"))</f>
        <v/>
      </c>
      <c r="P129" s="18">
        <f>IF($A129="","",1)</f>
        <v/>
      </c>
      <c r="Q129" s="18">
        <f>IF($A129="","",IF(OR($B129="",COUNTIF(tblVarliklar[VarlikId],$B129)=0),"YETIM","TAMAM"))</f>
        <v/>
      </c>
    </row>
    <row r="130">
      <c r="A130" s="15" t="n"/>
      <c r="B130" s="15" t="n"/>
      <c r="C130" s="60" t="n"/>
      <c r="D130" s="17" t="n"/>
      <c r="E130" s="20" t="n"/>
      <c r="F130" s="17" t="n"/>
      <c r="G130" s="61" t="n"/>
      <c r="H130" s="15" t="n"/>
      <c r="I130" s="18">
        <f>IF($A130="","",IFERROR(SUMIF(tblVarliklar[VarlikId],$B130,tblVarliklar[HedefKiraTl_tl]),kpg_varsayilanHedefKira))</f>
        <v/>
      </c>
      <c r="J130" s="18">
        <f>IF($A130="","",MAX(0, 1-$E130/kpg_gunAy))</f>
        <v/>
      </c>
      <c r="K130" s="18">
        <f>IF(OR($A130="",$I130=0),"",$D130/$I130)</f>
        <v/>
      </c>
      <c r="L130" s="18">
        <f>IF($A130="","",$D130-$F130)</f>
        <v/>
      </c>
      <c r="M130" s="18">
        <f>IF($A130="","",$I130*(1+$G130))</f>
        <v/>
      </c>
      <c r="N130" s="18">
        <f>IF($A130="","",MAX(0,MIN(100,kpg_kaliteTaban-IF($J130&lt;kpg_esikDoluluk,kpg_kaliteCeza,0)-IF($K130&lt;kpg_esikGetiri,kpg_kaliteSapma,0)-IF($Q130="YETIM",kpg_kaliteCeza,0))))</f>
        <v/>
      </c>
      <c r="O130" s="18">
        <f>IF($A130="","",IF(OR($J130&lt;kpg_esikDoluluk,$K130&lt;kpg_esikGetiri,$N130&lt;kpg_esikSaglik),"ALARM","UYGUN"))</f>
        <v/>
      </c>
      <c r="P130" s="18">
        <f>IF($A130="","",1)</f>
        <v/>
      </c>
      <c r="Q130" s="18">
        <f>IF($A130="","",IF(OR($B130="",COUNTIF(tblVarliklar[VarlikId],$B130)=0),"YETIM","TAMAM"))</f>
        <v/>
      </c>
    </row>
    <row r="131">
      <c r="A131" s="15" t="n"/>
      <c r="B131" s="15" t="n"/>
      <c r="C131" s="60" t="n"/>
      <c r="D131" s="17" t="n"/>
      <c r="E131" s="20" t="n"/>
      <c r="F131" s="17" t="n"/>
      <c r="G131" s="61" t="n"/>
      <c r="H131" s="15" t="n"/>
      <c r="I131" s="18">
        <f>IF($A131="","",IFERROR(SUMIF(tblVarliklar[VarlikId],$B131,tblVarliklar[HedefKiraTl_tl]),kpg_varsayilanHedefKira))</f>
        <v/>
      </c>
      <c r="J131" s="18">
        <f>IF($A131="","",MAX(0, 1-$E131/kpg_gunAy))</f>
        <v/>
      </c>
      <c r="K131" s="18">
        <f>IF(OR($A131="",$I131=0),"",$D131/$I131)</f>
        <v/>
      </c>
      <c r="L131" s="18">
        <f>IF($A131="","",$D131-$F131)</f>
        <v/>
      </c>
      <c r="M131" s="18">
        <f>IF($A131="","",$I131*(1+$G131))</f>
        <v/>
      </c>
      <c r="N131" s="18">
        <f>IF($A131="","",MAX(0,MIN(100,kpg_kaliteTaban-IF($J131&lt;kpg_esikDoluluk,kpg_kaliteCeza,0)-IF($K131&lt;kpg_esikGetiri,kpg_kaliteSapma,0)-IF($Q131="YETIM",kpg_kaliteCeza,0))))</f>
        <v/>
      </c>
      <c r="O131" s="18">
        <f>IF($A131="","",IF(OR($J131&lt;kpg_esikDoluluk,$K131&lt;kpg_esikGetiri,$N131&lt;kpg_esikSaglik),"ALARM","UYGUN"))</f>
        <v/>
      </c>
      <c r="P131" s="18">
        <f>IF($A131="","",1)</f>
        <v/>
      </c>
      <c r="Q131" s="18">
        <f>IF($A131="","",IF(OR($B131="",COUNTIF(tblVarliklar[VarlikId],$B131)=0),"YETIM","TAMAM"))</f>
        <v/>
      </c>
    </row>
    <row r="132">
      <c r="A132" s="15" t="n"/>
      <c r="B132" s="15" t="n"/>
      <c r="C132" s="60" t="n"/>
      <c r="D132" s="17" t="n"/>
      <c r="E132" s="20" t="n"/>
      <c r="F132" s="17" t="n"/>
      <c r="G132" s="61" t="n"/>
      <c r="H132" s="15" t="n"/>
      <c r="I132" s="18">
        <f>IF($A132="","",IFERROR(SUMIF(tblVarliklar[VarlikId],$B132,tblVarliklar[HedefKiraTl_tl]),kpg_varsayilanHedefKira))</f>
        <v/>
      </c>
      <c r="J132" s="18">
        <f>IF($A132="","",MAX(0, 1-$E132/kpg_gunAy))</f>
        <v/>
      </c>
      <c r="K132" s="18">
        <f>IF(OR($A132="",$I132=0),"",$D132/$I132)</f>
        <v/>
      </c>
      <c r="L132" s="18">
        <f>IF($A132="","",$D132-$F132)</f>
        <v/>
      </c>
      <c r="M132" s="18">
        <f>IF($A132="","",$I132*(1+$G132))</f>
        <v/>
      </c>
      <c r="N132" s="18">
        <f>IF($A132="","",MAX(0,MIN(100,kpg_kaliteTaban-IF($J132&lt;kpg_esikDoluluk,kpg_kaliteCeza,0)-IF($K132&lt;kpg_esikGetiri,kpg_kaliteSapma,0)-IF($Q132="YETIM",kpg_kaliteCeza,0))))</f>
        <v/>
      </c>
      <c r="O132" s="18">
        <f>IF($A132="","",IF(OR($J132&lt;kpg_esikDoluluk,$K132&lt;kpg_esikGetiri,$N132&lt;kpg_esikSaglik),"ALARM","UYGUN"))</f>
        <v/>
      </c>
      <c r="P132" s="18">
        <f>IF($A132="","",1)</f>
        <v/>
      </c>
      <c r="Q132" s="18">
        <f>IF($A132="","",IF(OR($B132="",COUNTIF(tblVarliklar[VarlikId],$B132)=0),"YETIM","TAMAM"))</f>
        <v/>
      </c>
    </row>
    <row r="133">
      <c r="A133" s="15" t="n"/>
      <c r="B133" s="15" t="n"/>
      <c r="C133" s="60" t="n"/>
      <c r="D133" s="17" t="n"/>
      <c r="E133" s="20" t="n"/>
      <c r="F133" s="17" t="n"/>
      <c r="G133" s="61" t="n"/>
      <c r="H133" s="15" t="n"/>
      <c r="I133" s="18">
        <f>IF($A133="","",IFERROR(SUMIF(tblVarliklar[VarlikId],$B133,tblVarliklar[HedefKiraTl_tl]),kpg_varsayilanHedefKira))</f>
        <v/>
      </c>
      <c r="J133" s="18">
        <f>IF($A133="","",MAX(0, 1-$E133/kpg_gunAy))</f>
        <v/>
      </c>
      <c r="K133" s="18">
        <f>IF(OR($A133="",$I133=0),"",$D133/$I133)</f>
        <v/>
      </c>
      <c r="L133" s="18">
        <f>IF($A133="","",$D133-$F133)</f>
        <v/>
      </c>
      <c r="M133" s="18">
        <f>IF($A133="","",$I133*(1+$G133))</f>
        <v/>
      </c>
      <c r="N133" s="18">
        <f>IF($A133="","",MAX(0,MIN(100,kpg_kaliteTaban-IF($J133&lt;kpg_esikDoluluk,kpg_kaliteCeza,0)-IF($K133&lt;kpg_esikGetiri,kpg_kaliteSapma,0)-IF($Q133="YETIM",kpg_kaliteCeza,0))))</f>
        <v/>
      </c>
      <c r="O133" s="18">
        <f>IF($A133="","",IF(OR($J133&lt;kpg_esikDoluluk,$K133&lt;kpg_esikGetiri,$N133&lt;kpg_esikSaglik),"ALARM","UYGUN"))</f>
        <v/>
      </c>
      <c r="P133" s="18">
        <f>IF($A133="","",1)</f>
        <v/>
      </c>
      <c r="Q133" s="18">
        <f>IF($A133="","",IF(OR($B133="",COUNTIF(tblVarliklar[VarlikId],$B133)=0),"YETIM","TAMAM"))</f>
        <v/>
      </c>
    </row>
    <row r="134">
      <c r="A134" s="15" t="n"/>
      <c r="B134" s="15" t="n"/>
      <c r="C134" s="60" t="n"/>
      <c r="D134" s="17" t="n"/>
      <c r="E134" s="20" t="n"/>
      <c r="F134" s="17" t="n"/>
      <c r="G134" s="61" t="n"/>
      <c r="H134" s="15" t="n"/>
      <c r="I134" s="18">
        <f>IF($A134="","",IFERROR(SUMIF(tblVarliklar[VarlikId],$B134,tblVarliklar[HedefKiraTl_tl]),kpg_varsayilanHedefKira))</f>
        <v/>
      </c>
      <c r="J134" s="18">
        <f>IF($A134="","",MAX(0, 1-$E134/kpg_gunAy))</f>
        <v/>
      </c>
      <c r="K134" s="18">
        <f>IF(OR($A134="",$I134=0),"",$D134/$I134)</f>
        <v/>
      </c>
      <c r="L134" s="18">
        <f>IF($A134="","",$D134-$F134)</f>
        <v/>
      </c>
      <c r="M134" s="18">
        <f>IF($A134="","",$I134*(1+$G134))</f>
        <v/>
      </c>
      <c r="N134" s="18">
        <f>IF($A134="","",MAX(0,MIN(100,kpg_kaliteTaban-IF($J134&lt;kpg_esikDoluluk,kpg_kaliteCeza,0)-IF($K134&lt;kpg_esikGetiri,kpg_kaliteSapma,0)-IF($Q134="YETIM",kpg_kaliteCeza,0))))</f>
        <v/>
      </c>
      <c r="O134" s="18">
        <f>IF($A134="","",IF(OR($J134&lt;kpg_esikDoluluk,$K134&lt;kpg_esikGetiri,$N134&lt;kpg_esikSaglik),"ALARM","UYGUN"))</f>
        <v/>
      </c>
      <c r="P134" s="18">
        <f>IF($A134="","",1)</f>
        <v/>
      </c>
      <c r="Q134" s="18">
        <f>IF($A134="","",IF(OR($B134="",COUNTIF(tblVarliklar[VarlikId],$B134)=0),"YETIM","TAMAM"))</f>
        <v/>
      </c>
    </row>
    <row r="135">
      <c r="A135" s="15" t="n"/>
      <c r="B135" s="15" t="n"/>
      <c r="C135" s="60" t="n"/>
      <c r="D135" s="17" t="n"/>
      <c r="E135" s="20" t="n"/>
      <c r="F135" s="17" t="n"/>
      <c r="G135" s="61" t="n"/>
      <c r="H135" s="15" t="n"/>
      <c r="I135" s="18">
        <f>IF($A135="","",IFERROR(SUMIF(tblVarliklar[VarlikId],$B135,tblVarliklar[HedefKiraTl_tl]),kpg_varsayilanHedefKira))</f>
        <v/>
      </c>
      <c r="J135" s="18">
        <f>IF($A135="","",MAX(0, 1-$E135/kpg_gunAy))</f>
        <v/>
      </c>
      <c r="K135" s="18">
        <f>IF(OR($A135="",$I135=0),"",$D135/$I135)</f>
        <v/>
      </c>
      <c r="L135" s="18">
        <f>IF($A135="","",$D135-$F135)</f>
        <v/>
      </c>
      <c r="M135" s="18">
        <f>IF($A135="","",$I135*(1+$G135))</f>
        <v/>
      </c>
      <c r="N135" s="18">
        <f>IF($A135="","",MAX(0,MIN(100,kpg_kaliteTaban-IF($J135&lt;kpg_esikDoluluk,kpg_kaliteCeza,0)-IF($K135&lt;kpg_esikGetiri,kpg_kaliteSapma,0)-IF($Q135="YETIM",kpg_kaliteCeza,0))))</f>
        <v/>
      </c>
      <c r="O135" s="18">
        <f>IF($A135="","",IF(OR($J135&lt;kpg_esikDoluluk,$K135&lt;kpg_esikGetiri,$N135&lt;kpg_esikSaglik),"ALARM","UYGUN"))</f>
        <v/>
      </c>
      <c r="P135" s="18">
        <f>IF($A135="","",1)</f>
        <v/>
      </c>
      <c r="Q135" s="18">
        <f>IF($A135="","",IF(OR($B135="",COUNTIF(tblVarliklar[VarlikId],$B135)=0),"YETIM","TAMAM"))</f>
        <v/>
      </c>
    </row>
    <row r="136">
      <c r="A136" s="15" t="n"/>
      <c r="B136" s="15" t="n"/>
      <c r="C136" s="60" t="n"/>
      <c r="D136" s="17" t="n"/>
      <c r="E136" s="20" t="n"/>
      <c r="F136" s="17" t="n"/>
      <c r="G136" s="61" t="n"/>
      <c r="H136" s="15" t="n"/>
      <c r="I136" s="18">
        <f>IF($A136="","",IFERROR(SUMIF(tblVarliklar[VarlikId],$B136,tblVarliklar[HedefKiraTl_tl]),kpg_varsayilanHedefKira))</f>
        <v/>
      </c>
      <c r="J136" s="18">
        <f>IF($A136="","",MAX(0, 1-$E136/kpg_gunAy))</f>
        <v/>
      </c>
      <c r="K136" s="18">
        <f>IF(OR($A136="",$I136=0),"",$D136/$I136)</f>
        <v/>
      </c>
      <c r="L136" s="18">
        <f>IF($A136="","",$D136-$F136)</f>
        <v/>
      </c>
      <c r="M136" s="18">
        <f>IF($A136="","",$I136*(1+$G136))</f>
        <v/>
      </c>
      <c r="N136" s="18">
        <f>IF($A136="","",MAX(0,MIN(100,kpg_kaliteTaban-IF($J136&lt;kpg_esikDoluluk,kpg_kaliteCeza,0)-IF($K136&lt;kpg_esikGetiri,kpg_kaliteSapma,0)-IF($Q136="YETIM",kpg_kaliteCeza,0))))</f>
        <v/>
      </c>
      <c r="O136" s="18">
        <f>IF($A136="","",IF(OR($J136&lt;kpg_esikDoluluk,$K136&lt;kpg_esikGetiri,$N136&lt;kpg_esikSaglik),"ALARM","UYGUN"))</f>
        <v/>
      </c>
      <c r="P136" s="18">
        <f>IF($A136="","",1)</f>
        <v/>
      </c>
      <c r="Q136" s="18">
        <f>IF($A136="","",IF(OR($B136="",COUNTIF(tblVarliklar[VarlikId],$B136)=0),"YETIM","TAMAM"))</f>
        <v/>
      </c>
    </row>
    <row r="137">
      <c r="A137" s="15" t="n"/>
      <c r="B137" s="15" t="n"/>
      <c r="C137" s="60" t="n"/>
      <c r="D137" s="17" t="n"/>
      <c r="E137" s="20" t="n"/>
      <c r="F137" s="17" t="n"/>
      <c r="G137" s="61" t="n"/>
      <c r="H137" s="15" t="n"/>
      <c r="I137" s="18">
        <f>IF($A137="","",IFERROR(SUMIF(tblVarliklar[VarlikId],$B137,tblVarliklar[HedefKiraTl_tl]),kpg_varsayilanHedefKira))</f>
        <v/>
      </c>
      <c r="J137" s="18">
        <f>IF($A137="","",MAX(0, 1-$E137/kpg_gunAy))</f>
        <v/>
      </c>
      <c r="K137" s="18">
        <f>IF(OR($A137="",$I137=0),"",$D137/$I137)</f>
        <v/>
      </c>
      <c r="L137" s="18">
        <f>IF($A137="","",$D137-$F137)</f>
        <v/>
      </c>
      <c r="M137" s="18">
        <f>IF($A137="","",$I137*(1+$G137))</f>
        <v/>
      </c>
      <c r="N137" s="18">
        <f>IF($A137="","",MAX(0,MIN(100,kpg_kaliteTaban-IF($J137&lt;kpg_esikDoluluk,kpg_kaliteCeza,0)-IF($K137&lt;kpg_esikGetiri,kpg_kaliteSapma,0)-IF($Q137="YETIM",kpg_kaliteCeza,0))))</f>
        <v/>
      </c>
      <c r="O137" s="18">
        <f>IF($A137="","",IF(OR($J137&lt;kpg_esikDoluluk,$K137&lt;kpg_esikGetiri,$N137&lt;kpg_esikSaglik),"ALARM","UYGUN"))</f>
        <v/>
      </c>
      <c r="P137" s="18">
        <f>IF($A137="","",1)</f>
        <v/>
      </c>
      <c r="Q137" s="18">
        <f>IF($A137="","",IF(OR($B137="",COUNTIF(tblVarliklar[VarlikId],$B137)=0),"YETIM","TAMAM"))</f>
        <v/>
      </c>
    </row>
    <row r="138">
      <c r="A138" s="15" t="n"/>
      <c r="B138" s="15" t="n"/>
      <c r="C138" s="60" t="n"/>
      <c r="D138" s="17" t="n"/>
      <c r="E138" s="20" t="n"/>
      <c r="F138" s="17" t="n"/>
      <c r="G138" s="61" t="n"/>
      <c r="H138" s="15" t="n"/>
      <c r="I138" s="18">
        <f>IF($A138="","",IFERROR(SUMIF(tblVarliklar[VarlikId],$B138,tblVarliklar[HedefKiraTl_tl]),kpg_varsayilanHedefKira))</f>
        <v/>
      </c>
      <c r="J138" s="18">
        <f>IF($A138="","",MAX(0, 1-$E138/kpg_gunAy))</f>
        <v/>
      </c>
      <c r="K138" s="18">
        <f>IF(OR($A138="",$I138=0),"",$D138/$I138)</f>
        <v/>
      </c>
      <c r="L138" s="18">
        <f>IF($A138="","",$D138-$F138)</f>
        <v/>
      </c>
      <c r="M138" s="18">
        <f>IF($A138="","",$I138*(1+$G138))</f>
        <v/>
      </c>
      <c r="N138" s="18">
        <f>IF($A138="","",MAX(0,MIN(100,kpg_kaliteTaban-IF($J138&lt;kpg_esikDoluluk,kpg_kaliteCeza,0)-IF($K138&lt;kpg_esikGetiri,kpg_kaliteSapma,0)-IF($Q138="YETIM",kpg_kaliteCeza,0))))</f>
        <v/>
      </c>
      <c r="O138" s="18">
        <f>IF($A138="","",IF(OR($J138&lt;kpg_esikDoluluk,$K138&lt;kpg_esikGetiri,$N138&lt;kpg_esikSaglik),"ALARM","UYGUN"))</f>
        <v/>
      </c>
      <c r="P138" s="18">
        <f>IF($A138="","",1)</f>
        <v/>
      </c>
      <c r="Q138" s="18">
        <f>IF($A138="","",IF(OR($B138="",COUNTIF(tblVarliklar[VarlikId],$B138)=0),"YETIM","TAMAM"))</f>
        <v/>
      </c>
    </row>
    <row r="139">
      <c r="A139" s="15" t="n"/>
      <c r="B139" s="15" t="n"/>
      <c r="C139" s="60" t="n"/>
      <c r="D139" s="17" t="n"/>
      <c r="E139" s="20" t="n"/>
      <c r="F139" s="17" t="n"/>
      <c r="G139" s="61" t="n"/>
      <c r="H139" s="15" t="n"/>
      <c r="I139" s="18">
        <f>IF($A139="","",IFERROR(SUMIF(tblVarliklar[VarlikId],$B139,tblVarliklar[HedefKiraTl_tl]),kpg_varsayilanHedefKira))</f>
        <v/>
      </c>
      <c r="J139" s="18">
        <f>IF($A139="","",MAX(0, 1-$E139/kpg_gunAy))</f>
        <v/>
      </c>
      <c r="K139" s="18">
        <f>IF(OR($A139="",$I139=0),"",$D139/$I139)</f>
        <v/>
      </c>
      <c r="L139" s="18">
        <f>IF($A139="","",$D139-$F139)</f>
        <v/>
      </c>
      <c r="M139" s="18">
        <f>IF($A139="","",$I139*(1+$G139))</f>
        <v/>
      </c>
      <c r="N139" s="18">
        <f>IF($A139="","",MAX(0,MIN(100,kpg_kaliteTaban-IF($J139&lt;kpg_esikDoluluk,kpg_kaliteCeza,0)-IF($K139&lt;kpg_esikGetiri,kpg_kaliteSapma,0)-IF($Q139="YETIM",kpg_kaliteCeza,0))))</f>
        <v/>
      </c>
      <c r="O139" s="18">
        <f>IF($A139="","",IF(OR($J139&lt;kpg_esikDoluluk,$K139&lt;kpg_esikGetiri,$N139&lt;kpg_esikSaglik),"ALARM","UYGUN"))</f>
        <v/>
      </c>
      <c r="P139" s="18">
        <f>IF($A139="","",1)</f>
        <v/>
      </c>
      <c r="Q139" s="18">
        <f>IF($A139="","",IF(OR($B139="",COUNTIF(tblVarliklar[VarlikId],$B139)=0),"YETIM","TAMAM"))</f>
        <v/>
      </c>
    </row>
    <row r="140">
      <c r="A140" s="15" t="n"/>
      <c r="B140" s="15" t="n"/>
      <c r="C140" s="60" t="n"/>
      <c r="D140" s="17" t="n"/>
      <c r="E140" s="20" t="n"/>
      <c r="F140" s="17" t="n"/>
      <c r="G140" s="61" t="n"/>
      <c r="H140" s="15" t="n"/>
      <c r="I140" s="18">
        <f>IF($A140="","",IFERROR(SUMIF(tblVarliklar[VarlikId],$B140,tblVarliklar[HedefKiraTl_tl]),kpg_varsayilanHedefKira))</f>
        <v/>
      </c>
      <c r="J140" s="18">
        <f>IF($A140="","",MAX(0, 1-$E140/kpg_gunAy))</f>
        <v/>
      </c>
      <c r="K140" s="18">
        <f>IF(OR($A140="",$I140=0),"",$D140/$I140)</f>
        <v/>
      </c>
      <c r="L140" s="18">
        <f>IF($A140="","",$D140-$F140)</f>
        <v/>
      </c>
      <c r="M140" s="18">
        <f>IF($A140="","",$I140*(1+$G140))</f>
        <v/>
      </c>
      <c r="N140" s="18">
        <f>IF($A140="","",MAX(0,MIN(100,kpg_kaliteTaban-IF($J140&lt;kpg_esikDoluluk,kpg_kaliteCeza,0)-IF($K140&lt;kpg_esikGetiri,kpg_kaliteSapma,0)-IF($Q140="YETIM",kpg_kaliteCeza,0))))</f>
        <v/>
      </c>
      <c r="O140" s="18">
        <f>IF($A140="","",IF(OR($J140&lt;kpg_esikDoluluk,$K140&lt;kpg_esikGetiri,$N140&lt;kpg_esikSaglik),"ALARM","UYGUN"))</f>
        <v/>
      </c>
      <c r="P140" s="18">
        <f>IF($A140="","",1)</f>
        <v/>
      </c>
      <c r="Q140" s="18">
        <f>IF($A140="","",IF(OR($B140="",COUNTIF(tblVarliklar[VarlikId],$B140)=0),"YETIM","TAMAM"))</f>
        <v/>
      </c>
    </row>
    <row r="141">
      <c r="A141" s="15" t="n"/>
      <c r="B141" s="15" t="n"/>
      <c r="C141" s="60" t="n"/>
      <c r="D141" s="17" t="n"/>
      <c r="E141" s="20" t="n"/>
      <c r="F141" s="17" t="n"/>
      <c r="G141" s="61" t="n"/>
      <c r="H141" s="15" t="n"/>
      <c r="I141" s="18">
        <f>IF($A141="","",IFERROR(SUMIF(tblVarliklar[VarlikId],$B141,tblVarliklar[HedefKiraTl_tl]),kpg_varsayilanHedefKira))</f>
        <v/>
      </c>
      <c r="J141" s="18">
        <f>IF($A141="","",MAX(0, 1-$E141/kpg_gunAy))</f>
        <v/>
      </c>
      <c r="K141" s="18">
        <f>IF(OR($A141="",$I141=0),"",$D141/$I141)</f>
        <v/>
      </c>
      <c r="L141" s="18">
        <f>IF($A141="","",$D141-$F141)</f>
        <v/>
      </c>
      <c r="M141" s="18">
        <f>IF($A141="","",$I141*(1+$G141))</f>
        <v/>
      </c>
      <c r="N141" s="18">
        <f>IF($A141="","",MAX(0,MIN(100,kpg_kaliteTaban-IF($J141&lt;kpg_esikDoluluk,kpg_kaliteCeza,0)-IF($K141&lt;kpg_esikGetiri,kpg_kaliteSapma,0)-IF($Q141="YETIM",kpg_kaliteCeza,0))))</f>
        <v/>
      </c>
      <c r="O141" s="18">
        <f>IF($A141="","",IF(OR($J141&lt;kpg_esikDoluluk,$K141&lt;kpg_esikGetiri,$N141&lt;kpg_esikSaglik),"ALARM","UYGUN"))</f>
        <v/>
      </c>
      <c r="P141" s="18">
        <f>IF($A141="","",1)</f>
        <v/>
      </c>
      <c r="Q141" s="18">
        <f>IF($A141="","",IF(OR($B141="",COUNTIF(tblVarliklar[VarlikId],$B141)=0),"YETIM","TAMAM"))</f>
        <v/>
      </c>
    </row>
    <row r="142">
      <c r="A142" s="15" t="n"/>
      <c r="B142" s="15" t="n"/>
      <c r="C142" s="60" t="n"/>
      <c r="D142" s="17" t="n"/>
      <c r="E142" s="20" t="n"/>
      <c r="F142" s="17" t="n"/>
      <c r="G142" s="61" t="n"/>
      <c r="H142" s="15" t="n"/>
      <c r="I142" s="18">
        <f>IF($A142="","",IFERROR(SUMIF(tblVarliklar[VarlikId],$B142,tblVarliklar[HedefKiraTl_tl]),kpg_varsayilanHedefKira))</f>
        <v/>
      </c>
      <c r="J142" s="18">
        <f>IF($A142="","",MAX(0, 1-$E142/kpg_gunAy))</f>
        <v/>
      </c>
      <c r="K142" s="18">
        <f>IF(OR($A142="",$I142=0),"",$D142/$I142)</f>
        <v/>
      </c>
      <c r="L142" s="18">
        <f>IF($A142="","",$D142-$F142)</f>
        <v/>
      </c>
      <c r="M142" s="18">
        <f>IF($A142="","",$I142*(1+$G142))</f>
        <v/>
      </c>
      <c r="N142" s="18">
        <f>IF($A142="","",MAX(0,MIN(100,kpg_kaliteTaban-IF($J142&lt;kpg_esikDoluluk,kpg_kaliteCeza,0)-IF($K142&lt;kpg_esikGetiri,kpg_kaliteSapma,0)-IF($Q142="YETIM",kpg_kaliteCeza,0))))</f>
        <v/>
      </c>
      <c r="O142" s="18">
        <f>IF($A142="","",IF(OR($J142&lt;kpg_esikDoluluk,$K142&lt;kpg_esikGetiri,$N142&lt;kpg_esikSaglik),"ALARM","UYGUN"))</f>
        <v/>
      </c>
      <c r="P142" s="18">
        <f>IF($A142="","",1)</f>
        <v/>
      </c>
      <c r="Q142" s="18">
        <f>IF($A142="","",IF(OR($B142="",COUNTIF(tblVarliklar[VarlikId],$B142)=0),"YETIM","TAMAM"))</f>
        <v/>
      </c>
    </row>
    <row r="143">
      <c r="A143" s="15" t="n"/>
      <c r="B143" s="15" t="n"/>
      <c r="C143" s="60" t="n"/>
      <c r="D143" s="17" t="n"/>
      <c r="E143" s="20" t="n"/>
      <c r="F143" s="17" t="n"/>
      <c r="G143" s="61" t="n"/>
      <c r="H143" s="15" t="n"/>
      <c r="I143" s="18">
        <f>IF($A143="","",IFERROR(SUMIF(tblVarliklar[VarlikId],$B143,tblVarliklar[HedefKiraTl_tl]),kpg_varsayilanHedefKira))</f>
        <v/>
      </c>
      <c r="J143" s="18">
        <f>IF($A143="","",MAX(0, 1-$E143/kpg_gunAy))</f>
        <v/>
      </c>
      <c r="K143" s="18">
        <f>IF(OR($A143="",$I143=0),"",$D143/$I143)</f>
        <v/>
      </c>
      <c r="L143" s="18">
        <f>IF($A143="","",$D143-$F143)</f>
        <v/>
      </c>
      <c r="M143" s="18">
        <f>IF($A143="","",$I143*(1+$G143))</f>
        <v/>
      </c>
      <c r="N143" s="18">
        <f>IF($A143="","",MAX(0,MIN(100,kpg_kaliteTaban-IF($J143&lt;kpg_esikDoluluk,kpg_kaliteCeza,0)-IF($K143&lt;kpg_esikGetiri,kpg_kaliteSapma,0)-IF($Q143="YETIM",kpg_kaliteCeza,0))))</f>
        <v/>
      </c>
      <c r="O143" s="18">
        <f>IF($A143="","",IF(OR($J143&lt;kpg_esikDoluluk,$K143&lt;kpg_esikGetiri,$N143&lt;kpg_esikSaglik),"ALARM","UYGUN"))</f>
        <v/>
      </c>
      <c r="P143" s="18">
        <f>IF($A143="","",1)</f>
        <v/>
      </c>
      <c r="Q143" s="18">
        <f>IF($A143="","",IF(OR($B143="",COUNTIF(tblVarliklar[VarlikId],$B143)=0),"YETIM","TAMAM"))</f>
        <v/>
      </c>
    </row>
    <row r="144">
      <c r="A144" s="15" t="n"/>
      <c r="B144" s="15" t="n"/>
      <c r="C144" s="60" t="n"/>
      <c r="D144" s="17" t="n"/>
      <c r="E144" s="20" t="n"/>
      <c r="F144" s="17" t="n"/>
      <c r="G144" s="61" t="n"/>
      <c r="H144" s="15" t="n"/>
      <c r="I144" s="18">
        <f>IF($A144="","",IFERROR(SUMIF(tblVarliklar[VarlikId],$B144,tblVarliklar[HedefKiraTl_tl]),kpg_varsayilanHedefKira))</f>
        <v/>
      </c>
      <c r="J144" s="18">
        <f>IF($A144="","",MAX(0, 1-$E144/kpg_gunAy))</f>
        <v/>
      </c>
      <c r="K144" s="18">
        <f>IF(OR($A144="",$I144=0),"",$D144/$I144)</f>
        <v/>
      </c>
      <c r="L144" s="18">
        <f>IF($A144="","",$D144-$F144)</f>
        <v/>
      </c>
      <c r="M144" s="18">
        <f>IF($A144="","",$I144*(1+$G144))</f>
        <v/>
      </c>
      <c r="N144" s="18">
        <f>IF($A144="","",MAX(0,MIN(100,kpg_kaliteTaban-IF($J144&lt;kpg_esikDoluluk,kpg_kaliteCeza,0)-IF($K144&lt;kpg_esikGetiri,kpg_kaliteSapma,0)-IF($Q144="YETIM",kpg_kaliteCeza,0))))</f>
        <v/>
      </c>
      <c r="O144" s="18">
        <f>IF($A144="","",IF(OR($J144&lt;kpg_esikDoluluk,$K144&lt;kpg_esikGetiri,$N144&lt;kpg_esikSaglik),"ALARM","UYGUN"))</f>
        <v/>
      </c>
      <c r="P144" s="18">
        <f>IF($A144="","",1)</f>
        <v/>
      </c>
      <c r="Q144" s="18">
        <f>IF($A144="","",IF(OR($B144="",COUNTIF(tblVarliklar[VarlikId],$B144)=0),"YETIM","TAMAM"))</f>
        <v/>
      </c>
    </row>
    <row r="145">
      <c r="A145" s="15" t="n"/>
      <c r="B145" s="15" t="n"/>
      <c r="C145" s="60" t="n"/>
      <c r="D145" s="17" t="n"/>
      <c r="E145" s="20" t="n"/>
      <c r="F145" s="17" t="n"/>
      <c r="G145" s="61" t="n"/>
      <c r="H145" s="15" t="n"/>
      <c r="I145" s="18">
        <f>IF($A145="","",IFERROR(SUMIF(tblVarliklar[VarlikId],$B145,tblVarliklar[HedefKiraTl_tl]),kpg_varsayilanHedefKira))</f>
        <v/>
      </c>
      <c r="J145" s="18">
        <f>IF($A145="","",MAX(0, 1-$E145/kpg_gunAy))</f>
        <v/>
      </c>
      <c r="K145" s="18">
        <f>IF(OR($A145="",$I145=0),"",$D145/$I145)</f>
        <v/>
      </c>
      <c r="L145" s="18">
        <f>IF($A145="","",$D145-$F145)</f>
        <v/>
      </c>
      <c r="M145" s="18">
        <f>IF($A145="","",$I145*(1+$G145))</f>
        <v/>
      </c>
      <c r="N145" s="18">
        <f>IF($A145="","",MAX(0,MIN(100,kpg_kaliteTaban-IF($J145&lt;kpg_esikDoluluk,kpg_kaliteCeza,0)-IF($K145&lt;kpg_esikGetiri,kpg_kaliteSapma,0)-IF($Q145="YETIM",kpg_kaliteCeza,0))))</f>
        <v/>
      </c>
      <c r="O145" s="18">
        <f>IF($A145="","",IF(OR($J145&lt;kpg_esikDoluluk,$K145&lt;kpg_esikGetiri,$N145&lt;kpg_esikSaglik),"ALARM","UYGUN"))</f>
        <v/>
      </c>
      <c r="P145" s="18">
        <f>IF($A145="","",1)</f>
        <v/>
      </c>
      <c r="Q145" s="18">
        <f>IF($A145="","",IF(OR($B145="",COUNTIF(tblVarliklar[VarlikId],$B145)=0),"YETIM","TAMAM"))</f>
        <v/>
      </c>
    </row>
    <row r="146">
      <c r="A146" s="15" t="n"/>
      <c r="B146" s="15" t="n"/>
      <c r="C146" s="60" t="n"/>
      <c r="D146" s="17" t="n"/>
      <c r="E146" s="20" t="n"/>
      <c r="F146" s="17" t="n"/>
      <c r="G146" s="61" t="n"/>
      <c r="H146" s="15" t="n"/>
      <c r="I146" s="18">
        <f>IF($A146="","",IFERROR(SUMIF(tblVarliklar[VarlikId],$B146,tblVarliklar[HedefKiraTl_tl]),kpg_varsayilanHedefKira))</f>
        <v/>
      </c>
      <c r="J146" s="18">
        <f>IF($A146="","",MAX(0, 1-$E146/kpg_gunAy))</f>
        <v/>
      </c>
      <c r="K146" s="18">
        <f>IF(OR($A146="",$I146=0),"",$D146/$I146)</f>
        <v/>
      </c>
      <c r="L146" s="18">
        <f>IF($A146="","",$D146-$F146)</f>
        <v/>
      </c>
      <c r="M146" s="18">
        <f>IF($A146="","",$I146*(1+$G146))</f>
        <v/>
      </c>
      <c r="N146" s="18">
        <f>IF($A146="","",MAX(0,MIN(100,kpg_kaliteTaban-IF($J146&lt;kpg_esikDoluluk,kpg_kaliteCeza,0)-IF($K146&lt;kpg_esikGetiri,kpg_kaliteSapma,0)-IF($Q146="YETIM",kpg_kaliteCeza,0))))</f>
        <v/>
      </c>
      <c r="O146" s="18">
        <f>IF($A146="","",IF(OR($J146&lt;kpg_esikDoluluk,$K146&lt;kpg_esikGetiri,$N146&lt;kpg_esikSaglik),"ALARM","UYGUN"))</f>
        <v/>
      </c>
      <c r="P146" s="18">
        <f>IF($A146="","",1)</f>
        <v/>
      </c>
      <c r="Q146" s="18">
        <f>IF($A146="","",IF(OR($B146="",COUNTIF(tblVarliklar[VarlikId],$B146)=0),"YETIM","TAMAM"))</f>
        <v/>
      </c>
    </row>
    <row r="147">
      <c r="A147" s="15" t="n"/>
      <c r="B147" s="15" t="n"/>
      <c r="C147" s="60" t="n"/>
      <c r="D147" s="17" t="n"/>
      <c r="E147" s="20" t="n"/>
      <c r="F147" s="17" t="n"/>
      <c r="G147" s="61" t="n"/>
      <c r="H147" s="15" t="n"/>
      <c r="I147" s="18">
        <f>IF($A147="","",IFERROR(SUMIF(tblVarliklar[VarlikId],$B147,tblVarliklar[HedefKiraTl_tl]),kpg_varsayilanHedefKira))</f>
        <v/>
      </c>
      <c r="J147" s="18">
        <f>IF($A147="","",MAX(0, 1-$E147/kpg_gunAy))</f>
        <v/>
      </c>
      <c r="K147" s="18">
        <f>IF(OR($A147="",$I147=0),"",$D147/$I147)</f>
        <v/>
      </c>
      <c r="L147" s="18">
        <f>IF($A147="","",$D147-$F147)</f>
        <v/>
      </c>
      <c r="M147" s="18">
        <f>IF($A147="","",$I147*(1+$G147))</f>
        <v/>
      </c>
      <c r="N147" s="18">
        <f>IF($A147="","",MAX(0,MIN(100,kpg_kaliteTaban-IF($J147&lt;kpg_esikDoluluk,kpg_kaliteCeza,0)-IF($K147&lt;kpg_esikGetiri,kpg_kaliteSapma,0)-IF($Q147="YETIM",kpg_kaliteCeza,0))))</f>
        <v/>
      </c>
      <c r="O147" s="18">
        <f>IF($A147="","",IF(OR($J147&lt;kpg_esikDoluluk,$K147&lt;kpg_esikGetiri,$N147&lt;kpg_esikSaglik),"ALARM","UYGUN"))</f>
        <v/>
      </c>
      <c r="P147" s="18">
        <f>IF($A147="","",1)</f>
        <v/>
      </c>
      <c r="Q147" s="18">
        <f>IF($A147="","",IF(OR($B147="",COUNTIF(tblVarliklar[VarlikId],$B147)=0),"YETIM","TAMAM"))</f>
        <v/>
      </c>
    </row>
    <row r="148">
      <c r="A148" s="15" t="n"/>
      <c r="B148" s="15" t="n"/>
      <c r="C148" s="60" t="n"/>
      <c r="D148" s="17" t="n"/>
      <c r="E148" s="20" t="n"/>
      <c r="F148" s="17" t="n"/>
      <c r="G148" s="61" t="n"/>
      <c r="H148" s="15" t="n"/>
      <c r="I148" s="18">
        <f>IF($A148="","",IFERROR(SUMIF(tblVarliklar[VarlikId],$B148,tblVarliklar[HedefKiraTl_tl]),kpg_varsayilanHedefKira))</f>
        <v/>
      </c>
      <c r="J148" s="18">
        <f>IF($A148="","",MAX(0, 1-$E148/kpg_gunAy))</f>
        <v/>
      </c>
      <c r="K148" s="18">
        <f>IF(OR($A148="",$I148=0),"",$D148/$I148)</f>
        <v/>
      </c>
      <c r="L148" s="18">
        <f>IF($A148="","",$D148-$F148)</f>
        <v/>
      </c>
      <c r="M148" s="18">
        <f>IF($A148="","",$I148*(1+$G148))</f>
        <v/>
      </c>
      <c r="N148" s="18">
        <f>IF($A148="","",MAX(0,MIN(100,kpg_kaliteTaban-IF($J148&lt;kpg_esikDoluluk,kpg_kaliteCeza,0)-IF($K148&lt;kpg_esikGetiri,kpg_kaliteSapma,0)-IF($Q148="YETIM",kpg_kaliteCeza,0))))</f>
        <v/>
      </c>
      <c r="O148" s="18">
        <f>IF($A148="","",IF(OR($J148&lt;kpg_esikDoluluk,$K148&lt;kpg_esikGetiri,$N148&lt;kpg_esikSaglik),"ALARM","UYGUN"))</f>
        <v/>
      </c>
      <c r="P148" s="18">
        <f>IF($A148="","",1)</f>
        <v/>
      </c>
      <c r="Q148" s="18">
        <f>IF($A148="","",IF(OR($B148="",COUNTIF(tblVarliklar[VarlikId],$B148)=0),"YETIM","TAMAM"))</f>
        <v/>
      </c>
    </row>
    <row r="149">
      <c r="A149" s="15" t="n"/>
      <c r="B149" s="15" t="n"/>
      <c r="C149" s="60" t="n"/>
      <c r="D149" s="17" t="n"/>
      <c r="E149" s="20" t="n"/>
      <c r="F149" s="17" t="n"/>
      <c r="G149" s="61" t="n"/>
      <c r="H149" s="15" t="n"/>
      <c r="I149" s="18">
        <f>IF($A149="","",IFERROR(SUMIF(tblVarliklar[VarlikId],$B149,tblVarliklar[HedefKiraTl_tl]),kpg_varsayilanHedefKira))</f>
        <v/>
      </c>
      <c r="J149" s="18">
        <f>IF($A149="","",MAX(0, 1-$E149/kpg_gunAy))</f>
        <v/>
      </c>
      <c r="K149" s="18">
        <f>IF(OR($A149="",$I149=0),"",$D149/$I149)</f>
        <v/>
      </c>
      <c r="L149" s="18">
        <f>IF($A149="","",$D149-$F149)</f>
        <v/>
      </c>
      <c r="M149" s="18">
        <f>IF($A149="","",$I149*(1+$G149))</f>
        <v/>
      </c>
      <c r="N149" s="18">
        <f>IF($A149="","",MAX(0,MIN(100,kpg_kaliteTaban-IF($J149&lt;kpg_esikDoluluk,kpg_kaliteCeza,0)-IF($K149&lt;kpg_esikGetiri,kpg_kaliteSapma,0)-IF($Q149="YETIM",kpg_kaliteCeza,0))))</f>
        <v/>
      </c>
      <c r="O149" s="18">
        <f>IF($A149="","",IF(OR($J149&lt;kpg_esikDoluluk,$K149&lt;kpg_esikGetiri,$N149&lt;kpg_esikSaglik),"ALARM","UYGUN"))</f>
        <v/>
      </c>
      <c r="P149" s="18">
        <f>IF($A149="","",1)</f>
        <v/>
      </c>
      <c r="Q149" s="18">
        <f>IF($A149="","",IF(OR($B149="",COUNTIF(tblVarliklar[VarlikId],$B149)=0),"YETIM","TAMAM"))</f>
        <v/>
      </c>
    </row>
    <row r="150">
      <c r="A150" s="15" t="n"/>
      <c r="B150" s="15" t="n"/>
      <c r="C150" s="60" t="n"/>
      <c r="D150" s="17" t="n"/>
      <c r="E150" s="20" t="n"/>
      <c r="F150" s="17" t="n"/>
      <c r="G150" s="61" t="n"/>
      <c r="H150" s="15" t="n"/>
      <c r="I150" s="18">
        <f>IF($A150="","",IFERROR(SUMIF(tblVarliklar[VarlikId],$B150,tblVarliklar[HedefKiraTl_tl]),kpg_varsayilanHedefKira))</f>
        <v/>
      </c>
      <c r="J150" s="18">
        <f>IF($A150="","",MAX(0, 1-$E150/kpg_gunAy))</f>
        <v/>
      </c>
      <c r="K150" s="18">
        <f>IF(OR($A150="",$I150=0),"",$D150/$I150)</f>
        <v/>
      </c>
      <c r="L150" s="18">
        <f>IF($A150="","",$D150-$F150)</f>
        <v/>
      </c>
      <c r="M150" s="18">
        <f>IF($A150="","",$I150*(1+$G150))</f>
        <v/>
      </c>
      <c r="N150" s="18">
        <f>IF($A150="","",MAX(0,MIN(100,kpg_kaliteTaban-IF($J150&lt;kpg_esikDoluluk,kpg_kaliteCeza,0)-IF($K150&lt;kpg_esikGetiri,kpg_kaliteSapma,0)-IF($Q150="YETIM",kpg_kaliteCeza,0))))</f>
        <v/>
      </c>
      <c r="O150" s="18">
        <f>IF($A150="","",IF(OR($J150&lt;kpg_esikDoluluk,$K150&lt;kpg_esikGetiri,$N150&lt;kpg_esikSaglik),"ALARM","UYGUN"))</f>
        <v/>
      </c>
      <c r="P150" s="18">
        <f>IF($A150="","",1)</f>
        <v/>
      </c>
      <c r="Q150" s="18">
        <f>IF($A150="","",IF(OR($B150="",COUNTIF(tblVarliklar[VarlikId],$B150)=0),"YETIM","TAMAM"))</f>
        <v/>
      </c>
    </row>
    <row r="151">
      <c r="A151" s="15" t="n"/>
      <c r="B151" s="15" t="n"/>
      <c r="C151" s="60" t="n"/>
      <c r="D151" s="17" t="n"/>
      <c r="E151" s="20" t="n"/>
      <c r="F151" s="17" t="n"/>
      <c r="G151" s="61" t="n"/>
      <c r="H151" s="15" t="n"/>
      <c r="I151" s="18">
        <f>IF($A151="","",IFERROR(SUMIF(tblVarliklar[VarlikId],$B151,tblVarliklar[HedefKiraTl_tl]),kpg_varsayilanHedefKira))</f>
        <v/>
      </c>
      <c r="J151" s="18">
        <f>IF($A151="","",MAX(0, 1-$E151/kpg_gunAy))</f>
        <v/>
      </c>
      <c r="K151" s="18">
        <f>IF(OR($A151="",$I151=0),"",$D151/$I151)</f>
        <v/>
      </c>
      <c r="L151" s="18">
        <f>IF($A151="","",$D151-$F151)</f>
        <v/>
      </c>
      <c r="M151" s="18">
        <f>IF($A151="","",$I151*(1+$G151))</f>
        <v/>
      </c>
      <c r="N151" s="18">
        <f>IF($A151="","",MAX(0,MIN(100,kpg_kaliteTaban-IF($J151&lt;kpg_esikDoluluk,kpg_kaliteCeza,0)-IF($K151&lt;kpg_esikGetiri,kpg_kaliteSapma,0)-IF($Q151="YETIM",kpg_kaliteCeza,0))))</f>
        <v/>
      </c>
      <c r="O151" s="18">
        <f>IF($A151="","",IF(OR($J151&lt;kpg_esikDoluluk,$K151&lt;kpg_esikGetiri,$N151&lt;kpg_esikSaglik),"ALARM","UYGUN"))</f>
        <v/>
      </c>
      <c r="P151" s="18">
        <f>IF($A151="","",1)</f>
        <v/>
      </c>
      <c r="Q151" s="18">
        <f>IF($A151="","",IF(OR($B151="",COUNTIF(tblVarliklar[VarlikId],$B151)=0),"YETIM","TAMAM"))</f>
        <v/>
      </c>
    </row>
    <row r="152">
      <c r="A152" s="15" t="n"/>
      <c r="B152" s="15" t="n"/>
      <c r="C152" s="60" t="n"/>
      <c r="D152" s="17" t="n"/>
      <c r="E152" s="20" t="n"/>
      <c r="F152" s="17" t="n"/>
      <c r="G152" s="61" t="n"/>
      <c r="H152" s="15" t="n"/>
      <c r="I152" s="18">
        <f>IF($A152="","",IFERROR(SUMIF(tblVarliklar[VarlikId],$B152,tblVarliklar[HedefKiraTl_tl]),kpg_varsayilanHedefKira))</f>
        <v/>
      </c>
      <c r="J152" s="18">
        <f>IF($A152="","",MAX(0, 1-$E152/kpg_gunAy))</f>
        <v/>
      </c>
      <c r="K152" s="18">
        <f>IF(OR($A152="",$I152=0),"",$D152/$I152)</f>
        <v/>
      </c>
      <c r="L152" s="18">
        <f>IF($A152="","",$D152-$F152)</f>
        <v/>
      </c>
      <c r="M152" s="18">
        <f>IF($A152="","",$I152*(1+$G152))</f>
        <v/>
      </c>
      <c r="N152" s="18">
        <f>IF($A152="","",MAX(0,MIN(100,kpg_kaliteTaban-IF($J152&lt;kpg_esikDoluluk,kpg_kaliteCeza,0)-IF($K152&lt;kpg_esikGetiri,kpg_kaliteSapma,0)-IF($Q152="YETIM",kpg_kaliteCeza,0))))</f>
        <v/>
      </c>
      <c r="O152" s="18">
        <f>IF($A152="","",IF(OR($J152&lt;kpg_esikDoluluk,$K152&lt;kpg_esikGetiri,$N152&lt;kpg_esikSaglik),"ALARM","UYGUN"))</f>
        <v/>
      </c>
      <c r="P152" s="18">
        <f>IF($A152="","",1)</f>
        <v/>
      </c>
      <c r="Q152" s="18">
        <f>IF($A152="","",IF(OR($B152="",COUNTIF(tblVarliklar[VarlikId],$B152)=0),"YETIM","TAMAM"))</f>
        <v/>
      </c>
    </row>
    <row r="153">
      <c r="A153" s="15" t="n"/>
      <c r="B153" s="15" t="n"/>
      <c r="C153" s="60" t="n"/>
      <c r="D153" s="17" t="n"/>
      <c r="E153" s="20" t="n"/>
      <c r="F153" s="17" t="n"/>
      <c r="G153" s="61" t="n"/>
      <c r="H153" s="15" t="n"/>
      <c r="I153" s="18">
        <f>IF($A153="","",IFERROR(SUMIF(tblVarliklar[VarlikId],$B153,tblVarliklar[HedefKiraTl_tl]),kpg_varsayilanHedefKira))</f>
        <v/>
      </c>
      <c r="J153" s="18">
        <f>IF($A153="","",MAX(0, 1-$E153/kpg_gunAy))</f>
        <v/>
      </c>
      <c r="K153" s="18">
        <f>IF(OR($A153="",$I153=0),"",$D153/$I153)</f>
        <v/>
      </c>
      <c r="L153" s="18">
        <f>IF($A153="","",$D153-$F153)</f>
        <v/>
      </c>
      <c r="M153" s="18">
        <f>IF($A153="","",$I153*(1+$G153))</f>
        <v/>
      </c>
      <c r="N153" s="18">
        <f>IF($A153="","",MAX(0,MIN(100,kpg_kaliteTaban-IF($J153&lt;kpg_esikDoluluk,kpg_kaliteCeza,0)-IF($K153&lt;kpg_esikGetiri,kpg_kaliteSapma,0)-IF($Q153="YETIM",kpg_kaliteCeza,0))))</f>
        <v/>
      </c>
      <c r="O153" s="18">
        <f>IF($A153="","",IF(OR($J153&lt;kpg_esikDoluluk,$K153&lt;kpg_esikGetiri,$N153&lt;kpg_esikSaglik),"ALARM","UYGUN"))</f>
        <v/>
      </c>
      <c r="P153" s="18">
        <f>IF($A153="","",1)</f>
        <v/>
      </c>
      <c r="Q153" s="18">
        <f>IF($A153="","",IF(OR($B153="",COUNTIF(tblVarliklar[VarlikId],$B153)=0),"YETIM","TAMAM"))</f>
        <v/>
      </c>
    </row>
    <row r="154">
      <c r="A154" s="15" t="n"/>
      <c r="B154" s="15" t="n"/>
      <c r="C154" s="60" t="n"/>
      <c r="D154" s="17" t="n"/>
      <c r="E154" s="20" t="n"/>
      <c r="F154" s="17" t="n"/>
      <c r="G154" s="61" t="n"/>
      <c r="H154" s="15" t="n"/>
      <c r="I154" s="18">
        <f>IF($A154="","",IFERROR(SUMIF(tblVarliklar[VarlikId],$B154,tblVarliklar[HedefKiraTl_tl]),kpg_varsayilanHedefKira))</f>
        <v/>
      </c>
      <c r="J154" s="18">
        <f>IF($A154="","",MAX(0, 1-$E154/kpg_gunAy))</f>
        <v/>
      </c>
      <c r="K154" s="18">
        <f>IF(OR($A154="",$I154=0),"",$D154/$I154)</f>
        <v/>
      </c>
      <c r="L154" s="18">
        <f>IF($A154="","",$D154-$F154)</f>
        <v/>
      </c>
      <c r="M154" s="18">
        <f>IF($A154="","",$I154*(1+$G154))</f>
        <v/>
      </c>
      <c r="N154" s="18">
        <f>IF($A154="","",MAX(0,MIN(100,kpg_kaliteTaban-IF($J154&lt;kpg_esikDoluluk,kpg_kaliteCeza,0)-IF($K154&lt;kpg_esikGetiri,kpg_kaliteSapma,0)-IF($Q154="YETIM",kpg_kaliteCeza,0))))</f>
        <v/>
      </c>
      <c r="O154" s="18">
        <f>IF($A154="","",IF(OR($J154&lt;kpg_esikDoluluk,$K154&lt;kpg_esikGetiri,$N154&lt;kpg_esikSaglik),"ALARM","UYGUN"))</f>
        <v/>
      </c>
      <c r="P154" s="18">
        <f>IF($A154="","",1)</f>
        <v/>
      </c>
      <c r="Q154" s="18">
        <f>IF($A154="","",IF(OR($B154="",COUNTIF(tblVarliklar[VarlikId],$B154)=0),"YETIM","TAMAM"))</f>
        <v/>
      </c>
    </row>
    <row r="155">
      <c r="A155" s="15" t="n"/>
      <c r="B155" s="15" t="n"/>
      <c r="C155" s="60" t="n"/>
      <c r="D155" s="17" t="n"/>
      <c r="E155" s="20" t="n"/>
      <c r="F155" s="17" t="n"/>
      <c r="G155" s="61" t="n"/>
      <c r="H155" s="15" t="n"/>
      <c r="I155" s="18">
        <f>IF($A155="","",IFERROR(SUMIF(tblVarliklar[VarlikId],$B155,tblVarliklar[HedefKiraTl_tl]),kpg_varsayilanHedefKira))</f>
        <v/>
      </c>
      <c r="J155" s="18">
        <f>IF($A155="","",MAX(0, 1-$E155/kpg_gunAy))</f>
        <v/>
      </c>
      <c r="K155" s="18">
        <f>IF(OR($A155="",$I155=0),"",$D155/$I155)</f>
        <v/>
      </c>
      <c r="L155" s="18">
        <f>IF($A155="","",$D155-$F155)</f>
        <v/>
      </c>
      <c r="M155" s="18">
        <f>IF($A155="","",$I155*(1+$G155))</f>
        <v/>
      </c>
      <c r="N155" s="18">
        <f>IF($A155="","",MAX(0,MIN(100,kpg_kaliteTaban-IF($J155&lt;kpg_esikDoluluk,kpg_kaliteCeza,0)-IF($K155&lt;kpg_esikGetiri,kpg_kaliteSapma,0)-IF($Q155="YETIM",kpg_kaliteCeza,0))))</f>
        <v/>
      </c>
      <c r="O155" s="18">
        <f>IF($A155="","",IF(OR($J155&lt;kpg_esikDoluluk,$K155&lt;kpg_esikGetiri,$N155&lt;kpg_esikSaglik),"ALARM","UYGUN"))</f>
        <v/>
      </c>
      <c r="P155" s="18">
        <f>IF($A155="","",1)</f>
        <v/>
      </c>
      <c r="Q155" s="18">
        <f>IF($A155="","",IF(OR($B155="",COUNTIF(tblVarliklar[VarlikId],$B155)=0),"YETIM","TAMAM"))</f>
        <v/>
      </c>
    </row>
    <row r="156">
      <c r="A156" s="15" t="n"/>
      <c r="B156" s="15" t="n"/>
      <c r="C156" s="60" t="n"/>
      <c r="D156" s="17" t="n"/>
      <c r="E156" s="20" t="n"/>
      <c r="F156" s="17" t="n"/>
      <c r="G156" s="61" t="n"/>
      <c r="H156" s="15" t="n"/>
      <c r="I156" s="18">
        <f>IF($A156="","",IFERROR(SUMIF(tblVarliklar[VarlikId],$B156,tblVarliklar[HedefKiraTl_tl]),kpg_varsayilanHedefKira))</f>
        <v/>
      </c>
      <c r="J156" s="18">
        <f>IF($A156="","",MAX(0, 1-$E156/kpg_gunAy))</f>
        <v/>
      </c>
      <c r="K156" s="18">
        <f>IF(OR($A156="",$I156=0),"",$D156/$I156)</f>
        <v/>
      </c>
      <c r="L156" s="18">
        <f>IF($A156="","",$D156-$F156)</f>
        <v/>
      </c>
      <c r="M156" s="18">
        <f>IF($A156="","",$I156*(1+$G156))</f>
        <v/>
      </c>
      <c r="N156" s="18">
        <f>IF($A156="","",MAX(0,MIN(100,kpg_kaliteTaban-IF($J156&lt;kpg_esikDoluluk,kpg_kaliteCeza,0)-IF($K156&lt;kpg_esikGetiri,kpg_kaliteSapma,0)-IF($Q156="YETIM",kpg_kaliteCeza,0))))</f>
        <v/>
      </c>
      <c r="O156" s="18">
        <f>IF($A156="","",IF(OR($J156&lt;kpg_esikDoluluk,$K156&lt;kpg_esikGetiri,$N156&lt;kpg_esikSaglik),"ALARM","UYGUN"))</f>
        <v/>
      </c>
      <c r="P156" s="18">
        <f>IF($A156="","",1)</f>
        <v/>
      </c>
      <c r="Q156" s="18">
        <f>IF($A156="","",IF(OR($B156="",COUNTIF(tblVarliklar[VarlikId],$B156)=0),"YETIM","TAMAM"))</f>
        <v/>
      </c>
    </row>
    <row r="157">
      <c r="A157" s="15" t="n"/>
      <c r="B157" s="15" t="n"/>
      <c r="C157" s="60" t="n"/>
      <c r="D157" s="17" t="n"/>
      <c r="E157" s="20" t="n"/>
      <c r="F157" s="17" t="n"/>
      <c r="G157" s="61" t="n"/>
      <c r="H157" s="15" t="n"/>
      <c r="I157" s="18">
        <f>IF($A157="","",IFERROR(SUMIF(tblVarliklar[VarlikId],$B157,tblVarliklar[HedefKiraTl_tl]),kpg_varsayilanHedefKira))</f>
        <v/>
      </c>
      <c r="J157" s="18">
        <f>IF($A157="","",MAX(0, 1-$E157/kpg_gunAy))</f>
        <v/>
      </c>
      <c r="K157" s="18">
        <f>IF(OR($A157="",$I157=0),"",$D157/$I157)</f>
        <v/>
      </c>
      <c r="L157" s="18">
        <f>IF($A157="","",$D157-$F157)</f>
        <v/>
      </c>
      <c r="M157" s="18">
        <f>IF($A157="","",$I157*(1+$G157))</f>
        <v/>
      </c>
      <c r="N157" s="18">
        <f>IF($A157="","",MAX(0,MIN(100,kpg_kaliteTaban-IF($J157&lt;kpg_esikDoluluk,kpg_kaliteCeza,0)-IF($K157&lt;kpg_esikGetiri,kpg_kaliteSapma,0)-IF($Q157="YETIM",kpg_kaliteCeza,0))))</f>
        <v/>
      </c>
      <c r="O157" s="18">
        <f>IF($A157="","",IF(OR($J157&lt;kpg_esikDoluluk,$K157&lt;kpg_esikGetiri,$N157&lt;kpg_esikSaglik),"ALARM","UYGUN"))</f>
        <v/>
      </c>
      <c r="P157" s="18">
        <f>IF($A157="","",1)</f>
        <v/>
      </c>
      <c r="Q157" s="18">
        <f>IF($A157="","",IF(OR($B157="",COUNTIF(tblVarliklar[VarlikId],$B157)=0),"YETIM","TAMAM"))</f>
        <v/>
      </c>
    </row>
    <row r="158">
      <c r="A158" s="15" t="n"/>
      <c r="B158" s="15" t="n"/>
      <c r="C158" s="60" t="n"/>
      <c r="D158" s="17" t="n"/>
      <c r="E158" s="20" t="n"/>
      <c r="F158" s="17" t="n"/>
      <c r="G158" s="61" t="n"/>
      <c r="H158" s="15" t="n"/>
      <c r="I158" s="18">
        <f>IF($A158="","",IFERROR(SUMIF(tblVarliklar[VarlikId],$B158,tblVarliklar[HedefKiraTl_tl]),kpg_varsayilanHedefKira))</f>
        <v/>
      </c>
      <c r="J158" s="18">
        <f>IF($A158="","",MAX(0, 1-$E158/kpg_gunAy))</f>
        <v/>
      </c>
      <c r="K158" s="18">
        <f>IF(OR($A158="",$I158=0),"",$D158/$I158)</f>
        <v/>
      </c>
      <c r="L158" s="18">
        <f>IF($A158="","",$D158-$F158)</f>
        <v/>
      </c>
      <c r="M158" s="18">
        <f>IF($A158="","",$I158*(1+$G158))</f>
        <v/>
      </c>
      <c r="N158" s="18">
        <f>IF($A158="","",MAX(0,MIN(100,kpg_kaliteTaban-IF($J158&lt;kpg_esikDoluluk,kpg_kaliteCeza,0)-IF($K158&lt;kpg_esikGetiri,kpg_kaliteSapma,0)-IF($Q158="YETIM",kpg_kaliteCeza,0))))</f>
        <v/>
      </c>
      <c r="O158" s="18">
        <f>IF($A158="","",IF(OR($J158&lt;kpg_esikDoluluk,$K158&lt;kpg_esikGetiri,$N158&lt;kpg_esikSaglik),"ALARM","UYGUN"))</f>
        <v/>
      </c>
      <c r="P158" s="18">
        <f>IF($A158="","",1)</f>
        <v/>
      </c>
      <c r="Q158" s="18">
        <f>IF($A158="","",IF(OR($B158="",COUNTIF(tblVarliklar[VarlikId],$B158)=0),"YETIM","TAMAM"))</f>
        <v/>
      </c>
    </row>
    <row r="159">
      <c r="A159" s="15" t="n"/>
      <c r="B159" s="15" t="n"/>
      <c r="C159" s="60" t="n"/>
      <c r="D159" s="17" t="n"/>
      <c r="E159" s="20" t="n"/>
      <c r="F159" s="17" t="n"/>
      <c r="G159" s="61" t="n"/>
      <c r="H159" s="15" t="n"/>
      <c r="I159" s="18">
        <f>IF($A159="","",IFERROR(SUMIF(tblVarliklar[VarlikId],$B159,tblVarliklar[HedefKiraTl_tl]),kpg_varsayilanHedefKira))</f>
        <v/>
      </c>
      <c r="J159" s="18">
        <f>IF($A159="","",MAX(0, 1-$E159/kpg_gunAy))</f>
        <v/>
      </c>
      <c r="K159" s="18">
        <f>IF(OR($A159="",$I159=0),"",$D159/$I159)</f>
        <v/>
      </c>
      <c r="L159" s="18">
        <f>IF($A159="","",$D159-$F159)</f>
        <v/>
      </c>
      <c r="M159" s="18">
        <f>IF($A159="","",$I159*(1+$G159))</f>
        <v/>
      </c>
      <c r="N159" s="18">
        <f>IF($A159="","",MAX(0,MIN(100,kpg_kaliteTaban-IF($J159&lt;kpg_esikDoluluk,kpg_kaliteCeza,0)-IF($K159&lt;kpg_esikGetiri,kpg_kaliteSapma,0)-IF($Q159="YETIM",kpg_kaliteCeza,0))))</f>
        <v/>
      </c>
      <c r="O159" s="18">
        <f>IF($A159="","",IF(OR($J159&lt;kpg_esikDoluluk,$K159&lt;kpg_esikGetiri,$N159&lt;kpg_esikSaglik),"ALARM","UYGUN"))</f>
        <v/>
      </c>
      <c r="P159" s="18">
        <f>IF($A159="","",1)</f>
        <v/>
      </c>
      <c r="Q159" s="18">
        <f>IF($A159="","",IF(OR($B159="",COUNTIF(tblVarliklar[VarlikId],$B159)=0),"YETIM","TAMAM"))</f>
        <v/>
      </c>
    </row>
    <row r="160">
      <c r="A160" s="15" t="n"/>
      <c r="B160" s="15" t="n"/>
      <c r="C160" s="60" t="n"/>
      <c r="D160" s="17" t="n"/>
      <c r="E160" s="20" t="n"/>
      <c r="F160" s="17" t="n"/>
      <c r="G160" s="61" t="n"/>
      <c r="H160" s="15" t="n"/>
      <c r="I160" s="18">
        <f>IF($A160="","",IFERROR(SUMIF(tblVarliklar[VarlikId],$B160,tblVarliklar[HedefKiraTl_tl]),kpg_varsayilanHedefKira))</f>
        <v/>
      </c>
      <c r="J160" s="18">
        <f>IF($A160="","",MAX(0, 1-$E160/kpg_gunAy))</f>
        <v/>
      </c>
      <c r="K160" s="18">
        <f>IF(OR($A160="",$I160=0),"",$D160/$I160)</f>
        <v/>
      </c>
      <c r="L160" s="18">
        <f>IF($A160="","",$D160-$F160)</f>
        <v/>
      </c>
      <c r="M160" s="18">
        <f>IF($A160="","",$I160*(1+$G160))</f>
        <v/>
      </c>
      <c r="N160" s="18">
        <f>IF($A160="","",MAX(0,MIN(100,kpg_kaliteTaban-IF($J160&lt;kpg_esikDoluluk,kpg_kaliteCeza,0)-IF($K160&lt;kpg_esikGetiri,kpg_kaliteSapma,0)-IF($Q160="YETIM",kpg_kaliteCeza,0))))</f>
        <v/>
      </c>
      <c r="O160" s="18">
        <f>IF($A160="","",IF(OR($J160&lt;kpg_esikDoluluk,$K160&lt;kpg_esikGetiri,$N160&lt;kpg_esikSaglik),"ALARM","UYGUN"))</f>
        <v/>
      </c>
      <c r="P160" s="18">
        <f>IF($A160="","",1)</f>
        <v/>
      </c>
      <c r="Q160" s="18">
        <f>IF($A160="","",IF(OR($B160="",COUNTIF(tblVarliklar[VarlikId],$B160)=0),"YETIM","TAMAM"))</f>
        <v/>
      </c>
    </row>
    <row r="161">
      <c r="A161" s="15" t="n"/>
      <c r="B161" s="15" t="n"/>
      <c r="C161" s="60" t="n"/>
      <c r="D161" s="17" t="n"/>
      <c r="E161" s="20" t="n"/>
      <c r="F161" s="17" t="n"/>
      <c r="G161" s="61" t="n"/>
      <c r="H161" s="15" t="n"/>
      <c r="I161" s="18">
        <f>IF($A161="","",IFERROR(SUMIF(tblVarliklar[VarlikId],$B161,tblVarliklar[HedefKiraTl_tl]),kpg_varsayilanHedefKira))</f>
        <v/>
      </c>
      <c r="J161" s="18">
        <f>IF($A161="","",MAX(0, 1-$E161/kpg_gunAy))</f>
        <v/>
      </c>
      <c r="K161" s="18">
        <f>IF(OR($A161="",$I161=0),"",$D161/$I161)</f>
        <v/>
      </c>
      <c r="L161" s="18">
        <f>IF($A161="","",$D161-$F161)</f>
        <v/>
      </c>
      <c r="M161" s="18">
        <f>IF($A161="","",$I161*(1+$G161))</f>
        <v/>
      </c>
      <c r="N161" s="18">
        <f>IF($A161="","",MAX(0,MIN(100,kpg_kaliteTaban-IF($J161&lt;kpg_esikDoluluk,kpg_kaliteCeza,0)-IF($K161&lt;kpg_esikGetiri,kpg_kaliteSapma,0)-IF($Q161="YETIM",kpg_kaliteCeza,0))))</f>
        <v/>
      </c>
      <c r="O161" s="18">
        <f>IF($A161="","",IF(OR($J161&lt;kpg_esikDoluluk,$K161&lt;kpg_esikGetiri,$N161&lt;kpg_esikSaglik),"ALARM","UYGUN"))</f>
        <v/>
      </c>
      <c r="P161" s="18">
        <f>IF($A161="","",1)</f>
        <v/>
      </c>
      <c r="Q161" s="18">
        <f>IF($A161="","",IF(OR($B161="",COUNTIF(tblVarliklar[VarlikId],$B161)=0),"YETIM","TAMAM"))</f>
        <v/>
      </c>
    </row>
    <row r="162">
      <c r="A162" s="15" t="n"/>
      <c r="B162" s="15" t="n"/>
      <c r="C162" s="60" t="n"/>
      <c r="D162" s="17" t="n"/>
      <c r="E162" s="20" t="n"/>
      <c r="F162" s="17" t="n"/>
      <c r="G162" s="61" t="n"/>
      <c r="H162" s="15" t="n"/>
      <c r="I162" s="18">
        <f>IF($A162="","",IFERROR(SUMIF(tblVarliklar[VarlikId],$B162,tblVarliklar[HedefKiraTl_tl]),kpg_varsayilanHedefKira))</f>
        <v/>
      </c>
      <c r="J162" s="18">
        <f>IF($A162="","",MAX(0, 1-$E162/kpg_gunAy))</f>
        <v/>
      </c>
      <c r="K162" s="18">
        <f>IF(OR($A162="",$I162=0),"",$D162/$I162)</f>
        <v/>
      </c>
      <c r="L162" s="18">
        <f>IF($A162="","",$D162-$F162)</f>
        <v/>
      </c>
      <c r="M162" s="18">
        <f>IF($A162="","",$I162*(1+$G162))</f>
        <v/>
      </c>
      <c r="N162" s="18">
        <f>IF($A162="","",MAX(0,MIN(100,kpg_kaliteTaban-IF($J162&lt;kpg_esikDoluluk,kpg_kaliteCeza,0)-IF($K162&lt;kpg_esikGetiri,kpg_kaliteSapma,0)-IF($Q162="YETIM",kpg_kaliteCeza,0))))</f>
        <v/>
      </c>
      <c r="O162" s="18">
        <f>IF($A162="","",IF(OR($J162&lt;kpg_esikDoluluk,$K162&lt;kpg_esikGetiri,$N162&lt;kpg_esikSaglik),"ALARM","UYGUN"))</f>
        <v/>
      </c>
      <c r="P162" s="18">
        <f>IF($A162="","",1)</f>
        <v/>
      </c>
      <c r="Q162" s="18">
        <f>IF($A162="","",IF(OR($B162="",COUNTIF(tblVarliklar[VarlikId],$B162)=0),"YETIM","TAMAM"))</f>
        <v/>
      </c>
    </row>
    <row r="163">
      <c r="A163" s="15" t="n"/>
      <c r="B163" s="15" t="n"/>
      <c r="C163" s="60" t="n"/>
      <c r="D163" s="17" t="n"/>
      <c r="E163" s="20" t="n"/>
      <c r="F163" s="17" t="n"/>
      <c r="G163" s="61" t="n"/>
      <c r="H163" s="15" t="n"/>
      <c r="I163" s="18">
        <f>IF($A163="","",IFERROR(SUMIF(tblVarliklar[VarlikId],$B163,tblVarliklar[HedefKiraTl_tl]),kpg_varsayilanHedefKira))</f>
        <v/>
      </c>
      <c r="J163" s="18">
        <f>IF($A163="","",MAX(0, 1-$E163/kpg_gunAy))</f>
        <v/>
      </c>
      <c r="K163" s="18">
        <f>IF(OR($A163="",$I163=0),"",$D163/$I163)</f>
        <v/>
      </c>
      <c r="L163" s="18">
        <f>IF($A163="","",$D163-$F163)</f>
        <v/>
      </c>
      <c r="M163" s="18">
        <f>IF($A163="","",$I163*(1+$G163))</f>
        <v/>
      </c>
      <c r="N163" s="18">
        <f>IF($A163="","",MAX(0,MIN(100,kpg_kaliteTaban-IF($J163&lt;kpg_esikDoluluk,kpg_kaliteCeza,0)-IF($K163&lt;kpg_esikGetiri,kpg_kaliteSapma,0)-IF($Q163="YETIM",kpg_kaliteCeza,0))))</f>
        <v/>
      </c>
      <c r="O163" s="18">
        <f>IF($A163="","",IF(OR($J163&lt;kpg_esikDoluluk,$K163&lt;kpg_esikGetiri,$N163&lt;kpg_esikSaglik),"ALARM","UYGUN"))</f>
        <v/>
      </c>
      <c r="P163" s="18">
        <f>IF($A163="","",1)</f>
        <v/>
      </c>
      <c r="Q163" s="18">
        <f>IF($A163="","",IF(OR($B163="",COUNTIF(tblVarliklar[VarlikId],$B163)=0),"YETIM","TAMAM"))</f>
        <v/>
      </c>
    </row>
    <row r="164">
      <c r="A164" s="15" t="n"/>
      <c r="B164" s="15" t="n"/>
      <c r="C164" s="60" t="n"/>
      <c r="D164" s="17" t="n"/>
      <c r="E164" s="20" t="n"/>
      <c r="F164" s="17" t="n"/>
      <c r="G164" s="61" t="n"/>
      <c r="H164" s="15" t="n"/>
      <c r="I164" s="18">
        <f>IF($A164="","",IFERROR(SUMIF(tblVarliklar[VarlikId],$B164,tblVarliklar[HedefKiraTl_tl]),kpg_varsayilanHedefKira))</f>
        <v/>
      </c>
      <c r="J164" s="18">
        <f>IF($A164="","",MAX(0, 1-$E164/kpg_gunAy))</f>
        <v/>
      </c>
      <c r="K164" s="18">
        <f>IF(OR($A164="",$I164=0),"",$D164/$I164)</f>
        <v/>
      </c>
      <c r="L164" s="18">
        <f>IF($A164="","",$D164-$F164)</f>
        <v/>
      </c>
      <c r="M164" s="18">
        <f>IF($A164="","",$I164*(1+$G164))</f>
        <v/>
      </c>
      <c r="N164" s="18">
        <f>IF($A164="","",MAX(0,MIN(100,kpg_kaliteTaban-IF($J164&lt;kpg_esikDoluluk,kpg_kaliteCeza,0)-IF($K164&lt;kpg_esikGetiri,kpg_kaliteSapma,0)-IF($Q164="YETIM",kpg_kaliteCeza,0))))</f>
        <v/>
      </c>
      <c r="O164" s="18">
        <f>IF($A164="","",IF(OR($J164&lt;kpg_esikDoluluk,$K164&lt;kpg_esikGetiri,$N164&lt;kpg_esikSaglik),"ALARM","UYGUN"))</f>
        <v/>
      </c>
      <c r="P164" s="18">
        <f>IF($A164="","",1)</f>
        <v/>
      </c>
      <c r="Q164" s="18">
        <f>IF($A164="","",IF(OR($B164="",COUNTIF(tblVarliklar[VarlikId],$B164)=0),"YETIM","TAMAM"))</f>
        <v/>
      </c>
    </row>
    <row r="165">
      <c r="A165" s="15" t="n"/>
      <c r="B165" s="15" t="n"/>
      <c r="C165" s="60" t="n"/>
      <c r="D165" s="17" t="n"/>
      <c r="E165" s="20" t="n"/>
      <c r="F165" s="17" t="n"/>
      <c r="G165" s="61" t="n"/>
      <c r="H165" s="15" t="n"/>
      <c r="I165" s="18">
        <f>IF($A165="","",IFERROR(SUMIF(tblVarliklar[VarlikId],$B165,tblVarliklar[HedefKiraTl_tl]),kpg_varsayilanHedefKira))</f>
        <v/>
      </c>
      <c r="J165" s="18">
        <f>IF($A165="","",MAX(0, 1-$E165/kpg_gunAy))</f>
        <v/>
      </c>
      <c r="K165" s="18">
        <f>IF(OR($A165="",$I165=0),"",$D165/$I165)</f>
        <v/>
      </c>
      <c r="L165" s="18">
        <f>IF($A165="","",$D165-$F165)</f>
        <v/>
      </c>
      <c r="M165" s="18">
        <f>IF($A165="","",$I165*(1+$G165))</f>
        <v/>
      </c>
      <c r="N165" s="18">
        <f>IF($A165="","",MAX(0,MIN(100,kpg_kaliteTaban-IF($J165&lt;kpg_esikDoluluk,kpg_kaliteCeza,0)-IF($K165&lt;kpg_esikGetiri,kpg_kaliteSapma,0)-IF($Q165="YETIM",kpg_kaliteCeza,0))))</f>
        <v/>
      </c>
      <c r="O165" s="18">
        <f>IF($A165="","",IF(OR($J165&lt;kpg_esikDoluluk,$K165&lt;kpg_esikGetiri,$N165&lt;kpg_esikSaglik),"ALARM","UYGUN"))</f>
        <v/>
      </c>
      <c r="P165" s="18">
        <f>IF($A165="","",1)</f>
        <v/>
      </c>
      <c r="Q165" s="18">
        <f>IF($A165="","",IF(OR($B165="",COUNTIF(tblVarliklar[VarlikId],$B165)=0),"YETIM","TAMAM"))</f>
        <v/>
      </c>
    </row>
    <row r="166">
      <c r="A166" s="15" t="n"/>
      <c r="B166" s="15" t="n"/>
      <c r="C166" s="60" t="n"/>
      <c r="D166" s="17" t="n"/>
      <c r="E166" s="20" t="n"/>
      <c r="F166" s="17" t="n"/>
      <c r="G166" s="61" t="n"/>
      <c r="H166" s="15" t="n"/>
      <c r="I166" s="18">
        <f>IF($A166="","",IFERROR(SUMIF(tblVarliklar[VarlikId],$B166,tblVarliklar[HedefKiraTl_tl]),kpg_varsayilanHedefKira))</f>
        <v/>
      </c>
      <c r="J166" s="18">
        <f>IF($A166="","",MAX(0, 1-$E166/kpg_gunAy))</f>
        <v/>
      </c>
      <c r="K166" s="18">
        <f>IF(OR($A166="",$I166=0),"",$D166/$I166)</f>
        <v/>
      </c>
      <c r="L166" s="18">
        <f>IF($A166="","",$D166-$F166)</f>
        <v/>
      </c>
      <c r="M166" s="18">
        <f>IF($A166="","",$I166*(1+$G166))</f>
        <v/>
      </c>
      <c r="N166" s="18">
        <f>IF($A166="","",MAX(0,MIN(100,kpg_kaliteTaban-IF($J166&lt;kpg_esikDoluluk,kpg_kaliteCeza,0)-IF($K166&lt;kpg_esikGetiri,kpg_kaliteSapma,0)-IF($Q166="YETIM",kpg_kaliteCeza,0))))</f>
        <v/>
      </c>
      <c r="O166" s="18">
        <f>IF($A166="","",IF(OR($J166&lt;kpg_esikDoluluk,$K166&lt;kpg_esikGetiri,$N166&lt;kpg_esikSaglik),"ALARM","UYGUN"))</f>
        <v/>
      </c>
      <c r="P166" s="18">
        <f>IF($A166="","",1)</f>
        <v/>
      </c>
      <c r="Q166" s="18">
        <f>IF($A166="","",IF(OR($B166="",COUNTIF(tblVarliklar[VarlikId],$B166)=0),"YETIM","TAMAM"))</f>
        <v/>
      </c>
    </row>
    <row r="167">
      <c r="A167" s="15" t="n"/>
      <c r="B167" s="15" t="n"/>
      <c r="C167" s="60" t="n"/>
      <c r="D167" s="17" t="n"/>
      <c r="E167" s="20" t="n"/>
      <c r="F167" s="17" t="n"/>
      <c r="G167" s="61" t="n"/>
      <c r="H167" s="15" t="n"/>
      <c r="I167" s="18">
        <f>IF($A167="","",IFERROR(SUMIF(tblVarliklar[VarlikId],$B167,tblVarliklar[HedefKiraTl_tl]),kpg_varsayilanHedefKira))</f>
        <v/>
      </c>
      <c r="J167" s="18">
        <f>IF($A167="","",MAX(0, 1-$E167/kpg_gunAy))</f>
        <v/>
      </c>
      <c r="K167" s="18">
        <f>IF(OR($A167="",$I167=0),"",$D167/$I167)</f>
        <v/>
      </c>
      <c r="L167" s="18">
        <f>IF($A167="","",$D167-$F167)</f>
        <v/>
      </c>
      <c r="M167" s="18">
        <f>IF($A167="","",$I167*(1+$G167))</f>
        <v/>
      </c>
      <c r="N167" s="18">
        <f>IF($A167="","",MAX(0,MIN(100,kpg_kaliteTaban-IF($J167&lt;kpg_esikDoluluk,kpg_kaliteCeza,0)-IF($K167&lt;kpg_esikGetiri,kpg_kaliteSapma,0)-IF($Q167="YETIM",kpg_kaliteCeza,0))))</f>
        <v/>
      </c>
      <c r="O167" s="18">
        <f>IF($A167="","",IF(OR($J167&lt;kpg_esikDoluluk,$K167&lt;kpg_esikGetiri,$N167&lt;kpg_esikSaglik),"ALARM","UYGUN"))</f>
        <v/>
      </c>
      <c r="P167" s="18">
        <f>IF($A167="","",1)</f>
        <v/>
      </c>
      <c r="Q167" s="18">
        <f>IF($A167="","",IF(OR($B167="",COUNTIF(tblVarliklar[VarlikId],$B167)=0),"YETIM","TAMAM"))</f>
        <v/>
      </c>
    </row>
    <row r="168">
      <c r="A168" s="15" t="n"/>
      <c r="B168" s="15" t="n"/>
      <c r="C168" s="60" t="n"/>
      <c r="D168" s="17" t="n"/>
      <c r="E168" s="20" t="n"/>
      <c r="F168" s="17" t="n"/>
      <c r="G168" s="61" t="n"/>
      <c r="H168" s="15" t="n"/>
      <c r="I168" s="18">
        <f>IF($A168="","",IFERROR(SUMIF(tblVarliklar[VarlikId],$B168,tblVarliklar[HedefKiraTl_tl]),kpg_varsayilanHedefKira))</f>
        <v/>
      </c>
      <c r="J168" s="18">
        <f>IF($A168="","",MAX(0, 1-$E168/kpg_gunAy))</f>
        <v/>
      </c>
      <c r="K168" s="18">
        <f>IF(OR($A168="",$I168=0),"",$D168/$I168)</f>
        <v/>
      </c>
      <c r="L168" s="18">
        <f>IF($A168="","",$D168-$F168)</f>
        <v/>
      </c>
      <c r="M168" s="18">
        <f>IF($A168="","",$I168*(1+$G168))</f>
        <v/>
      </c>
      <c r="N168" s="18">
        <f>IF($A168="","",MAX(0,MIN(100,kpg_kaliteTaban-IF($J168&lt;kpg_esikDoluluk,kpg_kaliteCeza,0)-IF($K168&lt;kpg_esikGetiri,kpg_kaliteSapma,0)-IF($Q168="YETIM",kpg_kaliteCeza,0))))</f>
        <v/>
      </c>
      <c r="O168" s="18">
        <f>IF($A168="","",IF(OR($J168&lt;kpg_esikDoluluk,$K168&lt;kpg_esikGetiri,$N168&lt;kpg_esikSaglik),"ALARM","UYGUN"))</f>
        <v/>
      </c>
      <c r="P168" s="18">
        <f>IF($A168="","",1)</f>
        <v/>
      </c>
      <c r="Q168" s="18">
        <f>IF($A168="","",IF(OR($B168="",COUNTIF(tblVarliklar[VarlikId],$B168)=0),"YETIM","TAMAM"))</f>
        <v/>
      </c>
    </row>
    <row r="169">
      <c r="A169" s="15" t="n"/>
      <c r="B169" s="15" t="n"/>
      <c r="C169" s="60" t="n"/>
      <c r="D169" s="17" t="n"/>
      <c r="E169" s="20" t="n"/>
      <c r="F169" s="17" t="n"/>
      <c r="G169" s="61" t="n"/>
      <c r="H169" s="15" t="n"/>
      <c r="I169" s="18">
        <f>IF($A169="","",IFERROR(SUMIF(tblVarliklar[VarlikId],$B169,tblVarliklar[HedefKiraTl_tl]),kpg_varsayilanHedefKira))</f>
        <v/>
      </c>
      <c r="J169" s="18">
        <f>IF($A169="","",MAX(0, 1-$E169/kpg_gunAy))</f>
        <v/>
      </c>
      <c r="K169" s="18">
        <f>IF(OR($A169="",$I169=0),"",$D169/$I169)</f>
        <v/>
      </c>
      <c r="L169" s="18">
        <f>IF($A169="","",$D169-$F169)</f>
        <v/>
      </c>
      <c r="M169" s="18">
        <f>IF($A169="","",$I169*(1+$G169))</f>
        <v/>
      </c>
      <c r="N169" s="18">
        <f>IF($A169="","",MAX(0,MIN(100,kpg_kaliteTaban-IF($J169&lt;kpg_esikDoluluk,kpg_kaliteCeza,0)-IF($K169&lt;kpg_esikGetiri,kpg_kaliteSapma,0)-IF($Q169="YETIM",kpg_kaliteCeza,0))))</f>
        <v/>
      </c>
      <c r="O169" s="18">
        <f>IF($A169="","",IF(OR($J169&lt;kpg_esikDoluluk,$K169&lt;kpg_esikGetiri,$N169&lt;kpg_esikSaglik),"ALARM","UYGUN"))</f>
        <v/>
      </c>
      <c r="P169" s="18">
        <f>IF($A169="","",1)</f>
        <v/>
      </c>
      <c r="Q169" s="18">
        <f>IF($A169="","",IF(OR($B169="",COUNTIF(tblVarliklar[VarlikId],$B169)=0),"YETIM","TAMAM"))</f>
        <v/>
      </c>
    </row>
    <row r="170">
      <c r="A170" s="15" t="n"/>
      <c r="B170" s="15" t="n"/>
      <c r="C170" s="60" t="n"/>
      <c r="D170" s="17" t="n"/>
      <c r="E170" s="20" t="n"/>
      <c r="F170" s="17" t="n"/>
      <c r="G170" s="61" t="n"/>
      <c r="H170" s="15" t="n"/>
      <c r="I170" s="18">
        <f>IF($A170="","",IFERROR(SUMIF(tblVarliklar[VarlikId],$B170,tblVarliklar[HedefKiraTl_tl]),kpg_varsayilanHedefKira))</f>
        <v/>
      </c>
      <c r="J170" s="18">
        <f>IF($A170="","",MAX(0, 1-$E170/kpg_gunAy))</f>
        <v/>
      </c>
      <c r="K170" s="18">
        <f>IF(OR($A170="",$I170=0),"",$D170/$I170)</f>
        <v/>
      </c>
      <c r="L170" s="18">
        <f>IF($A170="","",$D170-$F170)</f>
        <v/>
      </c>
      <c r="M170" s="18">
        <f>IF($A170="","",$I170*(1+$G170))</f>
        <v/>
      </c>
      <c r="N170" s="18">
        <f>IF($A170="","",MAX(0,MIN(100,kpg_kaliteTaban-IF($J170&lt;kpg_esikDoluluk,kpg_kaliteCeza,0)-IF($K170&lt;kpg_esikGetiri,kpg_kaliteSapma,0)-IF($Q170="YETIM",kpg_kaliteCeza,0))))</f>
        <v/>
      </c>
      <c r="O170" s="18">
        <f>IF($A170="","",IF(OR($J170&lt;kpg_esikDoluluk,$K170&lt;kpg_esikGetiri,$N170&lt;kpg_esikSaglik),"ALARM","UYGUN"))</f>
        <v/>
      </c>
      <c r="P170" s="18">
        <f>IF($A170="","",1)</f>
        <v/>
      </c>
      <c r="Q170" s="18">
        <f>IF($A170="","",IF(OR($B170="",COUNTIF(tblVarliklar[VarlikId],$B170)=0),"YETIM","TAMAM"))</f>
        <v/>
      </c>
    </row>
    <row r="171">
      <c r="A171" s="15" t="n"/>
      <c r="B171" s="15" t="n"/>
      <c r="C171" s="60" t="n"/>
      <c r="D171" s="17" t="n"/>
      <c r="E171" s="20" t="n"/>
      <c r="F171" s="17" t="n"/>
      <c r="G171" s="61" t="n"/>
      <c r="H171" s="15" t="n"/>
      <c r="I171" s="18">
        <f>IF($A171="","",IFERROR(SUMIF(tblVarliklar[VarlikId],$B171,tblVarliklar[HedefKiraTl_tl]),kpg_varsayilanHedefKira))</f>
        <v/>
      </c>
      <c r="J171" s="18">
        <f>IF($A171="","",MAX(0, 1-$E171/kpg_gunAy))</f>
        <v/>
      </c>
      <c r="K171" s="18">
        <f>IF(OR($A171="",$I171=0),"",$D171/$I171)</f>
        <v/>
      </c>
      <c r="L171" s="18">
        <f>IF($A171="","",$D171-$F171)</f>
        <v/>
      </c>
      <c r="M171" s="18">
        <f>IF($A171="","",$I171*(1+$G171))</f>
        <v/>
      </c>
      <c r="N171" s="18">
        <f>IF($A171="","",MAX(0,MIN(100,kpg_kaliteTaban-IF($J171&lt;kpg_esikDoluluk,kpg_kaliteCeza,0)-IF($K171&lt;kpg_esikGetiri,kpg_kaliteSapma,0)-IF($Q171="YETIM",kpg_kaliteCeza,0))))</f>
        <v/>
      </c>
      <c r="O171" s="18">
        <f>IF($A171="","",IF(OR($J171&lt;kpg_esikDoluluk,$K171&lt;kpg_esikGetiri,$N171&lt;kpg_esikSaglik),"ALARM","UYGUN"))</f>
        <v/>
      </c>
      <c r="P171" s="18">
        <f>IF($A171="","",1)</f>
        <v/>
      </c>
      <c r="Q171" s="18">
        <f>IF($A171="","",IF(OR($B171="",COUNTIF(tblVarliklar[VarlikId],$B171)=0),"YETIM","TAMAM"))</f>
        <v/>
      </c>
    </row>
    <row r="172">
      <c r="A172" s="15" t="n"/>
      <c r="B172" s="15" t="n"/>
      <c r="C172" s="60" t="n"/>
      <c r="D172" s="17" t="n"/>
      <c r="E172" s="20" t="n"/>
      <c r="F172" s="17" t="n"/>
      <c r="G172" s="61" t="n"/>
      <c r="H172" s="15" t="n"/>
      <c r="I172" s="18">
        <f>IF($A172="","",IFERROR(SUMIF(tblVarliklar[VarlikId],$B172,tblVarliklar[HedefKiraTl_tl]),kpg_varsayilanHedefKira))</f>
        <v/>
      </c>
      <c r="J172" s="18">
        <f>IF($A172="","",MAX(0, 1-$E172/kpg_gunAy))</f>
        <v/>
      </c>
      <c r="K172" s="18">
        <f>IF(OR($A172="",$I172=0),"",$D172/$I172)</f>
        <v/>
      </c>
      <c r="L172" s="18">
        <f>IF($A172="","",$D172-$F172)</f>
        <v/>
      </c>
      <c r="M172" s="18">
        <f>IF($A172="","",$I172*(1+$G172))</f>
        <v/>
      </c>
      <c r="N172" s="18">
        <f>IF($A172="","",MAX(0,MIN(100,kpg_kaliteTaban-IF($J172&lt;kpg_esikDoluluk,kpg_kaliteCeza,0)-IF($K172&lt;kpg_esikGetiri,kpg_kaliteSapma,0)-IF($Q172="YETIM",kpg_kaliteCeza,0))))</f>
        <v/>
      </c>
      <c r="O172" s="18">
        <f>IF($A172="","",IF(OR($J172&lt;kpg_esikDoluluk,$K172&lt;kpg_esikGetiri,$N172&lt;kpg_esikSaglik),"ALARM","UYGUN"))</f>
        <v/>
      </c>
      <c r="P172" s="18">
        <f>IF($A172="","",1)</f>
        <v/>
      </c>
      <c r="Q172" s="18">
        <f>IF($A172="","",IF(OR($B172="",COUNTIF(tblVarliklar[VarlikId],$B172)=0),"YETIM","TAMAM"))</f>
        <v/>
      </c>
    </row>
    <row r="173">
      <c r="A173" s="15" t="n"/>
      <c r="B173" s="15" t="n"/>
      <c r="C173" s="60" t="n"/>
      <c r="D173" s="17" t="n"/>
      <c r="E173" s="20" t="n"/>
      <c r="F173" s="17" t="n"/>
      <c r="G173" s="61" t="n"/>
      <c r="H173" s="15" t="n"/>
      <c r="I173" s="18">
        <f>IF($A173="","",IFERROR(SUMIF(tblVarliklar[VarlikId],$B173,tblVarliklar[HedefKiraTl_tl]),kpg_varsayilanHedefKira))</f>
        <v/>
      </c>
      <c r="J173" s="18">
        <f>IF($A173="","",MAX(0, 1-$E173/kpg_gunAy))</f>
        <v/>
      </c>
      <c r="K173" s="18">
        <f>IF(OR($A173="",$I173=0),"",$D173/$I173)</f>
        <v/>
      </c>
      <c r="L173" s="18">
        <f>IF($A173="","",$D173-$F173)</f>
        <v/>
      </c>
      <c r="M173" s="18">
        <f>IF($A173="","",$I173*(1+$G173))</f>
        <v/>
      </c>
      <c r="N173" s="18">
        <f>IF($A173="","",MAX(0,MIN(100,kpg_kaliteTaban-IF($J173&lt;kpg_esikDoluluk,kpg_kaliteCeza,0)-IF($K173&lt;kpg_esikGetiri,kpg_kaliteSapma,0)-IF($Q173="YETIM",kpg_kaliteCeza,0))))</f>
        <v/>
      </c>
      <c r="O173" s="18">
        <f>IF($A173="","",IF(OR($J173&lt;kpg_esikDoluluk,$K173&lt;kpg_esikGetiri,$N173&lt;kpg_esikSaglik),"ALARM","UYGUN"))</f>
        <v/>
      </c>
      <c r="P173" s="18">
        <f>IF($A173="","",1)</f>
        <v/>
      </c>
      <c r="Q173" s="18">
        <f>IF($A173="","",IF(OR($B173="",COUNTIF(tblVarliklar[VarlikId],$B173)=0),"YETIM","TAMAM"))</f>
        <v/>
      </c>
    </row>
    <row r="174">
      <c r="A174" s="15" t="n"/>
      <c r="B174" s="15" t="n"/>
      <c r="C174" s="60" t="n"/>
      <c r="D174" s="17" t="n"/>
      <c r="E174" s="20" t="n"/>
      <c r="F174" s="17" t="n"/>
      <c r="G174" s="61" t="n"/>
      <c r="H174" s="15" t="n"/>
      <c r="I174" s="18">
        <f>IF($A174="","",IFERROR(SUMIF(tblVarliklar[VarlikId],$B174,tblVarliklar[HedefKiraTl_tl]),kpg_varsayilanHedefKira))</f>
        <v/>
      </c>
      <c r="J174" s="18">
        <f>IF($A174="","",MAX(0, 1-$E174/kpg_gunAy))</f>
        <v/>
      </c>
      <c r="K174" s="18">
        <f>IF(OR($A174="",$I174=0),"",$D174/$I174)</f>
        <v/>
      </c>
      <c r="L174" s="18">
        <f>IF($A174="","",$D174-$F174)</f>
        <v/>
      </c>
      <c r="M174" s="18">
        <f>IF($A174="","",$I174*(1+$G174))</f>
        <v/>
      </c>
      <c r="N174" s="18">
        <f>IF($A174="","",MAX(0,MIN(100,kpg_kaliteTaban-IF($J174&lt;kpg_esikDoluluk,kpg_kaliteCeza,0)-IF($K174&lt;kpg_esikGetiri,kpg_kaliteSapma,0)-IF($Q174="YETIM",kpg_kaliteCeza,0))))</f>
        <v/>
      </c>
      <c r="O174" s="18">
        <f>IF($A174="","",IF(OR($J174&lt;kpg_esikDoluluk,$K174&lt;kpg_esikGetiri,$N174&lt;kpg_esikSaglik),"ALARM","UYGUN"))</f>
        <v/>
      </c>
      <c r="P174" s="18">
        <f>IF($A174="","",1)</f>
        <v/>
      </c>
      <c r="Q174" s="18">
        <f>IF($A174="","",IF(OR($B174="",COUNTIF(tblVarliklar[VarlikId],$B174)=0),"YETIM","TAMAM"))</f>
        <v/>
      </c>
    </row>
    <row r="175">
      <c r="A175" s="15" t="n"/>
      <c r="B175" s="15" t="n"/>
      <c r="C175" s="60" t="n"/>
      <c r="D175" s="17" t="n"/>
      <c r="E175" s="20" t="n"/>
      <c r="F175" s="17" t="n"/>
      <c r="G175" s="61" t="n"/>
      <c r="H175" s="15" t="n"/>
      <c r="I175" s="18">
        <f>IF($A175="","",IFERROR(SUMIF(tblVarliklar[VarlikId],$B175,tblVarliklar[HedefKiraTl_tl]),kpg_varsayilanHedefKira))</f>
        <v/>
      </c>
      <c r="J175" s="18">
        <f>IF($A175="","",MAX(0, 1-$E175/kpg_gunAy))</f>
        <v/>
      </c>
      <c r="K175" s="18">
        <f>IF(OR($A175="",$I175=0),"",$D175/$I175)</f>
        <v/>
      </c>
      <c r="L175" s="18">
        <f>IF($A175="","",$D175-$F175)</f>
        <v/>
      </c>
      <c r="M175" s="18">
        <f>IF($A175="","",$I175*(1+$G175))</f>
        <v/>
      </c>
      <c r="N175" s="18">
        <f>IF($A175="","",MAX(0,MIN(100,kpg_kaliteTaban-IF($J175&lt;kpg_esikDoluluk,kpg_kaliteCeza,0)-IF($K175&lt;kpg_esikGetiri,kpg_kaliteSapma,0)-IF($Q175="YETIM",kpg_kaliteCeza,0))))</f>
        <v/>
      </c>
      <c r="O175" s="18">
        <f>IF($A175="","",IF(OR($J175&lt;kpg_esikDoluluk,$K175&lt;kpg_esikGetiri,$N175&lt;kpg_esikSaglik),"ALARM","UYGUN"))</f>
        <v/>
      </c>
      <c r="P175" s="18">
        <f>IF($A175="","",1)</f>
        <v/>
      </c>
      <c r="Q175" s="18">
        <f>IF($A175="","",IF(OR($B175="",COUNTIF(tblVarliklar[VarlikId],$B175)=0),"YETIM","TAMAM"))</f>
        <v/>
      </c>
    </row>
    <row r="176">
      <c r="A176" s="15" t="n"/>
      <c r="B176" s="15" t="n"/>
      <c r="C176" s="60" t="n"/>
      <c r="D176" s="17" t="n"/>
      <c r="E176" s="20" t="n"/>
      <c r="F176" s="17" t="n"/>
      <c r="G176" s="61" t="n"/>
      <c r="H176" s="15" t="n"/>
      <c r="I176" s="18">
        <f>IF($A176="","",IFERROR(SUMIF(tblVarliklar[VarlikId],$B176,tblVarliklar[HedefKiraTl_tl]),kpg_varsayilanHedefKira))</f>
        <v/>
      </c>
      <c r="J176" s="18">
        <f>IF($A176="","",MAX(0, 1-$E176/kpg_gunAy))</f>
        <v/>
      </c>
      <c r="K176" s="18">
        <f>IF(OR($A176="",$I176=0),"",$D176/$I176)</f>
        <v/>
      </c>
      <c r="L176" s="18">
        <f>IF($A176="","",$D176-$F176)</f>
        <v/>
      </c>
      <c r="M176" s="18">
        <f>IF($A176="","",$I176*(1+$G176))</f>
        <v/>
      </c>
      <c r="N176" s="18">
        <f>IF($A176="","",MAX(0,MIN(100,kpg_kaliteTaban-IF($J176&lt;kpg_esikDoluluk,kpg_kaliteCeza,0)-IF($K176&lt;kpg_esikGetiri,kpg_kaliteSapma,0)-IF($Q176="YETIM",kpg_kaliteCeza,0))))</f>
        <v/>
      </c>
      <c r="O176" s="18">
        <f>IF($A176="","",IF(OR($J176&lt;kpg_esikDoluluk,$K176&lt;kpg_esikGetiri,$N176&lt;kpg_esikSaglik),"ALARM","UYGUN"))</f>
        <v/>
      </c>
      <c r="P176" s="18">
        <f>IF($A176="","",1)</f>
        <v/>
      </c>
      <c r="Q176" s="18">
        <f>IF($A176="","",IF(OR($B176="",COUNTIF(tblVarliklar[VarlikId],$B176)=0),"YETIM","TAMAM"))</f>
        <v/>
      </c>
    </row>
    <row r="177">
      <c r="A177" s="15" t="n"/>
      <c r="B177" s="15" t="n"/>
      <c r="C177" s="60" t="n"/>
      <c r="D177" s="17" t="n"/>
      <c r="E177" s="20" t="n"/>
      <c r="F177" s="17" t="n"/>
      <c r="G177" s="61" t="n"/>
      <c r="H177" s="15" t="n"/>
      <c r="I177" s="18">
        <f>IF($A177="","",IFERROR(SUMIF(tblVarliklar[VarlikId],$B177,tblVarliklar[HedefKiraTl_tl]),kpg_varsayilanHedefKira))</f>
        <v/>
      </c>
      <c r="J177" s="18">
        <f>IF($A177="","",MAX(0, 1-$E177/kpg_gunAy))</f>
        <v/>
      </c>
      <c r="K177" s="18">
        <f>IF(OR($A177="",$I177=0),"",$D177/$I177)</f>
        <v/>
      </c>
      <c r="L177" s="18">
        <f>IF($A177="","",$D177-$F177)</f>
        <v/>
      </c>
      <c r="M177" s="18">
        <f>IF($A177="","",$I177*(1+$G177))</f>
        <v/>
      </c>
      <c r="N177" s="18">
        <f>IF($A177="","",MAX(0,MIN(100,kpg_kaliteTaban-IF($J177&lt;kpg_esikDoluluk,kpg_kaliteCeza,0)-IF($K177&lt;kpg_esikGetiri,kpg_kaliteSapma,0)-IF($Q177="YETIM",kpg_kaliteCeza,0))))</f>
        <v/>
      </c>
      <c r="O177" s="18">
        <f>IF($A177="","",IF(OR($J177&lt;kpg_esikDoluluk,$K177&lt;kpg_esikGetiri,$N177&lt;kpg_esikSaglik),"ALARM","UYGUN"))</f>
        <v/>
      </c>
      <c r="P177" s="18">
        <f>IF($A177="","",1)</f>
        <v/>
      </c>
      <c r="Q177" s="18">
        <f>IF($A177="","",IF(OR($B177="",COUNTIF(tblVarliklar[VarlikId],$B177)=0),"YETIM","TAMAM"))</f>
        <v/>
      </c>
    </row>
    <row r="178">
      <c r="A178" s="15" t="n"/>
      <c r="B178" s="15" t="n"/>
      <c r="C178" s="60" t="n"/>
      <c r="D178" s="17" t="n"/>
      <c r="E178" s="20" t="n"/>
      <c r="F178" s="17" t="n"/>
      <c r="G178" s="61" t="n"/>
      <c r="H178" s="15" t="n"/>
      <c r="I178" s="18">
        <f>IF($A178="","",IFERROR(SUMIF(tblVarliklar[VarlikId],$B178,tblVarliklar[HedefKiraTl_tl]),kpg_varsayilanHedefKira))</f>
        <v/>
      </c>
      <c r="J178" s="18">
        <f>IF($A178="","",MAX(0, 1-$E178/kpg_gunAy))</f>
        <v/>
      </c>
      <c r="K178" s="18">
        <f>IF(OR($A178="",$I178=0),"",$D178/$I178)</f>
        <v/>
      </c>
      <c r="L178" s="18">
        <f>IF($A178="","",$D178-$F178)</f>
        <v/>
      </c>
      <c r="M178" s="18">
        <f>IF($A178="","",$I178*(1+$G178))</f>
        <v/>
      </c>
      <c r="N178" s="18">
        <f>IF($A178="","",MAX(0,MIN(100,kpg_kaliteTaban-IF($J178&lt;kpg_esikDoluluk,kpg_kaliteCeza,0)-IF($K178&lt;kpg_esikGetiri,kpg_kaliteSapma,0)-IF($Q178="YETIM",kpg_kaliteCeza,0))))</f>
        <v/>
      </c>
      <c r="O178" s="18">
        <f>IF($A178="","",IF(OR($J178&lt;kpg_esikDoluluk,$K178&lt;kpg_esikGetiri,$N178&lt;kpg_esikSaglik),"ALARM","UYGUN"))</f>
        <v/>
      </c>
      <c r="P178" s="18">
        <f>IF($A178="","",1)</f>
        <v/>
      </c>
      <c r="Q178" s="18">
        <f>IF($A178="","",IF(OR($B178="",COUNTIF(tblVarliklar[VarlikId],$B178)=0),"YETIM","TAMAM"))</f>
        <v/>
      </c>
    </row>
    <row r="179">
      <c r="A179" s="15" t="n"/>
      <c r="B179" s="15" t="n"/>
      <c r="C179" s="60" t="n"/>
      <c r="D179" s="17" t="n"/>
      <c r="E179" s="20" t="n"/>
      <c r="F179" s="17" t="n"/>
      <c r="G179" s="61" t="n"/>
      <c r="H179" s="15" t="n"/>
      <c r="I179" s="18">
        <f>IF($A179="","",IFERROR(SUMIF(tblVarliklar[VarlikId],$B179,tblVarliklar[HedefKiraTl_tl]),kpg_varsayilanHedefKira))</f>
        <v/>
      </c>
      <c r="J179" s="18">
        <f>IF($A179="","",MAX(0, 1-$E179/kpg_gunAy))</f>
        <v/>
      </c>
      <c r="K179" s="18">
        <f>IF(OR($A179="",$I179=0),"",$D179/$I179)</f>
        <v/>
      </c>
      <c r="L179" s="18">
        <f>IF($A179="","",$D179-$F179)</f>
        <v/>
      </c>
      <c r="M179" s="18">
        <f>IF($A179="","",$I179*(1+$G179))</f>
        <v/>
      </c>
      <c r="N179" s="18">
        <f>IF($A179="","",MAX(0,MIN(100,kpg_kaliteTaban-IF($J179&lt;kpg_esikDoluluk,kpg_kaliteCeza,0)-IF($K179&lt;kpg_esikGetiri,kpg_kaliteSapma,0)-IF($Q179="YETIM",kpg_kaliteCeza,0))))</f>
        <v/>
      </c>
      <c r="O179" s="18">
        <f>IF($A179="","",IF(OR($J179&lt;kpg_esikDoluluk,$K179&lt;kpg_esikGetiri,$N179&lt;kpg_esikSaglik),"ALARM","UYGUN"))</f>
        <v/>
      </c>
      <c r="P179" s="18">
        <f>IF($A179="","",1)</f>
        <v/>
      </c>
      <c r="Q179" s="18">
        <f>IF($A179="","",IF(OR($B179="",COUNTIF(tblVarliklar[VarlikId],$B179)=0),"YETIM","TAMAM"))</f>
        <v/>
      </c>
    </row>
    <row r="180">
      <c r="A180" s="15" t="n"/>
      <c r="B180" s="15" t="n"/>
      <c r="C180" s="60" t="n"/>
      <c r="D180" s="17" t="n"/>
      <c r="E180" s="20" t="n"/>
      <c r="F180" s="17" t="n"/>
      <c r="G180" s="61" t="n"/>
      <c r="H180" s="15" t="n"/>
      <c r="I180" s="18">
        <f>IF($A180="","",IFERROR(SUMIF(tblVarliklar[VarlikId],$B180,tblVarliklar[HedefKiraTl_tl]),kpg_varsayilanHedefKira))</f>
        <v/>
      </c>
      <c r="J180" s="18">
        <f>IF($A180="","",MAX(0, 1-$E180/kpg_gunAy))</f>
        <v/>
      </c>
      <c r="K180" s="18">
        <f>IF(OR($A180="",$I180=0),"",$D180/$I180)</f>
        <v/>
      </c>
      <c r="L180" s="18">
        <f>IF($A180="","",$D180-$F180)</f>
        <v/>
      </c>
      <c r="M180" s="18">
        <f>IF($A180="","",$I180*(1+$G180))</f>
        <v/>
      </c>
      <c r="N180" s="18">
        <f>IF($A180="","",MAX(0,MIN(100,kpg_kaliteTaban-IF($J180&lt;kpg_esikDoluluk,kpg_kaliteCeza,0)-IF($K180&lt;kpg_esikGetiri,kpg_kaliteSapma,0)-IF($Q180="YETIM",kpg_kaliteCeza,0))))</f>
        <v/>
      </c>
      <c r="O180" s="18">
        <f>IF($A180="","",IF(OR($J180&lt;kpg_esikDoluluk,$K180&lt;kpg_esikGetiri,$N180&lt;kpg_esikSaglik),"ALARM","UYGUN"))</f>
        <v/>
      </c>
      <c r="P180" s="18">
        <f>IF($A180="","",1)</f>
        <v/>
      </c>
      <c r="Q180" s="18">
        <f>IF($A180="","",IF(OR($B180="",COUNTIF(tblVarliklar[VarlikId],$B180)=0),"YETIM","TAMAM"))</f>
        <v/>
      </c>
    </row>
    <row r="181">
      <c r="A181" s="15" t="n"/>
      <c r="B181" s="15" t="n"/>
      <c r="C181" s="60" t="n"/>
      <c r="D181" s="17" t="n"/>
      <c r="E181" s="20" t="n"/>
      <c r="F181" s="17" t="n"/>
      <c r="G181" s="61" t="n"/>
      <c r="H181" s="15" t="n"/>
      <c r="I181" s="18">
        <f>IF($A181="","",IFERROR(SUMIF(tblVarliklar[VarlikId],$B181,tblVarliklar[HedefKiraTl_tl]),kpg_varsayilanHedefKira))</f>
        <v/>
      </c>
      <c r="J181" s="18">
        <f>IF($A181="","",MAX(0, 1-$E181/kpg_gunAy))</f>
        <v/>
      </c>
      <c r="K181" s="18">
        <f>IF(OR($A181="",$I181=0),"",$D181/$I181)</f>
        <v/>
      </c>
      <c r="L181" s="18">
        <f>IF($A181="","",$D181-$F181)</f>
        <v/>
      </c>
      <c r="M181" s="18">
        <f>IF($A181="","",$I181*(1+$G181))</f>
        <v/>
      </c>
      <c r="N181" s="18">
        <f>IF($A181="","",MAX(0,MIN(100,kpg_kaliteTaban-IF($J181&lt;kpg_esikDoluluk,kpg_kaliteCeza,0)-IF($K181&lt;kpg_esikGetiri,kpg_kaliteSapma,0)-IF($Q181="YETIM",kpg_kaliteCeza,0))))</f>
        <v/>
      </c>
      <c r="O181" s="18">
        <f>IF($A181="","",IF(OR($J181&lt;kpg_esikDoluluk,$K181&lt;kpg_esikGetiri,$N181&lt;kpg_esikSaglik),"ALARM","UYGUN"))</f>
        <v/>
      </c>
      <c r="P181" s="18">
        <f>IF($A181="","",1)</f>
        <v/>
      </c>
      <c r="Q181" s="18">
        <f>IF($A181="","",IF(OR($B181="",COUNTIF(tblVarliklar[VarlikId],$B181)=0),"YETIM","TAMAM"))</f>
        <v/>
      </c>
    </row>
    <row r="182">
      <c r="A182" s="15" t="n"/>
      <c r="B182" s="15" t="n"/>
      <c r="C182" s="60" t="n"/>
      <c r="D182" s="17" t="n"/>
      <c r="E182" s="20" t="n"/>
      <c r="F182" s="17" t="n"/>
      <c r="G182" s="61" t="n"/>
      <c r="H182" s="15" t="n"/>
      <c r="I182" s="18">
        <f>IF($A182="","",IFERROR(SUMIF(tblVarliklar[VarlikId],$B182,tblVarliklar[HedefKiraTl_tl]),kpg_varsayilanHedefKira))</f>
        <v/>
      </c>
      <c r="J182" s="18">
        <f>IF($A182="","",MAX(0, 1-$E182/kpg_gunAy))</f>
        <v/>
      </c>
      <c r="K182" s="18">
        <f>IF(OR($A182="",$I182=0),"",$D182/$I182)</f>
        <v/>
      </c>
      <c r="L182" s="18">
        <f>IF($A182="","",$D182-$F182)</f>
        <v/>
      </c>
      <c r="M182" s="18">
        <f>IF($A182="","",$I182*(1+$G182))</f>
        <v/>
      </c>
      <c r="N182" s="18">
        <f>IF($A182="","",MAX(0,MIN(100,kpg_kaliteTaban-IF($J182&lt;kpg_esikDoluluk,kpg_kaliteCeza,0)-IF($K182&lt;kpg_esikGetiri,kpg_kaliteSapma,0)-IF($Q182="YETIM",kpg_kaliteCeza,0))))</f>
        <v/>
      </c>
      <c r="O182" s="18">
        <f>IF($A182="","",IF(OR($J182&lt;kpg_esikDoluluk,$K182&lt;kpg_esikGetiri,$N182&lt;kpg_esikSaglik),"ALARM","UYGUN"))</f>
        <v/>
      </c>
      <c r="P182" s="18">
        <f>IF($A182="","",1)</f>
        <v/>
      </c>
      <c r="Q182" s="18">
        <f>IF($A182="","",IF(OR($B182="",COUNTIF(tblVarliklar[VarlikId],$B182)=0),"YETIM","TAMAM"))</f>
        <v/>
      </c>
    </row>
    <row r="183">
      <c r="A183" s="15" t="n"/>
      <c r="B183" s="15" t="n"/>
      <c r="C183" s="60" t="n"/>
      <c r="D183" s="17" t="n"/>
      <c r="E183" s="20" t="n"/>
      <c r="F183" s="17" t="n"/>
      <c r="G183" s="61" t="n"/>
      <c r="H183" s="15" t="n"/>
      <c r="I183" s="18">
        <f>IF($A183="","",IFERROR(SUMIF(tblVarliklar[VarlikId],$B183,tblVarliklar[HedefKiraTl_tl]),kpg_varsayilanHedefKira))</f>
        <v/>
      </c>
      <c r="J183" s="18">
        <f>IF($A183="","",MAX(0, 1-$E183/kpg_gunAy))</f>
        <v/>
      </c>
      <c r="K183" s="18">
        <f>IF(OR($A183="",$I183=0),"",$D183/$I183)</f>
        <v/>
      </c>
      <c r="L183" s="18">
        <f>IF($A183="","",$D183-$F183)</f>
        <v/>
      </c>
      <c r="M183" s="18">
        <f>IF($A183="","",$I183*(1+$G183))</f>
        <v/>
      </c>
      <c r="N183" s="18">
        <f>IF($A183="","",MAX(0,MIN(100,kpg_kaliteTaban-IF($J183&lt;kpg_esikDoluluk,kpg_kaliteCeza,0)-IF($K183&lt;kpg_esikGetiri,kpg_kaliteSapma,0)-IF($Q183="YETIM",kpg_kaliteCeza,0))))</f>
        <v/>
      </c>
      <c r="O183" s="18">
        <f>IF($A183="","",IF(OR($J183&lt;kpg_esikDoluluk,$K183&lt;kpg_esikGetiri,$N183&lt;kpg_esikSaglik),"ALARM","UYGUN"))</f>
        <v/>
      </c>
      <c r="P183" s="18">
        <f>IF($A183="","",1)</f>
        <v/>
      </c>
      <c r="Q183" s="18">
        <f>IF($A183="","",IF(OR($B183="",COUNTIF(tblVarliklar[VarlikId],$B183)=0),"YETIM","TAMAM"))</f>
        <v/>
      </c>
    </row>
    <row r="184">
      <c r="A184" s="15" t="n"/>
      <c r="B184" s="15" t="n"/>
      <c r="C184" s="60" t="n"/>
      <c r="D184" s="17" t="n"/>
      <c r="E184" s="20" t="n"/>
      <c r="F184" s="17" t="n"/>
      <c r="G184" s="61" t="n"/>
      <c r="H184" s="15" t="n"/>
      <c r="I184" s="18">
        <f>IF($A184="","",IFERROR(SUMIF(tblVarliklar[VarlikId],$B184,tblVarliklar[HedefKiraTl_tl]),kpg_varsayilanHedefKira))</f>
        <v/>
      </c>
      <c r="J184" s="18">
        <f>IF($A184="","",MAX(0, 1-$E184/kpg_gunAy))</f>
        <v/>
      </c>
      <c r="K184" s="18">
        <f>IF(OR($A184="",$I184=0),"",$D184/$I184)</f>
        <v/>
      </c>
      <c r="L184" s="18">
        <f>IF($A184="","",$D184-$F184)</f>
        <v/>
      </c>
      <c r="M184" s="18">
        <f>IF($A184="","",$I184*(1+$G184))</f>
        <v/>
      </c>
      <c r="N184" s="18">
        <f>IF($A184="","",MAX(0,MIN(100,kpg_kaliteTaban-IF($J184&lt;kpg_esikDoluluk,kpg_kaliteCeza,0)-IF($K184&lt;kpg_esikGetiri,kpg_kaliteSapma,0)-IF($Q184="YETIM",kpg_kaliteCeza,0))))</f>
        <v/>
      </c>
      <c r="O184" s="18">
        <f>IF($A184="","",IF(OR($J184&lt;kpg_esikDoluluk,$K184&lt;kpg_esikGetiri,$N184&lt;kpg_esikSaglik),"ALARM","UYGUN"))</f>
        <v/>
      </c>
      <c r="P184" s="18">
        <f>IF($A184="","",1)</f>
        <v/>
      </c>
      <c r="Q184" s="18">
        <f>IF($A184="","",IF(OR($B184="",COUNTIF(tblVarliklar[VarlikId],$B184)=0),"YETIM","TAMAM"))</f>
        <v/>
      </c>
    </row>
    <row r="185">
      <c r="A185" s="15" t="n"/>
      <c r="B185" s="15" t="n"/>
      <c r="C185" s="60" t="n"/>
      <c r="D185" s="17" t="n"/>
      <c r="E185" s="20" t="n"/>
      <c r="F185" s="17" t="n"/>
      <c r="G185" s="61" t="n"/>
      <c r="H185" s="15" t="n"/>
      <c r="I185" s="18">
        <f>IF($A185="","",IFERROR(SUMIF(tblVarliklar[VarlikId],$B185,tblVarliklar[HedefKiraTl_tl]),kpg_varsayilanHedefKira))</f>
        <v/>
      </c>
      <c r="J185" s="18">
        <f>IF($A185="","",MAX(0, 1-$E185/kpg_gunAy))</f>
        <v/>
      </c>
      <c r="K185" s="18">
        <f>IF(OR($A185="",$I185=0),"",$D185/$I185)</f>
        <v/>
      </c>
      <c r="L185" s="18">
        <f>IF($A185="","",$D185-$F185)</f>
        <v/>
      </c>
      <c r="M185" s="18">
        <f>IF($A185="","",$I185*(1+$G185))</f>
        <v/>
      </c>
      <c r="N185" s="18">
        <f>IF($A185="","",MAX(0,MIN(100,kpg_kaliteTaban-IF($J185&lt;kpg_esikDoluluk,kpg_kaliteCeza,0)-IF($K185&lt;kpg_esikGetiri,kpg_kaliteSapma,0)-IF($Q185="YETIM",kpg_kaliteCeza,0))))</f>
        <v/>
      </c>
      <c r="O185" s="18">
        <f>IF($A185="","",IF(OR($J185&lt;kpg_esikDoluluk,$K185&lt;kpg_esikGetiri,$N185&lt;kpg_esikSaglik),"ALARM","UYGUN"))</f>
        <v/>
      </c>
      <c r="P185" s="18">
        <f>IF($A185="","",1)</f>
        <v/>
      </c>
      <c r="Q185" s="18">
        <f>IF($A185="","",IF(OR($B185="",COUNTIF(tblVarliklar[VarlikId],$B185)=0),"YETIM","TAMAM"))</f>
        <v/>
      </c>
    </row>
    <row r="186">
      <c r="A186" s="15" t="n"/>
      <c r="B186" s="15" t="n"/>
      <c r="C186" s="60" t="n"/>
      <c r="D186" s="17" t="n"/>
      <c r="E186" s="20" t="n"/>
      <c r="F186" s="17" t="n"/>
      <c r="G186" s="61" t="n"/>
      <c r="H186" s="15" t="n"/>
      <c r="I186" s="18">
        <f>IF($A186="","",IFERROR(SUMIF(tblVarliklar[VarlikId],$B186,tblVarliklar[HedefKiraTl_tl]),kpg_varsayilanHedefKira))</f>
        <v/>
      </c>
      <c r="J186" s="18">
        <f>IF($A186="","",MAX(0, 1-$E186/kpg_gunAy))</f>
        <v/>
      </c>
      <c r="K186" s="18">
        <f>IF(OR($A186="",$I186=0),"",$D186/$I186)</f>
        <v/>
      </c>
      <c r="L186" s="18">
        <f>IF($A186="","",$D186-$F186)</f>
        <v/>
      </c>
      <c r="M186" s="18">
        <f>IF($A186="","",$I186*(1+$G186))</f>
        <v/>
      </c>
      <c r="N186" s="18">
        <f>IF($A186="","",MAX(0,MIN(100,kpg_kaliteTaban-IF($J186&lt;kpg_esikDoluluk,kpg_kaliteCeza,0)-IF($K186&lt;kpg_esikGetiri,kpg_kaliteSapma,0)-IF($Q186="YETIM",kpg_kaliteCeza,0))))</f>
        <v/>
      </c>
      <c r="O186" s="18">
        <f>IF($A186="","",IF(OR($J186&lt;kpg_esikDoluluk,$K186&lt;kpg_esikGetiri,$N186&lt;kpg_esikSaglik),"ALARM","UYGUN"))</f>
        <v/>
      </c>
      <c r="P186" s="18">
        <f>IF($A186="","",1)</f>
        <v/>
      </c>
      <c r="Q186" s="18">
        <f>IF($A186="","",IF(OR($B186="",COUNTIF(tblVarliklar[VarlikId],$B186)=0),"YETIM","TAMAM"))</f>
        <v/>
      </c>
    </row>
    <row r="187">
      <c r="A187" s="15" t="n"/>
      <c r="B187" s="15" t="n"/>
      <c r="C187" s="60" t="n"/>
      <c r="D187" s="17" t="n"/>
      <c r="E187" s="20" t="n"/>
      <c r="F187" s="17" t="n"/>
      <c r="G187" s="61" t="n"/>
      <c r="H187" s="15" t="n"/>
      <c r="I187" s="18">
        <f>IF($A187="","",IFERROR(SUMIF(tblVarliklar[VarlikId],$B187,tblVarliklar[HedefKiraTl_tl]),kpg_varsayilanHedefKira))</f>
        <v/>
      </c>
      <c r="J187" s="18">
        <f>IF($A187="","",MAX(0, 1-$E187/kpg_gunAy))</f>
        <v/>
      </c>
      <c r="K187" s="18">
        <f>IF(OR($A187="",$I187=0),"",$D187/$I187)</f>
        <v/>
      </c>
      <c r="L187" s="18">
        <f>IF($A187="","",$D187-$F187)</f>
        <v/>
      </c>
      <c r="M187" s="18">
        <f>IF($A187="","",$I187*(1+$G187))</f>
        <v/>
      </c>
      <c r="N187" s="18">
        <f>IF($A187="","",MAX(0,MIN(100,kpg_kaliteTaban-IF($J187&lt;kpg_esikDoluluk,kpg_kaliteCeza,0)-IF($K187&lt;kpg_esikGetiri,kpg_kaliteSapma,0)-IF($Q187="YETIM",kpg_kaliteCeza,0))))</f>
        <v/>
      </c>
      <c r="O187" s="18">
        <f>IF($A187="","",IF(OR($J187&lt;kpg_esikDoluluk,$K187&lt;kpg_esikGetiri,$N187&lt;kpg_esikSaglik),"ALARM","UYGUN"))</f>
        <v/>
      </c>
      <c r="P187" s="18">
        <f>IF($A187="","",1)</f>
        <v/>
      </c>
      <c r="Q187" s="18">
        <f>IF($A187="","",IF(OR($B187="",COUNTIF(tblVarliklar[VarlikId],$B187)=0),"YETIM","TAMAM"))</f>
        <v/>
      </c>
    </row>
    <row r="188">
      <c r="A188" s="15" t="n"/>
      <c r="B188" s="15" t="n"/>
      <c r="C188" s="60" t="n"/>
      <c r="D188" s="17" t="n"/>
      <c r="E188" s="20" t="n"/>
      <c r="F188" s="17" t="n"/>
      <c r="G188" s="61" t="n"/>
      <c r="H188" s="15" t="n"/>
      <c r="I188" s="18">
        <f>IF($A188="","",IFERROR(SUMIF(tblVarliklar[VarlikId],$B188,tblVarliklar[HedefKiraTl_tl]),kpg_varsayilanHedefKira))</f>
        <v/>
      </c>
      <c r="J188" s="18">
        <f>IF($A188="","",MAX(0, 1-$E188/kpg_gunAy))</f>
        <v/>
      </c>
      <c r="K188" s="18">
        <f>IF(OR($A188="",$I188=0),"",$D188/$I188)</f>
        <v/>
      </c>
      <c r="L188" s="18">
        <f>IF($A188="","",$D188-$F188)</f>
        <v/>
      </c>
      <c r="M188" s="18">
        <f>IF($A188="","",$I188*(1+$G188))</f>
        <v/>
      </c>
      <c r="N188" s="18">
        <f>IF($A188="","",MAX(0,MIN(100,kpg_kaliteTaban-IF($J188&lt;kpg_esikDoluluk,kpg_kaliteCeza,0)-IF($K188&lt;kpg_esikGetiri,kpg_kaliteSapma,0)-IF($Q188="YETIM",kpg_kaliteCeza,0))))</f>
        <v/>
      </c>
      <c r="O188" s="18">
        <f>IF($A188="","",IF(OR($J188&lt;kpg_esikDoluluk,$K188&lt;kpg_esikGetiri,$N188&lt;kpg_esikSaglik),"ALARM","UYGUN"))</f>
        <v/>
      </c>
      <c r="P188" s="18">
        <f>IF($A188="","",1)</f>
        <v/>
      </c>
      <c r="Q188" s="18">
        <f>IF($A188="","",IF(OR($B188="",COUNTIF(tblVarliklar[VarlikId],$B188)=0),"YETIM","TAMAM"))</f>
        <v/>
      </c>
    </row>
    <row r="189">
      <c r="A189" s="15" t="n"/>
      <c r="B189" s="15" t="n"/>
      <c r="C189" s="60" t="n"/>
      <c r="D189" s="17" t="n"/>
      <c r="E189" s="20" t="n"/>
      <c r="F189" s="17" t="n"/>
      <c r="G189" s="61" t="n"/>
      <c r="H189" s="15" t="n"/>
      <c r="I189" s="18">
        <f>IF($A189="","",IFERROR(SUMIF(tblVarliklar[VarlikId],$B189,tblVarliklar[HedefKiraTl_tl]),kpg_varsayilanHedefKira))</f>
        <v/>
      </c>
      <c r="J189" s="18">
        <f>IF($A189="","",MAX(0, 1-$E189/kpg_gunAy))</f>
        <v/>
      </c>
      <c r="K189" s="18">
        <f>IF(OR($A189="",$I189=0),"",$D189/$I189)</f>
        <v/>
      </c>
      <c r="L189" s="18">
        <f>IF($A189="","",$D189-$F189)</f>
        <v/>
      </c>
      <c r="M189" s="18">
        <f>IF($A189="","",$I189*(1+$G189))</f>
        <v/>
      </c>
      <c r="N189" s="18">
        <f>IF($A189="","",MAX(0,MIN(100,kpg_kaliteTaban-IF($J189&lt;kpg_esikDoluluk,kpg_kaliteCeza,0)-IF($K189&lt;kpg_esikGetiri,kpg_kaliteSapma,0)-IF($Q189="YETIM",kpg_kaliteCeza,0))))</f>
        <v/>
      </c>
      <c r="O189" s="18">
        <f>IF($A189="","",IF(OR($J189&lt;kpg_esikDoluluk,$K189&lt;kpg_esikGetiri,$N189&lt;kpg_esikSaglik),"ALARM","UYGUN"))</f>
        <v/>
      </c>
      <c r="P189" s="18">
        <f>IF($A189="","",1)</f>
        <v/>
      </c>
      <c r="Q189" s="18">
        <f>IF($A189="","",IF(OR($B189="",COUNTIF(tblVarliklar[VarlikId],$B189)=0),"YETIM","TAMAM"))</f>
        <v/>
      </c>
    </row>
    <row r="190">
      <c r="A190" s="15" t="n"/>
      <c r="B190" s="15" t="n"/>
      <c r="C190" s="60" t="n"/>
      <c r="D190" s="17" t="n"/>
      <c r="E190" s="20" t="n"/>
      <c r="F190" s="17" t="n"/>
      <c r="G190" s="61" t="n"/>
      <c r="H190" s="15" t="n"/>
      <c r="I190" s="18">
        <f>IF($A190="","",IFERROR(SUMIF(tblVarliklar[VarlikId],$B190,tblVarliklar[HedefKiraTl_tl]),kpg_varsayilanHedefKira))</f>
        <v/>
      </c>
      <c r="J190" s="18">
        <f>IF($A190="","",MAX(0, 1-$E190/kpg_gunAy))</f>
        <v/>
      </c>
      <c r="K190" s="18">
        <f>IF(OR($A190="",$I190=0),"",$D190/$I190)</f>
        <v/>
      </c>
      <c r="L190" s="18">
        <f>IF($A190="","",$D190-$F190)</f>
        <v/>
      </c>
      <c r="M190" s="18">
        <f>IF($A190="","",$I190*(1+$G190))</f>
        <v/>
      </c>
      <c r="N190" s="18">
        <f>IF($A190="","",MAX(0,MIN(100,kpg_kaliteTaban-IF($J190&lt;kpg_esikDoluluk,kpg_kaliteCeza,0)-IF($K190&lt;kpg_esikGetiri,kpg_kaliteSapma,0)-IF($Q190="YETIM",kpg_kaliteCeza,0))))</f>
        <v/>
      </c>
      <c r="O190" s="18">
        <f>IF($A190="","",IF(OR($J190&lt;kpg_esikDoluluk,$K190&lt;kpg_esikGetiri,$N190&lt;kpg_esikSaglik),"ALARM","UYGUN"))</f>
        <v/>
      </c>
      <c r="P190" s="18">
        <f>IF($A190="","",1)</f>
        <v/>
      </c>
      <c r="Q190" s="18">
        <f>IF($A190="","",IF(OR($B190="",COUNTIF(tblVarliklar[VarlikId],$B190)=0),"YETIM","TAMAM"))</f>
        <v/>
      </c>
    </row>
    <row r="191">
      <c r="A191" s="15" t="n"/>
      <c r="B191" s="15" t="n"/>
      <c r="C191" s="60" t="n"/>
      <c r="D191" s="17" t="n"/>
      <c r="E191" s="20" t="n"/>
      <c r="F191" s="17" t="n"/>
      <c r="G191" s="61" t="n"/>
      <c r="H191" s="15" t="n"/>
      <c r="I191" s="18">
        <f>IF($A191="","",IFERROR(SUMIF(tblVarliklar[VarlikId],$B191,tblVarliklar[HedefKiraTl_tl]),kpg_varsayilanHedefKira))</f>
        <v/>
      </c>
      <c r="J191" s="18">
        <f>IF($A191="","",MAX(0, 1-$E191/kpg_gunAy))</f>
        <v/>
      </c>
      <c r="K191" s="18">
        <f>IF(OR($A191="",$I191=0),"",$D191/$I191)</f>
        <v/>
      </c>
      <c r="L191" s="18">
        <f>IF($A191="","",$D191-$F191)</f>
        <v/>
      </c>
      <c r="M191" s="18">
        <f>IF($A191="","",$I191*(1+$G191))</f>
        <v/>
      </c>
      <c r="N191" s="18">
        <f>IF($A191="","",MAX(0,MIN(100,kpg_kaliteTaban-IF($J191&lt;kpg_esikDoluluk,kpg_kaliteCeza,0)-IF($K191&lt;kpg_esikGetiri,kpg_kaliteSapma,0)-IF($Q191="YETIM",kpg_kaliteCeza,0))))</f>
        <v/>
      </c>
      <c r="O191" s="18">
        <f>IF($A191="","",IF(OR($J191&lt;kpg_esikDoluluk,$K191&lt;kpg_esikGetiri,$N191&lt;kpg_esikSaglik),"ALARM","UYGUN"))</f>
        <v/>
      </c>
      <c r="P191" s="18">
        <f>IF($A191="","",1)</f>
        <v/>
      </c>
      <c r="Q191" s="18">
        <f>IF($A191="","",IF(OR($B191="",COUNTIF(tblVarliklar[VarlikId],$B191)=0),"YETIM","TAMAM"))</f>
        <v/>
      </c>
    </row>
    <row r="192">
      <c r="A192" s="15" t="n"/>
      <c r="B192" s="15" t="n"/>
      <c r="C192" s="60" t="n"/>
      <c r="D192" s="17" t="n"/>
      <c r="E192" s="20" t="n"/>
      <c r="F192" s="17" t="n"/>
      <c r="G192" s="61" t="n"/>
      <c r="H192" s="15" t="n"/>
      <c r="I192" s="18">
        <f>IF($A192="","",IFERROR(SUMIF(tblVarliklar[VarlikId],$B192,tblVarliklar[HedefKiraTl_tl]),kpg_varsayilanHedefKira))</f>
        <v/>
      </c>
      <c r="J192" s="18">
        <f>IF($A192="","",MAX(0, 1-$E192/kpg_gunAy))</f>
        <v/>
      </c>
      <c r="K192" s="18">
        <f>IF(OR($A192="",$I192=0),"",$D192/$I192)</f>
        <v/>
      </c>
      <c r="L192" s="18">
        <f>IF($A192="","",$D192-$F192)</f>
        <v/>
      </c>
      <c r="M192" s="18">
        <f>IF($A192="","",$I192*(1+$G192))</f>
        <v/>
      </c>
      <c r="N192" s="18">
        <f>IF($A192="","",MAX(0,MIN(100,kpg_kaliteTaban-IF($J192&lt;kpg_esikDoluluk,kpg_kaliteCeza,0)-IF($K192&lt;kpg_esikGetiri,kpg_kaliteSapma,0)-IF($Q192="YETIM",kpg_kaliteCeza,0))))</f>
        <v/>
      </c>
      <c r="O192" s="18">
        <f>IF($A192="","",IF(OR($J192&lt;kpg_esikDoluluk,$K192&lt;kpg_esikGetiri,$N192&lt;kpg_esikSaglik),"ALARM","UYGUN"))</f>
        <v/>
      </c>
      <c r="P192" s="18">
        <f>IF($A192="","",1)</f>
        <v/>
      </c>
      <c r="Q192" s="18">
        <f>IF($A192="","",IF(OR($B192="",COUNTIF(tblVarliklar[VarlikId],$B192)=0),"YETIM","TAMAM"))</f>
        <v/>
      </c>
    </row>
    <row r="193">
      <c r="A193" s="15" t="n"/>
      <c r="B193" s="15" t="n"/>
      <c r="C193" s="60" t="n"/>
      <c r="D193" s="17" t="n"/>
      <c r="E193" s="20" t="n"/>
      <c r="F193" s="17" t="n"/>
      <c r="G193" s="61" t="n"/>
      <c r="H193" s="15" t="n"/>
      <c r="I193" s="18">
        <f>IF($A193="","",IFERROR(SUMIF(tblVarliklar[VarlikId],$B193,tblVarliklar[HedefKiraTl_tl]),kpg_varsayilanHedefKira))</f>
        <v/>
      </c>
      <c r="J193" s="18">
        <f>IF($A193="","",MAX(0, 1-$E193/kpg_gunAy))</f>
        <v/>
      </c>
      <c r="K193" s="18">
        <f>IF(OR($A193="",$I193=0),"",$D193/$I193)</f>
        <v/>
      </c>
      <c r="L193" s="18">
        <f>IF($A193="","",$D193-$F193)</f>
        <v/>
      </c>
      <c r="M193" s="18">
        <f>IF($A193="","",$I193*(1+$G193))</f>
        <v/>
      </c>
      <c r="N193" s="18">
        <f>IF($A193="","",MAX(0,MIN(100,kpg_kaliteTaban-IF($J193&lt;kpg_esikDoluluk,kpg_kaliteCeza,0)-IF($K193&lt;kpg_esikGetiri,kpg_kaliteSapma,0)-IF($Q193="YETIM",kpg_kaliteCeza,0))))</f>
        <v/>
      </c>
      <c r="O193" s="18">
        <f>IF($A193="","",IF(OR($J193&lt;kpg_esikDoluluk,$K193&lt;kpg_esikGetiri,$N193&lt;kpg_esikSaglik),"ALARM","UYGUN"))</f>
        <v/>
      </c>
      <c r="P193" s="18">
        <f>IF($A193="","",1)</f>
        <v/>
      </c>
      <c r="Q193" s="18">
        <f>IF($A193="","",IF(OR($B193="",COUNTIF(tblVarliklar[VarlikId],$B193)=0),"YETIM","TAMAM"))</f>
        <v/>
      </c>
    </row>
    <row r="194">
      <c r="A194" s="15" t="n"/>
      <c r="B194" s="15" t="n"/>
      <c r="C194" s="60" t="n"/>
      <c r="D194" s="17" t="n"/>
      <c r="E194" s="20" t="n"/>
      <c r="F194" s="17" t="n"/>
      <c r="G194" s="61" t="n"/>
      <c r="H194" s="15" t="n"/>
      <c r="I194" s="18">
        <f>IF($A194="","",IFERROR(SUMIF(tblVarliklar[VarlikId],$B194,tblVarliklar[HedefKiraTl_tl]),kpg_varsayilanHedefKira))</f>
        <v/>
      </c>
      <c r="J194" s="18">
        <f>IF($A194="","",MAX(0, 1-$E194/kpg_gunAy))</f>
        <v/>
      </c>
      <c r="K194" s="18">
        <f>IF(OR($A194="",$I194=0),"",$D194/$I194)</f>
        <v/>
      </c>
      <c r="L194" s="18">
        <f>IF($A194="","",$D194-$F194)</f>
        <v/>
      </c>
      <c r="M194" s="18">
        <f>IF($A194="","",$I194*(1+$G194))</f>
        <v/>
      </c>
      <c r="N194" s="18">
        <f>IF($A194="","",MAX(0,MIN(100,kpg_kaliteTaban-IF($J194&lt;kpg_esikDoluluk,kpg_kaliteCeza,0)-IF($K194&lt;kpg_esikGetiri,kpg_kaliteSapma,0)-IF($Q194="YETIM",kpg_kaliteCeza,0))))</f>
        <v/>
      </c>
      <c r="O194" s="18">
        <f>IF($A194="","",IF(OR($J194&lt;kpg_esikDoluluk,$K194&lt;kpg_esikGetiri,$N194&lt;kpg_esikSaglik),"ALARM","UYGUN"))</f>
        <v/>
      </c>
      <c r="P194" s="18">
        <f>IF($A194="","",1)</f>
        <v/>
      </c>
      <c r="Q194" s="18">
        <f>IF($A194="","",IF(OR($B194="",COUNTIF(tblVarliklar[VarlikId],$B194)=0),"YETIM","TAMAM"))</f>
        <v/>
      </c>
    </row>
    <row r="195">
      <c r="A195" s="15" t="n"/>
      <c r="B195" s="15" t="n"/>
      <c r="C195" s="60" t="n"/>
      <c r="D195" s="17" t="n"/>
      <c r="E195" s="20" t="n"/>
      <c r="F195" s="17" t="n"/>
      <c r="G195" s="61" t="n"/>
      <c r="H195" s="15" t="n"/>
      <c r="I195" s="18">
        <f>IF($A195="","",IFERROR(SUMIF(tblVarliklar[VarlikId],$B195,tblVarliklar[HedefKiraTl_tl]),kpg_varsayilanHedefKira))</f>
        <v/>
      </c>
      <c r="J195" s="18">
        <f>IF($A195="","",MAX(0, 1-$E195/kpg_gunAy))</f>
        <v/>
      </c>
      <c r="K195" s="18">
        <f>IF(OR($A195="",$I195=0),"",$D195/$I195)</f>
        <v/>
      </c>
      <c r="L195" s="18">
        <f>IF($A195="","",$D195-$F195)</f>
        <v/>
      </c>
      <c r="M195" s="18">
        <f>IF($A195="","",$I195*(1+$G195))</f>
        <v/>
      </c>
      <c r="N195" s="18">
        <f>IF($A195="","",MAX(0,MIN(100,kpg_kaliteTaban-IF($J195&lt;kpg_esikDoluluk,kpg_kaliteCeza,0)-IF($K195&lt;kpg_esikGetiri,kpg_kaliteSapma,0)-IF($Q195="YETIM",kpg_kaliteCeza,0))))</f>
        <v/>
      </c>
      <c r="O195" s="18">
        <f>IF($A195="","",IF(OR($J195&lt;kpg_esikDoluluk,$K195&lt;kpg_esikGetiri,$N195&lt;kpg_esikSaglik),"ALARM","UYGUN"))</f>
        <v/>
      </c>
      <c r="P195" s="18">
        <f>IF($A195="","",1)</f>
        <v/>
      </c>
      <c r="Q195" s="18">
        <f>IF($A195="","",IF(OR($B195="",COUNTIF(tblVarliklar[VarlikId],$B195)=0),"YETIM","TAMAM"))</f>
        <v/>
      </c>
    </row>
    <row r="196">
      <c r="A196" s="15" t="n"/>
      <c r="B196" s="15" t="n"/>
      <c r="C196" s="60" t="n"/>
      <c r="D196" s="17" t="n"/>
      <c r="E196" s="20" t="n"/>
      <c r="F196" s="17" t="n"/>
      <c r="G196" s="61" t="n"/>
      <c r="H196" s="15" t="n"/>
      <c r="I196" s="18">
        <f>IF($A196="","",IFERROR(SUMIF(tblVarliklar[VarlikId],$B196,tblVarliklar[HedefKiraTl_tl]),kpg_varsayilanHedefKira))</f>
        <v/>
      </c>
      <c r="J196" s="18">
        <f>IF($A196="","",MAX(0, 1-$E196/kpg_gunAy))</f>
        <v/>
      </c>
      <c r="K196" s="18">
        <f>IF(OR($A196="",$I196=0),"",$D196/$I196)</f>
        <v/>
      </c>
      <c r="L196" s="18">
        <f>IF($A196="","",$D196-$F196)</f>
        <v/>
      </c>
      <c r="M196" s="18">
        <f>IF($A196="","",$I196*(1+$G196))</f>
        <v/>
      </c>
      <c r="N196" s="18">
        <f>IF($A196="","",MAX(0,MIN(100,kpg_kaliteTaban-IF($J196&lt;kpg_esikDoluluk,kpg_kaliteCeza,0)-IF($K196&lt;kpg_esikGetiri,kpg_kaliteSapma,0)-IF($Q196="YETIM",kpg_kaliteCeza,0))))</f>
        <v/>
      </c>
      <c r="O196" s="18">
        <f>IF($A196="","",IF(OR($J196&lt;kpg_esikDoluluk,$K196&lt;kpg_esikGetiri,$N196&lt;kpg_esikSaglik),"ALARM","UYGUN"))</f>
        <v/>
      </c>
      <c r="P196" s="18">
        <f>IF($A196="","",1)</f>
        <v/>
      </c>
      <c r="Q196" s="18">
        <f>IF($A196="","",IF(OR($B196="",COUNTIF(tblVarliklar[VarlikId],$B196)=0),"YETIM","TAMAM"))</f>
        <v/>
      </c>
    </row>
    <row r="197">
      <c r="A197" s="15" t="n"/>
      <c r="B197" s="15" t="n"/>
      <c r="C197" s="60" t="n"/>
      <c r="D197" s="17" t="n"/>
      <c r="E197" s="20" t="n"/>
      <c r="F197" s="17" t="n"/>
      <c r="G197" s="61" t="n"/>
      <c r="H197" s="15" t="n"/>
      <c r="I197" s="18">
        <f>IF($A197="","",IFERROR(SUMIF(tblVarliklar[VarlikId],$B197,tblVarliklar[HedefKiraTl_tl]),kpg_varsayilanHedefKira))</f>
        <v/>
      </c>
      <c r="J197" s="18">
        <f>IF($A197="","",MAX(0, 1-$E197/kpg_gunAy))</f>
        <v/>
      </c>
      <c r="K197" s="18">
        <f>IF(OR($A197="",$I197=0),"",$D197/$I197)</f>
        <v/>
      </c>
      <c r="L197" s="18">
        <f>IF($A197="","",$D197-$F197)</f>
        <v/>
      </c>
      <c r="M197" s="18">
        <f>IF($A197="","",$I197*(1+$G197))</f>
        <v/>
      </c>
      <c r="N197" s="18">
        <f>IF($A197="","",MAX(0,MIN(100,kpg_kaliteTaban-IF($J197&lt;kpg_esikDoluluk,kpg_kaliteCeza,0)-IF($K197&lt;kpg_esikGetiri,kpg_kaliteSapma,0)-IF($Q197="YETIM",kpg_kaliteCeza,0))))</f>
        <v/>
      </c>
      <c r="O197" s="18">
        <f>IF($A197="","",IF(OR($J197&lt;kpg_esikDoluluk,$K197&lt;kpg_esikGetiri,$N197&lt;kpg_esikSaglik),"ALARM","UYGUN"))</f>
        <v/>
      </c>
      <c r="P197" s="18">
        <f>IF($A197="","",1)</f>
        <v/>
      </c>
      <c r="Q197" s="18">
        <f>IF($A197="","",IF(OR($B197="",COUNTIF(tblVarliklar[VarlikId],$B197)=0),"YETIM","TAMAM"))</f>
        <v/>
      </c>
    </row>
    <row r="198">
      <c r="A198" s="15" t="n"/>
      <c r="B198" s="15" t="n"/>
      <c r="C198" s="60" t="n"/>
      <c r="D198" s="17" t="n"/>
      <c r="E198" s="20" t="n"/>
      <c r="F198" s="17" t="n"/>
      <c r="G198" s="61" t="n"/>
      <c r="H198" s="15" t="n"/>
      <c r="I198" s="18">
        <f>IF($A198="","",IFERROR(SUMIF(tblVarliklar[VarlikId],$B198,tblVarliklar[HedefKiraTl_tl]),kpg_varsayilanHedefKira))</f>
        <v/>
      </c>
      <c r="J198" s="18">
        <f>IF($A198="","",MAX(0, 1-$E198/kpg_gunAy))</f>
        <v/>
      </c>
      <c r="K198" s="18">
        <f>IF(OR($A198="",$I198=0),"",$D198/$I198)</f>
        <v/>
      </c>
      <c r="L198" s="18">
        <f>IF($A198="","",$D198-$F198)</f>
        <v/>
      </c>
      <c r="M198" s="18">
        <f>IF($A198="","",$I198*(1+$G198))</f>
        <v/>
      </c>
      <c r="N198" s="18">
        <f>IF($A198="","",MAX(0,MIN(100,kpg_kaliteTaban-IF($J198&lt;kpg_esikDoluluk,kpg_kaliteCeza,0)-IF($K198&lt;kpg_esikGetiri,kpg_kaliteSapma,0)-IF($Q198="YETIM",kpg_kaliteCeza,0))))</f>
        <v/>
      </c>
      <c r="O198" s="18">
        <f>IF($A198="","",IF(OR($J198&lt;kpg_esikDoluluk,$K198&lt;kpg_esikGetiri,$N198&lt;kpg_esikSaglik),"ALARM","UYGUN"))</f>
        <v/>
      </c>
      <c r="P198" s="18">
        <f>IF($A198="","",1)</f>
        <v/>
      </c>
      <c r="Q198" s="18">
        <f>IF($A198="","",IF(OR($B198="",COUNTIF(tblVarliklar[VarlikId],$B198)=0),"YETIM","TAMAM"))</f>
        <v/>
      </c>
    </row>
    <row r="199">
      <c r="A199" s="15" t="n"/>
      <c r="B199" s="15" t="n"/>
      <c r="C199" s="60" t="n"/>
      <c r="D199" s="17" t="n"/>
      <c r="E199" s="20" t="n"/>
      <c r="F199" s="17" t="n"/>
      <c r="G199" s="61" t="n"/>
      <c r="H199" s="15" t="n"/>
      <c r="I199" s="18">
        <f>IF($A199="","",IFERROR(SUMIF(tblVarliklar[VarlikId],$B199,tblVarliklar[HedefKiraTl_tl]),kpg_varsayilanHedefKira))</f>
        <v/>
      </c>
      <c r="J199" s="18">
        <f>IF($A199="","",MAX(0, 1-$E199/kpg_gunAy))</f>
        <v/>
      </c>
      <c r="K199" s="18">
        <f>IF(OR($A199="",$I199=0),"",$D199/$I199)</f>
        <v/>
      </c>
      <c r="L199" s="18">
        <f>IF($A199="","",$D199-$F199)</f>
        <v/>
      </c>
      <c r="M199" s="18">
        <f>IF($A199="","",$I199*(1+$G199))</f>
        <v/>
      </c>
      <c r="N199" s="18">
        <f>IF($A199="","",MAX(0,MIN(100,kpg_kaliteTaban-IF($J199&lt;kpg_esikDoluluk,kpg_kaliteCeza,0)-IF($K199&lt;kpg_esikGetiri,kpg_kaliteSapma,0)-IF($Q199="YETIM",kpg_kaliteCeza,0))))</f>
        <v/>
      </c>
      <c r="O199" s="18">
        <f>IF($A199="","",IF(OR($J199&lt;kpg_esikDoluluk,$K199&lt;kpg_esikGetiri,$N199&lt;kpg_esikSaglik),"ALARM","UYGUN"))</f>
        <v/>
      </c>
      <c r="P199" s="18">
        <f>IF($A199="","",1)</f>
        <v/>
      </c>
      <c r="Q199" s="18">
        <f>IF($A199="","",IF(OR($B199="",COUNTIF(tblVarliklar[VarlikId],$B199)=0),"YETIM","TAMAM"))</f>
        <v/>
      </c>
    </row>
    <row r="200">
      <c r="A200" s="15" t="n"/>
      <c r="B200" s="15" t="n"/>
      <c r="C200" s="60" t="n"/>
      <c r="D200" s="17" t="n"/>
      <c r="E200" s="20" t="n"/>
      <c r="F200" s="17" t="n"/>
      <c r="G200" s="61" t="n"/>
      <c r="H200" s="15" t="n"/>
      <c r="I200" s="18">
        <f>IF($A200="","",IFERROR(SUMIF(tblVarliklar[VarlikId],$B200,tblVarliklar[HedefKiraTl_tl]),kpg_varsayilanHedefKira))</f>
        <v/>
      </c>
      <c r="J200" s="18">
        <f>IF($A200="","",MAX(0, 1-$E200/kpg_gunAy))</f>
        <v/>
      </c>
      <c r="K200" s="18">
        <f>IF(OR($A200="",$I200=0),"",$D200/$I200)</f>
        <v/>
      </c>
      <c r="L200" s="18">
        <f>IF($A200="","",$D200-$F200)</f>
        <v/>
      </c>
      <c r="M200" s="18">
        <f>IF($A200="","",$I200*(1+$G200))</f>
        <v/>
      </c>
      <c r="N200" s="18">
        <f>IF($A200="","",MAX(0,MIN(100,kpg_kaliteTaban-IF($J200&lt;kpg_esikDoluluk,kpg_kaliteCeza,0)-IF($K200&lt;kpg_esikGetiri,kpg_kaliteSapma,0)-IF($Q200="YETIM",kpg_kaliteCeza,0))))</f>
        <v/>
      </c>
      <c r="O200" s="18">
        <f>IF($A200="","",IF(OR($J200&lt;kpg_esikDoluluk,$K200&lt;kpg_esikGetiri,$N200&lt;kpg_esikSaglik),"ALARM","UYGUN"))</f>
        <v/>
      </c>
      <c r="P200" s="18">
        <f>IF($A200="","",1)</f>
        <v/>
      </c>
      <c r="Q200" s="18">
        <f>IF($A200="","",IF(OR($B200="",COUNTIF(tblVarliklar[VarlikId],$B200)=0),"YETIM","TAMAM"))</f>
        <v/>
      </c>
    </row>
    <row r="201">
      <c r="A201" s="15" t="n"/>
      <c r="B201" s="15" t="n"/>
      <c r="C201" s="60" t="n"/>
      <c r="D201" s="17" t="n"/>
      <c r="E201" s="20" t="n"/>
      <c r="F201" s="17" t="n"/>
      <c r="G201" s="61" t="n"/>
      <c r="H201" s="15" t="n"/>
      <c r="I201" s="18">
        <f>IF($A201="","",IFERROR(SUMIF(tblVarliklar[VarlikId],$B201,tblVarliklar[HedefKiraTl_tl]),kpg_varsayilanHedefKira))</f>
        <v/>
      </c>
      <c r="J201" s="18">
        <f>IF($A201="","",MAX(0, 1-$E201/kpg_gunAy))</f>
        <v/>
      </c>
      <c r="K201" s="18">
        <f>IF(OR($A201="",$I201=0),"",$D201/$I201)</f>
        <v/>
      </c>
      <c r="L201" s="18">
        <f>IF($A201="","",$D201-$F201)</f>
        <v/>
      </c>
      <c r="M201" s="18">
        <f>IF($A201="","",$I201*(1+$G201))</f>
        <v/>
      </c>
      <c r="N201" s="18">
        <f>IF($A201="","",MAX(0,MIN(100,kpg_kaliteTaban-IF($J201&lt;kpg_esikDoluluk,kpg_kaliteCeza,0)-IF($K201&lt;kpg_esikGetiri,kpg_kaliteSapma,0)-IF($Q201="YETIM",kpg_kaliteCeza,0))))</f>
        <v/>
      </c>
      <c r="O201" s="18">
        <f>IF($A201="","",IF(OR($J201&lt;kpg_esikDoluluk,$K201&lt;kpg_esikGetiri,$N201&lt;kpg_esikSaglik),"ALARM","UYGUN"))</f>
        <v/>
      </c>
      <c r="P201" s="18">
        <f>IF($A201="","",1)</f>
        <v/>
      </c>
      <c r="Q201" s="18">
        <f>IF($A201="","",IF(OR($B201="",COUNTIF(tblVarliklar[VarlikId],$B201)=0),"YETIM","TAMAM"))</f>
        <v/>
      </c>
    </row>
    <row r="202">
      <c r="A202" s="15" t="n"/>
      <c r="B202" s="15" t="n"/>
      <c r="C202" s="60" t="n"/>
      <c r="D202" s="17" t="n"/>
      <c r="E202" s="20" t="n"/>
      <c r="F202" s="17" t="n"/>
      <c r="G202" s="61" t="n"/>
      <c r="H202" s="15" t="n"/>
      <c r="I202" s="18">
        <f>IF($A202="","",IFERROR(SUMIF(tblVarliklar[VarlikId],$B202,tblVarliklar[HedefKiraTl_tl]),kpg_varsayilanHedefKira))</f>
        <v/>
      </c>
      <c r="J202" s="18">
        <f>IF($A202="","",MAX(0, 1-$E202/kpg_gunAy))</f>
        <v/>
      </c>
      <c r="K202" s="18">
        <f>IF(OR($A202="",$I202=0),"",$D202/$I202)</f>
        <v/>
      </c>
      <c r="L202" s="18">
        <f>IF($A202="","",$D202-$F202)</f>
        <v/>
      </c>
      <c r="M202" s="18">
        <f>IF($A202="","",$I202*(1+$G202))</f>
        <v/>
      </c>
      <c r="N202" s="18">
        <f>IF($A202="","",MAX(0,MIN(100,kpg_kaliteTaban-IF($J202&lt;kpg_esikDoluluk,kpg_kaliteCeza,0)-IF($K202&lt;kpg_esikGetiri,kpg_kaliteSapma,0)-IF($Q202="YETIM",kpg_kaliteCeza,0))))</f>
        <v/>
      </c>
      <c r="O202" s="18">
        <f>IF($A202="","",IF(OR($J202&lt;kpg_esikDoluluk,$K202&lt;kpg_esikGetiri,$N202&lt;kpg_esikSaglik),"ALARM","UYGUN"))</f>
        <v/>
      </c>
      <c r="P202" s="18">
        <f>IF($A202="","",1)</f>
        <v/>
      </c>
      <c r="Q202" s="18">
        <f>IF($A202="","",IF(OR($B202="",COUNTIF(tblVarliklar[VarlikId],$B202)=0),"YETIM","TAMAM"))</f>
        <v/>
      </c>
    </row>
    <row r="203">
      <c r="A203" s="15" t="n"/>
      <c r="B203" s="15" t="n"/>
      <c r="C203" s="60" t="n"/>
      <c r="D203" s="17" t="n"/>
      <c r="E203" s="20" t="n"/>
      <c r="F203" s="17" t="n"/>
      <c r="G203" s="61" t="n"/>
      <c r="H203" s="15" t="n"/>
      <c r="I203" s="18">
        <f>IF($A203="","",IFERROR(SUMIF(tblVarliklar[VarlikId],$B203,tblVarliklar[HedefKiraTl_tl]),kpg_varsayilanHedefKira))</f>
        <v/>
      </c>
      <c r="J203" s="18">
        <f>IF($A203="","",MAX(0, 1-$E203/kpg_gunAy))</f>
        <v/>
      </c>
      <c r="K203" s="18">
        <f>IF(OR($A203="",$I203=0),"",$D203/$I203)</f>
        <v/>
      </c>
      <c r="L203" s="18">
        <f>IF($A203="","",$D203-$F203)</f>
        <v/>
      </c>
      <c r="M203" s="18">
        <f>IF($A203="","",$I203*(1+$G203))</f>
        <v/>
      </c>
      <c r="N203" s="18">
        <f>IF($A203="","",MAX(0,MIN(100,kpg_kaliteTaban-IF($J203&lt;kpg_esikDoluluk,kpg_kaliteCeza,0)-IF($K203&lt;kpg_esikGetiri,kpg_kaliteSapma,0)-IF($Q203="YETIM",kpg_kaliteCeza,0))))</f>
        <v/>
      </c>
      <c r="O203" s="18">
        <f>IF($A203="","",IF(OR($J203&lt;kpg_esikDoluluk,$K203&lt;kpg_esikGetiri,$N203&lt;kpg_esikSaglik),"ALARM","UYGUN"))</f>
        <v/>
      </c>
      <c r="P203" s="18">
        <f>IF($A203="","",1)</f>
        <v/>
      </c>
      <c r="Q203" s="18">
        <f>IF($A203="","",IF(OR($B203="",COUNTIF(tblVarliklar[VarlikId],$B203)=0),"YETIM","TAMAM"))</f>
        <v/>
      </c>
    </row>
    <row r="204">
      <c r="A204" s="15" t="n"/>
      <c r="B204" s="15" t="n"/>
      <c r="C204" s="60" t="n"/>
      <c r="D204" s="17" t="n"/>
      <c r="E204" s="20" t="n"/>
      <c r="F204" s="17" t="n"/>
      <c r="G204" s="61" t="n"/>
      <c r="H204" s="15" t="n"/>
      <c r="I204" s="18">
        <f>IF($A204="","",IFERROR(SUMIF(tblVarliklar[VarlikId],$B204,tblVarliklar[HedefKiraTl_tl]),kpg_varsayilanHedefKira))</f>
        <v/>
      </c>
      <c r="J204" s="18">
        <f>IF($A204="","",MAX(0, 1-$E204/kpg_gunAy))</f>
        <v/>
      </c>
      <c r="K204" s="18">
        <f>IF(OR($A204="",$I204=0),"",$D204/$I204)</f>
        <v/>
      </c>
      <c r="L204" s="18">
        <f>IF($A204="","",$D204-$F204)</f>
        <v/>
      </c>
      <c r="M204" s="18">
        <f>IF($A204="","",$I204*(1+$G204))</f>
        <v/>
      </c>
      <c r="N204" s="18">
        <f>IF($A204="","",MAX(0,MIN(100,kpg_kaliteTaban-IF($J204&lt;kpg_esikDoluluk,kpg_kaliteCeza,0)-IF($K204&lt;kpg_esikGetiri,kpg_kaliteSapma,0)-IF($Q204="YETIM",kpg_kaliteCeza,0))))</f>
        <v/>
      </c>
      <c r="O204" s="18">
        <f>IF($A204="","",IF(OR($J204&lt;kpg_esikDoluluk,$K204&lt;kpg_esikGetiri,$N204&lt;kpg_esikSaglik),"ALARM","UYGUN"))</f>
        <v/>
      </c>
      <c r="P204" s="18">
        <f>IF($A204="","",1)</f>
        <v/>
      </c>
      <c r="Q204" s="18">
        <f>IF($A204="","",IF(OR($B204="",COUNTIF(tblVarliklar[VarlikId],$B204)=0),"YETIM","TAMAM"))</f>
        <v/>
      </c>
    </row>
    <row r="205">
      <c r="A205" s="15" t="n"/>
      <c r="B205" s="15" t="n"/>
      <c r="C205" s="60" t="n"/>
      <c r="D205" s="17" t="n"/>
      <c r="E205" s="20" t="n"/>
      <c r="F205" s="17" t="n"/>
      <c r="G205" s="61" t="n"/>
      <c r="H205" s="15" t="n"/>
      <c r="I205" s="18">
        <f>IF($A205="","",IFERROR(SUMIF(tblVarliklar[VarlikId],$B205,tblVarliklar[HedefKiraTl_tl]),kpg_varsayilanHedefKira))</f>
        <v/>
      </c>
      <c r="J205" s="18">
        <f>IF($A205="","",MAX(0, 1-$E205/kpg_gunAy))</f>
        <v/>
      </c>
      <c r="K205" s="18">
        <f>IF(OR($A205="",$I205=0),"",$D205/$I205)</f>
        <v/>
      </c>
      <c r="L205" s="18">
        <f>IF($A205="","",$D205-$F205)</f>
        <v/>
      </c>
      <c r="M205" s="18">
        <f>IF($A205="","",$I205*(1+$G205))</f>
        <v/>
      </c>
      <c r="N205" s="18">
        <f>IF($A205="","",MAX(0,MIN(100,kpg_kaliteTaban-IF($J205&lt;kpg_esikDoluluk,kpg_kaliteCeza,0)-IF($K205&lt;kpg_esikGetiri,kpg_kaliteSapma,0)-IF($Q205="YETIM",kpg_kaliteCeza,0))))</f>
        <v/>
      </c>
      <c r="O205" s="18">
        <f>IF($A205="","",IF(OR($J205&lt;kpg_esikDoluluk,$K205&lt;kpg_esikGetiri,$N205&lt;kpg_esikSaglik),"ALARM","UYGUN"))</f>
        <v/>
      </c>
      <c r="P205" s="18">
        <f>IF($A205="","",1)</f>
        <v/>
      </c>
      <c r="Q205" s="18">
        <f>IF($A205="","",IF(OR($B205="",COUNTIF(tblVarliklar[VarlikId],$B205)=0),"YETIM","TAMAM"))</f>
        <v/>
      </c>
    </row>
    <row r="206">
      <c r="A206" s="15" t="n"/>
      <c r="B206" s="15" t="n"/>
      <c r="C206" s="60" t="n"/>
      <c r="D206" s="17" t="n"/>
      <c r="E206" s="20" t="n"/>
      <c r="F206" s="17" t="n"/>
      <c r="G206" s="61" t="n"/>
      <c r="H206" s="15" t="n"/>
      <c r="I206" s="18">
        <f>IF($A206="","",IFERROR(SUMIF(tblVarliklar[VarlikId],$B206,tblVarliklar[HedefKiraTl_tl]),kpg_varsayilanHedefKira))</f>
        <v/>
      </c>
      <c r="J206" s="18">
        <f>IF($A206="","",MAX(0, 1-$E206/kpg_gunAy))</f>
        <v/>
      </c>
      <c r="K206" s="18">
        <f>IF(OR($A206="",$I206=0),"",$D206/$I206)</f>
        <v/>
      </c>
      <c r="L206" s="18">
        <f>IF($A206="","",$D206-$F206)</f>
        <v/>
      </c>
      <c r="M206" s="18">
        <f>IF($A206="","",$I206*(1+$G206))</f>
        <v/>
      </c>
      <c r="N206" s="18">
        <f>IF($A206="","",MAX(0,MIN(100,kpg_kaliteTaban-IF($J206&lt;kpg_esikDoluluk,kpg_kaliteCeza,0)-IF($K206&lt;kpg_esikGetiri,kpg_kaliteSapma,0)-IF($Q206="YETIM",kpg_kaliteCeza,0))))</f>
        <v/>
      </c>
      <c r="O206" s="18">
        <f>IF($A206="","",IF(OR($J206&lt;kpg_esikDoluluk,$K206&lt;kpg_esikGetiri,$N206&lt;kpg_esikSaglik),"ALARM","UYGUN"))</f>
        <v/>
      </c>
      <c r="P206" s="18">
        <f>IF($A206="","",1)</f>
        <v/>
      </c>
      <c r="Q206" s="18">
        <f>IF($A206="","",IF(OR($B206="",COUNTIF(tblVarliklar[VarlikId],$B206)=0),"YETIM","TAMAM"))</f>
        <v/>
      </c>
    </row>
    <row r="207">
      <c r="A207" s="15" t="n"/>
      <c r="B207" s="15" t="n"/>
      <c r="C207" s="60" t="n"/>
      <c r="D207" s="17" t="n"/>
      <c r="E207" s="20" t="n"/>
      <c r="F207" s="17" t="n"/>
      <c r="G207" s="61" t="n"/>
      <c r="H207" s="15" t="n"/>
      <c r="I207" s="18">
        <f>IF($A207="","",IFERROR(SUMIF(tblVarliklar[VarlikId],$B207,tblVarliklar[HedefKiraTl_tl]),kpg_varsayilanHedefKira))</f>
        <v/>
      </c>
      <c r="J207" s="18">
        <f>IF($A207="","",MAX(0, 1-$E207/kpg_gunAy))</f>
        <v/>
      </c>
      <c r="K207" s="18">
        <f>IF(OR($A207="",$I207=0),"",$D207/$I207)</f>
        <v/>
      </c>
      <c r="L207" s="18">
        <f>IF($A207="","",$D207-$F207)</f>
        <v/>
      </c>
      <c r="M207" s="18">
        <f>IF($A207="","",$I207*(1+$G207))</f>
        <v/>
      </c>
      <c r="N207" s="18">
        <f>IF($A207="","",MAX(0,MIN(100,kpg_kaliteTaban-IF($J207&lt;kpg_esikDoluluk,kpg_kaliteCeza,0)-IF($K207&lt;kpg_esikGetiri,kpg_kaliteSapma,0)-IF($Q207="YETIM",kpg_kaliteCeza,0))))</f>
        <v/>
      </c>
      <c r="O207" s="18">
        <f>IF($A207="","",IF(OR($J207&lt;kpg_esikDoluluk,$K207&lt;kpg_esikGetiri,$N207&lt;kpg_esikSaglik),"ALARM","UYGUN"))</f>
        <v/>
      </c>
      <c r="P207" s="18">
        <f>IF($A207="","",1)</f>
        <v/>
      </c>
      <c r="Q207" s="18">
        <f>IF($A207="","",IF(OR($B207="",COUNTIF(tblVarliklar[VarlikId],$B207)=0),"YETIM","TAMAM"))</f>
        <v/>
      </c>
    </row>
    <row r="208">
      <c r="A208" s="15" t="n"/>
      <c r="B208" s="15" t="n"/>
      <c r="C208" s="60" t="n"/>
      <c r="D208" s="17" t="n"/>
      <c r="E208" s="20" t="n"/>
      <c r="F208" s="17" t="n"/>
      <c r="G208" s="61" t="n"/>
      <c r="H208" s="15" t="n"/>
      <c r="I208" s="18">
        <f>IF($A208="","",IFERROR(SUMIF(tblVarliklar[VarlikId],$B208,tblVarliklar[HedefKiraTl_tl]),kpg_varsayilanHedefKira))</f>
        <v/>
      </c>
      <c r="J208" s="18">
        <f>IF($A208="","",MAX(0, 1-$E208/kpg_gunAy))</f>
        <v/>
      </c>
      <c r="K208" s="18">
        <f>IF(OR($A208="",$I208=0),"",$D208/$I208)</f>
        <v/>
      </c>
      <c r="L208" s="18">
        <f>IF($A208="","",$D208-$F208)</f>
        <v/>
      </c>
      <c r="M208" s="18">
        <f>IF($A208="","",$I208*(1+$G208))</f>
        <v/>
      </c>
      <c r="N208" s="18">
        <f>IF($A208="","",MAX(0,MIN(100,kpg_kaliteTaban-IF($J208&lt;kpg_esikDoluluk,kpg_kaliteCeza,0)-IF($K208&lt;kpg_esikGetiri,kpg_kaliteSapma,0)-IF($Q208="YETIM",kpg_kaliteCeza,0))))</f>
        <v/>
      </c>
      <c r="O208" s="18">
        <f>IF($A208="","",IF(OR($J208&lt;kpg_esikDoluluk,$K208&lt;kpg_esikGetiri,$N208&lt;kpg_esikSaglik),"ALARM","UYGUN"))</f>
        <v/>
      </c>
      <c r="P208" s="18">
        <f>IF($A208="","",1)</f>
        <v/>
      </c>
      <c r="Q208" s="18">
        <f>IF($A208="","",IF(OR($B208="",COUNTIF(tblVarliklar[VarlikId],$B208)=0),"YETIM","TAMAM"))</f>
        <v/>
      </c>
    </row>
    <row r="209">
      <c r="A209" s="15" t="n"/>
      <c r="B209" s="15" t="n"/>
      <c r="C209" s="60" t="n"/>
      <c r="D209" s="17" t="n"/>
      <c r="E209" s="20" t="n"/>
      <c r="F209" s="17" t="n"/>
      <c r="G209" s="61" t="n"/>
      <c r="H209" s="15" t="n"/>
      <c r="I209" s="18">
        <f>IF($A209="","",IFERROR(SUMIF(tblVarliklar[VarlikId],$B209,tblVarliklar[HedefKiraTl_tl]),kpg_varsayilanHedefKira))</f>
        <v/>
      </c>
      <c r="J209" s="18">
        <f>IF($A209="","",MAX(0, 1-$E209/kpg_gunAy))</f>
        <v/>
      </c>
      <c r="K209" s="18">
        <f>IF(OR($A209="",$I209=0),"",$D209/$I209)</f>
        <v/>
      </c>
      <c r="L209" s="18">
        <f>IF($A209="","",$D209-$F209)</f>
        <v/>
      </c>
      <c r="M209" s="18">
        <f>IF($A209="","",$I209*(1+$G209))</f>
        <v/>
      </c>
      <c r="N209" s="18">
        <f>IF($A209="","",MAX(0,MIN(100,kpg_kaliteTaban-IF($J209&lt;kpg_esikDoluluk,kpg_kaliteCeza,0)-IF($K209&lt;kpg_esikGetiri,kpg_kaliteSapma,0)-IF($Q209="YETIM",kpg_kaliteCeza,0))))</f>
        <v/>
      </c>
      <c r="O209" s="18">
        <f>IF($A209="","",IF(OR($J209&lt;kpg_esikDoluluk,$K209&lt;kpg_esikGetiri,$N209&lt;kpg_esikSaglik),"ALARM","UYGUN"))</f>
        <v/>
      </c>
      <c r="P209" s="18">
        <f>IF($A209="","",1)</f>
        <v/>
      </c>
      <c r="Q209" s="18">
        <f>IF($A209="","",IF(OR($B209="",COUNTIF(tblVarliklar[VarlikId],$B209)=0),"YETIM","TAMAM"))</f>
        <v/>
      </c>
    </row>
    <row r="210">
      <c r="A210" s="15" t="n"/>
      <c r="B210" s="15" t="n"/>
      <c r="C210" s="60" t="n"/>
      <c r="D210" s="17" t="n"/>
      <c r="E210" s="20" t="n"/>
      <c r="F210" s="17" t="n"/>
      <c r="G210" s="61" t="n"/>
      <c r="H210" s="15" t="n"/>
      <c r="I210" s="18">
        <f>IF($A210="","",IFERROR(SUMIF(tblVarliklar[VarlikId],$B210,tblVarliklar[HedefKiraTl_tl]),kpg_varsayilanHedefKira))</f>
        <v/>
      </c>
      <c r="J210" s="18">
        <f>IF($A210="","",MAX(0, 1-$E210/kpg_gunAy))</f>
        <v/>
      </c>
      <c r="K210" s="18">
        <f>IF(OR($A210="",$I210=0),"",$D210/$I210)</f>
        <v/>
      </c>
      <c r="L210" s="18">
        <f>IF($A210="","",$D210-$F210)</f>
        <v/>
      </c>
      <c r="M210" s="18">
        <f>IF($A210="","",$I210*(1+$G210))</f>
        <v/>
      </c>
      <c r="N210" s="18">
        <f>IF($A210="","",MAX(0,MIN(100,kpg_kaliteTaban-IF($J210&lt;kpg_esikDoluluk,kpg_kaliteCeza,0)-IF($K210&lt;kpg_esikGetiri,kpg_kaliteSapma,0)-IF($Q210="YETIM",kpg_kaliteCeza,0))))</f>
        <v/>
      </c>
      <c r="O210" s="18">
        <f>IF($A210="","",IF(OR($J210&lt;kpg_esikDoluluk,$K210&lt;kpg_esikGetiri,$N210&lt;kpg_esikSaglik),"ALARM","UYGUN"))</f>
        <v/>
      </c>
      <c r="P210" s="18">
        <f>IF($A210="","",1)</f>
        <v/>
      </c>
      <c r="Q210" s="18">
        <f>IF($A210="","",IF(OR($B210="",COUNTIF(tblVarliklar[VarlikId],$B210)=0),"YETIM","TAMAM"))</f>
        <v/>
      </c>
    </row>
    <row r="211">
      <c r="A211" s="15" t="n"/>
      <c r="B211" s="15" t="n"/>
      <c r="C211" s="60" t="n"/>
      <c r="D211" s="17" t="n"/>
      <c r="E211" s="20" t="n"/>
      <c r="F211" s="17" t="n"/>
      <c r="G211" s="61" t="n"/>
      <c r="H211" s="15" t="n"/>
      <c r="I211" s="18">
        <f>IF($A211="","",IFERROR(SUMIF(tblVarliklar[VarlikId],$B211,tblVarliklar[HedefKiraTl_tl]),kpg_varsayilanHedefKira))</f>
        <v/>
      </c>
      <c r="J211" s="18">
        <f>IF($A211="","",MAX(0, 1-$E211/kpg_gunAy))</f>
        <v/>
      </c>
      <c r="K211" s="18">
        <f>IF(OR($A211="",$I211=0),"",$D211/$I211)</f>
        <v/>
      </c>
      <c r="L211" s="18">
        <f>IF($A211="","",$D211-$F211)</f>
        <v/>
      </c>
      <c r="M211" s="18">
        <f>IF($A211="","",$I211*(1+$G211))</f>
        <v/>
      </c>
      <c r="N211" s="18">
        <f>IF($A211="","",MAX(0,MIN(100,kpg_kaliteTaban-IF($J211&lt;kpg_esikDoluluk,kpg_kaliteCeza,0)-IF($K211&lt;kpg_esikGetiri,kpg_kaliteSapma,0)-IF($Q211="YETIM",kpg_kaliteCeza,0))))</f>
        <v/>
      </c>
      <c r="O211" s="18">
        <f>IF($A211="","",IF(OR($J211&lt;kpg_esikDoluluk,$K211&lt;kpg_esikGetiri,$N211&lt;kpg_esikSaglik),"ALARM","UYGUN"))</f>
        <v/>
      </c>
      <c r="P211" s="18">
        <f>IF($A211="","",1)</f>
        <v/>
      </c>
      <c r="Q211" s="18">
        <f>IF($A211="","",IF(OR($B211="",COUNTIF(tblVarliklar[VarlikId],$B211)=0),"YETIM","TAMAM"))</f>
        <v/>
      </c>
    </row>
    <row r="212">
      <c r="A212" s="15" t="n"/>
      <c r="B212" s="15" t="n"/>
      <c r="C212" s="60" t="n"/>
      <c r="D212" s="17" t="n"/>
      <c r="E212" s="20" t="n"/>
      <c r="F212" s="17" t="n"/>
      <c r="G212" s="61" t="n"/>
      <c r="H212" s="15" t="n"/>
      <c r="I212" s="18">
        <f>IF($A212="","",IFERROR(SUMIF(tblVarliklar[VarlikId],$B212,tblVarliklar[HedefKiraTl_tl]),kpg_varsayilanHedefKira))</f>
        <v/>
      </c>
      <c r="J212" s="18">
        <f>IF($A212="","",MAX(0, 1-$E212/kpg_gunAy))</f>
        <v/>
      </c>
      <c r="K212" s="18">
        <f>IF(OR($A212="",$I212=0),"",$D212/$I212)</f>
        <v/>
      </c>
      <c r="L212" s="18">
        <f>IF($A212="","",$D212-$F212)</f>
        <v/>
      </c>
      <c r="M212" s="18">
        <f>IF($A212="","",$I212*(1+$G212))</f>
        <v/>
      </c>
      <c r="N212" s="18">
        <f>IF($A212="","",MAX(0,MIN(100,kpg_kaliteTaban-IF($J212&lt;kpg_esikDoluluk,kpg_kaliteCeza,0)-IF($K212&lt;kpg_esikGetiri,kpg_kaliteSapma,0)-IF($Q212="YETIM",kpg_kaliteCeza,0))))</f>
        <v/>
      </c>
      <c r="O212" s="18">
        <f>IF($A212="","",IF(OR($J212&lt;kpg_esikDoluluk,$K212&lt;kpg_esikGetiri,$N212&lt;kpg_esikSaglik),"ALARM","UYGUN"))</f>
        <v/>
      </c>
      <c r="P212" s="18">
        <f>IF($A212="","",1)</f>
        <v/>
      </c>
      <c r="Q212" s="18">
        <f>IF($A212="","",IF(OR($B212="",COUNTIF(tblVarliklar[VarlikId],$B212)=0),"YETIM","TAMAM"))</f>
        <v/>
      </c>
    </row>
    <row r="213">
      <c r="A213" s="15" t="n"/>
      <c r="B213" s="15" t="n"/>
      <c r="C213" s="60" t="n"/>
      <c r="D213" s="17" t="n"/>
      <c r="E213" s="20" t="n"/>
      <c r="F213" s="17" t="n"/>
      <c r="G213" s="61" t="n"/>
      <c r="H213" s="15" t="n"/>
      <c r="I213" s="18">
        <f>IF($A213="","",IFERROR(SUMIF(tblVarliklar[VarlikId],$B213,tblVarliklar[HedefKiraTl_tl]),kpg_varsayilanHedefKira))</f>
        <v/>
      </c>
      <c r="J213" s="18">
        <f>IF($A213="","",MAX(0, 1-$E213/kpg_gunAy))</f>
        <v/>
      </c>
      <c r="K213" s="18">
        <f>IF(OR($A213="",$I213=0),"",$D213/$I213)</f>
        <v/>
      </c>
      <c r="L213" s="18">
        <f>IF($A213="","",$D213-$F213)</f>
        <v/>
      </c>
      <c r="M213" s="18">
        <f>IF($A213="","",$I213*(1+$G213))</f>
        <v/>
      </c>
      <c r="N213" s="18">
        <f>IF($A213="","",MAX(0,MIN(100,kpg_kaliteTaban-IF($J213&lt;kpg_esikDoluluk,kpg_kaliteCeza,0)-IF($K213&lt;kpg_esikGetiri,kpg_kaliteSapma,0)-IF($Q213="YETIM",kpg_kaliteCeza,0))))</f>
        <v/>
      </c>
      <c r="O213" s="18">
        <f>IF($A213="","",IF(OR($J213&lt;kpg_esikDoluluk,$K213&lt;kpg_esikGetiri,$N213&lt;kpg_esikSaglik),"ALARM","UYGUN"))</f>
        <v/>
      </c>
      <c r="P213" s="18">
        <f>IF($A213="","",1)</f>
        <v/>
      </c>
      <c r="Q213" s="18">
        <f>IF($A213="","",IF(OR($B213="",COUNTIF(tblVarliklar[VarlikId],$B213)=0),"YETIM","TAMAM"))</f>
        <v/>
      </c>
    </row>
    <row r="214">
      <c r="A214" s="15" t="n"/>
      <c r="B214" s="15" t="n"/>
      <c r="C214" s="60" t="n"/>
      <c r="D214" s="17" t="n"/>
      <c r="E214" s="20" t="n"/>
      <c r="F214" s="17" t="n"/>
      <c r="G214" s="61" t="n"/>
      <c r="H214" s="15" t="n"/>
      <c r="I214" s="18">
        <f>IF($A214="","",IFERROR(SUMIF(tblVarliklar[VarlikId],$B214,tblVarliklar[HedefKiraTl_tl]),kpg_varsayilanHedefKira))</f>
        <v/>
      </c>
      <c r="J214" s="18">
        <f>IF($A214="","",MAX(0, 1-$E214/kpg_gunAy))</f>
        <v/>
      </c>
      <c r="K214" s="18">
        <f>IF(OR($A214="",$I214=0),"",$D214/$I214)</f>
        <v/>
      </c>
      <c r="L214" s="18">
        <f>IF($A214="","",$D214-$F214)</f>
        <v/>
      </c>
      <c r="M214" s="18">
        <f>IF($A214="","",$I214*(1+$G214))</f>
        <v/>
      </c>
      <c r="N214" s="18">
        <f>IF($A214="","",MAX(0,MIN(100,kpg_kaliteTaban-IF($J214&lt;kpg_esikDoluluk,kpg_kaliteCeza,0)-IF($K214&lt;kpg_esikGetiri,kpg_kaliteSapma,0)-IF($Q214="YETIM",kpg_kaliteCeza,0))))</f>
        <v/>
      </c>
      <c r="O214" s="18">
        <f>IF($A214="","",IF(OR($J214&lt;kpg_esikDoluluk,$K214&lt;kpg_esikGetiri,$N214&lt;kpg_esikSaglik),"ALARM","UYGUN"))</f>
        <v/>
      </c>
      <c r="P214" s="18">
        <f>IF($A214="","",1)</f>
        <v/>
      </c>
      <c r="Q214" s="18">
        <f>IF($A214="","",IF(OR($B214="",COUNTIF(tblVarliklar[VarlikId],$B214)=0),"YETIM","TAMAM"))</f>
        <v/>
      </c>
    </row>
    <row r="215">
      <c r="A215" s="15" t="n"/>
      <c r="B215" s="15" t="n"/>
      <c r="C215" s="60" t="n"/>
      <c r="D215" s="17" t="n"/>
      <c r="E215" s="20" t="n"/>
      <c r="F215" s="17" t="n"/>
      <c r="G215" s="61" t="n"/>
      <c r="H215" s="15" t="n"/>
      <c r="I215" s="18">
        <f>IF($A215="","",IFERROR(SUMIF(tblVarliklar[VarlikId],$B215,tblVarliklar[HedefKiraTl_tl]),kpg_varsayilanHedefKira))</f>
        <v/>
      </c>
      <c r="J215" s="18">
        <f>IF($A215="","",MAX(0, 1-$E215/kpg_gunAy))</f>
        <v/>
      </c>
      <c r="K215" s="18">
        <f>IF(OR($A215="",$I215=0),"",$D215/$I215)</f>
        <v/>
      </c>
      <c r="L215" s="18">
        <f>IF($A215="","",$D215-$F215)</f>
        <v/>
      </c>
      <c r="M215" s="18">
        <f>IF($A215="","",$I215*(1+$G215))</f>
        <v/>
      </c>
      <c r="N215" s="18">
        <f>IF($A215="","",MAX(0,MIN(100,kpg_kaliteTaban-IF($J215&lt;kpg_esikDoluluk,kpg_kaliteCeza,0)-IF($K215&lt;kpg_esikGetiri,kpg_kaliteSapma,0)-IF($Q215="YETIM",kpg_kaliteCeza,0))))</f>
        <v/>
      </c>
      <c r="O215" s="18">
        <f>IF($A215="","",IF(OR($J215&lt;kpg_esikDoluluk,$K215&lt;kpg_esikGetiri,$N215&lt;kpg_esikSaglik),"ALARM","UYGUN"))</f>
        <v/>
      </c>
      <c r="P215" s="18">
        <f>IF($A215="","",1)</f>
        <v/>
      </c>
      <c r="Q215" s="18">
        <f>IF($A215="","",IF(OR($B215="",COUNTIF(tblVarliklar[VarlikId],$B215)=0),"YETIM","TAMAM"))</f>
        <v/>
      </c>
    </row>
    <row r="216">
      <c r="A216" s="15" t="n"/>
      <c r="B216" s="15" t="n"/>
      <c r="C216" s="60" t="n"/>
      <c r="D216" s="17" t="n"/>
      <c r="E216" s="20" t="n"/>
      <c r="F216" s="17" t="n"/>
      <c r="G216" s="61" t="n"/>
      <c r="H216" s="15" t="n"/>
      <c r="I216" s="18">
        <f>IF($A216="","",IFERROR(SUMIF(tblVarliklar[VarlikId],$B216,tblVarliklar[HedefKiraTl_tl]),kpg_varsayilanHedefKira))</f>
        <v/>
      </c>
      <c r="J216" s="18">
        <f>IF($A216="","",MAX(0, 1-$E216/kpg_gunAy))</f>
        <v/>
      </c>
      <c r="K216" s="18">
        <f>IF(OR($A216="",$I216=0),"",$D216/$I216)</f>
        <v/>
      </c>
      <c r="L216" s="18">
        <f>IF($A216="","",$D216-$F216)</f>
        <v/>
      </c>
      <c r="M216" s="18">
        <f>IF($A216="","",$I216*(1+$G216))</f>
        <v/>
      </c>
      <c r="N216" s="18">
        <f>IF($A216="","",MAX(0,MIN(100,kpg_kaliteTaban-IF($J216&lt;kpg_esikDoluluk,kpg_kaliteCeza,0)-IF($K216&lt;kpg_esikGetiri,kpg_kaliteSapma,0)-IF($Q216="YETIM",kpg_kaliteCeza,0))))</f>
        <v/>
      </c>
      <c r="O216" s="18">
        <f>IF($A216="","",IF(OR($J216&lt;kpg_esikDoluluk,$K216&lt;kpg_esikGetiri,$N216&lt;kpg_esikSaglik),"ALARM","UYGUN"))</f>
        <v/>
      </c>
      <c r="P216" s="18">
        <f>IF($A216="","",1)</f>
        <v/>
      </c>
      <c r="Q216" s="18">
        <f>IF($A216="","",IF(OR($B216="",COUNTIF(tblVarliklar[VarlikId],$B216)=0),"YETIM","TAMAM"))</f>
        <v/>
      </c>
    </row>
    <row r="217">
      <c r="A217" s="15" t="n"/>
      <c r="B217" s="15" t="n"/>
      <c r="C217" s="60" t="n"/>
      <c r="D217" s="17" t="n"/>
      <c r="E217" s="20" t="n"/>
      <c r="F217" s="17" t="n"/>
      <c r="G217" s="61" t="n"/>
      <c r="H217" s="15" t="n"/>
      <c r="I217" s="18">
        <f>IF($A217="","",IFERROR(SUMIF(tblVarliklar[VarlikId],$B217,tblVarliklar[HedefKiraTl_tl]),kpg_varsayilanHedefKira))</f>
        <v/>
      </c>
      <c r="J217" s="18">
        <f>IF($A217="","",MAX(0, 1-$E217/kpg_gunAy))</f>
        <v/>
      </c>
      <c r="K217" s="18">
        <f>IF(OR($A217="",$I217=0),"",$D217/$I217)</f>
        <v/>
      </c>
      <c r="L217" s="18">
        <f>IF($A217="","",$D217-$F217)</f>
        <v/>
      </c>
      <c r="M217" s="18">
        <f>IF($A217="","",$I217*(1+$G217))</f>
        <v/>
      </c>
      <c r="N217" s="18">
        <f>IF($A217="","",MAX(0,MIN(100,kpg_kaliteTaban-IF($J217&lt;kpg_esikDoluluk,kpg_kaliteCeza,0)-IF($K217&lt;kpg_esikGetiri,kpg_kaliteSapma,0)-IF($Q217="YETIM",kpg_kaliteCeza,0))))</f>
        <v/>
      </c>
      <c r="O217" s="18">
        <f>IF($A217="","",IF(OR($J217&lt;kpg_esikDoluluk,$K217&lt;kpg_esikGetiri,$N217&lt;kpg_esikSaglik),"ALARM","UYGUN"))</f>
        <v/>
      </c>
      <c r="P217" s="18">
        <f>IF($A217="","",1)</f>
        <v/>
      </c>
      <c r="Q217" s="18">
        <f>IF($A217="","",IF(OR($B217="",COUNTIF(tblVarliklar[VarlikId],$B217)=0),"YETIM","TAMAM"))</f>
        <v/>
      </c>
    </row>
    <row r="218">
      <c r="A218" s="15" t="n"/>
      <c r="B218" s="15" t="n"/>
      <c r="C218" s="60" t="n"/>
      <c r="D218" s="17" t="n"/>
      <c r="E218" s="20" t="n"/>
      <c r="F218" s="17" t="n"/>
      <c r="G218" s="61" t="n"/>
      <c r="H218" s="15" t="n"/>
      <c r="I218" s="18">
        <f>IF($A218="","",IFERROR(SUMIF(tblVarliklar[VarlikId],$B218,tblVarliklar[HedefKiraTl_tl]),kpg_varsayilanHedefKira))</f>
        <v/>
      </c>
      <c r="J218" s="18">
        <f>IF($A218="","",MAX(0, 1-$E218/kpg_gunAy))</f>
        <v/>
      </c>
      <c r="K218" s="18">
        <f>IF(OR($A218="",$I218=0),"",$D218/$I218)</f>
        <v/>
      </c>
      <c r="L218" s="18">
        <f>IF($A218="","",$D218-$F218)</f>
        <v/>
      </c>
      <c r="M218" s="18">
        <f>IF($A218="","",$I218*(1+$G218))</f>
        <v/>
      </c>
      <c r="N218" s="18">
        <f>IF($A218="","",MAX(0,MIN(100,kpg_kaliteTaban-IF($J218&lt;kpg_esikDoluluk,kpg_kaliteCeza,0)-IF($K218&lt;kpg_esikGetiri,kpg_kaliteSapma,0)-IF($Q218="YETIM",kpg_kaliteCeza,0))))</f>
        <v/>
      </c>
      <c r="O218" s="18">
        <f>IF($A218="","",IF(OR($J218&lt;kpg_esikDoluluk,$K218&lt;kpg_esikGetiri,$N218&lt;kpg_esikSaglik),"ALARM","UYGUN"))</f>
        <v/>
      </c>
      <c r="P218" s="18">
        <f>IF($A218="","",1)</f>
        <v/>
      </c>
      <c r="Q218" s="18">
        <f>IF($A218="","",IF(OR($B218="",COUNTIF(tblVarliklar[VarlikId],$B218)=0),"YETIM","TAMAM"))</f>
        <v/>
      </c>
    </row>
    <row r="219">
      <c r="A219" s="15" t="n"/>
      <c r="B219" s="15" t="n"/>
      <c r="C219" s="60" t="n"/>
      <c r="D219" s="17" t="n"/>
      <c r="E219" s="20" t="n"/>
      <c r="F219" s="17" t="n"/>
      <c r="G219" s="61" t="n"/>
      <c r="H219" s="15" t="n"/>
      <c r="I219" s="18">
        <f>IF($A219="","",IFERROR(SUMIF(tblVarliklar[VarlikId],$B219,tblVarliklar[HedefKiraTl_tl]),kpg_varsayilanHedefKira))</f>
        <v/>
      </c>
      <c r="J219" s="18">
        <f>IF($A219="","",MAX(0, 1-$E219/kpg_gunAy))</f>
        <v/>
      </c>
      <c r="K219" s="18">
        <f>IF(OR($A219="",$I219=0),"",$D219/$I219)</f>
        <v/>
      </c>
      <c r="L219" s="18">
        <f>IF($A219="","",$D219-$F219)</f>
        <v/>
      </c>
      <c r="M219" s="18">
        <f>IF($A219="","",$I219*(1+$G219))</f>
        <v/>
      </c>
      <c r="N219" s="18">
        <f>IF($A219="","",MAX(0,MIN(100,kpg_kaliteTaban-IF($J219&lt;kpg_esikDoluluk,kpg_kaliteCeza,0)-IF($K219&lt;kpg_esikGetiri,kpg_kaliteSapma,0)-IF($Q219="YETIM",kpg_kaliteCeza,0))))</f>
        <v/>
      </c>
      <c r="O219" s="18">
        <f>IF($A219="","",IF(OR($J219&lt;kpg_esikDoluluk,$K219&lt;kpg_esikGetiri,$N219&lt;kpg_esikSaglik),"ALARM","UYGUN"))</f>
        <v/>
      </c>
      <c r="P219" s="18">
        <f>IF($A219="","",1)</f>
        <v/>
      </c>
      <c r="Q219" s="18">
        <f>IF($A219="","",IF(OR($B219="",COUNTIF(tblVarliklar[VarlikId],$B219)=0),"YETIM","TAMAM"))</f>
        <v/>
      </c>
    </row>
    <row r="220">
      <c r="A220" s="15" t="n"/>
      <c r="B220" s="15" t="n"/>
      <c r="C220" s="60" t="n"/>
      <c r="D220" s="17" t="n"/>
      <c r="E220" s="20" t="n"/>
      <c r="F220" s="17" t="n"/>
      <c r="G220" s="61" t="n"/>
      <c r="H220" s="15" t="n"/>
      <c r="I220" s="18">
        <f>IF($A220="","",IFERROR(SUMIF(tblVarliklar[VarlikId],$B220,tblVarliklar[HedefKiraTl_tl]),kpg_varsayilanHedefKira))</f>
        <v/>
      </c>
      <c r="J220" s="18">
        <f>IF($A220="","",MAX(0, 1-$E220/kpg_gunAy))</f>
        <v/>
      </c>
      <c r="K220" s="18">
        <f>IF(OR($A220="",$I220=0),"",$D220/$I220)</f>
        <v/>
      </c>
      <c r="L220" s="18">
        <f>IF($A220="","",$D220-$F220)</f>
        <v/>
      </c>
      <c r="M220" s="18">
        <f>IF($A220="","",$I220*(1+$G220))</f>
        <v/>
      </c>
      <c r="N220" s="18">
        <f>IF($A220="","",MAX(0,MIN(100,kpg_kaliteTaban-IF($J220&lt;kpg_esikDoluluk,kpg_kaliteCeza,0)-IF($K220&lt;kpg_esikGetiri,kpg_kaliteSapma,0)-IF($Q220="YETIM",kpg_kaliteCeza,0))))</f>
        <v/>
      </c>
      <c r="O220" s="18">
        <f>IF($A220="","",IF(OR($J220&lt;kpg_esikDoluluk,$K220&lt;kpg_esikGetiri,$N220&lt;kpg_esikSaglik),"ALARM","UYGUN"))</f>
        <v/>
      </c>
      <c r="P220" s="18">
        <f>IF($A220="","",1)</f>
        <v/>
      </c>
      <c r="Q220" s="18">
        <f>IF($A220="","",IF(OR($B220="",COUNTIF(tblVarliklar[VarlikId],$B220)=0),"YETIM","TAMAM"))</f>
        <v/>
      </c>
    </row>
    <row r="221">
      <c r="A221" s="15" t="n"/>
      <c r="B221" s="15" t="n"/>
      <c r="C221" s="60" t="n"/>
      <c r="D221" s="17" t="n"/>
      <c r="E221" s="20" t="n"/>
      <c r="F221" s="17" t="n"/>
      <c r="G221" s="61" t="n"/>
      <c r="H221" s="15" t="n"/>
      <c r="I221" s="18">
        <f>IF($A221="","",IFERROR(SUMIF(tblVarliklar[VarlikId],$B221,tblVarliklar[HedefKiraTl_tl]),kpg_varsayilanHedefKira))</f>
        <v/>
      </c>
      <c r="J221" s="18">
        <f>IF($A221="","",MAX(0, 1-$E221/kpg_gunAy))</f>
        <v/>
      </c>
      <c r="K221" s="18">
        <f>IF(OR($A221="",$I221=0),"",$D221/$I221)</f>
        <v/>
      </c>
      <c r="L221" s="18">
        <f>IF($A221="","",$D221-$F221)</f>
        <v/>
      </c>
      <c r="M221" s="18">
        <f>IF($A221="","",$I221*(1+$G221))</f>
        <v/>
      </c>
      <c r="N221" s="18">
        <f>IF($A221="","",MAX(0,MIN(100,kpg_kaliteTaban-IF($J221&lt;kpg_esikDoluluk,kpg_kaliteCeza,0)-IF($K221&lt;kpg_esikGetiri,kpg_kaliteSapma,0)-IF($Q221="YETIM",kpg_kaliteCeza,0))))</f>
        <v/>
      </c>
      <c r="O221" s="18">
        <f>IF($A221="","",IF(OR($J221&lt;kpg_esikDoluluk,$K221&lt;kpg_esikGetiri,$N221&lt;kpg_esikSaglik),"ALARM","UYGUN"))</f>
        <v/>
      </c>
      <c r="P221" s="18">
        <f>IF($A221="","",1)</f>
        <v/>
      </c>
      <c r="Q221" s="18">
        <f>IF($A221="","",IF(OR($B221="",COUNTIF(tblVarliklar[VarlikId],$B221)=0),"YETIM","TAMAM"))</f>
        <v/>
      </c>
    </row>
    <row r="222">
      <c r="A222" s="15" t="n"/>
      <c r="B222" s="15" t="n"/>
      <c r="C222" s="60" t="n"/>
      <c r="D222" s="17" t="n"/>
      <c r="E222" s="20" t="n"/>
      <c r="F222" s="17" t="n"/>
      <c r="G222" s="61" t="n"/>
      <c r="H222" s="15" t="n"/>
      <c r="I222" s="18">
        <f>IF($A222="","",IFERROR(SUMIF(tblVarliklar[VarlikId],$B222,tblVarliklar[HedefKiraTl_tl]),kpg_varsayilanHedefKira))</f>
        <v/>
      </c>
      <c r="J222" s="18">
        <f>IF($A222="","",MAX(0, 1-$E222/kpg_gunAy))</f>
        <v/>
      </c>
      <c r="K222" s="18">
        <f>IF(OR($A222="",$I222=0),"",$D222/$I222)</f>
        <v/>
      </c>
      <c r="L222" s="18">
        <f>IF($A222="","",$D222-$F222)</f>
        <v/>
      </c>
      <c r="M222" s="18">
        <f>IF($A222="","",$I222*(1+$G222))</f>
        <v/>
      </c>
      <c r="N222" s="18">
        <f>IF($A222="","",MAX(0,MIN(100,kpg_kaliteTaban-IF($J222&lt;kpg_esikDoluluk,kpg_kaliteCeza,0)-IF($K222&lt;kpg_esikGetiri,kpg_kaliteSapma,0)-IF($Q222="YETIM",kpg_kaliteCeza,0))))</f>
        <v/>
      </c>
      <c r="O222" s="18">
        <f>IF($A222="","",IF(OR($J222&lt;kpg_esikDoluluk,$K222&lt;kpg_esikGetiri,$N222&lt;kpg_esikSaglik),"ALARM","UYGUN"))</f>
        <v/>
      </c>
      <c r="P222" s="18">
        <f>IF($A222="","",1)</f>
        <v/>
      </c>
      <c r="Q222" s="18">
        <f>IF($A222="","",IF(OR($B222="",COUNTIF(tblVarliklar[VarlikId],$B222)=0),"YETIM","TAMAM"))</f>
        <v/>
      </c>
    </row>
    <row r="223">
      <c r="A223" s="15" t="n"/>
      <c r="B223" s="15" t="n"/>
      <c r="C223" s="60" t="n"/>
      <c r="D223" s="17" t="n"/>
      <c r="E223" s="20" t="n"/>
      <c r="F223" s="17" t="n"/>
      <c r="G223" s="61" t="n"/>
      <c r="H223" s="15" t="n"/>
      <c r="I223" s="18">
        <f>IF($A223="","",IFERROR(SUMIF(tblVarliklar[VarlikId],$B223,tblVarliklar[HedefKiraTl_tl]),kpg_varsayilanHedefKira))</f>
        <v/>
      </c>
      <c r="J223" s="18">
        <f>IF($A223="","",MAX(0, 1-$E223/kpg_gunAy))</f>
        <v/>
      </c>
      <c r="K223" s="18">
        <f>IF(OR($A223="",$I223=0),"",$D223/$I223)</f>
        <v/>
      </c>
      <c r="L223" s="18">
        <f>IF($A223="","",$D223-$F223)</f>
        <v/>
      </c>
      <c r="M223" s="18">
        <f>IF($A223="","",$I223*(1+$G223))</f>
        <v/>
      </c>
      <c r="N223" s="18">
        <f>IF($A223="","",MAX(0,MIN(100,kpg_kaliteTaban-IF($J223&lt;kpg_esikDoluluk,kpg_kaliteCeza,0)-IF($K223&lt;kpg_esikGetiri,kpg_kaliteSapma,0)-IF($Q223="YETIM",kpg_kaliteCeza,0))))</f>
        <v/>
      </c>
      <c r="O223" s="18">
        <f>IF($A223="","",IF(OR($J223&lt;kpg_esikDoluluk,$K223&lt;kpg_esikGetiri,$N223&lt;kpg_esikSaglik),"ALARM","UYGUN"))</f>
        <v/>
      </c>
      <c r="P223" s="18">
        <f>IF($A223="","",1)</f>
        <v/>
      </c>
      <c r="Q223" s="18">
        <f>IF($A223="","",IF(OR($B223="",COUNTIF(tblVarliklar[VarlikId],$B223)=0),"YETIM","TAMAM"))</f>
        <v/>
      </c>
    </row>
    <row r="224">
      <c r="A224" s="15" t="n"/>
      <c r="B224" s="15" t="n"/>
      <c r="C224" s="60" t="n"/>
      <c r="D224" s="17" t="n"/>
      <c r="E224" s="20" t="n"/>
      <c r="F224" s="17" t="n"/>
      <c r="G224" s="61" t="n"/>
      <c r="H224" s="15" t="n"/>
      <c r="I224" s="18">
        <f>IF($A224="","",IFERROR(SUMIF(tblVarliklar[VarlikId],$B224,tblVarliklar[HedefKiraTl_tl]),kpg_varsayilanHedefKira))</f>
        <v/>
      </c>
      <c r="J224" s="18">
        <f>IF($A224="","",MAX(0, 1-$E224/kpg_gunAy))</f>
        <v/>
      </c>
      <c r="K224" s="18">
        <f>IF(OR($A224="",$I224=0),"",$D224/$I224)</f>
        <v/>
      </c>
      <c r="L224" s="18">
        <f>IF($A224="","",$D224-$F224)</f>
        <v/>
      </c>
      <c r="M224" s="18">
        <f>IF($A224="","",$I224*(1+$G224))</f>
        <v/>
      </c>
      <c r="N224" s="18">
        <f>IF($A224="","",MAX(0,MIN(100,kpg_kaliteTaban-IF($J224&lt;kpg_esikDoluluk,kpg_kaliteCeza,0)-IF($K224&lt;kpg_esikGetiri,kpg_kaliteSapma,0)-IF($Q224="YETIM",kpg_kaliteCeza,0))))</f>
        <v/>
      </c>
      <c r="O224" s="18">
        <f>IF($A224="","",IF(OR($J224&lt;kpg_esikDoluluk,$K224&lt;kpg_esikGetiri,$N224&lt;kpg_esikSaglik),"ALARM","UYGUN"))</f>
        <v/>
      </c>
      <c r="P224" s="18">
        <f>IF($A224="","",1)</f>
        <v/>
      </c>
      <c r="Q224" s="18">
        <f>IF($A224="","",IF(OR($B224="",COUNTIF(tblVarliklar[VarlikId],$B224)=0),"YETIM","TAMAM"))</f>
        <v/>
      </c>
    </row>
    <row r="225">
      <c r="A225" s="15" t="n"/>
      <c r="B225" s="15" t="n"/>
      <c r="C225" s="60" t="n"/>
      <c r="D225" s="17" t="n"/>
      <c r="E225" s="20" t="n"/>
      <c r="F225" s="17" t="n"/>
      <c r="G225" s="61" t="n"/>
      <c r="H225" s="15" t="n"/>
      <c r="I225" s="18">
        <f>IF($A225="","",IFERROR(SUMIF(tblVarliklar[VarlikId],$B225,tblVarliklar[HedefKiraTl_tl]),kpg_varsayilanHedefKira))</f>
        <v/>
      </c>
      <c r="J225" s="18">
        <f>IF($A225="","",MAX(0, 1-$E225/kpg_gunAy))</f>
        <v/>
      </c>
      <c r="K225" s="18">
        <f>IF(OR($A225="",$I225=0),"",$D225/$I225)</f>
        <v/>
      </c>
      <c r="L225" s="18">
        <f>IF($A225="","",$D225-$F225)</f>
        <v/>
      </c>
      <c r="M225" s="18">
        <f>IF($A225="","",$I225*(1+$G225))</f>
        <v/>
      </c>
      <c r="N225" s="18">
        <f>IF($A225="","",MAX(0,MIN(100,kpg_kaliteTaban-IF($J225&lt;kpg_esikDoluluk,kpg_kaliteCeza,0)-IF($K225&lt;kpg_esikGetiri,kpg_kaliteSapma,0)-IF($Q225="YETIM",kpg_kaliteCeza,0))))</f>
        <v/>
      </c>
      <c r="O225" s="18">
        <f>IF($A225="","",IF(OR($J225&lt;kpg_esikDoluluk,$K225&lt;kpg_esikGetiri,$N225&lt;kpg_esikSaglik),"ALARM","UYGUN"))</f>
        <v/>
      </c>
      <c r="P225" s="18">
        <f>IF($A225="","",1)</f>
        <v/>
      </c>
      <c r="Q225" s="18">
        <f>IF($A225="","",IF(OR($B225="",COUNTIF(tblVarliklar[VarlikId],$B225)=0),"YETIM","TAMAM"))</f>
        <v/>
      </c>
    </row>
    <row r="226">
      <c r="A226" s="15" t="n"/>
      <c r="B226" s="15" t="n"/>
      <c r="C226" s="60" t="n"/>
      <c r="D226" s="17" t="n"/>
      <c r="E226" s="20" t="n"/>
      <c r="F226" s="17" t="n"/>
      <c r="G226" s="61" t="n"/>
      <c r="H226" s="15" t="n"/>
      <c r="I226" s="18">
        <f>IF($A226="","",IFERROR(SUMIF(tblVarliklar[VarlikId],$B226,tblVarliklar[HedefKiraTl_tl]),kpg_varsayilanHedefKira))</f>
        <v/>
      </c>
      <c r="J226" s="18">
        <f>IF($A226="","",MAX(0, 1-$E226/kpg_gunAy))</f>
        <v/>
      </c>
      <c r="K226" s="18">
        <f>IF(OR($A226="",$I226=0),"",$D226/$I226)</f>
        <v/>
      </c>
      <c r="L226" s="18">
        <f>IF($A226="","",$D226-$F226)</f>
        <v/>
      </c>
      <c r="M226" s="18">
        <f>IF($A226="","",$I226*(1+$G226))</f>
        <v/>
      </c>
      <c r="N226" s="18">
        <f>IF($A226="","",MAX(0,MIN(100,kpg_kaliteTaban-IF($J226&lt;kpg_esikDoluluk,kpg_kaliteCeza,0)-IF($K226&lt;kpg_esikGetiri,kpg_kaliteSapma,0)-IF($Q226="YETIM",kpg_kaliteCeza,0))))</f>
        <v/>
      </c>
      <c r="O226" s="18">
        <f>IF($A226="","",IF(OR($J226&lt;kpg_esikDoluluk,$K226&lt;kpg_esikGetiri,$N226&lt;kpg_esikSaglik),"ALARM","UYGUN"))</f>
        <v/>
      </c>
      <c r="P226" s="18">
        <f>IF($A226="","",1)</f>
        <v/>
      </c>
      <c r="Q226" s="18">
        <f>IF($A226="","",IF(OR($B226="",COUNTIF(tblVarliklar[VarlikId],$B226)=0),"YETIM","TAMAM"))</f>
        <v/>
      </c>
    </row>
    <row r="227">
      <c r="A227" s="15" t="n"/>
      <c r="B227" s="15" t="n"/>
      <c r="C227" s="60" t="n"/>
      <c r="D227" s="17" t="n"/>
      <c r="E227" s="20" t="n"/>
      <c r="F227" s="17" t="n"/>
      <c r="G227" s="61" t="n"/>
      <c r="H227" s="15" t="n"/>
      <c r="I227" s="18">
        <f>IF($A227="","",IFERROR(SUMIF(tblVarliklar[VarlikId],$B227,tblVarliklar[HedefKiraTl_tl]),kpg_varsayilanHedefKira))</f>
        <v/>
      </c>
      <c r="J227" s="18">
        <f>IF($A227="","",MAX(0, 1-$E227/kpg_gunAy))</f>
        <v/>
      </c>
      <c r="K227" s="18">
        <f>IF(OR($A227="",$I227=0),"",$D227/$I227)</f>
        <v/>
      </c>
      <c r="L227" s="18">
        <f>IF($A227="","",$D227-$F227)</f>
        <v/>
      </c>
      <c r="M227" s="18">
        <f>IF($A227="","",$I227*(1+$G227))</f>
        <v/>
      </c>
      <c r="N227" s="18">
        <f>IF($A227="","",MAX(0,MIN(100,kpg_kaliteTaban-IF($J227&lt;kpg_esikDoluluk,kpg_kaliteCeza,0)-IF($K227&lt;kpg_esikGetiri,kpg_kaliteSapma,0)-IF($Q227="YETIM",kpg_kaliteCeza,0))))</f>
        <v/>
      </c>
      <c r="O227" s="18">
        <f>IF($A227="","",IF(OR($J227&lt;kpg_esikDoluluk,$K227&lt;kpg_esikGetiri,$N227&lt;kpg_esikSaglik),"ALARM","UYGUN"))</f>
        <v/>
      </c>
      <c r="P227" s="18">
        <f>IF($A227="","",1)</f>
        <v/>
      </c>
      <c r="Q227" s="18">
        <f>IF($A227="","",IF(OR($B227="",COUNTIF(tblVarliklar[VarlikId],$B227)=0),"YETIM","TAMAM"))</f>
        <v/>
      </c>
    </row>
    <row r="228">
      <c r="A228" s="15" t="n"/>
      <c r="B228" s="15" t="n"/>
      <c r="C228" s="60" t="n"/>
      <c r="D228" s="17" t="n"/>
      <c r="E228" s="20" t="n"/>
      <c r="F228" s="17" t="n"/>
      <c r="G228" s="61" t="n"/>
      <c r="H228" s="15" t="n"/>
      <c r="I228" s="18">
        <f>IF($A228="","",IFERROR(SUMIF(tblVarliklar[VarlikId],$B228,tblVarliklar[HedefKiraTl_tl]),kpg_varsayilanHedefKira))</f>
        <v/>
      </c>
      <c r="J228" s="18">
        <f>IF($A228="","",MAX(0, 1-$E228/kpg_gunAy))</f>
        <v/>
      </c>
      <c r="K228" s="18">
        <f>IF(OR($A228="",$I228=0),"",$D228/$I228)</f>
        <v/>
      </c>
      <c r="L228" s="18">
        <f>IF($A228="","",$D228-$F228)</f>
        <v/>
      </c>
      <c r="M228" s="18">
        <f>IF($A228="","",$I228*(1+$G228))</f>
        <v/>
      </c>
      <c r="N228" s="18">
        <f>IF($A228="","",MAX(0,MIN(100,kpg_kaliteTaban-IF($J228&lt;kpg_esikDoluluk,kpg_kaliteCeza,0)-IF($K228&lt;kpg_esikGetiri,kpg_kaliteSapma,0)-IF($Q228="YETIM",kpg_kaliteCeza,0))))</f>
        <v/>
      </c>
      <c r="O228" s="18">
        <f>IF($A228="","",IF(OR($J228&lt;kpg_esikDoluluk,$K228&lt;kpg_esikGetiri,$N228&lt;kpg_esikSaglik),"ALARM","UYGUN"))</f>
        <v/>
      </c>
      <c r="P228" s="18">
        <f>IF($A228="","",1)</f>
        <v/>
      </c>
      <c r="Q228" s="18">
        <f>IF($A228="","",IF(OR($B228="",COUNTIF(tblVarliklar[VarlikId],$B228)=0),"YETIM","TAMAM"))</f>
        <v/>
      </c>
    </row>
    <row r="229">
      <c r="A229" s="15" t="n"/>
      <c r="B229" s="15" t="n"/>
      <c r="C229" s="60" t="n"/>
      <c r="D229" s="17" t="n"/>
      <c r="E229" s="20" t="n"/>
      <c r="F229" s="17" t="n"/>
      <c r="G229" s="61" t="n"/>
      <c r="H229" s="15" t="n"/>
      <c r="I229" s="18">
        <f>IF($A229="","",IFERROR(SUMIF(tblVarliklar[VarlikId],$B229,tblVarliklar[HedefKiraTl_tl]),kpg_varsayilanHedefKira))</f>
        <v/>
      </c>
      <c r="J229" s="18">
        <f>IF($A229="","",MAX(0, 1-$E229/kpg_gunAy))</f>
        <v/>
      </c>
      <c r="K229" s="18">
        <f>IF(OR($A229="",$I229=0),"",$D229/$I229)</f>
        <v/>
      </c>
      <c r="L229" s="18">
        <f>IF($A229="","",$D229-$F229)</f>
        <v/>
      </c>
      <c r="M229" s="18">
        <f>IF($A229="","",$I229*(1+$G229))</f>
        <v/>
      </c>
      <c r="N229" s="18">
        <f>IF($A229="","",MAX(0,MIN(100,kpg_kaliteTaban-IF($J229&lt;kpg_esikDoluluk,kpg_kaliteCeza,0)-IF($K229&lt;kpg_esikGetiri,kpg_kaliteSapma,0)-IF($Q229="YETIM",kpg_kaliteCeza,0))))</f>
        <v/>
      </c>
      <c r="O229" s="18">
        <f>IF($A229="","",IF(OR($J229&lt;kpg_esikDoluluk,$K229&lt;kpg_esikGetiri,$N229&lt;kpg_esikSaglik),"ALARM","UYGUN"))</f>
        <v/>
      </c>
      <c r="P229" s="18">
        <f>IF($A229="","",1)</f>
        <v/>
      </c>
      <c r="Q229" s="18">
        <f>IF($A229="","",IF(OR($B229="",COUNTIF(tblVarliklar[VarlikId],$B229)=0),"YETIM","TAMAM"))</f>
        <v/>
      </c>
    </row>
    <row r="230">
      <c r="A230" s="15" t="n"/>
      <c r="B230" s="15" t="n"/>
      <c r="C230" s="60" t="n"/>
      <c r="D230" s="17" t="n"/>
      <c r="E230" s="20" t="n"/>
      <c r="F230" s="17" t="n"/>
      <c r="G230" s="61" t="n"/>
      <c r="H230" s="15" t="n"/>
      <c r="I230" s="18">
        <f>IF($A230="","",IFERROR(SUMIF(tblVarliklar[VarlikId],$B230,tblVarliklar[HedefKiraTl_tl]),kpg_varsayilanHedefKira))</f>
        <v/>
      </c>
      <c r="J230" s="18">
        <f>IF($A230="","",MAX(0, 1-$E230/kpg_gunAy))</f>
        <v/>
      </c>
      <c r="K230" s="18">
        <f>IF(OR($A230="",$I230=0),"",$D230/$I230)</f>
        <v/>
      </c>
      <c r="L230" s="18">
        <f>IF($A230="","",$D230-$F230)</f>
        <v/>
      </c>
      <c r="M230" s="18">
        <f>IF($A230="","",$I230*(1+$G230))</f>
        <v/>
      </c>
      <c r="N230" s="18">
        <f>IF($A230="","",MAX(0,MIN(100,kpg_kaliteTaban-IF($J230&lt;kpg_esikDoluluk,kpg_kaliteCeza,0)-IF($K230&lt;kpg_esikGetiri,kpg_kaliteSapma,0)-IF($Q230="YETIM",kpg_kaliteCeza,0))))</f>
        <v/>
      </c>
      <c r="O230" s="18">
        <f>IF($A230="","",IF(OR($J230&lt;kpg_esikDoluluk,$K230&lt;kpg_esikGetiri,$N230&lt;kpg_esikSaglik),"ALARM","UYGUN"))</f>
        <v/>
      </c>
      <c r="P230" s="18">
        <f>IF($A230="","",1)</f>
        <v/>
      </c>
      <c r="Q230" s="18">
        <f>IF($A230="","",IF(OR($B230="",COUNTIF(tblVarliklar[VarlikId],$B230)=0),"YETIM","TAMAM"))</f>
        <v/>
      </c>
    </row>
    <row r="231">
      <c r="A231" s="15" t="n"/>
      <c r="B231" s="15" t="n"/>
      <c r="C231" s="60" t="n"/>
      <c r="D231" s="17" t="n"/>
      <c r="E231" s="20" t="n"/>
      <c r="F231" s="17" t="n"/>
      <c r="G231" s="61" t="n"/>
      <c r="H231" s="15" t="n"/>
      <c r="I231" s="18">
        <f>IF($A231="","",IFERROR(SUMIF(tblVarliklar[VarlikId],$B231,tblVarliklar[HedefKiraTl_tl]),kpg_varsayilanHedefKira))</f>
        <v/>
      </c>
      <c r="J231" s="18">
        <f>IF($A231="","",MAX(0, 1-$E231/kpg_gunAy))</f>
        <v/>
      </c>
      <c r="K231" s="18">
        <f>IF(OR($A231="",$I231=0),"",$D231/$I231)</f>
        <v/>
      </c>
      <c r="L231" s="18">
        <f>IF($A231="","",$D231-$F231)</f>
        <v/>
      </c>
      <c r="M231" s="18">
        <f>IF($A231="","",$I231*(1+$G231))</f>
        <v/>
      </c>
      <c r="N231" s="18">
        <f>IF($A231="","",MAX(0,MIN(100,kpg_kaliteTaban-IF($J231&lt;kpg_esikDoluluk,kpg_kaliteCeza,0)-IF($K231&lt;kpg_esikGetiri,kpg_kaliteSapma,0)-IF($Q231="YETIM",kpg_kaliteCeza,0))))</f>
        <v/>
      </c>
      <c r="O231" s="18">
        <f>IF($A231="","",IF(OR($J231&lt;kpg_esikDoluluk,$K231&lt;kpg_esikGetiri,$N231&lt;kpg_esikSaglik),"ALARM","UYGUN"))</f>
        <v/>
      </c>
      <c r="P231" s="18">
        <f>IF($A231="","",1)</f>
        <v/>
      </c>
      <c r="Q231" s="18">
        <f>IF($A231="","",IF(OR($B231="",COUNTIF(tblVarliklar[VarlikId],$B231)=0),"YETIM","TAMAM"))</f>
        <v/>
      </c>
    </row>
    <row r="232">
      <c r="A232" s="15" t="n"/>
      <c r="B232" s="15" t="n"/>
      <c r="C232" s="60" t="n"/>
      <c r="D232" s="17" t="n"/>
      <c r="E232" s="20" t="n"/>
      <c r="F232" s="17" t="n"/>
      <c r="G232" s="61" t="n"/>
      <c r="H232" s="15" t="n"/>
      <c r="I232" s="18">
        <f>IF($A232="","",IFERROR(SUMIF(tblVarliklar[VarlikId],$B232,tblVarliklar[HedefKiraTl_tl]),kpg_varsayilanHedefKira))</f>
        <v/>
      </c>
      <c r="J232" s="18">
        <f>IF($A232="","",MAX(0, 1-$E232/kpg_gunAy))</f>
        <v/>
      </c>
      <c r="K232" s="18">
        <f>IF(OR($A232="",$I232=0),"",$D232/$I232)</f>
        <v/>
      </c>
      <c r="L232" s="18">
        <f>IF($A232="","",$D232-$F232)</f>
        <v/>
      </c>
      <c r="M232" s="18">
        <f>IF($A232="","",$I232*(1+$G232))</f>
        <v/>
      </c>
      <c r="N232" s="18">
        <f>IF($A232="","",MAX(0,MIN(100,kpg_kaliteTaban-IF($J232&lt;kpg_esikDoluluk,kpg_kaliteCeza,0)-IF($K232&lt;kpg_esikGetiri,kpg_kaliteSapma,0)-IF($Q232="YETIM",kpg_kaliteCeza,0))))</f>
        <v/>
      </c>
      <c r="O232" s="18">
        <f>IF($A232="","",IF(OR($J232&lt;kpg_esikDoluluk,$K232&lt;kpg_esikGetiri,$N232&lt;kpg_esikSaglik),"ALARM","UYGUN"))</f>
        <v/>
      </c>
      <c r="P232" s="18">
        <f>IF($A232="","",1)</f>
        <v/>
      </c>
      <c r="Q232" s="18">
        <f>IF($A232="","",IF(OR($B232="",COUNTIF(tblVarliklar[VarlikId],$B232)=0),"YETIM","TAMAM"))</f>
        <v/>
      </c>
    </row>
    <row r="233">
      <c r="A233" s="15" t="n"/>
      <c r="B233" s="15" t="n"/>
      <c r="C233" s="60" t="n"/>
      <c r="D233" s="17" t="n"/>
      <c r="E233" s="20" t="n"/>
      <c r="F233" s="17" t="n"/>
      <c r="G233" s="61" t="n"/>
      <c r="H233" s="15" t="n"/>
      <c r="I233" s="18">
        <f>IF($A233="","",IFERROR(SUMIF(tblVarliklar[VarlikId],$B233,tblVarliklar[HedefKiraTl_tl]),kpg_varsayilanHedefKira))</f>
        <v/>
      </c>
      <c r="J233" s="18">
        <f>IF($A233="","",MAX(0, 1-$E233/kpg_gunAy))</f>
        <v/>
      </c>
      <c r="K233" s="18">
        <f>IF(OR($A233="",$I233=0),"",$D233/$I233)</f>
        <v/>
      </c>
      <c r="L233" s="18">
        <f>IF($A233="","",$D233-$F233)</f>
        <v/>
      </c>
      <c r="M233" s="18">
        <f>IF($A233="","",$I233*(1+$G233))</f>
        <v/>
      </c>
      <c r="N233" s="18">
        <f>IF($A233="","",MAX(0,MIN(100,kpg_kaliteTaban-IF($J233&lt;kpg_esikDoluluk,kpg_kaliteCeza,0)-IF($K233&lt;kpg_esikGetiri,kpg_kaliteSapma,0)-IF($Q233="YETIM",kpg_kaliteCeza,0))))</f>
        <v/>
      </c>
      <c r="O233" s="18">
        <f>IF($A233="","",IF(OR($J233&lt;kpg_esikDoluluk,$K233&lt;kpg_esikGetiri,$N233&lt;kpg_esikSaglik),"ALARM","UYGUN"))</f>
        <v/>
      </c>
      <c r="P233" s="18">
        <f>IF($A233="","",1)</f>
        <v/>
      </c>
      <c r="Q233" s="18">
        <f>IF($A233="","",IF(OR($B233="",COUNTIF(tblVarliklar[VarlikId],$B233)=0),"YETIM","TAMAM"))</f>
        <v/>
      </c>
    </row>
    <row r="234">
      <c r="A234" s="15" t="n"/>
      <c r="B234" s="15" t="n"/>
      <c r="C234" s="60" t="n"/>
      <c r="D234" s="17" t="n"/>
      <c r="E234" s="20" t="n"/>
      <c r="F234" s="17" t="n"/>
      <c r="G234" s="61" t="n"/>
      <c r="H234" s="15" t="n"/>
      <c r="I234" s="18">
        <f>IF($A234="","",IFERROR(SUMIF(tblVarliklar[VarlikId],$B234,tblVarliklar[HedefKiraTl_tl]),kpg_varsayilanHedefKira))</f>
        <v/>
      </c>
      <c r="J234" s="18">
        <f>IF($A234="","",MAX(0, 1-$E234/kpg_gunAy))</f>
        <v/>
      </c>
      <c r="K234" s="18">
        <f>IF(OR($A234="",$I234=0),"",$D234/$I234)</f>
        <v/>
      </c>
      <c r="L234" s="18">
        <f>IF($A234="","",$D234-$F234)</f>
        <v/>
      </c>
      <c r="M234" s="18">
        <f>IF($A234="","",$I234*(1+$G234))</f>
        <v/>
      </c>
      <c r="N234" s="18">
        <f>IF($A234="","",MAX(0,MIN(100,kpg_kaliteTaban-IF($J234&lt;kpg_esikDoluluk,kpg_kaliteCeza,0)-IF($K234&lt;kpg_esikGetiri,kpg_kaliteSapma,0)-IF($Q234="YETIM",kpg_kaliteCeza,0))))</f>
        <v/>
      </c>
      <c r="O234" s="18">
        <f>IF($A234="","",IF(OR($J234&lt;kpg_esikDoluluk,$K234&lt;kpg_esikGetiri,$N234&lt;kpg_esikSaglik),"ALARM","UYGUN"))</f>
        <v/>
      </c>
      <c r="P234" s="18">
        <f>IF($A234="","",1)</f>
        <v/>
      </c>
      <c r="Q234" s="18">
        <f>IF($A234="","",IF(OR($B234="",COUNTIF(tblVarliklar[VarlikId],$B234)=0),"YETIM","TAMAM"))</f>
        <v/>
      </c>
    </row>
    <row r="235">
      <c r="A235" s="15" t="n"/>
      <c r="B235" s="15" t="n"/>
      <c r="C235" s="60" t="n"/>
      <c r="D235" s="17" t="n"/>
      <c r="E235" s="20" t="n"/>
      <c r="F235" s="17" t="n"/>
      <c r="G235" s="61" t="n"/>
      <c r="H235" s="15" t="n"/>
      <c r="I235" s="18">
        <f>IF($A235="","",IFERROR(SUMIF(tblVarliklar[VarlikId],$B235,tblVarliklar[HedefKiraTl_tl]),kpg_varsayilanHedefKira))</f>
        <v/>
      </c>
      <c r="J235" s="18">
        <f>IF($A235="","",MAX(0, 1-$E235/kpg_gunAy))</f>
        <v/>
      </c>
      <c r="K235" s="18">
        <f>IF(OR($A235="",$I235=0),"",$D235/$I235)</f>
        <v/>
      </c>
      <c r="L235" s="18">
        <f>IF($A235="","",$D235-$F235)</f>
        <v/>
      </c>
      <c r="M235" s="18">
        <f>IF($A235="","",$I235*(1+$G235))</f>
        <v/>
      </c>
      <c r="N235" s="18">
        <f>IF($A235="","",MAX(0,MIN(100,kpg_kaliteTaban-IF($J235&lt;kpg_esikDoluluk,kpg_kaliteCeza,0)-IF($K235&lt;kpg_esikGetiri,kpg_kaliteSapma,0)-IF($Q235="YETIM",kpg_kaliteCeza,0))))</f>
        <v/>
      </c>
      <c r="O235" s="18">
        <f>IF($A235="","",IF(OR($J235&lt;kpg_esikDoluluk,$K235&lt;kpg_esikGetiri,$N235&lt;kpg_esikSaglik),"ALARM","UYGUN"))</f>
        <v/>
      </c>
      <c r="P235" s="18">
        <f>IF($A235="","",1)</f>
        <v/>
      </c>
      <c r="Q235" s="18">
        <f>IF($A235="","",IF(OR($B235="",COUNTIF(tblVarliklar[VarlikId],$B235)=0),"YETIM","TAMAM"))</f>
        <v/>
      </c>
    </row>
    <row r="236">
      <c r="A236" s="15" t="n"/>
      <c r="B236" s="15" t="n"/>
      <c r="C236" s="60" t="n"/>
      <c r="D236" s="17" t="n"/>
      <c r="E236" s="20" t="n"/>
      <c r="F236" s="17" t="n"/>
      <c r="G236" s="61" t="n"/>
      <c r="H236" s="15" t="n"/>
      <c r="I236" s="18">
        <f>IF($A236="","",IFERROR(SUMIF(tblVarliklar[VarlikId],$B236,tblVarliklar[HedefKiraTl_tl]),kpg_varsayilanHedefKira))</f>
        <v/>
      </c>
      <c r="J236" s="18">
        <f>IF($A236="","",MAX(0, 1-$E236/kpg_gunAy))</f>
        <v/>
      </c>
      <c r="K236" s="18">
        <f>IF(OR($A236="",$I236=0),"",$D236/$I236)</f>
        <v/>
      </c>
      <c r="L236" s="18">
        <f>IF($A236="","",$D236-$F236)</f>
        <v/>
      </c>
      <c r="M236" s="18">
        <f>IF($A236="","",$I236*(1+$G236))</f>
        <v/>
      </c>
      <c r="N236" s="18">
        <f>IF($A236="","",MAX(0,MIN(100,kpg_kaliteTaban-IF($J236&lt;kpg_esikDoluluk,kpg_kaliteCeza,0)-IF($K236&lt;kpg_esikGetiri,kpg_kaliteSapma,0)-IF($Q236="YETIM",kpg_kaliteCeza,0))))</f>
        <v/>
      </c>
      <c r="O236" s="18">
        <f>IF($A236="","",IF(OR($J236&lt;kpg_esikDoluluk,$K236&lt;kpg_esikGetiri,$N236&lt;kpg_esikSaglik),"ALARM","UYGUN"))</f>
        <v/>
      </c>
      <c r="P236" s="18">
        <f>IF($A236="","",1)</f>
        <v/>
      </c>
      <c r="Q236" s="18">
        <f>IF($A236="","",IF(OR($B236="",COUNTIF(tblVarliklar[VarlikId],$B236)=0),"YETIM","TAMAM"))</f>
        <v/>
      </c>
    </row>
    <row r="237">
      <c r="A237" s="15" t="n"/>
      <c r="B237" s="15" t="n"/>
      <c r="C237" s="60" t="n"/>
      <c r="D237" s="17" t="n"/>
      <c r="E237" s="20" t="n"/>
      <c r="F237" s="17" t="n"/>
      <c r="G237" s="61" t="n"/>
      <c r="H237" s="15" t="n"/>
      <c r="I237" s="18">
        <f>IF($A237="","",IFERROR(SUMIF(tblVarliklar[VarlikId],$B237,tblVarliklar[HedefKiraTl_tl]),kpg_varsayilanHedefKira))</f>
        <v/>
      </c>
      <c r="J237" s="18">
        <f>IF($A237="","",MAX(0, 1-$E237/kpg_gunAy))</f>
        <v/>
      </c>
      <c r="K237" s="18">
        <f>IF(OR($A237="",$I237=0),"",$D237/$I237)</f>
        <v/>
      </c>
      <c r="L237" s="18">
        <f>IF($A237="","",$D237-$F237)</f>
        <v/>
      </c>
      <c r="M237" s="18">
        <f>IF($A237="","",$I237*(1+$G237))</f>
        <v/>
      </c>
      <c r="N237" s="18">
        <f>IF($A237="","",MAX(0,MIN(100,kpg_kaliteTaban-IF($J237&lt;kpg_esikDoluluk,kpg_kaliteCeza,0)-IF($K237&lt;kpg_esikGetiri,kpg_kaliteSapma,0)-IF($Q237="YETIM",kpg_kaliteCeza,0))))</f>
        <v/>
      </c>
      <c r="O237" s="18">
        <f>IF($A237="","",IF(OR($J237&lt;kpg_esikDoluluk,$K237&lt;kpg_esikGetiri,$N237&lt;kpg_esikSaglik),"ALARM","UYGUN"))</f>
        <v/>
      </c>
      <c r="P237" s="18">
        <f>IF($A237="","",1)</f>
        <v/>
      </c>
      <c r="Q237" s="18">
        <f>IF($A237="","",IF(OR($B237="",COUNTIF(tblVarliklar[VarlikId],$B237)=0),"YETIM","TAMAM"))</f>
        <v/>
      </c>
    </row>
    <row r="238">
      <c r="A238" s="15" t="n"/>
      <c r="B238" s="15" t="n"/>
      <c r="C238" s="60" t="n"/>
      <c r="D238" s="17" t="n"/>
      <c r="E238" s="20" t="n"/>
      <c r="F238" s="17" t="n"/>
      <c r="G238" s="61" t="n"/>
      <c r="H238" s="15" t="n"/>
      <c r="I238" s="18">
        <f>IF($A238="","",IFERROR(SUMIF(tblVarliklar[VarlikId],$B238,tblVarliklar[HedefKiraTl_tl]),kpg_varsayilanHedefKira))</f>
        <v/>
      </c>
      <c r="J238" s="18">
        <f>IF($A238="","",MAX(0, 1-$E238/kpg_gunAy))</f>
        <v/>
      </c>
      <c r="K238" s="18">
        <f>IF(OR($A238="",$I238=0),"",$D238/$I238)</f>
        <v/>
      </c>
      <c r="L238" s="18">
        <f>IF($A238="","",$D238-$F238)</f>
        <v/>
      </c>
      <c r="M238" s="18">
        <f>IF($A238="","",$I238*(1+$G238))</f>
        <v/>
      </c>
      <c r="N238" s="18">
        <f>IF($A238="","",MAX(0,MIN(100,kpg_kaliteTaban-IF($J238&lt;kpg_esikDoluluk,kpg_kaliteCeza,0)-IF($K238&lt;kpg_esikGetiri,kpg_kaliteSapma,0)-IF($Q238="YETIM",kpg_kaliteCeza,0))))</f>
        <v/>
      </c>
      <c r="O238" s="18">
        <f>IF($A238="","",IF(OR($J238&lt;kpg_esikDoluluk,$K238&lt;kpg_esikGetiri,$N238&lt;kpg_esikSaglik),"ALARM","UYGUN"))</f>
        <v/>
      </c>
      <c r="P238" s="18">
        <f>IF($A238="","",1)</f>
        <v/>
      </c>
      <c r="Q238" s="18">
        <f>IF($A238="","",IF(OR($B238="",COUNTIF(tblVarliklar[VarlikId],$B238)=0),"YETIM","TAMAM"))</f>
        <v/>
      </c>
    </row>
    <row r="239">
      <c r="A239" s="15" t="n"/>
      <c r="B239" s="15" t="n"/>
      <c r="C239" s="60" t="n"/>
      <c r="D239" s="17" t="n"/>
      <c r="E239" s="20" t="n"/>
      <c r="F239" s="17" t="n"/>
      <c r="G239" s="61" t="n"/>
      <c r="H239" s="15" t="n"/>
      <c r="I239" s="18">
        <f>IF($A239="","",IFERROR(SUMIF(tblVarliklar[VarlikId],$B239,tblVarliklar[HedefKiraTl_tl]),kpg_varsayilanHedefKira))</f>
        <v/>
      </c>
      <c r="J239" s="18">
        <f>IF($A239="","",MAX(0, 1-$E239/kpg_gunAy))</f>
        <v/>
      </c>
      <c r="K239" s="18">
        <f>IF(OR($A239="",$I239=0),"",$D239/$I239)</f>
        <v/>
      </c>
      <c r="L239" s="18">
        <f>IF($A239="","",$D239-$F239)</f>
        <v/>
      </c>
      <c r="M239" s="18">
        <f>IF($A239="","",$I239*(1+$G239))</f>
        <v/>
      </c>
      <c r="N239" s="18">
        <f>IF($A239="","",MAX(0,MIN(100,kpg_kaliteTaban-IF($J239&lt;kpg_esikDoluluk,kpg_kaliteCeza,0)-IF($K239&lt;kpg_esikGetiri,kpg_kaliteSapma,0)-IF($Q239="YETIM",kpg_kaliteCeza,0))))</f>
        <v/>
      </c>
      <c r="O239" s="18">
        <f>IF($A239="","",IF(OR($J239&lt;kpg_esikDoluluk,$K239&lt;kpg_esikGetiri,$N239&lt;kpg_esikSaglik),"ALARM","UYGUN"))</f>
        <v/>
      </c>
      <c r="P239" s="18">
        <f>IF($A239="","",1)</f>
        <v/>
      </c>
      <c r="Q239" s="18">
        <f>IF($A239="","",IF(OR($B239="",COUNTIF(tblVarliklar[VarlikId],$B239)=0),"YETIM","TAMAM"))</f>
        <v/>
      </c>
    </row>
    <row r="240">
      <c r="A240" s="15" t="n"/>
      <c r="B240" s="15" t="n"/>
      <c r="C240" s="60" t="n"/>
      <c r="D240" s="17" t="n"/>
      <c r="E240" s="20" t="n"/>
      <c r="F240" s="17" t="n"/>
      <c r="G240" s="61" t="n"/>
      <c r="H240" s="15" t="n"/>
      <c r="I240" s="18">
        <f>IF($A240="","",IFERROR(SUMIF(tblVarliklar[VarlikId],$B240,tblVarliklar[HedefKiraTl_tl]),kpg_varsayilanHedefKira))</f>
        <v/>
      </c>
      <c r="J240" s="18">
        <f>IF($A240="","",MAX(0, 1-$E240/kpg_gunAy))</f>
        <v/>
      </c>
      <c r="K240" s="18">
        <f>IF(OR($A240="",$I240=0),"",$D240/$I240)</f>
        <v/>
      </c>
      <c r="L240" s="18">
        <f>IF($A240="","",$D240-$F240)</f>
        <v/>
      </c>
      <c r="M240" s="18">
        <f>IF($A240="","",$I240*(1+$G240))</f>
        <v/>
      </c>
      <c r="N240" s="18">
        <f>IF($A240="","",MAX(0,MIN(100,kpg_kaliteTaban-IF($J240&lt;kpg_esikDoluluk,kpg_kaliteCeza,0)-IF($K240&lt;kpg_esikGetiri,kpg_kaliteSapma,0)-IF($Q240="YETIM",kpg_kaliteCeza,0))))</f>
        <v/>
      </c>
      <c r="O240" s="18">
        <f>IF($A240="","",IF(OR($J240&lt;kpg_esikDoluluk,$K240&lt;kpg_esikGetiri,$N240&lt;kpg_esikSaglik),"ALARM","UYGUN"))</f>
        <v/>
      </c>
      <c r="P240" s="18">
        <f>IF($A240="","",1)</f>
        <v/>
      </c>
      <c r="Q240" s="18">
        <f>IF($A240="","",IF(OR($B240="",COUNTIF(tblVarliklar[VarlikId],$B240)=0),"YETIM","TAMAM"))</f>
        <v/>
      </c>
    </row>
    <row r="241">
      <c r="A241" s="15" t="n"/>
      <c r="B241" s="15" t="n"/>
      <c r="C241" s="60" t="n"/>
      <c r="D241" s="17" t="n"/>
      <c r="E241" s="20" t="n"/>
      <c r="F241" s="17" t="n"/>
      <c r="G241" s="61" t="n"/>
      <c r="H241" s="15" t="n"/>
      <c r="I241" s="18">
        <f>IF($A241="","",IFERROR(SUMIF(tblVarliklar[VarlikId],$B241,tblVarliklar[HedefKiraTl_tl]),kpg_varsayilanHedefKira))</f>
        <v/>
      </c>
      <c r="J241" s="18">
        <f>IF($A241="","",MAX(0, 1-$E241/kpg_gunAy))</f>
        <v/>
      </c>
      <c r="K241" s="18">
        <f>IF(OR($A241="",$I241=0),"",$D241/$I241)</f>
        <v/>
      </c>
      <c r="L241" s="18">
        <f>IF($A241="","",$D241-$F241)</f>
        <v/>
      </c>
      <c r="M241" s="18">
        <f>IF($A241="","",$I241*(1+$G241))</f>
        <v/>
      </c>
      <c r="N241" s="18">
        <f>IF($A241="","",MAX(0,MIN(100,kpg_kaliteTaban-IF($J241&lt;kpg_esikDoluluk,kpg_kaliteCeza,0)-IF($K241&lt;kpg_esikGetiri,kpg_kaliteSapma,0)-IF($Q241="YETIM",kpg_kaliteCeza,0))))</f>
        <v/>
      </c>
      <c r="O241" s="18">
        <f>IF($A241="","",IF(OR($J241&lt;kpg_esikDoluluk,$K241&lt;kpg_esikGetiri,$N241&lt;kpg_esikSaglik),"ALARM","UYGUN"))</f>
        <v/>
      </c>
      <c r="P241" s="18">
        <f>IF($A241="","",1)</f>
        <v/>
      </c>
      <c r="Q241" s="18">
        <f>IF($A241="","",IF(OR($B241="",COUNTIF(tblVarliklar[VarlikId],$B241)=0),"YETIM","TAMAM"))</f>
        <v/>
      </c>
    </row>
    <row r="242">
      <c r="A242" s="15" t="n"/>
      <c r="B242" s="15" t="n"/>
      <c r="C242" s="60" t="n"/>
      <c r="D242" s="17" t="n"/>
      <c r="E242" s="20" t="n"/>
      <c r="F242" s="17" t="n"/>
      <c r="G242" s="61" t="n"/>
      <c r="H242" s="15" t="n"/>
      <c r="I242" s="18">
        <f>IF($A242="","",IFERROR(SUMIF(tblVarliklar[VarlikId],$B242,tblVarliklar[HedefKiraTl_tl]),kpg_varsayilanHedefKira))</f>
        <v/>
      </c>
      <c r="J242" s="18">
        <f>IF($A242="","",MAX(0, 1-$E242/kpg_gunAy))</f>
        <v/>
      </c>
      <c r="K242" s="18">
        <f>IF(OR($A242="",$I242=0),"",$D242/$I242)</f>
        <v/>
      </c>
      <c r="L242" s="18">
        <f>IF($A242="","",$D242-$F242)</f>
        <v/>
      </c>
      <c r="M242" s="18">
        <f>IF($A242="","",$I242*(1+$G242))</f>
        <v/>
      </c>
      <c r="N242" s="18">
        <f>IF($A242="","",MAX(0,MIN(100,kpg_kaliteTaban-IF($J242&lt;kpg_esikDoluluk,kpg_kaliteCeza,0)-IF($K242&lt;kpg_esikGetiri,kpg_kaliteSapma,0)-IF($Q242="YETIM",kpg_kaliteCeza,0))))</f>
        <v/>
      </c>
      <c r="O242" s="18">
        <f>IF($A242="","",IF(OR($J242&lt;kpg_esikDoluluk,$K242&lt;kpg_esikGetiri,$N242&lt;kpg_esikSaglik),"ALARM","UYGUN"))</f>
        <v/>
      </c>
      <c r="P242" s="18">
        <f>IF($A242="","",1)</f>
        <v/>
      </c>
      <c r="Q242" s="18">
        <f>IF($A242="","",IF(OR($B242="",COUNTIF(tblVarliklar[VarlikId],$B242)=0),"YETIM","TAMAM"))</f>
        <v/>
      </c>
    </row>
    <row r="243">
      <c r="A243" s="15" t="n"/>
      <c r="B243" s="15" t="n"/>
      <c r="C243" s="60" t="n"/>
      <c r="D243" s="17" t="n"/>
      <c r="E243" s="20" t="n"/>
      <c r="F243" s="17" t="n"/>
      <c r="G243" s="61" t="n"/>
      <c r="H243" s="15" t="n"/>
      <c r="I243" s="18">
        <f>IF($A243="","",IFERROR(SUMIF(tblVarliklar[VarlikId],$B243,tblVarliklar[HedefKiraTl_tl]),kpg_varsayilanHedefKira))</f>
        <v/>
      </c>
      <c r="J243" s="18">
        <f>IF($A243="","",MAX(0, 1-$E243/kpg_gunAy))</f>
        <v/>
      </c>
      <c r="K243" s="18">
        <f>IF(OR($A243="",$I243=0),"",$D243/$I243)</f>
        <v/>
      </c>
      <c r="L243" s="18">
        <f>IF($A243="","",$D243-$F243)</f>
        <v/>
      </c>
      <c r="M243" s="18">
        <f>IF($A243="","",$I243*(1+$G243))</f>
        <v/>
      </c>
      <c r="N243" s="18">
        <f>IF($A243="","",MAX(0,MIN(100,kpg_kaliteTaban-IF($J243&lt;kpg_esikDoluluk,kpg_kaliteCeza,0)-IF($K243&lt;kpg_esikGetiri,kpg_kaliteSapma,0)-IF($Q243="YETIM",kpg_kaliteCeza,0))))</f>
        <v/>
      </c>
      <c r="O243" s="18">
        <f>IF($A243="","",IF(OR($J243&lt;kpg_esikDoluluk,$K243&lt;kpg_esikGetiri,$N243&lt;kpg_esikSaglik),"ALARM","UYGUN"))</f>
        <v/>
      </c>
      <c r="P243" s="18">
        <f>IF($A243="","",1)</f>
        <v/>
      </c>
      <c r="Q243" s="18">
        <f>IF($A243="","",IF(OR($B243="",COUNTIF(tblVarliklar[VarlikId],$B243)=0),"YETIM","TAMAM"))</f>
        <v/>
      </c>
    </row>
    <row r="244">
      <c r="A244" s="15" t="n"/>
      <c r="B244" s="15" t="n"/>
      <c r="C244" s="60" t="n"/>
      <c r="D244" s="17" t="n"/>
      <c r="E244" s="20" t="n"/>
      <c r="F244" s="17" t="n"/>
      <c r="G244" s="61" t="n"/>
      <c r="H244" s="15" t="n"/>
      <c r="I244" s="18">
        <f>IF($A244="","",IFERROR(SUMIF(tblVarliklar[VarlikId],$B244,tblVarliklar[HedefKiraTl_tl]),kpg_varsayilanHedefKira))</f>
        <v/>
      </c>
      <c r="J244" s="18">
        <f>IF($A244="","",MAX(0, 1-$E244/kpg_gunAy))</f>
        <v/>
      </c>
      <c r="K244" s="18">
        <f>IF(OR($A244="",$I244=0),"",$D244/$I244)</f>
        <v/>
      </c>
      <c r="L244" s="18">
        <f>IF($A244="","",$D244-$F244)</f>
        <v/>
      </c>
      <c r="M244" s="18">
        <f>IF($A244="","",$I244*(1+$G244))</f>
        <v/>
      </c>
      <c r="N244" s="18">
        <f>IF($A244="","",MAX(0,MIN(100,kpg_kaliteTaban-IF($J244&lt;kpg_esikDoluluk,kpg_kaliteCeza,0)-IF($K244&lt;kpg_esikGetiri,kpg_kaliteSapma,0)-IF($Q244="YETIM",kpg_kaliteCeza,0))))</f>
        <v/>
      </c>
      <c r="O244" s="18">
        <f>IF($A244="","",IF(OR($J244&lt;kpg_esikDoluluk,$K244&lt;kpg_esikGetiri,$N244&lt;kpg_esikSaglik),"ALARM","UYGUN"))</f>
        <v/>
      </c>
      <c r="P244" s="18">
        <f>IF($A244="","",1)</f>
        <v/>
      </c>
      <c r="Q244" s="18">
        <f>IF($A244="","",IF(OR($B244="",COUNTIF(tblVarliklar[VarlikId],$B244)=0),"YETIM","TAMAM"))</f>
        <v/>
      </c>
    </row>
    <row r="245">
      <c r="A245" s="15" t="n"/>
      <c r="B245" s="15" t="n"/>
      <c r="C245" s="60" t="n"/>
      <c r="D245" s="17" t="n"/>
      <c r="E245" s="20" t="n"/>
      <c r="F245" s="17" t="n"/>
      <c r="G245" s="61" t="n"/>
      <c r="H245" s="15" t="n"/>
      <c r="I245" s="18">
        <f>IF($A245="","",IFERROR(SUMIF(tblVarliklar[VarlikId],$B245,tblVarliklar[HedefKiraTl_tl]),kpg_varsayilanHedefKira))</f>
        <v/>
      </c>
      <c r="J245" s="18">
        <f>IF($A245="","",MAX(0, 1-$E245/kpg_gunAy))</f>
        <v/>
      </c>
      <c r="K245" s="18">
        <f>IF(OR($A245="",$I245=0),"",$D245/$I245)</f>
        <v/>
      </c>
      <c r="L245" s="18">
        <f>IF($A245="","",$D245-$F245)</f>
        <v/>
      </c>
      <c r="M245" s="18">
        <f>IF($A245="","",$I245*(1+$G245))</f>
        <v/>
      </c>
      <c r="N245" s="18">
        <f>IF($A245="","",MAX(0,MIN(100,kpg_kaliteTaban-IF($J245&lt;kpg_esikDoluluk,kpg_kaliteCeza,0)-IF($K245&lt;kpg_esikGetiri,kpg_kaliteSapma,0)-IF($Q245="YETIM",kpg_kaliteCeza,0))))</f>
        <v/>
      </c>
      <c r="O245" s="18">
        <f>IF($A245="","",IF(OR($J245&lt;kpg_esikDoluluk,$K245&lt;kpg_esikGetiri,$N245&lt;kpg_esikSaglik),"ALARM","UYGUN"))</f>
        <v/>
      </c>
      <c r="P245" s="18">
        <f>IF($A245="","",1)</f>
        <v/>
      </c>
      <c r="Q245" s="18">
        <f>IF($A245="","",IF(OR($B245="",COUNTIF(tblVarliklar[VarlikId],$B245)=0),"YETIM","TAMAM"))</f>
        <v/>
      </c>
    </row>
    <row r="246">
      <c r="A246" s="15" t="n"/>
      <c r="B246" s="15" t="n"/>
      <c r="C246" s="60" t="n"/>
      <c r="D246" s="17" t="n"/>
      <c r="E246" s="20" t="n"/>
      <c r="F246" s="17" t="n"/>
      <c r="G246" s="61" t="n"/>
      <c r="H246" s="15" t="n"/>
      <c r="I246" s="18">
        <f>IF($A246="","",IFERROR(SUMIF(tblVarliklar[VarlikId],$B246,tblVarliklar[HedefKiraTl_tl]),kpg_varsayilanHedefKira))</f>
        <v/>
      </c>
      <c r="J246" s="18">
        <f>IF($A246="","",MAX(0, 1-$E246/kpg_gunAy))</f>
        <v/>
      </c>
      <c r="K246" s="18">
        <f>IF(OR($A246="",$I246=0),"",$D246/$I246)</f>
        <v/>
      </c>
      <c r="L246" s="18">
        <f>IF($A246="","",$D246-$F246)</f>
        <v/>
      </c>
      <c r="M246" s="18">
        <f>IF($A246="","",$I246*(1+$G246))</f>
        <v/>
      </c>
      <c r="N246" s="18">
        <f>IF($A246="","",MAX(0,MIN(100,kpg_kaliteTaban-IF($J246&lt;kpg_esikDoluluk,kpg_kaliteCeza,0)-IF($K246&lt;kpg_esikGetiri,kpg_kaliteSapma,0)-IF($Q246="YETIM",kpg_kaliteCeza,0))))</f>
        <v/>
      </c>
      <c r="O246" s="18">
        <f>IF($A246="","",IF(OR($J246&lt;kpg_esikDoluluk,$K246&lt;kpg_esikGetiri,$N246&lt;kpg_esikSaglik),"ALARM","UYGUN"))</f>
        <v/>
      </c>
      <c r="P246" s="18">
        <f>IF($A246="","",1)</f>
        <v/>
      </c>
      <c r="Q246" s="18">
        <f>IF($A246="","",IF(OR($B246="",COUNTIF(tblVarliklar[VarlikId],$B246)=0),"YETIM","TAMAM"))</f>
        <v/>
      </c>
    </row>
    <row r="247">
      <c r="A247" s="15" t="n"/>
      <c r="B247" s="15" t="n"/>
      <c r="C247" s="60" t="n"/>
      <c r="D247" s="17" t="n"/>
      <c r="E247" s="20" t="n"/>
      <c r="F247" s="17" t="n"/>
      <c r="G247" s="61" t="n"/>
      <c r="H247" s="15" t="n"/>
      <c r="I247" s="18">
        <f>IF($A247="","",IFERROR(SUMIF(tblVarliklar[VarlikId],$B247,tblVarliklar[HedefKiraTl_tl]),kpg_varsayilanHedefKira))</f>
        <v/>
      </c>
      <c r="J247" s="18">
        <f>IF($A247="","",MAX(0, 1-$E247/kpg_gunAy))</f>
        <v/>
      </c>
      <c r="K247" s="18">
        <f>IF(OR($A247="",$I247=0),"",$D247/$I247)</f>
        <v/>
      </c>
      <c r="L247" s="18">
        <f>IF($A247="","",$D247-$F247)</f>
        <v/>
      </c>
      <c r="M247" s="18">
        <f>IF($A247="","",$I247*(1+$G247))</f>
        <v/>
      </c>
      <c r="N247" s="18">
        <f>IF($A247="","",MAX(0,MIN(100,kpg_kaliteTaban-IF($J247&lt;kpg_esikDoluluk,kpg_kaliteCeza,0)-IF($K247&lt;kpg_esikGetiri,kpg_kaliteSapma,0)-IF($Q247="YETIM",kpg_kaliteCeza,0))))</f>
        <v/>
      </c>
      <c r="O247" s="18">
        <f>IF($A247="","",IF(OR($J247&lt;kpg_esikDoluluk,$K247&lt;kpg_esikGetiri,$N247&lt;kpg_esikSaglik),"ALARM","UYGUN"))</f>
        <v/>
      </c>
      <c r="P247" s="18">
        <f>IF($A247="","",1)</f>
        <v/>
      </c>
      <c r="Q247" s="18">
        <f>IF($A247="","",IF(OR($B247="",COUNTIF(tblVarliklar[VarlikId],$B247)=0),"YETIM","TAMAM"))</f>
        <v/>
      </c>
    </row>
    <row r="248">
      <c r="A248" s="15" t="n"/>
      <c r="B248" s="15" t="n"/>
      <c r="C248" s="60" t="n"/>
      <c r="D248" s="17" t="n"/>
      <c r="E248" s="20" t="n"/>
      <c r="F248" s="17" t="n"/>
      <c r="G248" s="61" t="n"/>
      <c r="H248" s="15" t="n"/>
      <c r="I248" s="18">
        <f>IF($A248="","",IFERROR(SUMIF(tblVarliklar[VarlikId],$B248,tblVarliklar[HedefKiraTl_tl]),kpg_varsayilanHedefKira))</f>
        <v/>
      </c>
      <c r="J248" s="18">
        <f>IF($A248="","",MAX(0, 1-$E248/kpg_gunAy))</f>
        <v/>
      </c>
      <c r="K248" s="18">
        <f>IF(OR($A248="",$I248=0),"",$D248/$I248)</f>
        <v/>
      </c>
      <c r="L248" s="18">
        <f>IF($A248="","",$D248-$F248)</f>
        <v/>
      </c>
      <c r="M248" s="18">
        <f>IF($A248="","",$I248*(1+$G248))</f>
        <v/>
      </c>
      <c r="N248" s="18">
        <f>IF($A248="","",MAX(0,MIN(100,kpg_kaliteTaban-IF($J248&lt;kpg_esikDoluluk,kpg_kaliteCeza,0)-IF($K248&lt;kpg_esikGetiri,kpg_kaliteSapma,0)-IF($Q248="YETIM",kpg_kaliteCeza,0))))</f>
        <v/>
      </c>
      <c r="O248" s="18">
        <f>IF($A248="","",IF(OR($J248&lt;kpg_esikDoluluk,$K248&lt;kpg_esikGetiri,$N248&lt;kpg_esikSaglik),"ALARM","UYGUN"))</f>
        <v/>
      </c>
      <c r="P248" s="18">
        <f>IF($A248="","",1)</f>
        <v/>
      </c>
      <c r="Q248" s="18">
        <f>IF($A248="","",IF(OR($B248="",COUNTIF(tblVarliklar[VarlikId],$B248)=0),"YETIM","TAMAM"))</f>
        <v/>
      </c>
    </row>
    <row r="249">
      <c r="A249" s="15" t="n"/>
      <c r="B249" s="15" t="n"/>
      <c r="C249" s="60" t="n"/>
      <c r="D249" s="17" t="n"/>
      <c r="E249" s="20" t="n"/>
      <c r="F249" s="17" t="n"/>
      <c r="G249" s="61" t="n"/>
      <c r="H249" s="15" t="n"/>
      <c r="I249" s="18">
        <f>IF($A249="","",IFERROR(SUMIF(tblVarliklar[VarlikId],$B249,tblVarliklar[HedefKiraTl_tl]),kpg_varsayilanHedefKira))</f>
        <v/>
      </c>
      <c r="J249" s="18">
        <f>IF($A249="","",MAX(0, 1-$E249/kpg_gunAy))</f>
        <v/>
      </c>
      <c r="K249" s="18">
        <f>IF(OR($A249="",$I249=0),"",$D249/$I249)</f>
        <v/>
      </c>
      <c r="L249" s="18">
        <f>IF($A249="","",$D249-$F249)</f>
        <v/>
      </c>
      <c r="M249" s="18">
        <f>IF($A249="","",$I249*(1+$G249))</f>
        <v/>
      </c>
      <c r="N249" s="18">
        <f>IF($A249="","",MAX(0,MIN(100,kpg_kaliteTaban-IF($J249&lt;kpg_esikDoluluk,kpg_kaliteCeza,0)-IF($K249&lt;kpg_esikGetiri,kpg_kaliteSapma,0)-IF($Q249="YETIM",kpg_kaliteCeza,0))))</f>
        <v/>
      </c>
      <c r="O249" s="18">
        <f>IF($A249="","",IF(OR($J249&lt;kpg_esikDoluluk,$K249&lt;kpg_esikGetiri,$N249&lt;kpg_esikSaglik),"ALARM","UYGUN"))</f>
        <v/>
      </c>
      <c r="P249" s="18">
        <f>IF($A249="","",1)</f>
        <v/>
      </c>
      <c r="Q249" s="18">
        <f>IF($A249="","",IF(OR($B249="",COUNTIF(tblVarliklar[VarlikId],$B249)=0),"YETIM","TAMAM"))</f>
        <v/>
      </c>
    </row>
    <row r="250">
      <c r="A250" s="15" t="n"/>
      <c r="B250" s="15" t="n"/>
      <c r="C250" s="60" t="n"/>
      <c r="D250" s="17" t="n"/>
      <c r="E250" s="20" t="n"/>
      <c r="F250" s="17" t="n"/>
      <c r="G250" s="61" t="n"/>
      <c r="H250" s="15" t="n"/>
      <c r="I250" s="18">
        <f>IF($A250="","",IFERROR(SUMIF(tblVarliklar[VarlikId],$B250,tblVarliklar[HedefKiraTl_tl]),kpg_varsayilanHedefKira))</f>
        <v/>
      </c>
      <c r="J250" s="18">
        <f>IF($A250="","",MAX(0, 1-$E250/kpg_gunAy))</f>
        <v/>
      </c>
      <c r="K250" s="18">
        <f>IF(OR($A250="",$I250=0),"",$D250/$I250)</f>
        <v/>
      </c>
      <c r="L250" s="18">
        <f>IF($A250="","",$D250-$F250)</f>
        <v/>
      </c>
      <c r="M250" s="18">
        <f>IF($A250="","",$I250*(1+$G250))</f>
        <v/>
      </c>
      <c r="N250" s="18">
        <f>IF($A250="","",MAX(0,MIN(100,kpg_kaliteTaban-IF($J250&lt;kpg_esikDoluluk,kpg_kaliteCeza,0)-IF($K250&lt;kpg_esikGetiri,kpg_kaliteSapma,0)-IF($Q250="YETIM",kpg_kaliteCeza,0))))</f>
        <v/>
      </c>
      <c r="O250" s="18">
        <f>IF($A250="","",IF(OR($J250&lt;kpg_esikDoluluk,$K250&lt;kpg_esikGetiri,$N250&lt;kpg_esikSaglik),"ALARM","UYGUN"))</f>
        <v/>
      </c>
      <c r="P250" s="18">
        <f>IF($A250="","",1)</f>
        <v/>
      </c>
      <c r="Q250" s="18">
        <f>IF($A250="","",IF(OR($B250="",COUNTIF(tblVarliklar[VarlikId],$B250)=0),"YETIM","TAMAM"))</f>
        <v/>
      </c>
    </row>
    <row r="251">
      <c r="A251" s="15" t="n"/>
      <c r="B251" s="15" t="n"/>
      <c r="C251" s="60" t="n"/>
      <c r="D251" s="17" t="n"/>
      <c r="E251" s="20" t="n"/>
      <c r="F251" s="17" t="n"/>
      <c r="G251" s="61" t="n"/>
      <c r="H251" s="15" t="n"/>
      <c r="I251" s="18">
        <f>IF($A251="","",IFERROR(SUMIF(tblVarliklar[VarlikId],$B251,tblVarliklar[HedefKiraTl_tl]),kpg_varsayilanHedefKira))</f>
        <v/>
      </c>
      <c r="J251" s="18">
        <f>IF($A251="","",MAX(0, 1-$E251/kpg_gunAy))</f>
        <v/>
      </c>
      <c r="K251" s="18">
        <f>IF(OR($A251="",$I251=0),"",$D251/$I251)</f>
        <v/>
      </c>
      <c r="L251" s="18">
        <f>IF($A251="","",$D251-$F251)</f>
        <v/>
      </c>
      <c r="M251" s="18">
        <f>IF($A251="","",$I251*(1+$G251))</f>
        <v/>
      </c>
      <c r="N251" s="18">
        <f>IF($A251="","",MAX(0,MIN(100,kpg_kaliteTaban-IF($J251&lt;kpg_esikDoluluk,kpg_kaliteCeza,0)-IF($K251&lt;kpg_esikGetiri,kpg_kaliteSapma,0)-IF($Q251="YETIM",kpg_kaliteCeza,0))))</f>
        <v/>
      </c>
      <c r="O251" s="18">
        <f>IF($A251="","",IF(OR($J251&lt;kpg_esikDoluluk,$K251&lt;kpg_esikGetiri,$N251&lt;kpg_esikSaglik),"ALARM","UYGUN"))</f>
        <v/>
      </c>
      <c r="P251" s="18">
        <f>IF($A251="","",1)</f>
        <v/>
      </c>
      <c r="Q251" s="18">
        <f>IF($A251="","",IF(OR($B251="",COUNTIF(tblVarliklar[VarlikId],$B251)=0),"YETIM","TAMAM"))</f>
        <v/>
      </c>
    </row>
    <row r="252">
      <c r="A252" s="15" t="n"/>
      <c r="B252" s="15" t="n"/>
      <c r="C252" s="60" t="n"/>
      <c r="D252" s="17" t="n"/>
      <c r="E252" s="20" t="n"/>
      <c r="F252" s="17" t="n"/>
      <c r="G252" s="61" t="n"/>
      <c r="H252" s="15" t="n"/>
      <c r="I252" s="18">
        <f>IF($A252="","",IFERROR(SUMIF(tblVarliklar[VarlikId],$B252,tblVarliklar[HedefKiraTl_tl]),kpg_varsayilanHedefKira))</f>
        <v/>
      </c>
      <c r="J252" s="18">
        <f>IF($A252="","",MAX(0, 1-$E252/kpg_gunAy))</f>
        <v/>
      </c>
      <c r="K252" s="18">
        <f>IF(OR($A252="",$I252=0),"",$D252/$I252)</f>
        <v/>
      </c>
      <c r="L252" s="18">
        <f>IF($A252="","",$D252-$F252)</f>
        <v/>
      </c>
      <c r="M252" s="18">
        <f>IF($A252="","",$I252*(1+$G252))</f>
        <v/>
      </c>
      <c r="N252" s="18">
        <f>IF($A252="","",MAX(0,MIN(100,kpg_kaliteTaban-IF($J252&lt;kpg_esikDoluluk,kpg_kaliteCeza,0)-IF($K252&lt;kpg_esikGetiri,kpg_kaliteSapma,0)-IF($Q252="YETIM",kpg_kaliteCeza,0))))</f>
        <v/>
      </c>
      <c r="O252" s="18">
        <f>IF($A252="","",IF(OR($J252&lt;kpg_esikDoluluk,$K252&lt;kpg_esikGetiri,$N252&lt;kpg_esikSaglik),"ALARM","UYGUN"))</f>
        <v/>
      </c>
      <c r="P252" s="18">
        <f>IF($A252="","",1)</f>
        <v/>
      </c>
      <c r="Q252" s="18">
        <f>IF($A252="","",IF(OR($B252="",COUNTIF(tblVarliklar[VarlikId],$B252)=0),"YETIM","TAMAM"))</f>
        <v/>
      </c>
    </row>
    <row r="253">
      <c r="A253" s="15" t="n"/>
      <c r="B253" s="15" t="n"/>
      <c r="C253" s="60" t="n"/>
      <c r="D253" s="17" t="n"/>
      <c r="E253" s="20" t="n"/>
      <c r="F253" s="17" t="n"/>
      <c r="G253" s="61" t="n"/>
      <c r="H253" s="15" t="n"/>
      <c r="I253" s="18">
        <f>IF($A253="","",IFERROR(SUMIF(tblVarliklar[VarlikId],$B253,tblVarliklar[HedefKiraTl_tl]),kpg_varsayilanHedefKira))</f>
        <v/>
      </c>
      <c r="J253" s="18">
        <f>IF($A253="","",MAX(0, 1-$E253/kpg_gunAy))</f>
        <v/>
      </c>
      <c r="K253" s="18">
        <f>IF(OR($A253="",$I253=0),"",$D253/$I253)</f>
        <v/>
      </c>
      <c r="L253" s="18">
        <f>IF($A253="","",$D253-$F253)</f>
        <v/>
      </c>
      <c r="M253" s="18">
        <f>IF($A253="","",$I253*(1+$G253))</f>
        <v/>
      </c>
      <c r="N253" s="18">
        <f>IF($A253="","",MAX(0,MIN(100,kpg_kaliteTaban-IF($J253&lt;kpg_esikDoluluk,kpg_kaliteCeza,0)-IF($K253&lt;kpg_esikGetiri,kpg_kaliteSapma,0)-IF($Q253="YETIM",kpg_kaliteCeza,0))))</f>
        <v/>
      </c>
      <c r="O253" s="18">
        <f>IF($A253="","",IF(OR($J253&lt;kpg_esikDoluluk,$K253&lt;kpg_esikGetiri,$N253&lt;kpg_esikSaglik),"ALARM","UYGUN"))</f>
        <v/>
      </c>
      <c r="P253" s="18">
        <f>IF($A253="","",1)</f>
        <v/>
      </c>
      <c r="Q253" s="18">
        <f>IF($A253="","",IF(OR($B253="",COUNTIF(tblVarliklar[VarlikId],$B253)=0),"YETIM","TAMAM"))</f>
        <v/>
      </c>
    </row>
    <row r="254">
      <c r="A254" s="15" t="n"/>
      <c r="B254" s="15" t="n"/>
      <c r="C254" s="60" t="n"/>
      <c r="D254" s="17" t="n"/>
      <c r="E254" s="20" t="n"/>
      <c r="F254" s="17" t="n"/>
      <c r="G254" s="61" t="n"/>
      <c r="H254" s="15" t="n"/>
      <c r="I254" s="18">
        <f>IF($A254="","",IFERROR(SUMIF(tblVarliklar[VarlikId],$B254,tblVarliklar[HedefKiraTl_tl]),kpg_varsayilanHedefKira))</f>
        <v/>
      </c>
      <c r="J254" s="18">
        <f>IF($A254="","",MAX(0, 1-$E254/kpg_gunAy))</f>
        <v/>
      </c>
      <c r="K254" s="18">
        <f>IF(OR($A254="",$I254=0),"",$D254/$I254)</f>
        <v/>
      </c>
      <c r="L254" s="18">
        <f>IF($A254="","",$D254-$F254)</f>
        <v/>
      </c>
      <c r="M254" s="18">
        <f>IF($A254="","",$I254*(1+$G254))</f>
        <v/>
      </c>
      <c r="N254" s="18">
        <f>IF($A254="","",MAX(0,MIN(100,kpg_kaliteTaban-IF($J254&lt;kpg_esikDoluluk,kpg_kaliteCeza,0)-IF($K254&lt;kpg_esikGetiri,kpg_kaliteSapma,0)-IF($Q254="YETIM",kpg_kaliteCeza,0))))</f>
        <v/>
      </c>
      <c r="O254" s="18">
        <f>IF($A254="","",IF(OR($J254&lt;kpg_esikDoluluk,$K254&lt;kpg_esikGetiri,$N254&lt;kpg_esikSaglik),"ALARM","UYGUN"))</f>
        <v/>
      </c>
      <c r="P254" s="18">
        <f>IF($A254="","",1)</f>
        <v/>
      </c>
      <c r="Q254" s="18">
        <f>IF($A254="","",IF(OR($B254="",COUNTIF(tblVarliklar[VarlikId],$B254)=0),"YETIM","TAMAM"))</f>
        <v/>
      </c>
    </row>
    <row r="255">
      <c r="A255" s="15" t="n"/>
      <c r="B255" s="15" t="n"/>
      <c r="C255" s="60" t="n"/>
      <c r="D255" s="17" t="n"/>
      <c r="E255" s="20" t="n"/>
      <c r="F255" s="17" t="n"/>
      <c r="G255" s="61" t="n"/>
      <c r="H255" s="15" t="n"/>
      <c r="I255" s="18">
        <f>IF($A255="","",IFERROR(SUMIF(tblVarliklar[VarlikId],$B255,tblVarliklar[HedefKiraTl_tl]),kpg_varsayilanHedefKira))</f>
        <v/>
      </c>
      <c r="J255" s="18">
        <f>IF($A255="","",MAX(0, 1-$E255/kpg_gunAy))</f>
        <v/>
      </c>
      <c r="K255" s="18">
        <f>IF(OR($A255="",$I255=0),"",$D255/$I255)</f>
        <v/>
      </c>
      <c r="L255" s="18">
        <f>IF($A255="","",$D255-$F255)</f>
        <v/>
      </c>
      <c r="M255" s="18">
        <f>IF($A255="","",$I255*(1+$G255))</f>
        <v/>
      </c>
      <c r="N255" s="18">
        <f>IF($A255="","",MAX(0,MIN(100,kpg_kaliteTaban-IF($J255&lt;kpg_esikDoluluk,kpg_kaliteCeza,0)-IF($K255&lt;kpg_esikGetiri,kpg_kaliteSapma,0)-IF($Q255="YETIM",kpg_kaliteCeza,0))))</f>
        <v/>
      </c>
      <c r="O255" s="18">
        <f>IF($A255="","",IF(OR($J255&lt;kpg_esikDoluluk,$K255&lt;kpg_esikGetiri,$N255&lt;kpg_esikSaglik),"ALARM","UYGUN"))</f>
        <v/>
      </c>
      <c r="P255" s="18">
        <f>IF($A255="","",1)</f>
        <v/>
      </c>
      <c r="Q255" s="18">
        <f>IF($A255="","",IF(OR($B255="",COUNTIF(tblVarliklar[VarlikId],$B255)=0),"YETIM","TAMAM"))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V1"/>
    <mergeCell ref="A3:P3"/>
  </mergeCells>
  <conditionalFormatting sqref="O6:O255">
    <cfRule type="cellIs" priority="1" operator="equal" dxfId="1">
      <formula>"ALARM"</formula>
    </cfRule>
  </conditionalFormatting>
  <conditionalFormatting sqref="Q6:Q255">
    <cfRule type="cellIs" priority="2" operator="equal" dxfId="0">
      <formula>"YETIM"</formula>
    </cfRule>
  </conditionalFormatting>
  <conditionalFormatting sqref="J6:J255">
    <cfRule type="cellIs" priority="3" operator="lessThan" dxfId="0">
      <formula>kpg_esikDoluluk</formula>
    </cfRule>
  </conditionalFormatting>
  <conditionalFormatting sqref="N6:N255">
    <cfRule type="cellIs" priority="4" operator="lessThan" dxfId="2">
      <formula>kpg_esikSaglik</formula>
    </cfRule>
  </conditionalFormatting>
  <dataValidations count="8">
    <dataValidation sqref="A6:A255" showDropDown="0" showInputMessage="1" showErrorMessage="1" allowBlank="1" errorTitle="Kimlik" error="En az 1 karakter" promptTitle="Günlük Kimlik" prompt="KPG-##### girin" type="textLength" errorStyle="stop" operator="greaterThan">
      <formula1>1</formula1>
      <formula2>40</formula2>
    </dataValidation>
    <dataValidation sqref="B6:B255" showDropDown="0" showInputMessage="1" showErrorMessage="1" allowBlank="1" errorTitle="Varlık" error="Geçersiz" promptTitle="Varlık" prompt="KIR kimliği girin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GG.AA.YYYY" type="date" errorStyle="stop" operator="greaterThan">
      <formula1>1</formula1>
    </dataValidation>
    <dataValidation sqref="D6:D255" showDropDown="0" showInputMessage="1" showErrorMessage="1" allowBlank="1" errorTitle="Tahsilat [TL]" error="0 veya üzeri" promptTitle="Tahsilat [TL]" prompt="Tahsilat [TL] ≥ 0" type="decimal" errorStyle="stop" operator="greaterThanOrEqual">
      <formula1>0</formula1>
    </dataValidation>
    <dataValidation sqref="E6:E255" showDropDown="0" showInputMessage="1" showErrorMessage="1" allowBlank="1" errorTitle="Boş Gün [gün]" error="0 veya üzeri" promptTitle="Boş Gün [gün]" prompt="Boş Gün [gün] ≥ 0" type="decimal" errorStyle="stop" operator="greaterThanOrEqual">
      <formula1>0</formula1>
    </dataValidation>
    <dataValidation sqref="F6:F255" showDropDown="0" showInputMessage="1" showErrorMessage="1" allowBlank="1" errorTitle="Gider [TL]" error="0 veya üzeri" promptTitle="Gider [TL]" prompt="Gider [TL] ≥ 0" type="decimal" errorStyle="stop" operator="greaterThanOrEqual">
      <formula1>0</formula1>
    </dataValidation>
    <dataValidation sqref="G6:G255" showDropDown="0" showInputMessage="1" showErrorMessage="1" allowBlank="1" errorTitle="TÜFE Oranı" error="0 veya üzeri" promptTitle="TÜFE Oranı" prompt="TÜFE Oranı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Olay Türü" prompt="Listeden seçin" type="list" errorStyle="stop">
      <formula1>ListeOlayTuru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A2744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8" customWidth="1" min="6" max="6"/>
  </cols>
  <sheetData>
    <row r="1" ht="26" customHeight="1">
      <c r="A1" s="1" t="inlineStr">
        <is>
          <t>DONEM ANALIZ — Kira Portföyü Getiri Komutası</t>
        </is>
      </c>
    </row>
    <row r="3" ht="20" customHeight="1">
      <c r="A3" s="10" t="inlineStr">
        <is>
          <t>12 aylık sezonsallık — tahsilat ve doluluk zinciri (S03)</t>
        </is>
      </c>
    </row>
    <row r="5">
      <c r="A5" s="22" t="inlineStr">
        <is>
          <t>Ay</t>
        </is>
      </c>
      <c r="B5" s="22" t="inlineStr">
        <is>
          <t>Ay_Anahtari</t>
        </is>
      </c>
      <c r="C5" s="22" t="inlineStr">
        <is>
          <t>Tahsilat TL</t>
        </is>
      </c>
      <c r="D5" s="22" t="inlineStr">
        <is>
          <t>Gider TL</t>
        </is>
      </c>
      <c r="E5" s="22" t="inlineStr">
        <is>
          <t>Doluluk Ort</t>
        </is>
      </c>
      <c r="F5" s="22" t="inlineStr">
        <is>
          <t>Sezonsal Etiket</t>
        </is>
      </c>
    </row>
    <row r="6">
      <c r="A6" s="7" t="inlineStr">
        <is>
          <t>Ocak</t>
        </is>
      </c>
      <c r="B6" s="7" t="inlineStr">
        <is>
          <t>Ay_1</t>
        </is>
      </c>
      <c r="C6" s="23" t="n">
        <v>118000</v>
      </c>
      <c r="D6" s="23" t="n">
        <v>18000</v>
      </c>
      <c r="E6" s="62" t="n">
        <v>0.88</v>
      </c>
      <c r="F6" s="7" t="inlineStr">
        <is>
          <t>12_AY_SEZONSAL</t>
        </is>
      </c>
    </row>
    <row r="7">
      <c r="A7" s="7" t="inlineStr">
        <is>
          <t>Subat</t>
        </is>
      </c>
      <c r="B7" s="7" t="inlineStr">
        <is>
          <t>Ay_2</t>
        </is>
      </c>
      <c r="C7" s="23" t="n">
        <v>122000</v>
      </c>
      <c r="D7" s="23" t="n">
        <v>19000</v>
      </c>
      <c r="E7" s="62" t="n">
        <v>0.89</v>
      </c>
      <c r="F7" s="7" t="inlineStr">
        <is>
          <t>12_AY_SEZONSAL</t>
        </is>
      </c>
    </row>
    <row r="8">
      <c r="A8" s="7" t="inlineStr">
        <is>
          <t>Mart</t>
        </is>
      </c>
      <c r="B8" s="7" t="inlineStr">
        <is>
          <t>Ay_3</t>
        </is>
      </c>
      <c r="C8" s="23" t="n">
        <v>128000</v>
      </c>
      <c r="D8" s="23" t="n">
        <v>20000</v>
      </c>
      <c r="E8" s="62" t="n">
        <v>0.91</v>
      </c>
      <c r="F8" s="7" t="inlineStr">
        <is>
          <t>12_AY_SEZONSAL</t>
        </is>
      </c>
    </row>
    <row r="9">
      <c r="A9" s="7" t="inlineStr">
        <is>
          <t>Nisan</t>
        </is>
      </c>
      <c r="B9" s="7" t="inlineStr">
        <is>
          <t>Ay_4</t>
        </is>
      </c>
      <c r="C9" s="23" t="n">
        <v>135000</v>
      </c>
      <c r="D9" s="23" t="n">
        <v>21000</v>
      </c>
      <c r="E9" s="62" t="n">
        <v>0.93</v>
      </c>
      <c r="F9" s="7" t="inlineStr">
        <is>
          <t>12_AY_SEZONSAL</t>
        </is>
      </c>
    </row>
    <row r="10">
      <c r="A10" s="7" t="inlineStr">
        <is>
          <t>Mayis</t>
        </is>
      </c>
      <c r="B10" s="7" t="inlineStr">
        <is>
          <t>Ay_5</t>
        </is>
      </c>
      <c r="C10" s="23" t="n">
        <v>142000</v>
      </c>
      <c r="D10" s="23" t="n">
        <v>22000</v>
      </c>
      <c r="E10" s="62" t="n">
        <v>0.9399999999999999</v>
      </c>
      <c r="F10" s="7" t="inlineStr">
        <is>
          <t>12_AY_SEZONSAL</t>
        </is>
      </c>
    </row>
    <row r="11">
      <c r="A11" s="7" t="inlineStr">
        <is>
          <t>Haziran</t>
        </is>
      </c>
      <c r="B11" s="7" t="inlineStr">
        <is>
          <t>Ay_6</t>
        </is>
      </c>
      <c r="C11" s="23" t="n">
        <v>148000</v>
      </c>
      <c r="D11" s="23" t="n">
        <v>23000</v>
      </c>
      <c r="E11" s="62" t="n">
        <v>0.95</v>
      </c>
      <c r="F11" s="7" t="inlineStr">
        <is>
          <t>12_AY_SEZONSAL</t>
        </is>
      </c>
    </row>
    <row r="12">
      <c r="A12" s="7" t="inlineStr">
        <is>
          <t>Temmuz</t>
        </is>
      </c>
      <c r="B12" s="7" t="inlineStr">
        <is>
          <t>Ay_7</t>
        </is>
      </c>
      <c r="C12" s="23" t="n">
        <v>152000</v>
      </c>
      <c r="D12" s="23" t="n">
        <v>24000</v>
      </c>
      <c r="E12" s="62" t="n">
        <v>0.96</v>
      </c>
      <c r="F12" s="7" t="inlineStr">
        <is>
          <t>12_AY_SEZONSAL</t>
        </is>
      </c>
    </row>
    <row r="13">
      <c r="A13" s="7" t="inlineStr">
        <is>
          <t>Agustos</t>
        </is>
      </c>
      <c r="B13" s="7" t="inlineStr">
        <is>
          <t>Ay_8</t>
        </is>
      </c>
      <c r="C13" s="23" t="n">
        <v>150000</v>
      </c>
      <c r="D13" s="23" t="n">
        <v>23500</v>
      </c>
      <c r="E13" s="62" t="n">
        <v>0.95</v>
      </c>
      <c r="F13" s="7" t="inlineStr">
        <is>
          <t>12_AY_SEZONSAL</t>
        </is>
      </c>
    </row>
    <row r="14">
      <c r="A14" s="7" t="inlineStr">
        <is>
          <t>Eylul</t>
        </is>
      </c>
      <c r="B14" s="7" t="inlineStr">
        <is>
          <t>Ay_9</t>
        </is>
      </c>
      <c r="C14" s="23" t="n">
        <v>145000</v>
      </c>
      <c r="D14" s="23" t="n">
        <v>22000</v>
      </c>
      <c r="E14" s="62" t="n">
        <v>0.93</v>
      </c>
      <c r="F14" s="7" t="inlineStr">
        <is>
          <t>12_AY_SEZONSAL</t>
        </is>
      </c>
    </row>
    <row r="15">
      <c r="A15" s="7" t="inlineStr">
        <is>
          <t>Ekim</t>
        </is>
      </c>
      <c r="B15" s="7" t="inlineStr">
        <is>
          <t>Ay_10</t>
        </is>
      </c>
      <c r="C15" s="23" t="n">
        <v>138000</v>
      </c>
      <c r="D15" s="23" t="n">
        <v>20500</v>
      </c>
      <c r="E15" s="62" t="n">
        <v>0.91</v>
      </c>
      <c r="F15" s="7" t="inlineStr">
        <is>
          <t>12_AY_SEZONSAL</t>
        </is>
      </c>
    </row>
    <row r="16">
      <c r="A16" s="7" t="inlineStr">
        <is>
          <t>Kasim</t>
        </is>
      </c>
      <c r="B16" s="7" t="inlineStr">
        <is>
          <t>Ay_11</t>
        </is>
      </c>
      <c r="C16" s="23" t="n">
        <v>130000</v>
      </c>
      <c r="D16" s="23" t="n">
        <v>19500</v>
      </c>
      <c r="E16" s="62" t="n">
        <v>0.89</v>
      </c>
      <c r="F16" s="7" t="inlineStr">
        <is>
          <t>12_AY_SEZONSAL</t>
        </is>
      </c>
    </row>
    <row r="17">
      <c r="A17" s="7" t="inlineStr">
        <is>
          <t>Aralik</t>
        </is>
      </c>
      <c r="B17" s="7" t="inlineStr">
        <is>
          <t>Ay_12</t>
        </is>
      </c>
      <c r="C17" s="23" t="n">
        <v>124000</v>
      </c>
      <c r="D17" s="23" t="n">
        <v>18500</v>
      </c>
      <c r="E17" s="62" t="n">
        <v>0.87</v>
      </c>
      <c r="F17" s="7" t="inlineStr">
        <is>
          <t>12_AY_SEZONSAL</t>
        </is>
      </c>
    </row>
    <row r="20">
      <c r="A20" s="25" t="inlineStr">
        <is>
          <t>Sezonsal Trend Özeti</t>
        </is>
      </c>
      <c r="B20" s="8">
        <f>kpg_sezonsalTrend</f>
        <v/>
      </c>
    </row>
    <row r="22">
      <c r="A22" s="13" t="inlineStr">
        <is>
          <t>12 Ay Toplam Tahsilat</t>
        </is>
      </c>
      <c r="B22" s="23">
        <f>SUM(C6:C17)</f>
        <v/>
      </c>
    </row>
    <row r="23">
      <c r="A23" s="13" t="inlineStr">
        <is>
          <t>12 Ay Toplam Gider</t>
        </is>
      </c>
      <c r="B23" s="23">
        <f>SUM(D6:D17)</f>
        <v/>
      </c>
    </row>
    <row r="24">
      <c r="A24" s="13" t="inlineStr">
        <is>
          <t>12 Ay Ort Doluluk</t>
        </is>
      </c>
      <c r="B24" s="62">
        <f>AVERAGE(E6:E17)</f>
        <v/>
      </c>
    </row>
    <row r="25">
      <c r="A25" s="13" t="inlineStr">
        <is>
          <t>Canlı dönem tahsilat</t>
        </is>
      </c>
      <c r="B25" s="23">
        <f>kpg_toplamTahsilat</f>
        <v/>
      </c>
    </row>
    <row r="26">
      <c r="A26" s="13" t="inlineStr">
        <is>
          <t>Canlı dönem doluluk</t>
        </is>
      </c>
      <c r="B26" s="62">
        <f>kpg_ortDoluluk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L3"/>
    <mergeCell ref="A1:P1"/>
    <mergeCell ref="B20:F20"/>
  </mergeCells>
  <conditionalFormatting sqref="C6">
    <cfRule type="cellIs" priority="1" operator="greaterThan" dxfId="3">
      <formula>0</formula>
    </cfRule>
  </conditionalFormatting>
  <conditionalFormatting sqref="E6">
    <cfRule type="cellIs" priority="2" operator="lessThan" dxfId="0">
      <formula>kpg_esikDoluluk</formula>
    </cfRule>
  </conditionalFormatting>
  <conditionalFormatting sqref="C7">
    <cfRule type="cellIs" priority="3" operator="greaterThan" dxfId="3">
      <formula>0</formula>
    </cfRule>
  </conditionalFormatting>
  <conditionalFormatting sqref="E7">
    <cfRule type="cellIs" priority="4" operator="lessThan" dxfId="0">
      <formula>kpg_esikDoluluk</formula>
    </cfRule>
  </conditionalFormatting>
  <conditionalFormatting sqref="C8">
    <cfRule type="cellIs" priority="5" operator="greaterThan" dxfId="3">
      <formula>0</formula>
    </cfRule>
  </conditionalFormatting>
  <conditionalFormatting sqref="E8">
    <cfRule type="cellIs" priority="6" operator="lessThan" dxfId="0">
      <formula>kpg_esikDoluluk</formula>
    </cfRule>
  </conditionalFormatting>
  <conditionalFormatting sqref="C9">
    <cfRule type="cellIs" priority="7" operator="greaterThan" dxfId="3">
      <formula>0</formula>
    </cfRule>
  </conditionalFormatting>
  <conditionalFormatting sqref="E9">
    <cfRule type="cellIs" priority="8" operator="lessThan" dxfId="0">
      <formula>kpg_esikDoluluk</formula>
    </cfRule>
  </conditionalFormatting>
  <conditionalFormatting sqref="C10">
    <cfRule type="cellIs" priority="9" operator="greaterThan" dxfId="3">
      <formula>0</formula>
    </cfRule>
  </conditionalFormatting>
  <conditionalFormatting sqref="E10">
    <cfRule type="cellIs" priority="10" operator="lessThan" dxfId="0">
      <formula>kpg_esikDoluluk</formula>
    </cfRule>
  </conditionalFormatting>
  <conditionalFormatting sqref="C11">
    <cfRule type="cellIs" priority="11" operator="greaterThan" dxfId="3">
      <formula>0</formula>
    </cfRule>
  </conditionalFormatting>
  <conditionalFormatting sqref="E11">
    <cfRule type="cellIs" priority="12" operator="lessThan" dxfId="0">
      <formula>kpg_esikDoluluk</formula>
    </cfRule>
  </conditionalFormatting>
  <conditionalFormatting sqref="C12">
    <cfRule type="cellIs" priority="13" operator="greaterThan" dxfId="3">
      <formula>0</formula>
    </cfRule>
  </conditionalFormatting>
  <conditionalFormatting sqref="E12">
    <cfRule type="cellIs" priority="14" operator="lessThan" dxfId="0">
      <formula>kpg_esikDoluluk</formula>
    </cfRule>
  </conditionalFormatting>
  <conditionalFormatting sqref="C13">
    <cfRule type="cellIs" priority="15" operator="greaterThan" dxfId="3">
      <formula>0</formula>
    </cfRule>
  </conditionalFormatting>
  <conditionalFormatting sqref="E13">
    <cfRule type="cellIs" priority="16" operator="lessThan" dxfId="0">
      <formula>kpg_esikDoluluk</formula>
    </cfRule>
  </conditionalFormatting>
  <conditionalFormatting sqref="C14">
    <cfRule type="cellIs" priority="17" operator="greaterThan" dxfId="3">
      <formula>0</formula>
    </cfRule>
  </conditionalFormatting>
  <conditionalFormatting sqref="E14">
    <cfRule type="cellIs" priority="18" operator="lessThan" dxfId="0">
      <formula>kpg_esikDoluluk</formula>
    </cfRule>
  </conditionalFormatting>
  <conditionalFormatting sqref="C15">
    <cfRule type="cellIs" priority="19" operator="greaterThan" dxfId="3">
      <formula>0</formula>
    </cfRule>
  </conditionalFormatting>
  <conditionalFormatting sqref="E15">
    <cfRule type="cellIs" priority="20" operator="lessThan" dxfId="0">
      <formula>kpg_esikDoluluk</formula>
    </cfRule>
  </conditionalFormatting>
  <conditionalFormatting sqref="C16">
    <cfRule type="cellIs" priority="21" operator="greaterThan" dxfId="3">
      <formula>0</formula>
    </cfRule>
  </conditionalFormatting>
  <conditionalFormatting sqref="E16">
    <cfRule type="cellIs" priority="22" operator="lessThan" dxfId="0">
      <formula>kpg_esikDoluluk</formula>
    </cfRule>
  </conditionalFormatting>
  <conditionalFormatting sqref="C17">
    <cfRule type="cellIs" priority="23" operator="greaterThan" dxfId="3">
      <formula>0</formula>
    </cfRule>
  </conditionalFormatting>
  <conditionalFormatting sqref="E17">
    <cfRule type="cellIs" priority="24" operator="lessThan" dxfId="0">
      <formula>kpg_esikDoluluk</formula>
    </cfRule>
  </conditionalFormatting>
  <dataValidations count="12">
    <dataValidation sqref="A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8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9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0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1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2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3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4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5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A2744"/>
    <outlinePr summaryBelow="1" summaryRight="1"/>
    <pageSetUpPr/>
  </sheetPr>
  <dimension ref="A1:L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</cols>
  <sheetData>
    <row r="1" ht="26" customHeight="1">
      <c r="A1" s="1" t="inlineStr">
        <is>
          <t>HESAP — Kira Portföyü Getiri Komutası</t>
        </is>
      </c>
    </row>
    <row r="3" ht="20" customHeight="1">
      <c r="A3" s="10" t="inlineStr">
        <is>
          <t>Hesap motoru — ≥40 adım; sabitler AYARLAR'dan</t>
        </is>
      </c>
    </row>
    <row r="5">
      <c r="A5" s="22" t="inlineStr">
        <is>
          <t>Adım</t>
        </is>
      </c>
      <c r="B5" s="22" t="inlineStr">
        <is>
          <t>Açıklama</t>
        </is>
      </c>
      <c r="C5" s="22" t="inlineStr">
        <is>
          <t>Değer</t>
        </is>
      </c>
    </row>
    <row r="6">
      <c r="A6" s="7" t="inlineStr">
        <is>
          <t>H01</t>
        </is>
      </c>
      <c r="B6" s="7" t="inlineStr">
        <is>
          <t>Toplam günlük kayıt</t>
        </is>
      </c>
      <c r="C6" s="26">
        <f>COUNTA(tblGunluk[SatirId])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6">
        <f>SUM(tblGunluk[FormulKayitDolu])</f>
        <v/>
      </c>
    </row>
    <row r="8">
      <c r="A8" s="7" t="inlineStr">
        <is>
          <t>H03</t>
        </is>
      </c>
      <c r="B8" s="7" t="inlineStr">
        <is>
          <t>Toplam tahsilat TL</t>
        </is>
      </c>
      <c r="C8" s="23">
        <f>SUM(tblGunluk[TahsilatTl_tl])</f>
        <v/>
      </c>
    </row>
    <row r="9">
      <c r="A9" s="7" t="inlineStr">
        <is>
          <t>H04</t>
        </is>
      </c>
      <c r="B9" s="7" t="inlineStr">
        <is>
          <t>Toplam boş gün</t>
        </is>
      </c>
      <c r="C9" s="26">
        <f>SUM(tblGunluk[BosGun_gun])</f>
        <v/>
      </c>
    </row>
    <row r="10">
      <c r="A10" s="7" t="inlineStr">
        <is>
          <t>H05</t>
        </is>
      </c>
      <c r="B10" s="7" t="inlineStr">
        <is>
          <t>Toplam gider TL</t>
        </is>
      </c>
      <c r="C10" s="23">
        <f>SUM(tblGunluk[GiderTl_tl])</f>
        <v/>
      </c>
    </row>
    <row r="11">
      <c r="A11" s="7" t="inlineStr">
        <is>
          <t>H06</t>
        </is>
      </c>
      <c r="B11" s="7" t="inlineStr">
        <is>
          <t>Toplam hedef kira</t>
        </is>
      </c>
      <c r="C11" s="23">
        <f>SUM(tblGunluk[FormulHedefKira_tl])</f>
        <v/>
      </c>
    </row>
    <row r="12">
      <c r="A12" s="7" t="inlineStr">
        <is>
          <t>H07</t>
        </is>
      </c>
      <c r="B12" s="7" t="inlineStr">
        <is>
          <t>Ort doluluk</t>
        </is>
      </c>
      <c r="C12" s="62">
        <f>IFERROR(AVERAGEIF(tblGunluk[FormulDoluluk_oran],"&gt;0"),0)</f>
        <v/>
      </c>
    </row>
    <row r="13">
      <c r="A13" s="7" t="inlineStr">
        <is>
          <t>H08</t>
        </is>
      </c>
      <c r="B13" s="7" t="inlineStr">
        <is>
          <t>Ort getiri</t>
        </is>
      </c>
      <c r="C13" s="62">
        <f>IFERROR(AVERAGEIF(tblGunluk[FormulGetiri_oran],"&gt;0"),0)</f>
        <v/>
      </c>
    </row>
    <row r="14">
      <c r="A14" s="7" t="inlineStr">
        <is>
          <t>H09</t>
        </is>
      </c>
      <c r="B14" s="7" t="inlineStr">
        <is>
          <t>Net tahsilat</t>
        </is>
      </c>
      <c r="C14" s="23">
        <f>SUM(tblGunluk[FormulNet_tl])</f>
        <v/>
      </c>
    </row>
    <row r="15">
      <c r="A15" s="7" t="inlineStr">
        <is>
          <t>H10</t>
        </is>
      </c>
      <c r="B15" s="7" t="inlineStr">
        <is>
          <t>Aktif menkul adet</t>
        </is>
      </c>
      <c r="C15" s="26">
        <f>COUNTIF(tblVarliklar[Aktif],"EVET")</f>
        <v/>
      </c>
    </row>
    <row r="16">
      <c r="A16" s="7" t="inlineStr">
        <is>
          <t>H11</t>
        </is>
      </c>
      <c r="B16" s="7" t="inlineStr">
        <is>
          <t>Toplam menkul kart</t>
        </is>
      </c>
      <c r="C16" s="26">
        <f>COUNTA(tblVarliklar[VarlikId])</f>
        <v/>
      </c>
    </row>
    <row r="17">
      <c r="A17" s="7" t="inlineStr">
        <is>
          <t>H12</t>
        </is>
      </c>
      <c r="B17" s="7" t="inlineStr">
        <is>
          <t>Alarm adet</t>
        </is>
      </c>
      <c r="C17" s="26">
        <f>COUNTIF(tblGunluk[AlarmBayrak],"ALARM")</f>
        <v/>
      </c>
    </row>
    <row r="18">
      <c r="A18" s="7" t="inlineStr">
        <is>
          <t>H13</t>
        </is>
      </c>
      <c r="B18" s="7" t="inlineStr">
        <is>
          <t>Yetim kayıt</t>
        </is>
      </c>
      <c r="C18" s="26">
        <f>COUNTIF(tblGunluk[FormulYetim],"YETIM")</f>
        <v/>
      </c>
    </row>
    <row r="19">
      <c r="A19" s="7" t="inlineStr">
        <is>
          <t>H14</t>
        </is>
      </c>
      <c r="B19" s="7" t="inlineStr">
        <is>
          <t>Ortalama sağlık skor</t>
        </is>
      </c>
      <c r="C19" s="26">
        <f>IFERROR(AVERAGEIF(tblGunluk[SaglikSkor_puan],"&gt;0"),0)</f>
        <v/>
      </c>
    </row>
    <row r="20">
      <c r="A20" s="7" t="inlineStr">
        <is>
          <t>H15</t>
        </is>
      </c>
      <c r="B20" s="7" t="inlineStr">
        <is>
          <t>Min sağlık skor</t>
        </is>
      </c>
      <c r="C20" s="26">
        <f>IFERROR(MIN(tblGunluk[SaglikSkor_puan]),0)</f>
        <v/>
      </c>
    </row>
    <row r="21">
      <c r="A21" s="7" t="inlineStr">
        <is>
          <t>H16</t>
        </is>
      </c>
      <c r="B21" s="7" t="inlineStr">
        <is>
          <t>Doluluk eşik altı adet</t>
        </is>
      </c>
      <c r="C21" s="62">
        <f>COUNTIFS(tblGunluk[FormulDoluluk_oran],"&lt;"&amp;kpg_esikDoluluk,tblGunluk[FormulKayitDolu],"&gt;0")</f>
        <v/>
      </c>
    </row>
    <row r="22">
      <c r="A22" s="7" t="inlineStr">
        <is>
          <t>H17</t>
        </is>
      </c>
      <c r="B22" s="7" t="inlineStr">
        <is>
          <t>Getiri eşik altı adet</t>
        </is>
      </c>
      <c r="C22" s="62">
        <f>COUNTIFS(tblGunluk[FormulGetiri_oran],"&lt;"&amp;kpg_esikGetiri,tblGunluk[FormulKayitDolu],"&gt;0")</f>
        <v/>
      </c>
    </row>
    <row r="23">
      <c r="A23" s="7" t="inlineStr">
        <is>
          <t>H18</t>
        </is>
      </c>
      <c r="B23" s="7" t="inlineStr">
        <is>
          <t>Düşük sağlık adet</t>
        </is>
      </c>
      <c r="C23" s="26">
        <f>COUNTIFS(tblGunluk[SaglikSkor_puan],"&lt;"&amp;kpg_esikSaglik,tblGunluk[FormulKayitDolu],"&gt;0")</f>
        <v/>
      </c>
    </row>
    <row r="24">
      <c r="A24" s="7" t="inlineStr">
        <is>
          <t>H19</t>
        </is>
      </c>
      <c r="B24" s="7" t="inlineStr">
        <is>
          <t>Günlük doluluk ort</t>
        </is>
      </c>
      <c r="C24" s="62">
        <f>IFERROR(AVERAGEIF(tblGunluk[FormulDoluluk_oran],"&gt;0"),0)</f>
        <v/>
      </c>
    </row>
    <row r="25">
      <c r="A25" s="7" t="inlineStr">
        <is>
          <t>H20</t>
        </is>
      </c>
      <c r="B25" s="7" t="inlineStr">
        <is>
          <t>Aylık tahsilat proxy</t>
        </is>
      </c>
      <c r="C25" s="23">
        <f>C8*kpg_aylikCarpan</f>
        <v/>
      </c>
    </row>
    <row r="26">
      <c r="A26" s="7" t="inlineStr">
        <is>
          <t>H21</t>
        </is>
      </c>
      <c r="B26" s="7" t="inlineStr">
        <is>
          <t>Getiri sapma</t>
        </is>
      </c>
      <c r="C26" s="62">
        <f>IFERROR(ABS(C13-kpg_esikGetiri),0)</f>
        <v/>
      </c>
    </row>
    <row r="27">
      <c r="A27" s="7" t="inlineStr">
        <is>
          <t>H22</t>
        </is>
      </c>
      <c r="B27" s="7" t="inlineStr">
        <is>
          <t>Tahsilat olay pay</t>
        </is>
      </c>
      <c r="C27" s="62">
        <f>IFERROR(COUNTIF(tblGunluk[OlayTuru],"TAHSILAT")/MAX(C7,1),0)</f>
        <v/>
      </c>
    </row>
    <row r="28">
      <c r="A28" s="7" t="inlineStr">
        <is>
          <t>H23</t>
        </is>
      </c>
      <c r="B28" s="7" t="inlineStr">
        <is>
          <t>Boşluk olay pay</t>
        </is>
      </c>
      <c r="C28" s="62">
        <f>IFERROR(COUNTIF(tblGunluk[OlayTuru],"BOSLUK")/MAX(C7,1),0)</f>
        <v/>
      </c>
    </row>
    <row r="29">
      <c r="A29" s="7" t="inlineStr">
        <is>
          <t>H24</t>
        </is>
      </c>
      <c r="B29" s="7" t="inlineStr">
        <is>
          <t>TÜFE artış olay pay</t>
        </is>
      </c>
      <c r="C29" s="62">
        <f>IFERROR(COUNTIF(tblGunluk[OlayTuru],"ARTIS_TUFE")/MAX(C7,1),0)</f>
        <v/>
      </c>
    </row>
    <row r="30">
      <c r="A30" s="7" t="inlineStr">
        <is>
          <t>H25</t>
        </is>
      </c>
      <c r="B30" s="7" t="inlineStr">
        <is>
          <t>Gider olay pay</t>
        </is>
      </c>
      <c r="C30" s="62">
        <f>IFERROR(COUNTIF(tblGunluk[OlayTuru],"GIDER")/MAX(C7,1),0)</f>
        <v/>
      </c>
    </row>
    <row r="31">
      <c r="A31" s="7" t="inlineStr">
        <is>
          <t>H26</t>
        </is>
      </c>
      <c r="B31" s="7" t="inlineStr">
        <is>
          <t>Temkinli senaryo</t>
        </is>
      </c>
      <c r="C31" s="23">
        <f>C8*kpg_senaryoTemkinli</f>
        <v/>
      </c>
    </row>
    <row r="32">
      <c r="A32" s="7" t="inlineStr">
        <is>
          <t>H27</t>
        </is>
      </c>
      <c r="B32" s="7" t="inlineStr">
        <is>
          <t>Baz senaryo</t>
        </is>
      </c>
      <c r="C32" s="23">
        <f>C8*kpg_senaryoBaz</f>
        <v/>
      </c>
    </row>
    <row r="33">
      <c r="A33" s="7" t="inlineStr">
        <is>
          <t>H28</t>
        </is>
      </c>
      <c r="B33" s="7" t="inlineStr">
        <is>
          <t>İyimser senaryo</t>
        </is>
      </c>
      <c r="C33" s="23">
        <f>C8*kpg_senaryoIyimser</f>
        <v/>
      </c>
    </row>
    <row r="34">
      <c r="A34" s="7" t="inlineStr">
        <is>
          <t>H29</t>
        </is>
      </c>
      <c r="B34" s="7" t="inlineStr">
        <is>
          <t>Senaryo farkı</t>
        </is>
      </c>
      <c r="C34" s="23">
        <f>C33-C31</f>
        <v/>
      </c>
    </row>
    <row r="35">
      <c r="A35" s="7" t="inlineStr">
        <is>
          <t>H30</t>
        </is>
      </c>
      <c r="B35" s="7" t="inlineStr">
        <is>
          <t>Tornado boşluk etki</t>
        </is>
      </c>
      <c r="C35" s="23">
        <f>C9*kpg_tornadoOran*kpg_varsayilanHedefKira</f>
        <v/>
      </c>
    </row>
    <row r="36">
      <c r="A36" s="7" t="inlineStr">
        <is>
          <t>H31</t>
        </is>
      </c>
      <c r="B36" s="7" t="inlineStr">
        <is>
          <t>Tornado gider etki</t>
        </is>
      </c>
      <c r="C36" s="23">
        <f>C10*kpg_tornadoOran</f>
        <v/>
      </c>
    </row>
    <row r="37">
      <c r="A37" s="7" t="inlineStr">
        <is>
          <t>H32</t>
        </is>
      </c>
      <c r="B37" s="7" t="inlineStr">
        <is>
          <t>Tornado tahsilat etki</t>
        </is>
      </c>
      <c r="C37" s="23">
        <f>C8*kpg_tornadoOran</f>
        <v/>
      </c>
    </row>
    <row r="38">
      <c r="A38" s="7" t="inlineStr">
        <is>
          <t>H33</t>
        </is>
      </c>
      <c r="B38" s="7" t="inlineStr">
        <is>
          <t>Tornado zirve</t>
        </is>
      </c>
      <c r="C38" s="23">
        <f>MAX(C35,C36,C37)</f>
        <v/>
      </c>
    </row>
    <row r="39">
      <c r="A39" s="7" t="inlineStr">
        <is>
          <t>H34</t>
        </is>
      </c>
      <c r="B39" s="7" t="inlineStr">
        <is>
          <t>HHI proxy</t>
        </is>
      </c>
      <c r="C39" s="23">
        <f>IFERROR(C27^2+C28^2+C29^2+C30^2,0)</f>
        <v/>
      </c>
    </row>
    <row r="40">
      <c r="A40" s="7" t="inlineStr">
        <is>
          <t>H35</t>
        </is>
      </c>
      <c r="B40" s="7" t="inlineStr">
        <is>
          <t>Kalite skor</t>
        </is>
      </c>
      <c r="C40" s="26">
        <f>MAX(0,kpg_kaliteTaban-C21*kpg_kaliteCeza-C22*kpg_kaliteSapma-C23*kpg_kaliteSapma)</f>
        <v/>
      </c>
    </row>
    <row r="41">
      <c r="A41" s="7" t="inlineStr">
        <is>
          <t>H36</t>
        </is>
      </c>
      <c r="B41" s="7" t="inlineStr">
        <is>
          <t>Tahmin aralık</t>
        </is>
      </c>
      <c r="C41" s="23">
        <f>C32*kpg_tahminCarpan</f>
        <v/>
      </c>
    </row>
    <row r="42">
      <c r="A42" s="7" t="inlineStr">
        <is>
          <t>H37</t>
        </is>
      </c>
      <c r="B42" s="7" t="inlineStr">
        <is>
          <t>P90 tahsilat</t>
        </is>
      </c>
      <c r="C42" s="23">
        <f>IFERROR(PERCENTILE(tblGunluk[TahsilatTl_tl],kpg_percentileOran),C8*kpg_yuzdelikOran)</f>
        <v/>
      </c>
    </row>
    <row r="43">
      <c r="A43" s="7" t="inlineStr">
        <is>
          <t>H38</t>
        </is>
      </c>
      <c r="B43" s="7" t="inlineStr">
        <is>
          <t>Senaryo motor metin</t>
        </is>
      </c>
      <c r="C43" s="7">
        <f>_xlfn.TEXTJOIN("|",TRUE,"T",TEXT(C31,"0"),"B",TEXT(C32,"0"),"I",TEXT(C33,"0"))</f>
        <v/>
      </c>
    </row>
    <row r="44">
      <c r="A44" s="7" t="inlineStr">
        <is>
          <t>H39</t>
        </is>
      </c>
      <c r="B44" s="7" t="inlineStr">
        <is>
          <t>Sezonsal 12 ay tahsilat</t>
        </is>
      </c>
      <c r="C44" s="23">
        <f>DONEM_ANALIZ!B22</f>
        <v/>
      </c>
    </row>
    <row r="45">
      <c r="A45" s="7" t="inlineStr">
        <is>
          <t>H40</t>
        </is>
      </c>
      <c r="B45" s="7" t="inlineStr">
        <is>
          <t>Sezonsal 12 ay doluluk</t>
        </is>
      </c>
      <c r="C45" s="62">
        <f>DONEM_ANALIZ!B24</f>
        <v/>
      </c>
    </row>
    <row r="46">
      <c r="A46" s="7" t="inlineStr">
        <is>
          <t>H41</t>
        </is>
      </c>
      <c r="B46" s="7" t="inlineStr">
        <is>
          <t>Kritik sinyal</t>
        </is>
      </c>
      <c r="C46" s="26">
        <f>IF(OR(C21&gt;0,C23&gt;0,C19&lt;kpg_esikSaglik),1,0)</f>
        <v/>
      </c>
    </row>
    <row r="47">
      <c r="A47" s="7" t="inlineStr">
        <is>
          <t>H42</t>
        </is>
      </c>
      <c r="B47" s="7" t="inlineStr">
        <is>
          <t>Karar kodu ham</t>
        </is>
      </c>
      <c r="C47" s="26">
        <f>IF(C7=0,0,IF(C46=1,3,IF(OR(C21&gt;0,C12&lt;kpg_esikDoluluk),2,1)))</f>
        <v/>
      </c>
    </row>
    <row r="48">
      <c r="A48" s="7" t="inlineStr">
        <is>
          <t>H43</t>
        </is>
      </c>
      <c r="B48" s="7" t="inlineStr">
        <is>
          <t>Doluluk çıpa</t>
        </is>
      </c>
      <c r="C48" s="62">
        <f>C12</f>
        <v/>
      </c>
    </row>
    <row r="49">
      <c r="A49" s="7" t="inlineStr">
        <is>
          <t>H44</t>
        </is>
      </c>
      <c r="B49" s="7" t="inlineStr">
        <is>
          <t>Alarm listesi özet adet</t>
        </is>
      </c>
      <c r="C49" s="7">
        <f>C17</f>
        <v/>
      </c>
    </row>
    <row r="50">
      <c r="A50" s="7" t="inlineStr">
        <is>
          <t>H45</t>
        </is>
      </c>
      <c r="B50" s="7" t="inlineStr">
        <is>
          <t>Varlık sağlık ort</t>
        </is>
      </c>
      <c r="C50" s="26">
        <f>IFERROR(AVERAGEIF(tblVarliklar[SaglikSkor],"&gt;0"),0)</f>
        <v/>
      </c>
    </row>
    <row r="51">
      <c r="A51" s="7" t="inlineStr">
        <is>
          <t>H46</t>
        </is>
      </c>
      <c r="B51" s="7" t="inlineStr">
        <is>
          <t>Tahmin FORECAST</t>
        </is>
      </c>
      <c r="C51" s="23">
        <f>IFERROR(FORECAST(C7+1,tblGunluk[TahsilatTl_tl],tblGunluk[FormulKayitDolu]),C41)</f>
        <v/>
      </c>
    </row>
    <row r="52">
      <c r="A52" s="7" t="inlineStr">
        <is>
          <t>H47</t>
        </is>
      </c>
      <c r="B52" s="7" t="inlineStr">
        <is>
          <t>Olay kırılım özet</t>
        </is>
      </c>
      <c r="C52" s="7">
        <f>_xlfn.TEXTJOIN("|",TRUE,"T",TEXT(C27,"0%"),"B",TEXT(C28,"0%"),"U",TEXT(C29,"0%"),"G",TEXT(C30,"0%"))</f>
        <v/>
      </c>
    </row>
    <row r="53">
      <c r="A53" s="7" t="inlineStr">
        <is>
          <t>H48</t>
        </is>
      </c>
      <c r="B53" s="7" t="inlineStr">
        <is>
          <t>Ort TÜFE artışı TL</t>
        </is>
      </c>
      <c r="C53" s="23">
        <f>IFERROR(AVERAGEIF(tblGunluk[FormulTufeArtis_tl],"&gt;0"),0)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3">
      <formula>0</formula>
    </cfRule>
    <cfRule type="cellIs" priority="96" operator="lessThan" dxfId="2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2744"/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26" customHeight="1">
      <c r="A1" s="1" t="inlineStr">
        <is>
          <t>ALARMLAR — Kira Portföyü Getiri Komutası</t>
        </is>
      </c>
    </row>
    <row r="3" ht="20" customHeight="1">
      <c r="A3" s="10" t="inlineStr">
        <is>
          <t>Alarm listesi — varlık + eşik + süre (S05)</t>
        </is>
      </c>
    </row>
    <row r="5">
      <c r="A5" s="22" t="inlineStr">
        <is>
          <t>Varlık</t>
        </is>
      </c>
      <c r="B5" s="22" t="inlineStr">
        <is>
          <t>Alarm</t>
        </is>
      </c>
      <c r="C5" s="22" t="inlineStr">
        <is>
          <t>Eşik</t>
        </is>
      </c>
      <c r="D5" s="22" t="inlineStr">
        <is>
          <t>Süre / Tarih</t>
        </is>
      </c>
      <c r="E5" s="22" t="inlineStr">
        <is>
          <t>Doluluk Ort</t>
        </is>
      </c>
      <c r="F5" s="22" t="inlineStr">
        <is>
          <t>Sağlık Skor</t>
        </is>
      </c>
    </row>
    <row r="6">
      <c r="A6" s="7" t="inlineStr">
        <is>
          <t>KIR-00001</t>
        </is>
      </c>
      <c r="B6" s="7">
        <f>IF(OR(COUNTIFS(tblGunluk[VarlikId],A6,tblGunluk[AlarmBayrak],"ALARM")&gt;0,IFERROR(SUMIF(tblVarliklar[VarlikId],A6,tblVarliklar[SaglikSkor]),100)&lt;kpg_esikSaglik),"ALARM","YOK")</f>
        <v/>
      </c>
      <c r="C6" s="62">
        <f>IFERROR(ABS(E6-kpg_esikDoluluk),0)</f>
        <v/>
      </c>
      <c r="D6" s="64">
        <f>raporTarihi</f>
        <v/>
      </c>
      <c r="E6" s="62">
        <f>IFERROR(SUMIF(tblVarliklar[VarlikId],A6,tblVarliklar[OrtDoluluk]),0)</f>
        <v/>
      </c>
      <c r="F6" s="26">
        <f>IFERROR(SUMIF(tblVarliklar[VarlikId],A6,tblVarliklar[SaglikSkor]),0)</f>
        <v/>
      </c>
    </row>
    <row r="7">
      <c r="A7" s="7" t="inlineStr">
        <is>
          <t>KIR-00002</t>
        </is>
      </c>
      <c r="B7" s="7">
        <f>IF(OR(COUNTIFS(tblGunluk[VarlikId],A7,tblGunluk[AlarmBayrak],"ALARM")&gt;0,IFERROR(SUMIF(tblVarliklar[VarlikId],A7,tblVarliklar[SaglikSkor]),100)&lt;kpg_esikSaglik),"ALARM","YOK")</f>
        <v/>
      </c>
      <c r="C7" s="62">
        <f>IFERROR(ABS(E7-kpg_esikDoluluk),0)</f>
        <v/>
      </c>
      <c r="D7" s="64">
        <f>raporTarihi</f>
        <v/>
      </c>
      <c r="E7" s="62">
        <f>IFERROR(SUMIF(tblVarliklar[VarlikId],A7,tblVarliklar[OrtDoluluk]),0)</f>
        <v/>
      </c>
      <c r="F7" s="26">
        <f>IFERROR(SUMIF(tblVarliklar[VarlikId],A7,tblVarliklar[SaglikSkor]),0)</f>
        <v/>
      </c>
    </row>
    <row r="8">
      <c r="A8" s="7" t="inlineStr">
        <is>
          <t>KIR-00003</t>
        </is>
      </c>
      <c r="B8" s="7">
        <f>IF(OR(COUNTIFS(tblGunluk[VarlikId],A8,tblGunluk[AlarmBayrak],"ALARM")&gt;0,IFERROR(SUMIF(tblVarliklar[VarlikId],A8,tblVarliklar[SaglikSkor]),100)&lt;kpg_esikSaglik),"ALARM","YOK")</f>
        <v/>
      </c>
      <c r="C8" s="62">
        <f>IFERROR(ABS(E8-kpg_esikDoluluk),0)</f>
        <v/>
      </c>
      <c r="D8" s="64">
        <f>raporTarihi</f>
        <v/>
      </c>
      <c r="E8" s="62">
        <f>IFERROR(SUMIF(tblVarliklar[VarlikId],A8,tblVarliklar[OrtDoluluk]),0)</f>
        <v/>
      </c>
      <c r="F8" s="26">
        <f>IFERROR(SUMIF(tblVarliklar[VarlikId],A8,tblVarliklar[SaglikSkor]),0)</f>
        <v/>
      </c>
    </row>
    <row r="9">
      <c r="A9" s="7" t="inlineStr">
        <is>
          <t>KIR-00004</t>
        </is>
      </c>
      <c r="B9" s="7">
        <f>IF(OR(COUNTIFS(tblGunluk[VarlikId],A9,tblGunluk[AlarmBayrak],"ALARM")&gt;0,IFERROR(SUMIF(tblVarliklar[VarlikId],A9,tblVarliklar[SaglikSkor]),100)&lt;kpg_esikSaglik),"ALARM","YOK")</f>
        <v/>
      </c>
      <c r="C9" s="62">
        <f>IFERROR(ABS(E9-kpg_esikDoluluk),0)</f>
        <v/>
      </c>
      <c r="D9" s="64">
        <f>raporTarihi</f>
        <v/>
      </c>
      <c r="E9" s="62">
        <f>IFERROR(SUMIF(tblVarliklar[VarlikId],A9,tblVarliklar[OrtDoluluk]),0)</f>
        <v/>
      </c>
      <c r="F9" s="26">
        <f>IFERROR(SUMIF(tblVarliklar[VarlikId],A9,tblVarliklar[SaglikSkor]),0)</f>
        <v/>
      </c>
    </row>
    <row r="10">
      <c r="A10" s="7" t="inlineStr">
        <is>
          <t>KIR-00005</t>
        </is>
      </c>
      <c r="B10" s="7">
        <f>IF(OR(COUNTIFS(tblGunluk[VarlikId],A10,tblGunluk[AlarmBayrak],"ALARM")&gt;0,IFERROR(SUMIF(tblVarliklar[VarlikId],A10,tblVarliklar[SaglikSkor]),100)&lt;kpg_esikSaglik),"ALARM","YOK")</f>
        <v/>
      </c>
      <c r="C10" s="62">
        <f>IFERROR(ABS(E10-kpg_esikDoluluk),0)</f>
        <v/>
      </c>
      <c r="D10" s="64">
        <f>raporTarihi</f>
        <v/>
      </c>
      <c r="E10" s="62">
        <f>IFERROR(SUMIF(tblVarliklar[VarlikId],A10,tblVarliklar[OrtDoluluk]),0)</f>
        <v/>
      </c>
      <c r="F10" s="26">
        <f>IFERROR(SUMIF(tblVarliklar[VarlikId],A10,tblVarliklar[SaglikSkor]),0)</f>
        <v/>
      </c>
    </row>
    <row r="11">
      <c r="A11" s="7" t="inlineStr">
        <is>
          <t>KIR-00006</t>
        </is>
      </c>
      <c r="B11" s="7">
        <f>IF(OR(COUNTIFS(tblGunluk[VarlikId],A11,tblGunluk[AlarmBayrak],"ALARM")&gt;0,IFERROR(SUMIF(tblVarliklar[VarlikId],A11,tblVarliklar[SaglikSkor]),100)&lt;kpg_esikSaglik),"ALARM","YOK")</f>
        <v/>
      </c>
      <c r="C11" s="62">
        <f>IFERROR(ABS(E11-kpg_esikDoluluk),0)</f>
        <v/>
      </c>
      <c r="D11" s="64">
        <f>raporTarihi</f>
        <v/>
      </c>
      <c r="E11" s="62">
        <f>IFERROR(SUMIF(tblVarliklar[VarlikId],A11,tblVarliklar[OrtDoluluk]),0)</f>
        <v/>
      </c>
      <c r="F11" s="26">
        <f>IFERROR(SUMIF(tblVarliklar[VarlikId],A11,tblVarliklar[SaglikSkor]),0)</f>
        <v/>
      </c>
    </row>
    <row r="12">
      <c r="A12" s="7" t="inlineStr">
        <is>
          <t>KIR-00007</t>
        </is>
      </c>
      <c r="B12" s="7">
        <f>IF(OR(COUNTIFS(tblGunluk[VarlikId],A12,tblGunluk[AlarmBayrak],"ALARM")&gt;0,IFERROR(SUMIF(tblVarliklar[VarlikId],A12,tblVarliklar[SaglikSkor]),100)&lt;kpg_esikSaglik),"ALARM","YOK")</f>
        <v/>
      </c>
      <c r="C12" s="62">
        <f>IFERROR(ABS(E12-kpg_esikDoluluk),0)</f>
        <v/>
      </c>
      <c r="D12" s="64">
        <f>raporTarihi</f>
        <v/>
      </c>
      <c r="E12" s="62">
        <f>IFERROR(SUMIF(tblVarliklar[VarlikId],A12,tblVarliklar[OrtDoluluk]),0)</f>
        <v/>
      </c>
      <c r="F12" s="26">
        <f>IFERROR(SUMIF(tblVarliklar[VarlikId],A12,tblVarliklar[SaglikSkor]),0)</f>
        <v/>
      </c>
    </row>
    <row r="13">
      <c r="A13" s="7" t="inlineStr">
        <is>
          <t>KIR-00008</t>
        </is>
      </c>
      <c r="B13" s="7">
        <f>IF(OR(COUNTIFS(tblGunluk[VarlikId],A13,tblGunluk[AlarmBayrak],"ALARM")&gt;0,IFERROR(SUMIF(tblVarliklar[VarlikId],A13,tblVarliklar[SaglikSkor]),100)&lt;kpg_esikSaglik),"ALARM","YOK")</f>
        <v/>
      </c>
      <c r="C13" s="62">
        <f>IFERROR(ABS(E13-kpg_esikDoluluk),0)</f>
        <v/>
      </c>
      <c r="D13" s="64">
        <f>raporTarihi</f>
        <v/>
      </c>
      <c r="E13" s="62">
        <f>IFERROR(SUMIF(tblVarliklar[VarlikId],A13,tblVarliklar[OrtDoluluk]),0)</f>
        <v/>
      </c>
      <c r="F13" s="26">
        <f>IFERROR(SUMIF(tblVarliklar[VarlikId],A13,tblVarliklar[SaglikSkor]),0)</f>
        <v/>
      </c>
    </row>
    <row r="16">
      <c r="A16" s="13" t="inlineStr">
        <is>
          <t>Alarm Özeti</t>
        </is>
      </c>
      <c r="B16" s="8">
        <f>kpg_alarmListesi</f>
        <v/>
      </c>
    </row>
    <row r="18">
      <c r="A18" s="13" t="inlineStr">
        <is>
          <t>Toplam Alarm Satır</t>
        </is>
      </c>
      <c r="B18" s="26">
        <f>COUNTIF(B6:B13,"ALARM")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6:F16"/>
    <mergeCell ref="A3:L3"/>
    <mergeCell ref="A1:N1"/>
  </mergeCells>
  <conditionalFormatting sqref="B6:B13">
    <cfRule type="cellIs" priority="1" operator="equal" dxfId="1">
      <formula>"ALARM"</formula>
    </cfRule>
    <cfRule type="cellIs" priority="2" operator="equal" dxfId="4">
      <formula>"YOK"</formula>
    </cfRule>
  </conditionalFormatting>
  <conditionalFormatting sqref="E6">
    <cfRule type="cellIs" priority="3" operator="lessThan" dxfId="0">
      <formula>kpg_esikDoluluk</formula>
    </cfRule>
  </conditionalFormatting>
  <conditionalFormatting sqref="F6">
    <cfRule type="cellIs" priority="4" operator="lessThan" dxfId="2">
      <formula>kpg_esikSaglik</formula>
    </cfRule>
  </conditionalFormatting>
  <conditionalFormatting sqref="E7">
    <cfRule type="cellIs" priority="5" operator="lessThan" dxfId="0">
      <formula>kpg_esikDoluluk</formula>
    </cfRule>
  </conditionalFormatting>
  <conditionalFormatting sqref="F7">
    <cfRule type="cellIs" priority="6" operator="lessThan" dxfId="2">
      <formula>kpg_esikSaglik</formula>
    </cfRule>
  </conditionalFormatting>
  <conditionalFormatting sqref="E8">
    <cfRule type="cellIs" priority="7" operator="lessThan" dxfId="0">
      <formula>kpg_esikDoluluk</formula>
    </cfRule>
  </conditionalFormatting>
  <conditionalFormatting sqref="F8">
    <cfRule type="cellIs" priority="8" operator="lessThan" dxfId="2">
      <formula>kpg_esikSaglik</formula>
    </cfRule>
  </conditionalFormatting>
  <conditionalFormatting sqref="E9">
    <cfRule type="cellIs" priority="9" operator="lessThan" dxfId="0">
      <formula>kpg_esikDoluluk</formula>
    </cfRule>
  </conditionalFormatting>
  <conditionalFormatting sqref="F9">
    <cfRule type="cellIs" priority="10" operator="lessThan" dxfId="2">
      <formula>kpg_esikSaglik</formula>
    </cfRule>
  </conditionalFormatting>
  <conditionalFormatting sqref="E10">
    <cfRule type="cellIs" priority="11" operator="lessThan" dxfId="0">
      <formula>kpg_esikDoluluk</formula>
    </cfRule>
  </conditionalFormatting>
  <conditionalFormatting sqref="F10">
    <cfRule type="cellIs" priority="12" operator="lessThan" dxfId="2">
      <formula>kpg_esikSaglik</formula>
    </cfRule>
  </conditionalFormatting>
  <conditionalFormatting sqref="E11">
    <cfRule type="cellIs" priority="13" operator="lessThan" dxfId="0">
      <formula>kpg_esikDoluluk</formula>
    </cfRule>
  </conditionalFormatting>
  <conditionalFormatting sqref="F11">
    <cfRule type="cellIs" priority="14" operator="lessThan" dxfId="2">
      <formula>kpg_esikSaglik</formula>
    </cfRule>
  </conditionalFormatting>
  <conditionalFormatting sqref="E12">
    <cfRule type="cellIs" priority="15" operator="lessThan" dxfId="0">
      <formula>kpg_esikDoluluk</formula>
    </cfRule>
  </conditionalFormatting>
  <conditionalFormatting sqref="F12">
    <cfRule type="cellIs" priority="16" operator="lessThan" dxfId="2">
      <formula>kpg_esikSaglik</formula>
    </cfRule>
  </conditionalFormatting>
  <conditionalFormatting sqref="E13">
    <cfRule type="cellIs" priority="17" operator="lessThan" dxfId="0">
      <formula>kpg_esikDoluluk</formula>
    </cfRule>
  </conditionalFormatting>
  <conditionalFormatting sqref="F13">
    <cfRule type="cellIs" priority="18" operator="lessThan" dxfId="2">
      <formula>kpg_esikSaglik</formula>
    </cfRule>
  </conditionalFormatting>
  <dataValidations count="8">
    <dataValidation sqref="A6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7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8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9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0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1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2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3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2744"/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18" customWidth="1" min="3" max="3"/>
  </cols>
  <sheetData>
    <row r="1" ht="26" customHeight="1">
      <c r="A1" s="1" t="inlineStr">
        <is>
          <t>RAPOR — Kira Portföyü Getiri Komutası</t>
        </is>
      </c>
    </row>
    <row r="3" ht="20" customHeight="1">
      <c r="A3" s="10" t="inlineStr">
        <is>
          <t>Dönemsel yönetim raporu — yazdırılabilir kanıt</t>
        </is>
      </c>
    </row>
    <row r="5">
      <c r="A5" s="13" t="inlineStr">
        <is>
          <t>Ürün</t>
        </is>
      </c>
      <c r="B5" s="7" t="inlineStr">
        <is>
          <t>Kira Portföyü Getiri Komutası</t>
        </is>
      </c>
    </row>
    <row r="6">
      <c r="A6" s="13" t="inlineStr">
        <is>
          <t>Sürüm</t>
        </is>
      </c>
      <c r="B6" s="7" t="inlineStr">
        <is>
          <t>1.0.0</t>
        </is>
      </c>
    </row>
    <row r="7">
      <c r="A7" s="13" t="inlineStr">
        <is>
          <t>Rapor Tarihi</t>
        </is>
      </c>
      <c r="B7" s="64">
        <f>raporTarihi</f>
        <v/>
      </c>
    </row>
    <row r="8">
      <c r="A8" s="13" t="inlineStr">
        <is>
          <t>Firma</t>
        </is>
      </c>
      <c r="B8" s="7">
        <f>kpg_firmaUnvan</f>
        <v/>
      </c>
    </row>
    <row r="10">
      <c r="A10" s="33" t="inlineStr">
        <is>
          <t>KARAR</t>
        </is>
      </c>
      <c r="B10" s="34">
        <f>kpg_kararKapi</f>
        <v/>
      </c>
    </row>
    <row r="11">
      <c r="A11" s="7" t="inlineStr">
        <is>
          <t>Ort Doluluk</t>
        </is>
      </c>
      <c r="B11" s="62">
        <f>kpg_ortDoluluk</f>
        <v/>
      </c>
    </row>
    <row r="12">
      <c r="A12" s="7" t="inlineStr">
        <is>
          <t>Toplam Tahsilat TL</t>
        </is>
      </c>
      <c r="B12" s="23">
        <f>kpg_toplamTahsilat</f>
        <v/>
      </c>
    </row>
    <row r="13">
      <c r="A13" s="7" t="inlineStr">
        <is>
          <t>Toplam Gider TL</t>
        </is>
      </c>
      <c r="B13" s="23">
        <f>kpg_toplamGider</f>
        <v/>
      </c>
    </row>
    <row r="14">
      <c r="A14" s="7" t="inlineStr">
        <is>
          <t>Sağlık Skor</t>
        </is>
      </c>
      <c r="B14" s="26">
        <f>kpg_saglikSkor</f>
        <v/>
      </c>
    </row>
    <row r="15">
      <c r="A15" s="7" t="inlineStr">
        <is>
          <t>Alarm Adet</t>
        </is>
      </c>
      <c r="B15" s="26">
        <f>kpg_alarmAdet</f>
        <v/>
      </c>
    </row>
    <row r="17">
      <c r="A17" s="22" t="inlineStr">
        <is>
          <t>Kalem</t>
        </is>
      </c>
      <c r="B17" s="22" t="inlineStr">
        <is>
          <t>Değer</t>
        </is>
      </c>
    </row>
    <row r="18">
      <c r="A18" s="7" t="inlineStr">
        <is>
          <t>Ort getiri</t>
        </is>
      </c>
      <c r="B18" s="62">
        <f>kpg_ortGetiri</f>
        <v/>
      </c>
    </row>
    <row r="19">
      <c r="A19" s="7" t="inlineStr">
        <is>
          <t>Net tahsilat</t>
        </is>
      </c>
      <c r="B19" s="23">
        <f>kpg_netTahsilat</f>
        <v/>
      </c>
    </row>
    <row r="20">
      <c r="A20" s="7" t="inlineStr">
        <is>
          <t>Günlük doluluk ort</t>
        </is>
      </c>
      <c r="B20" s="62">
        <f>kpg_gunlukDolulukOrt</f>
        <v/>
      </c>
    </row>
    <row r="21">
      <c r="A21" s="7" t="inlineStr">
        <is>
          <t>Kalite skor</t>
        </is>
      </c>
      <c r="B21" s="26">
        <f>kpg_kaliteSkor</f>
        <v/>
      </c>
    </row>
    <row r="22">
      <c r="A22" s="7" t="inlineStr">
        <is>
          <t>Ort TÜFE artış TL</t>
        </is>
      </c>
      <c r="B22" s="23">
        <f>kpg_ortTufeArtis</f>
        <v/>
      </c>
    </row>
    <row r="24">
      <c r="A24" s="25" t="inlineStr">
        <is>
          <t>Varsayımlar</t>
        </is>
      </c>
    </row>
    <row r="25">
      <c r="A25" s="8" t="inlineStr">
        <is>
          <t>Doluluk = 1 − boş_gün / ay_günü. Getiri = tahsilat / hedef_kira. TÜFE oranı kullanıcı girişi (dış API yok). Eşikler AYARLAR'dan gelir. Karar destek çıktısıdır; hukuki veya mali tavsiye değildir. TBK kira hükümleri + TÜFE artış yaklaşımıdır.</t>
        </is>
      </c>
    </row>
    <row r="26"/>
    <row r="28">
      <c r="A28" s="7" t="inlineStr">
        <is>
          <t>İmza — Portföy Yöneticisi</t>
        </is>
      </c>
      <c r="C28" s="7" t="inlineStr">
        <is>
          <t>________________</t>
        </is>
      </c>
    </row>
    <row r="29">
      <c r="A29" s="7" t="inlineStr">
        <is>
          <t>İmza — Mali Müşavir / CFO</t>
        </is>
      </c>
      <c r="C29" s="7" t="inlineStr">
        <is>
          <t>________________</t>
        </is>
      </c>
    </row>
    <row r="31">
      <c r="A31" s="9" t="inlineStr">
        <is>
          <t>SHA notu: sevk paketinde SHA-256 yer alır | 1.0.0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5:F26"/>
    <mergeCell ref="A1:L1"/>
    <mergeCell ref="A3:J3"/>
  </mergeCells>
  <conditionalFormatting sqref="B10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11">
    <cfRule type="cellIs" priority="5" operator="greaterThan" dxfId="3">
      <formula>0</formula>
    </cfRule>
  </conditionalFormatting>
  <conditionalFormatting sqref="B12">
    <cfRule type="cellIs" priority="6" operator="greaterThan" dxfId="3">
      <formula>0</formula>
    </cfRule>
  </conditionalFormatting>
  <conditionalFormatting sqref="B13">
    <cfRule type="cellIs" priority="7" operator="greaterThan" dxfId="3">
      <formula>0</formula>
    </cfRule>
  </conditionalFormatting>
  <conditionalFormatting sqref="B14">
    <cfRule type="cellIs" priority="8" operator="greaterThan" dxfId="3">
      <formula>0</formula>
    </cfRule>
  </conditionalFormatting>
  <conditionalFormatting sqref="B15">
    <cfRule type="cellIs" priority="9" operator="greaterThan" dxfId="3">
      <formula>0</formula>
    </cfRule>
  </conditionalFormatting>
  <conditionalFormatting sqref="B16">
    <cfRule type="cellIs" priority="10" operator="greaterThan" dxfId="3">
      <formula>0</formula>
    </cfRule>
  </conditionalFormatting>
  <conditionalFormatting sqref="B17">
    <cfRule type="cellIs" priority="11" operator="greaterThan" dxfId="3">
      <formula>0</formula>
    </cfRule>
  </conditionalFormatting>
  <conditionalFormatting sqref="B18">
    <cfRule type="cellIs" priority="12" operator="greaterThan" dxfId="3">
      <formula>0</formula>
    </cfRule>
  </conditionalFormatting>
  <conditionalFormatting sqref="B19">
    <cfRule type="cellIs" priority="13" operator="greaterThan" dxfId="3">
      <formula>0</formula>
    </cfRule>
  </conditionalFormatting>
  <conditionalFormatting sqref="B20">
    <cfRule type="cellIs" priority="14" operator="greaterThan" dxfId="3">
      <formula>0</formula>
    </cfRule>
  </conditionalFormatting>
  <conditionalFormatting sqref="B21">
    <cfRule type="cellIs" priority="15" operator="greaterThan" dxfId="3">
      <formula>0</formula>
    </cfRule>
  </conditionalFormatting>
  <conditionalFormatting sqref="B22">
    <cfRule type="cellIs" priority="16" operator="greaterThan" dxfId="3">
      <formula>0</formula>
    </cfRule>
  </conditionalFormatting>
  <dataValidations count="1">
    <dataValidation sqref="B8" showDropDown="0" showInputMessage="1" showErrorMessage="1" allowBlank="1" errorTitle="Firma" error="Geçersiz" promptTitle="Firma" prompt="Firma unvanı (AYARLAR'dan)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&amp;LKira Portföyü Getiri Komutası | Rapor | 1.0.0&amp;CExcelArşiv&amp;RSayfa &amp;P / &amp;N</oddFooter>
    <evenHeader/>
    <evenFooter>&amp;LKira Portföyü Getiri Komutası | Rapor | 1.0.0&amp;CExcelArşiv&amp;RSayfa &amp;P / &amp;N</evenFooter>
    <firstHeader/>
    <firstFooter/>
  </headerFooter>
</worksheet>
</file>

<file path=xl/worksheets/sheet11.xml><?xml version="1.0" encoding="utf-8"?>
<worksheet xmlns="http://schemas.openxmlformats.org/spreadsheetml/2006/main">
  <sheetPr>
    <tabColor rgb="001A2744"/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 ht="26" customHeight="1">
      <c r="A1" s="1" t="inlineStr">
        <is>
          <t>KONTROLLER — Kira Portföyü Getiri Komutası</t>
        </is>
      </c>
    </row>
    <row r="3" ht="20" customHeight="1">
      <c r="A3" s="10" t="inlineStr">
        <is>
          <t>Canlı sağlık kontrolleri — formülle</t>
        </is>
      </c>
    </row>
    <row r="5">
      <c r="A5" s="22" t="inlineStr">
        <is>
          <t>Kontrol</t>
        </is>
      </c>
      <c r="B5" s="22" t="inlineStr">
        <is>
          <t>Sonuç</t>
        </is>
      </c>
      <c r="C5" s="22" t="inlineStr">
        <is>
          <t>Değer</t>
        </is>
      </c>
    </row>
    <row r="6">
      <c r="A6" s="7" t="inlineStr">
        <is>
          <t>Dolu kayıt &gt; 0</t>
        </is>
      </c>
      <c r="B6" s="7">
        <f>IF(kpg_doluKayit&gt;0,"GEÇTİ","KALDI")</f>
        <v/>
      </c>
      <c r="C6" s="7">
        <f>kpg_doluKayit</f>
        <v/>
      </c>
    </row>
    <row r="7">
      <c r="A7" s="7" t="inlineStr">
        <is>
          <t>Yetim kayıt = 0</t>
        </is>
      </c>
      <c r="B7" s="7">
        <f>IF(kpg_yetimAdet=0,"GEÇTİ","UYARI")</f>
        <v/>
      </c>
      <c r="C7" s="7">
        <f>kpg_yetimAdet</f>
        <v/>
      </c>
    </row>
    <row r="8">
      <c r="A8" s="7" t="inlineStr">
        <is>
          <t>Doluluk hesaplı</t>
        </is>
      </c>
      <c r="B8" s="7">
        <f>IF(kpg_ortDoluluk&gt;=0,"GEÇTİ","KALDI")</f>
        <v/>
      </c>
      <c r="C8" s="7">
        <f>kpg_ortDoluluk</f>
        <v/>
      </c>
    </row>
    <row r="9">
      <c r="A9" s="7" t="inlineStr">
        <is>
          <t>Sağlık skor formül</t>
        </is>
      </c>
      <c r="B9" s="7">
        <f>IF(kpg_saglikSkor&gt;=0,"GEÇTİ","KALDI")</f>
        <v/>
      </c>
      <c r="C9" s="7">
        <f>kpg_saglikSkor</f>
        <v/>
      </c>
    </row>
    <row r="10">
      <c r="A10" s="7" t="inlineStr">
        <is>
          <t>Alarm listesi</t>
        </is>
      </c>
      <c r="B10" s="7">
        <f>IF(kpg_alarmAdet&gt;=0,"GEÇTİ","KALDI")</f>
        <v/>
      </c>
      <c r="C10" s="7">
        <f>kpg_alarmAdet</f>
        <v/>
      </c>
    </row>
    <row r="11">
      <c r="A11" s="7" t="inlineStr">
        <is>
          <t>Karar dolu</t>
        </is>
      </c>
      <c r="B11" s="7">
        <f>IF(kpg_kararKapi&lt;&gt;"","GEÇTİ","KALDI")</f>
        <v/>
      </c>
      <c r="C11" s="7">
        <f>kpg_kararKapi</f>
        <v/>
      </c>
    </row>
    <row r="12">
      <c r="A12" s="7" t="inlineStr">
        <is>
          <t>12 ay sezonsal</t>
        </is>
      </c>
      <c r="B12" s="7">
        <f>IF(DONEM_ANALIZ!B22&gt;=0,"GEÇTİ","KALDI")</f>
        <v/>
      </c>
      <c r="C12" s="7">
        <f>DONEM_ANALIZ!B22</f>
        <v/>
      </c>
    </row>
    <row r="13">
      <c r="A13" s="7" t="inlineStr">
        <is>
          <t>Kalite skor</t>
        </is>
      </c>
      <c r="B13" s="7">
        <f>IF(kpg_kaliteSkor&gt;=0,"GEÇTİ","KALDI")</f>
        <v/>
      </c>
      <c r="C13" s="7">
        <f>kpg_kaliteSkor</f>
        <v/>
      </c>
    </row>
    <row r="14">
      <c r="A14" s="7" t="inlineStr">
        <is>
          <t>Tornado</t>
        </is>
      </c>
      <c r="B14" s="7">
        <f>IF(kpg_tornadoZirve&gt;=0,"GEÇTİ","KALDI")</f>
        <v/>
      </c>
      <c r="C14" s="7">
        <f>kpg_tornadoZirve</f>
        <v/>
      </c>
    </row>
    <row r="15">
      <c r="A15" s="7" t="inlineStr">
        <is>
          <t>P90</t>
        </is>
      </c>
      <c r="B15" s="7">
        <f>IF(kpg_yuzdelikP90&gt;=0,"GEÇTİ","KALDI")</f>
        <v/>
      </c>
      <c r="C15" s="7">
        <f>kpg_yuzdelikP90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B6:B15">
    <cfRule type="cellIs" priority="1" operator="equal" dxfId="4">
      <formula>"GEÇTİ"</formula>
    </cfRule>
    <cfRule type="cellIs" priority="2" operator="equal" dxfId="1">
      <formula>"KALDI"</formula>
    </cfRule>
    <cfRule type="cellIs" priority="3" operator="equal" dxfId="0">
      <formula>"UYARI"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2744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ORNEK VERI — Kira Portföyü Getiri Komutası</t>
        </is>
      </c>
    </row>
    <row r="3" ht="20" customHeight="1">
      <c r="A3" s="10" t="inlineStr">
        <is>
          <t>Örnek günlük satırlar — kopyalanabilir referans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TahsilatTl_tl</t>
        </is>
      </c>
      <c r="E5" s="14" t="inlineStr">
        <is>
          <t>BosGun_gun</t>
        </is>
      </c>
      <c r="F5" s="14" t="inlineStr">
        <is>
          <t>GiderTl_tl</t>
        </is>
      </c>
      <c r="G5" s="14" t="inlineStr">
        <is>
          <t>TufeOran_oran</t>
        </is>
      </c>
      <c r="H5" s="14" t="inlineStr">
        <is>
          <t>OlayTuru</t>
        </is>
      </c>
    </row>
    <row r="6">
      <c r="A6" s="7" t="inlineStr">
        <is>
          <t>KPG-00001</t>
        </is>
      </c>
      <c r="B6" s="7" t="inlineStr">
        <is>
          <t>KIR-00001</t>
        </is>
      </c>
      <c r="C6" s="64" t="n">
        <v>46242</v>
      </c>
      <c r="D6" s="23" t="n">
        <v>24640</v>
      </c>
      <c r="E6" s="26" t="n">
        <v>0</v>
      </c>
      <c r="F6" s="23" t="n">
        <v>1270</v>
      </c>
      <c r="G6" s="62" t="n">
        <v>0.39</v>
      </c>
      <c r="H6" s="7" t="inlineStr">
        <is>
          <t>BOSLUK</t>
        </is>
      </c>
    </row>
    <row r="7">
      <c r="A7" s="7" t="inlineStr">
        <is>
          <t>KPG-00002</t>
        </is>
      </c>
      <c r="B7" s="7" t="inlineStr">
        <is>
          <t>KIR-00002</t>
        </is>
      </c>
      <c r="C7" s="64" t="n">
        <v>46239</v>
      </c>
      <c r="D7" s="23" t="n">
        <v>20020</v>
      </c>
      <c r="E7" s="26" t="n">
        <v>0</v>
      </c>
      <c r="F7" s="23" t="n">
        <v>1740</v>
      </c>
      <c r="G7" s="62" t="n">
        <v>0.4</v>
      </c>
      <c r="H7" s="7" t="inlineStr">
        <is>
          <t>ARTIS_TUFE</t>
        </is>
      </c>
    </row>
    <row r="8">
      <c r="A8" s="7" t="inlineStr">
        <is>
          <t>KPG-00003</t>
        </is>
      </c>
      <c r="B8" s="7" t="inlineStr">
        <is>
          <t>KIR-00003</t>
        </is>
      </c>
      <c r="C8" s="64" t="n">
        <v>46236</v>
      </c>
      <c r="D8" s="23" t="n">
        <v>15792</v>
      </c>
      <c r="E8" s="26" t="n">
        <v>2</v>
      </c>
      <c r="F8" s="23" t="n">
        <v>2210</v>
      </c>
      <c r="G8" s="62" t="n">
        <v>0.38</v>
      </c>
      <c r="H8" s="7" t="inlineStr">
        <is>
          <t>GIDER</t>
        </is>
      </c>
    </row>
    <row r="9">
      <c r="A9" s="7" t="inlineStr">
        <is>
          <t>KPG-00004</t>
        </is>
      </c>
      <c r="B9" s="7" t="inlineStr">
        <is>
          <t>KIR-00004</t>
        </is>
      </c>
      <c r="C9" s="64" t="n">
        <v>46233</v>
      </c>
      <c r="D9" s="23" t="n">
        <v>13580</v>
      </c>
      <c r="E9" s="26" t="n">
        <v>0</v>
      </c>
      <c r="F9" s="23" t="n">
        <v>2200</v>
      </c>
      <c r="G9" s="62" t="n">
        <v>0.39</v>
      </c>
      <c r="H9" s="7" t="inlineStr">
        <is>
          <t>TAHSILAT_GECIKME</t>
        </is>
      </c>
    </row>
    <row r="10">
      <c r="A10" s="7" t="inlineStr">
        <is>
          <t>KPG-00005</t>
        </is>
      </c>
      <c r="B10" s="7" t="inlineStr">
        <is>
          <t>KIR-00005</t>
        </is>
      </c>
      <c r="C10" s="64" t="n">
        <v>46230</v>
      </c>
      <c r="D10" s="23" t="n">
        <v>18417</v>
      </c>
      <c r="E10" s="26" t="n">
        <v>5</v>
      </c>
      <c r="F10" s="23" t="n">
        <v>2670</v>
      </c>
      <c r="G10" s="62" t="n">
        <v>0.4</v>
      </c>
      <c r="H10" s="7" t="inlineStr">
        <is>
          <t>DIGER</t>
        </is>
      </c>
    </row>
    <row r="11">
      <c r="A11" s="7" t="inlineStr">
        <is>
          <t>KPG-00006</t>
        </is>
      </c>
      <c r="B11" s="7" t="inlineStr">
        <is>
          <t>KIR-00006</t>
        </is>
      </c>
      <c r="C11" s="64" t="n">
        <v>46227</v>
      </c>
      <c r="D11" s="23" t="n">
        <v>9856</v>
      </c>
      <c r="E11" s="26" t="n">
        <v>2</v>
      </c>
      <c r="F11" s="23" t="n">
        <v>1040</v>
      </c>
      <c r="G11" s="62" t="n">
        <v>0.38</v>
      </c>
      <c r="H11" s="7" t="inlineStr">
        <is>
          <t>TAHSILAT</t>
        </is>
      </c>
    </row>
    <row r="12">
      <c r="A12" s="7" t="inlineStr">
        <is>
          <t>KPG-00007</t>
        </is>
      </c>
      <c r="B12" s="7" t="inlineStr">
        <is>
          <t>KIR-00007</t>
        </is>
      </c>
      <c r="C12" s="64" t="n">
        <v>46224</v>
      </c>
      <c r="D12" s="23" t="n">
        <v>10010</v>
      </c>
      <c r="E12" s="26" t="n">
        <v>0</v>
      </c>
      <c r="F12" s="23" t="n">
        <v>1510</v>
      </c>
      <c r="G12" s="62" t="n">
        <v>0.39</v>
      </c>
      <c r="H12" s="7" t="inlineStr">
        <is>
          <t>BOSLUK</t>
        </is>
      </c>
    </row>
    <row r="13">
      <c r="A13" s="7" t="inlineStr">
        <is>
          <t>KPG-00008</t>
        </is>
      </c>
      <c r="B13" s="7" t="inlineStr">
        <is>
          <t>KIR-00008</t>
        </is>
      </c>
      <c r="C13" s="64" t="n">
        <v>46221</v>
      </c>
      <c r="D13" s="23" t="n">
        <v>8930</v>
      </c>
      <c r="E13" s="26" t="n">
        <v>0</v>
      </c>
      <c r="F13" s="23" t="n">
        <v>1500</v>
      </c>
      <c r="G13" s="62" t="n">
        <v>0.4</v>
      </c>
      <c r="H13" s="7" t="inlineStr">
        <is>
          <t>ARTIS_TUFE</t>
        </is>
      </c>
    </row>
    <row r="14">
      <c r="A14" s="7" t="inlineStr">
        <is>
          <t>KPG-00009</t>
        </is>
      </c>
      <c r="B14" s="7" t="inlineStr">
        <is>
          <t>KIR-00001</t>
        </is>
      </c>
      <c r="C14" s="64" t="n">
        <v>46218</v>
      </c>
      <c r="D14" s="23" t="n">
        <v>25349</v>
      </c>
      <c r="E14" s="26" t="n">
        <v>2</v>
      </c>
      <c r="F14" s="23" t="n">
        <v>1970</v>
      </c>
      <c r="G14" s="62" t="n">
        <v>0.44</v>
      </c>
      <c r="H14" s="7" t="inlineStr">
        <is>
          <t>GIDER</t>
        </is>
      </c>
    </row>
    <row r="15">
      <c r="A15" s="7" t="inlineStr">
        <is>
          <t>KPG-00010</t>
        </is>
      </c>
      <c r="B15" s="7" t="inlineStr">
        <is>
          <t>KIR-00002</t>
        </is>
      </c>
      <c r="C15" s="64" t="n">
        <v>46215</v>
      </c>
      <c r="D15" s="23" t="n">
        <v>16830</v>
      </c>
      <c r="E15" s="26" t="n">
        <v>3</v>
      </c>
      <c r="F15" s="23" t="n">
        <v>2440</v>
      </c>
      <c r="G15" s="62" t="n">
        <v>0.39</v>
      </c>
      <c r="H15" s="7" t="inlineStr">
        <is>
          <t>TAHSILAT_GECIKME</t>
        </is>
      </c>
    </row>
    <row r="16">
      <c r="A16" s="7" t="inlineStr">
        <is>
          <t>KPG-00011</t>
        </is>
      </c>
      <c r="B16" s="7" t="inlineStr">
        <is>
          <t>KIR-00003</t>
        </is>
      </c>
      <c r="C16" s="64" t="n">
        <v>46212</v>
      </c>
      <c r="D16" s="23" t="n">
        <v>15840</v>
      </c>
      <c r="E16" s="26" t="n">
        <v>0</v>
      </c>
      <c r="F16" s="23" t="n">
        <v>2910</v>
      </c>
      <c r="G16" s="62" t="n">
        <v>0.4</v>
      </c>
      <c r="H16" s="7" t="inlineStr">
        <is>
          <t>DIGER</t>
        </is>
      </c>
    </row>
    <row r="17">
      <c r="A17" s="7" t="inlineStr">
        <is>
          <t>KPG-00012</t>
        </is>
      </c>
      <c r="B17" s="7" t="inlineStr">
        <is>
          <t>KIR-00004</t>
        </is>
      </c>
      <c r="C17" s="64" t="n">
        <v>46209</v>
      </c>
      <c r="D17" s="23" t="n">
        <v>11891</v>
      </c>
      <c r="E17" s="26" t="n">
        <v>2</v>
      </c>
      <c r="F17" s="23" t="n">
        <v>800</v>
      </c>
      <c r="G17" s="62" t="n">
        <v>0.38</v>
      </c>
      <c r="H17" s="7" t="inlineStr">
        <is>
          <t>TAHSILAT</t>
        </is>
      </c>
    </row>
    <row r="18">
      <c r="A18" s="7" t="inlineStr">
        <is>
          <t>KPG-00013</t>
        </is>
      </c>
      <c r="B18" s="7" t="inlineStr">
        <is>
          <t>KIR-00005</t>
        </is>
      </c>
      <c r="C18" s="64" t="n">
        <v>46206</v>
      </c>
      <c r="D18" s="23" t="n">
        <v>24440</v>
      </c>
      <c r="E18" s="26" t="n">
        <v>0</v>
      </c>
      <c r="F18" s="23" t="n">
        <v>1270</v>
      </c>
      <c r="G18" s="62" t="n">
        <v>0.39</v>
      </c>
      <c r="H18" s="7" t="inlineStr">
        <is>
          <t>BOSLUK</t>
        </is>
      </c>
    </row>
    <row r="19">
      <c r="A19" s="7" t="inlineStr">
        <is>
          <t>KPG-00014</t>
        </is>
      </c>
      <c r="B19" s="7" t="inlineStr">
        <is>
          <t>KIR-00006</t>
        </is>
      </c>
      <c r="C19" s="64" t="n">
        <v>46203</v>
      </c>
      <c r="D19" s="23" t="n">
        <v>11640</v>
      </c>
      <c r="E19" s="26" t="n">
        <v>0</v>
      </c>
      <c r="F19" s="23" t="n">
        <v>1740</v>
      </c>
      <c r="G19" s="62" t="n">
        <v>0.4</v>
      </c>
      <c r="H19" s="7" t="inlineStr">
        <is>
          <t>ARTIS_TUFE</t>
        </is>
      </c>
    </row>
    <row r="20">
      <c r="A20" s="7" t="inlineStr">
        <is>
          <t>KPG-00015</t>
        </is>
      </c>
      <c r="B20" s="7" t="inlineStr">
        <is>
          <t>KIR-00007</t>
        </is>
      </c>
      <c r="C20" s="64" t="n">
        <v>46200</v>
      </c>
      <c r="D20" s="23" t="n">
        <v>9038</v>
      </c>
      <c r="E20" s="26" t="n">
        <v>1</v>
      </c>
      <c r="F20" s="23" t="n">
        <v>2210</v>
      </c>
      <c r="G20" s="62" t="n">
        <v>0.38</v>
      </c>
      <c r="H20" s="7" t="inlineStr">
        <is>
          <t>GIDER</t>
        </is>
      </c>
    </row>
    <row r="21">
      <c r="A21" s="7" t="inlineStr">
        <is>
          <t>KPG-00016</t>
        </is>
      </c>
      <c r="B21" s="7" t="inlineStr">
        <is>
          <t>KIR-00008</t>
        </is>
      </c>
      <c r="C21" s="64" t="n">
        <v>46197</v>
      </c>
      <c r="D21" s="23" t="n">
        <v>8360</v>
      </c>
      <c r="E21" s="26" t="n">
        <v>0</v>
      </c>
      <c r="F21" s="23" t="n">
        <v>2200</v>
      </c>
      <c r="G21" s="62" t="n">
        <v>0.39</v>
      </c>
      <c r="H21" s="7" t="inlineStr">
        <is>
          <t>TAHSILAT_GECIKME</t>
        </is>
      </c>
    </row>
    <row r="22">
      <c r="A22" s="7" t="inlineStr">
        <is>
          <t>KPG-00017</t>
        </is>
      </c>
      <c r="B22" s="7" t="inlineStr">
        <is>
          <t>KIR-00001</t>
        </is>
      </c>
      <c r="C22" s="64" t="n">
        <v>46194</v>
      </c>
      <c r="D22" s="23" t="n">
        <v>25480</v>
      </c>
      <c r="E22" s="26" t="n">
        <v>0</v>
      </c>
      <c r="F22" s="23" t="n">
        <v>2670</v>
      </c>
      <c r="G22" s="62" t="n">
        <v>0.4</v>
      </c>
      <c r="H22" s="7" t="inlineStr">
        <is>
          <t>DIGER</t>
        </is>
      </c>
    </row>
    <row r="23">
      <c r="A23" s="7" t="inlineStr">
        <is>
          <t>KPG-00018</t>
        </is>
      </c>
      <c r="B23" s="7" t="inlineStr">
        <is>
          <t>KIR-00002</t>
        </is>
      </c>
      <c r="C23" s="64" t="n">
        <v>46191</v>
      </c>
      <c r="D23" s="23" t="n">
        <v>19301</v>
      </c>
      <c r="E23" s="26" t="n">
        <v>2</v>
      </c>
      <c r="F23" s="23" t="n">
        <v>1040</v>
      </c>
      <c r="G23" s="62" t="n">
        <v>0.46</v>
      </c>
      <c r="H23" s="7" t="inlineStr">
        <is>
          <t>TAHSILAT</t>
        </is>
      </c>
    </row>
    <row r="24">
      <c r="A24" s="7" t="inlineStr">
        <is>
          <t>KPG-00019</t>
        </is>
      </c>
      <c r="B24" s="7" t="inlineStr">
        <is>
          <t>KIR-00003</t>
        </is>
      </c>
      <c r="C24" s="64" t="n">
        <v>46188</v>
      </c>
      <c r="D24" s="23" t="n">
        <v>17460</v>
      </c>
      <c r="E24" s="26" t="n">
        <v>0</v>
      </c>
      <c r="F24" s="23" t="n">
        <v>1510</v>
      </c>
      <c r="G24" s="62" t="n">
        <v>0.39</v>
      </c>
      <c r="H24" s="7" t="inlineStr">
        <is>
          <t>BOSLUK</t>
        </is>
      </c>
    </row>
    <row r="25">
      <c r="A25" s="7" t="inlineStr">
        <is>
          <t>KPG-00020</t>
        </is>
      </c>
      <c r="B25" s="7" t="inlineStr">
        <is>
          <t>KIR-00004</t>
        </is>
      </c>
      <c r="C25" s="64" t="n">
        <v>46185</v>
      </c>
      <c r="D25" s="23" t="n">
        <v>9520</v>
      </c>
      <c r="E25" s="26" t="n">
        <v>6</v>
      </c>
      <c r="F25" s="23" t="n">
        <v>1500</v>
      </c>
      <c r="G25" s="62" t="n">
        <v>0.4</v>
      </c>
      <c r="H25" s="7" t="inlineStr">
        <is>
          <t>ARTIS_TUFE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2744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3" max="3"/>
    <col width="14" customWidth="1" min="5" max="5"/>
  </cols>
  <sheetData>
    <row r="1" ht="26" customHeight="1">
      <c r="A1" s="1" t="inlineStr">
        <is>
          <t>LISTELER — Kira Portföyü Getiri Komutası</t>
        </is>
      </c>
    </row>
    <row r="3">
      <c r="A3" s="25" t="inlineStr">
        <is>
          <t>Evet / Hayır</t>
        </is>
      </c>
      <c r="C3" s="13" t="inlineStr">
        <is>
          <t>Olay Türü</t>
        </is>
      </c>
      <c r="E3" s="13" t="inlineStr">
        <is>
          <t>Mülk Tipi</t>
        </is>
      </c>
    </row>
    <row r="6">
      <c r="A6" s="22" t="inlineStr">
        <is>
          <t>Secim</t>
        </is>
      </c>
      <c r="C6" s="22" t="inlineStr">
        <is>
          <t>Tur</t>
        </is>
      </c>
      <c r="E6" s="22" t="inlineStr">
        <is>
          <t>Tip</t>
        </is>
      </c>
    </row>
    <row r="7">
      <c r="A7" s="15" t="inlineStr">
        <is>
          <t>EVET</t>
        </is>
      </c>
      <c r="C7" s="15" t="inlineStr">
        <is>
          <t>TAHSILAT</t>
        </is>
      </c>
      <c r="E7" s="15" t="inlineStr">
        <is>
          <t>Daire</t>
        </is>
      </c>
    </row>
    <row r="8">
      <c r="A8" s="15" t="inlineStr">
        <is>
          <t>HAYIR</t>
        </is>
      </c>
      <c r="C8" s="15" t="inlineStr">
        <is>
          <t>BOSLUK</t>
        </is>
      </c>
      <c r="E8" s="15" t="inlineStr">
        <is>
          <t>Ofis</t>
        </is>
      </c>
    </row>
    <row r="9">
      <c r="C9" s="15" t="inlineStr">
        <is>
          <t>ARTIS_TUFE</t>
        </is>
      </c>
      <c r="E9" s="15" t="inlineStr">
        <is>
          <t>Dukkan</t>
        </is>
      </c>
    </row>
    <row r="10">
      <c r="C10" s="15" t="inlineStr">
        <is>
          <t>GIDER</t>
        </is>
      </c>
      <c r="E10" s="15" t="inlineStr">
        <is>
          <t>Depo</t>
        </is>
      </c>
    </row>
    <row r="11">
      <c r="C11" s="15" t="inlineStr">
        <is>
          <t>TAHSILAT_GECIKME</t>
        </is>
      </c>
    </row>
    <row r="12">
      <c r="C12" s="15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1A2744"/>
    <outlinePr summaryBelow="1" summaryRight="1"/>
    <pageSetUpPr/>
  </sheetPr>
  <dimension ref="A1:N7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Kira Portföyü Getiri Komutası</t>
        </is>
      </c>
    </row>
    <row r="3" ht="20" customHeight="1">
      <c r="A3" s="10" t="inlineStr">
        <is>
          <t>Tek kaynak parametreler + alarm eşikleri (S05)</t>
        </is>
      </c>
    </row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60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kpg_varsayilanHedefKira</t>
        </is>
      </c>
      <c r="B7" s="17" t="n">
        <v>15000</v>
      </c>
      <c r="C7" s="7" t="inlineStr">
        <is>
          <t>TL</t>
        </is>
      </c>
      <c r="D7" s="7" t="inlineStr">
        <is>
          <t>Sözleşme / emsal kira</t>
        </is>
      </c>
      <c r="E7" s="7" t="inlineStr">
        <is>
          <t>01.01.2026</t>
        </is>
      </c>
      <c r="F7" s="8" t="inlineStr">
        <is>
          <t>Varsayılan aylık hedef kira</t>
        </is>
      </c>
    </row>
    <row r="8">
      <c r="A8" s="7" t="inlineStr">
        <is>
          <t>kpg_esikDoluluk</t>
        </is>
      </c>
      <c r="B8" s="61" t="n">
        <v>0.85</v>
      </c>
      <c r="C8" s="7" t="inlineStr">
        <is>
          <t>oran</t>
        </is>
      </c>
      <c r="D8" s="7" t="inlineStr">
        <is>
          <t>Alarm eşiği — doluluk</t>
        </is>
      </c>
      <c r="E8" s="7" t="inlineStr">
        <is>
          <t>01.01.2026</t>
        </is>
      </c>
      <c r="F8" s="8" t="inlineStr">
        <is>
          <t>Doluluk alt alarm eşiği</t>
        </is>
      </c>
    </row>
    <row r="9">
      <c r="A9" s="7" t="inlineStr">
        <is>
          <t>kpg_esikGetiri</t>
        </is>
      </c>
      <c r="B9" s="61" t="n">
        <v>0.8</v>
      </c>
      <c r="C9" s="7" t="inlineStr">
        <is>
          <t>oran</t>
        </is>
      </c>
      <c r="D9" s="7" t="inlineStr">
        <is>
          <t>Alarm eşiği — getiri</t>
        </is>
      </c>
      <c r="E9" s="7" t="inlineStr">
        <is>
          <t>01.01.2026</t>
        </is>
      </c>
      <c r="F9" s="8" t="inlineStr">
        <is>
          <t>Getiri (tahsilat/hedef) alt eşiği</t>
        </is>
      </c>
    </row>
    <row r="10">
      <c r="A10" s="7" t="inlineStr">
        <is>
          <t>kpg_esikSaglik</t>
        </is>
      </c>
      <c r="B10" s="20" t="n">
        <v>60</v>
      </c>
      <c r="C10" s="7" t="inlineStr">
        <is>
          <t>puan</t>
        </is>
      </c>
      <c r="D10" s="7" t="inlineStr">
        <is>
          <t>Alarm eşiği — sağlık skor</t>
        </is>
      </c>
      <c r="E10" s="7" t="inlineStr">
        <is>
          <t>01.01.2026</t>
        </is>
      </c>
      <c r="F10" s="8" t="inlineStr">
        <is>
          <t>Sağlık skor alt eşiği</t>
        </is>
      </c>
    </row>
    <row r="11">
      <c r="A11" s="7" t="inlineStr">
        <is>
          <t>kpg_gunAy</t>
        </is>
      </c>
      <c r="B11" s="20" t="n">
        <v>30</v>
      </c>
      <c r="C11" s="7" t="inlineStr">
        <is>
          <t>gun</t>
        </is>
      </c>
      <c r="D11" s="7" t="inlineStr">
        <is>
          <t>Dönem gün sayısı</t>
        </is>
      </c>
      <c r="E11" s="7" t="inlineStr">
        <is>
          <t>01.01.2026</t>
        </is>
      </c>
      <c r="F11" s="8" t="inlineStr">
        <is>
          <t>Doluluk hesabında ay günü</t>
        </is>
      </c>
    </row>
    <row r="12">
      <c r="A12" s="7" t="inlineStr">
        <is>
          <t>kpg_aylikCarpan</t>
        </is>
      </c>
      <c r="B12" s="61" t="n">
        <v>1</v>
      </c>
      <c r="C12" s="7" t="inlineStr">
        <is>
          <t>oran</t>
        </is>
      </c>
      <c r="D12" s="7" t="inlineStr">
        <is>
          <t>Aylık proxy</t>
        </is>
      </c>
      <c r="E12" s="7" t="inlineStr">
        <is>
          <t>01.01.2026</t>
        </is>
      </c>
      <c r="F12" s="8" t="inlineStr">
        <is>
          <t>Aylık tahsilat çarpan</t>
        </is>
      </c>
    </row>
    <row r="13">
      <c r="A13" s="7" t="inlineStr">
        <is>
          <t>kpg_senaryoTemkinli</t>
        </is>
      </c>
      <c r="B13" s="61" t="n">
        <v>0.9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Temkinli çarpan</t>
        </is>
      </c>
    </row>
    <row r="14">
      <c r="A14" s="7" t="inlineStr">
        <is>
          <t>kpg_senaryoBaz</t>
        </is>
      </c>
      <c r="B14" s="61" t="n">
        <v>1</v>
      </c>
      <c r="C14" s="7" t="inlineStr">
        <is>
          <t>oran</t>
        </is>
      </c>
      <c r="D14" s="7" t="inlineStr">
        <is>
          <t>Senaryo motoru</t>
        </is>
      </c>
      <c r="E14" s="7" t="inlineStr">
        <is>
          <t>01.01.2026</t>
        </is>
      </c>
      <c r="F14" s="8" t="inlineStr">
        <is>
          <t>Baz çarpan</t>
        </is>
      </c>
    </row>
    <row r="15">
      <c r="A15" s="7" t="inlineStr">
        <is>
          <t>kpg_senaryoIyimser</t>
        </is>
      </c>
      <c r="B15" s="61" t="n">
        <v>1.1</v>
      </c>
      <c r="C15" s="7" t="inlineStr">
        <is>
          <t>oran</t>
        </is>
      </c>
      <c r="D15" s="7" t="inlineStr">
        <is>
          <t>Senaryo motoru</t>
        </is>
      </c>
      <c r="E15" s="7" t="inlineStr">
        <is>
          <t>01.01.2026</t>
        </is>
      </c>
      <c r="F15" s="8" t="inlineStr">
        <is>
          <t>İyimser çarpan</t>
        </is>
      </c>
    </row>
    <row r="16">
      <c r="A16" s="7" t="inlineStr">
        <is>
          <t>kpg_tornadoOran</t>
        </is>
      </c>
      <c r="B16" s="61" t="n">
        <v>0.08</v>
      </c>
      <c r="C16" s="7" t="inlineStr">
        <is>
          <t>oran</t>
        </is>
      </c>
      <c r="D16" s="7" t="inlineStr">
        <is>
          <t>Duyarlılık</t>
        </is>
      </c>
      <c r="E16" s="7" t="inlineStr">
        <is>
          <t>01.01.2026</t>
        </is>
      </c>
      <c r="F16" s="8" t="inlineStr">
        <is>
          <t>Tornado etki oranı</t>
        </is>
      </c>
    </row>
    <row r="17">
      <c r="A17" s="7" t="inlineStr">
        <is>
          <t>kpg_yuzdelikOran</t>
        </is>
      </c>
      <c r="B17" s="61" t="n">
        <v>1.15</v>
      </c>
      <c r="C17" s="7" t="inlineStr">
        <is>
          <t>oran</t>
        </is>
      </c>
      <c r="D17" s="7" t="inlineStr">
        <is>
          <t>İstatistik kuralı</t>
        </is>
      </c>
      <c r="E17" s="7" t="inlineStr">
        <is>
          <t>01.01.2026</t>
        </is>
      </c>
      <c r="F17" s="8" t="inlineStr">
        <is>
          <t>P90 çarpan proxy</t>
        </is>
      </c>
    </row>
    <row r="18">
      <c r="A18" s="7" t="inlineStr">
        <is>
          <t>kpg_percentileOran</t>
        </is>
      </c>
      <c r="B18" s="61" t="n">
        <v>0.9</v>
      </c>
      <c r="C18" s="7" t="inlineStr">
        <is>
          <t>oran</t>
        </is>
      </c>
      <c r="D18" s="7" t="inlineStr">
        <is>
          <t>PERCENTILE oranı</t>
        </is>
      </c>
      <c r="E18" s="7" t="inlineStr">
        <is>
          <t>01.01.2026</t>
        </is>
      </c>
      <c r="F18" s="8" t="inlineStr">
        <is>
          <t>Yüzdelik dilim</t>
        </is>
      </c>
    </row>
    <row r="19">
      <c r="A19" s="7" t="inlineStr">
        <is>
          <t>kpg_tahminCarpan</t>
        </is>
      </c>
      <c r="B19" s="61" t="n">
        <v>1.05</v>
      </c>
      <c r="C19" s="7" t="inlineStr">
        <is>
          <t>oran</t>
        </is>
      </c>
      <c r="D19" s="7" t="inlineStr">
        <is>
          <t>Tahmin modeli</t>
        </is>
      </c>
      <c r="E19" s="7" t="inlineStr">
        <is>
          <t>01.01.2026</t>
        </is>
      </c>
      <c r="F19" s="8" t="inlineStr">
        <is>
          <t>Tahmin aralık çarpan</t>
        </is>
      </c>
    </row>
    <row r="20">
      <c r="A20" s="7" t="inlineStr">
        <is>
          <t>kpg_olcekHedef</t>
        </is>
      </c>
      <c r="B20" s="20" t="n">
        <v>20000</v>
      </c>
      <c r="C20" s="7" t="inlineStr">
        <is>
          <t>satir</t>
        </is>
      </c>
      <c r="D20" s="7" t="inlineStr">
        <is>
          <t>Manda A5 Ö1</t>
        </is>
      </c>
      <c r="E20" s="7" t="inlineStr">
        <is>
          <t>01.01.2026</t>
        </is>
      </c>
      <c r="F20" s="8" t="inlineStr">
        <is>
          <t>Ölçek sözleşmesi</t>
        </is>
      </c>
    </row>
    <row r="21">
      <c r="A21" s="7" t="inlineStr">
        <is>
          <t>kpg_kaliteTaban</t>
        </is>
      </c>
      <c r="B21" s="20" t="n">
        <v>100</v>
      </c>
      <c r="C21" s="7" t="inlineStr">
        <is>
          <t>puan</t>
        </is>
      </c>
      <c r="D21" s="7" t="inlineStr">
        <is>
          <t>Kalite / sağlık modeli</t>
        </is>
      </c>
      <c r="E21" s="7" t="inlineStr">
        <is>
          <t>01.01.2026</t>
        </is>
      </c>
      <c r="F21" s="8" t="inlineStr">
        <is>
          <t>Taban puan</t>
        </is>
      </c>
    </row>
    <row r="22">
      <c r="A22" s="7" t="inlineStr">
        <is>
          <t>kpg_kaliteCeza</t>
        </is>
      </c>
      <c r="B22" s="20" t="n">
        <v>12</v>
      </c>
      <c r="C22" s="7" t="inlineStr">
        <is>
          <t>puan</t>
        </is>
      </c>
      <c r="D22" s="7" t="inlineStr">
        <is>
          <t>Kalite / sağlık modeli</t>
        </is>
      </c>
      <c r="E22" s="7" t="inlineStr">
        <is>
          <t>01.01.2026</t>
        </is>
      </c>
      <c r="F22" s="8" t="inlineStr">
        <is>
          <t>Eşik aşım cezası</t>
        </is>
      </c>
    </row>
    <row r="23">
      <c r="A23" s="7" t="inlineStr">
        <is>
          <t>kpg_kaliteSapma</t>
        </is>
      </c>
      <c r="B23" s="20" t="n">
        <v>3</v>
      </c>
      <c r="C23" s="7" t="inlineStr">
        <is>
          <t>puan</t>
        </is>
      </c>
      <c r="D23" s="7" t="inlineStr">
        <is>
          <t>Kalite / sağlık modeli</t>
        </is>
      </c>
      <c r="E23" s="7" t="inlineStr">
        <is>
          <t>01.01.2026</t>
        </is>
      </c>
      <c r="F23" s="8" t="inlineStr">
        <is>
          <t>Sapma / alarm cezası</t>
        </is>
      </c>
    </row>
    <row r="24">
      <c r="A24" s="7" t="inlineStr">
        <is>
          <t>kpg_dosyaSurumu</t>
        </is>
      </c>
      <c r="B24" s="15" t="inlineStr">
        <is>
          <t>1.0.0</t>
        </is>
      </c>
      <c r="C24" s="7" t="inlineStr">
        <is>
          <t>metin</t>
        </is>
      </c>
      <c r="D24" s="7" t="inlineStr">
        <is>
          <t>Sürüm yönetimi</t>
        </is>
      </c>
      <c r="E24" s="7" t="inlineStr">
        <is>
          <t>01.01.2026</t>
        </is>
      </c>
      <c r="F24" s="8" t="inlineStr">
        <is>
          <t>Ürün sürümü</t>
        </is>
      </c>
    </row>
    <row r="25">
      <c r="A25" s="7" t="inlineStr">
        <is>
          <t>kpg_firmaUnvan</t>
        </is>
      </c>
      <c r="B25" s="15" t="inlineStr">
        <is>
          <t>Örnek Portföy Gayrimenkul A.Ş.</t>
        </is>
      </c>
      <c r="C25" s="7" t="inlineStr">
        <is>
          <t>metin</t>
        </is>
      </c>
      <c r="D25" s="7" t="inlineStr">
        <is>
          <t>Kullanıcı girişi</t>
        </is>
      </c>
      <c r="E25" s="7" t="inlineStr">
        <is>
          <t>01.01.2026</t>
        </is>
      </c>
      <c r="F25" s="8" t="inlineStr">
        <is>
          <t>Firma unvanı</t>
        </is>
      </c>
    </row>
    <row r="26">
      <c r="A26" s="7" t="inlineStr">
        <is>
          <t>kpg_alarmEsikMetin</t>
        </is>
      </c>
      <c r="B26" s="15" t="inlineStr">
        <is>
          <t>Doluluk / getiri / sağlık eşikleri</t>
        </is>
      </c>
      <c r="C26" s="7" t="inlineStr">
        <is>
          <t>metin</t>
        </is>
      </c>
      <c r="D26" s="7" t="inlineStr">
        <is>
          <t>S05 alarm</t>
        </is>
      </c>
      <c r="E26" s="7" t="inlineStr">
        <is>
          <t>01.01.2026</t>
        </is>
      </c>
      <c r="F26" s="8" t="inlineStr">
        <is>
          <t>Alarm eşiği tanımı</t>
        </is>
      </c>
    </row>
    <row r="27">
      <c r="A27" s="7" t="inlineStr">
        <is>
          <t>kpg_tufeReferans</t>
        </is>
      </c>
      <c r="B27" s="61" t="n">
        <v>0.4</v>
      </c>
      <c r="C27" s="7" t="inlineStr">
        <is>
          <t>oran</t>
        </is>
      </c>
      <c r="D27" s="7" t="inlineStr">
        <is>
          <t>TÜFE referans (elle)</t>
        </is>
      </c>
      <c r="E27" s="7" t="inlineStr">
        <is>
          <t>01.01.2026</t>
        </is>
      </c>
      <c r="F27" s="8" t="inlineStr">
        <is>
          <t>Varsayılan TÜFE referansı — API yok</t>
        </is>
      </c>
    </row>
    <row r="28">
      <c r="A28" s="7" t="inlineStr">
        <is>
          <t>kpg_boslukMaliyetCarpan</t>
        </is>
      </c>
      <c r="B28" s="61" t="n">
        <v>1</v>
      </c>
      <c r="C28" s="7" t="inlineStr">
        <is>
          <t>oran</t>
        </is>
      </c>
      <c r="D28" s="7" t="inlineStr">
        <is>
          <t>Boşluk maliyet modeli</t>
        </is>
      </c>
      <c r="E28" s="7" t="inlineStr">
        <is>
          <t>01.01.2026</t>
        </is>
      </c>
      <c r="F28" s="8" t="inlineStr">
        <is>
          <t>Boş gün maliyet çarpanı</t>
        </is>
      </c>
    </row>
    <row r="32">
      <c r="H32" s="25" t="inlineStr">
        <is>
          <t>Motor Çıktıları</t>
        </is>
      </c>
    </row>
    <row r="33">
      <c r="H33" s="22" t="inlineStr">
        <is>
          <t>anahtar</t>
        </is>
      </c>
      <c r="I33" s="22" t="inlineStr">
        <is>
          <t>deger</t>
        </is>
      </c>
    </row>
    <row r="34">
      <c r="H34" s="7" t="inlineStr">
        <is>
          <t>kpg_doluKayit</t>
        </is>
      </c>
      <c r="I34" s="8">
        <f>HESAP!C7</f>
        <v/>
      </c>
    </row>
    <row r="35">
      <c r="H35" s="7" t="inlineStr">
        <is>
          <t>kpg_toplamTahsilat</t>
        </is>
      </c>
      <c r="I35" s="8">
        <f>HESAP!C8</f>
        <v/>
      </c>
    </row>
    <row r="36">
      <c r="H36" s="7" t="inlineStr">
        <is>
          <t>kpg_toplamGider</t>
        </is>
      </c>
      <c r="I36" s="8">
        <f>HESAP!C10</f>
        <v/>
      </c>
    </row>
    <row r="37">
      <c r="H37" s="7" t="inlineStr">
        <is>
          <t>kpg_ortDoluluk</t>
        </is>
      </c>
      <c r="I37" s="8">
        <f>HESAP!C12</f>
        <v/>
      </c>
    </row>
    <row r="38">
      <c r="H38" s="7" t="inlineStr">
        <is>
          <t>kpg_ortGetiri</t>
        </is>
      </c>
      <c r="I38" s="8">
        <f>HESAP!C13</f>
        <v/>
      </c>
    </row>
    <row r="39">
      <c r="H39" s="7" t="inlineStr">
        <is>
          <t>kpg_netTahsilat</t>
        </is>
      </c>
      <c r="I39" s="8">
        <f>HESAP!C14</f>
        <v/>
      </c>
    </row>
    <row r="40">
      <c r="H40" s="7" t="inlineStr">
        <is>
          <t>kpg_gunlukDolulukOrt</t>
        </is>
      </c>
      <c r="I40" s="8">
        <f>HESAP!C24</f>
        <v/>
      </c>
    </row>
    <row r="41">
      <c r="H41" s="7" t="inlineStr">
        <is>
          <t>kpg_aylikTahsilatTrend</t>
        </is>
      </c>
      <c r="I41" s="8">
        <f>HESAP!C25</f>
        <v/>
      </c>
    </row>
    <row r="42">
      <c r="H42" s="7" t="inlineStr">
        <is>
          <t>kpg_saglikSkor</t>
        </is>
      </c>
      <c r="I42" s="8">
        <f>HESAP!C19</f>
        <v/>
      </c>
    </row>
    <row r="43">
      <c r="H43" s="7" t="inlineStr">
        <is>
          <t>kpg_alarmAdet</t>
        </is>
      </c>
      <c r="I43" s="8">
        <f>HESAP!C17</f>
        <v/>
      </c>
    </row>
    <row r="44">
      <c r="H44" s="7" t="inlineStr">
        <is>
          <t>kpg_yetimAdet</t>
        </is>
      </c>
      <c r="I44" s="8">
        <f>HESAP!C18</f>
        <v/>
      </c>
    </row>
    <row r="45">
      <c r="H45" s="7" t="inlineStr">
        <is>
          <t>kpg_getiriSapma</t>
        </is>
      </c>
      <c r="I45" s="8">
        <f>HESAP!C26</f>
        <v/>
      </c>
    </row>
    <row r="46">
      <c r="H46" s="7" t="inlineStr">
        <is>
          <t>kpg_tornadoZirve</t>
        </is>
      </c>
      <c r="I46" s="8">
        <f>HESAP!C38</f>
        <v/>
      </c>
    </row>
    <row r="47">
      <c r="H47" s="7" t="inlineStr">
        <is>
          <t>kpg_senaryoKarsilastirma</t>
        </is>
      </c>
      <c r="I47" s="8">
        <f>HESAP!C34</f>
        <v/>
      </c>
    </row>
    <row r="48">
      <c r="H48" s="7" t="inlineStr">
        <is>
          <t>kpg_hhi</t>
        </is>
      </c>
      <c r="I48" s="8">
        <f>HESAP!C39</f>
        <v/>
      </c>
    </row>
    <row r="49">
      <c r="H49" s="7" t="inlineStr">
        <is>
          <t>kpg_kaliteSkor</t>
        </is>
      </c>
      <c r="I49" s="8">
        <f>HESAP!C40</f>
        <v/>
      </c>
    </row>
    <row r="50">
      <c r="H50" s="7" t="inlineStr">
        <is>
          <t>kpg_senaryoMotor</t>
        </is>
      </c>
      <c r="I50" s="8">
        <f>HESAP!C43</f>
        <v/>
      </c>
    </row>
    <row r="51">
      <c r="H51" s="7" t="inlineStr">
        <is>
          <t>kpg_tahminAralik</t>
        </is>
      </c>
      <c r="I51" s="8">
        <f>HESAP!C41</f>
        <v/>
      </c>
    </row>
    <row r="52">
      <c r="H52" s="7" t="inlineStr">
        <is>
          <t>kpg_yuzdelikP90</t>
        </is>
      </c>
      <c r="I52" s="8">
        <f>HESAP!C42</f>
        <v/>
      </c>
    </row>
    <row r="53">
      <c r="H53" s="7" t="inlineStr">
        <is>
          <t>kpg_olayKirilim</t>
        </is>
      </c>
      <c r="I53" s="8">
        <f>HESAP!C52</f>
        <v/>
      </c>
    </row>
    <row r="54">
      <c r="H54" s="7" t="inlineStr">
        <is>
          <t>kpg_ortTufeArtis</t>
        </is>
      </c>
      <c r="I54" s="8">
        <f>HESAP!C53</f>
        <v/>
      </c>
    </row>
    <row r="55">
      <c r="H55" s="7" t="inlineStr">
        <is>
          <t>kpg_sezonsalTrend</t>
        </is>
      </c>
      <c r="I55" s="8">
        <f>_xlfn.TEXTJOIN(" | ",TRUE,"12_AY",TEXT(HESAP!C44,"₺#,##0"),"TL",TEXT(HESAP!C45,"0.0%"),"doluluk sezonsal")</f>
        <v/>
      </c>
    </row>
    <row r="56">
      <c r="H56" s="7" t="inlineStr">
        <is>
          <t>kpg_alarmListesi</t>
        </is>
      </c>
      <c r="I56" s="8">
        <f>_xlfn.TEXTJOIN(" | ",TRUE,"Alarm",HESAP!C17,"Yetim",HESAP!C18,"DolAlt",HESAP!C21,"GetAlt",HESAP!C22)</f>
        <v/>
      </c>
    </row>
    <row r="57">
      <c r="H57" s="7" t="inlineStr">
        <is>
          <t>kpg_kararKapi</t>
        </is>
      </c>
      <c r="I57" s="8">
        <f>IF(HESAP!C7=0,"VERİ YOK",IF(OR(HESAP!C8&lt;0,HESAP!C10&lt;0),"KRİTİK",IF(HESAP!C46=1,"KRİTİK",IF(OR(HESAP!C21&gt;0,HESAP!C12&lt;kpg_esikDoluluk),"DİKKAT","UYGUN"))))</f>
        <v/>
      </c>
    </row>
    <row r="58">
      <c r="H58" s="7" t="inlineStr">
        <is>
          <t>kpg_kararGerekce</t>
        </is>
      </c>
      <c r="I58" s="8">
        <f>_xlfn.TEXTJOIN(" ",TRUE,"Karar",kpg_kararKapi,"| doluluk",TEXT(kpg_ortDoluluk,"0.0%"),"| sağlık",TEXT(kpg_saglikSkor,"0"),"| alarm",kpg_alarmAdet)</f>
        <v/>
      </c>
    </row>
    <row r="59">
      <c r="H59" s="7" t="inlineStr">
        <is>
          <t>kpg_sonrakiKimlik</t>
        </is>
      </c>
      <c r="I59" s="8">
        <f>"KIR-"&amp;TEXT(COUNTA(tblVarliklar[VarlikId])+1,"00000")</f>
        <v/>
      </c>
    </row>
    <row r="61">
      <c r="H61" s="25" t="inlineStr">
        <is>
          <t>Yorumlar</t>
        </is>
      </c>
    </row>
    <row r="62">
      <c r="H62" s="7" t="inlineStr">
        <is>
          <t>kpg_yorumGunluk</t>
        </is>
      </c>
      <c r="I62" s="8">
        <f>_xlfn.TEXTJOIN(" ",TRUE,"Günlük doluluk ort",TEXT(kpg_gunlukDolulukOrt,"0.0%"))</f>
        <v/>
      </c>
    </row>
    <row r="63">
      <c r="H63" s="7" t="inlineStr">
        <is>
          <t>kpg_yorumAylik</t>
        </is>
      </c>
      <c r="I63" s="8">
        <f>_xlfn.TEXTJOIN(" ",TRUE,"Aylık tahsilat proxy",TEXT(kpg_aylikTahsilatTrend,"₺#,##0"))</f>
        <v/>
      </c>
    </row>
    <row r="64">
      <c r="H64" s="7" t="inlineStr">
        <is>
          <t>kpg_yorumSapma</t>
        </is>
      </c>
      <c r="I64" s="8">
        <f>_xlfn.TEXTJOIN(" ",TRUE,"Getiri sapma",TEXT(kpg_getiriSapma,"0.0%"))</f>
        <v/>
      </c>
    </row>
    <row r="65">
      <c r="H65" s="7" t="inlineStr">
        <is>
          <t>kpg_yorumTornado</t>
        </is>
      </c>
      <c r="I65" s="8">
        <f>_xlfn.TEXTJOIN(" ",TRUE,"Tornado zirve",TEXT(kpg_tornadoZirve,"₺#,##0"))</f>
        <v/>
      </c>
    </row>
    <row r="66">
      <c r="H66" s="7" t="inlineStr">
        <is>
          <t>kpg_yorumSenaryo</t>
        </is>
      </c>
      <c r="I66" s="8">
        <f>_xlfn.TEXTJOIN(" ",TRUE,"Senaryo farkı",TEXT(kpg_senaryoKarsilastirma,"₺#,##0"))</f>
        <v/>
      </c>
    </row>
    <row r="67">
      <c r="H67" s="7" t="inlineStr">
        <is>
          <t>kpg_yorumHhi</t>
        </is>
      </c>
      <c r="I67" s="8">
        <f>_xlfn.TEXTJOIN(" ",TRUE,"Yoğunlaşma HHI",TEXT(kpg_hhi,"0.0%"))</f>
        <v/>
      </c>
    </row>
    <row r="68">
      <c r="H68" s="7" t="inlineStr">
        <is>
          <t>kpg_yorumKalite</t>
        </is>
      </c>
      <c r="I68" s="8">
        <f>_xlfn.TEXTJOIN(" ",TRUE,"Kalite skoru",kpg_kaliteSkor)</f>
        <v/>
      </c>
    </row>
    <row r="69">
      <c r="H69" s="7" t="inlineStr">
        <is>
          <t>kpg_yorumSenMotor</t>
        </is>
      </c>
      <c r="I69" s="8">
        <f>_xlfn.TEXTJOIN(" ",TRUE,"Senaryo motoru",kpg_senaryoMotor)</f>
        <v/>
      </c>
    </row>
    <row r="70">
      <c r="H70" s="7" t="inlineStr">
        <is>
          <t>kpg_yorumTahmin</t>
        </is>
      </c>
      <c r="I70" s="8">
        <f>_xlfn.TEXTJOIN(" ",TRUE,"Tahmin aralık",TEXT(kpg_tahminAralik,"₺#,##0"))</f>
        <v/>
      </c>
    </row>
    <row r="71">
      <c r="H71" s="7" t="inlineStr">
        <is>
          <t>kpg_yorumP90</t>
        </is>
      </c>
      <c r="I71" s="8">
        <f>_xlfn.TEXTJOIN(" ",TRUE,"P90 tahsilat",TEXT(kpg_yuzdelikP90,"₺#,##0"))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69">
    <dataValidation sqref="D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1A2744"/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KILAVUZ — Kira Portföyü Getiri Komutası</t>
        </is>
      </c>
    </row>
    <row r="3">
      <c r="A3" s="27" t="inlineStr">
        <is>
          <t>Kullanım Kılavuzu</t>
        </is>
      </c>
    </row>
    <row r="5">
      <c r="A5" s="8" t="inlineStr">
        <is>
          <t>1. VARLIKLAR sayfasına kira menkul kartı ekleyin; sonraki kimliği kullanın.</t>
        </is>
      </c>
    </row>
    <row r="6">
      <c r="A6" s="8" t="inlineStr">
        <is>
          <t>2. GUNLUK_GIRIS: varlık, tarih, tahsilat TL, boş gün, gider TL, TÜFE oranı, olay türü.</t>
        </is>
      </c>
    </row>
    <row r="7">
      <c r="A7" s="8" t="inlineStr">
        <is>
          <t>3. Doluluk = 1 − boş_gün / ay_günü; getiri = tahsilat / hedef_kira.</t>
        </is>
      </c>
    </row>
    <row r="8">
      <c r="A8" s="8" t="inlineStr">
        <is>
          <t>4. TÜFE oranı elle girilir; dış API/canlı çekim yoktur (Ç15).</t>
        </is>
      </c>
    </row>
    <row r="9">
      <c r="A9" s="8" t="inlineStr">
        <is>
          <t>5. DONEM_ANALIZ 12 aylık sezonsal tahsilat-doluluk zincirini gösterir.</t>
        </is>
      </c>
    </row>
    <row r="10">
      <c r="A10" s="8" t="inlineStr">
        <is>
          <t>6. ALARMLAR sayfasında varlık + eşik + tarih listesi; eşikler AYARLAR'dadır.</t>
        </is>
      </c>
    </row>
    <row r="11">
      <c r="A11" s="8" t="inlineStr">
        <is>
          <t>7. raporTarihi AYARLAR'dadır; TODAY kullanılmaz.</t>
        </is>
      </c>
    </row>
    <row r="12">
      <c r="A12" s="8" t="inlineStr">
        <is>
          <t>8. Koruma şifresi: 1234 — formül hücreleri kilitli, sarı hücreler açıktır.</t>
        </is>
      </c>
    </row>
    <row r="13">
      <c r="A13" s="8" t="inlineStr">
        <is>
          <t>9. RAPOR sayfasını PDF olarak yazdırabilirsiniz.</t>
        </is>
      </c>
    </row>
    <row r="14">
      <c r="A14" s="8" t="inlineStr">
        <is>
          <t>10. Sürüm 1.0.0 | Kod KPG-PRO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J5"/>
    <mergeCell ref="A8:J8"/>
    <mergeCell ref="A14:J14"/>
    <mergeCell ref="A6:J6"/>
    <mergeCell ref="A9:J9"/>
    <mergeCell ref="A1:L1"/>
    <mergeCell ref="A12:J12"/>
    <mergeCell ref="A7:J7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2026-08-11T18:52:10Z</dcterms:created>
  <dcterms:modified xmlns:dcterms="http://purl.org/dc/terms/" xmlns:xsi="http://www.w3.org/2001/XMLSchema-instance" xsi:type="dcterms:W3CDTF">2026-09-25T14:23:30Z</dcterms:modified>
</cp:coreProperties>
</file>