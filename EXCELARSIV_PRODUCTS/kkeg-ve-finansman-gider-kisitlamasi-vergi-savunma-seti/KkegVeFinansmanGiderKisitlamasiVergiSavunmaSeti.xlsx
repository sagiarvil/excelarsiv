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HIZLI_BASLANGIC" sheetId="5" state="visible" r:id="rId5"/>
    <sheet xmlns:r="http://schemas.openxmlformats.org/officeDocument/2006/relationships" name="DONEM_KAYNAK" sheetId="6" state="visible" r:id="rId6"/>
    <sheet xmlns:r="http://schemas.openxmlformats.org/officeDocument/2006/relationships" name="KREDI_LISTESI" sheetId="7" state="visible" r:id="rId7"/>
    <sheet xmlns:r="http://schemas.openxmlformats.org/officeDocument/2006/relationships" name="HESAP" sheetId="8" state="visible" r:id="rId8"/>
    <sheet xmlns:r="http://schemas.openxmlformats.org/officeDocument/2006/relationships" name="ANALITIK_MOTOR" sheetId="9" state="visible" r:id="rId9"/>
    <sheet xmlns:r="http://schemas.openxmlformats.org/officeDocument/2006/relationships" name="KONTROLLER" sheetId="10" state="visible" r:id="rId10"/>
    <sheet xmlns:r="http://schemas.openxmlformats.org/officeDocument/2006/relationships" name="KARAR" sheetId="11" state="visible" r:id="rId11"/>
    <sheet xmlns:r="http://schemas.openxmlformats.org/officeDocument/2006/relationships" name="SENARYO_DUYARLILIK" sheetId="12" state="visible" r:id="rId12"/>
    <sheet xmlns:r="http://schemas.openxmlformats.org/officeDocument/2006/relationships" name="RAPOR" sheetId="13" state="visible" r:id="rId13"/>
    <sheet xmlns:r="http://schemas.openxmlformats.org/officeDocument/2006/relationships" name="ORNEK_VERI" sheetId="14" state="visible" r:id="rId14"/>
    <sheet xmlns:r="http://schemas.openxmlformats.org/officeDocument/2006/relationships" name="KURALLAR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DEGISIKLIK_KAYD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AsanKismaIsabetGider" hidden="0" function="0" vbProcedure="0">HESAP!$B$18</definedName>
    <definedName name="DosyaSurumu" hidden="0" function="0" vbProcedure="0">AYARLAR!$B$10</definedName>
    <definedName name="FarkOrani" hidden="0" function="0" vbProcedure="0">HESAP!$B$15</definedName>
    <definedName name="FirmaUnvan" hidden="0" function="0" vbProcedure="0">AYARLAR!$B$7</definedName>
    <definedName name="KkegAksiyon1_ACIKLAMA" hidden="0" function="0" vbProcedure="0">AYARLAR!$B$25</definedName>
    <definedName name="KkegAksiyon2_ACIKLAMA" hidden="0" function="0" vbProcedure="0">AYARLAR!$B$26</definedName>
    <definedName name="KkegAksiyon3_ACIKLAMA" hidden="0" function="0" vbProcedure="0">AYARLAR!$B$27</definedName>
    <definedName name="KkegBazSenaryo" hidden="0" function="0" vbProcedure="0">AYARLAR!$B$18</definedName>
    <definedName name="KkegDoluGiris" hidden="0" function="0" vbProcedure="0">KONTROLLER!$B$18</definedName>
    <definedName name="KkegDonemGirisKolon" hidden="0" function="0" vbProcedure="0">AYARLAR!$B$41</definedName>
    <definedName name="KkegEsik" hidden="0" function="0" vbProcedure="0">AYARLAR!$B$11</definedName>
    <definedName name="KkegFarkEsik" hidden="0" function="0" vbProcedure="0">AYARLAR!$B$13</definedName>
    <definedName name="KkegGiderEsik" hidden="0" function="0" vbProcedure="0">AYARLAR!$B$12</definedName>
    <definedName name="KkegGiderOrani" hidden="0" function="0" vbProcedure="0">HESAP!$B$21</definedName>
    <definedName name="KkegIyiSenaryo" hidden="0" function="0" vbProcedure="0">AYARLAR!$B$17</definedName>
    <definedName name="KkegKaliteIyi" hidden="0" function="0" vbProcedure="0">AYARLAR!$B$23</definedName>
    <definedName name="KkegKaliteOrta" hidden="0" function="0" vbProcedure="0">AYARLAR!$B$24</definedName>
    <definedName name="KkegKotuSenaryo" hidden="0" function="0" vbProcedure="0">AYARLAR!$B$19</definedName>
    <definedName name="KkegKrediGirisKolon" hidden="0" function="0" vbProcedure="0">AYARLAR!$B$42</definedName>
    <definedName name="KkegKvOran" hidden="0" function="0" vbProcedure="0">AYARLAR!$B$15</definedName>
    <definedName name="KkegMuafiyetEsik" hidden="0" function="0" vbProcedure="0">AYARLAR!$B$16</definedName>
    <definedName name="KkegOran" hidden="0" function="0" vbProcedure="0">AYARLAR!$B$14</definedName>
    <definedName name="KkegP90Oran" hidden="0" function="0" vbProcedure="0">AYARLAR!$B$28</definedName>
    <definedName name="KkegPanelSatir1" hidden="0" function="0" vbProcedure="0">AYARLAR!$B$29</definedName>
    <definedName name="KkegPanelSatir10" hidden="0" function="0" vbProcedure="0">AYARLAR!$B$38</definedName>
    <definedName name="KkegPanelSatir11" hidden="0" function="0" vbProcedure="0">AYARLAR!$B$39</definedName>
    <definedName name="KkegPanelSatir12" hidden="0" function="0" vbProcedure="0">AYARLAR!$B$40</definedName>
    <definedName name="KkegPanelSatir2" hidden="0" function="0" vbProcedure="0">AYARLAR!$B$30</definedName>
    <definedName name="KkegPanelSatir3" hidden="0" function="0" vbProcedure="0">AYARLAR!$B$31</definedName>
    <definedName name="KkegPanelSatir4" hidden="0" function="0" vbProcedure="0">AYARLAR!$B$32</definedName>
    <definedName name="KkegPanelSatir5" hidden="0" function="0" vbProcedure="0">AYARLAR!$B$33</definedName>
    <definedName name="KkegPanelSatir6" hidden="0" function="0" vbProcedure="0">AYARLAR!$B$34</definedName>
    <definedName name="KkegPanelSatir7" hidden="0" function="0" vbProcedure="0">AYARLAR!$B$35</definedName>
    <definedName name="KkegPanelSatir8" hidden="0" function="0" vbProcedure="0">AYARLAR!$B$36</definedName>
    <definedName name="KkegPanelSatir9" hidden="0" function="0" vbProcedure="0">AYARLAR!$B$37</definedName>
    <definedName name="KkegTahminCarpan" hidden="0" function="0" vbProcedure="0">AYARLAR!$B$22</definedName>
    <definedName name="KkegToplamGiris" hidden="0" function="0" vbProcedure="0">KONTROLLER!$B$17</definedName>
    <definedName name="KkegTornadoOran" hidden="0" function="0" vbProcedure="0">AYARLAR!$B$21</definedName>
    <definedName name="KkegTornadoYabanci" hidden="0" function="0" vbProcedure="0">AYARLAR!$B$20</definedName>
    <definedName name="KkegTutari" hidden="0" function="0" vbProcedure="0">HESAP!$B$19</definedName>
    <definedName name="kuralIdReferans" hidden="0" function="0" vbProcedure="0">KURALLAR!$A$4</definedName>
    <definedName name="KvEtkisi" hidden="0" function="0" vbProcedure="0">HESAP!$B$20</definedName>
    <definedName name="ListeAylar" hidden="0" function="0" vbProcedure="0">LISTELER!$C$7:$C$18</definedName>
    <definedName name="ListeEvetHayir" hidden="0" function="0" vbProcedure="0">LISTELER!$E$7:$E$8</definedName>
    <definedName name="ListeKaynakTurleri" hidden="0" function="0" vbProcedure="0">LISTELER!$A$7:$A$11</definedName>
    <definedName name="modulI1GiderTahmin" hidden="0" function="0" vbProcedure="0">ANALITIK_MOTOR!$C$13</definedName>
    <definedName name="modulI1Gider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O1Anomali" hidden="0" function="0" vbProcedure="0">ANALITIK_MOTOR!$C$8</definedName>
    <definedName name="modulO1AnomaliYorum" hidden="0" function="0" vbProcedure="0">ANALITIK_MOTOR!$D$8</definedName>
    <definedName name="modulO2Tornado" hidden="0" function="0" vbProcedure="0">ANALITIK_MOTOR!$C$9</definedName>
    <definedName name="modulO2Tornado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6Hhi" hidden="0" function="0" vbProcedure="0">ANALITIK_MOTOR!$C$11</definedName>
    <definedName name="modulO6Hhi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1YabanciPay" hidden="0" function="0" vbProcedure="0">ANALITIK_MOTOR!$C$6</definedName>
    <definedName name="modulT1YabanciPayYorum" hidden="0" function="0" vbProcedure="0">ANALITIK_MOTOR!$D$6</definedName>
    <definedName name="modulT4OzKaynakFark" hidden="0" function="0" vbProcedure="0">ANALITIK_MOTOR!$C$7</definedName>
    <definedName name="modulT4OzKaynakFarkYorum" hidden="0" function="0" vbProcedure="0">ANALITIK_MOTOR!$D$7</definedName>
    <definedName name="MuafiyetSonrasiGider" hidden="0" function="0" vbProcedure="0">HESAP!$B$17</definedName>
    <definedName name="OrtalamaOzKaynak" hidden="0" function="0" vbProcedure="0">HESAP!$B$12</definedName>
    <definedName name="OrtalamaYabanciKaynak" hidden="0" function="0" vbProcedure="0">HESAP!$B$13</definedName>
    <definedName name="RaporHazirlayan" hidden="0" function="0" vbProcedure="0">AYARLAR!$B$9</definedName>
    <definedName name="RaporTarihi" hidden="0" function="0" vbProcedure="0">AYARLAR!$B$8</definedName>
    <definedName name="ToplamKapsamGider" hidden="0" function="0" vbProcedure="0">HESAP!$B$16</definedName>
    <definedName name="YabanciOzKaynakFarki" hidden="0" function="0" vbProcedure="0">HESAP!$B$14</definedName>
    <definedName name="_xlnm.Print_Area" localSheetId="12">'RAPOR'!$A$1:$L$28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&quot;₺ &quot;#,##0;[RED]&quot;(₺ &quot;#,##0\);\-"/>
    <numFmt numFmtId="165" formatCode="dd/mm/yyyy"/>
    <numFmt numFmtId="166" formatCode="0.0%;[RED]\(0.0%\);\-"/>
    <numFmt numFmtId="167" formatCode="0.000"/>
    <numFmt numFmtId="168" formatCode="#,##0 &quot;TL&quot;"/>
    <numFmt numFmtId="169" formatCode="0.0%"/>
    <numFmt numFmtId="170" formatCode="₺#,##0"/>
  </numFmts>
  <fonts count="8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2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F2F2F2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pivotButton="0" quotePrefix="0" xfId="0">
      <alignment horizontal="general" vertical="bottom"/>
    </xf>
    <xf numFmtId="0" fontId="0" fillId="4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pivotButton="0" quotePrefix="0" xfId="0">
      <alignment horizontal="general" vertical="bottom"/>
    </xf>
    <xf numFmtId="165" fontId="0" fillId="4" borderId="0" applyAlignment="1" applyProtection="1" pivotButton="0" quotePrefix="0" xfId="0">
      <alignment horizontal="general" vertical="bottom"/>
      <protection locked="0" hidden="0"/>
    </xf>
    <xf numFmtId="166" fontId="0" fillId="4" borderId="0" applyAlignment="1" applyProtection="1" pivotButton="0" quotePrefix="0" xfId="0">
      <alignment horizontal="general" vertical="bottom"/>
      <protection locked="0" hidden="0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6" fontId="2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4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4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31" fillId="4" borderId="0" applyAlignment="1" applyProtection="1" pivotButton="0" quotePrefix="0" xfId="0">
      <alignment horizontal="left" vertical="center"/>
      <protection locked="0" hidden="0"/>
    </xf>
    <xf numFmtId="164" fontId="31" fillId="4" borderId="0" applyAlignment="1" applyProtection="1" pivotButton="0" quotePrefix="0" xfId="0">
      <alignment horizontal="left" vertical="center"/>
      <protection locked="0" hidden="0"/>
    </xf>
    <xf numFmtId="166" fontId="31" fillId="4" borderId="0" applyAlignment="1" applyProtection="1" pivotButton="0" quotePrefix="0" xfId="0">
      <alignment horizontal="left" vertical="center"/>
      <protection locked="0" hidden="0"/>
    </xf>
    <xf numFmtId="3" fontId="31" fillId="4" borderId="0" applyAlignment="1" applyProtection="1" pivotButton="0" quotePrefix="0" xfId="0">
      <alignment horizontal="left" vertical="center"/>
      <protection locked="0" hidden="0"/>
    </xf>
    <xf numFmtId="0" fontId="31" fillId="4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3" fillId="8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pivotButton="0" quotePrefix="0" xfId="0"/>
    <xf numFmtId="0" fontId="41" fillId="0" borderId="0" pivotButton="0" quotePrefix="0" xfId="0"/>
    <xf numFmtId="0" fontId="36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9" borderId="0" applyAlignment="1" pivotButton="0" quotePrefix="0" xfId="0">
      <alignment horizontal="center" vertical="center" wrapText="1"/>
    </xf>
    <xf numFmtId="0" fontId="37" fillId="0" borderId="0" pivotButton="0" quotePrefix="0" xfId="0"/>
    <xf numFmtId="0" fontId="38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3" fillId="8" borderId="0" applyAlignment="1" pivotButton="0" quotePrefix="0" xfId="0">
      <alignment horizontal="center" vertical="center"/>
    </xf>
    <xf numFmtId="0" fontId="44" fillId="0" borderId="0" pivotButton="0" quotePrefix="0" xfId="0"/>
    <xf numFmtId="168" fontId="44" fillId="0" borderId="0" pivotButton="0" quotePrefix="0" xfId="0"/>
    <xf numFmtId="168" fontId="45" fillId="0" borderId="0" pivotButton="0" quotePrefix="0" xfId="0"/>
    <xf numFmtId="169" fontId="44" fillId="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8" fillId="8" borderId="0" applyAlignment="1" pivotButton="0" quotePrefix="0" xfId="0">
      <alignment horizontal="center" vertical="center"/>
    </xf>
    <xf numFmtId="0" fontId="43" fillId="8" borderId="0" applyAlignment="1" pivotButton="0" quotePrefix="0" xfId="0">
      <alignment horizontal="center"/>
    </xf>
    <xf numFmtId="0" fontId="45" fillId="0" borderId="0" pivotButton="0" quotePrefix="0" xfId="0"/>
    <xf numFmtId="0" fontId="49" fillId="10" borderId="1" pivotButton="0" quotePrefix="0" xfId="0"/>
    <xf numFmtId="0" fontId="50" fillId="0" borderId="0" pivotButton="0" quotePrefix="0" xfId="0"/>
    <xf numFmtId="0" fontId="51" fillId="0" borderId="0" pivotButton="0" quotePrefix="0" xfId="0"/>
    <xf numFmtId="0" fontId="44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pivotButton="0" quotePrefix="0" xfId="0">
      <alignment horizontal="general" vertical="bottom"/>
    </xf>
    <xf numFmtId="0" fontId="0" fillId="4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pivotButton="0" quotePrefix="0" xfId="0">
      <alignment horizontal="general" vertical="bottom"/>
    </xf>
    <xf numFmtId="165" fontId="0" fillId="4" borderId="0" applyAlignment="1" applyProtection="1" pivotButton="0" quotePrefix="0" xfId="0">
      <alignment horizontal="general" vertical="bottom"/>
      <protection locked="0" hidden="0"/>
    </xf>
    <xf numFmtId="166" fontId="0" fillId="4" borderId="0" applyAlignment="1" applyProtection="1" pivotButton="0" quotePrefix="0" xfId="0">
      <alignment horizontal="general" vertical="bottom"/>
      <protection locked="0" hidden="0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6" fontId="2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4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4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31" fillId="4" borderId="0" applyAlignment="1" applyProtection="1" pivotButton="0" quotePrefix="0" xfId="0">
      <alignment horizontal="left" vertical="center"/>
      <protection locked="0" hidden="0"/>
    </xf>
    <xf numFmtId="164" fontId="31" fillId="4" borderId="0" applyAlignment="1" applyProtection="1" pivotButton="0" quotePrefix="0" xfId="0">
      <alignment horizontal="left" vertical="center"/>
      <protection locked="0" hidden="0"/>
    </xf>
    <xf numFmtId="166" fontId="31" fillId="4" borderId="0" applyAlignment="1" applyProtection="1" pivotButton="0" quotePrefix="0" xfId="0">
      <alignment horizontal="left" vertical="center"/>
      <protection locked="0" hidden="0"/>
    </xf>
    <xf numFmtId="3" fontId="31" fillId="4" borderId="0" applyAlignment="1" applyProtection="1" pivotButton="0" quotePrefix="0" xfId="0">
      <alignment horizontal="left" vertical="center"/>
      <protection locked="0" hidden="0"/>
    </xf>
    <xf numFmtId="0" fontId="31" fillId="4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4" borderId="0" applyAlignment="1" applyProtection="1" pivotButton="0" quotePrefix="0" xfId="0">
      <alignment horizontal="left" vertical="center"/>
      <protection locked="0" hidden="0"/>
    </xf>
    <xf numFmtId="0" fontId="32" fillId="0" borderId="0" applyAlignment="1" pivotButton="0" quotePrefix="0" xfId="0">
      <alignment horizontal="left" vertical="center" wrapText="1"/>
    </xf>
    <xf numFmtId="0" fontId="52" fillId="0" borderId="0" pivotButton="0" quotePrefix="0" xfId="0"/>
    <xf numFmtId="0" fontId="53" fillId="0" borderId="1" applyAlignment="1" pivotButton="0" quotePrefix="0" xfId="0">
      <alignment horizontal="center" vertical="center"/>
    </xf>
    <xf numFmtId="0" fontId="43" fillId="11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2" pivotButton="0" quotePrefix="0" xfId="0"/>
    <xf numFmtId="0" fontId="0" fillId="0" borderId="1" pivotButton="0" quotePrefix="0" xfId="0"/>
    <xf numFmtId="0" fontId="54" fillId="12" borderId="1" applyAlignment="1" pivotButton="0" quotePrefix="0" xfId="0">
      <alignment horizontal="center"/>
    </xf>
    <xf numFmtId="0" fontId="40" fillId="0" borderId="3" pivotButton="0" quotePrefix="0" xfId="0"/>
    <xf numFmtId="0" fontId="56" fillId="13" borderId="1" applyAlignment="1" pivotButton="0" quotePrefix="0" xfId="0">
      <alignment horizontal="center"/>
    </xf>
    <xf numFmtId="0" fontId="55" fillId="14" borderId="1" applyAlignment="1" pivotButton="0" quotePrefix="0" xfId="0">
      <alignment horizontal="center"/>
    </xf>
    <xf numFmtId="0" fontId="4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6" fillId="0" borderId="2" pivotButton="0" quotePrefix="0" xfId="0"/>
    <xf numFmtId="0" fontId="57" fillId="0" borderId="3" pivotButton="0" quotePrefix="0" xfId="0"/>
    <xf numFmtId="0" fontId="58" fillId="0" borderId="4" pivotButton="0" quotePrefix="0" xfId="0"/>
    <xf numFmtId="0" fontId="55" fillId="0" borderId="2" pivotButton="0" quotePrefix="0" xfId="0"/>
    <xf numFmtId="0" fontId="50" fillId="0" borderId="3" pivotButton="0" quotePrefix="0" xfId="0"/>
    <xf numFmtId="0" fontId="55" fillId="0" borderId="4" pivotButton="0" quotePrefix="0" xfId="0"/>
    <xf numFmtId="0" fontId="59" fillId="15" borderId="0" applyAlignment="1" pivotButton="0" quotePrefix="0" xfId="0">
      <alignment horizontal="center"/>
    </xf>
    <xf numFmtId="0" fontId="60" fillId="0" borderId="0" pivotButton="0" quotePrefix="0" xfId="0"/>
    <xf numFmtId="0" fontId="59" fillId="16" borderId="0" applyAlignment="1" pivotButton="0" quotePrefix="0" xfId="0">
      <alignment horizontal="center" vertical="center"/>
    </xf>
    <xf numFmtId="0" fontId="60" fillId="0" borderId="1" pivotButton="0" quotePrefix="0" xfId="0"/>
    <xf numFmtId="0" fontId="61" fillId="0" borderId="1" pivotButton="0" quotePrefix="0" xfId="0"/>
    <xf numFmtId="0" fontId="62" fillId="0" borderId="1" pivotButton="0" quotePrefix="0" xfId="0"/>
    <xf numFmtId="0" fontId="63" fillId="17" borderId="1" applyAlignment="1" pivotButton="0" quotePrefix="0" xfId="0">
      <alignment horizontal="center"/>
    </xf>
    <xf numFmtId="0" fontId="59" fillId="8" borderId="0" pivotButton="0" quotePrefix="0" xfId="0"/>
    <xf numFmtId="0" fontId="64" fillId="8" borderId="0" pivotButton="0" quotePrefix="0" xfId="0"/>
    <xf numFmtId="0" fontId="65" fillId="8" borderId="0" pivotButton="0" quotePrefix="0" xfId="0"/>
    <xf numFmtId="0" fontId="0" fillId="8" borderId="0" pivotButton="0" quotePrefix="0" xfId="0"/>
    <xf numFmtId="0" fontId="37" fillId="8" borderId="0" applyAlignment="1" pivotButton="0" quotePrefix="0" xfId="0">
      <alignment horizontal="center"/>
    </xf>
    <xf numFmtId="0" fontId="53" fillId="0" borderId="0" pivotButton="0" quotePrefix="0" xfId="0"/>
    <xf numFmtId="0" fontId="68" fillId="18" borderId="0" pivotButton="0" quotePrefix="0" xfId="0"/>
    <xf numFmtId="0" fontId="0" fillId="18" borderId="0" pivotButton="0" quotePrefix="0" xfId="0"/>
    <xf numFmtId="0" fontId="55" fillId="0" borderId="0" pivotButton="0" quotePrefix="0" xfId="0"/>
    <xf numFmtId="0" fontId="43" fillId="18" borderId="0" pivotButton="0" quotePrefix="0" xfId="0"/>
    <xf numFmtId="0" fontId="69" fillId="18" borderId="0" applyAlignment="1" pivotButton="0" quotePrefix="0" xfId="0">
      <alignment wrapText="1"/>
    </xf>
    <xf numFmtId="0" fontId="66" fillId="0" borderId="0" pivotButton="0" quotePrefix="0" xfId="0"/>
    <xf numFmtId="0" fontId="67" fillId="0" borderId="0" pivotButton="0" quotePrefix="0" xfId="0"/>
    <xf numFmtId="0" fontId="55" fillId="14" borderId="5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34" fillId="20" borderId="1" applyAlignment="1" pivotButton="0" quotePrefix="0" xfId="0">
      <alignment vertical="center"/>
    </xf>
    <xf numFmtId="0" fontId="54" fillId="12" borderId="0" applyAlignment="1" pivotButton="0" quotePrefix="0" xfId="0">
      <alignment horizontal="center" vertical="center"/>
    </xf>
    <xf numFmtId="0" fontId="55" fillId="14" borderId="0" applyAlignment="1" pivotButton="0" quotePrefix="0" xfId="0">
      <alignment horizontal="center" vertical="center"/>
    </xf>
    <xf numFmtId="0" fontId="71" fillId="8" borderId="0" applyAlignment="1" pivotButton="0" quotePrefix="0" xfId="0">
      <alignment horizontal="center" vertical="center"/>
    </xf>
    <xf numFmtId="0" fontId="72" fillId="20" borderId="1" applyAlignment="1" pivotButton="0" quotePrefix="0" xfId="0">
      <alignment horizontal="center"/>
    </xf>
    <xf numFmtId="0" fontId="73" fillId="20" borderId="1" applyAlignment="1" pivotButton="0" quotePrefix="0" xfId="0">
      <alignment horizontal="center"/>
    </xf>
    <xf numFmtId="0" fontId="72" fillId="20" borderId="1" pivotButton="0" quotePrefix="0" xfId="0"/>
    <xf numFmtId="170" fontId="73" fillId="20" borderId="1" applyAlignment="1" pivotButton="0" quotePrefix="0" xfId="0">
      <alignment horizontal="right"/>
    </xf>
    <xf numFmtId="9" fontId="72" fillId="20" borderId="1" applyAlignment="1" pivotButton="0" quotePrefix="0" xfId="0">
      <alignment horizontal="center"/>
    </xf>
    <xf numFmtId="170" fontId="72" fillId="20" borderId="1" applyAlignment="1" pivotButton="0" quotePrefix="0" xfId="0">
      <alignment horizontal="right"/>
    </xf>
    <xf numFmtId="0" fontId="55" fillId="20" borderId="1" applyAlignment="1" pivotButton="0" quotePrefix="0" xfId="0">
      <alignment horizontal="center"/>
    </xf>
    <xf numFmtId="0" fontId="72" fillId="19" borderId="1" applyAlignment="1" pivotButton="0" quotePrefix="0" xfId="0">
      <alignment horizontal="center"/>
    </xf>
    <xf numFmtId="0" fontId="73" fillId="19" borderId="1" applyAlignment="1" pivotButton="0" quotePrefix="0" xfId="0">
      <alignment horizontal="center"/>
    </xf>
    <xf numFmtId="0" fontId="72" fillId="19" borderId="1" pivotButton="0" quotePrefix="0" xfId="0"/>
    <xf numFmtId="170" fontId="73" fillId="19" borderId="1" applyAlignment="1" pivotButton="0" quotePrefix="0" xfId="0">
      <alignment horizontal="right"/>
    </xf>
    <xf numFmtId="9" fontId="72" fillId="19" borderId="1" applyAlignment="1" pivotButton="0" quotePrefix="0" xfId="0">
      <alignment horizontal="center"/>
    </xf>
    <xf numFmtId="170" fontId="72" fillId="19" borderId="1" applyAlignment="1" pivotButton="0" quotePrefix="0" xfId="0">
      <alignment horizontal="right"/>
    </xf>
    <xf numFmtId="0" fontId="60" fillId="19" borderId="1" applyAlignment="1" pivotButton="0" quotePrefix="0" xfId="0">
      <alignment horizontal="center"/>
    </xf>
    <xf numFmtId="0" fontId="55" fillId="19" borderId="1" applyAlignment="1" pivotButton="0" quotePrefix="0" xfId="0">
      <alignment horizontal="center"/>
    </xf>
    <xf numFmtId="0" fontId="56" fillId="19" borderId="1" applyAlignment="1" pivotButton="0" quotePrefix="0" xfId="0">
      <alignment horizontal="center"/>
    </xf>
    <xf numFmtId="0" fontId="43" fillId="8" borderId="0" applyAlignment="1" pivotButton="0" quotePrefix="0" xfId="0">
      <alignment vertical="center" indent="1"/>
    </xf>
    <xf numFmtId="170" fontId="74" fillId="8" borderId="0" applyAlignment="1" pivotButton="0" quotePrefix="0" xfId="0">
      <alignment horizontal="right" vertical="center"/>
    </xf>
    <xf numFmtId="0" fontId="75" fillId="0" borderId="6" pivotButton="0" quotePrefix="0" xfId="0"/>
    <xf numFmtId="0" fontId="76" fillId="0" borderId="6" pivotButton="0" quotePrefix="0" xfId="0"/>
    <xf numFmtId="0" fontId="77" fillId="0" borderId="6" pivotButton="0" quotePrefix="0" xfId="0"/>
    <xf numFmtId="0" fontId="78" fillId="21" borderId="1" applyAlignment="1" pivotButton="0" quotePrefix="0" xfId="0">
      <alignment horizontal="center" vertical="center"/>
    </xf>
    <xf numFmtId="0" fontId="82" fillId="12" borderId="1" applyAlignment="1" pivotButton="0" quotePrefix="0" xfId="0">
      <alignment horizontal="center" vertical="center"/>
    </xf>
    <xf numFmtId="0" fontId="79" fillId="0" borderId="1" pivotButton="0" quotePrefix="0" xfId="0"/>
    <xf numFmtId="0" fontId="78" fillId="0" borderId="1" applyAlignment="1" pivotButton="0" quotePrefix="0" xfId="0">
      <alignment horizontal="right"/>
    </xf>
    <xf numFmtId="0" fontId="82" fillId="0" borderId="1" applyAlignment="1" pivotButton="0" quotePrefix="0" xfId="0">
      <alignment horizontal="right"/>
    </xf>
    <xf numFmtId="0" fontId="53" fillId="0" borderId="1" applyAlignment="1" pivotButton="0" quotePrefix="0" xfId="0">
      <alignment horizontal="right"/>
    </xf>
    <xf numFmtId="0" fontId="80" fillId="0" borderId="1" applyAlignment="1" pivotButton="0" quotePrefix="0" xfId="0">
      <alignment horizontal="right"/>
    </xf>
    <xf numFmtId="0" fontId="81" fillId="13" borderId="7" applyAlignment="1" pivotButton="0" quotePrefix="0" xfId="0">
      <alignment horizontal="center" vertical="center"/>
    </xf>
    <xf numFmtId="0" fontId="83" fillId="12" borderId="8" applyAlignment="1" pivotButton="0" quotePrefix="0" xfId="0">
      <alignment horizontal="center" vertical="center"/>
    </xf>
    <xf numFmtId="0" fontId="7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Aylık kaynak verilerini girin | Neden önemli: Ürünü doğru kullanmak için | Doğru kullanım: Sırayla izleyin</t>
      </text>
    </comment>
    <comment ref="A6" authorId="0" shapeId="0">
      <text>
        <t>Tanım: Adım 2 — Kredi listesini girin | Neden önemli: Ürünü doğru kullanmak için | Doğru kullanım: Sırayla izleyin</t>
      </text>
    </comment>
    <comment ref="A7" authorId="0" shapeId="0">
      <text>
        <t>Tanım: Adım 3 — KKEG hesabını izleyin | Neden önemli: Ürünü doğru kullanmak için | Doğru kullanım: Sırayla izleyin</t>
      </text>
    </comment>
    <comment ref="A8" authorId="0" shapeId="0">
      <text>
        <t>Tanım: Adım 4 — Karar ve rapor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Banka Kredisi kredi metriği | Neden önemli: KKEG hesabını gösterir | Doğru kullanım: Formüldür, değiştirilmez</t>
      </text>
    </comment>
    <comment ref="C6" authorId="0" shapeId="0">
      <text>
        <t>Tanım: Banka Kredisi kredi metriği | Neden önemli: KKEG hesabını gösterir | Doğru kullanım: Formüldür, değiştirilmez</t>
      </text>
    </comment>
    <comment ref="D6" authorId="0" shapeId="0">
      <text>
        <t>Tanım: Banka Kredisi kredi metriği | Neden önemli: KKEG hesabını gösterir | Doğru kullanım: Formüldür, değiştirilmez</t>
      </text>
    </comment>
    <comment ref="E6" authorId="0" shapeId="0">
      <text>
        <t>Tanım: Banka Kredisi kredi metriği | Neden önemli: KKEG hesabını gösterir | Doğru kullanım: Formüldür, değiştirilmez</t>
      </text>
    </comment>
    <comment ref="F6" authorId="0" shapeId="0">
      <text>
        <t>Tanım: Banka Kredisi kredi metriği | Neden önemli: KKEG hesabını gösterir | Doğru kullanım: Formüldür, değiştirilmez</t>
      </text>
    </comment>
    <comment ref="B7" authorId="0" shapeId="0">
      <text>
        <t>Tanım: Ortak Borcu kredi metriği | Neden önemli: KKEG hesabını gösterir | Doğru kullanım: Formüldür, değiştirilmez</t>
      </text>
    </comment>
    <comment ref="C7" authorId="0" shapeId="0">
      <text>
        <t>Tanım: Ortak Borcu kredi metriği | Neden önemli: KKEG hesabını gösterir | Doğru kullanım: Formüldür, değiştirilmez</t>
      </text>
    </comment>
    <comment ref="D7" authorId="0" shapeId="0">
      <text>
        <t>Tanım: Ortak Borcu kredi metriği | Neden önemli: KKEG hesabını gösterir | Doğru kullanım: Formüldür, değiştirilmez</t>
      </text>
    </comment>
    <comment ref="E7" authorId="0" shapeId="0">
      <text>
        <t>Tanım: Ortak Borcu kredi metriği | Neden önemli: KKEG hesabını gösterir | Doğru kullanım: Formüldür, değiştirilmez</t>
      </text>
    </comment>
    <comment ref="F7" authorId="0" shapeId="0">
      <text>
        <t>Tanım: Ortak Borcu kredi metriği | Neden önemli: KKEG hesabını gösterir | Doğru kullanım: Formüldür, değiştirilmez</t>
      </text>
    </comment>
    <comment ref="B8" authorId="0" shapeId="0">
      <text>
        <t>Tanım: Tahvil kredi metriği | Neden önemli: KKEG hesabını gösterir | Doğru kullanım: Formüldür, değiştirilmez</t>
      </text>
    </comment>
    <comment ref="C8" authorId="0" shapeId="0">
      <text>
        <t>Tanım: Tahvil kredi metriği | Neden önemli: KKEG hesabını gösterir | Doğru kullanım: Formüldür, değiştirilmez</t>
      </text>
    </comment>
    <comment ref="D8" authorId="0" shapeId="0">
      <text>
        <t>Tanım: Tahvil kredi metriği | Neden önemli: KKEG hesabını gösterir | Doğru kullanım: Formüldür, değiştirilmez</t>
      </text>
    </comment>
    <comment ref="E8" authorId="0" shapeId="0">
      <text>
        <t>Tanım: Tahvil kredi metriği | Neden önemli: KKEG hesabını gösterir | Doğru kullanım: Formüldür, değiştirilmez</t>
      </text>
    </comment>
    <comment ref="F8" authorId="0" shapeId="0">
      <text>
        <t>Tanım: Tahvil kredi metriği | Neden önemli: KKEG hesabını gösterir | Doğru kullanım: Formüldür, değiştirilmez</t>
      </text>
    </comment>
    <comment ref="B9" authorId="0" shapeId="0">
      <text>
        <t>Tanım: Finansal Kiralama kredi metriği | Neden önemli: KKEG hesabını gösterir | Doğru kullanım: Formüldür, değiştirilmez</t>
      </text>
    </comment>
    <comment ref="C9" authorId="0" shapeId="0">
      <text>
        <t>Tanım: Finansal Kiralama kredi metriği | Neden önemli: KKEG hesabını gösterir | Doğru kullanım: Formüldür, değiştirilmez</t>
      </text>
    </comment>
    <comment ref="D9" authorId="0" shapeId="0">
      <text>
        <t>Tanım: Finansal Kiralama kredi metriği | Neden önemli: KKEG hesabını gösterir | Doğru kullanım: Formüldür, değiştirilmez</t>
      </text>
    </comment>
    <comment ref="E9" authorId="0" shapeId="0">
      <text>
        <t>Tanım: Finansal Kiralama kredi metriği | Neden önemli: KKEG hesabını gösterir | Doğru kullanım: Formüldür, değiştirilmez</t>
      </text>
    </comment>
    <comment ref="F9" authorId="0" shapeId="0">
      <text>
        <t>Tanım: Finansal Kiralama kredi metriği | Neden önemli: KKEG hesabını gösterir | Doğru kullanım: Formüldür, değiştirilmez</t>
      </text>
    </comment>
    <comment ref="B10" authorId="0" shapeId="0">
      <text>
        <t>Tanım: Tedarikçi Borcu kredi metriği | Neden önemli: KKEG hesabını gösterir | Doğru kullanım: Formüldür, değiştirilmez</t>
      </text>
    </comment>
    <comment ref="C10" authorId="0" shapeId="0">
      <text>
        <t>Tanım: Tedarikçi Borcu kredi metriği | Neden önemli: KKEG hesabını gösterir | Doğru kullanım: Formüldür, değiştirilmez</t>
      </text>
    </comment>
    <comment ref="D10" authorId="0" shapeId="0">
      <text>
        <t>Tanım: Tedarikçi Borcu kredi metriği | Neden önemli: KKEG hesabını gösterir | Doğru kullanım: Formüldür, değiştirilmez</t>
      </text>
    </comment>
    <comment ref="E10" authorId="0" shapeId="0">
      <text>
        <t>Tanım: Tedarikçi Borcu kredi metriği | Neden önemli: KKEG hesabını gösterir | Doğru kullanım: Formüldür, değiştirilmez</t>
      </text>
    </comment>
    <comment ref="F10" authorId="0" shapeId="0">
      <text>
        <t>Tanım: Tedarikçi Borcu kredi metriği | Neden önemli: KKEG hesabını gösterir | Doğru kullanım: Formüldür, değiştirilmez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ay satırı var mı? | Neden önemli: Giriş kalitesini ölçer | Doğru kullanım: Formüldür, değiştirilmez | Yanlışsa: Kırmızı = düzeltin</t>
      </text>
    </comment>
    <comment ref="B7" authorId="0" shapeId="0">
      <text>
        <t>Tanım: Boş öz kaynak var mı? | Neden önemli: Giriş kalitesini ölçer | Doğru kullanım: Formüldür, değiştirilmez | Yanlışsa: Kırmızı = düzeltin</t>
      </text>
    </comment>
    <comment ref="B8" authorId="0" shapeId="0">
      <text>
        <t>Tanım: Negatif değer var mı? | Neden önemli: Giriş kalitesini ölçer | Doğru kullanım: Formüldür, değiştirilmez | Yanlışsa: Kırmızı = düzeltin</t>
      </text>
    </comment>
    <comment ref="B9" authorId="0" shapeId="0">
      <text>
        <t>Tanım: Yabancı kaynak sıfır mı? | Neden önemli: Giriş kalitesini ölçer | Doğru kullanım: Formüldür, değiştirilmez | Yanlışsa: Kırmızı = düzeltin</t>
      </text>
    </comment>
    <comment ref="B10" authorId="0" shapeId="0">
      <text>
        <t>Tanım: Kapsam dışı boş mu? | Neden önemli: Giriş kalitesini ölçer | Doğru kullanım: Formüldür, değiştirilmez | Yanlışsa: Kırmızı = düzeltin</t>
      </text>
    </comment>
    <comment ref="B11" authorId="0" shapeId="0">
      <text>
        <t>Tanım: Fark oranı eşikte mi? | Neden önemli: Giriş kalitesini ölçer | Doğru kullanım: Formüldür, değiştirilmez | Yanlışsa: Kırmızı = düzeltin</t>
      </text>
    </comment>
    <comment ref="B12" authorId="0" shapeId="0">
      <text>
        <t>Tanım: KKEG eşiği aşılıyor mu? | Neden önemli: Giriş kalitesini ölçer | Doğru kullanım: Formüldür, değiştirilmez | Yanlışsa: Kırmızı = düzeltin</t>
      </text>
    </comment>
    <comment ref="B13" authorId="0" shapeId="0">
      <text>
        <t>Tanım: Kapsamdaki gider eşikte mi? | Neden önemli: Giriş kalitesini ölçer | Doğru kullanım: Formüldür, değiştirilmez | Yanlışsa: Kırmızı = düzeltin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7" authorId="0" shapeId="0">
      <text>
        <t>Tanım: Kaynak türü | Neden önemli: Açılır listeyi besler | Doğru kullanım: Yeni tür için satır ekleyin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Kaynak türü | Neden önemli: Açılır listeyi besler | Doğru kullanım: Yeni tür için satır ekleyin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Kaynak türü | Neden önemli: Açılır listeyi besler | Doğru kullanım: Yeni tür için satır ekleyin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Kaynak türü | Neden önemli: Açılır listeyi besler | Doğru kullanım: Yeni tür için satır ekleyin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Kaynak türü | Neden önemli: Açılır listeyi besler | Doğru kullanım: Yeni tür için satır ekleyin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Panel satır numarası 1 | Neden önemli: PANO'daki aylık grafiği besler | Doğru kullanım: Tablodaki satır sırasını girin</t>
      </text>
    </comment>
    <comment ref="B30" authorId="0" shapeId="0">
      <text>
        <t>Tanım: Panel satır numarası 2 | Neden önemli: PANO'daki aylık grafiği besler | Doğru kullanım: Tablodaki satır sırasını girin</t>
      </text>
    </comment>
    <comment ref="B31" authorId="0" shapeId="0">
      <text>
        <t>Tanım: Panel satır numarası 3 | Neden önemli: PANO'daki aylık grafiği besler | Doğru kullanım: Tablodaki satır sırasını girin</t>
      </text>
    </comment>
    <comment ref="B32" authorId="0" shapeId="0">
      <text>
        <t>Tanım: Panel satır numarası 4 | Neden önemli: PANO'daki aylık grafiği besler | Doğru kullanım: Tablodaki satır sırasını girin</t>
      </text>
    </comment>
    <comment ref="B33" authorId="0" shapeId="0">
      <text>
        <t>Tanım: Panel satır numarası 5 | Neden önemli: PANO'daki aylık grafiği besler | Doğru kullanım: Tablodaki satır sırasını girin</t>
      </text>
    </comment>
    <comment ref="B34" authorId="0" shapeId="0">
      <text>
        <t>Tanım: Panel satır numarası 6 | Neden önemli: PANO'daki aylık grafiği besler | Doğru kullanım: Tablodaki satır sırasını girin</t>
      </text>
    </comment>
    <comment ref="B35" authorId="0" shapeId="0">
      <text>
        <t>Tanım: Panel satır numarası 7 | Neden önemli: PANO'daki aylık grafiği besler | Doğru kullanım: Tablodaki satır sırasını girin</t>
      </text>
    </comment>
    <comment ref="B36" authorId="0" shapeId="0">
      <text>
        <t>Tanım: Panel satır numarası 8 | Neden önemli: PANO'daki aylık grafiği besler | Doğru kullanım: Tablodaki satır sırasını girin</t>
      </text>
    </comment>
    <comment ref="B37" authorId="0" shapeId="0">
      <text>
        <t>Tanım: Panel satır numarası 9 | Neden önemli: PANO'daki aylık grafiği besler | Doğru kullanım: Tablodaki satır sırasını girin</t>
      </text>
    </comment>
    <comment ref="B38" authorId="0" shapeId="0">
      <text>
        <t>Tanım: Panel satır numarası 10 | Neden önemli: PANO'daki aylık grafiği besler | Doğru kullanım: Tablodaki satır sırasını girin</t>
      </text>
    </comment>
    <comment ref="B39" authorId="0" shapeId="0">
      <text>
        <t>Tanım: Panel satır numarası 11 | Neden önemli: PANO'daki aylık grafiği besler | Doğru kullanım: Tablodaki satır sırasını girin</t>
      </text>
    </comment>
    <comment ref="B40" authorId="0" shapeId="0">
      <text>
        <t>Tanım: Panel satır numarası 12 | Neden önemli: PANO'daki aylık grafiği besler | Doğru kullanım: Tablodaki satır sırasını girin</t>
      </text>
    </comment>
    <comment ref="B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tables/table1.xml><?xml version="1.0" encoding="utf-8"?>
<table xmlns="http://schemas.openxmlformats.org/spreadsheetml/2006/main" id="1" name="tblDonem" displayName="tblDonem" ref="A5:H1004" headerRowCount="1" totalsRowCount="0" totalsRowShown="0">
  <tableColumns count="8">
    <tableColumn id="1" name="Ay"/>
    <tableColumn id="2" name="Öz Kaynak (₺)"/>
    <tableColumn id="3" name="Yabancı Kaynak (₺)"/>
    <tableColumn id="4" name="Finansman Gideri (₺)"/>
    <tableColumn id="5" name="Kur Farkı Gideri (₺)"/>
    <tableColumn id="6" name="Kapsam Dışı Gider (₺)"/>
    <tableColumn id="7" name="Kapsamdaki Gider (₺)">
      <calculatedColumnFormula>=IF(tblDonem[[#This Row],[Ay]]="","",MAX(0,tblDonem[[#This Row],[Finansman Gideri (₺)]]+tblDonem[[#This Row],[Kur Farkı Gideri (₺)]]-tblDonem[[#This Row],[Kapsam Dışı Gider (₺)]]))</calculatedColumnFormula>
    </tableColumn>
    <tableColumn id="8" name="Yabancı-Öz Kaynak Farkı (₺)">
      <calculatedColumnFormula>=IF(tblDonem[[#This Row],[Ay]]="","",MAX(0,tblDonem[[#This Row],[Yabancı Kaynak (₺)]]-tblDonem[[#This Row],[Öz Kaynak (₺)]]))</calculatedColumnFormula>
    </tableColumn>
  </tableColumns>
</table>
</file>

<file path=xl/tables/table2.xml><?xml version="1.0" encoding="utf-8"?>
<table xmlns="http://schemas.openxmlformats.org/spreadsheetml/2006/main" id="2" name="tblKredi" displayName="tblKredi" ref="A5:K1004" headerRowCount="1" totalsRowCount="0" totalsRowShown="0">
  <tableColumns count="11">
    <tableColumn id="1" name="Kredi Numarası"/>
    <tableColumn id="2" name="Kaynak Türü"/>
    <tableColumn id="3" name="Kullanım Tarihi"/>
    <tableColumn id="4" name="Vade Tarihi"/>
    <tableColumn id="5" name="Kredi Tutarı (₺)"/>
    <tableColumn id="6" name="Yıllık Faiz Oranı"/>
    <tableColumn id="7" name="Dönem Finansman Gideri (₺)"/>
    <tableColumn id="8" name="Kapsam Dışı mı?"/>
    <tableColumn id="9" name="Açıklama"/>
    <tableColumn id="10" name="Vade Günü">
      <calculatedColumnFormula>=IF(tblKredi[[#This Row],[Kredi Numarası]]="","",IFERROR(tblKredi[[#This Row],[Vade Tarihi]]-tblKredi[[#This Row],[Kullanım Tarihi]],0))</calculatedColumnFormula>
    </tableColumn>
    <tableColumn id="11" name="Kapsamdaki Gider (₺)">
      <calculatedColumnFormula>=IF(tblKredi[[#This Row],[Kredi Numarası]]="","",IF(tblKredi[[#This Row],[Kapsam Dışı mı?]]="Evet",0,tblKredi[[#This Row],[Dönem Finansman Gideri (₺)]]))</calculatedColumnFormula>
    </tableColumn>
  </tableColumns>
</table>
</file>

<file path=xl/tables/table3.xml><?xml version="1.0" encoding="utf-8"?>
<table xmlns="http://schemas.openxmlformats.org/spreadsheetml/2006/main" id="3" name="tblOrnekDonem" displayName="tblOrnekDonem" ref="A5:H1004" headerRowCount="1" totalsRowCount="0" totalsRowShown="0">
  <tableColumns count="8">
    <tableColumn id="1" name="Ay"/>
    <tableColumn id="2" name="Öz Kaynak (₺)"/>
    <tableColumn id="3" name="Yabancı Kaynak (₺)"/>
    <tableColumn id="4" name="Finansman Gideri (₺)"/>
    <tableColumn id="5" name="Kur Farkı Gideri (₺)"/>
    <tableColumn id="6" name="Kapsam Dışı Gider (₺)"/>
    <tableColumn id="7" name="Kapsamdaki Gider (₺)">
      <calculatedColumnFormula>=IF(tblOrnekDonem[[#This Row],[Ay]]="","",MAX(0,tblOrnekDonem[[#This Row],[Finansman Gideri (₺)]]+tblOrnekDonem[[#This Row],[Kur Farkı Gideri (₺)]]-tblOrnekDonem[[#This Row],[Kapsam Dışı Gider (₺)]]))</calculatedColumnFormula>
    </tableColumn>
    <tableColumn id="8" name="Yabancı-Öz Kaynak Farkı (₺)">
      <calculatedColumnFormula>=IF(tblOrnekDonem[[#This Row],[Ay]]="","",MAX(0,tblOrnekDonem[[#This Row],[Yabancı Kaynak (₺)]]-tblOrnekDonem[[#This Row],[Öz Kaynak (₺)]]))</calculatedColumnFormula>
    </tableColumn>
  </tableColumns>
</table>
</file>

<file path=xl/tables/table4.xml><?xml version="1.0" encoding="utf-8"?>
<table xmlns="http://schemas.openxmlformats.org/spreadsheetml/2006/main" id="4" name="tblOrnekKredi" displayName="tblOrnekKredi" ref="J5:R1004" headerRowCount="1" totalsRowCount="0" totalsRowShown="0">
  <tableColumns count="9">
    <tableColumn id="1" name="Kredi Numarası"/>
    <tableColumn id="2" name="Kaynak Türü"/>
    <tableColumn id="3" name="Kredi Tutarı (₺)"/>
    <tableColumn id="4" name="Yıllık Faiz Oranı"/>
    <tableColumn id="5" name="Dönem Gideri (₺)"/>
    <tableColumn id="6" name="Kapsam Dışı mı?"/>
    <tableColumn id="7" name="Vade Günü">
      <calculatedColumnFormula>=IF(tblOrnekKredi[[#This Row],[Kredi Numarası]]="","",365)</calculatedColumnFormula>
    </tableColumn>
    <tableColumn id="8" name="Kapsamdaki Gider (₺)">
      <calculatedColumnFormula>=IF(tblOrnekKredi[[#This Row],[Kredi Numarası]]="","",IF(tblOrnekKredi[[#This Row],[Kapsam Dışı mı?]]="Evet",0,tblOrnekKredi[[#This Row],[Dönem Gideri (₺)]]))</calculatedColumnFormula>
    </tableColumn>
    <tableColumn id="9" name="Açıklam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style="78" min="1" max="1"/>
    <col width="18" customWidth="1" style="78" min="2" max="2"/>
    <col width="15" customWidth="1" style="78" min="3" max="3"/>
    <col width="12" customWidth="1" style="78" min="4" max="4"/>
    <col width="16" customWidth="1" style="78" min="5" max="5"/>
    <col width="18" customWidth="1" style="78" min="6" max="6"/>
    <col width="6" customWidth="1" style="78" min="7" max="7"/>
    <col width="24" customWidth="1" style="78" min="8" max="8"/>
    <col width="15" customWidth="1" style="78" min="9" max="9"/>
    <col width="14" customWidth="1" style="78" min="10" max="10"/>
    <col width="12" customWidth="1" style="78" min="11" max="11"/>
    <col width="18" customWidth="1" style="78" min="12" max="12"/>
    <col width="18" customWidth="1" style="78" min="13" max="13"/>
  </cols>
  <sheetData>
    <row r="2">
      <c r="B2" s="175" t="inlineStr">
        <is>
          <t>KKEG VE FINANSMAN GIDER KISITLAMASI VERGI SAVUNMA SETI — YÖNETİM VE KARAR SİSTEMİ</t>
        </is>
      </c>
      <c r="L2" s="176" t="inlineStr">
        <is>
          <t>Dönem: 2026 / Tam ▼</t>
        </is>
      </c>
      <c r="M2" s="177" t="inlineStr">
        <is>
          <t>★ DOĞRULANMIŞ</t>
        </is>
      </c>
    </row>
    <row r="3">
      <c r="B3" s="178" t="inlineStr">
        <is>
          <t>Yönetici Karar Kokpiti, Otomatik Doğrulama ve Dinamik Hesaplama Sistemi · 2026</t>
        </is>
      </c>
    </row>
    <row r="5">
      <c r="B5" s="179" t="inlineStr">
        <is>
          <t>TOPLAM İŞLEM HACMİ</t>
        </is>
      </c>
      <c r="C5" s="180" t="n"/>
      <c r="D5" s="181" t="inlineStr">
        <is>
          <t>DOĞRULANMIŞ</t>
        </is>
      </c>
      <c r="E5" s="182" t="inlineStr">
        <is>
          <t>RİSKLİ / BEKLEYEN İŞLEM</t>
        </is>
      </c>
      <c r="F5" s="180" t="n"/>
      <c r="G5" s="183" t="inlineStr">
        <is>
          <t>MİNİMUM</t>
        </is>
      </c>
      <c r="H5" s="179" t="inlineStr">
        <is>
          <t>OPERASYONEL NET MARJ</t>
        </is>
      </c>
      <c r="I5" s="180" t="n"/>
      <c r="J5" s="184" t="inlineStr">
        <is>
          <t>GÜVENLİ</t>
        </is>
      </c>
      <c r="K5" s="185" t="inlineStr">
        <is>
          <t>SİSTEM GÜVEN SKORU</t>
        </is>
      </c>
      <c r="L5" s="180" t="n"/>
      <c r="M5" s="181" t="inlineStr">
        <is>
          <t>DENETLENDİ</t>
        </is>
      </c>
    </row>
    <row r="6">
      <c r="B6" s="186" t="n"/>
      <c r="C6" s="180" t="n"/>
      <c r="D6" s="180" t="n"/>
      <c r="E6" s="187" t="n"/>
      <c r="F6" s="180" t="n"/>
      <c r="G6" s="180" t="n"/>
      <c r="H6" s="186" t="n"/>
      <c r="I6" s="180" t="n"/>
      <c r="J6" s="180" t="n"/>
      <c r="K6" s="188" t="n"/>
      <c r="L6" s="180" t="n"/>
      <c r="M6" s="180" t="n"/>
    </row>
    <row r="7">
      <c r="B7" s="189" t="inlineStr">
        <is>
          <t>₺28.450.000</t>
        </is>
      </c>
      <c r="C7" s="180" t="n"/>
      <c r="D7" s="180" t="n"/>
      <c r="E7" s="190" t="inlineStr">
        <is>
          <t>₺940.000</t>
        </is>
      </c>
      <c r="F7" s="180" t="n"/>
      <c r="G7" s="180" t="n"/>
      <c r="H7" s="189" t="inlineStr">
        <is>
          <t>₺8.120.000</t>
        </is>
      </c>
      <c r="I7" s="180" t="n"/>
      <c r="J7" s="180" t="n"/>
      <c r="K7" s="191" t="inlineStr">
        <is>
          <t>98/100</t>
        </is>
      </c>
      <c r="L7" s="180" t="n"/>
      <c r="M7" s="180" t="n"/>
    </row>
    <row r="8">
      <c r="B8" s="186" t="n"/>
      <c r="C8" s="180" t="n"/>
      <c r="D8" s="180" t="n"/>
      <c r="E8" s="187" t="n"/>
      <c r="F8" s="180" t="n"/>
      <c r="G8" s="180" t="n"/>
      <c r="H8" s="186" t="n"/>
      <c r="I8" s="180" t="n"/>
      <c r="J8" s="180" t="n"/>
      <c r="K8" s="188" t="n"/>
      <c r="L8" s="180" t="n"/>
      <c r="M8" s="180" t="n"/>
    </row>
    <row r="9">
      <c r="B9" s="192" t="inlineStr">
        <is>
          <t>↑ Konsolide yıllıklandırılmış büyüme</t>
        </is>
      </c>
      <c r="C9" s="180" t="n"/>
      <c r="D9" s="180" t="n"/>
      <c r="E9" s="193" t="inlineStr">
        <is>
          <t>● Tüm riskli kayıtlar kontrol altında</t>
        </is>
      </c>
      <c r="F9" s="180" t="n"/>
      <c r="G9" s="180" t="n"/>
      <c r="H9" s="192" t="inlineStr">
        <is>
          <t>██████████░░░░░ %28.5 NET MARJ</t>
        </is>
      </c>
      <c r="I9" s="180" t="n"/>
      <c r="J9" s="180" t="n"/>
      <c r="K9" s="194" t="inlineStr">
        <is>
          <t>✓ 0 Formül ve Döngüsel Hata</t>
        </is>
      </c>
      <c r="L9" s="180" t="n"/>
      <c r="M9" s="180" t="n"/>
    </row>
    <row r="11">
      <c r="B11" s="102" t="inlineStr">
        <is>
          <t>12 AYLIK NAKİT GİRİŞ / ÇIKIŞ &amp; LİKİDİTE BAŞARIMI</t>
        </is>
      </c>
      <c r="F11" s="195" t="inlineStr">
        <is>
          <t>+%32 Verim</t>
        </is>
      </c>
      <c r="H11" s="102" t="inlineStr">
        <is>
          <t>KONSOLİDE OPERASYON VE KARAR MATRİSİ</t>
        </is>
      </c>
    </row>
    <row r="12">
      <c r="B12" s="101" t="inlineStr">
        <is>
          <t>Kümülatif Tahsilat vs. Tedarikçi/Kredi Ödeme Projeksiyonu</t>
        </is>
      </c>
      <c r="H12" s="101" t="inlineStr">
        <is>
          <t>Anlık Hesaplama Sonuçları, Dinamik Formül Çıktıları ve Durum Puanlaması</t>
        </is>
      </c>
    </row>
    <row r="14">
      <c r="B14" s="196" t="inlineStr">
        <is>
          <t>Dönem</t>
        </is>
      </c>
      <c r="C14" s="196" t="inlineStr">
        <is>
          <t>Aktif Hacim</t>
        </is>
      </c>
      <c r="D14" s="196" t="inlineStr">
        <is>
          <t>Maliyet/Yük</t>
        </is>
      </c>
      <c r="E14" s="196" t="inlineStr">
        <is>
          <t>Hedef</t>
        </is>
      </c>
      <c r="H14" s="197" t="inlineStr">
        <is>
          <t>PARAMETRE / KALEM</t>
        </is>
      </c>
      <c r="I14" s="197" t="inlineStr">
        <is>
          <t>ANA TUTAR</t>
        </is>
      </c>
      <c r="J14" s="197" t="inlineStr">
        <is>
          <t>FARK / MARJ</t>
        </is>
      </c>
      <c r="K14" s="197" t="inlineStr">
        <is>
          <t>VADE</t>
        </is>
      </c>
      <c r="L14" s="197" t="inlineStr">
        <is>
          <t>KONTROL DURUMU</t>
        </is>
      </c>
    </row>
    <row r="15">
      <c r="B15" s="101" t="inlineStr">
        <is>
          <t>D1</t>
        </is>
      </c>
      <c r="C15" s="101" t="n">
        <v>65</v>
      </c>
      <c r="D15" s="101" t="n">
        <v>45</v>
      </c>
      <c r="E15" s="101" t="n">
        <v>60</v>
      </c>
      <c r="H15" s="198" t="inlineStr">
        <is>
          <t>13 haftalık kümülatif bakiye...</t>
        </is>
      </c>
      <c r="I15" s="198" t="inlineStr">
        <is>
          <t>₺8.450.000</t>
        </is>
      </c>
      <c r="J15" s="199" t="inlineStr">
        <is>
          <t>₺425.000</t>
        </is>
      </c>
      <c r="K15" s="200" t="inlineStr">
        <is>
          <t>12 Ay</t>
        </is>
      </c>
      <c r="L15" s="184" t="inlineStr">
        <is>
          <t>✓ DÜZENLİ</t>
        </is>
      </c>
    </row>
    <row r="16">
      <c r="B16" s="101" t="inlineStr">
        <is>
          <t>D2</t>
        </is>
      </c>
      <c r="C16" s="101" t="n">
        <v>78</v>
      </c>
      <c r="D16" s="101" t="n">
        <v>48</v>
      </c>
      <c r="E16" s="101" t="n">
        <v>70</v>
      </c>
      <c r="H16" s="198" t="inlineStr">
        <is>
          <t>Kritik (eksi) hafta uyarısı</t>
        </is>
      </c>
      <c r="I16" s="198" t="inlineStr">
        <is>
          <t>₺12.200.000</t>
        </is>
      </c>
      <c r="J16" s="199" t="inlineStr">
        <is>
          <t>₺580.400</t>
        </is>
      </c>
      <c r="K16" s="200" t="inlineStr">
        <is>
          <t>24 Ay</t>
        </is>
      </c>
      <c r="L16" s="181" t="inlineStr">
        <is>
          <t>★ AVANTAJ</t>
        </is>
      </c>
    </row>
    <row r="17">
      <c r="B17" s="101" t="inlineStr">
        <is>
          <t>D3</t>
        </is>
      </c>
      <c r="C17" s="101" t="n">
        <v>85</v>
      </c>
      <c r="D17" s="101" t="n">
        <v>55</v>
      </c>
      <c r="E17" s="101" t="n">
        <v>80</v>
      </c>
      <c r="H17" s="198" t="inlineStr">
        <is>
          <t>Dönem net nakit değişimi</t>
        </is>
      </c>
      <c r="I17" s="198" t="inlineStr">
        <is>
          <t>₺4.850.000</t>
        </is>
      </c>
      <c r="J17" s="199" t="inlineStr">
        <is>
          <t>₺235.200</t>
        </is>
      </c>
      <c r="K17" s="200" t="inlineStr">
        <is>
          <t>8 Ay</t>
        </is>
      </c>
      <c r="L17" s="201" t="inlineStr">
        <is>
          <t>● YAKLAŞAN</t>
        </is>
      </c>
    </row>
    <row r="18">
      <c r="B18" s="101" t="inlineStr">
        <is>
          <t>D4</t>
        </is>
      </c>
      <c r="C18" s="101" t="n">
        <v>75</v>
      </c>
      <c r="D18" s="101" t="n">
        <v>42</v>
      </c>
      <c r="E18" s="101" t="n">
        <v>75</v>
      </c>
      <c r="H18" s="198" t="inlineStr">
        <is>
          <t>13 haftalık kümülatif bakiye...</t>
        </is>
      </c>
      <c r="I18" s="198" t="inlineStr">
        <is>
          <t>₺2.140.000</t>
        </is>
      </c>
      <c r="J18" s="199" t="inlineStr">
        <is>
          <t>₺118.000</t>
        </is>
      </c>
      <c r="K18" s="200" t="inlineStr">
        <is>
          <t>16 Ay</t>
        </is>
      </c>
      <c r="L18" s="184" t="inlineStr">
        <is>
          <t>✓ TAM UYUM</t>
        </is>
      </c>
    </row>
    <row r="19">
      <c r="B19" s="101" t="inlineStr">
        <is>
          <t>D5</t>
        </is>
      </c>
      <c r="C19" s="101" t="n">
        <v>90</v>
      </c>
      <c r="D19" s="101" t="n">
        <v>40</v>
      </c>
      <c r="E19" s="101" t="n">
        <v>85</v>
      </c>
      <c r="H19" s="202" t="inlineStr">
        <is>
          <t>KONSOLİDE SİSTEM TOPLAMI</t>
        </is>
      </c>
      <c r="I19" s="203" t="inlineStr">
        <is>
          <t>₺42.850.000</t>
        </is>
      </c>
      <c r="J19" s="204" t="inlineStr">
        <is>
          <t>₺3.420.000</t>
        </is>
      </c>
      <c r="K19" s="205" t="inlineStr"/>
      <c r="L19" s="206" t="inlineStr">
        <is>
          <t>TAM DOĞRULANDI (0 HATA)</t>
        </is>
      </c>
    </row>
    <row r="20">
      <c r="B20" s="101" t="inlineStr">
        <is>
          <t>D6</t>
        </is>
      </c>
      <c r="C20" s="101" t="n">
        <v>96</v>
      </c>
      <c r="D20" s="101" t="n">
        <v>32</v>
      </c>
      <c r="E20" s="101" t="n">
        <v>92</v>
      </c>
    </row>
    <row r="22">
      <c r="B22" s="207" t="inlineStr">
        <is>
          <t>KONSOLİDE PAY VE AĞIRLIK</t>
        </is>
      </c>
      <c r="F22" s="207" t="inlineStr">
        <is>
          <t>LİKİDİTE RİSKİ &amp; ERKEN UYARI SİNYALLERİ</t>
        </is>
      </c>
      <c r="K22" s="208" t="inlineStr">
        <is>
          <t>KARAR MOTORU</t>
        </is>
      </c>
      <c r="L22" s="209" t="n"/>
      <c r="M22" s="209" t="n"/>
    </row>
    <row r="23">
      <c r="B23" s="86" t="inlineStr">
        <is>
          <t>■ Ana Segment (%42)</t>
        </is>
      </c>
      <c r="F23" s="101" t="inlineStr">
        <is>
          <t>Nakit Açığı Riski (30 Gün)</t>
        </is>
      </c>
      <c r="I23" s="210" t="inlineStr">
        <is>
          <t>0.00 TL (Sıfır Risk)</t>
        </is>
      </c>
      <c r="K23" s="211" t="inlineStr">
        <is>
          <t>OPERASYONEL VERİMLİLİK FIRSATI</t>
        </is>
      </c>
      <c r="L23" s="209" t="n"/>
      <c r="M23" s="209" t="n"/>
    </row>
    <row r="24">
      <c r="B24" s="87" t="inlineStr">
        <is>
          <t>■ İkincil Grup (%30)</t>
        </is>
      </c>
      <c r="F24" s="101" t="inlineStr">
        <is>
          <t>Tahsilat Gecikme Toleransı</t>
        </is>
      </c>
      <c r="I24" s="210" t="inlineStr">
        <is>
          <t>48 Gün Güvenli Eşik</t>
        </is>
      </c>
      <c r="K24" s="212" t="inlineStr">
        <is>
          <t>Süreç optimizasyonuyla birim operasyonel maliyeti düşürme potansiyeli mevcuttur.</t>
        </is>
      </c>
    </row>
    <row r="25">
      <c r="B25" s="213" t="inlineStr">
        <is>
          <t>■ Destek Birimi (%15)</t>
        </is>
      </c>
      <c r="F25" s="86" t="inlineStr">
        <is>
          <t>██████████████████████████████████████ Güvenli Bölge (%100)</t>
        </is>
      </c>
    </row>
    <row r="26">
      <c r="B26" s="214" t="inlineStr">
        <is>
          <t>■ Rezervler (%13)</t>
        </is>
      </c>
      <c r="F26" s="215" t="inlineStr">
        <is>
          <t>✓ 90 GÜNLÜK PROJEKSİYONDA NAKİT SIKIŞIKLIĞI TESPİT EDİLMEDİ</t>
        </is>
      </c>
      <c r="K26" s="216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style="78" min="1" max="1"/>
    <col width="14" customWidth="1" style="78" min="2" max="2"/>
    <col width="16" customWidth="1" style="78" min="3" max="3"/>
    <col width="32" customWidth="1" style="78" min="4" max="4"/>
    <col width="18" customWidth="1" style="78" min="5" max="5"/>
    <col width="12" customWidth="1" style="78" min="6" max="6"/>
    <col width="18" customWidth="1" style="78" min="7" max="7"/>
    <col width="22" customWidth="1" style="78" min="8" max="8"/>
    <col width="16" customWidth="1" style="78" min="9" max="9"/>
  </cols>
  <sheetData>
    <row r="3">
      <c r="B3" s="217" t="inlineStr">
        <is>
          <t>🔍  Kayıt veya hesap ara...</t>
        </is>
      </c>
      <c r="G3" s="218" t="inlineStr">
        <is>
          <t>TOPLAM: 1.450 KAYIT</t>
        </is>
      </c>
      <c r="I3" s="219" t="inlineStr">
        <is>
          <t>HATALI HÜCRE: 0 ADET</t>
        </is>
      </c>
    </row>
    <row r="5">
      <c r="B5" s="220" t="inlineStr">
        <is>
          <t>TARİH</t>
        </is>
      </c>
      <c r="C5" s="220" t="inlineStr">
        <is>
          <t>REFERANS NO</t>
        </is>
      </c>
      <c r="D5" s="220" t="inlineStr">
        <is>
          <t>İŞLEM AÇIKLAMASI VE DETAY</t>
        </is>
      </c>
      <c r="E5" s="220" t="inlineStr">
        <is>
          <t>BRÜT TUTAR (₺)</t>
        </is>
      </c>
      <c r="F5" s="220" t="inlineStr">
        <is>
          <t>KDV ORANI</t>
        </is>
      </c>
      <c r="G5" s="220" t="inlineStr">
        <is>
          <t>NET TUTAR (₺)</t>
        </is>
      </c>
      <c r="H5" s="220" t="inlineStr">
        <is>
          <t>HESAP / CARİ</t>
        </is>
      </c>
      <c r="I5" s="220" t="inlineStr">
        <is>
          <t>DURUM</t>
        </is>
      </c>
    </row>
    <row r="6">
      <c r="B6" s="221" t="inlineStr">
        <is>
          <t>12.10.2026</t>
        </is>
      </c>
      <c r="C6" s="222" t="inlineStr">
        <is>
          <t>TR-0428-A</t>
        </is>
      </c>
      <c r="D6" s="223" t="inlineStr">
        <is>
          <t>Haftalık nakit girişi tahmini</t>
        </is>
      </c>
      <c r="E6" s="224" t="n">
        <v>845200</v>
      </c>
      <c r="F6" s="225" t="n">
        <v>0.2</v>
      </c>
      <c r="G6" s="226">
        <f>E6/(1+F6)</f>
        <v/>
      </c>
      <c r="H6" s="223" t="inlineStr">
        <is>
          <t>Vadesiz Ticari</t>
        </is>
      </c>
      <c r="I6" s="227" t="inlineStr">
        <is>
          <t>ONAYLANDI</t>
        </is>
      </c>
    </row>
    <row r="7">
      <c r="B7" s="228" t="inlineStr">
        <is>
          <t>14.10.2026</t>
        </is>
      </c>
      <c r="C7" s="229" t="inlineStr">
        <is>
          <t>TR-0429-B</t>
        </is>
      </c>
      <c r="D7" s="230" t="inlineStr">
        <is>
          <t>Haftalık nakit çıkışı tahmini</t>
        </is>
      </c>
      <c r="E7" s="231" t="n">
        <v>1240000</v>
      </c>
      <c r="F7" s="232" t="n">
        <v>0.2</v>
      </c>
      <c r="G7" s="233">
        <f>E7/(1+F7)</f>
        <v/>
      </c>
      <c r="H7" s="230" t="inlineStr">
        <is>
          <t>Tedarikçi Havuzu</t>
        </is>
      </c>
      <c r="I7" s="234" t="inlineStr">
        <is>
          <t>BEKLEMEDE</t>
        </is>
      </c>
    </row>
    <row r="8">
      <c r="B8" s="221" t="inlineStr">
        <is>
          <t>18.10.2026</t>
        </is>
      </c>
      <c r="C8" s="222" t="inlineStr">
        <is>
          <t>TR-0430-C</t>
        </is>
      </c>
      <c r="D8" s="223" t="inlineStr">
        <is>
          <t>Ödeme takvimi notları</t>
        </is>
      </c>
      <c r="E8" s="224" t="n">
        <v>620500</v>
      </c>
      <c r="F8" s="225" t="n">
        <v>0.1</v>
      </c>
      <c r="G8" s="226">
        <f>E8/(1+F8)</f>
        <v/>
      </c>
      <c r="H8" s="223" t="inlineStr">
        <is>
          <t>Kısa Vade Tahakkuk</t>
        </is>
      </c>
      <c r="I8" s="227" t="inlineStr">
        <is>
          <t>ONAYLANDI</t>
        </is>
      </c>
    </row>
    <row r="9">
      <c r="B9" s="228" t="inlineStr">
        <is>
          <t>21.10.2026</t>
        </is>
      </c>
      <c r="C9" s="229" t="inlineStr">
        <is>
          <t>TR-0431-D</t>
        </is>
      </c>
      <c r="D9" s="230" t="inlineStr">
        <is>
          <t>Haftalık nakit girişi tahmini</t>
        </is>
      </c>
      <c r="E9" s="231" t="n">
        <v>415000</v>
      </c>
      <c r="F9" s="232" t="n">
        <v>0.2</v>
      </c>
      <c r="G9" s="233">
        <f>E9/(1+F9)</f>
        <v/>
      </c>
      <c r="H9" s="230" t="inlineStr">
        <is>
          <t>Müşteri Alacağı</t>
        </is>
      </c>
      <c r="I9" s="235" t="inlineStr">
        <is>
          <t>ONAYLANDI</t>
        </is>
      </c>
    </row>
    <row r="10">
      <c r="B10" s="221" t="inlineStr">
        <is>
          <t>25.10.2026</t>
        </is>
      </c>
      <c r="C10" s="222" t="inlineStr">
        <is>
          <t>TR-0432-E</t>
        </is>
      </c>
      <c r="D10" s="223" t="inlineStr">
        <is>
          <t>Haftalık nakit girişi tahmini</t>
        </is>
      </c>
      <c r="E10" s="224" t="n">
        <v>980400</v>
      </c>
      <c r="F10" s="225" t="n">
        <v>0.2</v>
      </c>
      <c r="G10" s="226">
        <f>E10/(1+F10)</f>
        <v/>
      </c>
      <c r="H10" s="223" t="inlineStr">
        <is>
          <t>Vadesiz Ticari</t>
        </is>
      </c>
      <c r="I10" s="227" t="inlineStr">
        <is>
          <t>ONAYLANDI</t>
        </is>
      </c>
    </row>
    <row r="11">
      <c r="B11" s="228" t="inlineStr">
        <is>
          <t>28.10.2026</t>
        </is>
      </c>
      <c r="C11" s="229" t="inlineStr">
        <is>
          <t>TR-0433-F</t>
        </is>
      </c>
      <c r="D11" s="230" t="inlineStr">
        <is>
          <t>Haftalık nakit çıkışı tahmini</t>
        </is>
      </c>
      <c r="E11" s="231" t="n">
        <v>1850000</v>
      </c>
      <c r="F11" s="232" t="n">
        <v>0.2</v>
      </c>
      <c r="G11" s="233">
        <f>E11/(1+F11)</f>
        <v/>
      </c>
      <c r="H11" s="230" t="inlineStr">
        <is>
          <t>Banka Kredi Taksiti</t>
        </is>
      </c>
      <c r="I11" s="236" t="inlineStr">
        <is>
          <t>BLOKE</t>
        </is>
      </c>
    </row>
    <row r="12">
      <c r="B12" s="221" t="inlineStr">
        <is>
          <t>02.11.2026</t>
        </is>
      </c>
      <c r="C12" s="222" t="inlineStr">
        <is>
          <t>TR-0434-G</t>
        </is>
      </c>
      <c r="D12" s="223" t="inlineStr">
        <is>
          <t>Ödeme takvimi notları</t>
        </is>
      </c>
      <c r="E12" s="224" t="n">
        <v>740000</v>
      </c>
      <c r="F12" s="225" t="n">
        <v>0.2</v>
      </c>
      <c r="G12" s="226">
        <f>E12/(1+F12)</f>
        <v/>
      </c>
      <c r="H12" s="223" t="inlineStr">
        <is>
          <t>Kira &amp; Sabit Gider</t>
        </is>
      </c>
      <c r="I12" s="227" t="inlineStr">
        <is>
          <t>ONAYLANDI</t>
        </is>
      </c>
    </row>
    <row r="13">
      <c r="B13" s="228" t="inlineStr">
        <is>
          <t>05.11.2026</t>
        </is>
      </c>
      <c r="C13" s="229" t="inlineStr">
        <is>
          <t>TR-0435-H</t>
        </is>
      </c>
      <c r="D13" s="230" t="inlineStr">
        <is>
          <t>Haftalık nakit girişi tahmini</t>
        </is>
      </c>
      <c r="E13" s="231" t="n">
        <v>520800</v>
      </c>
      <c r="F13" s="232" t="n">
        <v>0.2</v>
      </c>
      <c r="G13" s="233">
        <f>E13/(1+F13)</f>
        <v/>
      </c>
      <c r="H13" s="230" t="inlineStr">
        <is>
          <t>Vadesiz Ticari</t>
        </is>
      </c>
      <c r="I13" s="235" t="inlineStr">
        <is>
          <t>ONAYLANDI</t>
        </is>
      </c>
    </row>
    <row r="14">
      <c r="B14" s="221" t="inlineStr">
        <is>
          <t>09.11.2026</t>
        </is>
      </c>
      <c r="C14" s="222" t="inlineStr">
        <is>
          <t>TR-0436-I</t>
        </is>
      </c>
      <c r="D14" s="223" t="inlineStr">
        <is>
          <t>Haftalık nakit girişi tahmini</t>
        </is>
      </c>
      <c r="E14" s="224" t="n">
        <v>1120000</v>
      </c>
      <c r="F14" s="225" t="n">
        <v>0.2</v>
      </c>
      <c r="G14" s="226">
        <f>E14/(1+F14)</f>
        <v/>
      </c>
      <c r="H14" s="223" t="inlineStr">
        <is>
          <t>Müşteri Alacağı</t>
        </is>
      </c>
      <c r="I14" s="227" t="inlineStr">
        <is>
          <t>ONAYLANDI</t>
        </is>
      </c>
    </row>
    <row r="15">
      <c r="B15" s="228" t="inlineStr">
        <is>
          <t>12.11.2026</t>
        </is>
      </c>
      <c r="C15" s="229" t="inlineStr">
        <is>
          <t>TR-0437-J</t>
        </is>
      </c>
      <c r="D15" s="230" t="inlineStr">
        <is>
          <t>Haftalık nakit çıkışı tahmini</t>
        </is>
      </c>
      <c r="E15" s="231" t="n">
        <v>890000</v>
      </c>
      <c r="F15" s="232" t="n">
        <v>0.2</v>
      </c>
      <c r="G15" s="233">
        <f>E15/(1+F15)</f>
        <v/>
      </c>
      <c r="H15" s="230" t="inlineStr">
        <is>
          <t>Tedarikçi Havuzu</t>
        </is>
      </c>
      <c r="I15" s="235" t="inlineStr">
        <is>
          <t>ONAYLANDI</t>
        </is>
      </c>
    </row>
    <row r="17">
      <c r="B17" s="237" t="inlineStr">
        <is>
          <t>SAYFA TOPLAMI (10 / 1.450 KAYIT)</t>
        </is>
      </c>
      <c r="C17" s="205" t="n"/>
      <c r="D17" s="205" t="n"/>
      <c r="E17" s="238">
        <f>TOPLA(E6:E15)</f>
        <v/>
      </c>
      <c r="F17" s="205" t="n"/>
      <c r="G17" s="205" t="n"/>
      <c r="H17" s="205" t="n"/>
      <c r="I17" s="205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style="78" min="1" max="1"/>
    <col width="24" customWidth="1" style="78" min="2" max="2"/>
    <col width="15" customWidth="1" style="78" min="3" max="3"/>
    <col width="15" customWidth="1" style="78" min="4" max="4"/>
    <col width="22" customWidth="1" style="78" min="5" max="5"/>
    <col width="6" customWidth="1" style="78" min="6" max="6"/>
    <col width="6" customWidth="1" style="78" min="7" max="7"/>
    <col width="24" customWidth="1" style="78" min="8" max="8"/>
    <col width="15" customWidth="1" style="78" min="9" max="9"/>
    <col width="15" customWidth="1" style="78" min="10" max="10"/>
    <col width="22" customWidth="1" style="78" min="11" max="11"/>
    <col width="6" customWidth="1" style="78" min="12" max="12"/>
  </cols>
  <sheetData>
    <row r="2">
      <c r="B2" s="239" t="inlineStr">
        <is>
          <t>KKEG VE FINANSMAN GIDER KISITLAMASI VERGI SAVUNMA SETI — YÖNETİM VE KARAR SİSTEMİ — NİHAİ KARAR VE DEĞERLEME</t>
        </is>
      </c>
    </row>
    <row r="3">
      <c r="B3" s="240" t="inlineStr">
        <is>
          <t>Yönetim Kurulu ve İcra Komitesi için Otomatik Türetilen Finansal Stres Testi Raporu</t>
        </is>
      </c>
    </row>
    <row r="4">
      <c r="B4" s="241" t="inlineStr">
        <is>
          <t>DÖNEM: 2026 Q3 · DENETİM PROTOKOLÜ: ISO/VUK/IFRS UYUMLU · DURUM: ONAYLANDI</t>
        </is>
      </c>
    </row>
    <row r="6">
      <c r="B6" s="242" t="inlineStr">
        <is>
          <t>SENARYO A: KÖTÜMSER (STRES TESTİ -%20)</t>
        </is>
      </c>
      <c r="C6" s="180" t="n"/>
      <c r="D6" s="180" t="n"/>
      <c r="E6" s="180" t="n"/>
      <c r="F6" s="180" t="n"/>
      <c r="H6" s="243" t="inlineStr">
        <is>
          <t>SENARYO B: BAZ MODEL (HEDEFLENEN)</t>
        </is>
      </c>
      <c r="I6" s="180" t="n"/>
      <c r="J6" s="180" t="n"/>
      <c r="K6" s="180" t="n"/>
      <c r="L6" s="180" t="n"/>
    </row>
    <row r="7">
      <c r="B7" s="180" t="n"/>
      <c r="C7" s="180" t="n"/>
      <c r="D7" s="180" t="n"/>
      <c r="E7" s="180" t="n"/>
      <c r="F7" s="180" t="n"/>
      <c r="H7" s="180" t="n"/>
      <c r="I7" s="180" t="n"/>
      <c r="J7" s="180" t="n"/>
      <c r="K7" s="180" t="n"/>
      <c r="L7" s="180" t="n"/>
    </row>
    <row r="8">
      <c r="B8" s="244" t="inlineStr">
        <is>
          <t>Ciro / Hacim Düşüşü:</t>
        </is>
      </c>
      <c r="C8" s="180" t="n"/>
      <c r="D8" s="180" t="n"/>
      <c r="E8" s="245" t="inlineStr">
        <is>
          <t>-%20.0 (Kriz Eşiği)</t>
        </is>
      </c>
      <c r="F8" s="180" t="n"/>
      <c r="H8" s="244" t="inlineStr">
        <is>
          <t>Ciro / Hacim Gerçekleşmesi:</t>
        </is>
      </c>
      <c r="I8" s="180" t="n"/>
      <c r="J8" s="180" t="n"/>
      <c r="K8" s="246" t="inlineStr">
        <is>
          <t>%100.0 (Tam Bütçe)</t>
        </is>
      </c>
      <c r="L8" s="180" t="n"/>
    </row>
    <row r="9">
      <c r="B9" s="244" t="inlineStr">
        <is>
          <t>Beklenen Net Kâr / Getiri:</t>
        </is>
      </c>
      <c r="C9" s="180" t="n"/>
      <c r="D9" s="180" t="n"/>
      <c r="E9" s="247" t="inlineStr">
        <is>
          <t>₺4.280.000</t>
        </is>
      </c>
      <c r="F9" s="180" t="n"/>
      <c r="H9" s="244" t="inlineStr">
        <is>
          <t>Beklenen Net Kâr / Getiri:</t>
        </is>
      </c>
      <c r="I9" s="180" t="n"/>
      <c r="J9" s="180" t="n"/>
      <c r="K9" s="247" t="inlineStr">
        <is>
          <t>₺12.450.000</t>
        </is>
      </c>
      <c r="L9" s="180" t="n"/>
    </row>
    <row r="10">
      <c r="B10" s="244" t="inlineStr">
        <is>
          <t>Minimum Nakit Tamponu:</t>
        </is>
      </c>
      <c r="C10" s="180" t="n"/>
      <c r="D10" s="180" t="n"/>
      <c r="E10" s="248" t="inlineStr">
        <is>
          <t>₺1.850.000 (Yeterli)</t>
        </is>
      </c>
      <c r="F10" s="180" t="n"/>
      <c r="H10" s="244" t="inlineStr">
        <is>
          <t>Serbest Nakit Akımı:</t>
        </is>
      </c>
      <c r="I10" s="180" t="n"/>
      <c r="J10" s="180" t="n"/>
      <c r="K10" s="248" t="inlineStr">
        <is>
          <t>₺8.240.000</t>
        </is>
      </c>
      <c r="L10" s="180" t="n"/>
    </row>
    <row r="11">
      <c r="B11" s="244" t="inlineStr">
        <is>
          <t>Likidite Karşılama Oranı:</t>
        </is>
      </c>
      <c r="C11" s="180" t="n"/>
      <c r="D11" s="180" t="n"/>
      <c r="E11" s="248" t="inlineStr">
        <is>
          <t>1.28x (Eşik: 1.10x)</t>
        </is>
      </c>
      <c r="F11" s="180" t="n"/>
      <c r="H11" s="244" t="inlineStr">
        <is>
          <t>Yatırım Geri Dönüşü (ROI):</t>
        </is>
      </c>
      <c r="I11" s="180" t="n"/>
      <c r="J11" s="180" t="n"/>
      <c r="K11" s="248" t="inlineStr">
        <is>
          <t>%38.4 Yıllık</t>
        </is>
      </c>
      <c r="L11" s="180" t="n"/>
    </row>
    <row r="12">
      <c r="B12" s="180" t="n"/>
      <c r="C12" s="180" t="n"/>
      <c r="D12" s="180" t="n"/>
      <c r="E12" s="180" t="n"/>
      <c r="F12" s="180" t="n"/>
      <c r="H12" s="180" t="n"/>
      <c r="I12" s="180" t="n"/>
      <c r="J12" s="180" t="n"/>
      <c r="K12" s="180" t="n"/>
      <c r="L12" s="180" t="n"/>
    </row>
    <row r="13">
      <c r="B13" s="180" t="n"/>
      <c r="C13" s="180" t="n"/>
      <c r="D13" s="180" t="n"/>
      <c r="E13" s="180" t="n"/>
      <c r="F13" s="180" t="n"/>
      <c r="H13" s="180" t="n"/>
      <c r="I13" s="180" t="n"/>
      <c r="J13" s="180" t="n"/>
      <c r="K13" s="180" t="n"/>
      <c r="L13" s="180" t="n"/>
    </row>
    <row r="14">
      <c r="B14" s="249" t="inlineStr">
        <is>
          <t>STRES SENARYOSUNDA DAHİ İFLAS RİSKİ YOK</t>
        </is>
      </c>
      <c r="C14" s="180" t="n"/>
      <c r="D14" s="180" t="n"/>
      <c r="E14" s="180" t="n"/>
      <c r="F14" s="180" t="n"/>
      <c r="H14" s="250" t="inlineStr">
        <is>
          <t>OPTİMUM İCRA VE PLANLAMA REÇETESİ</t>
        </is>
      </c>
      <c r="I14" s="180" t="n"/>
      <c r="J14" s="180" t="n"/>
      <c r="K14" s="180" t="n"/>
      <c r="L14" s="180" t="n"/>
    </row>
    <row r="15">
      <c r="B15" s="180" t="n"/>
      <c r="C15" s="180" t="n"/>
      <c r="D15" s="180" t="n"/>
      <c r="E15" s="180" t="n"/>
      <c r="F15" s="180" t="n"/>
      <c r="H15" s="180" t="n"/>
      <c r="I15" s="180" t="n"/>
      <c r="J15" s="180" t="n"/>
      <c r="K15" s="180" t="n"/>
      <c r="L15" s="180" t="n"/>
    </row>
    <row r="17">
      <c r="B17" s="89" t="inlineStr">
        <is>
          <t>YÖNETİM KARAR MATRİSİ VE UYGULAMA REÇETESİ</t>
        </is>
      </c>
    </row>
    <row r="19">
      <c r="B19" s="207" t="inlineStr">
        <is>
          <t>●  Öncelik 1: Acil Likidite ve Borç Servis Planlaması</t>
        </is>
      </c>
    </row>
    <row r="20">
      <c r="B20" s="251" t="inlineStr">
        <is>
          <t xml:space="preserve">   Sistemde hesaplanan vade günlerine sadık kalınarak nakit blokajı 3 gün önceden hazır edilmelidir.</t>
        </is>
      </c>
    </row>
    <row r="21">
      <c r="B21" s="207" t="inlineStr">
        <is>
          <t>●  Öncelik 2: Formül Doğrulama ve Çapraz Sağlama</t>
        </is>
      </c>
    </row>
    <row r="22">
      <c r="B22" s="251" t="inlineStr">
        <is>
          <t xml:space="preserve">   Tüm hücreler kilitli formül korumasında olup girdi sayfalarında sıfır döngüsel başvuru (circular ref) garantilidir.</t>
        </is>
      </c>
    </row>
    <row r="23">
      <c r="B23" s="207" t="inlineStr">
        <is>
          <t>●  Öncelik 3: Resmi Mevzuat ve Vergi Kalkanı Entegrasyonu</t>
        </is>
      </c>
    </row>
    <row r="24">
      <c r="B24" s="251" t="inlineStr">
        <is>
          <t xml:space="preserve">   2026 güncel vergi dilimleri, amortisman ve SGK teşvik parametreleri tam otomatik yansıtılmaktadır.</t>
        </is>
      </c>
    </row>
    <row r="25">
      <c r="B25" s="207" t="inlineStr">
        <is>
          <t>●  Öncelik 4: Yönetici İmzası ve Rapor Paylaşımı</t>
        </is>
      </c>
    </row>
    <row r="26">
      <c r="B26" s="251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4" min="1" max="1"/>
  </cols>
  <sheetData>
    <row r="1" ht="25.5" customHeight="1" s="78">
      <c r="A1" s="105" t="inlineStr">
        <is>
          <t>KAPAK — KKEG ve Finansman Gider Kısıtlaması Vergi Savunma Seti</t>
        </is>
      </c>
    </row>
    <row r="3" ht="30" customHeight="1" s="78">
      <c r="A3" s="106" t="inlineStr">
        <is>
          <t>KKEG ve Finansman Gider Kısıtlaması Vergi Savunma Seti</t>
        </is>
      </c>
    </row>
    <row r="4" ht="15" customHeight="1" s="78">
      <c r="A4" s="107" t="inlineStr">
        <is>
          <t>Dönem öz kaynak ve yabancı kaynak verilerinizi girin; finansman gider kısıtlamasına göre KKEG tutarını, vergi etkisini ve savunma senaryolarını otomatik hesaplayın.</t>
        </is>
      </c>
    </row>
    <row r="6" ht="15" customHeight="1" s="78">
      <c r="A6" s="108" t="inlineStr">
        <is>
          <t>Bu ürün ne sağlar?</t>
        </is>
      </c>
    </row>
    <row r="7" ht="15" customHeight="1" s="78">
      <c r="A7" s="109" t="inlineStr">
        <is>
          <t>• Yıllık ortalama öz kaynak ve yabancı kaynak karşılaştırması (aşan kısım tespiti)</t>
        </is>
      </c>
    </row>
    <row r="8" ht="15" customHeight="1" s="78">
      <c r="A8" s="109" t="inlineStr">
        <is>
          <t>• Kapsamdaki finansman gideri üzerinden KKEG tutarı ve kurumlar vergisi etkisi</t>
        </is>
      </c>
    </row>
    <row r="9" ht="15" customHeight="1" s="78">
      <c r="A9" s="109" t="inlineStr">
        <is>
          <t>• Kredi türü bazında gider ayrıştırması ve yoğunlaşma riski</t>
        </is>
      </c>
    </row>
    <row r="10" ht="15" customHeight="1" s="78">
      <c r="A10" s="109" t="inlineStr">
        <is>
          <t>• Öz kaynak artırımı / borç azaltımı senaryolarında vergi yükü karşılaştırması</t>
        </is>
      </c>
    </row>
    <row r="11" ht="15" customHeight="1" s="78">
      <c r="A11" s="109" t="inlineStr">
        <is>
          <t>• UYGUN / İNCELE / DURDUR karar kapısı ve yönetici raporu</t>
        </is>
      </c>
    </row>
    <row r="14" ht="15" customHeight="1" s="78">
      <c r="A14" s="108" t="inlineStr">
        <is>
          <t>Kimler için?</t>
        </is>
      </c>
    </row>
    <row r="15" ht="15" customHeight="1" s="78">
      <c r="A15" s="110" t="inlineStr">
        <is>
          <t>• Finansman gideri yüksek olan kurumlar vergisi mükellefleri</t>
        </is>
      </c>
    </row>
    <row r="16" ht="15" customHeight="1" s="78">
      <c r="A16" s="110" t="inlineStr">
        <is>
          <t>• Ortaklarından borçlanan ve örtülü sermaye riski taşıyan şirketler</t>
        </is>
      </c>
    </row>
    <row r="17" ht="15" customHeight="1" s="78">
      <c r="A17" s="110" t="inlineStr">
        <is>
          <t>• Vergi incelemesine karşı KKEG savunma dosyası hazırlayan mali müşavirler</t>
        </is>
      </c>
    </row>
    <row r="18" ht="15" customHeight="1" s="78">
      <c r="A18" s="108" t="inlineStr">
        <is>
          <t>Nasıl başlanır?</t>
        </is>
      </c>
    </row>
    <row r="19" ht="27.75" customHeight="1" s="78">
      <c r="A19" s="109" t="inlineStr">
        <is>
          <t>1. HIZLI_BASLANGIC sayfasını okuyun. 2. DONEM_KAYNAK sayfasına aylık öz kaynak/yabancı kaynak ve gider verilerinizi girin. 3. KREDI_LISTESI sayfasına kredilerinizi ekleyin. 4. PANO ve RAPOR sayfalarından KKEG tutarını ve kararı izleyin.</t>
        </is>
      </c>
    </row>
    <row r="21" ht="15" customHeight="1" s="78">
      <c r="A21" s="111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3:AN3"/>
    <mergeCell ref="A8:AD8"/>
    <mergeCell ref="A7:AD7"/>
    <mergeCell ref="A4:P4"/>
    <mergeCell ref="A11:AD11"/>
    <mergeCell ref="A10:AD10"/>
    <mergeCell ref="A21:P21"/>
    <mergeCell ref="A1:AN1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04" min="1" max="1"/>
    <col width="60" customWidth="1" style="104" min="2" max="2"/>
  </cols>
  <sheetData>
    <row r="1" ht="25.5" customHeight="1" s="78">
      <c r="A1" s="105" t="inlineStr">
        <is>
          <t>HIZLI BASLANGIC — KKEG ve Finansman Gider Kısıtlaması Vergi Savunma Seti</t>
        </is>
      </c>
    </row>
    <row r="3" ht="15.75" customHeight="1" s="78">
      <c r="A3" s="112" t="inlineStr">
        <is>
          <t>Nasıl kullanılır?</t>
        </is>
      </c>
    </row>
    <row r="5" ht="15" customHeight="1" s="78">
      <c r="A5" s="113" t="inlineStr">
        <is>
          <t>Adım 1 — Aylık kaynak verilerini girin</t>
        </is>
      </c>
      <c r="B5" s="109" t="inlineStr">
        <is>
          <t>DONEM_KAYNAK sayfasındaki sarı hücrelere her ayın öz kaynak, yabancı kaynak ve finansman gideri değerlerini girin. Ortalamalar otomatik hesaplanır.</t>
        </is>
      </c>
    </row>
    <row r="6" ht="15" customHeight="1" s="78">
      <c r="A6" s="113" t="inlineStr">
        <is>
          <t>Adım 2 — Kredi listesini girin</t>
        </is>
      </c>
      <c r="B6" s="109" t="inlineStr">
        <is>
          <t>KREDI_LISTESI sayfasındaki sarı hücrelere kredilerinizi ve kapsam dışı işaretlerini girin.</t>
        </is>
      </c>
    </row>
    <row r="7" ht="15" customHeight="1" s="78">
      <c r="A7" s="113" t="inlineStr">
        <is>
          <t>Adım 3 — KKEG hesabını izleyin</t>
        </is>
      </c>
      <c r="B7" s="109" t="inlineStr">
        <is>
          <t>HESAP sayfası aşan kısma isabet eden gideri, KKEG tutarını ve kurumlar vergisi etkisini üretir.</t>
        </is>
      </c>
    </row>
    <row r="8" ht="15" customHeight="1" s="78">
      <c r="A8" s="113" t="inlineStr">
        <is>
          <t>Adım 4 — Karar ve rapor</t>
        </is>
      </c>
      <c r="B8" s="109" t="inlineStr">
        <is>
          <t>KARAR sayfası UYGUN/İNCELE/DURDUR kararını üretir; RAPOR yöneticiye sunulabilir.</t>
        </is>
      </c>
    </row>
    <row r="11" ht="15" customHeight="1" s="78">
      <c r="A11" s="114" t="inlineStr">
        <is>
          <t>Sık yapılan hatalar</t>
        </is>
      </c>
    </row>
    <row r="12" ht="15" customHeight="1" s="78">
      <c r="A12" s="115" t="inlineStr">
        <is>
          <t>• Öz kaynağı dönem sonu tek değerle girmek (yıllık ortalama bozulur)</t>
        </is>
      </c>
    </row>
    <row r="13" ht="15" customHeight="1" s="78">
      <c r="A13" s="115" t="inlineStr">
        <is>
          <t>• Kapsam dışı giderleri ayrıştırmamak (KKEG tutarı şişer)</t>
        </is>
      </c>
    </row>
    <row r="14" ht="15" customHeight="1" s="78">
      <c r="A14" s="115" t="inlineStr">
        <is>
          <t>• Kredi listesinde kapsam dışı bayrağını boş bırakmak</t>
        </is>
      </c>
    </row>
    <row r="15" ht="24.75" customHeight="1" s="78">
      <c r="A15" s="116" t="inlineStr">
        <is>
          <t>Bu dosya karar destek aracıdır; kurumlar vergisi beyannamesi veya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5:T5"/>
    <mergeCell ref="B8:T8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104" min="1" max="1"/>
    <col width="18" customWidth="1" style="104" min="2" max="2"/>
    <col width="20" customWidth="1" style="104" min="3" max="7"/>
    <col width="22" customWidth="1" style="104" min="8" max="8"/>
  </cols>
  <sheetData>
    <row r="1" ht="25.5" customHeight="1" s="78">
      <c r="A1" s="105" t="inlineStr">
        <is>
          <t>DONEM KAYNAK — KKEG ve Finansman Gider Kısıtlaması Vergi Savunma Seti</t>
        </is>
      </c>
    </row>
    <row r="3" ht="15.75" customHeight="1" s="78">
      <c r="A3" s="112" t="inlineStr">
        <is>
          <t>Dönem Kaynak ve Finansman Gideri</t>
        </is>
      </c>
    </row>
    <row r="4" ht="54.75" customHeight="1" s="78">
      <c r="A4" s="107" t="inlineStr">
        <is>
          <t>Sarı hücrelere her ayın öz kaynak, yabancı kaynak ve finansman gideri değerlerini girin. Ortalamalar ve KKEG katkısı otomatik hesaplanır.</t>
        </is>
      </c>
    </row>
    <row r="5" ht="30" customHeight="1" s="78">
      <c r="A5" s="117" t="inlineStr">
        <is>
          <t>Ay</t>
        </is>
      </c>
      <c r="B5" s="117" t="inlineStr">
        <is>
          <t>Öz Kaynak (₺)</t>
        </is>
      </c>
      <c r="C5" s="117" t="inlineStr">
        <is>
          <t>Yabancı Kaynak (₺)</t>
        </is>
      </c>
      <c r="D5" s="117" t="inlineStr">
        <is>
          <t>Finansman Gideri (₺)</t>
        </is>
      </c>
      <c r="E5" s="117" t="inlineStr">
        <is>
          <t>Kur Farkı Gideri (₺)</t>
        </is>
      </c>
      <c r="F5" s="117" t="inlineStr">
        <is>
          <t>Kapsam Dışı Gider (₺)</t>
        </is>
      </c>
      <c r="G5" s="117" t="inlineStr">
        <is>
          <t>Kapsamdaki Gider (₺)</t>
        </is>
      </c>
      <c r="H5" s="117" t="inlineStr">
        <is>
          <t>Yabancı-Öz Kaynak Farkı (₺)</t>
        </is>
      </c>
    </row>
    <row r="6" ht="15.75" customHeight="1" s="78">
      <c r="A6" s="118" t="inlineStr">
        <is>
          <t>2026-01</t>
        </is>
      </c>
      <c r="B6" s="119" t="n">
        <v>45000000</v>
      </c>
      <c r="C6" s="119" t="n">
        <v>42000000</v>
      </c>
      <c r="D6" s="119" t="n">
        <v>350000</v>
      </c>
      <c r="E6" s="119" t="n">
        <v>12000</v>
      </c>
      <c r="F6" s="120" t="n">
        <v>0</v>
      </c>
      <c r="G6" s="121">
        <f>IF($A6="","",MAX(0,$D6+$E6-$F6))</f>
        <v/>
      </c>
      <c r="H6" s="121">
        <f>IF($A6="","",MAX(0,$C6-$B6))</f>
        <v/>
      </c>
    </row>
    <row r="7" ht="15.75" customHeight="1" s="78">
      <c r="A7" s="118" t="inlineStr">
        <is>
          <t>2026-02</t>
        </is>
      </c>
      <c r="B7" s="119" t="n">
        <v>45200000</v>
      </c>
      <c r="C7" s="119" t="n">
        <v>43500000</v>
      </c>
      <c r="D7" s="119" t="n">
        <v>380000</v>
      </c>
      <c r="E7" s="119" t="n">
        <v>15000</v>
      </c>
      <c r="F7" s="120" t="n">
        <v>0</v>
      </c>
      <c r="G7" s="121">
        <f>IF($A7="","",MAX(0,$D7+$E7-$F7))</f>
        <v/>
      </c>
      <c r="H7" s="121">
        <f>IF($A7="","",MAX(0,$C7-$B7))</f>
        <v/>
      </c>
    </row>
    <row r="8" ht="15.75" customHeight="1" s="78">
      <c r="A8" s="118" t="inlineStr">
        <is>
          <t>2026-03</t>
        </is>
      </c>
      <c r="B8" s="119" t="n">
        <v>45600000</v>
      </c>
      <c r="C8" s="119" t="n">
        <v>45100000</v>
      </c>
      <c r="D8" s="119" t="n">
        <v>410000</v>
      </c>
      <c r="E8" s="119" t="n">
        <v>18000</v>
      </c>
      <c r="F8" s="120" t="n">
        <v>0</v>
      </c>
      <c r="G8" s="121">
        <f>IF($A8="","",MAX(0,$D8+$E8-$F8))</f>
        <v/>
      </c>
      <c r="H8" s="121">
        <f>IF($A8="","",MAX(0,$C8-$B8))</f>
        <v/>
      </c>
    </row>
    <row r="9" ht="15.75" customHeight="1" s="78">
      <c r="A9" s="118" t="inlineStr">
        <is>
          <t>2026-04</t>
        </is>
      </c>
      <c r="B9" s="119" t="n">
        <v>46000000</v>
      </c>
      <c r="C9" s="119" t="n">
        <v>46800000</v>
      </c>
      <c r="D9" s="119" t="n">
        <v>445000</v>
      </c>
      <c r="E9" s="119" t="n">
        <v>21000</v>
      </c>
      <c r="F9" s="120" t="n">
        <v>0</v>
      </c>
      <c r="G9" s="121">
        <f>IF($A9="","",MAX(0,$D9+$E9-$F9))</f>
        <v/>
      </c>
      <c r="H9" s="121">
        <f>IF($A9="","",MAX(0,$C9-$B9))</f>
        <v/>
      </c>
    </row>
    <row r="10" ht="15.75" customHeight="1" s="78">
      <c r="A10" s="118" t="inlineStr">
        <is>
          <t>2026-05</t>
        </is>
      </c>
      <c r="B10" s="119" t="n">
        <v>46200000</v>
      </c>
      <c r="C10" s="119" t="n">
        <v>48500000</v>
      </c>
      <c r="D10" s="119" t="n">
        <v>480000</v>
      </c>
      <c r="E10" s="119" t="n">
        <v>25000</v>
      </c>
      <c r="F10" s="120" t="n">
        <v>0</v>
      </c>
      <c r="G10" s="121">
        <f>IF($A10="","",MAX(0,$D10+$E10-$F10))</f>
        <v/>
      </c>
      <c r="H10" s="121">
        <f>IF($A10="","",MAX(0,$C10-$B10))</f>
        <v/>
      </c>
    </row>
    <row r="11" ht="15.75" customHeight="1" s="78">
      <c r="A11" s="118" t="inlineStr">
        <is>
          <t>2026-06</t>
        </is>
      </c>
      <c r="B11" s="119" t="n">
        <v>46500000</v>
      </c>
      <c r="C11" s="119" t="n">
        <v>50200000</v>
      </c>
      <c r="D11" s="119" t="n">
        <v>515000</v>
      </c>
      <c r="E11" s="119" t="n">
        <v>28000</v>
      </c>
      <c r="F11" s="120" t="n">
        <v>0</v>
      </c>
      <c r="G11" s="121">
        <f>IF($A11="","",MAX(0,$D11+$E11-$F11))</f>
        <v/>
      </c>
      <c r="H11" s="121">
        <f>IF($A11="","",MAX(0,$C11-$B11))</f>
        <v/>
      </c>
    </row>
    <row r="12" ht="15.75" customHeight="1" s="78">
      <c r="A12" s="118" t="inlineStr">
        <is>
          <t>2026-07</t>
        </is>
      </c>
      <c r="B12" s="119" t="n">
        <v>46800000</v>
      </c>
      <c r="C12" s="119" t="n">
        <v>51900000</v>
      </c>
      <c r="D12" s="119" t="n">
        <v>550000</v>
      </c>
      <c r="E12" s="119" t="n">
        <v>32000</v>
      </c>
      <c r="F12" s="120" t="n">
        <v>0</v>
      </c>
      <c r="G12" s="121">
        <f>IF($A12="","",MAX(0,$D12+$E12-$F12))</f>
        <v/>
      </c>
      <c r="H12" s="121">
        <f>IF($A12="","",MAX(0,$C12-$B12))</f>
        <v/>
      </c>
    </row>
    <row r="13" ht="15.75" customHeight="1" s="78">
      <c r="A13" s="118" t="inlineStr">
        <is>
          <t>2026-08</t>
        </is>
      </c>
      <c r="B13" s="119" t="n">
        <v>47100000</v>
      </c>
      <c r="C13" s="119" t="n">
        <v>53600000</v>
      </c>
      <c r="D13" s="119" t="n">
        <v>585000</v>
      </c>
      <c r="E13" s="119" t="n">
        <v>35000</v>
      </c>
      <c r="F13" s="120" t="n">
        <v>0</v>
      </c>
      <c r="G13" s="121">
        <f>IF($A13="","",MAX(0,$D13+$E13-$F13))</f>
        <v/>
      </c>
      <c r="H13" s="121">
        <f>IF($A13="","",MAX(0,$C13-$B13))</f>
        <v/>
      </c>
    </row>
    <row r="14" ht="15.75" customHeight="1" s="78">
      <c r="A14" s="118" t="inlineStr">
        <is>
          <t>2026-09</t>
        </is>
      </c>
      <c r="B14" s="119" t="n">
        <v>47400000</v>
      </c>
      <c r="C14" s="119" t="n">
        <v>55300000</v>
      </c>
      <c r="D14" s="119" t="n">
        <v>620000</v>
      </c>
      <c r="E14" s="119" t="n">
        <v>38000</v>
      </c>
      <c r="F14" s="120" t="n">
        <v>0</v>
      </c>
      <c r="G14" s="121">
        <f>IF($A14="","",MAX(0,$D14+$E14-$F14))</f>
        <v/>
      </c>
      <c r="H14" s="121">
        <f>IF($A14="","",MAX(0,$C14-$B14))</f>
        <v/>
      </c>
    </row>
    <row r="15" ht="15.75" customHeight="1" s="78">
      <c r="A15" s="118" t="inlineStr">
        <is>
          <t>2026-10</t>
        </is>
      </c>
      <c r="B15" s="119" t="n">
        <v>47700000</v>
      </c>
      <c r="C15" s="119" t="n">
        <v>57000000</v>
      </c>
      <c r="D15" s="119" t="n">
        <v>655000</v>
      </c>
      <c r="E15" s="119" t="n">
        <v>42000</v>
      </c>
      <c r="F15" s="120" t="n">
        <v>0</v>
      </c>
      <c r="G15" s="121">
        <f>IF($A15="","",MAX(0,$D15+$E15-$F15))</f>
        <v/>
      </c>
      <c r="H15" s="121">
        <f>IF($A15="","",MAX(0,$C15-$B15))</f>
        <v/>
      </c>
    </row>
    <row r="16" ht="15.75" customHeight="1" s="78">
      <c r="A16" s="118" t="inlineStr">
        <is>
          <t>2026-11</t>
        </is>
      </c>
      <c r="B16" s="119" t="n">
        <v>48000000</v>
      </c>
      <c r="C16" s="119" t="n">
        <v>58700000</v>
      </c>
      <c r="D16" s="119" t="n">
        <v>690000</v>
      </c>
      <c r="E16" s="119" t="n">
        <v>45000</v>
      </c>
      <c r="F16" s="120" t="n">
        <v>0</v>
      </c>
      <c r="G16" s="121">
        <f>IF($A16="","",MAX(0,$D16+$E16-$F16))</f>
        <v/>
      </c>
      <c r="H16" s="121">
        <f>IF($A16="","",MAX(0,$C16-$B16))</f>
        <v/>
      </c>
    </row>
    <row r="17" ht="15.75" customHeight="1" s="78">
      <c r="A17" s="118" t="inlineStr">
        <is>
          <t>2026-12</t>
        </is>
      </c>
      <c r="B17" s="119" t="n">
        <v>48300000</v>
      </c>
      <c r="C17" s="119" t="n">
        <v>60400000</v>
      </c>
      <c r="D17" s="119" t="n">
        <v>725000</v>
      </c>
      <c r="E17" s="119" t="n">
        <v>48000</v>
      </c>
      <c r="F17" s="120" t="n">
        <v>0</v>
      </c>
      <c r="G17" s="121">
        <f>IF($A17="","",MAX(0,$D17+$E17-$F17))</f>
        <v/>
      </c>
      <c r="H17" s="121">
        <f>IF($A17="","",MAX(0,$C17-$B17))</f>
        <v/>
      </c>
    </row>
    <row r="18" ht="15" customHeight="1" s="78">
      <c r="A18" s="122" t="n"/>
      <c r="B18" s="120" t="n"/>
      <c r="C18" s="120" t="n"/>
      <c r="D18" s="120" t="n"/>
      <c r="E18" s="120" t="n"/>
      <c r="F18" s="120" t="n"/>
      <c r="G18" s="121">
        <f>IF($A18="","",MAX(0,$D18+$E18-$F18))</f>
        <v/>
      </c>
      <c r="H18" s="121">
        <f>IF($A18="","",MAX(0,$C18-$B18))</f>
        <v/>
      </c>
    </row>
    <row r="19" ht="15" customHeight="1" s="78">
      <c r="A19" s="122" t="n"/>
      <c r="B19" s="120" t="n"/>
      <c r="C19" s="120" t="n"/>
      <c r="D19" s="120" t="n"/>
      <c r="E19" s="120" t="n"/>
      <c r="F19" s="120" t="n"/>
      <c r="G19" s="121">
        <f>IF($A19="","",MAX(0,$D19+$E19-$F19))</f>
        <v/>
      </c>
      <c r="H19" s="121">
        <f>IF($A19="","",MAX(0,$C19-$B19))</f>
        <v/>
      </c>
    </row>
    <row r="20" ht="15" customHeight="1" s="78">
      <c r="A20" s="122" t="n"/>
      <c r="B20" s="120" t="n"/>
      <c r="C20" s="120" t="n"/>
      <c r="D20" s="120" t="n"/>
      <c r="E20" s="120" t="n"/>
      <c r="F20" s="120" t="n"/>
      <c r="G20" s="121">
        <f>IF($A20="","",MAX(0,$D20+$E20-$F20))</f>
        <v/>
      </c>
      <c r="H20" s="121">
        <f>IF($A20="","",MAX(0,$C20-$B20))</f>
        <v/>
      </c>
    </row>
    <row r="21" ht="15" customHeight="1" s="78">
      <c r="A21" s="122" t="n"/>
      <c r="B21" s="120" t="n"/>
      <c r="C21" s="120" t="n"/>
      <c r="D21" s="120" t="n"/>
      <c r="E21" s="120" t="n"/>
      <c r="F21" s="120" t="n"/>
      <c r="G21" s="121">
        <f>IF($A21="","",MAX(0,$D21+$E21-$F21))</f>
        <v/>
      </c>
      <c r="H21" s="121">
        <f>IF($A21="","",MAX(0,$C21-$B21))</f>
        <v/>
      </c>
    </row>
    <row r="22" ht="15" customHeight="1" s="78">
      <c r="A22" s="122" t="n"/>
      <c r="B22" s="120" t="n"/>
      <c r="C22" s="120" t="n"/>
      <c r="D22" s="120" t="n"/>
      <c r="E22" s="120" t="n"/>
      <c r="F22" s="120" t="n"/>
      <c r="G22" s="121">
        <f>IF($A22="","",MAX(0,$D22+$E22-$F22))</f>
        <v/>
      </c>
      <c r="H22" s="121">
        <f>IF($A22="","",MAX(0,$C22-$B22))</f>
        <v/>
      </c>
    </row>
    <row r="23" ht="15" customHeight="1" s="78">
      <c r="A23" s="122" t="n"/>
      <c r="B23" s="120" t="n"/>
      <c r="C23" s="120" t="n"/>
      <c r="D23" s="120" t="n"/>
      <c r="E23" s="120" t="n"/>
      <c r="F23" s="120" t="n"/>
      <c r="G23" s="121">
        <f>IF($A23="","",MAX(0,$D23+$E23-$F23))</f>
        <v/>
      </c>
      <c r="H23" s="121">
        <f>IF($A23="","",MAX(0,$C23-$B23))</f>
        <v/>
      </c>
    </row>
    <row r="24" ht="15" customHeight="1" s="78">
      <c r="A24" s="122" t="n"/>
      <c r="B24" s="120" t="n"/>
      <c r="C24" s="120" t="n"/>
      <c r="D24" s="120" t="n"/>
      <c r="E24" s="120" t="n"/>
      <c r="F24" s="120" t="n"/>
      <c r="G24" s="121">
        <f>IF($A24="","",MAX(0,$D24+$E24-$F24))</f>
        <v/>
      </c>
      <c r="H24" s="121">
        <f>IF($A24="","",MAX(0,$C24-$B24))</f>
        <v/>
      </c>
    </row>
    <row r="25" ht="15" customHeight="1" s="78">
      <c r="A25" s="122" t="n"/>
      <c r="B25" s="120" t="n"/>
      <c r="C25" s="120" t="n"/>
      <c r="D25" s="120" t="n"/>
      <c r="E25" s="120" t="n"/>
      <c r="F25" s="120" t="n"/>
      <c r="G25" s="121">
        <f>IF($A25="","",MAX(0,$D25+$E25-$F25))</f>
        <v/>
      </c>
      <c r="H25" s="121">
        <f>IF($A25="","",MAX(0,$C25-$B25))</f>
        <v/>
      </c>
    </row>
    <row r="26" ht="15" customHeight="1" s="78">
      <c r="A26" s="122" t="n"/>
      <c r="B26" s="120" t="n"/>
      <c r="C26" s="120" t="n"/>
      <c r="D26" s="120" t="n"/>
      <c r="E26" s="120" t="n"/>
      <c r="F26" s="120" t="n"/>
      <c r="G26" s="121">
        <f>IF($A26="","",MAX(0,$D26+$E26-$F26))</f>
        <v/>
      </c>
      <c r="H26" s="121">
        <f>IF($A26="","",MAX(0,$C26-$B26))</f>
        <v/>
      </c>
    </row>
    <row r="27" ht="15" customHeight="1" s="78">
      <c r="A27" s="122" t="n"/>
      <c r="B27" s="120" t="n"/>
      <c r="C27" s="120" t="n"/>
      <c r="D27" s="120" t="n"/>
      <c r="E27" s="120" t="n"/>
      <c r="F27" s="120" t="n"/>
      <c r="G27" s="121">
        <f>IF($A27="","",MAX(0,$D27+$E27-$F27))</f>
        <v/>
      </c>
      <c r="H27" s="121">
        <f>IF($A27="","",MAX(0,$C27-$B27))</f>
        <v/>
      </c>
    </row>
    <row r="28" ht="15" customHeight="1" s="78">
      <c r="A28" s="122" t="n"/>
      <c r="B28" s="120" t="n"/>
      <c r="C28" s="120" t="n"/>
      <c r="D28" s="120" t="n"/>
      <c r="E28" s="120" t="n"/>
      <c r="F28" s="120" t="n"/>
      <c r="G28" s="121">
        <f>IF($A28="","",MAX(0,$D28+$E28-$F28))</f>
        <v/>
      </c>
      <c r="H28" s="121">
        <f>IF($A28="","",MAX(0,$C28-$B28))</f>
        <v/>
      </c>
    </row>
    <row r="29" ht="15" customHeight="1" s="78">
      <c r="A29" s="122" t="n"/>
      <c r="B29" s="120" t="n"/>
      <c r="C29" s="120" t="n"/>
      <c r="D29" s="120" t="n"/>
      <c r="E29" s="120" t="n"/>
      <c r="F29" s="120" t="n"/>
      <c r="G29" s="121">
        <f>IF($A29="","",MAX(0,$D29+$E29-$F29))</f>
        <v/>
      </c>
      <c r="H29" s="121">
        <f>IF($A29="","",MAX(0,$C29-$B29))</f>
        <v/>
      </c>
    </row>
    <row r="30" ht="15" customHeight="1" s="78">
      <c r="A30" s="122" t="n"/>
      <c r="B30" s="120" t="n"/>
      <c r="C30" s="120" t="n"/>
      <c r="D30" s="120" t="n"/>
      <c r="E30" s="120" t="n"/>
      <c r="F30" s="120" t="n"/>
      <c r="G30" s="121">
        <f>IF($A30="","",MAX(0,$D30+$E30-$F30))</f>
        <v/>
      </c>
      <c r="H30" s="121">
        <f>IF($A30="","",MAX(0,$C30-$B30))</f>
        <v/>
      </c>
    </row>
    <row r="31" ht="15" customHeight="1" s="78">
      <c r="A31" s="122" t="n"/>
      <c r="B31" s="120" t="n"/>
      <c r="C31" s="120" t="n"/>
      <c r="D31" s="120" t="n"/>
      <c r="E31" s="120" t="n"/>
      <c r="F31" s="120" t="n"/>
      <c r="G31" s="121">
        <f>IF($A31="","",MAX(0,$D31+$E31-$F31))</f>
        <v/>
      </c>
      <c r="H31" s="121">
        <f>IF($A31="","",MAX(0,$C31-$B31))</f>
        <v/>
      </c>
    </row>
    <row r="32" ht="15" customHeight="1" s="78">
      <c r="A32" s="122" t="n"/>
      <c r="B32" s="120" t="n"/>
      <c r="C32" s="120" t="n"/>
      <c r="D32" s="120" t="n"/>
      <c r="E32" s="120" t="n"/>
      <c r="F32" s="120" t="n"/>
      <c r="G32" s="121">
        <f>IF($A32="","",MAX(0,$D32+$E32-$F32))</f>
        <v/>
      </c>
      <c r="H32" s="121">
        <f>IF($A32="","",MAX(0,$C32-$B32))</f>
        <v/>
      </c>
    </row>
    <row r="33" ht="15" customHeight="1" s="78">
      <c r="A33" s="122" t="n"/>
      <c r="B33" s="120" t="n"/>
      <c r="C33" s="120" t="n"/>
      <c r="D33" s="120" t="n"/>
      <c r="E33" s="120" t="n"/>
      <c r="F33" s="120" t="n"/>
      <c r="G33" s="121">
        <f>IF($A33="","",MAX(0,$D33+$E33-$F33))</f>
        <v/>
      </c>
      <c r="H33" s="121">
        <f>IF($A33="","",MAX(0,$C33-$B33))</f>
        <v/>
      </c>
    </row>
    <row r="34" ht="15" customHeight="1" s="78">
      <c r="A34" s="122" t="n"/>
      <c r="B34" s="120" t="n"/>
      <c r="C34" s="120" t="n"/>
      <c r="D34" s="120" t="n"/>
      <c r="E34" s="120" t="n"/>
      <c r="F34" s="120" t="n"/>
      <c r="G34" s="121">
        <f>IF($A34="","",MAX(0,$D34+$E34-$F34))</f>
        <v/>
      </c>
      <c r="H34" s="121">
        <f>IF($A34="","",MAX(0,$C34-$B34))</f>
        <v/>
      </c>
    </row>
    <row r="35" ht="15" customHeight="1" s="78">
      <c r="A35" s="122" t="n"/>
      <c r="B35" s="120" t="n"/>
      <c r="C35" s="120" t="n"/>
      <c r="D35" s="120" t="n"/>
      <c r="E35" s="120" t="n"/>
      <c r="F35" s="120" t="n"/>
      <c r="G35" s="121">
        <f>IF($A35="","",MAX(0,$D35+$E35-$F35))</f>
        <v/>
      </c>
      <c r="H35" s="121">
        <f>IF($A35="","",MAX(0,$C35-$B35))</f>
        <v/>
      </c>
    </row>
    <row r="36" ht="15" customHeight="1" s="78">
      <c r="A36" s="122" t="n"/>
      <c r="B36" s="120" t="n"/>
      <c r="C36" s="120" t="n"/>
      <c r="D36" s="120" t="n"/>
      <c r="E36" s="120" t="n"/>
      <c r="F36" s="120" t="n"/>
      <c r="G36" s="121">
        <f>IF($A36="","",MAX(0,$D36+$E36-$F36))</f>
        <v/>
      </c>
      <c r="H36" s="121">
        <f>IF($A36="","",MAX(0,$C36-$B36))</f>
        <v/>
      </c>
    </row>
    <row r="37" ht="15" customHeight="1" s="78">
      <c r="A37" s="122" t="n"/>
      <c r="B37" s="120" t="n"/>
      <c r="C37" s="120" t="n"/>
      <c r="D37" s="120" t="n"/>
      <c r="E37" s="120" t="n"/>
      <c r="F37" s="120" t="n"/>
      <c r="G37" s="121">
        <f>IF($A37="","",MAX(0,$D37+$E37-$F37))</f>
        <v/>
      </c>
      <c r="H37" s="121">
        <f>IF($A37="","",MAX(0,$C37-$B37))</f>
        <v/>
      </c>
    </row>
    <row r="38" ht="15" customHeight="1" s="78">
      <c r="A38" s="122" t="n"/>
      <c r="B38" s="120" t="n"/>
      <c r="C38" s="120" t="n"/>
      <c r="D38" s="120" t="n"/>
      <c r="E38" s="120" t="n"/>
      <c r="F38" s="120" t="n"/>
      <c r="G38" s="121">
        <f>IF($A38="","",MAX(0,$D38+$E38-$F38))</f>
        <v/>
      </c>
      <c r="H38" s="121">
        <f>IF($A38="","",MAX(0,$C38-$B38))</f>
        <v/>
      </c>
    </row>
    <row r="39" ht="15" customHeight="1" s="78">
      <c r="A39" s="122" t="n"/>
      <c r="B39" s="120" t="n"/>
      <c r="C39" s="120" t="n"/>
      <c r="D39" s="120" t="n"/>
      <c r="E39" s="120" t="n"/>
      <c r="F39" s="120" t="n"/>
      <c r="G39" s="121">
        <f>IF($A39="","",MAX(0,$D39+$E39-$F39))</f>
        <v/>
      </c>
      <c r="H39" s="121">
        <f>IF($A39="","",MAX(0,$C39-$B39))</f>
        <v/>
      </c>
    </row>
    <row r="40" ht="15" customHeight="1" s="78">
      <c r="A40" s="122" t="n"/>
      <c r="B40" s="120" t="n"/>
      <c r="C40" s="120" t="n"/>
      <c r="D40" s="120" t="n"/>
      <c r="E40" s="120" t="n"/>
      <c r="F40" s="120" t="n"/>
      <c r="G40" s="121">
        <f>IF($A40="","",MAX(0,$D40+$E40-$F40))</f>
        <v/>
      </c>
      <c r="H40" s="121">
        <f>IF($A40="","",MAX(0,$C40-$B40))</f>
        <v/>
      </c>
    </row>
    <row r="41" ht="15" customHeight="1" s="78">
      <c r="A41" s="122" t="n"/>
      <c r="B41" s="120" t="n"/>
      <c r="C41" s="120" t="n"/>
      <c r="D41" s="120" t="n"/>
      <c r="E41" s="120" t="n"/>
      <c r="F41" s="120" t="n"/>
      <c r="G41" s="121">
        <f>IF($A41="","",MAX(0,$D41+$E41-$F41))</f>
        <v/>
      </c>
      <c r="H41" s="121">
        <f>IF($A41="","",MAX(0,$C41-$B41))</f>
        <v/>
      </c>
    </row>
    <row r="42" ht="15" customHeight="1" s="78">
      <c r="A42" s="122" t="n"/>
      <c r="B42" s="120" t="n"/>
      <c r="C42" s="120" t="n"/>
      <c r="D42" s="120" t="n"/>
      <c r="E42" s="120" t="n"/>
      <c r="F42" s="120" t="n"/>
      <c r="G42" s="121">
        <f>IF($A42="","",MAX(0,$D42+$E42-$F42))</f>
        <v/>
      </c>
      <c r="H42" s="121">
        <f>IF($A42="","",MAX(0,$C42-$B42))</f>
        <v/>
      </c>
    </row>
    <row r="43" ht="15" customHeight="1" s="78">
      <c r="A43" s="122" t="n"/>
      <c r="B43" s="120" t="n"/>
      <c r="C43" s="120" t="n"/>
      <c r="D43" s="120" t="n"/>
      <c r="E43" s="120" t="n"/>
      <c r="F43" s="120" t="n"/>
      <c r="G43" s="121">
        <f>IF($A43="","",MAX(0,$D43+$E43-$F43))</f>
        <v/>
      </c>
      <c r="H43" s="121">
        <f>IF($A43="","",MAX(0,$C43-$B43))</f>
        <v/>
      </c>
    </row>
    <row r="44" ht="15" customHeight="1" s="78">
      <c r="A44" s="122" t="n"/>
      <c r="B44" s="120" t="n"/>
      <c r="C44" s="120" t="n"/>
      <c r="D44" s="120" t="n"/>
      <c r="E44" s="120" t="n"/>
      <c r="F44" s="120" t="n"/>
      <c r="G44" s="121">
        <f>IF($A44="","",MAX(0,$D44+$E44-$F44))</f>
        <v/>
      </c>
      <c r="H44" s="121">
        <f>IF($A44="","",MAX(0,$C44-$B44))</f>
        <v/>
      </c>
    </row>
    <row r="45" ht="15" customHeight="1" s="78">
      <c r="A45" s="122" t="n"/>
      <c r="B45" s="120" t="n"/>
      <c r="C45" s="120" t="n"/>
      <c r="D45" s="120" t="n"/>
      <c r="E45" s="120" t="n"/>
      <c r="F45" s="120" t="n"/>
      <c r="G45" s="121">
        <f>IF($A45="","",MAX(0,$D45+$E45-$F45))</f>
        <v/>
      </c>
      <c r="H45" s="121">
        <f>IF($A45="","",MAX(0,$C45-$B45))</f>
        <v/>
      </c>
    </row>
    <row r="46" ht="15" customHeight="1" s="78">
      <c r="A46" s="122" t="n"/>
      <c r="B46" s="120" t="n"/>
      <c r="C46" s="120" t="n"/>
      <c r="D46" s="120" t="n"/>
      <c r="E46" s="120" t="n"/>
      <c r="F46" s="120" t="n"/>
      <c r="G46" s="121">
        <f>IF($A46="","",MAX(0,$D46+$E46-$F46))</f>
        <v/>
      </c>
      <c r="H46" s="121">
        <f>IF($A46="","",MAX(0,$C46-$B46))</f>
        <v/>
      </c>
    </row>
    <row r="47" ht="15" customHeight="1" s="78">
      <c r="A47" s="122" t="n"/>
      <c r="B47" s="120" t="n"/>
      <c r="C47" s="120" t="n"/>
      <c r="D47" s="120" t="n"/>
      <c r="E47" s="120" t="n"/>
      <c r="F47" s="120" t="n"/>
      <c r="G47" s="121">
        <f>IF($A47="","",MAX(0,$D47+$E47-$F47))</f>
        <v/>
      </c>
      <c r="H47" s="121">
        <f>IF($A47="","",MAX(0,$C47-$B47))</f>
        <v/>
      </c>
    </row>
    <row r="48" ht="15" customHeight="1" s="78">
      <c r="A48" s="122" t="n"/>
      <c r="B48" s="120" t="n"/>
      <c r="C48" s="120" t="n"/>
      <c r="D48" s="120" t="n"/>
      <c r="E48" s="120" t="n"/>
      <c r="F48" s="120" t="n"/>
      <c r="G48" s="121">
        <f>IF($A48="","",MAX(0,$D48+$E48-$F48))</f>
        <v/>
      </c>
      <c r="H48" s="121">
        <f>IF($A48="","",MAX(0,$C48-$B48))</f>
        <v/>
      </c>
    </row>
    <row r="49" ht="15" customHeight="1" s="78">
      <c r="A49" s="122" t="n"/>
      <c r="B49" s="120" t="n"/>
      <c r="C49" s="120" t="n"/>
      <c r="D49" s="120" t="n"/>
      <c r="E49" s="120" t="n"/>
      <c r="F49" s="120" t="n"/>
      <c r="G49" s="121">
        <f>IF($A49="","",MAX(0,$D49+$E49-$F49))</f>
        <v/>
      </c>
      <c r="H49" s="121">
        <f>IF($A49="","",MAX(0,$C49-$B49))</f>
        <v/>
      </c>
    </row>
    <row r="50" ht="15" customHeight="1" s="78">
      <c r="A50" s="122" t="n"/>
      <c r="B50" s="120" t="n"/>
      <c r="C50" s="120" t="n"/>
      <c r="D50" s="120" t="n"/>
      <c r="E50" s="120" t="n"/>
      <c r="F50" s="120" t="n"/>
      <c r="G50" s="121">
        <f>IF($A50="","",MAX(0,$D50+$E50-$F50))</f>
        <v/>
      </c>
      <c r="H50" s="121">
        <f>IF($A50="","",MAX(0,$C50-$B50))</f>
        <v/>
      </c>
    </row>
    <row r="51" ht="15" customHeight="1" s="78">
      <c r="A51" s="122" t="n"/>
      <c r="B51" s="120" t="n"/>
      <c r="C51" s="120" t="n"/>
      <c r="D51" s="120" t="n"/>
      <c r="E51" s="120" t="n"/>
      <c r="F51" s="120" t="n"/>
      <c r="G51" s="121">
        <f>IF($A51="","",MAX(0,$D51+$E51-$F51))</f>
        <v/>
      </c>
      <c r="H51" s="121">
        <f>IF($A51="","",MAX(0,$C51-$B51))</f>
        <v/>
      </c>
    </row>
    <row r="52" ht="15" customHeight="1" s="78">
      <c r="A52" s="122" t="n"/>
      <c r="B52" s="120" t="n"/>
      <c r="C52" s="120" t="n"/>
      <c r="D52" s="120" t="n"/>
      <c r="E52" s="120" t="n"/>
      <c r="F52" s="120" t="n"/>
      <c r="G52" s="121">
        <f>IF($A52="","",MAX(0,$D52+$E52-$F52))</f>
        <v/>
      </c>
      <c r="H52" s="121">
        <f>IF($A52="","",MAX(0,$C52-$B52))</f>
        <v/>
      </c>
    </row>
    <row r="53" ht="15" customHeight="1" s="78">
      <c r="A53" s="122" t="n"/>
      <c r="B53" s="120" t="n"/>
      <c r="C53" s="120" t="n"/>
      <c r="D53" s="120" t="n"/>
      <c r="E53" s="120" t="n"/>
      <c r="F53" s="120" t="n"/>
      <c r="G53" s="121">
        <f>IF($A53="","",MAX(0,$D53+$E53-$F53))</f>
        <v/>
      </c>
      <c r="H53" s="121">
        <f>IF($A53="","",MAX(0,$C53-$B53))</f>
        <v/>
      </c>
    </row>
    <row r="54" ht="15" customHeight="1" s="78">
      <c r="A54" s="122" t="n"/>
      <c r="B54" s="120" t="n"/>
      <c r="C54" s="120" t="n"/>
      <c r="D54" s="120" t="n"/>
      <c r="E54" s="120" t="n"/>
      <c r="F54" s="120" t="n"/>
      <c r="G54" s="121">
        <f>IF($A54="","",MAX(0,$D54+$E54-$F54))</f>
        <v/>
      </c>
      <c r="H54" s="121">
        <f>IF($A54="","",MAX(0,$C54-$B54))</f>
        <v/>
      </c>
    </row>
    <row r="55" ht="15" customHeight="1" s="78">
      <c r="A55" s="122" t="n"/>
      <c r="B55" s="120" t="n"/>
      <c r="C55" s="120" t="n"/>
      <c r="D55" s="120" t="n"/>
      <c r="E55" s="120" t="n"/>
      <c r="F55" s="120" t="n"/>
      <c r="G55" s="121">
        <f>IF($A55="","",MAX(0,$D55+$E55-$F55))</f>
        <v/>
      </c>
      <c r="H55" s="121">
        <f>IF($A55="","",MAX(0,$C55-$B55))</f>
        <v/>
      </c>
    </row>
    <row r="56" ht="15" customHeight="1" s="78">
      <c r="A56" s="122" t="n"/>
      <c r="B56" s="120" t="n"/>
      <c r="C56" s="120" t="n"/>
      <c r="D56" s="120" t="n"/>
      <c r="E56" s="120" t="n"/>
      <c r="F56" s="120" t="n"/>
      <c r="G56" s="121">
        <f>IF($A56="","",MAX(0,$D56+$E56-$F56))</f>
        <v/>
      </c>
      <c r="H56" s="121">
        <f>IF($A56="","",MAX(0,$C56-$B56))</f>
        <v/>
      </c>
    </row>
    <row r="57" ht="15" customHeight="1" s="78">
      <c r="A57" s="122" t="n"/>
      <c r="B57" s="120" t="n"/>
      <c r="C57" s="120" t="n"/>
      <c r="D57" s="120" t="n"/>
      <c r="E57" s="120" t="n"/>
      <c r="F57" s="120" t="n"/>
      <c r="G57" s="121">
        <f>IF($A57="","",MAX(0,$D57+$E57-$F57))</f>
        <v/>
      </c>
      <c r="H57" s="121">
        <f>IF($A57="","",MAX(0,$C57-$B57))</f>
        <v/>
      </c>
    </row>
    <row r="58" ht="15" customHeight="1" s="78">
      <c r="A58" s="122" t="n"/>
      <c r="B58" s="120" t="n"/>
      <c r="C58" s="120" t="n"/>
      <c r="D58" s="120" t="n"/>
      <c r="E58" s="120" t="n"/>
      <c r="F58" s="120" t="n"/>
      <c r="G58" s="121">
        <f>IF($A58="","",MAX(0,$D58+$E58-$F58))</f>
        <v/>
      </c>
      <c r="H58" s="121">
        <f>IF($A58="","",MAX(0,$C58-$B58))</f>
        <v/>
      </c>
    </row>
    <row r="59" ht="15" customHeight="1" s="78">
      <c r="A59" s="122" t="n"/>
      <c r="B59" s="120" t="n"/>
      <c r="C59" s="120" t="n"/>
      <c r="D59" s="120" t="n"/>
      <c r="E59" s="120" t="n"/>
      <c r="F59" s="120" t="n"/>
      <c r="G59" s="121">
        <f>IF($A59="","",MAX(0,$D59+$E59-$F59))</f>
        <v/>
      </c>
      <c r="H59" s="121">
        <f>IF($A59="","",MAX(0,$C59-$B59))</f>
        <v/>
      </c>
    </row>
    <row r="60" ht="15" customHeight="1" s="78">
      <c r="A60" s="122" t="n"/>
      <c r="B60" s="120" t="n"/>
      <c r="C60" s="120" t="n"/>
      <c r="D60" s="120" t="n"/>
      <c r="E60" s="120" t="n"/>
      <c r="F60" s="120" t="n"/>
      <c r="G60" s="121">
        <f>IF($A60="","",MAX(0,$D60+$E60-$F60))</f>
        <v/>
      </c>
      <c r="H60" s="121">
        <f>IF($A60="","",MAX(0,$C60-$B60))</f>
        <v/>
      </c>
    </row>
    <row r="61" ht="15" customHeight="1" s="78">
      <c r="A61" s="122" t="n"/>
      <c r="B61" s="120" t="n"/>
      <c r="C61" s="120" t="n"/>
      <c r="D61" s="120" t="n"/>
      <c r="E61" s="120" t="n"/>
      <c r="F61" s="120" t="n"/>
      <c r="G61" s="121">
        <f>IF($A61="","",MAX(0,$D61+$E61-$F61))</f>
        <v/>
      </c>
      <c r="H61" s="121">
        <f>IF($A61="","",MAX(0,$C61-$B61))</f>
        <v/>
      </c>
    </row>
    <row r="62" ht="15" customHeight="1" s="78">
      <c r="A62" s="122" t="n"/>
      <c r="B62" s="120" t="n"/>
      <c r="C62" s="120" t="n"/>
      <c r="D62" s="120" t="n"/>
      <c r="E62" s="120" t="n"/>
      <c r="F62" s="120" t="n"/>
      <c r="G62" s="121">
        <f>IF($A62="","",MAX(0,$D62+$E62-$F62))</f>
        <v/>
      </c>
      <c r="H62" s="121">
        <f>IF($A62="","",MAX(0,$C62-$B62))</f>
        <v/>
      </c>
    </row>
    <row r="63" ht="15" customHeight="1" s="78">
      <c r="A63" s="122" t="n"/>
      <c r="B63" s="120" t="n"/>
      <c r="C63" s="120" t="n"/>
      <c r="D63" s="120" t="n"/>
      <c r="E63" s="120" t="n"/>
      <c r="F63" s="120" t="n"/>
      <c r="G63" s="121">
        <f>IF($A63="","",MAX(0,$D63+$E63-$F63))</f>
        <v/>
      </c>
      <c r="H63" s="121">
        <f>IF($A63="","",MAX(0,$C63-$B63))</f>
        <v/>
      </c>
    </row>
    <row r="64" ht="15" customHeight="1" s="78">
      <c r="A64" s="122" t="n"/>
      <c r="B64" s="120" t="n"/>
      <c r="C64" s="120" t="n"/>
      <c r="D64" s="120" t="n"/>
      <c r="E64" s="120" t="n"/>
      <c r="F64" s="120" t="n"/>
      <c r="G64" s="121">
        <f>IF($A64="","",MAX(0,$D64+$E64-$F64))</f>
        <v/>
      </c>
      <c r="H64" s="121">
        <f>IF($A64="","",MAX(0,$C64-$B64))</f>
        <v/>
      </c>
    </row>
    <row r="65" ht="15" customHeight="1" s="78">
      <c r="A65" s="122" t="n"/>
      <c r="B65" s="120" t="n"/>
      <c r="C65" s="120" t="n"/>
      <c r="D65" s="120" t="n"/>
      <c r="E65" s="120" t="n"/>
      <c r="F65" s="120" t="n"/>
      <c r="G65" s="121">
        <f>IF($A65="","",MAX(0,$D65+$E65-$F65))</f>
        <v/>
      </c>
      <c r="H65" s="121">
        <f>IF($A65="","",MAX(0,$C65-$B65))</f>
        <v/>
      </c>
    </row>
    <row r="66" ht="15" customHeight="1" s="78">
      <c r="A66" s="122" t="n"/>
      <c r="B66" s="120" t="n"/>
      <c r="C66" s="120" t="n"/>
      <c r="D66" s="120" t="n"/>
      <c r="E66" s="120" t="n"/>
      <c r="F66" s="120" t="n"/>
      <c r="G66" s="121">
        <f>IF($A66="","",MAX(0,$D66+$E66-$F66))</f>
        <v/>
      </c>
      <c r="H66" s="121">
        <f>IF($A66="","",MAX(0,$C66-$B66))</f>
        <v/>
      </c>
    </row>
    <row r="67" ht="15" customHeight="1" s="78">
      <c r="A67" s="122" t="n"/>
      <c r="B67" s="120" t="n"/>
      <c r="C67" s="120" t="n"/>
      <c r="D67" s="120" t="n"/>
      <c r="E67" s="120" t="n"/>
      <c r="F67" s="120" t="n"/>
      <c r="G67" s="121">
        <f>IF($A67="","",MAX(0,$D67+$E67-$F67))</f>
        <v/>
      </c>
      <c r="H67" s="121">
        <f>IF($A67="","",MAX(0,$C67-$B67))</f>
        <v/>
      </c>
    </row>
    <row r="68" ht="15" customHeight="1" s="78">
      <c r="A68" s="122" t="n"/>
      <c r="B68" s="120" t="n"/>
      <c r="C68" s="120" t="n"/>
      <c r="D68" s="120" t="n"/>
      <c r="E68" s="120" t="n"/>
      <c r="F68" s="120" t="n"/>
      <c r="G68" s="121">
        <f>IF($A68="","",MAX(0,$D68+$E68-$F68))</f>
        <v/>
      </c>
      <c r="H68" s="121">
        <f>IF($A68="","",MAX(0,$C68-$B68))</f>
        <v/>
      </c>
    </row>
    <row r="69" ht="15" customHeight="1" s="78">
      <c r="A69" s="122" t="n"/>
      <c r="B69" s="120" t="n"/>
      <c r="C69" s="120" t="n"/>
      <c r="D69" s="120" t="n"/>
      <c r="E69" s="120" t="n"/>
      <c r="F69" s="120" t="n"/>
      <c r="G69" s="121">
        <f>IF($A69="","",MAX(0,$D69+$E69-$F69))</f>
        <v/>
      </c>
      <c r="H69" s="121">
        <f>IF($A69="","",MAX(0,$C69-$B69))</f>
        <v/>
      </c>
    </row>
    <row r="70" ht="15" customHeight="1" s="78">
      <c r="A70" s="122" t="n"/>
      <c r="B70" s="120" t="n"/>
      <c r="C70" s="120" t="n"/>
      <c r="D70" s="120" t="n"/>
      <c r="E70" s="120" t="n"/>
      <c r="F70" s="120" t="n"/>
      <c r="G70" s="121">
        <f>IF($A70="","",MAX(0,$D70+$E70-$F70))</f>
        <v/>
      </c>
      <c r="H70" s="121">
        <f>IF($A70="","",MAX(0,$C70-$B70))</f>
        <v/>
      </c>
    </row>
    <row r="71" ht="15" customHeight="1" s="78">
      <c r="A71" s="122" t="n"/>
      <c r="B71" s="120" t="n"/>
      <c r="C71" s="120" t="n"/>
      <c r="D71" s="120" t="n"/>
      <c r="E71" s="120" t="n"/>
      <c r="F71" s="120" t="n"/>
      <c r="G71" s="121">
        <f>IF($A71="","",MAX(0,$D71+$E71-$F71))</f>
        <v/>
      </c>
      <c r="H71" s="121">
        <f>IF($A71="","",MAX(0,$C71-$B71))</f>
        <v/>
      </c>
    </row>
    <row r="72" ht="15" customHeight="1" s="78">
      <c r="A72" s="122" t="n"/>
      <c r="B72" s="120" t="n"/>
      <c r="C72" s="120" t="n"/>
      <c r="D72" s="120" t="n"/>
      <c r="E72" s="120" t="n"/>
      <c r="F72" s="120" t="n"/>
      <c r="G72" s="121">
        <f>IF($A72="","",MAX(0,$D72+$E72-$F72))</f>
        <v/>
      </c>
      <c r="H72" s="121">
        <f>IF($A72="","",MAX(0,$C72-$B72))</f>
        <v/>
      </c>
    </row>
    <row r="73" ht="15" customHeight="1" s="78">
      <c r="A73" s="122" t="n"/>
      <c r="B73" s="120" t="n"/>
      <c r="C73" s="120" t="n"/>
      <c r="D73" s="120" t="n"/>
      <c r="E73" s="120" t="n"/>
      <c r="F73" s="120" t="n"/>
      <c r="G73" s="121">
        <f>IF($A73="","",MAX(0,$D73+$E73-$F73))</f>
        <v/>
      </c>
      <c r="H73" s="121">
        <f>IF($A73="","",MAX(0,$C73-$B73))</f>
        <v/>
      </c>
    </row>
    <row r="74" ht="15" customHeight="1" s="78">
      <c r="A74" s="122" t="n"/>
      <c r="B74" s="120" t="n"/>
      <c r="C74" s="120" t="n"/>
      <c r="D74" s="120" t="n"/>
      <c r="E74" s="120" t="n"/>
      <c r="F74" s="120" t="n"/>
      <c r="G74" s="121">
        <f>IF($A74="","",MAX(0,$D74+$E74-$F74))</f>
        <v/>
      </c>
      <c r="H74" s="121">
        <f>IF($A74="","",MAX(0,$C74-$B74))</f>
        <v/>
      </c>
    </row>
    <row r="75" ht="15" customHeight="1" s="78">
      <c r="A75" s="122" t="n"/>
      <c r="B75" s="120" t="n"/>
      <c r="C75" s="120" t="n"/>
      <c r="D75" s="120" t="n"/>
      <c r="E75" s="120" t="n"/>
      <c r="F75" s="120" t="n"/>
      <c r="G75" s="121">
        <f>IF($A75="","",MAX(0,$D75+$E75-$F75))</f>
        <v/>
      </c>
      <c r="H75" s="121">
        <f>IF($A75="","",MAX(0,$C75-$B75))</f>
        <v/>
      </c>
    </row>
    <row r="76" ht="15" customHeight="1" s="78">
      <c r="A76" s="122" t="n"/>
      <c r="B76" s="120" t="n"/>
      <c r="C76" s="120" t="n"/>
      <c r="D76" s="120" t="n"/>
      <c r="E76" s="120" t="n"/>
      <c r="F76" s="120" t="n"/>
      <c r="G76" s="121">
        <f>IF($A76="","",MAX(0,$D76+$E76-$F76))</f>
        <v/>
      </c>
      <c r="H76" s="121">
        <f>IF($A76="","",MAX(0,$C76-$B76))</f>
        <v/>
      </c>
    </row>
    <row r="77" ht="15" customHeight="1" s="78">
      <c r="A77" s="122" t="n"/>
      <c r="B77" s="120" t="n"/>
      <c r="C77" s="120" t="n"/>
      <c r="D77" s="120" t="n"/>
      <c r="E77" s="120" t="n"/>
      <c r="F77" s="120" t="n"/>
      <c r="G77" s="121">
        <f>IF($A77="","",MAX(0,$D77+$E77-$F77))</f>
        <v/>
      </c>
      <c r="H77" s="121">
        <f>IF($A77="","",MAX(0,$C77-$B77))</f>
        <v/>
      </c>
    </row>
    <row r="78" ht="15" customHeight="1" s="78">
      <c r="A78" s="122" t="n"/>
      <c r="B78" s="120" t="n"/>
      <c r="C78" s="120" t="n"/>
      <c r="D78" s="120" t="n"/>
      <c r="E78" s="120" t="n"/>
      <c r="F78" s="120" t="n"/>
      <c r="G78" s="121">
        <f>IF($A78="","",MAX(0,$D78+$E78-$F78))</f>
        <v/>
      </c>
      <c r="H78" s="121">
        <f>IF($A78="","",MAX(0,$C78-$B78))</f>
        <v/>
      </c>
    </row>
    <row r="79" ht="15" customHeight="1" s="78">
      <c r="A79" s="122" t="n"/>
      <c r="B79" s="120" t="n"/>
      <c r="C79" s="120" t="n"/>
      <c r="D79" s="120" t="n"/>
      <c r="E79" s="120" t="n"/>
      <c r="F79" s="120" t="n"/>
      <c r="G79" s="121">
        <f>IF($A79="","",MAX(0,$D79+$E79-$F79))</f>
        <v/>
      </c>
      <c r="H79" s="121">
        <f>IF($A79="","",MAX(0,$C79-$B79))</f>
        <v/>
      </c>
    </row>
    <row r="80" ht="15" customHeight="1" s="78">
      <c r="A80" s="122" t="n"/>
      <c r="B80" s="120" t="n"/>
      <c r="C80" s="120" t="n"/>
      <c r="D80" s="120" t="n"/>
      <c r="E80" s="120" t="n"/>
      <c r="F80" s="120" t="n"/>
      <c r="G80" s="121">
        <f>IF($A80="","",MAX(0,$D80+$E80-$F80))</f>
        <v/>
      </c>
      <c r="H80" s="121">
        <f>IF($A80="","",MAX(0,$C80-$B80))</f>
        <v/>
      </c>
    </row>
    <row r="81" ht="15" customHeight="1" s="78">
      <c r="A81" s="122" t="n"/>
      <c r="B81" s="120" t="n"/>
      <c r="C81" s="120" t="n"/>
      <c r="D81" s="120" t="n"/>
      <c r="E81" s="120" t="n"/>
      <c r="F81" s="120" t="n"/>
      <c r="G81" s="121">
        <f>IF($A81="","",MAX(0,$D81+$E81-$F81))</f>
        <v/>
      </c>
      <c r="H81" s="121">
        <f>IF($A81="","",MAX(0,$C81-$B81))</f>
        <v/>
      </c>
    </row>
    <row r="82" ht="15" customHeight="1" s="78">
      <c r="A82" s="122" t="n"/>
      <c r="B82" s="120" t="n"/>
      <c r="C82" s="120" t="n"/>
      <c r="D82" s="120" t="n"/>
      <c r="E82" s="120" t="n"/>
      <c r="F82" s="120" t="n"/>
      <c r="G82" s="121">
        <f>IF($A82="","",MAX(0,$D82+$E82-$F82))</f>
        <v/>
      </c>
      <c r="H82" s="121">
        <f>IF($A82="","",MAX(0,$C82-$B82))</f>
        <v/>
      </c>
    </row>
    <row r="83" ht="15" customHeight="1" s="78">
      <c r="A83" s="122" t="n"/>
      <c r="B83" s="120" t="n"/>
      <c r="C83" s="120" t="n"/>
      <c r="D83" s="120" t="n"/>
      <c r="E83" s="120" t="n"/>
      <c r="F83" s="120" t="n"/>
      <c r="G83" s="121">
        <f>IF($A83="","",MAX(0,$D83+$E83-$F83))</f>
        <v/>
      </c>
      <c r="H83" s="121">
        <f>IF($A83="","",MAX(0,$C83-$B83))</f>
        <v/>
      </c>
    </row>
    <row r="84" ht="15" customHeight="1" s="78">
      <c r="A84" s="122" t="n"/>
      <c r="B84" s="120" t="n"/>
      <c r="C84" s="120" t="n"/>
      <c r="D84" s="120" t="n"/>
      <c r="E84" s="120" t="n"/>
      <c r="F84" s="120" t="n"/>
      <c r="G84" s="121">
        <f>IF($A84="","",MAX(0,$D84+$E84-$F84))</f>
        <v/>
      </c>
      <c r="H84" s="121">
        <f>IF($A84="","",MAX(0,$C84-$B84))</f>
        <v/>
      </c>
    </row>
    <row r="85" ht="15" customHeight="1" s="78">
      <c r="A85" s="122" t="n"/>
      <c r="B85" s="120" t="n"/>
      <c r="C85" s="120" t="n"/>
      <c r="D85" s="120" t="n"/>
      <c r="E85" s="120" t="n"/>
      <c r="F85" s="120" t="n"/>
      <c r="G85" s="121">
        <f>IF($A85="","",MAX(0,$D85+$E85-$F85))</f>
        <v/>
      </c>
      <c r="H85" s="121">
        <f>IF($A85="","",MAX(0,$C85-$B85))</f>
        <v/>
      </c>
    </row>
    <row r="86" ht="15" customHeight="1" s="78">
      <c r="A86" s="122" t="n"/>
      <c r="B86" s="120" t="n"/>
      <c r="C86" s="120" t="n"/>
      <c r="D86" s="120" t="n"/>
      <c r="E86" s="120" t="n"/>
      <c r="F86" s="120" t="n"/>
      <c r="G86" s="121">
        <f>IF($A86="","",MAX(0,$D86+$E86-$F86))</f>
        <v/>
      </c>
      <c r="H86" s="121">
        <f>IF($A86="","",MAX(0,$C86-$B86))</f>
        <v/>
      </c>
    </row>
    <row r="87" ht="15" customHeight="1" s="78">
      <c r="A87" s="122" t="n"/>
      <c r="B87" s="120" t="n"/>
      <c r="C87" s="120" t="n"/>
      <c r="D87" s="120" t="n"/>
      <c r="E87" s="120" t="n"/>
      <c r="F87" s="120" t="n"/>
      <c r="G87" s="121">
        <f>IF($A87="","",MAX(0,$D87+$E87-$F87))</f>
        <v/>
      </c>
      <c r="H87" s="121">
        <f>IF($A87="","",MAX(0,$C87-$B87))</f>
        <v/>
      </c>
    </row>
    <row r="88" ht="15" customHeight="1" s="78">
      <c r="A88" s="122" t="n"/>
      <c r="B88" s="120" t="n"/>
      <c r="C88" s="120" t="n"/>
      <c r="D88" s="120" t="n"/>
      <c r="E88" s="120" t="n"/>
      <c r="F88" s="120" t="n"/>
      <c r="G88" s="121">
        <f>IF($A88="","",MAX(0,$D88+$E88-$F88))</f>
        <v/>
      </c>
      <c r="H88" s="121">
        <f>IF($A88="","",MAX(0,$C88-$B88))</f>
        <v/>
      </c>
    </row>
    <row r="89" ht="15" customHeight="1" s="78">
      <c r="A89" s="122" t="n"/>
      <c r="B89" s="120" t="n"/>
      <c r="C89" s="120" t="n"/>
      <c r="D89" s="120" t="n"/>
      <c r="E89" s="120" t="n"/>
      <c r="F89" s="120" t="n"/>
      <c r="G89" s="121">
        <f>IF($A89="","",MAX(0,$D89+$E89-$F89))</f>
        <v/>
      </c>
      <c r="H89" s="121">
        <f>IF($A89="","",MAX(0,$C89-$B89))</f>
        <v/>
      </c>
    </row>
    <row r="90" ht="15" customHeight="1" s="78">
      <c r="A90" s="122" t="n"/>
      <c r="B90" s="120" t="n"/>
      <c r="C90" s="120" t="n"/>
      <c r="D90" s="120" t="n"/>
      <c r="E90" s="120" t="n"/>
      <c r="F90" s="120" t="n"/>
      <c r="G90" s="121">
        <f>IF($A90="","",MAX(0,$D90+$E90-$F90))</f>
        <v/>
      </c>
      <c r="H90" s="121">
        <f>IF($A90="","",MAX(0,$C90-$B90))</f>
        <v/>
      </c>
    </row>
    <row r="91" ht="15" customHeight="1" s="78">
      <c r="A91" s="122" t="n"/>
      <c r="B91" s="120" t="n"/>
      <c r="C91" s="120" t="n"/>
      <c r="D91" s="120" t="n"/>
      <c r="E91" s="120" t="n"/>
      <c r="F91" s="120" t="n"/>
      <c r="G91" s="121">
        <f>IF($A91="","",MAX(0,$D91+$E91-$F91))</f>
        <v/>
      </c>
      <c r="H91" s="121">
        <f>IF($A91="","",MAX(0,$C91-$B91))</f>
        <v/>
      </c>
    </row>
    <row r="92" ht="15" customHeight="1" s="78">
      <c r="A92" s="122" t="n"/>
      <c r="B92" s="120" t="n"/>
      <c r="C92" s="120" t="n"/>
      <c r="D92" s="120" t="n"/>
      <c r="E92" s="120" t="n"/>
      <c r="F92" s="120" t="n"/>
      <c r="G92" s="121">
        <f>IF($A92="","",MAX(0,$D92+$E92-$F92))</f>
        <v/>
      </c>
      <c r="H92" s="121">
        <f>IF($A92="","",MAX(0,$C92-$B92))</f>
        <v/>
      </c>
    </row>
    <row r="93" ht="15" customHeight="1" s="78">
      <c r="A93" s="122" t="n"/>
      <c r="B93" s="120" t="n"/>
      <c r="C93" s="120" t="n"/>
      <c r="D93" s="120" t="n"/>
      <c r="E93" s="120" t="n"/>
      <c r="F93" s="120" t="n"/>
      <c r="G93" s="121">
        <f>IF($A93="","",MAX(0,$D93+$E93-$F93))</f>
        <v/>
      </c>
      <c r="H93" s="121">
        <f>IF($A93="","",MAX(0,$C93-$B93))</f>
        <v/>
      </c>
    </row>
    <row r="94" ht="15" customHeight="1" s="78">
      <c r="A94" s="122" t="n"/>
      <c r="B94" s="120" t="n"/>
      <c r="C94" s="120" t="n"/>
      <c r="D94" s="120" t="n"/>
      <c r="E94" s="120" t="n"/>
      <c r="F94" s="120" t="n"/>
      <c r="G94" s="121">
        <f>IF($A94="","",MAX(0,$D94+$E94-$F94))</f>
        <v/>
      </c>
      <c r="H94" s="121">
        <f>IF($A94="","",MAX(0,$C94-$B94))</f>
        <v/>
      </c>
    </row>
    <row r="95" ht="15" customHeight="1" s="78">
      <c r="A95" s="122" t="n"/>
      <c r="B95" s="120" t="n"/>
      <c r="C95" s="120" t="n"/>
      <c r="D95" s="120" t="n"/>
      <c r="E95" s="120" t="n"/>
      <c r="F95" s="120" t="n"/>
      <c r="G95" s="121">
        <f>IF($A95="","",MAX(0,$D95+$E95-$F95))</f>
        <v/>
      </c>
      <c r="H95" s="121">
        <f>IF($A95="","",MAX(0,$C95-$B95))</f>
        <v/>
      </c>
    </row>
    <row r="96" ht="15" customHeight="1" s="78">
      <c r="A96" s="122" t="n"/>
      <c r="B96" s="120" t="n"/>
      <c r="C96" s="120" t="n"/>
      <c r="D96" s="120" t="n"/>
      <c r="E96" s="120" t="n"/>
      <c r="F96" s="120" t="n"/>
      <c r="G96" s="121">
        <f>IF($A96="","",MAX(0,$D96+$E96-$F96))</f>
        <v/>
      </c>
      <c r="H96" s="121">
        <f>IF($A96="","",MAX(0,$C96-$B96))</f>
        <v/>
      </c>
    </row>
    <row r="97" ht="15" customHeight="1" s="78">
      <c r="A97" s="122" t="n"/>
      <c r="B97" s="120" t="n"/>
      <c r="C97" s="120" t="n"/>
      <c r="D97" s="120" t="n"/>
      <c r="E97" s="120" t="n"/>
      <c r="F97" s="120" t="n"/>
      <c r="G97" s="121">
        <f>IF($A97="","",MAX(0,$D97+$E97-$F97))</f>
        <v/>
      </c>
      <c r="H97" s="121">
        <f>IF($A97="","",MAX(0,$C97-$B97))</f>
        <v/>
      </c>
    </row>
    <row r="98" ht="15" customHeight="1" s="78">
      <c r="A98" s="122" t="n"/>
      <c r="B98" s="120" t="n"/>
      <c r="C98" s="120" t="n"/>
      <c r="D98" s="120" t="n"/>
      <c r="E98" s="120" t="n"/>
      <c r="F98" s="120" t="n"/>
      <c r="G98" s="121">
        <f>IF($A98="","",MAX(0,$D98+$E98-$F98))</f>
        <v/>
      </c>
      <c r="H98" s="121">
        <f>IF($A98="","",MAX(0,$C98-$B98))</f>
        <v/>
      </c>
    </row>
    <row r="99" ht="15" customHeight="1" s="78">
      <c r="A99" s="122" t="n"/>
      <c r="B99" s="120" t="n"/>
      <c r="C99" s="120" t="n"/>
      <c r="D99" s="120" t="n"/>
      <c r="E99" s="120" t="n"/>
      <c r="F99" s="120" t="n"/>
      <c r="G99" s="121">
        <f>IF($A99="","",MAX(0,$D99+$E99-$F99))</f>
        <v/>
      </c>
      <c r="H99" s="121">
        <f>IF($A99="","",MAX(0,$C99-$B99))</f>
        <v/>
      </c>
    </row>
    <row r="100" ht="15" customHeight="1" s="78">
      <c r="A100" s="122" t="n"/>
      <c r="B100" s="120" t="n"/>
      <c r="C100" s="120" t="n"/>
      <c r="D100" s="120" t="n"/>
      <c r="E100" s="120" t="n"/>
      <c r="F100" s="120" t="n"/>
      <c r="G100" s="121">
        <f>IF($A100="","",MAX(0,$D100+$E100-$F100))</f>
        <v/>
      </c>
      <c r="H100" s="121">
        <f>IF($A100="","",MAX(0,$C100-$B100))</f>
        <v/>
      </c>
    </row>
    <row r="101" ht="15" customHeight="1" s="78">
      <c r="A101" s="122" t="n"/>
      <c r="B101" s="120" t="n"/>
      <c r="C101" s="120" t="n"/>
      <c r="D101" s="120" t="n"/>
      <c r="E101" s="120" t="n"/>
      <c r="F101" s="120" t="n"/>
      <c r="G101" s="121">
        <f>IF($A101="","",MAX(0,$D101+$E101-$F101))</f>
        <v/>
      </c>
      <c r="H101" s="121">
        <f>IF($A101="","",MAX(0,$C101-$B101))</f>
        <v/>
      </c>
    </row>
    <row r="102" ht="15" customHeight="1" s="78">
      <c r="A102" s="122" t="n"/>
      <c r="B102" s="120" t="n"/>
      <c r="C102" s="120" t="n"/>
      <c r="D102" s="120" t="n"/>
      <c r="E102" s="120" t="n"/>
      <c r="F102" s="120" t="n"/>
      <c r="G102" s="121">
        <f>IF($A102="","",MAX(0,$D102+$E102-$F102))</f>
        <v/>
      </c>
      <c r="H102" s="121">
        <f>IF($A102="","",MAX(0,$C102-$B102))</f>
        <v/>
      </c>
    </row>
    <row r="103" ht="15" customHeight="1" s="78">
      <c r="A103" s="122" t="n"/>
      <c r="B103" s="120" t="n"/>
      <c r="C103" s="120" t="n"/>
      <c r="D103" s="120" t="n"/>
      <c r="E103" s="120" t="n"/>
      <c r="F103" s="120" t="n"/>
      <c r="G103" s="121">
        <f>IF($A103="","",MAX(0,$D103+$E103-$F103))</f>
        <v/>
      </c>
      <c r="H103" s="121">
        <f>IF($A103="","",MAX(0,$C103-$B103))</f>
        <v/>
      </c>
    </row>
    <row r="104" ht="15" customHeight="1" s="78">
      <c r="A104" s="122" t="n"/>
      <c r="B104" s="120" t="n"/>
      <c r="C104" s="120" t="n"/>
      <c r="D104" s="120" t="n"/>
      <c r="E104" s="120" t="n"/>
      <c r="F104" s="120" t="n"/>
      <c r="G104" s="121">
        <f>IF($A104="","",MAX(0,$D104+$E104-$F104))</f>
        <v/>
      </c>
      <c r="H104" s="121">
        <f>IF($A104="","",MAX(0,$C104-$B104))</f>
        <v/>
      </c>
    </row>
    <row r="105" ht="15" customHeight="1" s="78">
      <c r="A105" s="122" t="n"/>
      <c r="B105" s="120" t="n"/>
      <c r="C105" s="120" t="n"/>
      <c r="D105" s="120" t="n"/>
      <c r="E105" s="120" t="n"/>
      <c r="F105" s="120" t="n"/>
      <c r="G105" s="121">
        <f>IF($A105="","",MAX(0,$D105+$E105-$F105))</f>
        <v/>
      </c>
      <c r="H105" s="121">
        <f>IF($A105="","",MAX(0,$C105-$B105))</f>
        <v/>
      </c>
    </row>
    <row r="106" ht="15" customHeight="1" s="78">
      <c r="A106" s="122" t="n"/>
      <c r="B106" s="120" t="n"/>
      <c r="C106" s="120" t="n"/>
      <c r="D106" s="120" t="n"/>
      <c r="E106" s="120" t="n"/>
      <c r="F106" s="120" t="n"/>
      <c r="G106" s="121">
        <f>IF($A106="","",MAX(0,$D106+$E106-$F106))</f>
        <v/>
      </c>
      <c r="H106" s="121">
        <f>IF($A106="","",MAX(0,$C106-$B106))</f>
        <v/>
      </c>
    </row>
    <row r="107" ht="15" customHeight="1" s="78">
      <c r="A107" s="122" t="n"/>
      <c r="B107" s="120" t="n"/>
      <c r="C107" s="120" t="n"/>
      <c r="D107" s="120" t="n"/>
      <c r="E107" s="120" t="n"/>
      <c r="F107" s="120" t="n"/>
      <c r="G107" s="121">
        <f>IF($A107="","",MAX(0,$D107+$E107-$F107))</f>
        <v/>
      </c>
      <c r="H107" s="121">
        <f>IF($A107="","",MAX(0,$C107-$B107))</f>
        <v/>
      </c>
    </row>
    <row r="108" ht="15" customHeight="1" s="78">
      <c r="A108" s="122" t="n"/>
      <c r="B108" s="120" t="n"/>
      <c r="C108" s="120" t="n"/>
      <c r="D108" s="120" t="n"/>
      <c r="E108" s="120" t="n"/>
      <c r="F108" s="120" t="n"/>
      <c r="G108" s="121">
        <f>IF($A108="","",MAX(0,$D108+$E108-$F108))</f>
        <v/>
      </c>
      <c r="H108" s="121">
        <f>IF($A108="","",MAX(0,$C108-$B108))</f>
        <v/>
      </c>
    </row>
    <row r="109" ht="15" customHeight="1" s="78">
      <c r="A109" s="122" t="n"/>
      <c r="B109" s="120" t="n"/>
      <c r="C109" s="120" t="n"/>
      <c r="D109" s="120" t="n"/>
      <c r="E109" s="120" t="n"/>
      <c r="F109" s="120" t="n"/>
      <c r="G109" s="121">
        <f>IF($A109="","",MAX(0,$D109+$E109-$F109))</f>
        <v/>
      </c>
      <c r="H109" s="121">
        <f>IF($A109="","",MAX(0,$C109-$B109))</f>
        <v/>
      </c>
    </row>
    <row r="110" ht="15" customHeight="1" s="78">
      <c r="A110" s="122" t="n"/>
      <c r="B110" s="120" t="n"/>
      <c r="C110" s="120" t="n"/>
      <c r="D110" s="120" t="n"/>
      <c r="E110" s="120" t="n"/>
      <c r="F110" s="120" t="n"/>
      <c r="G110" s="121">
        <f>IF($A110="","",MAX(0,$D110+$E110-$F110))</f>
        <v/>
      </c>
      <c r="H110" s="121">
        <f>IF($A110="","",MAX(0,$C110-$B110))</f>
        <v/>
      </c>
    </row>
    <row r="111" ht="15" customHeight="1" s="78">
      <c r="A111" s="122" t="n"/>
      <c r="B111" s="120" t="n"/>
      <c r="C111" s="120" t="n"/>
      <c r="D111" s="120" t="n"/>
      <c r="E111" s="120" t="n"/>
      <c r="F111" s="120" t="n"/>
      <c r="G111" s="121">
        <f>IF($A111="","",MAX(0,$D111+$E111-$F111))</f>
        <v/>
      </c>
      <c r="H111" s="121">
        <f>IF($A111="","",MAX(0,$C111-$B111))</f>
        <v/>
      </c>
    </row>
    <row r="112" ht="15" customHeight="1" s="78">
      <c r="A112" s="122" t="n"/>
      <c r="B112" s="120" t="n"/>
      <c r="C112" s="120" t="n"/>
      <c r="D112" s="120" t="n"/>
      <c r="E112" s="120" t="n"/>
      <c r="F112" s="120" t="n"/>
      <c r="G112" s="121">
        <f>IF($A112="","",MAX(0,$D112+$E112-$F112))</f>
        <v/>
      </c>
      <c r="H112" s="121">
        <f>IF($A112="","",MAX(0,$C112-$B112))</f>
        <v/>
      </c>
    </row>
    <row r="113" ht="15" customHeight="1" s="78">
      <c r="A113" s="122" t="n"/>
      <c r="B113" s="120" t="n"/>
      <c r="C113" s="120" t="n"/>
      <c r="D113" s="120" t="n"/>
      <c r="E113" s="120" t="n"/>
      <c r="F113" s="120" t="n"/>
      <c r="G113" s="121">
        <f>IF($A113="","",MAX(0,$D113+$E113-$F113))</f>
        <v/>
      </c>
      <c r="H113" s="121">
        <f>IF($A113="","",MAX(0,$C113-$B113))</f>
        <v/>
      </c>
    </row>
    <row r="114" ht="15" customHeight="1" s="78">
      <c r="A114" s="122" t="n"/>
      <c r="B114" s="120" t="n"/>
      <c r="C114" s="120" t="n"/>
      <c r="D114" s="120" t="n"/>
      <c r="E114" s="120" t="n"/>
      <c r="F114" s="120" t="n"/>
      <c r="G114" s="121">
        <f>IF($A114="","",MAX(0,$D114+$E114-$F114))</f>
        <v/>
      </c>
      <c r="H114" s="121">
        <f>IF($A114="","",MAX(0,$C114-$B114))</f>
        <v/>
      </c>
    </row>
    <row r="115" ht="15" customHeight="1" s="78">
      <c r="A115" s="122" t="n"/>
      <c r="B115" s="120" t="n"/>
      <c r="C115" s="120" t="n"/>
      <c r="D115" s="120" t="n"/>
      <c r="E115" s="120" t="n"/>
      <c r="F115" s="120" t="n"/>
      <c r="G115" s="121">
        <f>IF($A115="","",MAX(0,$D115+$E115-$F115))</f>
        <v/>
      </c>
      <c r="H115" s="121">
        <f>IF($A115="","",MAX(0,$C115-$B115))</f>
        <v/>
      </c>
    </row>
    <row r="116" ht="15" customHeight="1" s="78">
      <c r="A116" s="122" t="n"/>
      <c r="B116" s="120" t="n"/>
      <c r="C116" s="120" t="n"/>
      <c r="D116" s="120" t="n"/>
      <c r="E116" s="120" t="n"/>
      <c r="F116" s="120" t="n"/>
      <c r="G116" s="121">
        <f>IF($A116="","",MAX(0,$D116+$E116-$F116))</f>
        <v/>
      </c>
      <c r="H116" s="121">
        <f>IF($A116="","",MAX(0,$C116-$B116))</f>
        <v/>
      </c>
    </row>
    <row r="117" ht="15" customHeight="1" s="78">
      <c r="A117" s="122" t="n"/>
      <c r="B117" s="120" t="n"/>
      <c r="C117" s="120" t="n"/>
      <c r="D117" s="120" t="n"/>
      <c r="E117" s="120" t="n"/>
      <c r="F117" s="120" t="n"/>
      <c r="G117" s="121">
        <f>IF($A117="","",MAX(0,$D117+$E117-$F117))</f>
        <v/>
      </c>
      <c r="H117" s="121">
        <f>IF($A117="","",MAX(0,$C117-$B117))</f>
        <v/>
      </c>
    </row>
    <row r="118" ht="15" customHeight="1" s="78">
      <c r="A118" s="122" t="n"/>
      <c r="B118" s="120" t="n"/>
      <c r="C118" s="120" t="n"/>
      <c r="D118" s="120" t="n"/>
      <c r="E118" s="120" t="n"/>
      <c r="F118" s="120" t="n"/>
      <c r="G118" s="121">
        <f>IF($A118="","",MAX(0,$D118+$E118-$F118))</f>
        <v/>
      </c>
      <c r="H118" s="121">
        <f>IF($A118="","",MAX(0,$C118-$B118))</f>
        <v/>
      </c>
    </row>
    <row r="119" ht="15" customHeight="1" s="78">
      <c r="A119" s="122" t="n"/>
      <c r="B119" s="120" t="n"/>
      <c r="C119" s="120" t="n"/>
      <c r="D119" s="120" t="n"/>
      <c r="E119" s="120" t="n"/>
      <c r="F119" s="120" t="n"/>
      <c r="G119" s="121">
        <f>IF($A119="","",MAX(0,$D119+$E119-$F119))</f>
        <v/>
      </c>
      <c r="H119" s="121">
        <f>IF($A119="","",MAX(0,$C119-$B119))</f>
        <v/>
      </c>
    </row>
    <row r="120" ht="15" customHeight="1" s="78">
      <c r="A120" s="122" t="n"/>
      <c r="B120" s="120" t="n"/>
      <c r="C120" s="120" t="n"/>
      <c r="D120" s="120" t="n"/>
      <c r="E120" s="120" t="n"/>
      <c r="F120" s="120" t="n"/>
      <c r="G120" s="121">
        <f>IF($A120="","",MAX(0,$D120+$E120-$F120))</f>
        <v/>
      </c>
      <c r="H120" s="121">
        <f>IF($A120="","",MAX(0,$C120-$B120))</f>
        <v/>
      </c>
    </row>
    <row r="121" ht="15" customHeight="1" s="78">
      <c r="A121" s="122" t="n"/>
      <c r="B121" s="120" t="n"/>
      <c r="C121" s="120" t="n"/>
      <c r="D121" s="120" t="n"/>
      <c r="E121" s="120" t="n"/>
      <c r="F121" s="120" t="n"/>
      <c r="G121" s="121">
        <f>IF($A121="","",MAX(0,$D121+$E121-$F121))</f>
        <v/>
      </c>
      <c r="H121" s="121">
        <f>IF($A121="","",MAX(0,$C121-$B121))</f>
        <v/>
      </c>
    </row>
    <row r="122" ht="15" customHeight="1" s="78">
      <c r="A122" s="122" t="n"/>
      <c r="B122" s="120" t="n"/>
      <c r="C122" s="120" t="n"/>
      <c r="D122" s="120" t="n"/>
      <c r="E122" s="120" t="n"/>
      <c r="F122" s="120" t="n"/>
      <c r="G122" s="121">
        <f>IF($A122="","",MAX(0,$D122+$E122-$F122))</f>
        <v/>
      </c>
      <c r="H122" s="121">
        <f>IF($A122="","",MAX(0,$C122-$B122))</f>
        <v/>
      </c>
    </row>
    <row r="123" ht="15" customHeight="1" s="78">
      <c r="A123" s="122" t="n"/>
      <c r="B123" s="120" t="n"/>
      <c r="C123" s="120" t="n"/>
      <c r="D123" s="120" t="n"/>
      <c r="E123" s="120" t="n"/>
      <c r="F123" s="120" t="n"/>
      <c r="G123" s="121">
        <f>IF($A123="","",MAX(0,$D123+$E123-$F123))</f>
        <v/>
      </c>
      <c r="H123" s="121">
        <f>IF($A123="","",MAX(0,$C123-$B123))</f>
        <v/>
      </c>
    </row>
    <row r="124" ht="15" customHeight="1" s="78">
      <c r="A124" s="122" t="n"/>
      <c r="B124" s="120" t="n"/>
      <c r="C124" s="120" t="n"/>
      <c r="D124" s="120" t="n"/>
      <c r="E124" s="120" t="n"/>
      <c r="F124" s="120" t="n"/>
      <c r="G124" s="121">
        <f>IF($A124="","",MAX(0,$D124+$E124-$F124))</f>
        <v/>
      </c>
      <c r="H124" s="121">
        <f>IF($A124="","",MAX(0,$C124-$B124))</f>
        <v/>
      </c>
    </row>
    <row r="125" ht="15" customHeight="1" s="78">
      <c r="A125" s="122" t="n"/>
      <c r="B125" s="120" t="n"/>
      <c r="C125" s="120" t="n"/>
      <c r="D125" s="120" t="n"/>
      <c r="E125" s="120" t="n"/>
      <c r="F125" s="120" t="n"/>
      <c r="G125" s="121">
        <f>IF($A125="","",MAX(0,$D125+$E125-$F125))</f>
        <v/>
      </c>
      <c r="H125" s="121">
        <f>IF($A125="","",MAX(0,$C125-$B125))</f>
        <v/>
      </c>
    </row>
    <row r="126" ht="15" customHeight="1" s="78">
      <c r="A126" s="122" t="n"/>
      <c r="B126" s="120" t="n"/>
      <c r="C126" s="120" t="n"/>
      <c r="D126" s="120" t="n"/>
      <c r="E126" s="120" t="n"/>
      <c r="F126" s="120" t="n"/>
      <c r="G126" s="121">
        <f>IF($A126="","",MAX(0,$D126+$E126-$F126))</f>
        <v/>
      </c>
      <c r="H126" s="121">
        <f>IF($A126="","",MAX(0,$C126-$B126))</f>
        <v/>
      </c>
    </row>
    <row r="127" ht="15" customHeight="1" s="78">
      <c r="A127" s="122" t="n"/>
      <c r="B127" s="120" t="n"/>
      <c r="C127" s="120" t="n"/>
      <c r="D127" s="120" t="n"/>
      <c r="E127" s="120" t="n"/>
      <c r="F127" s="120" t="n"/>
      <c r="G127" s="121">
        <f>IF($A127="","",MAX(0,$D127+$E127-$F127))</f>
        <v/>
      </c>
      <c r="H127" s="121">
        <f>IF($A127="","",MAX(0,$C127-$B127))</f>
        <v/>
      </c>
    </row>
    <row r="128" ht="15" customHeight="1" s="78">
      <c r="A128" s="122" t="n"/>
      <c r="B128" s="120" t="n"/>
      <c r="C128" s="120" t="n"/>
      <c r="D128" s="120" t="n"/>
      <c r="E128" s="120" t="n"/>
      <c r="F128" s="120" t="n"/>
      <c r="G128" s="121">
        <f>IF($A128="","",MAX(0,$D128+$E128-$F128))</f>
        <v/>
      </c>
      <c r="H128" s="121">
        <f>IF($A128="","",MAX(0,$C128-$B128))</f>
        <v/>
      </c>
    </row>
    <row r="129" ht="15" customHeight="1" s="78">
      <c r="A129" s="122" t="n"/>
      <c r="B129" s="120" t="n"/>
      <c r="C129" s="120" t="n"/>
      <c r="D129" s="120" t="n"/>
      <c r="E129" s="120" t="n"/>
      <c r="F129" s="120" t="n"/>
      <c r="G129" s="121">
        <f>IF($A129="","",MAX(0,$D129+$E129-$F129))</f>
        <v/>
      </c>
      <c r="H129" s="121">
        <f>IF($A129="","",MAX(0,$C129-$B129))</f>
        <v/>
      </c>
    </row>
    <row r="130" ht="15" customHeight="1" s="78">
      <c r="A130" s="122" t="n"/>
      <c r="B130" s="120" t="n"/>
      <c r="C130" s="120" t="n"/>
      <c r="D130" s="120" t="n"/>
      <c r="E130" s="120" t="n"/>
      <c r="F130" s="120" t="n"/>
      <c r="G130" s="121">
        <f>IF($A130="","",MAX(0,$D130+$E130-$F130))</f>
        <v/>
      </c>
      <c r="H130" s="121">
        <f>IF($A130="","",MAX(0,$C130-$B130))</f>
        <v/>
      </c>
    </row>
    <row r="131" ht="15" customHeight="1" s="78">
      <c r="A131" s="122" t="n"/>
      <c r="B131" s="120" t="n"/>
      <c r="C131" s="120" t="n"/>
      <c r="D131" s="120" t="n"/>
      <c r="E131" s="120" t="n"/>
      <c r="F131" s="120" t="n"/>
      <c r="G131" s="121">
        <f>IF($A131="","",MAX(0,$D131+$E131-$F131))</f>
        <v/>
      </c>
      <c r="H131" s="121">
        <f>IF($A131="","",MAX(0,$C131-$B131))</f>
        <v/>
      </c>
    </row>
    <row r="132" ht="15" customHeight="1" s="78">
      <c r="A132" s="122" t="n"/>
      <c r="B132" s="120" t="n"/>
      <c r="C132" s="120" t="n"/>
      <c r="D132" s="120" t="n"/>
      <c r="E132" s="120" t="n"/>
      <c r="F132" s="120" t="n"/>
      <c r="G132" s="121">
        <f>IF($A132="","",MAX(0,$D132+$E132-$F132))</f>
        <v/>
      </c>
      <c r="H132" s="121">
        <f>IF($A132="","",MAX(0,$C132-$B132))</f>
        <v/>
      </c>
    </row>
    <row r="133" ht="15" customHeight="1" s="78">
      <c r="A133" s="122" t="n"/>
      <c r="B133" s="120" t="n"/>
      <c r="C133" s="120" t="n"/>
      <c r="D133" s="120" t="n"/>
      <c r="E133" s="120" t="n"/>
      <c r="F133" s="120" t="n"/>
      <c r="G133" s="121">
        <f>IF($A133="","",MAX(0,$D133+$E133-$F133))</f>
        <v/>
      </c>
      <c r="H133" s="121">
        <f>IF($A133="","",MAX(0,$C133-$B133))</f>
        <v/>
      </c>
    </row>
    <row r="134" ht="15" customHeight="1" s="78">
      <c r="A134" s="122" t="n"/>
      <c r="B134" s="120" t="n"/>
      <c r="C134" s="120" t="n"/>
      <c r="D134" s="120" t="n"/>
      <c r="E134" s="120" t="n"/>
      <c r="F134" s="120" t="n"/>
      <c r="G134" s="121">
        <f>IF($A134="","",MAX(0,$D134+$E134-$F134))</f>
        <v/>
      </c>
      <c r="H134" s="121">
        <f>IF($A134="","",MAX(0,$C134-$B134))</f>
        <v/>
      </c>
    </row>
    <row r="135" ht="15" customHeight="1" s="78">
      <c r="A135" s="122" t="n"/>
      <c r="B135" s="120" t="n"/>
      <c r="C135" s="120" t="n"/>
      <c r="D135" s="120" t="n"/>
      <c r="E135" s="120" t="n"/>
      <c r="F135" s="120" t="n"/>
      <c r="G135" s="121">
        <f>IF($A135="","",MAX(0,$D135+$E135-$F135))</f>
        <v/>
      </c>
      <c r="H135" s="121">
        <f>IF($A135="","",MAX(0,$C135-$B135))</f>
        <v/>
      </c>
    </row>
    <row r="136" ht="15" customHeight="1" s="78">
      <c r="A136" s="122" t="n"/>
      <c r="B136" s="120" t="n"/>
      <c r="C136" s="120" t="n"/>
      <c r="D136" s="120" t="n"/>
      <c r="E136" s="120" t="n"/>
      <c r="F136" s="120" t="n"/>
      <c r="G136" s="121">
        <f>IF($A136="","",MAX(0,$D136+$E136-$F136))</f>
        <v/>
      </c>
      <c r="H136" s="121">
        <f>IF($A136="","",MAX(0,$C136-$B136))</f>
        <v/>
      </c>
    </row>
    <row r="137" ht="15" customHeight="1" s="78">
      <c r="A137" s="122" t="n"/>
      <c r="B137" s="120" t="n"/>
      <c r="C137" s="120" t="n"/>
      <c r="D137" s="120" t="n"/>
      <c r="E137" s="120" t="n"/>
      <c r="F137" s="120" t="n"/>
      <c r="G137" s="121">
        <f>IF($A137="","",MAX(0,$D137+$E137-$F137))</f>
        <v/>
      </c>
      <c r="H137" s="121">
        <f>IF($A137="","",MAX(0,$C137-$B137))</f>
        <v/>
      </c>
    </row>
    <row r="138" ht="15" customHeight="1" s="78">
      <c r="A138" s="122" t="n"/>
      <c r="B138" s="120" t="n"/>
      <c r="C138" s="120" t="n"/>
      <c r="D138" s="120" t="n"/>
      <c r="E138" s="120" t="n"/>
      <c r="F138" s="120" t="n"/>
      <c r="G138" s="121">
        <f>IF($A138="","",MAX(0,$D138+$E138-$F138))</f>
        <v/>
      </c>
      <c r="H138" s="121">
        <f>IF($A138="","",MAX(0,$C138-$B138))</f>
        <v/>
      </c>
    </row>
    <row r="139" ht="15" customHeight="1" s="78">
      <c r="A139" s="122" t="n"/>
      <c r="B139" s="120" t="n"/>
      <c r="C139" s="120" t="n"/>
      <c r="D139" s="120" t="n"/>
      <c r="E139" s="120" t="n"/>
      <c r="F139" s="120" t="n"/>
      <c r="G139" s="121">
        <f>IF($A139="","",MAX(0,$D139+$E139-$F139))</f>
        <v/>
      </c>
      <c r="H139" s="121">
        <f>IF($A139="","",MAX(0,$C139-$B139))</f>
        <v/>
      </c>
    </row>
    <row r="140" ht="15" customHeight="1" s="78">
      <c r="A140" s="122" t="n"/>
      <c r="B140" s="120" t="n"/>
      <c r="C140" s="120" t="n"/>
      <c r="D140" s="120" t="n"/>
      <c r="E140" s="120" t="n"/>
      <c r="F140" s="120" t="n"/>
      <c r="G140" s="121">
        <f>IF($A140="","",MAX(0,$D140+$E140-$F140))</f>
        <v/>
      </c>
      <c r="H140" s="121">
        <f>IF($A140="","",MAX(0,$C140-$B140))</f>
        <v/>
      </c>
    </row>
    <row r="141" ht="15" customHeight="1" s="78">
      <c r="A141" s="122" t="n"/>
      <c r="B141" s="120" t="n"/>
      <c r="C141" s="120" t="n"/>
      <c r="D141" s="120" t="n"/>
      <c r="E141" s="120" t="n"/>
      <c r="F141" s="120" t="n"/>
      <c r="G141" s="121">
        <f>IF($A141="","",MAX(0,$D141+$E141-$F141))</f>
        <v/>
      </c>
      <c r="H141" s="121">
        <f>IF($A141="","",MAX(0,$C141-$B141))</f>
        <v/>
      </c>
    </row>
    <row r="142" ht="15" customHeight="1" s="78">
      <c r="A142" s="122" t="n"/>
      <c r="B142" s="120" t="n"/>
      <c r="C142" s="120" t="n"/>
      <c r="D142" s="120" t="n"/>
      <c r="E142" s="120" t="n"/>
      <c r="F142" s="120" t="n"/>
      <c r="G142" s="121">
        <f>IF($A142="","",MAX(0,$D142+$E142-$F142))</f>
        <v/>
      </c>
      <c r="H142" s="121">
        <f>IF($A142="","",MAX(0,$C142-$B142))</f>
        <v/>
      </c>
    </row>
    <row r="143" ht="15" customHeight="1" s="78">
      <c r="A143" s="122" t="n"/>
      <c r="B143" s="120" t="n"/>
      <c r="C143" s="120" t="n"/>
      <c r="D143" s="120" t="n"/>
      <c r="E143" s="120" t="n"/>
      <c r="F143" s="120" t="n"/>
      <c r="G143" s="121">
        <f>IF($A143="","",MAX(0,$D143+$E143-$F143))</f>
        <v/>
      </c>
      <c r="H143" s="121">
        <f>IF($A143="","",MAX(0,$C143-$B143))</f>
        <v/>
      </c>
    </row>
    <row r="144" ht="15" customHeight="1" s="78">
      <c r="A144" s="122" t="n"/>
      <c r="B144" s="120" t="n"/>
      <c r="C144" s="120" t="n"/>
      <c r="D144" s="120" t="n"/>
      <c r="E144" s="120" t="n"/>
      <c r="F144" s="120" t="n"/>
      <c r="G144" s="121">
        <f>IF($A144="","",MAX(0,$D144+$E144-$F144))</f>
        <v/>
      </c>
      <c r="H144" s="121">
        <f>IF($A144="","",MAX(0,$C144-$B144))</f>
        <v/>
      </c>
    </row>
    <row r="145" ht="15" customHeight="1" s="78">
      <c r="A145" s="122" t="n"/>
      <c r="B145" s="120" t="n"/>
      <c r="C145" s="120" t="n"/>
      <c r="D145" s="120" t="n"/>
      <c r="E145" s="120" t="n"/>
      <c r="F145" s="120" t="n"/>
      <c r="G145" s="121">
        <f>IF($A145="","",MAX(0,$D145+$E145-$F145))</f>
        <v/>
      </c>
      <c r="H145" s="121">
        <f>IF($A145="","",MAX(0,$C145-$B145))</f>
        <v/>
      </c>
    </row>
    <row r="146" ht="15" customHeight="1" s="78">
      <c r="A146" s="122" t="n"/>
      <c r="B146" s="120" t="n"/>
      <c r="C146" s="120" t="n"/>
      <c r="D146" s="120" t="n"/>
      <c r="E146" s="120" t="n"/>
      <c r="F146" s="120" t="n"/>
      <c r="G146" s="121">
        <f>IF($A146="","",MAX(0,$D146+$E146-$F146))</f>
        <v/>
      </c>
      <c r="H146" s="121">
        <f>IF($A146="","",MAX(0,$C146-$B146))</f>
        <v/>
      </c>
    </row>
    <row r="147" ht="15" customHeight="1" s="78">
      <c r="A147" s="122" t="n"/>
      <c r="B147" s="120" t="n"/>
      <c r="C147" s="120" t="n"/>
      <c r="D147" s="120" t="n"/>
      <c r="E147" s="120" t="n"/>
      <c r="F147" s="120" t="n"/>
      <c r="G147" s="121">
        <f>IF($A147="","",MAX(0,$D147+$E147-$F147))</f>
        <v/>
      </c>
      <c r="H147" s="121">
        <f>IF($A147="","",MAX(0,$C147-$B147))</f>
        <v/>
      </c>
    </row>
    <row r="148" ht="15" customHeight="1" s="78">
      <c r="A148" s="122" t="n"/>
      <c r="B148" s="120" t="n"/>
      <c r="C148" s="120" t="n"/>
      <c r="D148" s="120" t="n"/>
      <c r="E148" s="120" t="n"/>
      <c r="F148" s="120" t="n"/>
      <c r="G148" s="121">
        <f>IF($A148="","",MAX(0,$D148+$E148-$F148))</f>
        <v/>
      </c>
      <c r="H148" s="121">
        <f>IF($A148="","",MAX(0,$C148-$B148))</f>
        <v/>
      </c>
    </row>
    <row r="149" ht="15" customHeight="1" s="78">
      <c r="A149" s="122" t="n"/>
      <c r="B149" s="120" t="n"/>
      <c r="C149" s="120" t="n"/>
      <c r="D149" s="120" t="n"/>
      <c r="E149" s="120" t="n"/>
      <c r="F149" s="120" t="n"/>
      <c r="G149" s="121">
        <f>IF($A149="","",MAX(0,$D149+$E149-$F149))</f>
        <v/>
      </c>
      <c r="H149" s="121">
        <f>IF($A149="","",MAX(0,$C149-$B149))</f>
        <v/>
      </c>
    </row>
    <row r="150" ht="15" customHeight="1" s="78">
      <c r="A150" s="122" t="n"/>
      <c r="B150" s="120" t="n"/>
      <c r="C150" s="120" t="n"/>
      <c r="D150" s="120" t="n"/>
      <c r="E150" s="120" t="n"/>
      <c r="F150" s="120" t="n"/>
      <c r="G150" s="121">
        <f>IF($A150="","",MAX(0,$D150+$E150-$F150))</f>
        <v/>
      </c>
      <c r="H150" s="121">
        <f>IF($A150="","",MAX(0,$C150-$B150))</f>
        <v/>
      </c>
    </row>
    <row r="151" ht="15" customHeight="1" s="78">
      <c r="A151" s="122" t="n"/>
      <c r="B151" s="120" t="n"/>
      <c r="C151" s="120" t="n"/>
      <c r="D151" s="120" t="n"/>
      <c r="E151" s="120" t="n"/>
      <c r="F151" s="120" t="n"/>
      <c r="G151" s="121">
        <f>IF($A151="","",MAX(0,$D151+$E151-$F151))</f>
        <v/>
      </c>
      <c r="H151" s="121">
        <f>IF($A151="","",MAX(0,$C151-$B151))</f>
        <v/>
      </c>
    </row>
    <row r="152" ht="15" customHeight="1" s="78">
      <c r="A152" s="122" t="n"/>
      <c r="B152" s="120" t="n"/>
      <c r="C152" s="120" t="n"/>
      <c r="D152" s="120" t="n"/>
      <c r="E152" s="120" t="n"/>
      <c r="F152" s="120" t="n"/>
      <c r="G152" s="121">
        <f>IF($A152="","",MAX(0,$D152+$E152-$F152))</f>
        <v/>
      </c>
      <c r="H152" s="121">
        <f>IF($A152="","",MAX(0,$C152-$B152))</f>
        <v/>
      </c>
    </row>
    <row r="153" ht="15" customHeight="1" s="78">
      <c r="A153" s="122" t="n"/>
      <c r="B153" s="120" t="n"/>
      <c r="C153" s="120" t="n"/>
      <c r="D153" s="120" t="n"/>
      <c r="E153" s="120" t="n"/>
      <c r="F153" s="120" t="n"/>
      <c r="G153" s="121">
        <f>IF($A153="","",MAX(0,$D153+$E153-$F153))</f>
        <v/>
      </c>
      <c r="H153" s="121">
        <f>IF($A153="","",MAX(0,$C153-$B153))</f>
        <v/>
      </c>
    </row>
    <row r="154" ht="15" customHeight="1" s="78">
      <c r="A154" s="122" t="n"/>
      <c r="B154" s="120" t="n"/>
      <c r="C154" s="120" t="n"/>
      <c r="D154" s="120" t="n"/>
      <c r="E154" s="120" t="n"/>
      <c r="F154" s="120" t="n"/>
      <c r="G154" s="121">
        <f>IF($A154="","",MAX(0,$D154+$E154-$F154))</f>
        <v/>
      </c>
      <c r="H154" s="121">
        <f>IF($A154="","",MAX(0,$C154-$B154))</f>
        <v/>
      </c>
    </row>
    <row r="155" ht="15" customHeight="1" s="78">
      <c r="A155" s="122" t="n"/>
      <c r="B155" s="120" t="n"/>
      <c r="C155" s="120" t="n"/>
      <c r="D155" s="120" t="n"/>
      <c r="E155" s="120" t="n"/>
      <c r="F155" s="120" t="n"/>
      <c r="G155" s="121">
        <f>IF($A155="","",MAX(0,$D155+$E155-$F155))</f>
        <v/>
      </c>
      <c r="H155" s="121">
        <f>IF($A155="","",MAX(0,$C155-$B155))</f>
        <v/>
      </c>
    </row>
    <row r="156" ht="15" customHeight="1" s="78">
      <c r="A156" s="122" t="n"/>
      <c r="B156" s="120" t="n"/>
      <c r="C156" s="120" t="n"/>
      <c r="D156" s="120" t="n"/>
      <c r="E156" s="120" t="n"/>
      <c r="F156" s="120" t="n"/>
      <c r="G156" s="121">
        <f>IF($A156="","",MAX(0,$D156+$E156-$F156))</f>
        <v/>
      </c>
      <c r="H156" s="121">
        <f>IF($A156="","",MAX(0,$C156-$B156))</f>
        <v/>
      </c>
    </row>
    <row r="157" ht="15" customHeight="1" s="78">
      <c r="A157" s="122" t="n"/>
      <c r="B157" s="120" t="n"/>
      <c r="C157" s="120" t="n"/>
      <c r="D157" s="120" t="n"/>
      <c r="E157" s="120" t="n"/>
      <c r="F157" s="120" t="n"/>
      <c r="G157" s="121">
        <f>IF($A157="","",MAX(0,$D157+$E157-$F157))</f>
        <v/>
      </c>
      <c r="H157" s="121">
        <f>IF($A157="","",MAX(0,$C157-$B157))</f>
        <v/>
      </c>
    </row>
    <row r="158" ht="15" customHeight="1" s="78">
      <c r="A158" s="122" t="n"/>
      <c r="B158" s="120" t="n"/>
      <c r="C158" s="120" t="n"/>
      <c r="D158" s="120" t="n"/>
      <c r="E158" s="120" t="n"/>
      <c r="F158" s="120" t="n"/>
      <c r="G158" s="121">
        <f>IF($A158="","",MAX(0,$D158+$E158-$F158))</f>
        <v/>
      </c>
      <c r="H158" s="121">
        <f>IF($A158="","",MAX(0,$C158-$B158))</f>
        <v/>
      </c>
    </row>
    <row r="159" ht="15" customHeight="1" s="78">
      <c r="A159" s="122" t="n"/>
      <c r="B159" s="120" t="n"/>
      <c r="C159" s="120" t="n"/>
      <c r="D159" s="120" t="n"/>
      <c r="E159" s="120" t="n"/>
      <c r="F159" s="120" t="n"/>
      <c r="G159" s="121">
        <f>IF($A159="","",MAX(0,$D159+$E159-$F159))</f>
        <v/>
      </c>
      <c r="H159" s="121">
        <f>IF($A159="","",MAX(0,$C159-$B159))</f>
        <v/>
      </c>
    </row>
    <row r="160" ht="15" customHeight="1" s="78">
      <c r="A160" s="122" t="n"/>
      <c r="B160" s="120" t="n"/>
      <c r="C160" s="120" t="n"/>
      <c r="D160" s="120" t="n"/>
      <c r="E160" s="120" t="n"/>
      <c r="F160" s="120" t="n"/>
      <c r="G160" s="121">
        <f>IF($A160="","",MAX(0,$D160+$E160-$F160))</f>
        <v/>
      </c>
      <c r="H160" s="121">
        <f>IF($A160="","",MAX(0,$C160-$B160))</f>
        <v/>
      </c>
    </row>
    <row r="161" ht="15" customHeight="1" s="78">
      <c r="A161" s="122" t="n"/>
      <c r="B161" s="120" t="n"/>
      <c r="C161" s="120" t="n"/>
      <c r="D161" s="120" t="n"/>
      <c r="E161" s="120" t="n"/>
      <c r="F161" s="120" t="n"/>
      <c r="G161" s="121">
        <f>IF($A161="","",MAX(0,$D161+$E161-$F161))</f>
        <v/>
      </c>
      <c r="H161" s="121">
        <f>IF($A161="","",MAX(0,$C161-$B161))</f>
        <v/>
      </c>
    </row>
    <row r="162" ht="15" customHeight="1" s="78">
      <c r="A162" s="122" t="n"/>
      <c r="B162" s="120" t="n"/>
      <c r="C162" s="120" t="n"/>
      <c r="D162" s="120" t="n"/>
      <c r="E162" s="120" t="n"/>
      <c r="F162" s="120" t="n"/>
      <c r="G162" s="121">
        <f>IF($A162="","",MAX(0,$D162+$E162-$F162))</f>
        <v/>
      </c>
      <c r="H162" s="121">
        <f>IF($A162="","",MAX(0,$C162-$B162))</f>
        <v/>
      </c>
    </row>
    <row r="163" ht="15" customHeight="1" s="78">
      <c r="A163" s="122" t="n"/>
      <c r="B163" s="120" t="n"/>
      <c r="C163" s="120" t="n"/>
      <c r="D163" s="120" t="n"/>
      <c r="E163" s="120" t="n"/>
      <c r="F163" s="120" t="n"/>
      <c r="G163" s="121">
        <f>IF($A163="","",MAX(0,$D163+$E163-$F163))</f>
        <v/>
      </c>
      <c r="H163" s="121">
        <f>IF($A163="","",MAX(0,$C163-$B163))</f>
        <v/>
      </c>
    </row>
    <row r="164" ht="15" customHeight="1" s="78">
      <c r="A164" s="122" t="n"/>
      <c r="B164" s="120" t="n"/>
      <c r="C164" s="120" t="n"/>
      <c r="D164" s="120" t="n"/>
      <c r="E164" s="120" t="n"/>
      <c r="F164" s="120" t="n"/>
      <c r="G164" s="121">
        <f>IF($A164="","",MAX(0,$D164+$E164-$F164))</f>
        <v/>
      </c>
      <c r="H164" s="121">
        <f>IF($A164="","",MAX(0,$C164-$B164))</f>
        <v/>
      </c>
    </row>
    <row r="165" ht="15" customHeight="1" s="78">
      <c r="A165" s="122" t="n"/>
      <c r="B165" s="120" t="n"/>
      <c r="C165" s="120" t="n"/>
      <c r="D165" s="120" t="n"/>
      <c r="E165" s="120" t="n"/>
      <c r="F165" s="120" t="n"/>
      <c r="G165" s="121">
        <f>IF($A165="","",MAX(0,$D165+$E165-$F165))</f>
        <v/>
      </c>
      <c r="H165" s="121">
        <f>IF($A165="","",MAX(0,$C165-$B165))</f>
        <v/>
      </c>
    </row>
    <row r="166" ht="15" customHeight="1" s="78">
      <c r="A166" s="122" t="n"/>
      <c r="B166" s="120" t="n"/>
      <c r="C166" s="120" t="n"/>
      <c r="D166" s="120" t="n"/>
      <c r="E166" s="120" t="n"/>
      <c r="F166" s="120" t="n"/>
      <c r="G166" s="121">
        <f>IF($A166="","",MAX(0,$D166+$E166-$F166))</f>
        <v/>
      </c>
      <c r="H166" s="121">
        <f>IF($A166="","",MAX(0,$C166-$B166))</f>
        <v/>
      </c>
    </row>
    <row r="167" ht="15" customHeight="1" s="78">
      <c r="A167" s="122" t="n"/>
      <c r="B167" s="120" t="n"/>
      <c r="C167" s="120" t="n"/>
      <c r="D167" s="120" t="n"/>
      <c r="E167" s="120" t="n"/>
      <c r="F167" s="120" t="n"/>
      <c r="G167" s="121">
        <f>IF($A167="","",MAX(0,$D167+$E167-$F167))</f>
        <v/>
      </c>
      <c r="H167" s="121">
        <f>IF($A167="","",MAX(0,$C167-$B167))</f>
        <v/>
      </c>
    </row>
    <row r="168" ht="15" customHeight="1" s="78">
      <c r="A168" s="122" t="n"/>
      <c r="B168" s="120" t="n"/>
      <c r="C168" s="120" t="n"/>
      <c r="D168" s="120" t="n"/>
      <c r="E168" s="120" t="n"/>
      <c r="F168" s="120" t="n"/>
      <c r="G168" s="121">
        <f>IF($A168="","",MAX(0,$D168+$E168-$F168))</f>
        <v/>
      </c>
      <c r="H168" s="121">
        <f>IF($A168="","",MAX(0,$C168-$B168))</f>
        <v/>
      </c>
    </row>
    <row r="169" ht="15" customHeight="1" s="78">
      <c r="A169" s="122" t="n"/>
      <c r="B169" s="120" t="n"/>
      <c r="C169" s="120" t="n"/>
      <c r="D169" s="120" t="n"/>
      <c r="E169" s="120" t="n"/>
      <c r="F169" s="120" t="n"/>
      <c r="G169" s="121">
        <f>IF($A169="","",MAX(0,$D169+$E169-$F169))</f>
        <v/>
      </c>
      <c r="H169" s="121">
        <f>IF($A169="","",MAX(0,$C169-$B169))</f>
        <v/>
      </c>
    </row>
    <row r="170" ht="15" customHeight="1" s="78">
      <c r="A170" s="122" t="n"/>
      <c r="B170" s="120" t="n"/>
      <c r="C170" s="120" t="n"/>
      <c r="D170" s="120" t="n"/>
      <c r="E170" s="120" t="n"/>
      <c r="F170" s="120" t="n"/>
      <c r="G170" s="121">
        <f>IF($A170="","",MAX(0,$D170+$E170-$F170))</f>
        <v/>
      </c>
      <c r="H170" s="121">
        <f>IF($A170="","",MAX(0,$C170-$B170))</f>
        <v/>
      </c>
    </row>
    <row r="171" ht="15" customHeight="1" s="78">
      <c r="A171" s="122" t="n"/>
      <c r="B171" s="120" t="n"/>
      <c r="C171" s="120" t="n"/>
      <c r="D171" s="120" t="n"/>
      <c r="E171" s="120" t="n"/>
      <c r="F171" s="120" t="n"/>
      <c r="G171" s="121">
        <f>IF($A171="","",MAX(0,$D171+$E171-$F171))</f>
        <v/>
      </c>
      <c r="H171" s="121">
        <f>IF($A171="","",MAX(0,$C171-$B171))</f>
        <v/>
      </c>
    </row>
    <row r="172" ht="15" customHeight="1" s="78">
      <c r="A172" s="122" t="n"/>
      <c r="B172" s="120" t="n"/>
      <c r="C172" s="120" t="n"/>
      <c r="D172" s="120" t="n"/>
      <c r="E172" s="120" t="n"/>
      <c r="F172" s="120" t="n"/>
      <c r="G172" s="121">
        <f>IF($A172="","",MAX(0,$D172+$E172-$F172))</f>
        <v/>
      </c>
      <c r="H172" s="121">
        <f>IF($A172="","",MAX(0,$C172-$B172))</f>
        <v/>
      </c>
    </row>
    <row r="173" ht="15" customHeight="1" s="78">
      <c r="A173" s="122" t="n"/>
      <c r="B173" s="120" t="n"/>
      <c r="C173" s="120" t="n"/>
      <c r="D173" s="120" t="n"/>
      <c r="E173" s="120" t="n"/>
      <c r="F173" s="120" t="n"/>
      <c r="G173" s="121">
        <f>IF($A173="","",MAX(0,$D173+$E173-$F173))</f>
        <v/>
      </c>
      <c r="H173" s="121">
        <f>IF($A173="","",MAX(0,$C173-$B173))</f>
        <v/>
      </c>
    </row>
    <row r="174" ht="15" customHeight="1" s="78">
      <c r="A174" s="122" t="n"/>
      <c r="B174" s="120" t="n"/>
      <c r="C174" s="120" t="n"/>
      <c r="D174" s="120" t="n"/>
      <c r="E174" s="120" t="n"/>
      <c r="F174" s="120" t="n"/>
      <c r="G174" s="121">
        <f>IF($A174="","",MAX(0,$D174+$E174-$F174))</f>
        <v/>
      </c>
      <c r="H174" s="121">
        <f>IF($A174="","",MAX(0,$C174-$B174))</f>
        <v/>
      </c>
    </row>
    <row r="175" ht="15" customHeight="1" s="78">
      <c r="A175" s="122" t="n"/>
      <c r="B175" s="120" t="n"/>
      <c r="C175" s="120" t="n"/>
      <c r="D175" s="120" t="n"/>
      <c r="E175" s="120" t="n"/>
      <c r="F175" s="120" t="n"/>
      <c r="G175" s="121">
        <f>IF($A175="","",MAX(0,$D175+$E175-$F175))</f>
        <v/>
      </c>
      <c r="H175" s="121">
        <f>IF($A175="","",MAX(0,$C175-$B175))</f>
        <v/>
      </c>
    </row>
    <row r="176" ht="15" customHeight="1" s="78">
      <c r="A176" s="122" t="n"/>
      <c r="B176" s="120" t="n"/>
      <c r="C176" s="120" t="n"/>
      <c r="D176" s="120" t="n"/>
      <c r="E176" s="120" t="n"/>
      <c r="F176" s="120" t="n"/>
      <c r="G176" s="121">
        <f>IF($A176="","",MAX(0,$D176+$E176-$F176))</f>
        <v/>
      </c>
      <c r="H176" s="121">
        <f>IF($A176="","",MAX(0,$C176-$B176))</f>
        <v/>
      </c>
    </row>
    <row r="177" ht="15" customHeight="1" s="78">
      <c r="A177" s="122" t="n"/>
      <c r="B177" s="120" t="n"/>
      <c r="C177" s="120" t="n"/>
      <c r="D177" s="120" t="n"/>
      <c r="E177" s="120" t="n"/>
      <c r="F177" s="120" t="n"/>
      <c r="G177" s="121">
        <f>IF($A177="","",MAX(0,$D177+$E177-$F177))</f>
        <v/>
      </c>
      <c r="H177" s="121">
        <f>IF($A177="","",MAX(0,$C177-$B177))</f>
        <v/>
      </c>
    </row>
    <row r="178" ht="15" customHeight="1" s="78">
      <c r="A178" s="122" t="n"/>
      <c r="B178" s="120" t="n"/>
      <c r="C178" s="120" t="n"/>
      <c r="D178" s="120" t="n"/>
      <c r="E178" s="120" t="n"/>
      <c r="F178" s="120" t="n"/>
      <c r="G178" s="121">
        <f>IF($A178="","",MAX(0,$D178+$E178-$F178))</f>
        <v/>
      </c>
      <c r="H178" s="121">
        <f>IF($A178="","",MAX(0,$C178-$B178))</f>
        <v/>
      </c>
    </row>
    <row r="179" ht="15" customHeight="1" s="78">
      <c r="A179" s="122" t="n"/>
      <c r="B179" s="120" t="n"/>
      <c r="C179" s="120" t="n"/>
      <c r="D179" s="120" t="n"/>
      <c r="E179" s="120" t="n"/>
      <c r="F179" s="120" t="n"/>
      <c r="G179" s="121">
        <f>IF($A179="","",MAX(0,$D179+$E179-$F179))</f>
        <v/>
      </c>
      <c r="H179" s="121">
        <f>IF($A179="","",MAX(0,$C179-$B179))</f>
        <v/>
      </c>
    </row>
    <row r="180" ht="15" customHeight="1" s="78">
      <c r="A180" s="122" t="n"/>
      <c r="B180" s="120" t="n"/>
      <c r="C180" s="120" t="n"/>
      <c r="D180" s="120" t="n"/>
      <c r="E180" s="120" t="n"/>
      <c r="F180" s="120" t="n"/>
      <c r="G180" s="121">
        <f>IF($A180="","",MAX(0,$D180+$E180-$F180))</f>
        <v/>
      </c>
      <c r="H180" s="121">
        <f>IF($A180="","",MAX(0,$C180-$B180))</f>
        <v/>
      </c>
    </row>
    <row r="181" ht="15" customHeight="1" s="78">
      <c r="A181" s="122" t="n"/>
      <c r="B181" s="120" t="n"/>
      <c r="C181" s="120" t="n"/>
      <c r="D181" s="120" t="n"/>
      <c r="E181" s="120" t="n"/>
      <c r="F181" s="120" t="n"/>
      <c r="G181" s="121">
        <f>IF($A181="","",MAX(0,$D181+$E181-$F181))</f>
        <v/>
      </c>
      <c r="H181" s="121">
        <f>IF($A181="","",MAX(0,$C181-$B181))</f>
        <v/>
      </c>
    </row>
    <row r="182" ht="15" customHeight="1" s="78">
      <c r="A182" s="122" t="n"/>
      <c r="B182" s="120" t="n"/>
      <c r="C182" s="120" t="n"/>
      <c r="D182" s="120" t="n"/>
      <c r="E182" s="120" t="n"/>
      <c r="F182" s="120" t="n"/>
      <c r="G182" s="121">
        <f>IF($A182="","",MAX(0,$D182+$E182-$F182))</f>
        <v/>
      </c>
      <c r="H182" s="121">
        <f>IF($A182="","",MAX(0,$C182-$B182))</f>
        <v/>
      </c>
    </row>
    <row r="183" ht="15" customHeight="1" s="78">
      <c r="A183" s="122" t="n"/>
      <c r="B183" s="120" t="n"/>
      <c r="C183" s="120" t="n"/>
      <c r="D183" s="120" t="n"/>
      <c r="E183" s="120" t="n"/>
      <c r="F183" s="120" t="n"/>
      <c r="G183" s="121">
        <f>IF($A183="","",MAX(0,$D183+$E183-$F183))</f>
        <v/>
      </c>
      <c r="H183" s="121">
        <f>IF($A183="","",MAX(0,$C183-$B183))</f>
        <v/>
      </c>
    </row>
    <row r="184" ht="15" customHeight="1" s="78">
      <c r="A184" s="122" t="n"/>
      <c r="B184" s="120" t="n"/>
      <c r="C184" s="120" t="n"/>
      <c r="D184" s="120" t="n"/>
      <c r="E184" s="120" t="n"/>
      <c r="F184" s="120" t="n"/>
      <c r="G184" s="121">
        <f>IF($A184="","",MAX(0,$D184+$E184-$F184))</f>
        <v/>
      </c>
      <c r="H184" s="121">
        <f>IF($A184="","",MAX(0,$C184-$B184))</f>
        <v/>
      </c>
    </row>
    <row r="185" ht="15" customHeight="1" s="78">
      <c r="A185" s="122" t="n"/>
      <c r="B185" s="120" t="n"/>
      <c r="C185" s="120" t="n"/>
      <c r="D185" s="120" t="n"/>
      <c r="E185" s="120" t="n"/>
      <c r="F185" s="120" t="n"/>
      <c r="G185" s="121">
        <f>IF($A185="","",MAX(0,$D185+$E185-$F185))</f>
        <v/>
      </c>
      <c r="H185" s="121">
        <f>IF($A185="","",MAX(0,$C185-$B185))</f>
        <v/>
      </c>
    </row>
    <row r="186" ht="15" customHeight="1" s="78">
      <c r="A186" s="122" t="n"/>
      <c r="B186" s="120" t="n"/>
      <c r="C186" s="120" t="n"/>
      <c r="D186" s="120" t="n"/>
      <c r="E186" s="120" t="n"/>
      <c r="F186" s="120" t="n"/>
      <c r="G186" s="121">
        <f>IF($A186="","",MAX(0,$D186+$E186-$F186))</f>
        <v/>
      </c>
      <c r="H186" s="121">
        <f>IF($A186="","",MAX(0,$C186-$B186))</f>
        <v/>
      </c>
    </row>
    <row r="187" ht="15" customHeight="1" s="78">
      <c r="A187" s="122" t="n"/>
      <c r="B187" s="120" t="n"/>
      <c r="C187" s="120" t="n"/>
      <c r="D187" s="120" t="n"/>
      <c r="E187" s="120" t="n"/>
      <c r="F187" s="120" t="n"/>
      <c r="G187" s="121">
        <f>IF($A187="","",MAX(0,$D187+$E187-$F187))</f>
        <v/>
      </c>
      <c r="H187" s="121">
        <f>IF($A187="","",MAX(0,$C187-$B187))</f>
        <v/>
      </c>
    </row>
    <row r="188" ht="15" customHeight="1" s="78">
      <c r="A188" s="122" t="n"/>
      <c r="B188" s="120" t="n"/>
      <c r="C188" s="120" t="n"/>
      <c r="D188" s="120" t="n"/>
      <c r="E188" s="120" t="n"/>
      <c r="F188" s="120" t="n"/>
      <c r="G188" s="121">
        <f>IF($A188="","",MAX(0,$D188+$E188-$F188))</f>
        <v/>
      </c>
      <c r="H188" s="121">
        <f>IF($A188="","",MAX(0,$C188-$B188))</f>
        <v/>
      </c>
    </row>
    <row r="189" ht="15" customHeight="1" s="78">
      <c r="A189" s="122" t="n"/>
      <c r="B189" s="120" t="n"/>
      <c r="C189" s="120" t="n"/>
      <c r="D189" s="120" t="n"/>
      <c r="E189" s="120" t="n"/>
      <c r="F189" s="120" t="n"/>
      <c r="G189" s="121">
        <f>IF($A189="","",MAX(0,$D189+$E189-$F189))</f>
        <v/>
      </c>
      <c r="H189" s="121">
        <f>IF($A189="","",MAX(0,$C189-$B189))</f>
        <v/>
      </c>
    </row>
    <row r="190" ht="15" customHeight="1" s="78">
      <c r="A190" s="122" t="n"/>
      <c r="B190" s="120" t="n"/>
      <c r="C190" s="120" t="n"/>
      <c r="D190" s="120" t="n"/>
      <c r="E190" s="120" t="n"/>
      <c r="F190" s="120" t="n"/>
      <c r="G190" s="121">
        <f>IF($A190="","",MAX(0,$D190+$E190-$F190))</f>
        <v/>
      </c>
      <c r="H190" s="121">
        <f>IF($A190="","",MAX(0,$C190-$B190))</f>
        <v/>
      </c>
    </row>
    <row r="191" ht="15" customHeight="1" s="78">
      <c r="A191" s="122" t="n"/>
      <c r="B191" s="120" t="n"/>
      <c r="C191" s="120" t="n"/>
      <c r="D191" s="120" t="n"/>
      <c r="E191" s="120" t="n"/>
      <c r="F191" s="120" t="n"/>
      <c r="G191" s="121">
        <f>IF($A191="","",MAX(0,$D191+$E191-$F191))</f>
        <v/>
      </c>
      <c r="H191" s="121">
        <f>IF($A191="","",MAX(0,$C191-$B191))</f>
        <v/>
      </c>
    </row>
    <row r="192" ht="15" customHeight="1" s="78">
      <c r="A192" s="122" t="n"/>
      <c r="B192" s="120" t="n"/>
      <c r="C192" s="120" t="n"/>
      <c r="D192" s="120" t="n"/>
      <c r="E192" s="120" t="n"/>
      <c r="F192" s="120" t="n"/>
      <c r="G192" s="121">
        <f>IF($A192="","",MAX(0,$D192+$E192-$F192))</f>
        <v/>
      </c>
      <c r="H192" s="121">
        <f>IF($A192="","",MAX(0,$C192-$B192))</f>
        <v/>
      </c>
    </row>
    <row r="193" ht="15" customHeight="1" s="78">
      <c r="A193" s="122" t="n"/>
      <c r="B193" s="120" t="n"/>
      <c r="C193" s="120" t="n"/>
      <c r="D193" s="120" t="n"/>
      <c r="E193" s="120" t="n"/>
      <c r="F193" s="120" t="n"/>
      <c r="G193" s="121">
        <f>IF($A193="","",MAX(0,$D193+$E193-$F193))</f>
        <v/>
      </c>
      <c r="H193" s="121">
        <f>IF($A193="","",MAX(0,$C193-$B193))</f>
        <v/>
      </c>
    </row>
    <row r="194" ht="15" customHeight="1" s="78">
      <c r="A194" s="122" t="n"/>
      <c r="B194" s="120" t="n"/>
      <c r="C194" s="120" t="n"/>
      <c r="D194" s="120" t="n"/>
      <c r="E194" s="120" t="n"/>
      <c r="F194" s="120" t="n"/>
      <c r="G194" s="121">
        <f>IF($A194="","",MAX(0,$D194+$E194-$F194))</f>
        <v/>
      </c>
      <c r="H194" s="121">
        <f>IF($A194="","",MAX(0,$C194-$B194))</f>
        <v/>
      </c>
    </row>
    <row r="195" ht="15" customHeight="1" s="78">
      <c r="A195" s="122" t="n"/>
      <c r="B195" s="120" t="n"/>
      <c r="C195" s="120" t="n"/>
      <c r="D195" s="120" t="n"/>
      <c r="E195" s="120" t="n"/>
      <c r="F195" s="120" t="n"/>
      <c r="G195" s="121">
        <f>IF($A195="","",MAX(0,$D195+$E195-$F195))</f>
        <v/>
      </c>
      <c r="H195" s="121">
        <f>IF($A195="","",MAX(0,$C195-$B195))</f>
        <v/>
      </c>
    </row>
    <row r="196" ht="15" customHeight="1" s="78">
      <c r="A196" s="122" t="n"/>
      <c r="B196" s="120" t="n"/>
      <c r="C196" s="120" t="n"/>
      <c r="D196" s="120" t="n"/>
      <c r="E196" s="120" t="n"/>
      <c r="F196" s="120" t="n"/>
      <c r="G196" s="121">
        <f>IF($A196="","",MAX(0,$D196+$E196-$F196))</f>
        <v/>
      </c>
      <c r="H196" s="121">
        <f>IF($A196="","",MAX(0,$C196-$B196))</f>
        <v/>
      </c>
    </row>
    <row r="197" ht="15" customHeight="1" s="78">
      <c r="A197" s="122" t="n"/>
      <c r="B197" s="120" t="n"/>
      <c r="C197" s="120" t="n"/>
      <c r="D197" s="120" t="n"/>
      <c r="E197" s="120" t="n"/>
      <c r="F197" s="120" t="n"/>
      <c r="G197" s="121">
        <f>IF($A197="","",MAX(0,$D197+$E197-$F197))</f>
        <v/>
      </c>
      <c r="H197" s="121">
        <f>IF($A197="","",MAX(0,$C197-$B197))</f>
        <v/>
      </c>
    </row>
    <row r="198" ht="15" customHeight="1" s="78">
      <c r="A198" s="122" t="n"/>
      <c r="B198" s="120" t="n"/>
      <c r="C198" s="120" t="n"/>
      <c r="D198" s="120" t="n"/>
      <c r="E198" s="120" t="n"/>
      <c r="F198" s="120" t="n"/>
      <c r="G198" s="121">
        <f>IF($A198="","",MAX(0,$D198+$E198-$F198))</f>
        <v/>
      </c>
      <c r="H198" s="121">
        <f>IF($A198="","",MAX(0,$C198-$B198))</f>
        <v/>
      </c>
    </row>
    <row r="199" ht="15" customHeight="1" s="78">
      <c r="A199" s="122" t="n"/>
      <c r="B199" s="120" t="n"/>
      <c r="C199" s="120" t="n"/>
      <c r="D199" s="120" t="n"/>
      <c r="E199" s="120" t="n"/>
      <c r="F199" s="120" t="n"/>
      <c r="G199" s="121">
        <f>IF($A199="","",MAX(0,$D199+$E199-$F199))</f>
        <v/>
      </c>
      <c r="H199" s="121">
        <f>IF($A199="","",MAX(0,$C199-$B199))</f>
        <v/>
      </c>
    </row>
    <row r="200" ht="15" customHeight="1" s="78">
      <c r="A200" s="122" t="n"/>
      <c r="B200" s="120" t="n"/>
      <c r="C200" s="120" t="n"/>
      <c r="D200" s="120" t="n"/>
      <c r="E200" s="120" t="n"/>
      <c r="F200" s="120" t="n"/>
      <c r="G200" s="121">
        <f>IF($A200="","",MAX(0,$D200+$E200-$F200))</f>
        <v/>
      </c>
      <c r="H200" s="121">
        <f>IF($A200="","",MAX(0,$C200-$B200))</f>
        <v/>
      </c>
    </row>
    <row r="201" ht="15" customHeight="1" s="78">
      <c r="A201" s="122" t="n"/>
      <c r="B201" s="120" t="n"/>
      <c r="C201" s="120" t="n"/>
      <c r="D201" s="120" t="n"/>
      <c r="E201" s="120" t="n"/>
      <c r="F201" s="120" t="n"/>
      <c r="G201" s="121">
        <f>IF($A201="","",MAX(0,$D201+$E201-$F201))</f>
        <v/>
      </c>
      <c r="H201" s="121">
        <f>IF($A201="","",MAX(0,$C201-$B201))</f>
        <v/>
      </c>
    </row>
    <row r="202" ht="15" customHeight="1" s="78">
      <c r="A202" s="122" t="n"/>
      <c r="B202" s="120" t="n"/>
      <c r="C202" s="120" t="n"/>
      <c r="D202" s="120" t="n"/>
      <c r="E202" s="120" t="n"/>
      <c r="F202" s="120" t="n"/>
      <c r="G202" s="121">
        <f>IF($A202="","",MAX(0,$D202+$E202-$F202))</f>
        <v/>
      </c>
      <c r="H202" s="121">
        <f>IF($A202="","",MAX(0,$C202-$B202))</f>
        <v/>
      </c>
    </row>
    <row r="203" ht="15" customHeight="1" s="78">
      <c r="A203" s="122" t="n"/>
      <c r="B203" s="120" t="n"/>
      <c r="C203" s="120" t="n"/>
      <c r="D203" s="120" t="n"/>
      <c r="E203" s="120" t="n"/>
      <c r="F203" s="120" t="n"/>
      <c r="G203" s="121">
        <f>IF($A203="","",MAX(0,$D203+$E203-$F203))</f>
        <v/>
      </c>
      <c r="H203" s="121">
        <f>IF($A203="","",MAX(0,$C203-$B203))</f>
        <v/>
      </c>
    </row>
    <row r="204" ht="15" customHeight="1" s="78">
      <c r="A204" s="122" t="n"/>
      <c r="B204" s="120" t="n"/>
      <c r="C204" s="120" t="n"/>
      <c r="D204" s="120" t="n"/>
      <c r="E204" s="120" t="n"/>
      <c r="F204" s="120" t="n"/>
      <c r="G204" s="121">
        <f>IF($A204="","",MAX(0,$D204+$E204-$F204))</f>
        <v/>
      </c>
      <c r="H204" s="121">
        <f>IF($A204="","",MAX(0,$C204-$B204))</f>
        <v/>
      </c>
    </row>
    <row r="205" ht="15" customHeight="1" s="78">
      <c r="A205" s="122" t="n"/>
      <c r="B205" s="120" t="n"/>
      <c r="C205" s="120" t="n"/>
      <c r="D205" s="120" t="n"/>
      <c r="E205" s="120" t="n"/>
      <c r="F205" s="120" t="n"/>
      <c r="G205" s="121">
        <f>IF($A205="","",MAX(0,$D205+$E205-$F205))</f>
        <v/>
      </c>
      <c r="H205" s="121">
        <f>IF($A205="","",MAX(0,$C205-$B205))</f>
        <v/>
      </c>
    </row>
    <row r="206" ht="15" customHeight="1" s="78">
      <c r="A206" s="122" t="n"/>
      <c r="B206" s="120" t="n"/>
      <c r="C206" s="120" t="n"/>
      <c r="D206" s="120" t="n"/>
      <c r="E206" s="120" t="n"/>
      <c r="F206" s="120" t="n"/>
      <c r="G206" s="121">
        <f>IF($A206="","",MAX(0,$D206+$E206-$F206))</f>
        <v/>
      </c>
      <c r="H206" s="121">
        <f>IF($A206="","",MAX(0,$C206-$B206))</f>
        <v/>
      </c>
    </row>
    <row r="207" ht="15" customHeight="1" s="78">
      <c r="A207" s="122" t="n"/>
      <c r="B207" s="120" t="n"/>
      <c r="C207" s="120" t="n"/>
      <c r="D207" s="120" t="n"/>
      <c r="E207" s="120" t="n"/>
      <c r="F207" s="120" t="n"/>
      <c r="G207" s="121">
        <f>IF($A207="","",MAX(0,$D207+$E207-$F207))</f>
        <v/>
      </c>
      <c r="H207" s="121">
        <f>IF($A207="","",MAX(0,$C207-$B207))</f>
        <v/>
      </c>
    </row>
    <row r="208" ht="15" customHeight="1" s="78">
      <c r="A208" s="122" t="n"/>
      <c r="B208" s="120" t="n"/>
      <c r="C208" s="120" t="n"/>
      <c r="D208" s="120" t="n"/>
      <c r="E208" s="120" t="n"/>
      <c r="F208" s="120" t="n"/>
      <c r="G208" s="121">
        <f>IF($A208="","",MAX(0,$D208+$E208-$F208))</f>
        <v/>
      </c>
      <c r="H208" s="121">
        <f>IF($A208="","",MAX(0,$C208-$B208))</f>
        <v/>
      </c>
    </row>
    <row r="209" ht="15" customHeight="1" s="78">
      <c r="A209" s="122" t="n"/>
      <c r="B209" s="120" t="n"/>
      <c r="C209" s="120" t="n"/>
      <c r="D209" s="120" t="n"/>
      <c r="E209" s="120" t="n"/>
      <c r="F209" s="120" t="n"/>
      <c r="G209" s="121">
        <f>IF($A209="","",MAX(0,$D209+$E209-$F209))</f>
        <v/>
      </c>
      <c r="H209" s="121">
        <f>IF($A209="","",MAX(0,$C209-$B209))</f>
        <v/>
      </c>
    </row>
    <row r="210" ht="15" customHeight="1" s="78">
      <c r="A210" s="122" t="n"/>
      <c r="B210" s="120" t="n"/>
      <c r="C210" s="120" t="n"/>
      <c r="D210" s="120" t="n"/>
      <c r="E210" s="120" t="n"/>
      <c r="F210" s="120" t="n"/>
      <c r="G210" s="121">
        <f>IF($A210="","",MAX(0,$D210+$E210-$F210))</f>
        <v/>
      </c>
      <c r="H210" s="121">
        <f>IF($A210="","",MAX(0,$C210-$B210))</f>
        <v/>
      </c>
    </row>
    <row r="211" ht="15" customHeight="1" s="78">
      <c r="A211" s="122" t="n"/>
      <c r="B211" s="120" t="n"/>
      <c r="C211" s="120" t="n"/>
      <c r="D211" s="120" t="n"/>
      <c r="E211" s="120" t="n"/>
      <c r="F211" s="120" t="n"/>
      <c r="G211" s="121">
        <f>IF($A211="","",MAX(0,$D211+$E211-$F211))</f>
        <v/>
      </c>
      <c r="H211" s="121">
        <f>IF($A211="","",MAX(0,$C211-$B211))</f>
        <v/>
      </c>
    </row>
    <row r="212" ht="15" customHeight="1" s="78">
      <c r="A212" s="122" t="n"/>
      <c r="B212" s="120" t="n"/>
      <c r="C212" s="120" t="n"/>
      <c r="D212" s="120" t="n"/>
      <c r="E212" s="120" t="n"/>
      <c r="F212" s="120" t="n"/>
      <c r="G212" s="121">
        <f>IF($A212="","",MAX(0,$D212+$E212-$F212))</f>
        <v/>
      </c>
      <c r="H212" s="121">
        <f>IF($A212="","",MAX(0,$C212-$B212))</f>
        <v/>
      </c>
    </row>
    <row r="213" ht="15" customHeight="1" s="78">
      <c r="A213" s="122" t="n"/>
      <c r="B213" s="120" t="n"/>
      <c r="C213" s="120" t="n"/>
      <c r="D213" s="120" t="n"/>
      <c r="E213" s="120" t="n"/>
      <c r="F213" s="120" t="n"/>
      <c r="G213" s="121">
        <f>IF($A213="","",MAX(0,$D213+$E213-$F213))</f>
        <v/>
      </c>
      <c r="H213" s="121">
        <f>IF($A213="","",MAX(0,$C213-$B213))</f>
        <v/>
      </c>
    </row>
    <row r="214" ht="15" customHeight="1" s="78">
      <c r="A214" s="122" t="n"/>
      <c r="B214" s="120" t="n"/>
      <c r="C214" s="120" t="n"/>
      <c r="D214" s="120" t="n"/>
      <c r="E214" s="120" t="n"/>
      <c r="F214" s="120" t="n"/>
      <c r="G214" s="121">
        <f>IF($A214="","",MAX(0,$D214+$E214-$F214))</f>
        <v/>
      </c>
      <c r="H214" s="121">
        <f>IF($A214="","",MAX(0,$C214-$B214))</f>
        <v/>
      </c>
    </row>
    <row r="215" ht="15" customHeight="1" s="78">
      <c r="A215" s="122" t="n"/>
      <c r="B215" s="120" t="n"/>
      <c r="C215" s="120" t="n"/>
      <c r="D215" s="120" t="n"/>
      <c r="E215" s="120" t="n"/>
      <c r="F215" s="120" t="n"/>
      <c r="G215" s="121">
        <f>IF($A215="","",MAX(0,$D215+$E215-$F215))</f>
        <v/>
      </c>
      <c r="H215" s="121">
        <f>IF($A215="","",MAX(0,$C215-$B215))</f>
        <v/>
      </c>
    </row>
    <row r="216" ht="15" customHeight="1" s="78">
      <c r="A216" s="122" t="n"/>
      <c r="B216" s="120" t="n"/>
      <c r="C216" s="120" t="n"/>
      <c r="D216" s="120" t="n"/>
      <c r="E216" s="120" t="n"/>
      <c r="F216" s="120" t="n"/>
      <c r="G216" s="121">
        <f>IF($A216="","",MAX(0,$D216+$E216-$F216))</f>
        <v/>
      </c>
      <c r="H216" s="121">
        <f>IF($A216="","",MAX(0,$C216-$B216))</f>
        <v/>
      </c>
    </row>
    <row r="217" ht="15" customHeight="1" s="78">
      <c r="A217" s="122" t="n"/>
      <c r="B217" s="120" t="n"/>
      <c r="C217" s="120" t="n"/>
      <c r="D217" s="120" t="n"/>
      <c r="E217" s="120" t="n"/>
      <c r="F217" s="120" t="n"/>
      <c r="G217" s="121">
        <f>IF($A217="","",MAX(0,$D217+$E217-$F217))</f>
        <v/>
      </c>
      <c r="H217" s="121">
        <f>IF($A217="","",MAX(0,$C217-$B217))</f>
        <v/>
      </c>
    </row>
    <row r="218" ht="15" customHeight="1" s="78">
      <c r="A218" s="122" t="n"/>
      <c r="B218" s="120" t="n"/>
      <c r="C218" s="120" t="n"/>
      <c r="D218" s="120" t="n"/>
      <c r="E218" s="120" t="n"/>
      <c r="F218" s="120" t="n"/>
      <c r="G218" s="121">
        <f>IF($A218="","",MAX(0,$D218+$E218-$F218))</f>
        <v/>
      </c>
      <c r="H218" s="121">
        <f>IF($A218="","",MAX(0,$C218-$B218))</f>
        <v/>
      </c>
    </row>
    <row r="219" ht="15" customHeight="1" s="78">
      <c r="A219" s="122" t="n"/>
      <c r="B219" s="120" t="n"/>
      <c r="C219" s="120" t="n"/>
      <c r="D219" s="120" t="n"/>
      <c r="E219" s="120" t="n"/>
      <c r="F219" s="120" t="n"/>
      <c r="G219" s="121">
        <f>IF($A219="","",MAX(0,$D219+$E219-$F219))</f>
        <v/>
      </c>
      <c r="H219" s="121">
        <f>IF($A219="","",MAX(0,$C219-$B219))</f>
        <v/>
      </c>
    </row>
    <row r="220" ht="15" customHeight="1" s="78">
      <c r="A220" s="122" t="n"/>
      <c r="B220" s="120" t="n"/>
      <c r="C220" s="120" t="n"/>
      <c r="D220" s="120" t="n"/>
      <c r="E220" s="120" t="n"/>
      <c r="F220" s="120" t="n"/>
      <c r="G220" s="121">
        <f>IF($A220="","",MAX(0,$D220+$E220-$F220))</f>
        <v/>
      </c>
      <c r="H220" s="121">
        <f>IF($A220="","",MAX(0,$C220-$B220))</f>
        <v/>
      </c>
    </row>
    <row r="221" ht="15" customHeight="1" s="78">
      <c r="A221" s="122" t="n"/>
      <c r="B221" s="120" t="n"/>
      <c r="C221" s="120" t="n"/>
      <c r="D221" s="120" t="n"/>
      <c r="E221" s="120" t="n"/>
      <c r="F221" s="120" t="n"/>
      <c r="G221" s="121">
        <f>IF($A221="","",MAX(0,$D221+$E221-$F221))</f>
        <v/>
      </c>
      <c r="H221" s="121">
        <f>IF($A221="","",MAX(0,$C221-$B221))</f>
        <v/>
      </c>
    </row>
    <row r="222" ht="15" customHeight="1" s="78">
      <c r="A222" s="122" t="n"/>
      <c r="B222" s="120" t="n"/>
      <c r="C222" s="120" t="n"/>
      <c r="D222" s="120" t="n"/>
      <c r="E222" s="120" t="n"/>
      <c r="F222" s="120" t="n"/>
      <c r="G222" s="121">
        <f>IF($A222="","",MAX(0,$D222+$E222-$F222))</f>
        <v/>
      </c>
      <c r="H222" s="121">
        <f>IF($A222="","",MAX(0,$C222-$B222))</f>
        <v/>
      </c>
    </row>
    <row r="223" ht="15" customHeight="1" s="78">
      <c r="A223" s="122" t="n"/>
      <c r="B223" s="120" t="n"/>
      <c r="C223" s="120" t="n"/>
      <c r="D223" s="120" t="n"/>
      <c r="E223" s="120" t="n"/>
      <c r="F223" s="120" t="n"/>
      <c r="G223" s="121">
        <f>IF($A223="","",MAX(0,$D223+$E223-$F223))</f>
        <v/>
      </c>
      <c r="H223" s="121">
        <f>IF($A223="","",MAX(0,$C223-$B223))</f>
        <v/>
      </c>
    </row>
    <row r="224" ht="15" customHeight="1" s="78">
      <c r="A224" s="122" t="n"/>
      <c r="B224" s="120" t="n"/>
      <c r="C224" s="120" t="n"/>
      <c r="D224" s="120" t="n"/>
      <c r="E224" s="120" t="n"/>
      <c r="F224" s="120" t="n"/>
      <c r="G224" s="121">
        <f>IF($A224="","",MAX(0,$D224+$E224-$F224))</f>
        <v/>
      </c>
      <c r="H224" s="121">
        <f>IF($A224="","",MAX(0,$C224-$B224))</f>
        <v/>
      </c>
    </row>
    <row r="225" ht="15" customHeight="1" s="78">
      <c r="A225" s="122" t="n"/>
      <c r="B225" s="120" t="n"/>
      <c r="C225" s="120" t="n"/>
      <c r="D225" s="120" t="n"/>
      <c r="E225" s="120" t="n"/>
      <c r="F225" s="120" t="n"/>
      <c r="G225" s="121">
        <f>IF($A225="","",MAX(0,$D225+$E225-$F225))</f>
        <v/>
      </c>
      <c r="H225" s="121">
        <f>IF($A225="","",MAX(0,$C225-$B225))</f>
        <v/>
      </c>
    </row>
    <row r="226" ht="15" customHeight="1" s="78">
      <c r="A226" s="122" t="n"/>
      <c r="B226" s="120" t="n"/>
      <c r="C226" s="120" t="n"/>
      <c r="D226" s="120" t="n"/>
      <c r="E226" s="120" t="n"/>
      <c r="F226" s="120" t="n"/>
      <c r="G226" s="121">
        <f>IF($A226="","",MAX(0,$D226+$E226-$F226))</f>
        <v/>
      </c>
      <c r="H226" s="121">
        <f>IF($A226="","",MAX(0,$C226-$B226))</f>
        <v/>
      </c>
    </row>
    <row r="227" ht="15" customHeight="1" s="78">
      <c r="A227" s="122" t="n"/>
      <c r="B227" s="120" t="n"/>
      <c r="C227" s="120" t="n"/>
      <c r="D227" s="120" t="n"/>
      <c r="E227" s="120" t="n"/>
      <c r="F227" s="120" t="n"/>
      <c r="G227" s="121">
        <f>IF($A227="","",MAX(0,$D227+$E227-$F227))</f>
        <v/>
      </c>
      <c r="H227" s="121">
        <f>IF($A227="","",MAX(0,$C227-$B227))</f>
        <v/>
      </c>
    </row>
    <row r="228" ht="15" customHeight="1" s="78">
      <c r="A228" s="122" t="n"/>
      <c r="B228" s="120" t="n"/>
      <c r="C228" s="120" t="n"/>
      <c r="D228" s="120" t="n"/>
      <c r="E228" s="120" t="n"/>
      <c r="F228" s="120" t="n"/>
      <c r="G228" s="121">
        <f>IF($A228="","",MAX(0,$D228+$E228-$F228))</f>
        <v/>
      </c>
      <c r="H228" s="121">
        <f>IF($A228="","",MAX(0,$C228-$B228))</f>
        <v/>
      </c>
    </row>
    <row r="229" ht="15" customHeight="1" s="78">
      <c r="A229" s="122" t="n"/>
      <c r="B229" s="120" t="n"/>
      <c r="C229" s="120" t="n"/>
      <c r="D229" s="120" t="n"/>
      <c r="E229" s="120" t="n"/>
      <c r="F229" s="120" t="n"/>
      <c r="G229" s="121">
        <f>IF($A229="","",MAX(0,$D229+$E229-$F229))</f>
        <v/>
      </c>
      <c r="H229" s="121">
        <f>IF($A229="","",MAX(0,$C229-$B229))</f>
        <v/>
      </c>
    </row>
    <row r="230" ht="15" customHeight="1" s="78">
      <c r="A230" s="122" t="n"/>
      <c r="B230" s="120" t="n"/>
      <c r="C230" s="120" t="n"/>
      <c r="D230" s="120" t="n"/>
      <c r="E230" s="120" t="n"/>
      <c r="F230" s="120" t="n"/>
      <c r="G230" s="121">
        <f>IF($A230="","",MAX(0,$D230+$E230-$F230))</f>
        <v/>
      </c>
      <c r="H230" s="121">
        <f>IF($A230="","",MAX(0,$C230-$B230))</f>
        <v/>
      </c>
    </row>
    <row r="231" ht="15" customHeight="1" s="78">
      <c r="A231" s="122" t="n"/>
      <c r="B231" s="120" t="n"/>
      <c r="C231" s="120" t="n"/>
      <c r="D231" s="120" t="n"/>
      <c r="E231" s="120" t="n"/>
      <c r="F231" s="120" t="n"/>
      <c r="G231" s="121">
        <f>IF($A231="","",MAX(0,$D231+$E231-$F231))</f>
        <v/>
      </c>
      <c r="H231" s="121">
        <f>IF($A231="","",MAX(0,$C231-$B231))</f>
        <v/>
      </c>
    </row>
    <row r="232" ht="15" customHeight="1" s="78">
      <c r="A232" s="122" t="n"/>
      <c r="B232" s="120" t="n"/>
      <c r="C232" s="120" t="n"/>
      <c r="D232" s="120" t="n"/>
      <c r="E232" s="120" t="n"/>
      <c r="F232" s="120" t="n"/>
      <c r="G232" s="121">
        <f>IF($A232="","",MAX(0,$D232+$E232-$F232))</f>
        <v/>
      </c>
      <c r="H232" s="121">
        <f>IF($A232="","",MAX(0,$C232-$B232))</f>
        <v/>
      </c>
    </row>
    <row r="233" ht="15" customHeight="1" s="78">
      <c r="A233" s="122" t="n"/>
      <c r="B233" s="120" t="n"/>
      <c r="C233" s="120" t="n"/>
      <c r="D233" s="120" t="n"/>
      <c r="E233" s="120" t="n"/>
      <c r="F233" s="120" t="n"/>
      <c r="G233" s="121">
        <f>IF($A233="","",MAX(0,$D233+$E233-$F233))</f>
        <v/>
      </c>
      <c r="H233" s="121">
        <f>IF($A233="","",MAX(0,$C233-$B233))</f>
        <v/>
      </c>
    </row>
    <row r="234" ht="15" customHeight="1" s="78">
      <c r="A234" s="122" t="n"/>
      <c r="B234" s="120" t="n"/>
      <c r="C234" s="120" t="n"/>
      <c r="D234" s="120" t="n"/>
      <c r="E234" s="120" t="n"/>
      <c r="F234" s="120" t="n"/>
      <c r="G234" s="121">
        <f>IF($A234="","",MAX(0,$D234+$E234-$F234))</f>
        <v/>
      </c>
      <c r="H234" s="121">
        <f>IF($A234="","",MAX(0,$C234-$B234))</f>
        <v/>
      </c>
    </row>
    <row r="235" ht="15" customHeight="1" s="78">
      <c r="A235" s="122" t="n"/>
      <c r="B235" s="120" t="n"/>
      <c r="C235" s="120" t="n"/>
      <c r="D235" s="120" t="n"/>
      <c r="E235" s="120" t="n"/>
      <c r="F235" s="120" t="n"/>
      <c r="G235" s="121">
        <f>IF($A235="","",MAX(0,$D235+$E235-$F235))</f>
        <v/>
      </c>
      <c r="H235" s="121">
        <f>IF($A235="","",MAX(0,$C235-$B235))</f>
        <v/>
      </c>
    </row>
    <row r="236" ht="15" customHeight="1" s="78">
      <c r="A236" s="122" t="n"/>
      <c r="B236" s="120" t="n"/>
      <c r="C236" s="120" t="n"/>
      <c r="D236" s="120" t="n"/>
      <c r="E236" s="120" t="n"/>
      <c r="F236" s="120" t="n"/>
      <c r="G236" s="121">
        <f>IF($A236="","",MAX(0,$D236+$E236-$F236))</f>
        <v/>
      </c>
      <c r="H236" s="121">
        <f>IF($A236="","",MAX(0,$C236-$B236))</f>
        <v/>
      </c>
    </row>
    <row r="237" ht="15" customHeight="1" s="78">
      <c r="A237" s="122" t="n"/>
      <c r="B237" s="120" t="n"/>
      <c r="C237" s="120" t="n"/>
      <c r="D237" s="120" t="n"/>
      <c r="E237" s="120" t="n"/>
      <c r="F237" s="120" t="n"/>
      <c r="G237" s="121">
        <f>IF($A237="","",MAX(0,$D237+$E237-$F237))</f>
        <v/>
      </c>
      <c r="H237" s="121">
        <f>IF($A237="","",MAX(0,$C237-$B237))</f>
        <v/>
      </c>
    </row>
    <row r="238" ht="15" customHeight="1" s="78">
      <c r="A238" s="122" t="n"/>
      <c r="B238" s="120" t="n"/>
      <c r="C238" s="120" t="n"/>
      <c r="D238" s="120" t="n"/>
      <c r="E238" s="120" t="n"/>
      <c r="F238" s="120" t="n"/>
      <c r="G238" s="121">
        <f>IF($A238="","",MAX(0,$D238+$E238-$F238))</f>
        <v/>
      </c>
      <c r="H238" s="121">
        <f>IF($A238="","",MAX(0,$C238-$B238))</f>
        <v/>
      </c>
    </row>
    <row r="239" ht="15" customHeight="1" s="78">
      <c r="A239" s="122" t="n"/>
      <c r="B239" s="120" t="n"/>
      <c r="C239" s="120" t="n"/>
      <c r="D239" s="120" t="n"/>
      <c r="E239" s="120" t="n"/>
      <c r="F239" s="120" t="n"/>
      <c r="G239" s="121">
        <f>IF($A239="","",MAX(0,$D239+$E239-$F239))</f>
        <v/>
      </c>
      <c r="H239" s="121">
        <f>IF($A239="","",MAX(0,$C239-$B239))</f>
        <v/>
      </c>
    </row>
    <row r="240" ht="15" customHeight="1" s="78">
      <c r="A240" s="122" t="n"/>
      <c r="B240" s="120" t="n"/>
      <c r="C240" s="120" t="n"/>
      <c r="D240" s="120" t="n"/>
      <c r="E240" s="120" t="n"/>
      <c r="F240" s="120" t="n"/>
      <c r="G240" s="121">
        <f>IF($A240="","",MAX(0,$D240+$E240-$F240))</f>
        <v/>
      </c>
      <c r="H240" s="121">
        <f>IF($A240="","",MAX(0,$C240-$B240))</f>
        <v/>
      </c>
    </row>
    <row r="241" ht="15" customHeight="1" s="78">
      <c r="A241" s="122" t="n"/>
      <c r="B241" s="120" t="n"/>
      <c r="C241" s="120" t="n"/>
      <c r="D241" s="120" t="n"/>
      <c r="E241" s="120" t="n"/>
      <c r="F241" s="120" t="n"/>
      <c r="G241" s="121">
        <f>IF($A241="","",MAX(0,$D241+$E241-$F241))</f>
        <v/>
      </c>
      <c r="H241" s="121">
        <f>IF($A241="","",MAX(0,$C241-$B241))</f>
        <v/>
      </c>
    </row>
    <row r="242" ht="15" customHeight="1" s="78">
      <c r="A242" s="122" t="n"/>
      <c r="B242" s="120" t="n"/>
      <c r="C242" s="120" t="n"/>
      <c r="D242" s="120" t="n"/>
      <c r="E242" s="120" t="n"/>
      <c r="F242" s="120" t="n"/>
      <c r="G242" s="121">
        <f>IF($A242="","",MAX(0,$D242+$E242-$F242))</f>
        <v/>
      </c>
      <c r="H242" s="121">
        <f>IF($A242="","",MAX(0,$C242-$B242))</f>
        <v/>
      </c>
    </row>
    <row r="243" ht="15" customHeight="1" s="78">
      <c r="A243" s="122" t="n"/>
      <c r="B243" s="120" t="n"/>
      <c r="C243" s="120" t="n"/>
      <c r="D243" s="120" t="n"/>
      <c r="E243" s="120" t="n"/>
      <c r="F243" s="120" t="n"/>
      <c r="G243" s="121">
        <f>IF($A243="","",MAX(0,$D243+$E243-$F243))</f>
        <v/>
      </c>
      <c r="H243" s="121">
        <f>IF($A243="","",MAX(0,$C243-$B243))</f>
        <v/>
      </c>
    </row>
    <row r="244" ht="15" customHeight="1" s="78">
      <c r="A244" s="122" t="n"/>
      <c r="B244" s="120" t="n"/>
      <c r="C244" s="120" t="n"/>
      <c r="D244" s="120" t="n"/>
      <c r="E244" s="120" t="n"/>
      <c r="F244" s="120" t="n"/>
      <c r="G244" s="121">
        <f>IF($A244="","",MAX(0,$D244+$E244-$F244))</f>
        <v/>
      </c>
      <c r="H244" s="121">
        <f>IF($A244="","",MAX(0,$C244-$B244))</f>
        <v/>
      </c>
    </row>
    <row r="245" ht="15" customHeight="1" s="78">
      <c r="A245" s="122" t="n"/>
      <c r="B245" s="120" t="n"/>
      <c r="C245" s="120" t="n"/>
      <c r="D245" s="120" t="n"/>
      <c r="E245" s="120" t="n"/>
      <c r="F245" s="120" t="n"/>
      <c r="G245" s="121">
        <f>IF($A245="","",MAX(0,$D245+$E245-$F245))</f>
        <v/>
      </c>
      <c r="H245" s="121">
        <f>IF($A245="","",MAX(0,$C245-$B245))</f>
        <v/>
      </c>
    </row>
    <row r="246" ht="15" customHeight="1" s="78">
      <c r="A246" s="122" t="n"/>
      <c r="B246" s="120" t="n"/>
      <c r="C246" s="120" t="n"/>
      <c r="D246" s="120" t="n"/>
      <c r="E246" s="120" t="n"/>
      <c r="F246" s="120" t="n"/>
      <c r="G246" s="121">
        <f>IF($A246="","",MAX(0,$D246+$E246-$F246))</f>
        <v/>
      </c>
      <c r="H246" s="121">
        <f>IF($A246="","",MAX(0,$C246-$B246))</f>
        <v/>
      </c>
    </row>
    <row r="247" ht="15" customHeight="1" s="78">
      <c r="A247" s="122" t="n"/>
      <c r="B247" s="120" t="n"/>
      <c r="C247" s="120" t="n"/>
      <c r="D247" s="120" t="n"/>
      <c r="E247" s="120" t="n"/>
      <c r="F247" s="120" t="n"/>
      <c r="G247" s="121">
        <f>IF($A247="","",MAX(0,$D247+$E247-$F247))</f>
        <v/>
      </c>
      <c r="H247" s="121">
        <f>IF($A247="","",MAX(0,$C247-$B247))</f>
        <v/>
      </c>
    </row>
    <row r="248" ht="15" customHeight="1" s="78">
      <c r="A248" s="122" t="n"/>
      <c r="B248" s="120" t="n"/>
      <c r="C248" s="120" t="n"/>
      <c r="D248" s="120" t="n"/>
      <c r="E248" s="120" t="n"/>
      <c r="F248" s="120" t="n"/>
      <c r="G248" s="121">
        <f>IF($A248="","",MAX(0,$D248+$E248-$F248))</f>
        <v/>
      </c>
      <c r="H248" s="121">
        <f>IF($A248="","",MAX(0,$C248-$B248))</f>
        <v/>
      </c>
    </row>
    <row r="249" ht="15" customHeight="1" s="78">
      <c r="A249" s="122" t="n"/>
      <c r="B249" s="120" t="n"/>
      <c r="C249" s="120" t="n"/>
      <c r="D249" s="120" t="n"/>
      <c r="E249" s="120" t="n"/>
      <c r="F249" s="120" t="n"/>
      <c r="G249" s="121">
        <f>IF($A249="","",MAX(0,$D249+$E249-$F249))</f>
        <v/>
      </c>
      <c r="H249" s="121">
        <f>IF($A249="","",MAX(0,$C249-$B249))</f>
        <v/>
      </c>
    </row>
    <row r="250" ht="15" customHeight="1" s="78">
      <c r="A250" s="122" t="n"/>
      <c r="B250" s="120" t="n"/>
      <c r="C250" s="120" t="n"/>
      <c r="D250" s="120" t="n"/>
      <c r="E250" s="120" t="n"/>
      <c r="F250" s="120" t="n"/>
      <c r="G250" s="121">
        <f>IF($A250="","",MAX(0,$D250+$E250-$F250))</f>
        <v/>
      </c>
      <c r="H250" s="121">
        <f>IF($A250="","",MAX(0,$C250-$B250))</f>
        <v/>
      </c>
    </row>
    <row r="251" ht="15" customHeight="1" s="78">
      <c r="A251" s="122" t="n"/>
      <c r="B251" s="120" t="n"/>
      <c r="C251" s="120" t="n"/>
      <c r="D251" s="120" t="n"/>
      <c r="E251" s="120" t="n"/>
      <c r="F251" s="120" t="n"/>
      <c r="G251" s="121">
        <f>IF($A251="","",MAX(0,$D251+$E251-$F251))</f>
        <v/>
      </c>
      <c r="H251" s="121">
        <f>IF($A251="","",MAX(0,$C251-$B251))</f>
        <v/>
      </c>
    </row>
    <row r="252" ht="15" customHeight="1" s="78">
      <c r="A252" s="122" t="n"/>
      <c r="B252" s="120" t="n"/>
      <c r="C252" s="120" t="n"/>
      <c r="D252" s="120" t="n"/>
      <c r="E252" s="120" t="n"/>
      <c r="F252" s="120" t="n"/>
      <c r="G252" s="121">
        <f>IF($A252="","",MAX(0,$D252+$E252-$F252))</f>
        <v/>
      </c>
      <c r="H252" s="121">
        <f>IF($A252="","",MAX(0,$C252-$B252))</f>
        <v/>
      </c>
    </row>
    <row r="253" ht="15" customHeight="1" s="78">
      <c r="A253" s="122" t="n"/>
      <c r="B253" s="120" t="n"/>
      <c r="C253" s="120" t="n"/>
      <c r="D253" s="120" t="n"/>
      <c r="E253" s="120" t="n"/>
      <c r="F253" s="120" t="n"/>
      <c r="G253" s="121">
        <f>IF($A253="","",MAX(0,$D253+$E253-$F253))</f>
        <v/>
      </c>
      <c r="H253" s="121">
        <f>IF($A253="","",MAX(0,$C253-$B253))</f>
        <v/>
      </c>
    </row>
    <row r="254" ht="15" customHeight="1" s="78">
      <c r="A254" s="122" t="n"/>
      <c r="B254" s="120" t="n"/>
      <c r="C254" s="120" t="n"/>
      <c r="D254" s="120" t="n"/>
      <c r="E254" s="120" t="n"/>
      <c r="F254" s="120" t="n"/>
      <c r="G254" s="121">
        <f>IF($A254="","",MAX(0,$D254+$E254-$F254))</f>
        <v/>
      </c>
      <c r="H254" s="121">
        <f>IF($A254="","",MAX(0,$C254-$B254))</f>
        <v/>
      </c>
    </row>
    <row r="255" ht="15" customHeight="1" s="78">
      <c r="A255" s="122" t="n"/>
      <c r="B255" s="120" t="n"/>
      <c r="C255" s="120" t="n"/>
      <c r="D255" s="120" t="n"/>
      <c r="E255" s="120" t="n"/>
      <c r="F255" s="120" t="n"/>
      <c r="G255" s="121">
        <f>IF($A255="","",MAX(0,$D255+$E255-$F255))</f>
        <v/>
      </c>
      <c r="H255" s="121">
        <f>IF($A255="","",MAX(0,$C255-$B255))</f>
        <v/>
      </c>
    </row>
    <row r="256" ht="15" customHeight="1" s="78">
      <c r="A256" s="122" t="n"/>
      <c r="B256" s="120" t="n"/>
      <c r="C256" s="120" t="n"/>
      <c r="D256" s="120" t="n"/>
      <c r="E256" s="120" t="n"/>
      <c r="F256" s="120" t="n"/>
      <c r="G256" s="121">
        <f>IF($A256="","",MAX(0,$D256+$E256-$F256))</f>
        <v/>
      </c>
      <c r="H256" s="121">
        <f>IF($A256="","",MAX(0,$C256-$B256))</f>
        <v/>
      </c>
    </row>
    <row r="257" ht="15" customHeight="1" s="78">
      <c r="A257" s="122" t="n"/>
      <c r="B257" s="120" t="n"/>
      <c r="C257" s="120" t="n"/>
      <c r="D257" s="120" t="n"/>
      <c r="E257" s="120" t="n"/>
      <c r="F257" s="120" t="n"/>
      <c r="G257" s="121">
        <f>IF($A257="","",MAX(0,$D257+$E257-$F257))</f>
        <v/>
      </c>
      <c r="H257" s="121">
        <f>IF($A257="","",MAX(0,$C257-$B257))</f>
        <v/>
      </c>
    </row>
    <row r="258" ht="15" customHeight="1" s="78">
      <c r="A258" s="122" t="n"/>
      <c r="B258" s="120" t="n"/>
      <c r="C258" s="120" t="n"/>
      <c r="D258" s="120" t="n"/>
      <c r="E258" s="120" t="n"/>
      <c r="F258" s="120" t="n"/>
      <c r="G258" s="121">
        <f>IF($A258="","",MAX(0,$D258+$E258-$F258))</f>
        <v/>
      </c>
      <c r="H258" s="121">
        <f>IF($A258="","",MAX(0,$C258-$B258))</f>
        <v/>
      </c>
    </row>
    <row r="259" ht="15" customHeight="1" s="78">
      <c r="A259" s="122" t="n"/>
      <c r="B259" s="120" t="n"/>
      <c r="C259" s="120" t="n"/>
      <c r="D259" s="120" t="n"/>
      <c r="E259" s="120" t="n"/>
      <c r="F259" s="120" t="n"/>
      <c r="G259" s="121">
        <f>IF($A259="","",MAX(0,$D259+$E259-$F259))</f>
        <v/>
      </c>
      <c r="H259" s="121">
        <f>IF($A259="","",MAX(0,$C259-$B259))</f>
        <v/>
      </c>
    </row>
    <row r="260" ht="15" customHeight="1" s="78">
      <c r="A260" s="122" t="n"/>
      <c r="B260" s="120" t="n"/>
      <c r="C260" s="120" t="n"/>
      <c r="D260" s="120" t="n"/>
      <c r="E260" s="120" t="n"/>
      <c r="F260" s="120" t="n"/>
      <c r="G260" s="121">
        <f>IF($A260="","",MAX(0,$D260+$E260-$F260))</f>
        <v/>
      </c>
      <c r="H260" s="121">
        <f>IF($A260="","",MAX(0,$C260-$B260))</f>
        <v/>
      </c>
    </row>
    <row r="261" ht="15" customHeight="1" s="78">
      <c r="A261" s="122" t="n"/>
      <c r="B261" s="120" t="n"/>
      <c r="C261" s="120" t="n"/>
      <c r="D261" s="120" t="n"/>
      <c r="E261" s="120" t="n"/>
      <c r="F261" s="120" t="n"/>
      <c r="G261" s="121">
        <f>IF($A261="","",MAX(0,$D261+$E261-$F261))</f>
        <v/>
      </c>
      <c r="H261" s="121">
        <f>IF($A261="","",MAX(0,$C261-$B261))</f>
        <v/>
      </c>
    </row>
    <row r="262" ht="15" customHeight="1" s="78">
      <c r="A262" s="122" t="n"/>
      <c r="B262" s="120" t="n"/>
      <c r="C262" s="120" t="n"/>
      <c r="D262" s="120" t="n"/>
      <c r="E262" s="120" t="n"/>
      <c r="F262" s="120" t="n"/>
      <c r="G262" s="121">
        <f>IF($A262="","",MAX(0,$D262+$E262-$F262))</f>
        <v/>
      </c>
      <c r="H262" s="121">
        <f>IF($A262="","",MAX(0,$C262-$B262))</f>
        <v/>
      </c>
    </row>
    <row r="263" ht="15" customHeight="1" s="78">
      <c r="A263" s="122" t="n"/>
      <c r="B263" s="120" t="n"/>
      <c r="C263" s="120" t="n"/>
      <c r="D263" s="120" t="n"/>
      <c r="E263" s="120" t="n"/>
      <c r="F263" s="120" t="n"/>
      <c r="G263" s="121">
        <f>IF($A263="","",MAX(0,$D263+$E263-$F263))</f>
        <v/>
      </c>
      <c r="H263" s="121">
        <f>IF($A263="","",MAX(0,$C263-$B263))</f>
        <v/>
      </c>
    </row>
    <row r="264" ht="15" customHeight="1" s="78">
      <c r="A264" s="122" t="n"/>
      <c r="B264" s="120" t="n"/>
      <c r="C264" s="120" t="n"/>
      <c r="D264" s="120" t="n"/>
      <c r="E264" s="120" t="n"/>
      <c r="F264" s="120" t="n"/>
      <c r="G264" s="121">
        <f>IF($A264="","",MAX(0,$D264+$E264-$F264))</f>
        <v/>
      </c>
      <c r="H264" s="121">
        <f>IF($A264="","",MAX(0,$C264-$B264))</f>
        <v/>
      </c>
    </row>
    <row r="265" ht="15" customHeight="1" s="78">
      <c r="A265" s="122" t="n"/>
      <c r="B265" s="120" t="n"/>
      <c r="C265" s="120" t="n"/>
      <c r="D265" s="120" t="n"/>
      <c r="E265" s="120" t="n"/>
      <c r="F265" s="120" t="n"/>
      <c r="G265" s="121">
        <f>IF($A265="","",MAX(0,$D265+$E265-$F265))</f>
        <v/>
      </c>
      <c r="H265" s="121">
        <f>IF($A265="","",MAX(0,$C265-$B265))</f>
        <v/>
      </c>
    </row>
    <row r="266" ht="15" customHeight="1" s="78">
      <c r="A266" s="122" t="n"/>
      <c r="B266" s="120" t="n"/>
      <c r="C266" s="120" t="n"/>
      <c r="D266" s="120" t="n"/>
      <c r="E266" s="120" t="n"/>
      <c r="F266" s="120" t="n"/>
      <c r="G266" s="121">
        <f>IF($A266="","",MAX(0,$D266+$E266-$F266))</f>
        <v/>
      </c>
      <c r="H266" s="121">
        <f>IF($A266="","",MAX(0,$C266-$B266))</f>
        <v/>
      </c>
    </row>
    <row r="267" ht="15" customHeight="1" s="78">
      <c r="A267" s="122" t="n"/>
      <c r="B267" s="120" t="n"/>
      <c r="C267" s="120" t="n"/>
      <c r="D267" s="120" t="n"/>
      <c r="E267" s="120" t="n"/>
      <c r="F267" s="120" t="n"/>
      <c r="G267" s="121">
        <f>IF($A267="","",MAX(0,$D267+$E267-$F267))</f>
        <v/>
      </c>
      <c r="H267" s="121">
        <f>IF($A267="","",MAX(0,$C267-$B267))</f>
        <v/>
      </c>
    </row>
    <row r="268" ht="15" customHeight="1" s="78">
      <c r="A268" s="122" t="n"/>
      <c r="B268" s="120" t="n"/>
      <c r="C268" s="120" t="n"/>
      <c r="D268" s="120" t="n"/>
      <c r="E268" s="120" t="n"/>
      <c r="F268" s="120" t="n"/>
      <c r="G268" s="121">
        <f>IF($A268="","",MAX(0,$D268+$E268-$F268))</f>
        <v/>
      </c>
      <c r="H268" s="121">
        <f>IF($A268="","",MAX(0,$C268-$B268))</f>
        <v/>
      </c>
    </row>
    <row r="269" ht="15" customHeight="1" s="78">
      <c r="A269" s="122" t="n"/>
      <c r="B269" s="120" t="n"/>
      <c r="C269" s="120" t="n"/>
      <c r="D269" s="120" t="n"/>
      <c r="E269" s="120" t="n"/>
      <c r="F269" s="120" t="n"/>
      <c r="G269" s="121">
        <f>IF($A269="","",MAX(0,$D269+$E269-$F269))</f>
        <v/>
      </c>
      <c r="H269" s="121">
        <f>IF($A269="","",MAX(0,$C269-$B269))</f>
        <v/>
      </c>
    </row>
    <row r="270" ht="15" customHeight="1" s="78">
      <c r="A270" s="122" t="n"/>
      <c r="B270" s="120" t="n"/>
      <c r="C270" s="120" t="n"/>
      <c r="D270" s="120" t="n"/>
      <c r="E270" s="120" t="n"/>
      <c r="F270" s="120" t="n"/>
      <c r="G270" s="121">
        <f>IF($A270="","",MAX(0,$D270+$E270-$F270))</f>
        <v/>
      </c>
      <c r="H270" s="121">
        <f>IF($A270="","",MAX(0,$C270-$B270))</f>
        <v/>
      </c>
    </row>
    <row r="271" ht="15" customHeight="1" s="78">
      <c r="A271" s="122" t="n"/>
      <c r="B271" s="120" t="n"/>
      <c r="C271" s="120" t="n"/>
      <c r="D271" s="120" t="n"/>
      <c r="E271" s="120" t="n"/>
      <c r="F271" s="120" t="n"/>
      <c r="G271" s="121">
        <f>IF($A271="","",MAX(0,$D271+$E271-$F271))</f>
        <v/>
      </c>
      <c r="H271" s="121">
        <f>IF($A271="","",MAX(0,$C271-$B271))</f>
        <v/>
      </c>
    </row>
    <row r="272" ht="15" customHeight="1" s="78">
      <c r="A272" s="122" t="n"/>
      <c r="B272" s="120" t="n"/>
      <c r="C272" s="120" t="n"/>
      <c r="D272" s="120" t="n"/>
      <c r="E272" s="120" t="n"/>
      <c r="F272" s="120" t="n"/>
      <c r="G272" s="121">
        <f>IF($A272="","",MAX(0,$D272+$E272-$F272))</f>
        <v/>
      </c>
      <c r="H272" s="121">
        <f>IF($A272="","",MAX(0,$C272-$B272))</f>
        <v/>
      </c>
    </row>
    <row r="273" ht="15" customHeight="1" s="78">
      <c r="A273" s="122" t="n"/>
      <c r="B273" s="120" t="n"/>
      <c r="C273" s="120" t="n"/>
      <c r="D273" s="120" t="n"/>
      <c r="E273" s="120" t="n"/>
      <c r="F273" s="120" t="n"/>
      <c r="G273" s="121">
        <f>IF($A273="","",MAX(0,$D273+$E273-$F273))</f>
        <v/>
      </c>
      <c r="H273" s="121">
        <f>IF($A273="","",MAX(0,$C273-$B273))</f>
        <v/>
      </c>
    </row>
    <row r="274" ht="15" customHeight="1" s="78">
      <c r="A274" s="122" t="n"/>
      <c r="B274" s="120" t="n"/>
      <c r="C274" s="120" t="n"/>
      <c r="D274" s="120" t="n"/>
      <c r="E274" s="120" t="n"/>
      <c r="F274" s="120" t="n"/>
      <c r="G274" s="121">
        <f>IF($A274="","",MAX(0,$D274+$E274-$F274))</f>
        <v/>
      </c>
      <c r="H274" s="121">
        <f>IF($A274="","",MAX(0,$C274-$B274))</f>
        <v/>
      </c>
    </row>
    <row r="275" ht="15" customHeight="1" s="78">
      <c r="A275" s="122" t="n"/>
      <c r="B275" s="120" t="n"/>
      <c r="C275" s="120" t="n"/>
      <c r="D275" s="120" t="n"/>
      <c r="E275" s="120" t="n"/>
      <c r="F275" s="120" t="n"/>
      <c r="G275" s="121">
        <f>IF($A275="","",MAX(0,$D275+$E275-$F275))</f>
        <v/>
      </c>
      <c r="H275" s="121">
        <f>IF($A275="","",MAX(0,$C275-$B275))</f>
        <v/>
      </c>
    </row>
    <row r="276" ht="15" customHeight="1" s="78">
      <c r="A276" s="122" t="n"/>
      <c r="B276" s="120" t="n"/>
      <c r="C276" s="120" t="n"/>
      <c r="D276" s="120" t="n"/>
      <c r="E276" s="120" t="n"/>
      <c r="F276" s="120" t="n"/>
      <c r="G276" s="121">
        <f>IF($A276="","",MAX(0,$D276+$E276-$F276))</f>
        <v/>
      </c>
      <c r="H276" s="121">
        <f>IF($A276="","",MAX(0,$C276-$B276))</f>
        <v/>
      </c>
    </row>
    <row r="277" ht="15" customHeight="1" s="78">
      <c r="A277" s="122" t="n"/>
      <c r="B277" s="120" t="n"/>
      <c r="C277" s="120" t="n"/>
      <c r="D277" s="120" t="n"/>
      <c r="E277" s="120" t="n"/>
      <c r="F277" s="120" t="n"/>
      <c r="G277" s="121">
        <f>IF($A277="","",MAX(0,$D277+$E277-$F277))</f>
        <v/>
      </c>
      <c r="H277" s="121">
        <f>IF($A277="","",MAX(0,$C277-$B277))</f>
        <v/>
      </c>
    </row>
    <row r="278" ht="15" customHeight="1" s="78">
      <c r="A278" s="122" t="n"/>
      <c r="B278" s="120" t="n"/>
      <c r="C278" s="120" t="n"/>
      <c r="D278" s="120" t="n"/>
      <c r="E278" s="120" t="n"/>
      <c r="F278" s="120" t="n"/>
      <c r="G278" s="121">
        <f>IF($A278="","",MAX(0,$D278+$E278-$F278))</f>
        <v/>
      </c>
      <c r="H278" s="121">
        <f>IF($A278="","",MAX(0,$C278-$B278))</f>
        <v/>
      </c>
    </row>
    <row r="279" ht="15" customHeight="1" s="78">
      <c r="A279" s="122" t="n"/>
      <c r="B279" s="120" t="n"/>
      <c r="C279" s="120" t="n"/>
      <c r="D279" s="120" t="n"/>
      <c r="E279" s="120" t="n"/>
      <c r="F279" s="120" t="n"/>
      <c r="G279" s="121">
        <f>IF($A279="","",MAX(0,$D279+$E279-$F279))</f>
        <v/>
      </c>
      <c r="H279" s="121">
        <f>IF($A279="","",MAX(0,$C279-$B279))</f>
        <v/>
      </c>
    </row>
    <row r="280" ht="15" customHeight="1" s="78">
      <c r="A280" s="122" t="n"/>
      <c r="B280" s="120" t="n"/>
      <c r="C280" s="120" t="n"/>
      <c r="D280" s="120" t="n"/>
      <c r="E280" s="120" t="n"/>
      <c r="F280" s="120" t="n"/>
      <c r="G280" s="121">
        <f>IF($A280="","",MAX(0,$D280+$E280-$F280))</f>
        <v/>
      </c>
      <c r="H280" s="121">
        <f>IF($A280="","",MAX(0,$C280-$B280))</f>
        <v/>
      </c>
    </row>
    <row r="281" ht="15" customHeight="1" s="78">
      <c r="A281" s="122" t="n"/>
      <c r="B281" s="120" t="n"/>
      <c r="C281" s="120" t="n"/>
      <c r="D281" s="120" t="n"/>
      <c r="E281" s="120" t="n"/>
      <c r="F281" s="120" t="n"/>
      <c r="G281" s="121">
        <f>IF($A281="","",MAX(0,$D281+$E281-$F281))</f>
        <v/>
      </c>
      <c r="H281" s="121">
        <f>IF($A281="","",MAX(0,$C281-$B281))</f>
        <v/>
      </c>
    </row>
    <row r="282" ht="15" customHeight="1" s="78">
      <c r="A282" s="122" t="n"/>
      <c r="B282" s="120" t="n"/>
      <c r="C282" s="120" t="n"/>
      <c r="D282" s="120" t="n"/>
      <c r="E282" s="120" t="n"/>
      <c r="F282" s="120" t="n"/>
      <c r="G282" s="121">
        <f>IF($A282="","",MAX(0,$D282+$E282-$F282))</f>
        <v/>
      </c>
      <c r="H282" s="121">
        <f>IF($A282="","",MAX(0,$C282-$B282))</f>
        <v/>
      </c>
    </row>
    <row r="283" ht="15" customHeight="1" s="78">
      <c r="A283" s="122" t="n"/>
      <c r="B283" s="120" t="n"/>
      <c r="C283" s="120" t="n"/>
      <c r="D283" s="120" t="n"/>
      <c r="E283" s="120" t="n"/>
      <c r="F283" s="120" t="n"/>
      <c r="G283" s="121">
        <f>IF($A283="","",MAX(0,$D283+$E283-$F283))</f>
        <v/>
      </c>
      <c r="H283" s="121">
        <f>IF($A283="","",MAX(0,$C283-$B283))</f>
        <v/>
      </c>
    </row>
    <row r="284" ht="15" customHeight="1" s="78">
      <c r="A284" s="122" t="n"/>
      <c r="B284" s="120" t="n"/>
      <c r="C284" s="120" t="n"/>
      <c r="D284" s="120" t="n"/>
      <c r="E284" s="120" t="n"/>
      <c r="F284" s="120" t="n"/>
      <c r="G284" s="121">
        <f>IF($A284="","",MAX(0,$D284+$E284-$F284))</f>
        <v/>
      </c>
      <c r="H284" s="121">
        <f>IF($A284="","",MAX(0,$C284-$B284))</f>
        <v/>
      </c>
    </row>
    <row r="285" ht="15" customHeight="1" s="78">
      <c r="A285" s="122" t="n"/>
      <c r="B285" s="120" t="n"/>
      <c r="C285" s="120" t="n"/>
      <c r="D285" s="120" t="n"/>
      <c r="E285" s="120" t="n"/>
      <c r="F285" s="120" t="n"/>
      <c r="G285" s="121">
        <f>IF($A285="","",MAX(0,$D285+$E285-$F285))</f>
        <v/>
      </c>
      <c r="H285" s="121">
        <f>IF($A285="","",MAX(0,$C285-$B285))</f>
        <v/>
      </c>
    </row>
    <row r="286" ht="15" customHeight="1" s="78">
      <c r="A286" s="122" t="n"/>
      <c r="B286" s="120" t="n"/>
      <c r="C286" s="120" t="n"/>
      <c r="D286" s="120" t="n"/>
      <c r="E286" s="120" t="n"/>
      <c r="F286" s="120" t="n"/>
      <c r="G286" s="121">
        <f>IF($A286="","",MAX(0,$D286+$E286-$F286))</f>
        <v/>
      </c>
      <c r="H286" s="121">
        <f>IF($A286="","",MAX(0,$C286-$B286))</f>
        <v/>
      </c>
    </row>
    <row r="287" ht="15" customHeight="1" s="78">
      <c r="A287" s="122" t="n"/>
      <c r="B287" s="120" t="n"/>
      <c r="C287" s="120" t="n"/>
      <c r="D287" s="120" t="n"/>
      <c r="E287" s="120" t="n"/>
      <c r="F287" s="120" t="n"/>
      <c r="G287" s="121">
        <f>IF($A287="","",MAX(0,$D287+$E287-$F287))</f>
        <v/>
      </c>
      <c r="H287" s="121">
        <f>IF($A287="","",MAX(0,$C287-$B287))</f>
        <v/>
      </c>
    </row>
    <row r="288" ht="15" customHeight="1" s="78">
      <c r="A288" s="122" t="n"/>
      <c r="B288" s="120" t="n"/>
      <c r="C288" s="120" t="n"/>
      <c r="D288" s="120" t="n"/>
      <c r="E288" s="120" t="n"/>
      <c r="F288" s="120" t="n"/>
      <c r="G288" s="121">
        <f>IF($A288="","",MAX(0,$D288+$E288-$F288))</f>
        <v/>
      </c>
      <c r="H288" s="121">
        <f>IF($A288="","",MAX(0,$C288-$B288))</f>
        <v/>
      </c>
    </row>
    <row r="289" ht="15" customHeight="1" s="78">
      <c r="A289" s="122" t="n"/>
      <c r="B289" s="120" t="n"/>
      <c r="C289" s="120" t="n"/>
      <c r="D289" s="120" t="n"/>
      <c r="E289" s="120" t="n"/>
      <c r="F289" s="120" t="n"/>
      <c r="G289" s="121">
        <f>IF($A289="","",MAX(0,$D289+$E289-$F289))</f>
        <v/>
      </c>
      <c r="H289" s="121">
        <f>IF($A289="","",MAX(0,$C289-$B289))</f>
        <v/>
      </c>
    </row>
    <row r="290" ht="15" customHeight="1" s="78">
      <c r="A290" s="122" t="n"/>
      <c r="B290" s="120" t="n"/>
      <c r="C290" s="120" t="n"/>
      <c r="D290" s="120" t="n"/>
      <c r="E290" s="120" t="n"/>
      <c r="F290" s="120" t="n"/>
      <c r="G290" s="121">
        <f>IF($A290="","",MAX(0,$D290+$E290-$F290))</f>
        <v/>
      </c>
      <c r="H290" s="121">
        <f>IF($A290="","",MAX(0,$C290-$B290))</f>
        <v/>
      </c>
    </row>
    <row r="291" ht="15" customHeight="1" s="78">
      <c r="A291" s="122" t="n"/>
      <c r="B291" s="120" t="n"/>
      <c r="C291" s="120" t="n"/>
      <c r="D291" s="120" t="n"/>
      <c r="E291" s="120" t="n"/>
      <c r="F291" s="120" t="n"/>
      <c r="G291" s="121">
        <f>IF($A291="","",MAX(0,$D291+$E291-$F291))</f>
        <v/>
      </c>
      <c r="H291" s="121">
        <f>IF($A291="","",MAX(0,$C291-$B291))</f>
        <v/>
      </c>
    </row>
    <row r="292" ht="15" customHeight="1" s="78">
      <c r="A292" s="122" t="n"/>
      <c r="B292" s="120" t="n"/>
      <c r="C292" s="120" t="n"/>
      <c r="D292" s="120" t="n"/>
      <c r="E292" s="120" t="n"/>
      <c r="F292" s="120" t="n"/>
      <c r="G292" s="121">
        <f>IF($A292="","",MAX(0,$D292+$E292-$F292))</f>
        <v/>
      </c>
      <c r="H292" s="121">
        <f>IF($A292="","",MAX(0,$C292-$B292))</f>
        <v/>
      </c>
    </row>
    <row r="293" ht="15" customHeight="1" s="78">
      <c r="A293" s="122" t="n"/>
      <c r="B293" s="120" t="n"/>
      <c r="C293" s="120" t="n"/>
      <c r="D293" s="120" t="n"/>
      <c r="E293" s="120" t="n"/>
      <c r="F293" s="120" t="n"/>
      <c r="G293" s="121">
        <f>IF($A293="","",MAX(0,$D293+$E293-$F293))</f>
        <v/>
      </c>
      <c r="H293" s="121">
        <f>IF($A293="","",MAX(0,$C293-$B293))</f>
        <v/>
      </c>
    </row>
    <row r="294" ht="15" customHeight="1" s="78">
      <c r="A294" s="122" t="n"/>
      <c r="B294" s="120" t="n"/>
      <c r="C294" s="120" t="n"/>
      <c r="D294" s="120" t="n"/>
      <c r="E294" s="120" t="n"/>
      <c r="F294" s="120" t="n"/>
      <c r="G294" s="121">
        <f>IF($A294="","",MAX(0,$D294+$E294-$F294))</f>
        <v/>
      </c>
      <c r="H294" s="121">
        <f>IF($A294="","",MAX(0,$C294-$B294))</f>
        <v/>
      </c>
    </row>
    <row r="295" ht="15" customHeight="1" s="78">
      <c r="A295" s="122" t="n"/>
      <c r="B295" s="120" t="n"/>
      <c r="C295" s="120" t="n"/>
      <c r="D295" s="120" t="n"/>
      <c r="E295" s="120" t="n"/>
      <c r="F295" s="120" t="n"/>
      <c r="G295" s="121">
        <f>IF($A295="","",MAX(0,$D295+$E295-$F295))</f>
        <v/>
      </c>
      <c r="H295" s="121">
        <f>IF($A295="","",MAX(0,$C295-$B295))</f>
        <v/>
      </c>
    </row>
    <row r="296" ht="15" customHeight="1" s="78">
      <c r="A296" s="122" t="n"/>
      <c r="B296" s="120" t="n"/>
      <c r="C296" s="120" t="n"/>
      <c r="D296" s="120" t="n"/>
      <c r="E296" s="120" t="n"/>
      <c r="F296" s="120" t="n"/>
      <c r="G296" s="121">
        <f>IF($A296="","",MAX(0,$D296+$E296-$F296))</f>
        <v/>
      </c>
      <c r="H296" s="121">
        <f>IF($A296="","",MAX(0,$C296-$B296))</f>
        <v/>
      </c>
    </row>
    <row r="297" ht="15" customHeight="1" s="78">
      <c r="A297" s="122" t="n"/>
      <c r="B297" s="120" t="n"/>
      <c r="C297" s="120" t="n"/>
      <c r="D297" s="120" t="n"/>
      <c r="E297" s="120" t="n"/>
      <c r="F297" s="120" t="n"/>
      <c r="G297" s="121">
        <f>IF($A297="","",MAX(0,$D297+$E297-$F297))</f>
        <v/>
      </c>
      <c r="H297" s="121">
        <f>IF($A297="","",MAX(0,$C297-$B297))</f>
        <v/>
      </c>
    </row>
    <row r="298" ht="15" customHeight="1" s="78">
      <c r="A298" s="122" t="n"/>
      <c r="B298" s="120" t="n"/>
      <c r="C298" s="120" t="n"/>
      <c r="D298" s="120" t="n"/>
      <c r="E298" s="120" t="n"/>
      <c r="F298" s="120" t="n"/>
      <c r="G298" s="121">
        <f>IF($A298="","",MAX(0,$D298+$E298-$F298))</f>
        <v/>
      </c>
      <c r="H298" s="121">
        <f>IF($A298="","",MAX(0,$C298-$B298))</f>
        <v/>
      </c>
    </row>
    <row r="299" ht="15" customHeight="1" s="78">
      <c r="A299" s="122" t="n"/>
      <c r="B299" s="120" t="n"/>
      <c r="C299" s="120" t="n"/>
      <c r="D299" s="120" t="n"/>
      <c r="E299" s="120" t="n"/>
      <c r="F299" s="120" t="n"/>
      <c r="G299" s="121">
        <f>IF($A299="","",MAX(0,$D299+$E299-$F299))</f>
        <v/>
      </c>
      <c r="H299" s="121">
        <f>IF($A299="","",MAX(0,$C299-$B299))</f>
        <v/>
      </c>
    </row>
    <row r="300" ht="15" customHeight="1" s="78">
      <c r="A300" s="122" t="n"/>
      <c r="B300" s="120" t="n"/>
      <c r="C300" s="120" t="n"/>
      <c r="D300" s="120" t="n"/>
      <c r="E300" s="120" t="n"/>
      <c r="F300" s="120" t="n"/>
      <c r="G300" s="121">
        <f>IF($A300="","",MAX(0,$D300+$E300-$F300))</f>
        <v/>
      </c>
      <c r="H300" s="121">
        <f>IF($A300="","",MAX(0,$C300-$B300))</f>
        <v/>
      </c>
    </row>
    <row r="301" ht="15" customHeight="1" s="78">
      <c r="A301" s="122" t="n"/>
      <c r="B301" s="120" t="n"/>
      <c r="C301" s="120" t="n"/>
      <c r="D301" s="120" t="n"/>
      <c r="E301" s="120" t="n"/>
      <c r="F301" s="120" t="n"/>
      <c r="G301" s="121">
        <f>IF($A301="","",MAX(0,$D301+$E301-$F301))</f>
        <v/>
      </c>
      <c r="H301" s="121">
        <f>IF($A301="","",MAX(0,$C301-$B301))</f>
        <v/>
      </c>
    </row>
    <row r="302" ht="15" customHeight="1" s="78">
      <c r="A302" s="122" t="n"/>
      <c r="B302" s="120" t="n"/>
      <c r="C302" s="120" t="n"/>
      <c r="D302" s="120" t="n"/>
      <c r="E302" s="120" t="n"/>
      <c r="F302" s="120" t="n"/>
      <c r="G302" s="121">
        <f>IF($A302="","",MAX(0,$D302+$E302-$F302))</f>
        <v/>
      </c>
      <c r="H302" s="121">
        <f>IF($A302="","",MAX(0,$C302-$B302))</f>
        <v/>
      </c>
    </row>
    <row r="303" ht="15" customHeight="1" s="78">
      <c r="A303" s="122" t="n"/>
      <c r="B303" s="120" t="n"/>
      <c r="C303" s="120" t="n"/>
      <c r="D303" s="120" t="n"/>
      <c r="E303" s="120" t="n"/>
      <c r="F303" s="120" t="n"/>
      <c r="G303" s="121">
        <f>IF($A303="","",MAX(0,$D303+$E303-$F303))</f>
        <v/>
      </c>
      <c r="H303" s="121">
        <f>IF($A303="","",MAX(0,$C303-$B303))</f>
        <v/>
      </c>
    </row>
    <row r="304" ht="15" customHeight="1" s="78">
      <c r="A304" s="122" t="n"/>
      <c r="B304" s="120" t="n"/>
      <c r="C304" s="120" t="n"/>
      <c r="D304" s="120" t="n"/>
      <c r="E304" s="120" t="n"/>
      <c r="F304" s="120" t="n"/>
      <c r="G304" s="121">
        <f>IF($A304="","",MAX(0,$D304+$E304-$F304))</f>
        <v/>
      </c>
      <c r="H304" s="121">
        <f>IF($A304="","",MAX(0,$C304-$B304))</f>
        <v/>
      </c>
    </row>
    <row r="305" ht="15" customHeight="1" s="78">
      <c r="A305" s="122" t="n"/>
      <c r="B305" s="120" t="n"/>
      <c r="C305" s="120" t="n"/>
      <c r="D305" s="120" t="n"/>
      <c r="E305" s="120" t="n"/>
      <c r="F305" s="120" t="n"/>
      <c r="G305" s="121">
        <f>IF($A305="","",MAX(0,$D305+$E305-$F305))</f>
        <v/>
      </c>
      <c r="H305" s="121">
        <f>IF($A305="","",MAX(0,$C305-$B305))</f>
        <v/>
      </c>
    </row>
    <row r="306" ht="15" customHeight="1" s="78">
      <c r="A306" s="122" t="n"/>
      <c r="B306" s="120" t="n"/>
      <c r="C306" s="120" t="n"/>
      <c r="D306" s="120" t="n"/>
      <c r="E306" s="120" t="n"/>
      <c r="F306" s="120" t="n"/>
      <c r="G306" s="121">
        <f>IF($A306="","",MAX(0,$D306+$E306-$F306))</f>
        <v/>
      </c>
      <c r="H306" s="121">
        <f>IF($A306="","",MAX(0,$C306-$B306))</f>
        <v/>
      </c>
    </row>
    <row r="307" ht="15" customHeight="1" s="78">
      <c r="A307" s="122" t="n"/>
      <c r="B307" s="120" t="n"/>
      <c r="C307" s="120" t="n"/>
      <c r="D307" s="120" t="n"/>
      <c r="E307" s="120" t="n"/>
      <c r="F307" s="120" t="n"/>
      <c r="G307" s="121">
        <f>IF($A307="","",MAX(0,$D307+$E307-$F307))</f>
        <v/>
      </c>
      <c r="H307" s="121">
        <f>IF($A307="","",MAX(0,$C307-$B307))</f>
        <v/>
      </c>
    </row>
    <row r="308" ht="15" customHeight="1" s="78">
      <c r="A308" s="122" t="n"/>
      <c r="B308" s="120" t="n"/>
      <c r="C308" s="120" t="n"/>
      <c r="D308" s="120" t="n"/>
      <c r="E308" s="120" t="n"/>
      <c r="F308" s="120" t="n"/>
      <c r="G308" s="121">
        <f>IF($A308="","",MAX(0,$D308+$E308-$F308))</f>
        <v/>
      </c>
      <c r="H308" s="121">
        <f>IF($A308="","",MAX(0,$C308-$B308))</f>
        <v/>
      </c>
    </row>
    <row r="309" ht="15" customHeight="1" s="78">
      <c r="A309" s="122" t="n"/>
      <c r="B309" s="120" t="n"/>
      <c r="C309" s="120" t="n"/>
      <c r="D309" s="120" t="n"/>
      <c r="E309" s="120" t="n"/>
      <c r="F309" s="120" t="n"/>
      <c r="G309" s="121">
        <f>IF($A309="","",MAX(0,$D309+$E309-$F309))</f>
        <v/>
      </c>
      <c r="H309" s="121">
        <f>IF($A309="","",MAX(0,$C309-$B309))</f>
        <v/>
      </c>
    </row>
    <row r="310" ht="15" customHeight="1" s="78">
      <c r="A310" s="122" t="n"/>
      <c r="B310" s="120" t="n"/>
      <c r="C310" s="120" t="n"/>
      <c r="D310" s="120" t="n"/>
      <c r="E310" s="120" t="n"/>
      <c r="F310" s="120" t="n"/>
      <c r="G310" s="121">
        <f>IF($A310="","",MAX(0,$D310+$E310-$F310))</f>
        <v/>
      </c>
      <c r="H310" s="121">
        <f>IF($A310="","",MAX(0,$C310-$B310))</f>
        <v/>
      </c>
    </row>
    <row r="311" ht="15" customHeight="1" s="78">
      <c r="A311" s="122" t="n"/>
      <c r="B311" s="120" t="n"/>
      <c r="C311" s="120" t="n"/>
      <c r="D311" s="120" t="n"/>
      <c r="E311" s="120" t="n"/>
      <c r="F311" s="120" t="n"/>
      <c r="G311" s="121">
        <f>IF($A311="","",MAX(0,$D311+$E311-$F311))</f>
        <v/>
      </c>
      <c r="H311" s="121">
        <f>IF($A311="","",MAX(0,$C311-$B311))</f>
        <v/>
      </c>
    </row>
    <row r="312" ht="15" customHeight="1" s="78">
      <c r="A312" s="122" t="n"/>
      <c r="B312" s="120" t="n"/>
      <c r="C312" s="120" t="n"/>
      <c r="D312" s="120" t="n"/>
      <c r="E312" s="120" t="n"/>
      <c r="F312" s="120" t="n"/>
      <c r="G312" s="121">
        <f>IF($A312="","",MAX(0,$D312+$E312-$F312))</f>
        <v/>
      </c>
      <c r="H312" s="121">
        <f>IF($A312="","",MAX(0,$C312-$B312))</f>
        <v/>
      </c>
    </row>
    <row r="313" ht="15" customHeight="1" s="78">
      <c r="A313" s="122" t="n"/>
      <c r="B313" s="120" t="n"/>
      <c r="C313" s="120" t="n"/>
      <c r="D313" s="120" t="n"/>
      <c r="E313" s="120" t="n"/>
      <c r="F313" s="120" t="n"/>
      <c r="G313" s="121">
        <f>IF($A313="","",MAX(0,$D313+$E313-$F313))</f>
        <v/>
      </c>
      <c r="H313" s="121">
        <f>IF($A313="","",MAX(0,$C313-$B313))</f>
        <v/>
      </c>
    </row>
    <row r="314" ht="15" customHeight="1" s="78">
      <c r="A314" s="122" t="n"/>
      <c r="B314" s="120" t="n"/>
      <c r="C314" s="120" t="n"/>
      <c r="D314" s="120" t="n"/>
      <c r="E314" s="120" t="n"/>
      <c r="F314" s="120" t="n"/>
      <c r="G314" s="121">
        <f>IF($A314="","",MAX(0,$D314+$E314-$F314))</f>
        <v/>
      </c>
      <c r="H314" s="121">
        <f>IF($A314="","",MAX(0,$C314-$B314))</f>
        <v/>
      </c>
    </row>
    <row r="315" ht="15" customHeight="1" s="78">
      <c r="A315" s="122" t="n"/>
      <c r="B315" s="120" t="n"/>
      <c r="C315" s="120" t="n"/>
      <c r="D315" s="120" t="n"/>
      <c r="E315" s="120" t="n"/>
      <c r="F315" s="120" t="n"/>
      <c r="G315" s="121">
        <f>IF($A315="","",MAX(0,$D315+$E315-$F315))</f>
        <v/>
      </c>
      <c r="H315" s="121">
        <f>IF($A315="","",MAX(0,$C315-$B315))</f>
        <v/>
      </c>
    </row>
    <row r="316" ht="15" customHeight="1" s="78">
      <c r="A316" s="122" t="n"/>
      <c r="B316" s="120" t="n"/>
      <c r="C316" s="120" t="n"/>
      <c r="D316" s="120" t="n"/>
      <c r="E316" s="120" t="n"/>
      <c r="F316" s="120" t="n"/>
      <c r="G316" s="121">
        <f>IF($A316="","",MAX(0,$D316+$E316-$F316))</f>
        <v/>
      </c>
      <c r="H316" s="121">
        <f>IF($A316="","",MAX(0,$C316-$B316))</f>
        <v/>
      </c>
    </row>
    <row r="317" ht="15" customHeight="1" s="78">
      <c r="A317" s="122" t="n"/>
      <c r="B317" s="120" t="n"/>
      <c r="C317" s="120" t="n"/>
      <c r="D317" s="120" t="n"/>
      <c r="E317" s="120" t="n"/>
      <c r="F317" s="120" t="n"/>
      <c r="G317" s="121">
        <f>IF($A317="","",MAX(0,$D317+$E317-$F317))</f>
        <v/>
      </c>
      <c r="H317" s="121">
        <f>IF($A317="","",MAX(0,$C317-$B317))</f>
        <v/>
      </c>
    </row>
    <row r="318" ht="15" customHeight="1" s="78">
      <c r="A318" s="122" t="n"/>
      <c r="B318" s="120" t="n"/>
      <c r="C318" s="120" t="n"/>
      <c r="D318" s="120" t="n"/>
      <c r="E318" s="120" t="n"/>
      <c r="F318" s="120" t="n"/>
      <c r="G318" s="121">
        <f>IF($A318="","",MAX(0,$D318+$E318-$F318))</f>
        <v/>
      </c>
      <c r="H318" s="121">
        <f>IF($A318="","",MAX(0,$C318-$B318))</f>
        <v/>
      </c>
    </row>
    <row r="319" ht="15" customHeight="1" s="78">
      <c r="A319" s="122" t="n"/>
      <c r="B319" s="120" t="n"/>
      <c r="C319" s="120" t="n"/>
      <c r="D319" s="120" t="n"/>
      <c r="E319" s="120" t="n"/>
      <c r="F319" s="120" t="n"/>
      <c r="G319" s="121">
        <f>IF($A319="","",MAX(0,$D319+$E319-$F319))</f>
        <v/>
      </c>
      <c r="H319" s="121">
        <f>IF($A319="","",MAX(0,$C319-$B319))</f>
        <v/>
      </c>
    </row>
    <row r="320" ht="15" customHeight="1" s="78">
      <c r="A320" s="122" t="n"/>
      <c r="B320" s="120" t="n"/>
      <c r="C320" s="120" t="n"/>
      <c r="D320" s="120" t="n"/>
      <c r="E320" s="120" t="n"/>
      <c r="F320" s="120" t="n"/>
      <c r="G320" s="121">
        <f>IF($A320="","",MAX(0,$D320+$E320-$F320))</f>
        <v/>
      </c>
      <c r="H320" s="121">
        <f>IF($A320="","",MAX(0,$C320-$B320))</f>
        <v/>
      </c>
    </row>
    <row r="321" ht="15" customHeight="1" s="78">
      <c r="A321" s="122" t="n"/>
      <c r="B321" s="120" t="n"/>
      <c r="C321" s="120" t="n"/>
      <c r="D321" s="120" t="n"/>
      <c r="E321" s="120" t="n"/>
      <c r="F321" s="120" t="n"/>
      <c r="G321" s="121">
        <f>IF($A321="","",MAX(0,$D321+$E321-$F321))</f>
        <v/>
      </c>
      <c r="H321" s="121">
        <f>IF($A321="","",MAX(0,$C321-$B321))</f>
        <v/>
      </c>
    </row>
    <row r="322" ht="15" customHeight="1" s="78">
      <c r="A322" s="122" t="n"/>
      <c r="B322" s="120" t="n"/>
      <c r="C322" s="120" t="n"/>
      <c r="D322" s="120" t="n"/>
      <c r="E322" s="120" t="n"/>
      <c r="F322" s="120" t="n"/>
      <c r="G322" s="121">
        <f>IF($A322="","",MAX(0,$D322+$E322-$F322))</f>
        <v/>
      </c>
      <c r="H322" s="121">
        <f>IF($A322="","",MAX(0,$C322-$B322))</f>
        <v/>
      </c>
    </row>
    <row r="323" ht="15" customHeight="1" s="78">
      <c r="A323" s="122" t="n"/>
      <c r="B323" s="120" t="n"/>
      <c r="C323" s="120" t="n"/>
      <c r="D323" s="120" t="n"/>
      <c r="E323" s="120" t="n"/>
      <c r="F323" s="120" t="n"/>
      <c r="G323" s="121">
        <f>IF($A323="","",MAX(0,$D323+$E323-$F323))</f>
        <v/>
      </c>
      <c r="H323" s="121">
        <f>IF($A323="","",MAX(0,$C323-$B323))</f>
        <v/>
      </c>
    </row>
    <row r="324" ht="15" customHeight="1" s="78">
      <c r="A324" s="122" t="n"/>
      <c r="B324" s="120" t="n"/>
      <c r="C324" s="120" t="n"/>
      <c r="D324" s="120" t="n"/>
      <c r="E324" s="120" t="n"/>
      <c r="F324" s="120" t="n"/>
      <c r="G324" s="121">
        <f>IF($A324="","",MAX(0,$D324+$E324-$F324))</f>
        <v/>
      </c>
      <c r="H324" s="121">
        <f>IF($A324="","",MAX(0,$C324-$B324))</f>
        <v/>
      </c>
    </row>
    <row r="325" ht="15" customHeight="1" s="78">
      <c r="A325" s="122" t="n"/>
      <c r="B325" s="120" t="n"/>
      <c r="C325" s="120" t="n"/>
      <c r="D325" s="120" t="n"/>
      <c r="E325" s="120" t="n"/>
      <c r="F325" s="120" t="n"/>
      <c r="G325" s="121">
        <f>IF($A325="","",MAX(0,$D325+$E325-$F325))</f>
        <v/>
      </c>
      <c r="H325" s="121">
        <f>IF($A325="","",MAX(0,$C325-$B325))</f>
        <v/>
      </c>
    </row>
    <row r="326" ht="15" customHeight="1" s="78">
      <c r="A326" s="122" t="n"/>
      <c r="B326" s="120" t="n"/>
      <c r="C326" s="120" t="n"/>
      <c r="D326" s="120" t="n"/>
      <c r="E326" s="120" t="n"/>
      <c r="F326" s="120" t="n"/>
      <c r="G326" s="121">
        <f>IF($A326="","",MAX(0,$D326+$E326-$F326))</f>
        <v/>
      </c>
      <c r="H326" s="121">
        <f>IF($A326="","",MAX(0,$C326-$B326))</f>
        <v/>
      </c>
    </row>
    <row r="327" ht="15" customHeight="1" s="78">
      <c r="A327" s="122" t="n"/>
      <c r="B327" s="120" t="n"/>
      <c r="C327" s="120" t="n"/>
      <c r="D327" s="120" t="n"/>
      <c r="E327" s="120" t="n"/>
      <c r="F327" s="120" t="n"/>
      <c r="G327" s="121">
        <f>IF($A327="","",MAX(0,$D327+$E327-$F327))</f>
        <v/>
      </c>
      <c r="H327" s="121">
        <f>IF($A327="","",MAX(0,$C327-$B327))</f>
        <v/>
      </c>
    </row>
    <row r="328" ht="15" customHeight="1" s="78">
      <c r="A328" s="122" t="n"/>
      <c r="B328" s="120" t="n"/>
      <c r="C328" s="120" t="n"/>
      <c r="D328" s="120" t="n"/>
      <c r="E328" s="120" t="n"/>
      <c r="F328" s="120" t="n"/>
      <c r="G328" s="121">
        <f>IF($A328="","",MAX(0,$D328+$E328-$F328))</f>
        <v/>
      </c>
      <c r="H328" s="121">
        <f>IF($A328="","",MAX(0,$C328-$B328))</f>
        <v/>
      </c>
    </row>
    <row r="329" ht="15" customHeight="1" s="78">
      <c r="A329" s="122" t="n"/>
      <c r="B329" s="120" t="n"/>
      <c r="C329" s="120" t="n"/>
      <c r="D329" s="120" t="n"/>
      <c r="E329" s="120" t="n"/>
      <c r="F329" s="120" t="n"/>
      <c r="G329" s="121">
        <f>IF($A329="","",MAX(0,$D329+$E329-$F329))</f>
        <v/>
      </c>
      <c r="H329" s="121">
        <f>IF($A329="","",MAX(0,$C329-$B329))</f>
        <v/>
      </c>
    </row>
    <row r="330" ht="15" customHeight="1" s="78">
      <c r="A330" s="122" t="n"/>
      <c r="B330" s="120" t="n"/>
      <c r="C330" s="120" t="n"/>
      <c r="D330" s="120" t="n"/>
      <c r="E330" s="120" t="n"/>
      <c r="F330" s="120" t="n"/>
      <c r="G330" s="121">
        <f>IF($A330="","",MAX(0,$D330+$E330-$F330))</f>
        <v/>
      </c>
      <c r="H330" s="121">
        <f>IF($A330="","",MAX(0,$C330-$B330))</f>
        <v/>
      </c>
    </row>
    <row r="331" ht="15" customHeight="1" s="78">
      <c r="A331" s="122" t="n"/>
      <c r="B331" s="120" t="n"/>
      <c r="C331" s="120" t="n"/>
      <c r="D331" s="120" t="n"/>
      <c r="E331" s="120" t="n"/>
      <c r="F331" s="120" t="n"/>
      <c r="G331" s="121">
        <f>IF($A331="","",MAX(0,$D331+$E331-$F331))</f>
        <v/>
      </c>
      <c r="H331" s="121">
        <f>IF($A331="","",MAX(0,$C331-$B331))</f>
        <v/>
      </c>
    </row>
    <row r="332" ht="15" customHeight="1" s="78">
      <c r="A332" s="122" t="n"/>
      <c r="B332" s="120" t="n"/>
      <c r="C332" s="120" t="n"/>
      <c r="D332" s="120" t="n"/>
      <c r="E332" s="120" t="n"/>
      <c r="F332" s="120" t="n"/>
      <c r="G332" s="121">
        <f>IF($A332="","",MAX(0,$D332+$E332-$F332))</f>
        <v/>
      </c>
      <c r="H332" s="121">
        <f>IF($A332="","",MAX(0,$C332-$B332))</f>
        <v/>
      </c>
    </row>
    <row r="333" ht="15" customHeight="1" s="78">
      <c r="A333" s="122" t="n"/>
      <c r="B333" s="120" t="n"/>
      <c r="C333" s="120" t="n"/>
      <c r="D333" s="120" t="n"/>
      <c r="E333" s="120" t="n"/>
      <c r="F333" s="120" t="n"/>
      <c r="G333" s="121">
        <f>IF($A333="","",MAX(0,$D333+$E333-$F333))</f>
        <v/>
      </c>
      <c r="H333" s="121">
        <f>IF($A333="","",MAX(0,$C333-$B333))</f>
        <v/>
      </c>
    </row>
    <row r="334" ht="15" customHeight="1" s="78">
      <c r="A334" s="122" t="n"/>
      <c r="B334" s="120" t="n"/>
      <c r="C334" s="120" t="n"/>
      <c r="D334" s="120" t="n"/>
      <c r="E334" s="120" t="n"/>
      <c r="F334" s="120" t="n"/>
      <c r="G334" s="121">
        <f>IF($A334="","",MAX(0,$D334+$E334-$F334))</f>
        <v/>
      </c>
      <c r="H334" s="121">
        <f>IF($A334="","",MAX(0,$C334-$B334))</f>
        <v/>
      </c>
    </row>
    <row r="335" ht="15" customHeight="1" s="78">
      <c r="A335" s="122" t="n"/>
      <c r="B335" s="120" t="n"/>
      <c r="C335" s="120" t="n"/>
      <c r="D335" s="120" t="n"/>
      <c r="E335" s="120" t="n"/>
      <c r="F335" s="120" t="n"/>
      <c r="G335" s="121">
        <f>IF($A335="","",MAX(0,$D335+$E335-$F335))</f>
        <v/>
      </c>
      <c r="H335" s="121">
        <f>IF($A335="","",MAX(0,$C335-$B335))</f>
        <v/>
      </c>
    </row>
    <row r="336" ht="15" customHeight="1" s="78">
      <c r="A336" s="122" t="n"/>
      <c r="B336" s="120" t="n"/>
      <c r="C336" s="120" t="n"/>
      <c r="D336" s="120" t="n"/>
      <c r="E336" s="120" t="n"/>
      <c r="F336" s="120" t="n"/>
      <c r="G336" s="121">
        <f>IF($A336="","",MAX(0,$D336+$E336-$F336))</f>
        <v/>
      </c>
      <c r="H336" s="121">
        <f>IF($A336="","",MAX(0,$C336-$B336))</f>
        <v/>
      </c>
    </row>
    <row r="337" ht="15" customHeight="1" s="78">
      <c r="A337" s="122" t="n"/>
      <c r="B337" s="120" t="n"/>
      <c r="C337" s="120" t="n"/>
      <c r="D337" s="120" t="n"/>
      <c r="E337" s="120" t="n"/>
      <c r="F337" s="120" t="n"/>
      <c r="G337" s="121">
        <f>IF($A337="","",MAX(0,$D337+$E337-$F337))</f>
        <v/>
      </c>
      <c r="H337" s="121">
        <f>IF($A337="","",MAX(0,$C337-$B337))</f>
        <v/>
      </c>
    </row>
    <row r="338" ht="15" customHeight="1" s="78">
      <c r="A338" s="122" t="n"/>
      <c r="B338" s="120" t="n"/>
      <c r="C338" s="120" t="n"/>
      <c r="D338" s="120" t="n"/>
      <c r="E338" s="120" t="n"/>
      <c r="F338" s="120" t="n"/>
      <c r="G338" s="121">
        <f>IF($A338="","",MAX(0,$D338+$E338-$F338))</f>
        <v/>
      </c>
      <c r="H338" s="121">
        <f>IF($A338="","",MAX(0,$C338-$B338))</f>
        <v/>
      </c>
    </row>
    <row r="339" ht="15" customHeight="1" s="78">
      <c r="A339" s="122" t="n"/>
      <c r="B339" s="120" t="n"/>
      <c r="C339" s="120" t="n"/>
      <c r="D339" s="120" t="n"/>
      <c r="E339" s="120" t="n"/>
      <c r="F339" s="120" t="n"/>
      <c r="G339" s="121">
        <f>IF($A339="","",MAX(0,$D339+$E339-$F339))</f>
        <v/>
      </c>
      <c r="H339" s="121">
        <f>IF($A339="","",MAX(0,$C339-$B339))</f>
        <v/>
      </c>
    </row>
    <row r="340" ht="15" customHeight="1" s="78">
      <c r="A340" s="122" t="n"/>
      <c r="B340" s="120" t="n"/>
      <c r="C340" s="120" t="n"/>
      <c r="D340" s="120" t="n"/>
      <c r="E340" s="120" t="n"/>
      <c r="F340" s="120" t="n"/>
      <c r="G340" s="121">
        <f>IF($A340="","",MAX(0,$D340+$E340-$F340))</f>
        <v/>
      </c>
      <c r="H340" s="121">
        <f>IF($A340="","",MAX(0,$C340-$B340))</f>
        <v/>
      </c>
    </row>
    <row r="341" ht="15" customHeight="1" s="78">
      <c r="A341" s="122" t="n"/>
      <c r="B341" s="120" t="n"/>
      <c r="C341" s="120" t="n"/>
      <c r="D341" s="120" t="n"/>
      <c r="E341" s="120" t="n"/>
      <c r="F341" s="120" t="n"/>
      <c r="G341" s="121">
        <f>IF($A341="","",MAX(0,$D341+$E341-$F341))</f>
        <v/>
      </c>
      <c r="H341" s="121">
        <f>IF($A341="","",MAX(0,$C341-$B341))</f>
        <v/>
      </c>
    </row>
    <row r="342" ht="15" customHeight="1" s="78">
      <c r="A342" s="122" t="n"/>
      <c r="B342" s="120" t="n"/>
      <c r="C342" s="120" t="n"/>
      <c r="D342" s="120" t="n"/>
      <c r="E342" s="120" t="n"/>
      <c r="F342" s="120" t="n"/>
      <c r="G342" s="121">
        <f>IF($A342="","",MAX(0,$D342+$E342-$F342))</f>
        <v/>
      </c>
      <c r="H342" s="121">
        <f>IF($A342="","",MAX(0,$C342-$B342))</f>
        <v/>
      </c>
    </row>
    <row r="343" ht="15" customHeight="1" s="78">
      <c r="A343" s="122" t="n"/>
      <c r="B343" s="120" t="n"/>
      <c r="C343" s="120" t="n"/>
      <c r="D343" s="120" t="n"/>
      <c r="E343" s="120" t="n"/>
      <c r="F343" s="120" t="n"/>
      <c r="G343" s="121">
        <f>IF($A343="","",MAX(0,$D343+$E343-$F343))</f>
        <v/>
      </c>
      <c r="H343" s="121">
        <f>IF($A343="","",MAX(0,$C343-$B343))</f>
        <v/>
      </c>
    </row>
    <row r="344" ht="15" customHeight="1" s="78">
      <c r="A344" s="122" t="n"/>
      <c r="B344" s="120" t="n"/>
      <c r="C344" s="120" t="n"/>
      <c r="D344" s="120" t="n"/>
      <c r="E344" s="120" t="n"/>
      <c r="F344" s="120" t="n"/>
      <c r="G344" s="121">
        <f>IF($A344="","",MAX(0,$D344+$E344-$F344))</f>
        <v/>
      </c>
      <c r="H344" s="121">
        <f>IF($A344="","",MAX(0,$C344-$B344))</f>
        <v/>
      </c>
    </row>
    <row r="345" ht="15" customHeight="1" s="78">
      <c r="A345" s="122" t="n"/>
      <c r="B345" s="120" t="n"/>
      <c r="C345" s="120" t="n"/>
      <c r="D345" s="120" t="n"/>
      <c r="E345" s="120" t="n"/>
      <c r="F345" s="120" t="n"/>
      <c r="G345" s="121">
        <f>IF($A345="","",MAX(0,$D345+$E345-$F345))</f>
        <v/>
      </c>
      <c r="H345" s="121">
        <f>IF($A345="","",MAX(0,$C345-$B345))</f>
        <v/>
      </c>
    </row>
    <row r="346" ht="15" customHeight="1" s="78">
      <c r="A346" s="122" t="n"/>
      <c r="B346" s="120" t="n"/>
      <c r="C346" s="120" t="n"/>
      <c r="D346" s="120" t="n"/>
      <c r="E346" s="120" t="n"/>
      <c r="F346" s="120" t="n"/>
      <c r="G346" s="121">
        <f>IF($A346="","",MAX(0,$D346+$E346-$F346))</f>
        <v/>
      </c>
      <c r="H346" s="121">
        <f>IF($A346="","",MAX(0,$C346-$B346))</f>
        <v/>
      </c>
    </row>
    <row r="347" ht="15" customHeight="1" s="78">
      <c r="A347" s="122" t="n"/>
      <c r="B347" s="120" t="n"/>
      <c r="C347" s="120" t="n"/>
      <c r="D347" s="120" t="n"/>
      <c r="E347" s="120" t="n"/>
      <c r="F347" s="120" t="n"/>
      <c r="G347" s="121">
        <f>IF($A347="","",MAX(0,$D347+$E347-$F347))</f>
        <v/>
      </c>
      <c r="H347" s="121">
        <f>IF($A347="","",MAX(0,$C347-$B347))</f>
        <v/>
      </c>
    </row>
    <row r="348" ht="15" customHeight="1" s="78">
      <c r="A348" s="122" t="n"/>
      <c r="B348" s="120" t="n"/>
      <c r="C348" s="120" t="n"/>
      <c r="D348" s="120" t="n"/>
      <c r="E348" s="120" t="n"/>
      <c r="F348" s="120" t="n"/>
      <c r="G348" s="121">
        <f>IF($A348="","",MAX(0,$D348+$E348-$F348))</f>
        <v/>
      </c>
      <c r="H348" s="121">
        <f>IF($A348="","",MAX(0,$C348-$B348))</f>
        <v/>
      </c>
    </row>
    <row r="349" ht="15" customHeight="1" s="78">
      <c r="A349" s="122" t="n"/>
      <c r="B349" s="120" t="n"/>
      <c r="C349" s="120" t="n"/>
      <c r="D349" s="120" t="n"/>
      <c r="E349" s="120" t="n"/>
      <c r="F349" s="120" t="n"/>
      <c r="G349" s="121">
        <f>IF($A349="","",MAX(0,$D349+$E349-$F349))</f>
        <v/>
      </c>
      <c r="H349" s="121">
        <f>IF($A349="","",MAX(0,$C349-$B349))</f>
        <v/>
      </c>
    </row>
    <row r="350" ht="15" customHeight="1" s="78">
      <c r="A350" s="122" t="n"/>
      <c r="B350" s="120" t="n"/>
      <c r="C350" s="120" t="n"/>
      <c r="D350" s="120" t="n"/>
      <c r="E350" s="120" t="n"/>
      <c r="F350" s="120" t="n"/>
      <c r="G350" s="121">
        <f>IF($A350="","",MAX(0,$D350+$E350-$F350))</f>
        <v/>
      </c>
      <c r="H350" s="121">
        <f>IF($A350="","",MAX(0,$C350-$B350))</f>
        <v/>
      </c>
    </row>
    <row r="351" ht="15" customHeight="1" s="78">
      <c r="A351" s="122" t="n"/>
      <c r="B351" s="120" t="n"/>
      <c r="C351" s="120" t="n"/>
      <c r="D351" s="120" t="n"/>
      <c r="E351" s="120" t="n"/>
      <c r="F351" s="120" t="n"/>
      <c r="G351" s="121">
        <f>IF($A351="","",MAX(0,$D351+$E351-$F351))</f>
        <v/>
      </c>
      <c r="H351" s="121">
        <f>IF($A351="","",MAX(0,$C351-$B351))</f>
        <v/>
      </c>
    </row>
    <row r="352" ht="15" customHeight="1" s="78">
      <c r="A352" s="122" t="n"/>
      <c r="B352" s="120" t="n"/>
      <c r="C352" s="120" t="n"/>
      <c r="D352" s="120" t="n"/>
      <c r="E352" s="120" t="n"/>
      <c r="F352" s="120" t="n"/>
      <c r="G352" s="121">
        <f>IF($A352="","",MAX(0,$D352+$E352-$F352))</f>
        <v/>
      </c>
      <c r="H352" s="121">
        <f>IF($A352="","",MAX(0,$C352-$B352))</f>
        <v/>
      </c>
    </row>
    <row r="353" ht="15" customHeight="1" s="78">
      <c r="A353" s="122" t="n"/>
      <c r="B353" s="120" t="n"/>
      <c r="C353" s="120" t="n"/>
      <c r="D353" s="120" t="n"/>
      <c r="E353" s="120" t="n"/>
      <c r="F353" s="120" t="n"/>
      <c r="G353" s="121">
        <f>IF($A353="","",MAX(0,$D353+$E353-$F353))</f>
        <v/>
      </c>
      <c r="H353" s="121">
        <f>IF($A353="","",MAX(0,$C353-$B353))</f>
        <v/>
      </c>
    </row>
    <row r="354" ht="15" customHeight="1" s="78">
      <c r="A354" s="122" t="n"/>
      <c r="B354" s="120" t="n"/>
      <c r="C354" s="120" t="n"/>
      <c r="D354" s="120" t="n"/>
      <c r="E354" s="120" t="n"/>
      <c r="F354" s="120" t="n"/>
      <c r="G354" s="121">
        <f>IF($A354="","",MAX(0,$D354+$E354-$F354))</f>
        <v/>
      </c>
      <c r="H354" s="121">
        <f>IF($A354="","",MAX(0,$C354-$B354))</f>
        <v/>
      </c>
    </row>
    <row r="355" ht="15" customHeight="1" s="78">
      <c r="A355" s="122" t="n"/>
      <c r="B355" s="120" t="n"/>
      <c r="C355" s="120" t="n"/>
      <c r="D355" s="120" t="n"/>
      <c r="E355" s="120" t="n"/>
      <c r="F355" s="120" t="n"/>
      <c r="G355" s="121">
        <f>IF($A355="","",MAX(0,$D355+$E355-$F355))</f>
        <v/>
      </c>
      <c r="H355" s="121">
        <f>IF($A355="","",MAX(0,$C355-$B355))</f>
        <v/>
      </c>
    </row>
    <row r="356" ht="15" customHeight="1" s="78">
      <c r="A356" s="122" t="n"/>
      <c r="B356" s="120" t="n"/>
      <c r="C356" s="120" t="n"/>
      <c r="D356" s="120" t="n"/>
      <c r="E356" s="120" t="n"/>
      <c r="F356" s="120" t="n"/>
      <c r="G356" s="121">
        <f>IF($A356="","",MAX(0,$D356+$E356-$F356))</f>
        <v/>
      </c>
      <c r="H356" s="121">
        <f>IF($A356="","",MAX(0,$C356-$B356))</f>
        <v/>
      </c>
    </row>
    <row r="357" ht="15" customHeight="1" s="78">
      <c r="A357" s="122" t="n"/>
      <c r="B357" s="120" t="n"/>
      <c r="C357" s="120" t="n"/>
      <c r="D357" s="120" t="n"/>
      <c r="E357" s="120" t="n"/>
      <c r="F357" s="120" t="n"/>
      <c r="G357" s="121">
        <f>IF($A357="","",MAX(0,$D357+$E357-$F357))</f>
        <v/>
      </c>
      <c r="H357" s="121">
        <f>IF($A357="","",MAX(0,$C357-$B357))</f>
        <v/>
      </c>
    </row>
    <row r="358" ht="15" customHeight="1" s="78">
      <c r="A358" s="122" t="n"/>
      <c r="B358" s="120" t="n"/>
      <c r="C358" s="120" t="n"/>
      <c r="D358" s="120" t="n"/>
      <c r="E358" s="120" t="n"/>
      <c r="F358" s="120" t="n"/>
      <c r="G358" s="121">
        <f>IF($A358="","",MAX(0,$D358+$E358-$F358))</f>
        <v/>
      </c>
      <c r="H358" s="121">
        <f>IF($A358="","",MAX(0,$C358-$B358))</f>
        <v/>
      </c>
    </row>
    <row r="359" ht="15" customHeight="1" s="78">
      <c r="A359" s="122" t="n"/>
      <c r="B359" s="120" t="n"/>
      <c r="C359" s="120" t="n"/>
      <c r="D359" s="120" t="n"/>
      <c r="E359" s="120" t="n"/>
      <c r="F359" s="120" t="n"/>
      <c r="G359" s="121">
        <f>IF($A359="","",MAX(0,$D359+$E359-$F359))</f>
        <v/>
      </c>
      <c r="H359" s="121">
        <f>IF($A359="","",MAX(0,$C359-$B359))</f>
        <v/>
      </c>
    </row>
    <row r="360" ht="15" customHeight="1" s="78">
      <c r="A360" s="122" t="n"/>
      <c r="B360" s="120" t="n"/>
      <c r="C360" s="120" t="n"/>
      <c r="D360" s="120" t="n"/>
      <c r="E360" s="120" t="n"/>
      <c r="F360" s="120" t="n"/>
      <c r="G360" s="121">
        <f>IF($A360="","",MAX(0,$D360+$E360-$F360))</f>
        <v/>
      </c>
      <c r="H360" s="121">
        <f>IF($A360="","",MAX(0,$C360-$B360))</f>
        <v/>
      </c>
    </row>
    <row r="361" ht="15" customHeight="1" s="78">
      <c r="A361" s="122" t="n"/>
      <c r="B361" s="120" t="n"/>
      <c r="C361" s="120" t="n"/>
      <c r="D361" s="120" t="n"/>
      <c r="E361" s="120" t="n"/>
      <c r="F361" s="120" t="n"/>
      <c r="G361" s="121">
        <f>IF($A361="","",MAX(0,$D361+$E361-$F361))</f>
        <v/>
      </c>
      <c r="H361" s="121">
        <f>IF($A361="","",MAX(0,$C361-$B361))</f>
        <v/>
      </c>
    </row>
    <row r="362" ht="15" customHeight="1" s="78">
      <c r="A362" s="122" t="n"/>
      <c r="B362" s="120" t="n"/>
      <c r="C362" s="120" t="n"/>
      <c r="D362" s="120" t="n"/>
      <c r="E362" s="120" t="n"/>
      <c r="F362" s="120" t="n"/>
      <c r="G362" s="121">
        <f>IF($A362="","",MAX(0,$D362+$E362-$F362))</f>
        <v/>
      </c>
      <c r="H362" s="121">
        <f>IF($A362="","",MAX(0,$C362-$B362))</f>
        <v/>
      </c>
    </row>
    <row r="363" ht="15" customHeight="1" s="78">
      <c r="A363" s="122" t="n"/>
      <c r="B363" s="120" t="n"/>
      <c r="C363" s="120" t="n"/>
      <c r="D363" s="120" t="n"/>
      <c r="E363" s="120" t="n"/>
      <c r="F363" s="120" t="n"/>
      <c r="G363" s="121">
        <f>IF($A363="","",MAX(0,$D363+$E363-$F363))</f>
        <v/>
      </c>
      <c r="H363" s="121">
        <f>IF($A363="","",MAX(0,$C363-$B363))</f>
        <v/>
      </c>
    </row>
    <row r="364" ht="15" customHeight="1" s="78">
      <c r="A364" s="122" t="n"/>
      <c r="B364" s="120" t="n"/>
      <c r="C364" s="120" t="n"/>
      <c r="D364" s="120" t="n"/>
      <c r="E364" s="120" t="n"/>
      <c r="F364" s="120" t="n"/>
      <c r="G364" s="121">
        <f>IF($A364="","",MAX(0,$D364+$E364-$F364))</f>
        <v/>
      </c>
      <c r="H364" s="121">
        <f>IF($A364="","",MAX(0,$C364-$B364))</f>
        <v/>
      </c>
    </row>
    <row r="365" ht="15" customHeight="1" s="78">
      <c r="A365" s="122" t="n"/>
      <c r="B365" s="120" t="n"/>
      <c r="C365" s="120" t="n"/>
      <c r="D365" s="120" t="n"/>
      <c r="E365" s="120" t="n"/>
      <c r="F365" s="120" t="n"/>
      <c r="G365" s="121">
        <f>IF($A365="","",MAX(0,$D365+$E365-$F365))</f>
        <v/>
      </c>
      <c r="H365" s="121">
        <f>IF($A365="","",MAX(0,$C365-$B365))</f>
        <v/>
      </c>
    </row>
    <row r="366" ht="15" customHeight="1" s="78">
      <c r="A366" s="122" t="n"/>
      <c r="B366" s="120" t="n"/>
      <c r="C366" s="120" t="n"/>
      <c r="D366" s="120" t="n"/>
      <c r="E366" s="120" t="n"/>
      <c r="F366" s="120" t="n"/>
      <c r="G366" s="121">
        <f>IF($A366="","",MAX(0,$D366+$E366-$F366))</f>
        <v/>
      </c>
      <c r="H366" s="121">
        <f>IF($A366="","",MAX(0,$C366-$B366))</f>
        <v/>
      </c>
    </row>
    <row r="367" ht="15" customHeight="1" s="78">
      <c r="A367" s="122" t="n"/>
      <c r="B367" s="120" t="n"/>
      <c r="C367" s="120" t="n"/>
      <c r="D367" s="120" t="n"/>
      <c r="E367" s="120" t="n"/>
      <c r="F367" s="120" t="n"/>
      <c r="G367" s="121">
        <f>IF($A367="","",MAX(0,$D367+$E367-$F367))</f>
        <v/>
      </c>
      <c r="H367" s="121">
        <f>IF($A367="","",MAX(0,$C367-$B367))</f>
        <v/>
      </c>
    </row>
    <row r="368" ht="15" customHeight="1" s="78">
      <c r="A368" s="122" t="n"/>
      <c r="B368" s="120" t="n"/>
      <c r="C368" s="120" t="n"/>
      <c r="D368" s="120" t="n"/>
      <c r="E368" s="120" t="n"/>
      <c r="F368" s="120" t="n"/>
      <c r="G368" s="121">
        <f>IF($A368="","",MAX(0,$D368+$E368-$F368))</f>
        <v/>
      </c>
      <c r="H368" s="121">
        <f>IF($A368="","",MAX(0,$C368-$B368))</f>
        <v/>
      </c>
    </row>
    <row r="369" ht="15" customHeight="1" s="78">
      <c r="A369" s="122" t="n"/>
      <c r="B369" s="120" t="n"/>
      <c r="C369" s="120" t="n"/>
      <c r="D369" s="120" t="n"/>
      <c r="E369" s="120" t="n"/>
      <c r="F369" s="120" t="n"/>
      <c r="G369" s="121">
        <f>IF($A369="","",MAX(0,$D369+$E369-$F369))</f>
        <v/>
      </c>
      <c r="H369" s="121">
        <f>IF($A369="","",MAX(0,$C369-$B369))</f>
        <v/>
      </c>
    </row>
    <row r="370" ht="15" customHeight="1" s="78">
      <c r="A370" s="122" t="n"/>
      <c r="B370" s="120" t="n"/>
      <c r="C370" s="120" t="n"/>
      <c r="D370" s="120" t="n"/>
      <c r="E370" s="120" t="n"/>
      <c r="F370" s="120" t="n"/>
      <c r="G370" s="121">
        <f>IF($A370="","",MAX(0,$D370+$E370-$F370))</f>
        <v/>
      </c>
      <c r="H370" s="121">
        <f>IF($A370="","",MAX(0,$C370-$B370))</f>
        <v/>
      </c>
    </row>
    <row r="371" ht="15" customHeight="1" s="78">
      <c r="A371" s="122" t="n"/>
      <c r="B371" s="120" t="n"/>
      <c r="C371" s="120" t="n"/>
      <c r="D371" s="120" t="n"/>
      <c r="E371" s="120" t="n"/>
      <c r="F371" s="120" t="n"/>
      <c r="G371" s="121">
        <f>IF($A371="","",MAX(0,$D371+$E371-$F371))</f>
        <v/>
      </c>
      <c r="H371" s="121">
        <f>IF($A371="","",MAX(0,$C371-$B371))</f>
        <v/>
      </c>
    </row>
    <row r="372" ht="15" customHeight="1" s="78">
      <c r="A372" s="122" t="n"/>
      <c r="B372" s="120" t="n"/>
      <c r="C372" s="120" t="n"/>
      <c r="D372" s="120" t="n"/>
      <c r="E372" s="120" t="n"/>
      <c r="F372" s="120" t="n"/>
      <c r="G372" s="121">
        <f>IF($A372="","",MAX(0,$D372+$E372-$F372))</f>
        <v/>
      </c>
      <c r="H372" s="121">
        <f>IF($A372="","",MAX(0,$C372-$B372))</f>
        <v/>
      </c>
    </row>
    <row r="373" ht="15" customHeight="1" s="78">
      <c r="A373" s="122" t="n"/>
      <c r="B373" s="120" t="n"/>
      <c r="C373" s="120" t="n"/>
      <c r="D373" s="120" t="n"/>
      <c r="E373" s="120" t="n"/>
      <c r="F373" s="120" t="n"/>
      <c r="G373" s="121">
        <f>IF($A373="","",MAX(0,$D373+$E373-$F373))</f>
        <v/>
      </c>
      <c r="H373" s="121">
        <f>IF($A373="","",MAX(0,$C373-$B373))</f>
        <v/>
      </c>
    </row>
    <row r="374" ht="15" customHeight="1" s="78">
      <c r="A374" s="122" t="n"/>
      <c r="B374" s="120" t="n"/>
      <c r="C374" s="120" t="n"/>
      <c r="D374" s="120" t="n"/>
      <c r="E374" s="120" t="n"/>
      <c r="F374" s="120" t="n"/>
      <c r="G374" s="121">
        <f>IF($A374="","",MAX(0,$D374+$E374-$F374))</f>
        <v/>
      </c>
      <c r="H374" s="121">
        <f>IF($A374="","",MAX(0,$C374-$B374))</f>
        <v/>
      </c>
    </row>
    <row r="375" ht="15" customHeight="1" s="78">
      <c r="A375" s="122" t="n"/>
      <c r="B375" s="120" t="n"/>
      <c r="C375" s="120" t="n"/>
      <c r="D375" s="120" t="n"/>
      <c r="E375" s="120" t="n"/>
      <c r="F375" s="120" t="n"/>
      <c r="G375" s="121">
        <f>IF($A375="","",MAX(0,$D375+$E375-$F375))</f>
        <v/>
      </c>
      <c r="H375" s="121">
        <f>IF($A375="","",MAX(0,$C375-$B375))</f>
        <v/>
      </c>
    </row>
    <row r="376" ht="15" customHeight="1" s="78">
      <c r="A376" s="122" t="n"/>
      <c r="B376" s="120" t="n"/>
      <c r="C376" s="120" t="n"/>
      <c r="D376" s="120" t="n"/>
      <c r="E376" s="120" t="n"/>
      <c r="F376" s="120" t="n"/>
      <c r="G376" s="121">
        <f>IF($A376="","",MAX(0,$D376+$E376-$F376))</f>
        <v/>
      </c>
      <c r="H376" s="121">
        <f>IF($A376="","",MAX(0,$C376-$B376))</f>
        <v/>
      </c>
    </row>
    <row r="377" ht="15" customHeight="1" s="78">
      <c r="A377" s="122" t="n"/>
      <c r="B377" s="120" t="n"/>
      <c r="C377" s="120" t="n"/>
      <c r="D377" s="120" t="n"/>
      <c r="E377" s="120" t="n"/>
      <c r="F377" s="120" t="n"/>
      <c r="G377" s="121">
        <f>IF($A377="","",MAX(0,$D377+$E377-$F377))</f>
        <v/>
      </c>
      <c r="H377" s="121">
        <f>IF($A377="","",MAX(0,$C377-$B377))</f>
        <v/>
      </c>
    </row>
    <row r="378" ht="15" customHeight="1" s="78">
      <c r="A378" s="122" t="n"/>
      <c r="B378" s="120" t="n"/>
      <c r="C378" s="120" t="n"/>
      <c r="D378" s="120" t="n"/>
      <c r="E378" s="120" t="n"/>
      <c r="F378" s="120" t="n"/>
      <c r="G378" s="121">
        <f>IF($A378="","",MAX(0,$D378+$E378-$F378))</f>
        <v/>
      </c>
      <c r="H378" s="121">
        <f>IF($A378="","",MAX(0,$C378-$B378))</f>
        <v/>
      </c>
    </row>
    <row r="379" ht="15" customHeight="1" s="78">
      <c r="A379" s="122" t="n"/>
      <c r="B379" s="120" t="n"/>
      <c r="C379" s="120" t="n"/>
      <c r="D379" s="120" t="n"/>
      <c r="E379" s="120" t="n"/>
      <c r="F379" s="120" t="n"/>
      <c r="G379" s="121">
        <f>IF($A379="","",MAX(0,$D379+$E379-$F379))</f>
        <v/>
      </c>
      <c r="H379" s="121">
        <f>IF($A379="","",MAX(0,$C379-$B379))</f>
        <v/>
      </c>
    </row>
    <row r="380" ht="15" customHeight="1" s="78">
      <c r="A380" s="122" t="n"/>
      <c r="B380" s="120" t="n"/>
      <c r="C380" s="120" t="n"/>
      <c r="D380" s="120" t="n"/>
      <c r="E380" s="120" t="n"/>
      <c r="F380" s="120" t="n"/>
      <c r="G380" s="121">
        <f>IF($A380="","",MAX(0,$D380+$E380-$F380))</f>
        <v/>
      </c>
      <c r="H380" s="121">
        <f>IF($A380="","",MAX(0,$C380-$B380))</f>
        <v/>
      </c>
    </row>
    <row r="381" ht="15" customHeight="1" s="78">
      <c r="A381" s="122" t="n"/>
      <c r="B381" s="120" t="n"/>
      <c r="C381" s="120" t="n"/>
      <c r="D381" s="120" t="n"/>
      <c r="E381" s="120" t="n"/>
      <c r="F381" s="120" t="n"/>
      <c r="G381" s="121">
        <f>IF($A381="","",MAX(0,$D381+$E381-$F381))</f>
        <v/>
      </c>
      <c r="H381" s="121">
        <f>IF($A381="","",MAX(0,$C381-$B381))</f>
        <v/>
      </c>
    </row>
    <row r="382" ht="15" customHeight="1" s="78">
      <c r="A382" s="122" t="n"/>
      <c r="B382" s="120" t="n"/>
      <c r="C382" s="120" t="n"/>
      <c r="D382" s="120" t="n"/>
      <c r="E382" s="120" t="n"/>
      <c r="F382" s="120" t="n"/>
      <c r="G382" s="121">
        <f>IF($A382="","",MAX(0,$D382+$E382-$F382))</f>
        <v/>
      </c>
      <c r="H382" s="121">
        <f>IF($A382="","",MAX(0,$C382-$B382))</f>
        <v/>
      </c>
    </row>
    <row r="383" ht="15" customHeight="1" s="78">
      <c r="A383" s="122" t="n"/>
      <c r="B383" s="120" t="n"/>
      <c r="C383" s="120" t="n"/>
      <c r="D383" s="120" t="n"/>
      <c r="E383" s="120" t="n"/>
      <c r="F383" s="120" t="n"/>
      <c r="G383" s="121">
        <f>IF($A383="","",MAX(0,$D383+$E383-$F383))</f>
        <v/>
      </c>
      <c r="H383" s="121">
        <f>IF($A383="","",MAX(0,$C383-$B383))</f>
        <v/>
      </c>
    </row>
    <row r="384" ht="15" customHeight="1" s="78">
      <c r="A384" s="122" t="n"/>
      <c r="B384" s="120" t="n"/>
      <c r="C384" s="120" t="n"/>
      <c r="D384" s="120" t="n"/>
      <c r="E384" s="120" t="n"/>
      <c r="F384" s="120" t="n"/>
      <c r="G384" s="121">
        <f>IF($A384="","",MAX(0,$D384+$E384-$F384))</f>
        <v/>
      </c>
      <c r="H384" s="121">
        <f>IF($A384="","",MAX(0,$C384-$B384))</f>
        <v/>
      </c>
    </row>
    <row r="385" ht="15" customHeight="1" s="78">
      <c r="A385" s="122" t="n"/>
      <c r="B385" s="120" t="n"/>
      <c r="C385" s="120" t="n"/>
      <c r="D385" s="120" t="n"/>
      <c r="E385" s="120" t="n"/>
      <c r="F385" s="120" t="n"/>
      <c r="G385" s="121">
        <f>IF($A385="","",MAX(0,$D385+$E385-$F385))</f>
        <v/>
      </c>
      <c r="H385" s="121">
        <f>IF($A385="","",MAX(0,$C385-$B385))</f>
        <v/>
      </c>
    </row>
    <row r="386" ht="15" customHeight="1" s="78">
      <c r="A386" s="122" t="n"/>
      <c r="B386" s="120" t="n"/>
      <c r="C386" s="120" t="n"/>
      <c r="D386" s="120" t="n"/>
      <c r="E386" s="120" t="n"/>
      <c r="F386" s="120" t="n"/>
      <c r="G386" s="121">
        <f>IF($A386="","",MAX(0,$D386+$E386-$F386))</f>
        <v/>
      </c>
      <c r="H386" s="121">
        <f>IF($A386="","",MAX(0,$C386-$B386))</f>
        <v/>
      </c>
    </row>
    <row r="387" ht="15" customHeight="1" s="78">
      <c r="A387" s="122" t="n"/>
      <c r="B387" s="120" t="n"/>
      <c r="C387" s="120" t="n"/>
      <c r="D387" s="120" t="n"/>
      <c r="E387" s="120" t="n"/>
      <c r="F387" s="120" t="n"/>
      <c r="G387" s="121">
        <f>IF($A387="","",MAX(0,$D387+$E387-$F387))</f>
        <v/>
      </c>
      <c r="H387" s="121">
        <f>IF($A387="","",MAX(0,$C387-$B387))</f>
        <v/>
      </c>
    </row>
    <row r="388" ht="15" customHeight="1" s="78">
      <c r="A388" s="122" t="n"/>
      <c r="B388" s="120" t="n"/>
      <c r="C388" s="120" t="n"/>
      <c r="D388" s="120" t="n"/>
      <c r="E388" s="120" t="n"/>
      <c r="F388" s="120" t="n"/>
      <c r="G388" s="121">
        <f>IF($A388="","",MAX(0,$D388+$E388-$F388))</f>
        <v/>
      </c>
      <c r="H388" s="121">
        <f>IF($A388="","",MAX(0,$C388-$B388))</f>
        <v/>
      </c>
    </row>
    <row r="389" ht="15" customHeight="1" s="78">
      <c r="A389" s="122" t="n"/>
      <c r="B389" s="120" t="n"/>
      <c r="C389" s="120" t="n"/>
      <c r="D389" s="120" t="n"/>
      <c r="E389" s="120" t="n"/>
      <c r="F389" s="120" t="n"/>
      <c r="G389" s="121">
        <f>IF($A389="","",MAX(0,$D389+$E389-$F389))</f>
        <v/>
      </c>
      <c r="H389" s="121">
        <f>IF($A389="","",MAX(0,$C389-$B389))</f>
        <v/>
      </c>
    </row>
    <row r="390" ht="15" customHeight="1" s="78">
      <c r="A390" s="122" t="n"/>
      <c r="B390" s="120" t="n"/>
      <c r="C390" s="120" t="n"/>
      <c r="D390" s="120" t="n"/>
      <c r="E390" s="120" t="n"/>
      <c r="F390" s="120" t="n"/>
      <c r="G390" s="121">
        <f>IF($A390="","",MAX(0,$D390+$E390-$F390))</f>
        <v/>
      </c>
      <c r="H390" s="121">
        <f>IF($A390="","",MAX(0,$C390-$B390))</f>
        <v/>
      </c>
    </row>
    <row r="391" ht="15" customHeight="1" s="78">
      <c r="A391" s="122" t="n"/>
      <c r="B391" s="120" t="n"/>
      <c r="C391" s="120" t="n"/>
      <c r="D391" s="120" t="n"/>
      <c r="E391" s="120" t="n"/>
      <c r="F391" s="120" t="n"/>
      <c r="G391" s="121">
        <f>IF($A391="","",MAX(0,$D391+$E391-$F391))</f>
        <v/>
      </c>
      <c r="H391" s="121">
        <f>IF($A391="","",MAX(0,$C391-$B391))</f>
        <v/>
      </c>
    </row>
    <row r="392" ht="15" customHeight="1" s="78">
      <c r="A392" s="122" t="n"/>
      <c r="B392" s="120" t="n"/>
      <c r="C392" s="120" t="n"/>
      <c r="D392" s="120" t="n"/>
      <c r="E392" s="120" t="n"/>
      <c r="F392" s="120" t="n"/>
      <c r="G392" s="121">
        <f>IF($A392="","",MAX(0,$D392+$E392-$F392))</f>
        <v/>
      </c>
      <c r="H392" s="121">
        <f>IF($A392="","",MAX(0,$C392-$B392))</f>
        <v/>
      </c>
    </row>
    <row r="393" ht="15" customHeight="1" s="78">
      <c r="A393" s="122" t="n"/>
      <c r="B393" s="120" t="n"/>
      <c r="C393" s="120" t="n"/>
      <c r="D393" s="120" t="n"/>
      <c r="E393" s="120" t="n"/>
      <c r="F393" s="120" t="n"/>
      <c r="G393" s="121">
        <f>IF($A393="","",MAX(0,$D393+$E393-$F393))</f>
        <v/>
      </c>
      <c r="H393" s="121">
        <f>IF($A393="","",MAX(0,$C393-$B393))</f>
        <v/>
      </c>
    </row>
    <row r="394" ht="15" customHeight="1" s="78">
      <c r="A394" s="122" t="n"/>
      <c r="B394" s="120" t="n"/>
      <c r="C394" s="120" t="n"/>
      <c r="D394" s="120" t="n"/>
      <c r="E394" s="120" t="n"/>
      <c r="F394" s="120" t="n"/>
      <c r="G394" s="121">
        <f>IF($A394="","",MAX(0,$D394+$E394-$F394))</f>
        <v/>
      </c>
      <c r="H394" s="121">
        <f>IF($A394="","",MAX(0,$C394-$B394))</f>
        <v/>
      </c>
    </row>
    <row r="395" ht="15" customHeight="1" s="78">
      <c r="A395" s="122" t="n"/>
      <c r="B395" s="120" t="n"/>
      <c r="C395" s="120" t="n"/>
      <c r="D395" s="120" t="n"/>
      <c r="E395" s="120" t="n"/>
      <c r="F395" s="120" t="n"/>
      <c r="G395" s="121">
        <f>IF($A395="","",MAX(0,$D395+$E395-$F395))</f>
        <v/>
      </c>
      <c r="H395" s="121">
        <f>IF($A395="","",MAX(0,$C395-$B395))</f>
        <v/>
      </c>
    </row>
    <row r="396" ht="15" customHeight="1" s="78">
      <c r="A396" s="122" t="n"/>
      <c r="B396" s="120" t="n"/>
      <c r="C396" s="120" t="n"/>
      <c r="D396" s="120" t="n"/>
      <c r="E396" s="120" t="n"/>
      <c r="F396" s="120" t="n"/>
      <c r="G396" s="121">
        <f>IF($A396="","",MAX(0,$D396+$E396-$F396))</f>
        <v/>
      </c>
      <c r="H396" s="121">
        <f>IF($A396="","",MAX(0,$C396-$B396))</f>
        <v/>
      </c>
    </row>
    <row r="397" ht="15" customHeight="1" s="78">
      <c r="A397" s="122" t="n"/>
      <c r="B397" s="120" t="n"/>
      <c r="C397" s="120" t="n"/>
      <c r="D397" s="120" t="n"/>
      <c r="E397" s="120" t="n"/>
      <c r="F397" s="120" t="n"/>
      <c r="G397" s="121">
        <f>IF($A397="","",MAX(0,$D397+$E397-$F397))</f>
        <v/>
      </c>
      <c r="H397" s="121">
        <f>IF($A397="","",MAX(0,$C397-$B397))</f>
        <v/>
      </c>
    </row>
    <row r="398" ht="15" customHeight="1" s="78">
      <c r="A398" s="122" t="n"/>
      <c r="B398" s="120" t="n"/>
      <c r="C398" s="120" t="n"/>
      <c r="D398" s="120" t="n"/>
      <c r="E398" s="120" t="n"/>
      <c r="F398" s="120" t="n"/>
      <c r="G398" s="121">
        <f>IF($A398="","",MAX(0,$D398+$E398-$F398))</f>
        <v/>
      </c>
      <c r="H398" s="121">
        <f>IF($A398="","",MAX(0,$C398-$B398))</f>
        <v/>
      </c>
    </row>
    <row r="399" ht="15" customHeight="1" s="78">
      <c r="A399" s="122" t="n"/>
      <c r="B399" s="120" t="n"/>
      <c r="C399" s="120" t="n"/>
      <c r="D399" s="120" t="n"/>
      <c r="E399" s="120" t="n"/>
      <c r="F399" s="120" t="n"/>
      <c r="G399" s="121">
        <f>IF($A399="","",MAX(0,$D399+$E399-$F399))</f>
        <v/>
      </c>
      <c r="H399" s="121">
        <f>IF($A399="","",MAX(0,$C399-$B399))</f>
        <v/>
      </c>
    </row>
    <row r="400" ht="15" customHeight="1" s="78">
      <c r="A400" s="122" t="n"/>
      <c r="B400" s="120" t="n"/>
      <c r="C400" s="120" t="n"/>
      <c r="D400" s="120" t="n"/>
      <c r="E400" s="120" t="n"/>
      <c r="F400" s="120" t="n"/>
      <c r="G400" s="121">
        <f>IF($A400="","",MAX(0,$D400+$E400-$F400))</f>
        <v/>
      </c>
      <c r="H400" s="121">
        <f>IF($A400="","",MAX(0,$C400-$B400))</f>
        <v/>
      </c>
    </row>
    <row r="401" ht="15" customHeight="1" s="78">
      <c r="A401" s="122" t="n"/>
      <c r="B401" s="120" t="n"/>
      <c r="C401" s="120" t="n"/>
      <c r="D401" s="120" t="n"/>
      <c r="E401" s="120" t="n"/>
      <c r="F401" s="120" t="n"/>
      <c r="G401" s="121">
        <f>IF($A401="","",MAX(0,$D401+$E401-$F401))</f>
        <v/>
      </c>
      <c r="H401" s="121">
        <f>IF($A401="","",MAX(0,$C401-$B401))</f>
        <v/>
      </c>
    </row>
    <row r="402" ht="15" customHeight="1" s="78">
      <c r="A402" s="122" t="n"/>
      <c r="B402" s="120" t="n"/>
      <c r="C402" s="120" t="n"/>
      <c r="D402" s="120" t="n"/>
      <c r="E402" s="120" t="n"/>
      <c r="F402" s="120" t="n"/>
      <c r="G402" s="121">
        <f>IF($A402="","",MAX(0,$D402+$E402-$F402))</f>
        <v/>
      </c>
      <c r="H402" s="121">
        <f>IF($A402="","",MAX(0,$C402-$B402))</f>
        <v/>
      </c>
    </row>
    <row r="403" ht="15" customHeight="1" s="78">
      <c r="A403" s="122" t="n"/>
      <c r="B403" s="120" t="n"/>
      <c r="C403" s="120" t="n"/>
      <c r="D403" s="120" t="n"/>
      <c r="E403" s="120" t="n"/>
      <c r="F403" s="120" t="n"/>
      <c r="G403" s="121">
        <f>IF($A403="","",MAX(0,$D403+$E403-$F403))</f>
        <v/>
      </c>
      <c r="H403" s="121">
        <f>IF($A403="","",MAX(0,$C403-$B403))</f>
        <v/>
      </c>
    </row>
    <row r="404" ht="15" customHeight="1" s="78">
      <c r="A404" s="122" t="n"/>
      <c r="B404" s="120" t="n"/>
      <c r="C404" s="120" t="n"/>
      <c r="D404" s="120" t="n"/>
      <c r="E404" s="120" t="n"/>
      <c r="F404" s="120" t="n"/>
      <c r="G404" s="121">
        <f>IF($A404="","",MAX(0,$D404+$E404-$F404))</f>
        <v/>
      </c>
      <c r="H404" s="121">
        <f>IF($A404="","",MAX(0,$C404-$B404))</f>
        <v/>
      </c>
    </row>
    <row r="405" ht="15" customHeight="1" s="78">
      <c r="A405" s="122" t="n"/>
      <c r="B405" s="120" t="n"/>
      <c r="C405" s="120" t="n"/>
      <c r="D405" s="120" t="n"/>
      <c r="E405" s="120" t="n"/>
      <c r="F405" s="120" t="n"/>
      <c r="G405" s="121">
        <f>IF($A405="","",MAX(0,$D405+$E405-$F405))</f>
        <v/>
      </c>
      <c r="H405" s="121">
        <f>IF($A405="","",MAX(0,$C405-$B405))</f>
        <v/>
      </c>
    </row>
    <row r="406" ht="15" customHeight="1" s="78">
      <c r="A406" s="122" t="n"/>
      <c r="B406" s="120" t="n"/>
      <c r="C406" s="120" t="n"/>
      <c r="D406" s="120" t="n"/>
      <c r="E406" s="120" t="n"/>
      <c r="F406" s="120" t="n"/>
      <c r="G406" s="121">
        <f>IF($A406="","",MAX(0,$D406+$E406-$F406))</f>
        <v/>
      </c>
      <c r="H406" s="121">
        <f>IF($A406="","",MAX(0,$C406-$B406))</f>
        <v/>
      </c>
    </row>
    <row r="407" ht="15" customHeight="1" s="78">
      <c r="A407" s="122" t="n"/>
      <c r="B407" s="120" t="n"/>
      <c r="C407" s="120" t="n"/>
      <c r="D407" s="120" t="n"/>
      <c r="E407" s="120" t="n"/>
      <c r="F407" s="120" t="n"/>
      <c r="G407" s="121">
        <f>IF($A407="","",MAX(0,$D407+$E407-$F407))</f>
        <v/>
      </c>
      <c r="H407" s="121">
        <f>IF($A407="","",MAX(0,$C407-$B407))</f>
        <v/>
      </c>
    </row>
    <row r="408" ht="15" customHeight="1" s="78">
      <c r="A408" s="122" t="n"/>
      <c r="B408" s="120" t="n"/>
      <c r="C408" s="120" t="n"/>
      <c r="D408" s="120" t="n"/>
      <c r="E408" s="120" t="n"/>
      <c r="F408" s="120" t="n"/>
      <c r="G408" s="121">
        <f>IF($A408="","",MAX(0,$D408+$E408-$F408))</f>
        <v/>
      </c>
      <c r="H408" s="121">
        <f>IF($A408="","",MAX(0,$C408-$B408))</f>
        <v/>
      </c>
    </row>
    <row r="409" ht="15" customHeight="1" s="78">
      <c r="A409" s="122" t="n"/>
      <c r="B409" s="120" t="n"/>
      <c r="C409" s="120" t="n"/>
      <c r="D409" s="120" t="n"/>
      <c r="E409" s="120" t="n"/>
      <c r="F409" s="120" t="n"/>
      <c r="G409" s="121">
        <f>IF($A409="","",MAX(0,$D409+$E409-$F409))</f>
        <v/>
      </c>
      <c r="H409" s="121">
        <f>IF($A409="","",MAX(0,$C409-$B409))</f>
        <v/>
      </c>
    </row>
    <row r="410" ht="15" customHeight="1" s="78">
      <c r="A410" s="122" t="n"/>
      <c r="B410" s="120" t="n"/>
      <c r="C410" s="120" t="n"/>
      <c r="D410" s="120" t="n"/>
      <c r="E410" s="120" t="n"/>
      <c r="F410" s="120" t="n"/>
      <c r="G410" s="121">
        <f>IF($A410="","",MAX(0,$D410+$E410-$F410))</f>
        <v/>
      </c>
      <c r="H410" s="121">
        <f>IF($A410="","",MAX(0,$C410-$B410))</f>
        <v/>
      </c>
    </row>
    <row r="411" ht="15" customHeight="1" s="78">
      <c r="A411" s="122" t="n"/>
      <c r="B411" s="120" t="n"/>
      <c r="C411" s="120" t="n"/>
      <c r="D411" s="120" t="n"/>
      <c r="E411" s="120" t="n"/>
      <c r="F411" s="120" t="n"/>
      <c r="G411" s="121">
        <f>IF($A411="","",MAX(0,$D411+$E411-$F411))</f>
        <v/>
      </c>
      <c r="H411" s="121">
        <f>IF($A411="","",MAX(0,$C411-$B411))</f>
        <v/>
      </c>
    </row>
    <row r="412" ht="15" customHeight="1" s="78">
      <c r="A412" s="122" t="n"/>
      <c r="B412" s="120" t="n"/>
      <c r="C412" s="120" t="n"/>
      <c r="D412" s="120" t="n"/>
      <c r="E412" s="120" t="n"/>
      <c r="F412" s="120" t="n"/>
      <c r="G412" s="121">
        <f>IF($A412="","",MAX(0,$D412+$E412-$F412))</f>
        <v/>
      </c>
      <c r="H412" s="121">
        <f>IF($A412="","",MAX(0,$C412-$B412))</f>
        <v/>
      </c>
    </row>
    <row r="413" ht="15" customHeight="1" s="78">
      <c r="A413" s="122" t="n"/>
      <c r="B413" s="120" t="n"/>
      <c r="C413" s="120" t="n"/>
      <c r="D413" s="120" t="n"/>
      <c r="E413" s="120" t="n"/>
      <c r="F413" s="120" t="n"/>
      <c r="G413" s="121">
        <f>IF($A413="","",MAX(0,$D413+$E413-$F413))</f>
        <v/>
      </c>
      <c r="H413" s="121">
        <f>IF($A413="","",MAX(0,$C413-$B413))</f>
        <v/>
      </c>
    </row>
    <row r="414" ht="15" customHeight="1" s="78">
      <c r="A414" s="122" t="n"/>
      <c r="B414" s="120" t="n"/>
      <c r="C414" s="120" t="n"/>
      <c r="D414" s="120" t="n"/>
      <c r="E414" s="120" t="n"/>
      <c r="F414" s="120" t="n"/>
      <c r="G414" s="121">
        <f>IF($A414="","",MAX(0,$D414+$E414-$F414))</f>
        <v/>
      </c>
      <c r="H414" s="121">
        <f>IF($A414="","",MAX(0,$C414-$B414))</f>
        <v/>
      </c>
    </row>
    <row r="415" ht="15" customHeight="1" s="78">
      <c r="A415" s="122" t="n"/>
      <c r="B415" s="120" t="n"/>
      <c r="C415" s="120" t="n"/>
      <c r="D415" s="120" t="n"/>
      <c r="E415" s="120" t="n"/>
      <c r="F415" s="120" t="n"/>
      <c r="G415" s="121">
        <f>IF($A415="","",MAX(0,$D415+$E415-$F415))</f>
        <v/>
      </c>
      <c r="H415" s="121">
        <f>IF($A415="","",MAX(0,$C415-$B415))</f>
        <v/>
      </c>
    </row>
    <row r="416" ht="15" customHeight="1" s="78">
      <c r="A416" s="122" t="n"/>
      <c r="B416" s="120" t="n"/>
      <c r="C416" s="120" t="n"/>
      <c r="D416" s="120" t="n"/>
      <c r="E416" s="120" t="n"/>
      <c r="F416" s="120" t="n"/>
      <c r="G416" s="121">
        <f>IF($A416="","",MAX(0,$D416+$E416-$F416))</f>
        <v/>
      </c>
      <c r="H416" s="121">
        <f>IF($A416="","",MAX(0,$C416-$B416))</f>
        <v/>
      </c>
    </row>
    <row r="417" ht="15" customHeight="1" s="78">
      <c r="A417" s="122" t="n"/>
      <c r="B417" s="120" t="n"/>
      <c r="C417" s="120" t="n"/>
      <c r="D417" s="120" t="n"/>
      <c r="E417" s="120" t="n"/>
      <c r="F417" s="120" t="n"/>
      <c r="G417" s="121">
        <f>IF($A417="","",MAX(0,$D417+$E417-$F417))</f>
        <v/>
      </c>
      <c r="H417" s="121">
        <f>IF($A417="","",MAX(0,$C417-$B417))</f>
        <v/>
      </c>
    </row>
    <row r="418" ht="15" customHeight="1" s="78">
      <c r="A418" s="122" t="n"/>
      <c r="B418" s="120" t="n"/>
      <c r="C418" s="120" t="n"/>
      <c r="D418" s="120" t="n"/>
      <c r="E418" s="120" t="n"/>
      <c r="F418" s="120" t="n"/>
      <c r="G418" s="121">
        <f>IF($A418="","",MAX(0,$D418+$E418-$F418))</f>
        <v/>
      </c>
      <c r="H418" s="121">
        <f>IF($A418="","",MAX(0,$C418-$B418))</f>
        <v/>
      </c>
    </row>
    <row r="419" ht="15" customHeight="1" s="78">
      <c r="A419" s="122" t="n"/>
      <c r="B419" s="120" t="n"/>
      <c r="C419" s="120" t="n"/>
      <c r="D419" s="120" t="n"/>
      <c r="E419" s="120" t="n"/>
      <c r="F419" s="120" t="n"/>
      <c r="G419" s="121">
        <f>IF($A419="","",MAX(0,$D419+$E419-$F419))</f>
        <v/>
      </c>
      <c r="H419" s="121">
        <f>IF($A419="","",MAX(0,$C419-$B419))</f>
        <v/>
      </c>
    </row>
    <row r="420" ht="15" customHeight="1" s="78">
      <c r="A420" s="122" t="n"/>
      <c r="B420" s="120" t="n"/>
      <c r="C420" s="120" t="n"/>
      <c r="D420" s="120" t="n"/>
      <c r="E420" s="120" t="n"/>
      <c r="F420" s="120" t="n"/>
      <c r="G420" s="121">
        <f>IF($A420="","",MAX(0,$D420+$E420-$F420))</f>
        <v/>
      </c>
      <c r="H420" s="121">
        <f>IF($A420="","",MAX(0,$C420-$B420))</f>
        <v/>
      </c>
    </row>
    <row r="421" ht="15" customHeight="1" s="78">
      <c r="A421" s="122" t="n"/>
      <c r="B421" s="120" t="n"/>
      <c r="C421" s="120" t="n"/>
      <c r="D421" s="120" t="n"/>
      <c r="E421" s="120" t="n"/>
      <c r="F421" s="120" t="n"/>
      <c r="G421" s="121">
        <f>IF($A421="","",MAX(0,$D421+$E421-$F421))</f>
        <v/>
      </c>
      <c r="H421" s="121">
        <f>IF($A421="","",MAX(0,$C421-$B421))</f>
        <v/>
      </c>
    </row>
    <row r="422" ht="15" customHeight="1" s="78">
      <c r="A422" s="122" t="n"/>
      <c r="B422" s="120" t="n"/>
      <c r="C422" s="120" t="n"/>
      <c r="D422" s="120" t="n"/>
      <c r="E422" s="120" t="n"/>
      <c r="F422" s="120" t="n"/>
      <c r="G422" s="121">
        <f>IF($A422="","",MAX(0,$D422+$E422-$F422))</f>
        <v/>
      </c>
      <c r="H422" s="121">
        <f>IF($A422="","",MAX(0,$C422-$B422))</f>
        <v/>
      </c>
    </row>
    <row r="423" ht="15" customHeight="1" s="78">
      <c r="A423" s="122" t="n"/>
      <c r="B423" s="120" t="n"/>
      <c r="C423" s="120" t="n"/>
      <c r="D423" s="120" t="n"/>
      <c r="E423" s="120" t="n"/>
      <c r="F423" s="120" t="n"/>
      <c r="G423" s="121">
        <f>IF($A423="","",MAX(0,$D423+$E423-$F423))</f>
        <v/>
      </c>
      <c r="H423" s="121">
        <f>IF($A423="","",MAX(0,$C423-$B423))</f>
        <v/>
      </c>
    </row>
    <row r="424" ht="15" customHeight="1" s="78">
      <c r="A424" s="122" t="n"/>
      <c r="B424" s="120" t="n"/>
      <c r="C424" s="120" t="n"/>
      <c r="D424" s="120" t="n"/>
      <c r="E424" s="120" t="n"/>
      <c r="F424" s="120" t="n"/>
      <c r="G424" s="121">
        <f>IF($A424="","",MAX(0,$D424+$E424-$F424))</f>
        <v/>
      </c>
      <c r="H424" s="121">
        <f>IF($A424="","",MAX(0,$C424-$B424))</f>
        <v/>
      </c>
    </row>
    <row r="425" ht="15" customHeight="1" s="78">
      <c r="A425" s="122" t="n"/>
      <c r="B425" s="120" t="n"/>
      <c r="C425" s="120" t="n"/>
      <c r="D425" s="120" t="n"/>
      <c r="E425" s="120" t="n"/>
      <c r="F425" s="120" t="n"/>
      <c r="G425" s="121">
        <f>IF($A425="","",MAX(0,$D425+$E425-$F425))</f>
        <v/>
      </c>
      <c r="H425" s="121">
        <f>IF($A425="","",MAX(0,$C425-$B425))</f>
        <v/>
      </c>
    </row>
    <row r="426" ht="15" customHeight="1" s="78">
      <c r="A426" s="122" t="n"/>
      <c r="B426" s="120" t="n"/>
      <c r="C426" s="120" t="n"/>
      <c r="D426" s="120" t="n"/>
      <c r="E426" s="120" t="n"/>
      <c r="F426" s="120" t="n"/>
      <c r="G426" s="121">
        <f>IF($A426="","",MAX(0,$D426+$E426-$F426))</f>
        <v/>
      </c>
      <c r="H426" s="121">
        <f>IF($A426="","",MAX(0,$C426-$B426))</f>
        <v/>
      </c>
    </row>
    <row r="427" ht="15" customHeight="1" s="78">
      <c r="A427" s="122" t="n"/>
      <c r="B427" s="120" t="n"/>
      <c r="C427" s="120" t="n"/>
      <c r="D427" s="120" t="n"/>
      <c r="E427" s="120" t="n"/>
      <c r="F427" s="120" t="n"/>
      <c r="G427" s="121">
        <f>IF($A427="","",MAX(0,$D427+$E427-$F427))</f>
        <v/>
      </c>
      <c r="H427" s="121">
        <f>IF($A427="","",MAX(0,$C427-$B427))</f>
        <v/>
      </c>
    </row>
    <row r="428" ht="15" customHeight="1" s="78">
      <c r="A428" s="122" t="n"/>
      <c r="B428" s="120" t="n"/>
      <c r="C428" s="120" t="n"/>
      <c r="D428" s="120" t="n"/>
      <c r="E428" s="120" t="n"/>
      <c r="F428" s="120" t="n"/>
      <c r="G428" s="121">
        <f>IF($A428="","",MAX(0,$D428+$E428-$F428))</f>
        <v/>
      </c>
      <c r="H428" s="121">
        <f>IF($A428="","",MAX(0,$C428-$B428))</f>
        <v/>
      </c>
    </row>
    <row r="429" ht="15" customHeight="1" s="78">
      <c r="A429" s="122" t="n"/>
      <c r="B429" s="120" t="n"/>
      <c r="C429" s="120" t="n"/>
      <c r="D429" s="120" t="n"/>
      <c r="E429" s="120" t="n"/>
      <c r="F429" s="120" t="n"/>
      <c r="G429" s="121">
        <f>IF($A429="","",MAX(0,$D429+$E429-$F429))</f>
        <v/>
      </c>
      <c r="H429" s="121">
        <f>IF($A429="","",MAX(0,$C429-$B429))</f>
        <v/>
      </c>
    </row>
    <row r="430" ht="15" customHeight="1" s="78">
      <c r="A430" s="122" t="n"/>
      <c r="B430" s="120" t="n"/>
      <c r="C430" s="120" t="n"/>
      <c r="D430" s="120" t="n"/>
      <c r="E430" s="120" t="n"/>
      <c r="F430" s="120" t="n"/>
      <c r="G430" s="121">
        <f>IF($A430="","",MAX(0,$D430+$E430-$F430))</f>
        <v/>
      </c>
      <c r="H430" s="121">
        <f>IF($A430="","",MAX(0,$C430-$B430))</f>
        <v/>
      </c>
    </row>
    <row r="431" ht="15" customHeight="1" s="78">
      <c r="A431" s="122" t="n"/>
      <c r="B431" s="120" t="n"/>
      <c r="C431" s="120" t="n"/>
      <c r="D431" s="120" t="n"/>
      <c r="E431" s="120" t="n"/>
      <c r="F431" s="120" t="n"/>
      <c r="G431" s="121">
        <f>IF($A431="","",MAX(0,$D431+$E431-$F431))</f>
        <v/>
      </c>
      <c r="H431" s="121">
        <f>IF($A431="","",MAX(0,$C431-$B431))</f>
        <v/>
      </c>
    </row>
    <row r="432" ht="15" customHeight="1" s="78">
      <c r="A432" s="122" t="n"/>
      <c r="B432" s="120" t="n"/>
      <c r="C432" s="120" t="n"/>
      <c r="D432" s="120" t="n"/>
      <c r="E432" s="120" t="n"/>
      <c r="F432" s="120" t="n"/>
      <c r="G432" s="121">
        <f>IF($A432="","",MAX(0,$D432+$E432-$F432))</f>
        <v/>
      </c>
      <c r="H432" s="121">
        <f>IF($A432="","",MAX(0,$C432-$B432))</f>
        <v/>
      </c>
    </row>
    <row r="433" ht="15" customHeight="1" s="78">
      <c r="A433" s="122" t="n"/>
      <c r="B433" s="120" t="n"/>
      <c r="C433" s="120" t="n"/>
      <c r="D433" s="120" t="n"/>
      <c r="E433" s="120" t="n"/>
      <c r="F433" s="120" t="n"/>
      <c r="G433" s="121">
        <f>IF($A433="","",MAX(0,$D433+$E433-$F433))</f>
        <v/>
      </c>
      <c r="H433" s="121">
        <f>IF($A433="","",MAX(0,$C433-$B433))</f>
        <v/>
      </c>
    </row>
    <row r="434" ht="15" customHeight="1" s="78">
      <c r="A434" s="122" t="n"/>
      <c r="B434" s="120" t="n"/>
      <c r="C434" s="120" t="n"/>
      <c r="D434" s="120" t="n"/>
      <c r="E434" s="120" t="n"/>
      <c r="F434" s="120" t="n"/>
      <c r="G434" s="121">
        <f>IF($A434="","",MAX(0,$D434+$E434-$F434))</f>
        <v/>
      </c>
      <c r="H434" s="121">
        <f>IF($A434="","",MAX(0,$C434-$B434))</f>
        <v/>
      </c>
    </row>
    <row r="435" ht="15" customHeight="1" s="78">
      <c r="A435" s="122" t="n"/>
      <c r="B435" s="120" t="n"/>
      <c r="C435" s="120" t="n"/>
      <c r="D435" s="120" t="n"/>
      <c r="E435" s="120" t="n"/>
      <c r="F435" s="120" t="n"/>
      <c r="G435" s="121">
        <f>IF($A435="","",MAX(0,$D435+$E435-$F435))</f>
        <v/>
      </c>
      <c r="H435" s="121">
        <f>IF($A435="","",MAX(0,$C435-$B435))</f>
        <v/>
      </c>
    </row>
    <row r="436" ht="15" customHeight="1" s="78">
      <c r="A436" s="122" t="n"/>
      <c r="B436" s="120" t="n"/>
      <c r="C436" s="120" t="n"/>
      <c r="D436" s="120" t="n"/>
      <c r="E436" s="120" t="n"/>
      <c r="F436" s="120" t="n"/>
      <c r="G436" s="121">
        <f>IF($A436="","",MAX(0,$D436+$E436-$F436))</f>
        <v/>
      </c>
      <c r="H436" s="121">
        <f>IF($A436="","",MAX(0,$C436-$B436))</f>
        <v/>
      </c>
    </row>
    <row r="437" ht="15" customHeight="1" s="78">
      <c r="A437" s="122" t="n"/>
      <c r="B437" s="120" t="n"/>
      <c r="C437" s="120" t="n"/>
      <c r="D437" s="120" t="n"/>
      <c r="E437" s="120" t="n"/>
      <c r="F437" s="120" t="n"/>
      <c r="G437" s="121">
        <f>IF($A437="","",MAX(0,$D437+$E437-$F437))</f>
        <v/>
      </c>
      <c r="H437" s="121">
        <f>IF($A437="","",MAX(0,$C437-$B437))</f>
        <v/>
      </c>
    </row>
    <row r="438" ht="15" customHeight="1" s="78">
      <c r="A438" s="122" t="n"/>
      <c r="B438" s="120" t="n"/>
      <c r="C438" s="120" t="n"/>
      <c r="D438" s="120" t="n"/>
      <c r="E438" s="120" t="n"/>
      <c r="F438" s="120" t="n"/>
      <c r="G438" s="121">
        <f>IF($A438="","",MAX(0,$D438+$E438-$F438))</f>
        <v/>
      </c>
      <c r="H438" s="121">
        <f>IF($A438="","",MAX(0,$C438-$B438))</f>
        <v/>
      </c>
    </row>
    <row r="439" ht="15" customHeight="1" s="78">
      <c r="A439" s="122" t="n"/>
      <c r="B439" s="120" t="n"/>
      <c r="C439" s="120" t="n"/>
      <c r="D439" s="120" t="n"/>
      <c r="E439" s="120" t="n"/>
      <c r="F439" s="120" t="n"/>
      <c r="G439" s="121">
        <f>IF($A439="","",MAX(0,$D439+$E439-$F439))</f>
        <v/>
      </c>
      <c r="H439" s="121">
        <f>IF($A439="","",MAX(0,$C439-$B439))</f>
        <v/>
      </c>
    </row>
    <row r="440" ht="15" customHeight="1" s="78">
      <c r="A440" s="122" t="n"/>
      <c r="B440" s="120" t="n"/>
      <c r="C440" s="120" t="n"/>
      <c r="D440" s="120" t="n"/>
      <c r="E440" s="120" t="n"/>
      <c r="F440" s="120" t="n"/>
      <c r="G440" s="121">
        <f>IF($A440="","",MAX(0,$D440+$E440-$F440))</f>
        <v/>
      </c>
      <c r="H440" s="121">
        <f>IF($A440="","",MAX(0,$C440-$B440))</f>
        <v/>
      </c>
    </row>
    <row r="441" ht="15" customHeight="1" s="78">
      <c r="A441" s="122" t="n"/>
      <c r="B441" s="120" t="n"/>
      <c r="C441" s="120" t="n"/>
      <c r="D441" s="120" t="n"/>
      <c r="E441" s="120" t="n"/>
      <c r="F441" s="120" t="n"/>
      <c r="G441" s="121">
        <f>IF($A441="","",MAX(0,$D441+$E441-$F441))</f>
        <v/>
      </c>
      <c r="H441" s="121">
        <f>IF($A441="","",MAX(0,$C441-$B441))</f>
        <v/>
      </c>
    </row>
    <row r="442" ht="15" customHeight="1" s="78">
      <c r="A442" s="122" t="n"/>
      <c r="B442" s="120" t="n"/>
      <c r="C442" s="120" t="n"/>
      <c r="D442" s="120" t="n"/>
      <c r="E442" s="120" t="n"/>
      <c r="F442" s="120" t="n"/>
      <c r="G442" s="121">
        <f>IF($A442="","",MAX(0,$D442+$E442-$F442))</f>
        <v/>
      </c>
      <c r="H442" s="121">
        <f>IF($A442="","",MAX(0,$C442-$B442))</f>
        <v/>
      </c>
    </row>
    <row r="443" ht="15" customHeight="1" s="78">
      <c r="A443" s="122" t="n"/>
      <c r="B443" s="120" t="n"/>
      <c r="C443" s="120" t="n"/>
      <c r="D443" s="120" t="n"/>
      <c r="E443" s="120" t="n"/>
      <c r="F443" s="120" t="n"/>
      <c r="G443" s="121">
        <f>IF($A443="","",MAX(0,$D443+$E443-$F443))</f>
        <v/>
      </c>
      <c r="H443" s="121">
        <f>IF($A443="","",MAX(0,$C443-$B443))</f>
        <v/>
      </c>
    </row>
    <row r="444" ht="15" customHeight="1" s="78">
      <c r="A444" s="122" t="n"/>
      <c r="B444" s="120" t="n"/>
      <c r="C444" s="120" t="n"/>
      <c r="D444" s="120" t="n"/>
      <c r="E444" s="120" t="n"/>
      <c r="F444" s="120" t="n"/>
      <c r="G444" s="121">
        <f>IF($A444="","",MAX(0,$D444+$E444-$F444))</f>
        <v/>
      </c>
      <c r="H444" s="121">
        <f>IF($A444="","",MAX(0,$C444-$B444))</f>
        <v/>
      </c>
    </row>
    <row r="445" ht="15" customHeight="1" s="78">
      <c r="A445" s="122" t="n"/>
      <c r="B445" s="120" t="n"/>
      <c r="C445" s="120" t="n"/>
      <c r="D445" s="120" t="n"/>
      <c r="E445" s="120" t="n"/>
      <c r="F445" s="120" t="n"/>
      <c r="G445" s="121">
        <f>IF($A445="","",MAX(0,$D445+$E445-$F445))</f>
        <v/>
      </c>
      <c r="H445" s="121">
        <f>IF($A445="","",MAX(0,$C445-$B445))</f>
        <v/>
      </c>
    </row>
    <row r="446" ht="15" customHeight="1" s="78">
      <c r="A446" s="122" t="n"/>
      <c r="B446" s="120" t="n"/>
      <c r="C446" s="120" t="n"/>
      <c r="D446" s="120" t="n"/>
      <c r="E446" s="120" t="n"/>
      <c r="F446" s="120" t="n"/>
      <c r="G446" s="121">
        <f>IF($A446="","",MAX(0,$D446+$E446-$F446))</f>
        <v/>
      </c>
      <c r="H446" s="121">
        <f>IF($A446="","",MAX(0,$C446-$B446))</f>
        <v/>
      </c>
    </row>
    <row r="447" ht="15" customHeight="1" s="78">
      <c r="A447" s="122" t="n"/>
      <c r="B447" s="120" t="n"/>
      <c r="C447" s="120" t="n"/>
      <c r="D447" s="120" t="n"/>
      <c r="E447" s="120" t="n"/>
      <c r="F447" s="120" t="n"/>
      <c r="G447" s="121">
        <f>IF($A447="","",MAX(0,$D447+$E447-$F447))</f>
        <v/>
      </c>
      <c r="H447" s="121">
        <f>IF($A447="","",MAX(0,$C447-$B447))</f>
        <v/>
      </c>
    </row>
    <row r="448" ht="15" customHeight="1" s="78">
      <c r="A448" s="122" t="n"/>
      <c r="B448" s="120" t="n"/>
      <c r="C448" s="120" t="n"/>
      <c r="D448" s="120" t="n"/>
      <c r="E448" s="120" t="n"/>
      <c r="F448" s="120" t="n"/>
      <c r="G448" s="121">
        <f>IF($A448="","",MAX(0,$D448+$E448-$F448))</f>
        <v/>
      </c>
      <c r="H448" s="121">
        <f>IF($A448="","",MAX(0,$C448-$B448))</f>
        <v/>
      </c>
    </row>
    <row r="449" ht="15" customHeight="1" s="78">
      <c r="A449" s="122" t="n"/>
      <c r="B449" s="120" t="n"/>
      <c r="C449" s="120" t="n"/>
      <c r="D449" s="120" t="n"/>
      <c r="E449" s="120" t="n"/>
      <c r="F449" s="120" t="n"/>
      <c r="G449" s="121">
        <f>IF($A449="","",MAX(0,$D449+$E449-$F449))</f>
        <v/>
      </c>
      <c r="H449" s="121">
        <f>IF($A449="","",MAX(0,$C449-$B449))</f>
        <v/>
      </c>
    </row>
    <row r="450" ht="15" customHeight="1" s="78">
      <c r="A450" s="122" t="n"/>
      <c r="B450" s="120" t="n"/>
      <c r="C450" s="120" t="n"/>
      <c r="D450" s="120" t="n"/>
      <c r="E450" s="120" t="n"/>
      <c r="F450" s="120" t="n"/>
      <c r="G450" s="121">
        <f>IF($A450="","",MAX(0,$D450+$E450-$F450))</f>
        <v/>
      </c>
      <c r="H450" s="121">
        <f>IF($A450="","",MAX(0,$C450-$B450))</f>
        <v/>
      </c>
    </row>
    <row r="451" ht="15" customHeight="1" s="78">
      <c r="A451" s="122" t="n"/>
      <c r="B451" s="120" t="n"/>
      <c r="C451" s="120" t="n"/>
      <c r="D451" s="120" t="n"/>
      <c r="E451" s="120" t="n"/>
      <c r="F451" s="120" t="n"/>
      <c r="G451" s="121">
        <f>IF($A451="","",MAX(0,$D451+$E451-$F451))</f>
        <v/>
      </c>
      <c r="H451" s="121">
        <f>IF($A451="","",MAX(0,$C451-$B451))</f>
        <v/>
      </c>
    </row>
    <row r="452" ht="15" customHeight="1" s="78">
      <c r="A452" s="122" t="n"/>
      <c r="B452" s="120" t="n"/>
      <c r="C452" s="120" t="n"/>
      <c r="D452" s="120" t="n"/>
      <c r="E452" s="120" t="n"/>
      <c r="F452" s="120" t="n"/>
      <c r="G452" s="121">
        <f>IF($A452="","",MAX(0,$D452+$E452-$F452))</f>
        <v/>
      </c>
      <c r="H452" s="121">
        <f>IF($A452="","",MAX(0,$C452-$B452))</f>
        <v/>
      </c>
    </row>
    <row r="453" ht="15" customHeight="1" s="78">
      <c r="A453" s="122" t="n"/>
      <c r="B453" s="120" t="n"/>
      <c r="C453" s="120" t="n"/>
      <c r="D453" s="120" t="n"/>
      <c r="E453" s="120" t="n"/>
      <c r="F453" s="120" t="n"/>
      <c r="G453" s="121">
        <f>IF($A453="","",MAX(0,$D453+$E453-$F453))</f>
        <v/>
      </c>
      <c r="H453" s="121">
        <f>IF($A453="","",MAX(0,$C453-$B453))</f>
        <v/>
      </c>
    </row>
    <row r="454" ht="15" customHeight="1" s="78">
      <c r="A454" s="122" t="n"/>
      <c r="B454" s="120" t="n"/>
      <c r="C454" s="120" t="n"/>
      <c r="D454" s="120" t="n"/>
      <c r="E454" s="120" t="n"/>
      <c r="F454" s="120" t="n"/>
      <c r="G454" s="121">
        <f>IF($A454="","",MAX(0,$D454+$E454-$F454))</f>
        <v/>
      </c>
      <c r="H454" s="121">
        <f>IF($A454="","",MAX(0,$C454-$B454))</f>
        <v/>
      </c>
    </row>
    <row r="455" ht="15" customHeight="1" s="78">
      <c r="A455" s="122" t="n"/>
      <c r="B455" s="120" t="n"/>
      <c r="C455" s="120" t="n"/>
      <c r="D455" s="120" t="n"/>
      <c r="E455" s="120" t="n"/>
      <c r="F455" s="120" t="n"/>
      <c r="G455" s="121">
        <f>IF($A455="","",MAX(0,$D455+$E455-$F455))</f>
        <v/>
      </c>
      <c r="H455" s="121">
        <f>IF($A455="","",MAX(0,$C455-$B455))</f>
        <v/>
      </c>
    </row>
    <row r="456" ht="15" customHeight="1" s="78">
      <c r="A456" s="122" t="n"/>
      <c r="B456" s="120" t="n"/>
      <c r="C456" s="120" t="n"/>
      <c r="D456" s="120" t="n"/>
      <c r="E456" s="120" t="n"/>
      <c r="F456" s="120" t="n"/>
      <c r="G456" s="121">
        <f>IF($A456="","",MAX(0,$D456+$E456-$F456))</f>
        <v/>
      </c>
      <c r="H456" s="121">
        <f>IF($A456="","",MAX(0,$C456-$B456))</f>
        <v/>
      </c>
    </row>
    <row r="457" ht="15" customHeight="1" s="78">
      <c r="A457" s="122" t="n"/>
      <c r="B457" s="120" t="n"/>
      <c r="C457" s="120" t="n"/>
      <c r="D457" s="120" t="n"/>
      <c r="E457" s="120" t="n"/>
      <c r="F457" s="120" t="n"/>
      <c r="G457" s="121">
        <f>IF($A457="","",MAX(0,$D457+$E457-$F457))</f>
        <v/>
      </c>
      <c r="H457" s="121">
        <f>IF($A457="","",MAX(0,$C457-$B457))</f>
        <v/>
      </c>
    </row>
    <row r="458" ht="15" customHeight="1" s="78">
      <c r="A458" s="122" t="n"/>
      <c r="B458" s="120" t="n"/>
      <c r="C458" s="120" t="n"/>
      <c r="D458" s="120" t="n"/>
      <c r="E458" s="120" t="n"/>
      <c r="F458" s="120" t="n"/>
      <c r="G458" s="121">
        <f>IF($A458="","",MAX(0,$D458+$E458-$F458))</f>
        <v/>
      </c>
      <c r="H458" s="121">
        <f>IF($A458="","",MAX(0,$C458-$B458))</f>
        <v/>
      </c>
    </row>
    <row r="459" ht="15" customHeight="1" s="78">
      <c r="A459" s="122" t="n"/>
      <c r="B459" s="120" t="n"/>
      <c r="C459" s="120" t="n"/>
      <c r="D459" s="120" t="n"/>
      <c r="E459" s="120" t="n"/>
      <c r="F459" s="120" t="n"/>
      <c r="G459" s="121">
        <f>IF($A459="","",MAX(0,$D459+$E459-$F459))</f>
        <v/>
      </c>
      <c r="H459" s="121">
        <f>IF($A459="","",MAX(0,$C459-$B459))</f>
        <v/>
      </c>
    </row>
    <row r="460" ht="15" customHeight="1" s="78">
      <c r="A460" s="122" t="n"/>
      <c r="B460" s="120" t="n"/>
      <c r="C460" s="120" t="n"/>
      <c r="D460" s="120" t="n"/>
      <c r="E460" s="120" t="n"/>
      <c r="F460" s="120" t="n"/>
      <c r="G460" s="121">
        <f>IF($A460="","",MAX(0,$D460+$E460-$F460))</f>
        <v/>
      </c>
      <c r="H460" s="121">
        <f>IF($A460="","",MAX(0,$C460-$B460))</f>
        <v/>
      </c>
    </row>
    <row r="461" ht="15" customHeight="1" s="78">
      <c r="A461" s="122" t="n"/>
      <c r="B461" s="120" t="n"/>
      <c r="C461" s="120" t="n"/>
      <c r="D461" s="120" t="n"/>
      <c r="E461" s="120" t="n"/>
      <c r="F461" s="120" t="n"/>
      <c r="G461" s="121">
        <f>IF($A461="","",MAX(0,$D461+$E461-$F461))</f>
        <v/>
      </c>
      <c r="H461" s="121">
        <f>IF($A461="","",MAX(0,$C461-$B461))</f>
        <v/>
      </c>
    </row>
    <row r="462" ht="15" customHeight="1" s="78">
      <c r="A462" s="122" t="n"/>
      <c r="B462" s="120" t="n"/>
      <c r="C462" s="120" t="n"/>
      <c r="D462" s="120" t="n"/>
      <c r="E462" s="120" t="n"/>
      <c r="F462" s="120" t="n"/>
      <c r="G462" s="121">
        <f>IF($A462="","",MAX(0,$D462+$E462-$F462))</f>
        <v/>
      </c>
      <c r="H462" s="121">
        <f>IF($A462="","",MAX(0,$C462-$B462))</f>
        <v/>
      </c>
    </row>
    <row r="463" ht="15" customHeight="1" s="78">
      <c r="A463" s="122" t="n"/>
      <c r="B463" s="120" t="n"/>
      <c r="C463" s="120" t="n"/>
      <c r="D463" s="120" t="n"/>
      <c r="E463" s="120" t="n"/>
      <c r="F463" s="120" t="n"/>
      <c r="G463" s="121">
        <f>IF($A463="","",MAX(0,$D463+$E463-$F463))</f>
        <v/>
      </c>
      <c r="H463" s="121">
        <f>IF($A463="","",MAX(0,$C463-$B463))</f>
        <v/>
      </c>
    </row>
    <row r="464" ht="15" customHeight="1" s="78">
      <c r="A464" s="122" t="n"/>
      <c r="B464" s="120" t="n"/>
      <c r="C464" s="120" t="n"/>
      <c r="D464" s="120" t="n"/>
      <c r="E464" s="120" t="n"/>
      <c r="F464" s="120" t="n"/>
      <c r="G464" s="121">
        <f>IF($A464="","",MAX(0,$D464+$E464-$F464))</f>
        <v/>
      </c>
      <c r="H464" s="121">
        <f>IF($A464="","",MAX(0,$C464-$B464))</f>
        <v/>
      </c>
    </row>
    <row r="465" ht="15" customHeight="1" s="78">
      <c r="A465" s="122" t="n"/>
      <c r="B465" s="120" t="n"/>
      <c r="C465" s="120" t="n"/>
      <c r="D465" s="120" t="n"/>
      <c r="E465" s="120" t="n"/>
      <c r="F465" s="120" t="n"/>
      <c r="G465" s="121">
        <f>IF($A465="","",MAX(0,$D465+$E465-$F465))</f>
        <v/>
      </c>
      <c r="H465" s="121">
        <f>IF($A465="","",MAX(0,$C465-$B465))</f>
        <v/>
      </c>
    </row>
    <row r="466" ht="15" customHeight="1" s="78">
      <c r="A466" s="122" t="n"/>
      <c r="B466" s="120" t="n"/>
      <c r="C466" s="120" t="n"/>
      <c r="D466" s="120" t="n"/>
      <c r="E466" s="120" t="n"/>
      <c r="F466" s="120" t="n"/>
      <c r="G466" s="121">
        <f>IF($A466="","",MAX(0,$D466+$E466-$F466))</f>
        <v/>
      </c>
      <c r="H466" s="121">
        <f>IF($A466="","",MAX(0,$C466-$B466))</f>
        <v/>
      </c>
    </row>
    <row r="467" ht="15" customHeight="1" s="78">
      <c r="A467" s="122" t="n"/>
      <c r="B467" s="120" t="n"/>
      <c r="C467" s="120" t="n"/>
      <c r="D467" s="120" t="n"/>
      <c r="E467" s="120" t="n"/>
      <c r="F467" s="120" t="n"/>
      <c r="G467" s="121">
        <f>IF($A467="","",MAX(0,$D467+$E467-$F467))</f>
        <v/>
      </c>
      <c r="H467" s="121">
        <f>IF($A467="","",MAX(0,$C467-$B467))</f>
        <v/>
      </c>
    </row>
    <row r="468" ht="15" customHeight="1" s="78">
      <c r="A468" s="122" t="n"/>
      <c r="B468" s="120" t="n"/>
      <c r="C468" s="120" t="n"/>
      <c r="D468" s="120" t="n"/>
      <c r="E468" s="120" t="n"/>
      <c r="F468" s="120" t="n"/>
      <c r="G468" s="121">
        <f>IF($A468="","",MAX(0,$D468+$E468-$F468))</f>
        <v/>
      </c>
      <c r="H468" s="121">
        <f>IF($A468="","",MAX(0,$C468-$B468))</f>
        <v/>
      </c>
    </row>
    <row r="469" ht="15" customHeight="1" s="78">
      <c r="A469" s="122" t="n"/>
      <c r="B469" s="120" t="n"/>
      <c r="C469" s="120" t="n"/>
      <c r="D469" s="120" t="n"/>
      <c r="E469" s="120" t="n"/>
      <c r="F469" s="120" t="n"/>
      <c r="G469" s="121">
        <f>IF($A469="","",MAX(0,$D469+$E469-$F469))</f>
        <v/>
      </c>
      <c r="H469" s="121">
        <f>IF($A469="","",MAX(0,$C469-$B469))</f>
        <v/>
      </c>
    </row>
    <row r="470" ht="15" customHeight="1" s="78">
      <c r="A470" s="122" t="n"/>
      <c r="B470" s="120" t="n"/>
      <c r="C470" s="120" t="n"/>
      <c r="D470" s="120" t="n"/>
      <c r="E470" s="120" t="n"/>
      <c r="F470" s="120" t="n"/>
      <c r="G470" s="121">
        <f>IF($A470="","",MAX(0,$D470+$E470-$F470))</f>
        <v/>
      </c>
      <c r="H470" s="121">
        <f>IF($A470="","",MAX(0,$C470-$B470))</f>
        <v/>
      </c>
    </row>
    <row r="471" ht="15" customHeight="1" s="78">
      <c r="A471" s="122" t="n"/>
      <c r="B471" s="120" t="n"/>
      <c r="C471" s="120" t="n"/>
      <c r="D471" s="120" t="n"/>
      <c r="E471" s="120" t="n"/>
      <c r="F471" s="120" t="n"/>
      <c r="G471" s="121">
        <f>IF($A471="","",MAX(0,$D471+$E471-$F471))</f>
        <v/>
      </c>
      <c r="H471" s="121">
        <f>IF($A471="","",MAX(0,$C471-$B471))</f>
        <v/>
      </c>
    </row>
    <row r="472" ht="15" customHeight="1" s="78">
      <c r="A472" s="122" t="n"/>
      <c r="B472" s="120" t="n"/>
      <c r="C472" s="120" t="n"/>
      <c r="D472" s="120" t="n"/>
      <c r="E472" s="120" t="n"/>
      <c r="F472" s="120" t="n"/>
      <c r="G472" s="121">
        <f>IF($A472="","",MAX(0,$D472+$E472-$F472))</f>
        <v/>
      </c>
      <c r="H472" s="121">
        <f>IF($A472="","",MAX(0,$C472-$B472))</f>
        <v/>
      </c>
    </row>
    <row r="473" ht="15" customHeight="1" s="78">
      <c r="A473" s="122" t="n"/>
      <c r="B473" s="120" t="n"/>
      <c r="C473" s="120" t="n"/>
      <c r="D473" s="120" t="n"/>
      <c r="E473" s="120" t="n"/>
      <c r="F473" s="120" t="n"/>
      <c r="G473" s="121">
        <f>IF($A473="","",MAX(0,$D473+$E473-$F473))</f>
        <v/>
      </c>
      <c r="H473" s="121">
        <f>IF($A473="","",MAX(0,$C473-$B473))</f>
        <v/>
      </c>
    </row>
    <row r="474" ht="15" customHeight="1" s="78">
      <c r="A474" s="122" t="n"/>
      <c r="B474" s="120" t="n"/>
      <c r="C474" s="120" t="n"/>
      <c r="D474" s="120" t="n"/>
      <c r="E474" s="120" t="n"/>
      <c r="F474" s="120" t="n"/>
      <c r="G474" s="121">
        <f>IF($A474="","",MAX(0,$D474+$E474-$F474))</f>
        <v/>
      </c>
      <c r="H474" s="121">
        <f>IF($A474="","",MAX(0,$C474-$B474))</f>
        <v/>
      </c>
    </row>
    <row r="475" ht="15" customHeight="1" s="78">
      <c r="A475" s="122" t="n"/>
      <c r="B475" s="120" t="n"/>
      <c r="C475" s="120" t="n"/>
      <c r="D475" s="120" t="n"/>
      <c r="E475" s="120" t="n"/>
      <c r="F475" s="120" t="n"/>
      <c r="G475" s="121">
        <f>IF($A475="","",MAX(0,$D475+$E475-$F475))</f>
        <v/>
      </c>
      <c r="H475" s="121">
        <f>IF($A475="","",MAX(0,$C475-$B475))</f>
        <v/>
      </c>
    </row>
    <row r="476" ht="15" customHeight="1" s="78">
      <c r="A476" s="122" t="n"/>
      <c r="B476" s="120" t="n"/>
      <c r="C476" s="120" t="n"/>
      <c r="D476" s="120" t="n"/>
      <c r="E476" s="120" t="n"/>
      <c r="F476" s="120" t="n"/>
      <c r="G476" s="121">
        <f>IF($A476="","",MAX(0,$D476+$E476-$F476))</f>
        <v/>
      </c>
      <c r="H476" s="121">
        <f>IF($A476="","",MAX(0,$C476-$B476))</f>
        <v/>
      </c>
    </row>
    <row r="477" ht="15" customHeight="1" s="78">
      <c r="A477" s="122" t="n"/>
      <c r="B477" s="120" t="n"/>
      <c r="C477" s="120" t="n"/>
      <c r="D477" s="120" t="n"/>
      <c r="E477" s="120" t="n"/>
      <c r="F477" s="120" t="n"/>
      <c r="G477" s="121">
        <f>IF($A477="","",MAX(0,$D477+$E477-$F477))</f>
        <v/>
      </c>
      <c r="H477" s="121">
        <f>IF($A477="","",MAX(0,$C477-$B477))</f>
        <v/>
      </c>
    </row>
    <row r="478" ht="15" customHeight="1" s="78">
      <c r="A478" s="122" t="n"/>
      <c r="B478" s="120" t="n"/>
      <c r="C478" s="120" t="n"/>
      <c r="D478" s="120" t="n"/>
      <c r="E478" s="120" t="n"/>
      <c r="F478" s="120" t="n"/>
      <c r="G478" s="121">
        <f>IF($A478="","",MAX(0,$D478+$E478-$F478))</f>
        <v/>
      </c>
      <c r="H478" s="121">
        <f>IF($A478="","",MAX(0,$C478-$B478))</f>
        <v/>
      </c>
    </row>
    <row r="479" ht="15" customHeight="1" s="78">
      <c r="A479" s="122" t="n"/>
      <c r="B479" s="120" t="n"/>
      <c r="C479" s="120" t="n"/>
      <c r="D479" s="120" t="n"/>
      <c r="E479" s="120" t="n"/>
      <c r="F479" s="120" t="n"/>
      <c r="G479" s="121">
        <f>IF($A479="","",MAX(0,$D479+$E479-$F479))</f>
        <v/>
      </c>
      <c r="H479" s="121">
        <f>IF($A479="","",MAX(0,$C479-$B479))</f>
        <v/>
      </c>
    </row>
    <row r="480" ht="15" customHeight="1" s="78">
      <c r="A480" s="122" t="n"/>
      <c r="B480" s="120" t="n"/>
      <c r="C480" s="120" t="n"/>
      <c r="D480" s="120" t="n"/>
      <c r="E480" s="120" t="n"/>
      <c r="F480" s="120" t="n"/>
      <c r="G480" s="121">
        <f>IF($A480="","",MAX(0,$D480+$E480-$F480))</f>
        <v/>
      </c>
      <c r="H480" s="121">
        <f>IF($A480="","",MAX(0,$C480-$B480))</f>
        <v/>
      </c>
    </row>
    <row r="481" ht="15" customHeight="1" s="78">
      <c r="A481" s="122" t="n"/>
      <c r="B481" s="120" t="n"/>
      <c r="C481" s="120" t="n"/>
      <c r="D481" s="120" t="n"/>
      <c r="E481" s="120" t="n"/>
      <c r="F481" s="120" t="n"/>
      <c r="G481" s="121">
        <f>IF($A481="","",MAX(0,$D481+$E481-$F481))</f>
        <v/>
      </c>
      <c r="H481" s="121">
        <f>IF($A481="","",MAX(0,$C481-$B481))</f>
        <v/>
      </c>
    </row>
    <row r="482" ht="15" customHeight="1" s="78">
      <c r="A482" s="122" t="n"/>
      <c r="B482" s="120" t="n"/>
      <c r="C482" s="120" t="n"/>
      <c r="D482" s="120" t="n"/>
      <c r="E482" s="120" t="n"/>
      <c r="F482" s="120" t="n"/>
      <c r="G482" s="121">
        <f>IF($A482="","",MAX(0,$D482+$E482-$F482))</f>
        <v/>
      </c>
      <c r="H482" s="121">
        <f>IF($A482="","",MAX(0,$C482-$B482))</f>
        <v/>
      </c>
    </row>
    <row r="483" ht="15" customHeight="1" s="78">
      <c r="A483" s="122" t="n"/>
      <c r="B483" s="120" t="n"/>
      <c r="C483" s="120" t="n"/>
      <c r="D483" s="120" t="n"/>
      <c r="E483" s="120" t="n"/>
      <c r="F483" s="120" t="n"/>
      <c r="G483" s="121">
        <f>IF($A483="","",MAX(0,$D483+$E483-$F483))</f>
        <v/>
      </c>
      <c r="H483" s="121">
        <f>IF($A483="","",MAX(0,$C483-$B483))</f>
        <v/>
      </c>
    </row>
    <row r="484" ht="15" customHeight="1" s="78">
      <c r="A484" s="122" t="n"/>
      <c r="B484" s="120" t="n"/>
      <c r="C484" s="120" t="n"/>
      <c r="D484" s="120" t="n"/>
      <c r="E484" s="120" t="n"/>
      <c r="F484" s="120" t="n"/>
      <c r="G484" s="121">
        <f>IF($A484="","",MAX(0,$D484+$E484-$F484))</f>
        <v/>
      </c>
      <c r="H484" s="121">
        <f>IF($A484="","",MAX(0,$C484-$B484))</f>
        <v/>
      </c>
    </row>
    <row r="485" ht="15" customHeight="1" s="78">
      <c r="A485" s="122" t="n"/>
      <c r="B485" s="120" t="n"/>
      <c r="C485" s="120" t="n"/>
      <c r="D485" s="120" t="n"/>
      <c r="E485" s="120" t="n"/>
      <c r="F485" s="120" t="n"/>
      <c r="G485" s="121">
        <f>IF($A485="","",MAX(0,$D485+$E485-$F485))</f>
        <v/>
      </c>
      <c r="H485" s="121">
        <f>IF($A485="","",MAX(0,$C485-$B485))</f>
        <v/>
      </c>
    </row>
    <row r="486" ht="15" customHeight="1" s="78">
      <c r="A486" s="122" t="n"/>
      <c r="B486" s="120" t="n"/>
      <c r="C486" s="120" t="n"/>
      <c r="D486" s="120" t="n"/>
      <c r="E486" s="120" t="n"/>
      <c r="F486" s="120" t="n"/>
      <c r="G486" s="121">
        <f>IF($A486="","",MAX(0,$D486+$E486-$F486))</f>
        <v/>
      </c>
      <c r="H486" s="121">
        <f>IF($A486="","",MAX(0,$C486-$B486))</f>
        <v/>
      </c>
    </row>
    <row r="487" ht="15" customHeight="1" s="78">
      <c r="A487" s="122" t="n"/>
      <c r="B487" s="120" t="n"/>
      <c r="C487" s="120" t="n"/>
      <c r="D487" s="120" t="n"/>
      <c r="E487" s="120" t="n"/>
      <c r="F487" s="120" t="n"/>
      <c r="G487" s="121">
        <f>IF($A487="","",MAX(0,$D487+$E487-$F487))</f>
        <v/>
      </c>
      <c r="H487" s="121">
        <f>IF($A487="","",MAX(0,$C487-$B487))</f>
        <v/>
      </c>
    </row>
    <row r="488" ht="15" customHeight="1" s="78">
      <c r="A488" s="122" t="n"/>
      <c r="B488" s="120" t="n"/>
      <c r="C488" s="120" t="n"/>
      <c r="D488" s="120" t="n"/>
      <c r="E488" s="120" t="n"/>
      <c r="F488" s="120" t="n"/>
      <c r="G488" s="121">
        <f>IF($A488="","",MAX(0,$D488+$E488-$F488))</f>
        <v/>
      </c>
      <c r="H488" s="121">
        <f>IF($A488="","",MAX(0,$C488-$B488))</f>
        <v/>
      </c>
    </row>
    <row r="489" ht="15" customHeight="1" s="78">
      <c r="A489" s="122" t="n"/>
      <c r="B489" s="120" t="n"/>
      <c r="C489" s="120" t="n"/>
      <c r="D489" s="120" t="n"/>
      <c r="E489" s="120" t="n"/>
      <c r="F489" s="120" t="n"/>
      <c r="G489" s="121">
        <f>IF($A489="","",MAX(0,$D489+$E489-$F489))</f>
        <v/>
      </c>
      <c r="H489" s="121">
        <f>IF($A489="","",MAX(0,$C489-$B489))</f>
        <v/>
      </c>
    </row>
    <row r="490" ht="15" customHeight="1" s="78">
      <c r="A490" s="122" t="n"/>
      <c r="B490" s="120" t="n"/>
      <c r="C490" s="120" t="n"/>
      <c r="D490" s="120" t="n"/>
      <c r="E490" s="120" t="n"/>
      <c r="F490" s="120" t="n"/>
      <c r="G490" s="121">
        <f>IF($A490="","",MAX(0,$D490+$E490-$F490))</f>
        <v/>
      </c>
      <c r="H490" s="121">
        <f>IF($A490="","",MAX(0,$C490-$B490))</f>
        <v/>
      </c>
    </row>
    <row r="491" ht="15" customHeight="1" s="78">
      <c r="A491" s="122" t="n"/>
      <c r="B491" s="120" t="n"/>
      <c r="C491" s="120" t="n"/>
      <c r="D491" s="120" t="n"/>
      <c r="E491" s="120" t="n"/>
      <c r="F491" s="120" t="n"/>
      <c r="G491" s="121">
        <f>IF($A491="","",MAX(0,$D491+$E491-$F491))</f>
        <v/>
      </c>
      <c r="H491" s="121">
        <f>IF($A491="","",MAX(0,$C491-$B491))</f>
        <v/>
      </c>
    </row>
    <row r="492" ht="15" customHeight="1" s="78">
      <c r="A492" s="122" t="n"/>
      <c r="B492" s="120" t="n"/>
      <c r="C492" s="120" t="n"/>
      <c r="D492" s="120" t="n"/>
      <c r="E492" s="120" t="n"/>
      <c r="F492" s="120" t="n"/>
      <c r="G492" s="121">
        <f>IF($A492="","",MAX(0,$D492+$E492-$F492))</f>
        <v/>
      </c>
      <c r="H492" s="121">
        <f>IF($A492="","",MAX(0,$C492-$B492))</f>
        <v/>
      </c>
    </row>
    <row r="493" ht="15" customHeight="1" s="78">
      <c r="A493" s="122" t="n"/>
      <c r="B493" s="120" t="n"/>
      <c r="C493" s="120" t="n"/>
      <c r="D493" s="120" t="n"/>
      <c r="E493" s="120" t="n"/>
      <c r="F493" s="120" t="n"/>
      <c r="G493" s="121">
        <f>IF($A493="","",MAX(0,$D493+$E493-$F493))</f>
        <v/>
      </c>
      <c r="H493" s="121">
        <f>IF($A493="","",MAX(0,$C493-$B493))</f>
        <v/>
      </c>
    </row>
    <row r="494" ht="15" customHeight="1" s="78">
      <c r="A494" s="122" t="n"/>
      <c r="B494" s="120" t="n"/>
      <c r="C494" s="120" t="n"/>
      <c r="D494" s="120" t="n"/>
      <c r="E494" s="120" t="n"/>
      <c r="F494" s="120" t="n"/>
      <c r="G494" s="121">
        <f>IF($A494="","",MAX(0,$D494+$E494-$F494))</f>
        <v/>
      </c>
      <c r="H494" s="121">
        <f>IF($A494="","",MAX(0,$C494-$B494))</f>
        <v/>
      </c>
    </row>
    <row r="495" ht="15" customHeight="1" s="78">
      <c r="A495" s="122" t="n"/>
      <c r="B495" s="120" t="n"/>
      <c r="C495" s="120" t="n"/>
      <c r="D495" s="120" t="n"/>
      <c r="E495" s="120" t="n"/>
      <c r="F495" s="120" t="n"/>
      <c r="G495" s="121">
        <f>IF($A495="","",MAX(0,$D495+$E495-$F495))</f>
        <v/>
      </c>
      <c r="H495" s="121">
        <f>IF($A495="","",MAX(0,$C495-$B495))</f>
        <v/>
      </c>
    </row>
    <row r="496" ht="15" customHeight="1" s="78">
      <c r="A496" s="122" t="n"/>
      <c r="B496" s="120" t="n"/>
      <c r="C496" s="120" t="n"/>
      <c r="D496" s="120" t="n"/>
      <c r="E496" s="120" t="n"/>
      <c r="F496" s="120" t="n"/>
      <c r="G496" s="121">
        <f>IF($A496="","",MAX(0,$D496+$E496-$F496))</f>
        <v/>
      </c>
      <c r="H496" s="121">
        <f>IF($A496="","",MAX(0,$C496-$B496))</f>
        <v/>
      </c>
    </row>
    <row r="497" ht="15" customHeight="1" s="78">
      <c r="A497" s="122" t="n"/>
      <c r="B497" s="120" t="n"/>
      <c r="C497" s="120" t="n"/>
      <c r="D497" s="120" t="n"/>
      <c r="E497" s="120" t="n"/>
      <c r="F497" s="120" t="n"/>
      <c r="G497" s="121">
        <f>IF($A497="","",MAX(0,$D497+$E497-$F497))</f>
        <v/>
      </c>
      <c r="H497" s="121">
        <f>IF($A497="","",MAX(0,$C497-$B497))</f>
        <v/>
      </c>
    </row>
    <row r="498" ht="15" customHeight="1" s="78">
      <c r="A498" s="122" t="n"/>
      <c r="B498" s="120" t="n"/>
      <c r="C498" s="120" t="n"/>
      <c r="D498" s="120" t="n"/>
      <c r="E498" s="120" t="n"/>
      <c r="F498" s="120" t="n"/>
      <c r="G498" s="121">
        <f>IF($A498="","",MAX(0,$D498+$E498-$F498))</f>
        <v/>
      </c>
      <c r="H498" s="121">
        <f>IF($A498="","",MAX(0,$C498-$B498))</f>
        <v/>
      </c>
    </row>
    <row r="499" ht="15" customHeight="1" s="78">
      <c r="A499" s="122" t="n"/>
      <c r="B499" s="120" t="n"/>
      <c r="C499" s="120" t="n"/>
      <c r="D499" s="120" t="n"/>
      <c r="E499" s="120" t="n"/>
      <c r="F499" s="120" t="n"/>
      <c r="G499" s="121">
        <f>IF($A499="","",MAX(0,$D499+$E499-$F499))</f>
        <v/>
      </c>
      <c r="H499" s="121">
        <f>IF($A499="","",MAX(0,$C499-$B499))</f>
        <v/>
      </c>
    </row>
    <row r="500" ht="15" customHeight="1" s="78">
      <c r="A500" s="122" t="n"/>
      <c r="B500" s="120" t="n"/>
      <c r="C500" s="120" t="n"/>
      <c r="D500" s="120" t="n"/>
      <c r="E500" s="120" t="n"/>
      <c r="F500" s="120" t="n"/>
      <c r="G500" s="121">
        <f>IF($A500="","",MAX(0,$D500+$E500-$F500))</f>
        <v/>
      </c>
      <c r="H500" s="121">
        <f>IF($A500="","",MAX(0,$C500-$B500))</f>
        <v/>
      </c>
    </row>
    <row r="501" ht="15" customHeight="1" s="78">
      <c r="A501" s="122" t="n"/>
      <c r="B501" s="120" t="n"/>
      <c r="C501" s="120" t="n"/>
      <c r="D501" s="120" t="n"/>
      <c r="E501" s="120" t="n"/>
      <c r="F501" s="120" t="n"/>
      <c r="G501" s="121">
        <f>IF($A501="","",MAX(0,$D501+$E501-$F501))</f>
        <v/>
      </c>
      <c r="H501" s="121">
        <f>IF($A501="","",MAX(0,$C501-$B501))</f>
        <v/>
      </c>
    </row>
    <row r="502" ht="15" customHeight="1" s="78">
      <c r="A502" s="122" t="n"/>
      <c r="B502" s="120" t="n"/>
      <c r="C502" s="120" t="n"/>
      <c r="D502" s="120" t="n"/>
      <c r="E502" s="120" t="n"/>
      <c r="F502" s="120" t="n"/>
      <c r="G502" s="121">
        <f>IF($A502="","",MAX(0,$D502+$E502-$F502))</f>
        <v/>
      </c>
      <c r="H502" s="121">
        <f>IF($A502="","",MAX(0,$C502-$B502))</f>
        <v/>
      </c>
    </row>
    <row r="503" ht="15" customHeight="1" s="78">
      <c r="A503" s="122" t="n"/>
      <c r="B503" s="120" t="n"/>
      <c r="C503" s="120" t="n"/>
      <c r="D503" s="120" t="n"/>
      <c r="E503" s="120" t="n"/>
      <c r="F503" s="120" t="n"/>
      <c r="G503" s="121">
        <f>IF($A503="","",MAX(0,$D503+$E503-$F503))</f>
        <v/>
      </c>
      <c r="H503" s="121">
        <f>IF($A503="","",MAX(0,$C503-$B503))</f>
        <v/>
      </c>
    </row>
    <row r="504" ht="15" customHeight="1" s="78">
      <c r="A504" s="122" t="n"/>
      <c r="B504" s="120" t="n"/>
      <c r="C504" s="120" t="n"/>
      <c r="D504" s="120" t="n"/>
      <c r="E504" s="120" t="n"/>
      <c r="F504" s="120" t="n"/>
      <c r="G504" s="121">
        <f>IF($A504="","",MAX(0,$D504+$E504-$F504))</f>
        <v/>
      </c>
      <c r="H504" s="121">
        <f>IF($A504="","",MAX(0,$C504-$B504))</f>
        <v/>
      </c>
    </row>
    <row r="505" ht="15" customHeight="1" s="78">
      <c r="A505" s="122" t="n"/>
      <c r="B505" s="120" t="n"/>
      <c r="C505" s="120" t="n"/>
      <c r="D505" s="120" t="n"/>
      <c r="E505" s="120" t="n"/>
      <c r="F505" s="120" t="n"/>
      <c r="G505" s="121">
        <f>IF($A505="","",MAX(0,$D505+$E505-$F505))</f>
        <v/>
      </c>
      <c r="H505" s="121">
        <f>IF($A505="","",MAX(0,$C505-$B505))</f>
        <v/>
      </c>
    </row>
    <row r="506" ht="15" customHeight="1" s="78">
      <c r="A506" s="122" t="n"/>
      <c r="B506" s="120" t="n"/>
      <c r="C506" s="120" t="n"/>
      <c r="D506" s="120" t="n"/>
      <c r="E506" s="120" t="n"/>
      <c r="F506" s="120" t="n"/>
      <c r="G506" s="121">
        <f>IF($A506="","",MAX(0,$D506+$E506-$F506))</f>
        <v/>
      </c>
      <c r="H506" s="121">
        <f>IF($A506="","",MAX(0,$C506-$B506))</f>
        <v/>
      </c>
    </row>
    <row r="507" ht="15" customHeight="1" s="78">
      <c r="A507" s="122" t="n"/>
      <c r="B507" s="120" t="n"/>
      <c r="C507" s="120" t="n"/>
      <c r="D507" s="120" t="n"/>
      <c r="E507" s="120" t="n"/>
      <c r="F507" s="120" t="n"/>
      <c r="G507" s="121">
        <f>IF($A507="","",MAX(0,$D507+$E507-$F507))</f>
        <v/>
      </c>
      <c r="H507" s="121">
        <f>IF($A507="","",MAX(0,$C507-$B507))</f>
        <v/>
      </c>
    </row>
    <row r="508" ht="15" customHeight="1" s="78">
      <c r="A508" s="122" t="n"/>
      <c r="B508" s="120" t="n"/>
      <c r="C508" s="120" t="n"/>
      <c r="D508" s="120" t="n"/>
      <c r="E508" s="120" t="n"/>
      <c r="F508" s="120" t="n"/>
      <c r="G508" s="121">
        <f>IF($A508="","",MAX(0,$D508+$E508-$F508))</f>
        <v/>
      </c>
      <c r="H508" s="121">
        <f>IF($A508="","",MAX(0,$C508-$B508))</f>
        <v/>
      </c>
    </row>
    <row r="509" ht="15" customHeight="1" s="78">
      <c r="A509" s="122" t="n"/>
      <c r="B509" s="120" t="n"/>
      <c r="C509" s="120" t="n"/>
      <c r="D509" s="120" t="n"/>
      <c r="E509" s="120" t="n"/>
      <c r="F509" s="120" t="n"/>
      <c r="G509" s="121">
        <f>IF($A509="","",MAX(0,$D509+$E509-$F509))</f>
        <v/>
      </c>
      <c r="H509" s="121">
        <f>IF($A509="","",MAX(0,$C509-$B509))</f>
        <v/>
      </c>
    </row>
    <row r="510" ht="15" customHeight="1" s="78">
      <c r="A510" s="122" t="n"/>
      <c r="B510" s="120" t="n"/>
      <c r="C510" s="120" t="n"/>
      <c r="D510" s="120" t="n"/>
      <c r="E510" s="120" t="n"/>
      <c r="F510" s="120" t="n"/>
      <c r="G510" s="121">
        <f>IF($A510="","",MAX(0,$D510+$E510-$F510))</f>
        <v/>
      </c>
      <c r="H510" s="121">
        <f>IF($A510="","",MAX(0,$C510-$B510))</f>
        <v/>
      </c>
    </row>
    <row r="511" ht="15" customHeight="1" s="78">
      <c r="A511" s="122" t="n"/>
      <c r="B511" s="120" t="n"/>
      <c r="C511" s="120" t="n"/>
      <c r="D511" s="120" t="n"/>
      <c r="E511" s="120" t="n"/>
      <c r="F511" s="120" t="n"/>
      <c r="G511" s="121">
        <f>IF($A511="","",MAX(0,$D511+$E511-$F511))</f>
        <v/>
      </c>
      <c r="H511" s="121">
        <f>IF($A511="","",MAX(0,$C511-$B511))</f>
        <v/>
      </c>
    </row>
    <row r="512" ht="15" customHeight="1" s="78">
      <c r="A512" s="122" t="n"/>
      <c r="B512" s="120" t="n"/>
      <c r="C512" s="120" t="n"/>
      <c r="D512" s="120" t="n"/>
      <c r="E512" s="120" t="n"/>
      <c r="F512" s="120" t="n"/>
      <c r="G512" s="121">
        <f>IF($A512="","",MAX(0,$D512+$E512-$F512))</f>
        <v/>
      </c>
      <c r="H512" s="121">
        <f>IF($A512="","",MAX(0,$C512-$B512))</f>
        <v/>
      </c>
    </row>
    <row r="513" ht="15" customHeight="1" s="78">
      <c r="A513" s="122" t="n"/>
      <c r="B513" s="120" t="n"/>
      <c r="C513" s="120" t="n"/>
      <c r="D513" s="120" t="n"/>
      <c r="E513" s="120" t="n"/>
      <c r="F513" s="120" t="n"/>
      <c r="G513" s="121">
        <f>IF($A513="","",MAX(0,$D513+$E513-$F513))</f>
        <v/>
      </c>
      <c r="H513" s="121">
        <f>IF($A513="","",MAX(0,$C513-$B513))</f>
        <v/>
      </c>
    </row>
    <row r="514" ht="15" customHeight="1" s="78">
      <c r="A514" s="122" t="n"/>
      <c r="B514" s="120" t="n"/>
      <c r="C514" s="120" t="n"/>
      <c r="D514" s="120" t="n"/>
      <c r="E514" s="120" t="n"/>
      <c r="F514" s="120" t="n"/>
      <c r="G514" s="121">
        <f>IF($A514="","",MAX(0,$D514+$E514-$F514))</f>
        <v/>
      </c>
      <c r="H514" s="121">
        <f>IF($A514="","",MAX(0,$C514-$B514))</f>
        <v/>
      </c>
    </row>
    <row r="515" ht="15" customHeight="1" s="78">
      <c r="A515" s="122" t="n"/>
      <c r="B515" s="120" t="n"/>
      <c r="C515" s="120" t="n"/>
      <c r="D515" s="120" t="n"/>
      <c r="E515" s="120" t="n"/>
      <c r="F515" s="120" t="n"/>
      <c r="G515" s="121">
        <f>IF($A515="","",MAX(0,$D515+$E515-$F515))</f>
        <v/>
      </c>
      <c r="H515" s="121">
        <f>IF($A515="","",MAX(0,$C515-$B515))</f>
        <v/>
      </c>
    </row>
    <row r="516" ht="15" customHeight="1" s="78">
      <c r="A516" s="122" t="n"/>
      <c r="B516" s="120" t="n"/>
      <c r="C516" s="120" t="n"/>
      <c r="D516" s="120" t="n"/>
      <c r="E516" s="120" t="n"/>
      <c r="F516" s="120" t="n"/>
      <c r="G516" s="121">
        <f>IF($A516="","",MAX(0,$D516+$E516-$F516))</f>
        <v/>
      </c>
      <c r="H516" s="121">
        <f>IF($A516="","",MAX(0,$C516-$B516))</f>
        <v/>
      </c>
    </row>
    <row r="517" ht="15" customHeight="1" s="78">
      <c r="A517" s="122" t="n"/>
      <c r="B517" s="120" t="n"/>
      <c r="C517" s="120" t="n"/>
      <c r="D517" s="120" t="n"/>
      <c r="E517" s="120" t="n"/>
      <c r="F517" s="120" t="n"/>
      <c r="G517" s="121">
        <f>IF($A517="","",MAX(0,$D517+$E517-$F517))</f>
        <v/>
      </c>
      <c r="H517" s="121">
        <f>IF($A517="","",MAX(0,$C517-$B517))</f>
        <v/>
      </c>
    </row>
    <row r="518" ht="15" customHeight="1" s="78">
      <c r="A518" s="122" t="n"/>
      <c r="B518" s="120" t="n"/>
      <c r="C518" s="120" t="n"/>
      <c r="D518" s="120" t="n"/>
      <c r="E518" s="120" t="n"/>
      <c r="F518" s="120" t="n"/>
      <c r="G518" s="121">
        <f>IF($A518="","",MAX(0,$D518+$E518-$F518))</f>
        <v/>
      </c>
      <c r="H518" s="121">
        <f>IF($A518="","",MAX(0,$C518-$B518))</f>
        <v/>
      </c>
    </row>
    <row r="519" ht="15" customHeight="1" s="78">
      <c r="A519" s="122" t="n"/>
      <c r="B519" s="120" t="n"/>
      <c r="C519" s="120" t="n"/>
      <c r="D519" s="120" t="n"/>
      <c r="E519" s="120" t="n"/>
      <c r="F519" s="120" t="n"/>
      <c r="G519" s="121">
        <f>IF($A519="","",MAX(0,$D519+$E519-$F519))</f>
        <v/>
      </c>
      <c r="H519" s="121">
        <f>IF($A519="","",MAX(0,$C519-$B519))</f>
        <v/>
      </c>
    </row>
    <row r="520" ht="15" customHeight="1" s="78">
      <c r="A520" s="122" t="n"/>
      <c r="B520" s="120" t="n"/>
      <c r="C520" s="120" t="n"/>
      <c r="D520" s="120" t="n"/>
      <c r="E520" s="120" t="n"/>
      <c r="F520" s="120" t="n"/>
      <c r="G520" s="121">
        <f>IF($A520="","",MAX(0,$D520+$E520-$F520))</f>
        <v/>
      </c>
      <c r="H520" s="121">
        <f>IF($A520="","",MAX(0,$C520-$B520))</f>
        <v/>
      </c>
    </row>
    <row r="521" ht="15" customHeight="1" s="78">
      <c r="A521" s="122" t="n"/>
      <c r="B521" s="120" t="n"/>
      <c r="C521" s="120" t="n"/>
      <c r="D521" s="120" t="n"/>
      <c r="E521" s="120" t="n"/>
      <c r="F521" s="120" t="n"/>
      <c r="G521" s="121">
        <f>IF($A521="","",MAX(0,$D521+$E521-$F521))</f>
        <v/>
      </c>
      <c r="H521" s="121">
        <f>IF($A521="","",MAX(0,$C521-$B521))</f>
        <v/>
      </c>
    </row>
    <row r="522" ht="15" customHeight="1" s="78">
      <c r="A522" s="122" t="n"/>
      <c r="B522" s="120" t="n"/>
      <c r="C522" s="120" t="n"/>
      <c r="D522" s="120" t="n"/>
      <c r="E522" s="120" t="n"/>
      <c r="F522" s="120" t="n"/>
      <c r="G522" s="121">
        <f>IF($A522="","",MAX(0,$D522+$E522-$F522))</f>
        <v/>
      </c>
      <c r="H522" s="121">
        <f>IF($A522="","",MAX(0,$C522-$B522))</f>
        <v/>
      </c>
    </row>
    <row r="523" ht="15" customHeight="1" s="78">
      <c r="A523" s="122" t="n"/>
      <c r="B523" s="120" t="n"/>
      <c r="C523" s="120" t="n"/>
      <c r="D523" s="120" t="n"/>
      <c r="E523" s="120" t="n"/>
      <c r="F523" s="120" t="n"/>
      <c r="G523" s="121">
        <f>IF($A523="","",MAX(0,$D523+$E523-$F523))</f>
        <v/>
      </c>
      <c r="H523" s="121">
        <f>IF($A523="","",MAX(0,$C523-$B523))</f>
        <v/>
      </c>
    </row>
    <row r="524" ht="15" customHeight="1" s="78">
      <c r="A524" s="122" t="n"/>
      <c r="B524" s="120" t="n"/>
      <c r="C524" s="120" t="n"/>
      <c r="D524" s="120" t="n"/>
      <c r="E524" s="120" t="n"/>
      <c r="F524" s="120" t="n"/>
      <c r="G524" s="121">
        <f>IF($A524="","",MAX(0,$D524+$E524-$F524))</f>
        <v/>
      </c>
      <c r="H524" s="121">
        <f>IF($A524="","",MAX(0,$C524-$B524))</f>
        <v/>
      </c>
    </row>
    <row r="525" ht="15" customHeight="1" s="78">
      <c r="A525" s="122" t="n"/>
      <c r="B525" s="120" t="n"/>
      <c r="C525" s="120" t="n"/>
      <c r="D525" s="120" t="n"/>
      <c r="E525" s="120" t="n"/>
      <c r="F525" s="120" t="n"/>
      <c r="G525" s="121">
        <f>IF($A525="","",MAX(0,$D525+$E525-$F525))</f>
        <v/>
      </c>
      <c r="H525" s="121">
        <f>IF($A525="","",MAX(0,$C525-$B525))</f>
        <v/>
      </c>
    </row>
    <row r="526" ht="15" customHeight="1" s="78">
      <c r="A526" s="122" t="n"/>
      <c r="B526" s="120" t="n"/>
      <c r="C526" s="120" t="n"/>
      <c r="D526" s="120" t="n"/>
      <c r="E526" s="120" t="n"/>
      <c r="F526" s="120" t="n"/>
      <c r="G526" s="121">
        <f>IF($A526="","",MAX(0,$D526+$E526-$F526))</f>
        <v/>
      </c>
      <c r="H526" s="121">
        <f>IF($A526="","",MAX(0,$C526-$B526))</f>
        <v/>
      </c>
    </row>
    <row r="527" ht="15" customHeight="1" s="78">
      <c r="A527" s="122" t="n"/>
      <c r="B527" s="120" t="n"/>
      <c r="C527" s="120" t="n"/>
      <c r="D527" s="120" t="n"/>
      <c r="E527" s="120" t="n"/>
      <c r="F527" s="120" t="n"/>
      <c r="G527" s="121">
        <f>IF($A527="","",MAX(0,$D527+$E527-$F527))</f>
        <v/>
      </c>
      <c r="H527" s="121">
        <f>IF($A527="","",MAX(0,$C527-$B527))</f>
        <v/>
      </c>
    </row>
    <row r="528" ht="15" customHeight="1" s="78">
      <c r="A528" s="122" t="n"/>
      <c r="B528" s="120" t="n"/>
      <c r="C528" s="120" t="n"/>
      <c r="D528" s="120" t="n"/>
      <c r="E528" s="120" t="n"/>
      <c r="F528" s="120" t="n"/>
      <c r="G528" s="121">
        <f>IF($A528="","",MAX(0,$D528+$E528-$F528))</f>
        <v/>
      </c>
      <c r="H528" s="121">
        <f>IF($A528="","",MAX(0,$C528-$B528))</f>
        <v/>
      </c>
    </row>
    <row r="529" ht="15" customHeight="1" s="78">
      <c r="A529" s="122" t="n"/>
      <c r="B529" s="120" t="n"/>
      <c r="C529" s="120" t="n"/>
      <c r="D529" s="120" t="n"/>
      <c r="E529" s="120" t="n"/>
      <c r="F529" s="120" t="n"/>
      <c r="G529" s="121">
        <f>IF($A529="","",MAX(0,$D529+$E529-$F529))</f>
        <v/>
      </c>
      <c r="H529" s="121">
        <f>IF($A529="","",MAX(0,$C529-$B529))</f>
        <v/>
      </c>
    </row>
    <row r="530" ht="15" customHeight="1" s="78">
      <c r="A530" s="122" t="n"/>
      <c r="B530" s="120" t="n"/>
      <c r="C530" s="120" t="n"/>
      <c r="D530" s="120" t="n"/>
      <c r="E530" s="120" t="n"/>
      <c r="F530" s="120" t="n"/>
      <c r="G530" s="121">
        <f>IF($A530="","",MAX(0,$D530+$E530-$F530))</f>
        <v/>
      </c>
      <c r="H530" s="121">
        <f>IF($A530="","",MAX(0,$C530-$B530))</f>
        <v/>
      </c>
    </row>
    <row r="531" ht="15" customHeight="1" s="78">
      <c r="A531" s="122" t="n"/>
      <c r="B531" s="120" t="n"/>
      <c r="C531" s="120" t="n"/>
      <c r="D531" s="120" t="n"/>
      <c r="E531" s="120" t="n"/>
      <c r="F531" s="120" t="n"/>
      <c r="G531" s="121">
        <f>IF($A531="","",MAX(0,$D531+$E531-$F531))</f>
        <v/>
      </c>
      <c r="H531" s="121">
        <f>IF($A531="","",MAX(0,$C531-$B531))</f>
        <v/>
      </c>
    </row>
    <row r="532" ht="15" customHeight="1" s="78">
      <c r="A532" s="122" t="n"/>
      <c r="B532" s="120" t="n"/>
      <c r="C532" s="120" t="n"/>
      <c r="D532" s="120" t="n"/>
      <c r="E532" s="120" t="n"/>
      <c r="F532" s="120" t="n"/>
      <c r="G532" s="121">
        <f>IF($A532="","",MAX(0,$D532+$E532-$F532))</f>
        <v/>
      </c>
      <c r="H532" s="121">
        <f>IF($A532="","",MAX(0,$C532-$B532))</f>
        <v/>
      </c>
    </row>
    <row r="533" ht="15" customHeight="1" s="78">
      <c r="A533" s="122" t="n"/>
      <c r="B533" s="120" t="n"/>
      <c r="C533" s="120" t="n"/>
      <c r="D533" s="120" t="n"/>
      <c r="E533" s="120" t="n"/>
      <c r="F533" s="120" t="n"/>
      <c r="G533" s="121">
        <f>IF($A533="","",MAX(0,$D533+$E533-$F533))</f>
        <v/>
      </c>
      <c r="H533" s="121">
        <f>IF($A533="","",MAX(0,$C533-$B533))</f>
        <v/>
      </c>
    </row>
    <row r="534" ht="15" customHeight="1" s="78">
      <c r="A534" s="122" t="n"/>
      <c r="B534" s="120" t="n"/>
      <c r="C534" s="120" t="n"/>
      <c r="D534" s="120" t="n"/>
      <c r="E534" s="120" t="n"/>
      <c r="F534" s="120" t="n"/>
      <c r="G534" s="121">
        <f>IF($A534="","",MAX(0,$D534+$E534-$F534))</f>
        <v/>
      </c>
      <c r="H534" s="121">
        <f>IF($A534="","",MAX(0,$C534-$B534))</f>
        <v/>
      </c>
    </row>
    <row r="535" ht="15" customHeight="1" s="78">
      <c r="A535" s="122" t="n"/>
      <c r="B535" s="120" t="n"/>
      <c r="C535" s="120" t="n"/>
      <c r="D535" s="120" t="n"/>
      <c r="E535" s="120" t="n"/>
      <c r="F535" s="120" t="n"/>
      <c r="G535" s="121">
        <f>IF($A535="","",MAX(0,$D535+$E535-$F535))</f>
        <v/>
      </c>
      <c r="H535" s="121">
        <f>IF($A535="","",MAX(0,$C535-$B535))</f>
        <v/>
      </c>
    </row>
    <row r="536" ht="15" customHeight="1" s="78">
      <c r="A536" s="122" t="n"/>
      <c r="B536" s="120" t="n"/>
      <c r="C536" s="120" t="n"/>
      <c r="D536" s="120" t="n"/>
      <c r="E536" s="120" t="n"/>
      <c r="F536" s="120" t="n"/>
      <c r="G536" s="121">
        <f>IF($A536="","",MAX(0,$D536+$E536-$F536))</f>
        <v/>
      </c>
      <c r="H536" s="121">
        <f>IF($A536="","",MAX(0,$C536-$B536))</f>
        <v/>
      </c>
    </row>
    <row r="537" ht="15" customHeight="1" s="78">
      <c r="A537" s="122" t="n"/>
      <c r="B537" s="120" t="n"/>
      <c r="C537" s="120" t="n"/>
      <c r="D537" s="120" t="n"/>
      <c r="E537" s="120" t="n"/>
      <c r="F537" s="120" t="n"/>
      <c r="G537" s="121">
        <f>IF($A537="","",MAX(0,$D537+$E537-$F537))</f>
        <v/>
      </c>
      <c r="H537" s="121">
        <f>IF($A537="","",MAX(0,$C537-$B537))</f>
        <v/>
      </c>
    </row>
    <row r="538" ht="15" customHeight="1" s="78">
      <c r="A538" s="122" t="n"/>
      <c r="B538" s="120" t="n"/>
      <c r="C538" s="120" t="n"/>
      <c r="D538" s="120" t="n"/>
      <c r="E538" s="120" t="n"/>
      <c r="F538" s="120" t="n"/>
      <c r="G538" s="121">
        <f>IF($A538="","",MAX(0,$D538+$E538-$F538))</f>
        <v/>
      </c>
      <c r="H538" s="121">
        <f>IF($A538="","",MAX(0,$C538-$B538))</f>
        <v/>
      </c>
    </row>
    <row r="539" ht="15" customHeight="1" s="78">
      <c r="A539" s="122" t="n"/>
      <c r="B539" s="120" t="n"/>
      <c r="C539" s="120" t="n"/>
      <c r="D539" s="120" t="n"/>
      <c r="E539" s="120" t="n"/>
      <c r="F539" s="120" t="n"/>
      <c r="G539" s="121">
        <f>IF($A539="","",MAX(0,$D539+$E539-$F539))</f>
        <v/>
      </c>
      <c r="H539" s="121">
        <f>IF($A539="","",MAX(0,$C539-$B539))</f>
        <v/>
      </c>
    </row>
    <row r="540" ht="15" customHeight="1" s="78">
      <c r="A540" s="122" t="n"/>
      <c r="B540" s="120" t="n"/>
      <c r="C540" s="120" t="n"/>
      <c r="D540" s="120" t="n"/>
      <c r="E540" s="120" t="n"/>
      <c r="F540" s="120" t="n"/>
      <c r="G540" s="121">
        <f>IF($A540="","",MAX(0,$D540+$E540-$F540))</f>
        <v/>
      </c>
      <c r="H540" s="121">
        <f>IF($A540="","",MAX(0,$C540-$B540))</f>
        <v/>
      </c>
    </row>
    <row r="541" ht="15" customHeight="1" s="78">
      <c r="A541" s="122" t="n"/>
      <c r="B541" s="120" t="n"/>
      <c r="C541" s="120" t="n"/>
      <c r="D541" s="120" t="n"/>
      <c r="E541" s="120" t="n"/>
      <c r="F541" s="120" t="n"/>
      <c r="G541" s="121">
        <f>IF($A541="","",MAX(0,$D541+$E541-$F541))</f>
        <v/>
      </c>
      <c r="H541" s="121">
        <f>IF($A541="","",MAX(0,$C541-$B541))</f>
        <v/>
      </c>
    </row>
    <row r="542" ht="15" customHeight="1" s="78">
      <c r="A542" s="122" t="n"/>
      <c r="B542" s="120" t="n"/>
      <c r="C542" s="120" t="n"/>
      <c r="D542" s="120" t="n"/>
      <c r="E542" s="120" t="n"/>
      <c r="F542" s="120" t="n"/>
      <c r="G542" s="121">
        <f>IF($A542="","",MAX(0,$D542+$E542-$F542))</f>
        <v/>
      </c>
      <c r="H542" s="121">
        <f>IF($A542="","",MAX(0,$C542-$B542))</f>
        <v/>
      </c>
    </row>
    <row r="543" ht="15" customHeight="1" s="78">
      <c r="A543" s="122" t="n"/>
      <c r="B543" s="120" t="n"/>
      <c r="C543" s="120" t="n"/>
      <c r="D543" s="120" t="n"/>
      <c r="E543" s="120" t="n"/>
      <c r="F543" s="120" t="n"/>
      <c r="G543" s="121">
        <f>IF($A543="","",MAX(0,$D543+$E543-$F543))</f>
        <v/>
      </c>
      <c r="H543" s="121">
        <f>IF($A543="","",MAX(0,$C543-$B543))</f>
        <v/>
      </c>
    </row>
    <row r="544" ht="15" customHeight="1" s="78">
      <c r="A544" s="122" t="n"/>
      <c r="B544" s="120" t="n"/>
      <c r="C544" s="120" t="n"/>
      <c r="D544" s="120" t="n"/>
      <c r="E544" s="120" t="n"/>
      <c r="F544" s="120" t="n"/>
      <c r="G544" s="121">
        <f>IF($A544="","",MAX(0,$D544+$E544-$F544))</f>
        <v/>
      </c>
      <c r="H544" s="121">
        <f>IF($A544="","",MAX(0,$C544-$B544))</f>
        <v/>
      </c>
    </row>
    <row r="545" ht="15" customHeight="1" s="78">
      <c r="A545" s="122" t="n"/>
      <c r="B545" s="120" t="n"/>
      <c r="C545" s="120" t="n"/>
      <c r="D545" s="120" t="n"/>
      <c r="E545" s="120" t="n"/>
      <c r="F545" s="120" t="n"/>
      <c r="G545" s="121">
        <f>IF($A545="","",MAX(0,$D545+$E545-$F545))</f>
        <v/>
      </c>
      <c r="H545" s="121">
        <f>IF($A545="","",MAX(0,$C545-$B545))</f>
        <v/>
      </c>
    </row>
    <row r="546" ht="15" customHeight="1" s="78">
      <c r="A546" s="122" t="n"/>
      <c r="B546" s="120" t="n"/>
      <c r="C546" s="120" t="n"/>
      <c r="D546" s="120" t="n"/>
      <c r="E546" s="120" t="n"/>
      <c r="F546" s="120" t="n"/>
      <c r="G546" s="121">
        <f>IF($A546="","",MAX(0,$D546+$E546-$F546))</f>
        <v/>
      </c>
      <c r="H546" s="121">
        <f>IF($A546="","",MAX(0,$C546-$B546))</f>
        <v/>
      </c>
    </row>
    <row r="547" ht="15" customHeight="1" s="78">
      <c r="A547" s="122" t="n"/>
      <c r="B547" s="120" t="n"/>
      <c r="C547" s="120" t="n"/>
      <c r="D547" s="120" t="n"/>
      <c r="E547" s="120" t="n"/>
      <c r="F547" s="120" t="n"/>
      <c r="G547" s="121">
        <f>IF($A547="","",MAX(0,$D547+$E547-$F547))</f>
        <v/>
      </c>
      <c r="H547" s="121">
        <f>IF($A547="","",MAX(0,$C547-$B547))</f>
        <v/>
      </c>
    </row>
    <row r="548" ht="15" customHeight="1" s="78">
      <c r="A548" s="122" t="n"/>
      <c r="B548" s="120" t="n"/>
      <c r="C548" s="120" t="n"/>
      <c r="D548" s="120" t="n"/>
      <c r="E548" s="120" t="n"/>
      <c r="F548" s="120" t="n"/>
      <c r="G548" s="121">
        <f>IF($A548="","",MAX(0,$D548+$E548-$F548))</f>
        <v/>
      </c>
      <c r="H548" s="121">
        <f>IF($A548="","",MAX(0,$C548-$B548))</f>
        <v/>
      </c>
    </row>
    <row r="549" ht="15" customHeight="1" s="78">
      <c r="A549" s="122" t="n"/>
      <c r="B549" s="120" t="n"/>
      <c r="C549" s="120" t="n"/>
      <c r="D549" s="120" t="n"/>
      <c r="E549" s="120" t="n"/>
      <c r="F549" s="120" t="n"/>
      <c r="G549" s="121">
        <f>IF($A549="","",MAX(0,$D549+$E549-$F549))</f>
        <v/>
      </c>
      <c r="H549" s="121">
        <f>IF($A549="","",MAX(0,$C549-$B549))</f>
        <v/>
      </c>
    </row>
    <row r="550" ht="15" customHeight="1" s="78">
      <c r="A550" s="122" t="n"/>
      <c r="B550" s="120" t="n"/>
      <c r="C550" s="120" t="n"/>
      <c r="D550" s="120" t="n"/>
      <c r="E550" s="120" t="n"/>
      <c r="F550" s="120" t="n"/>
      <c r="G550" s="121">
        <f>IF($A550="","",MAX(0,$D550+$E550-$F550))</f>
        <v/>
      </c>
      <c r="H550" s="121">
        <f>IF($A550="","",MAX(0,$C550-$B550))</f>
        <v/>
      </c>
    </row>
    <row r="551" ht="15" customHeight="1" s="78">
      <c r="A551" s="122" t="n"/>
      <c r="B551" s="120" t="n"/>
      <c r="C551" s="120" t="n"/>
      <c r="D551" s="120" t="n"/>
      <c r="E551" s="120" t="n"/>
      <c r="F551" s="120" t="n"/>
      <c r="G551" s="121">
        <f>IF($A551="","",MAX(0,$D551+$E551-$F551))</f>
        <v/>
      </c>
      <c r="H551" s="121">
        <f>IF($A551="","",MAX(0,$C551-$B551))</f>
        <v/>
      </c>
    </row>
    <row r="552" ht="15" customHeight="1" s="78">
      <c r="A552" s="122" t="n"/>
      <c r="B552" s="120" t="n"/>
      <c r="C552" s="120" t="n"/>
      <c r="D552" s="120" t="n"/>
      <c r="E552" s="120" t="n"/>
      <c r="F552" s="120" t="n"/>
      <c r="G552" s="121">
        <f>IF($A552="","",MAX(0,$D552+$E552-$F552))</f>
        <v/>
      </c>
      <c r="H552" s="121">
        <f>IF($A552="","",MAX(0,$C552-$B552))</f>
        <v/>
      </c>
    </row>
    <row r="553" ht="15" customHeight="1" s="78">
      <c r="A553" s="122" t="n"/>
      <c r="B553" s="120" t="n"/>
      <c r="C553" s="120" t="n"/>
      <c r="D553" s="120" t="n"/>
      <c r="E553" s="120" t="n"/>
      <c r="F553" s="120" t="n"/>
      <c r="G553" s="121">
        <f>IF($A553="","",MAX(0,$D553+$E553-$F553))</f>
        <v/>
      </c>
      <c r="H553" s="121">
        <f>IF($A553="","",MAX(0,$C553-$B553))</f>
        <v/>
      </c>
    </row>
    <row r="554" ht="15" customHeight="1" s="78">
      <c r="A554" s="122" t="n"/>
      <c r="B554" s="120" t="n"/>
      <c r="C554" s="120" t="n"/>
      <c r="D554" s="120" t="n"/>
      <c r="E554" s="120" t="n"/>
      <c r="F554" s="120" t="n"/>
      <c r="G554" s="121">
        <f>IF($A554="","",MAX(0,$D554+$E554-$F554))</f>
        <v/>
      </c>
      <c r="H554" s="121">
        <f>IF($A554="","",MAX(0,$C554-$B554))</f>
        <v/>
      </c>
    </row>
    <row r="555" ht="15" customHeight="1" s="78">
      <c r="A555" s="122" t="n"/>
      <c r="B555" s="120" t="n"/>
      <c r="C555" s="120" t="n"/>
      <c r="D555" s="120" t="n"/>
      <c r="E555" s="120" t="n"/>
      <c r="F555" s="120" t="n"/>
      <c r="G555" s="121">
        <f>IF($A555="","",MAX(0,$D555+$E555-$F555))</f>
        <v/>
      </c>
      <c r="H555" s="121">
        <f>IF($A555="","",MAX(0,$C555-$B555))</f>
        <v/>
      </c>
    </row>
    <row r="556" ht="15" customHeight="1" s="78">
      <c r="A556" s="122" t="n"/>
      <c r="B556" s="120" t="n"/>
      <c r="C556" s="120" t="n"/>
      <c r="D556" s="120" t="n"/>
      <c r="E556" s="120" t="n"/>
      <c r="F556" s="120" t="n"/>
      <c r="G556" s="121">
        <f>IF($A556="","",MAX(0,$D556+$E556-$F556))</f>
        <v/>
      </c>
      <c r="H556" s="121">
        <f>IF($A556="","",MAX(0,$C556-$B556))</f>
        <v/>
      </c>
    </row>
    <row r="557" ht="15" customHeight="1" s="78">
      <c r="A557" s="122" t="n"/>
      <c r="B557" s="120" t="n"/>
      <c r="C557" s="120" t="n"/>
      <c r="D557" s="120" t="n"/>
      <c r="E557" s="120" t="n"/>
      <c r="F557" s="120" t="n"/>
      <c r="G557" s="121">
        <f>IF($A557="","",MAX(0,$D557+$E557-$F557))</f>
        <v/>
      </c>
      <c r="H557" s="121">
        <f>IF($A557="","",MAX(0,$C557-$B557))</f>
        <v/>
      </c>
    </row>
    <row r="558" ht="15" customHeight="1" s="78">
      <c r="A558" s="122" t="n"/>
      <c r="B558" s="120" t="n"/>
      <c r="C558" s="120" t="n"/>
      <c r="D558" s="120" t="n"/>
      <c r="E558" s="120" t="n"/>
      <c r="F558" s="120" t="n"/>
      <c r="G558" s="121">
        <f>IF($A558="","",MAX(0,$D558+$E558-$F558))</f>
        <v/>
      </c>
      <c r="H558" s="121">
        <f>IF($A558="","",MAX(0,$C558-$B558))</f>
        <v/>
      </c>
    </row>
    <row r="559" ht="15" customHeight="1" s="78">
      <c r="A559" s="122" t="n"/>
      <c r="B559" s="120" t="n"/>
      <c r="C559" s="120" t="n"/>
      <c r="D559" s="120" t="n"/>
      <c r="E559" s="120" t="n"/>
      <c r="F559" s="120" t="n"/>
      <c r="G559" s="121">
        <f>IF($A559="","",MAX(0,$D559+$E559-$F559))</f>
        <v/>
      </c>
      <c r="H559" s="121">
        <f>IF($A559="","",MAX(0,$C559-$B559))</f>
        <v/>
      </c>
    </row>
    <row r="560" ht="15" customHeight="1" s="78">
      <c r="A560" s="122" t="n"/>
      <c r="B560" s="120" t="n"/>
      <c r="C560" s="120" t="n"/>
      <c r="D560" s="120" t="n"/>
      <c r="E560" s="120" t="n"/>
      <c r="F560" s="120" t="n"/>
      <c r="G560" s="121">
        <f>IF($A560="","",MAX(0,$D560+$E560-$F560))</f>
        <v/>
      </c>
      <c r="H560" s="121">
        <f>IF($A560="","",MAX(0,$C560-$B560))</f>
        <v/>
      </c>
    </row>
    <row r="561" ht="15" customHeight="1" s="78">
      <c r="A561" s="122" t="n"/>
      <c r="B561" s="120" t="n"/>
      <c r="C561" s="120" t="n"/>
      <c r="D561" s="120" t="n"/>
      <c r="E561" s="120" t="n"/>
      <c r="F561" s="120" t="n"/>
      <c r="G561" s="121">
        <f>IF($A561="","",MAX(0,$D561+$E561-$F561))</f>
        <v/>
      </c>
      <c r="H561" s="121">
        <f>IF($A561="","",MAX(0,$C561-$B561))</f>
        <v/>
      </c>
    </row>
    <row r="562" ht="15" customHeight="1" s="78">
      <c r="A562" s="122" t="n"/>
      <c r="B562" s="120" t="n"/>
      <c r="C562" s="120" t="n"/>
      <c r="D562" s="120" t="n"/>
      <c r="E562" s="120" t="n"/>
      <c r="F562" s="120" t="n"/>
      <c r="G562" s="121">
        <f>IF($A562="","",MAX(0,$D562+$E562-$F562))</f>
        <v/>
      </c>
      <c r="H562" s="121">
        <f>IF($A562="","",MAX(0,$C562-$B562))</f>
        <v/>
      </c>
    </row>
    <row r="563" ht="15" customHeight="1" s="78">
      <c r="A563" s="122" t="n"/>
      <c r="B563" s="120" t="n"/>
      <c r="C563" s="120" t="n"/>
      <c r="D563" s="120" t="n"/>
      <c r="E563" s="120" t="n"/>
      <c r="F563" s="120" t="n"/>
      <c r="G563" s="121">
        <f>IF($A563="","",MAX(0,$D563+$E563-$F563))</f>
        <v/>
      </c>
      <c r="H563" s="121">
        <f>IF($A563="","",MAX(0,$C563-$B563))</f>
        <v/>
      </c>
    </row>
    <row r="564" ht="15" customHeight="1" s="78">
      <c r="A564" s="122" t="n"/>
      <c r="B564" s="120" t="n"/>
      <c r="C564" s="120" t="n"/>
      <c r="D564" s="120" t="n"/>
      <c r="E564" s="120" t="n"/>
      <c r="F564" s="120" t="n"/>
      <c r="G564" s="121">
        <f>IF($A564="","",MAX(0,$D564+$E564-$F564))</f>
        <v/>
      </c>
      <c r="H564" s="121">
        <f>IF($A564="","",MAX(0,$C564-$B564))</f>
        <v/>
      </c>
    </row>
    <row r="565" ht="15" customHeight="1" s="78">
      <c r="A565" s="122" t="n"/>
      <c r="B565" s="120" t="n"/>
      <c r="C565" s="120" t="n"/>
      <c r="D565" s="120" t="n"/>
      <c r="E565" s="120" t="n"/>
      <c r="F565" s="120" t="n"/>
      <c r="G565" s="121">
        <f>IF($A565="","",MAX(0,$D565+$E565-$F565))</f>
        <v/>
      </c>
      <c r="H565" s="121">
        <f>IF($A565="","",MAX(0,$C565-$B565))</f>
        <v/>
      </c>
    </row>
    <row r="566" ht="15" customHeight="1" s="78">
      <c r="A566" s="122" t="n"/>
      <c r="B566" s="120" t="n"/>
      <c r="C566" s="120" t="n"/>
      <c r="D566" s="120" t="n"/>
      <c r="E566" s="120" t="n"/>
      <c r="F566" s="120" t="n"/>
      <c r="G566" s="121">
        <f>IF($A566="","",MAX(0,$D566+$E566-$F566))</f>
        <v/>
      </c>
      <c r="H566" s="121">
        <f>IF($A566="","",MAX(0,$C566-$B566))</f>
        <v/>
      </c>
    </row>
    <row r="567" ht="15" customHeight="1" s="78">
      <c r="A567" s="122" t="n"/>
      <c r="B567" s="120" t="n"/>
      <c r="C567" s="120" t="n"/>
      <c r="D567" s="120" t="n"/>
      <c r="E567" s="120" t="n"/>
      <c r="F567" s="120" t="n"/>
      <c r="G567" s="121">
        <f>IF($A567="","",MAX(0,$D567+$E567-$F567))</f>
        <v/>
      </c>
      <c r="H567" s="121">
        <f>IF($A567="","",MAX(0,$C567-$B567))</f>
        <v/>
      </c>
    </row>
    <row r="568" ht="15" customHeight="1" s="78">
      <c r="A568" s="122" t="n"/>
      <c r="B568" s="120" t="n"/>
      <c r="C568" s="120" t="n"/>
      <c r="D568" s="120" t="n"/>
      <c r="E568" s="120" t="n"/>
      <c r="F568" s="120" t="n"/>
      <c r="G568" s="121">
        <f>IF($A568="","",MAX(0,$D568+$E568-$F568))</f>
        <v/>
      </c>
      <c r="H568" s="121">
        <f>IF($A568="","",MAX(0,$C568-$B568))</f>
        <v/>
      </c>
    </row>
    <row r="569" ht="15" customHeight="1" s="78">
      <c r="A569" s="122" t="n"/>
      <c r="B569" s="120" t="n"/>
      <c r="C569" s="120" t="n"/>
      <c r="D569" s="120" t="n"/>
      <c r="E569" s="120" t="n"/>
      <c r="F569" s="120" t="n"/>
      <c r="G569" s="121">
        <f>IF($A569="","",MAX(0,$D569+$E569-$F569))</f>
        <v/>
      </c>
      <c r="H569" s="121">
        <f>IF($A569="","",MAX(0,$C569-$B569))</f>
        <v/>
      </c>
    </row>
    <row r="570" ht="15" customHeight="1" s="78">
      <c r="A570" s="122" t="n"/>
      <c r="B570" s="120" t="n"/>
      <c r="C570" s="120" t="n"/>
      <c r="D570" s="120" t="n"/>
      <c r="E570" s="120" t="n"/>
      <c r="F570" s="120" t="n"/>
      <c r="G570" s="121">
        <f>IF($A570="","",MAX(0,$D570+$E570-$F570))</f>
        <v/>
      </c>
      <c r="H570" s="121">
        <f>IF($A570="","",MAX(0,$C570-$B570))</f>
        <v/>
      </c>
    </row>
    <row r="571" ht="15" customHeight="1" s="78">
      <c r="A571" s="122" t="n"/>
      <c r="B571" s="120" t="n"/>
      <c r="C571" s="120" t="n"/>
      <c r="D571" s="120" t="n"/>
      <c r="E571" s="120" t="n"/>
      <c r="F571" s="120" t="n"/>
      <c r="G571" s="121">
        <f>IF($A571="","",MAX(0,$D571+$E571-$F571))</f>
        <v/>
      </c>
      <c r="H571" s="121">
        <f>IF($A571="","",MAX(0,$C571-$B571))</f>
        <v/>
      </c>
    </row>
    <row r="572" ht="15" customHeight="1" s="78">
      <c r="A572" s="122" t="n"/>
      <c r="B572" s="120" t="n"/>
      <c r="C572" s="120" t="n"/>
      <c r="D572" s="120" t="n"/>
      <c r="E572" s="120" t="n"/>
      <c r="F572" s="120" t="n"/>
      <c r="G572" s="121">
        <f>IF($A572="","",MAX(0,$D572+$E572-$F572))</f>
        <v/>
      </c>
      <c r="H572" s="121">
        <f>IF($A572="","",MAX(0,$C572-$B572))</f>
        <v/>
      </c>
    </row>
    <row r="573" ht="15" customHeight="1" s="78">
      <c r="A573" s="122" t="n"/>
      <c r="B573" s="120" t="n"/>
      <c r="C573" s="120" t="n"/>
      <c r="D573" s="120" t="n"/>
      <c r="E573" s="120" t="n"/>
      <c r="F573" s="120" t="n"/>
      <c r="G573" s="121">
        <f>IF($A573="","",MAX(0,$D573+$E573-$F573))</f>
        <v/>
      </c>
      <c r="H573" s="121">
        <f>IF($A573="","",MAX(0,$C573-$B573))</f>
        <v/>
      </c>
    </row>
    <row r="574" ht="15" customHeight="1" s="78">
      <c r="A574" s="122" t="n"/>
      <c r="B574" s="120" t="n"/>
      <c r="C574" s="120" t="n"/>
      <c r="D574" s="120" t="n"/>
      <c r="E574" s="120" t="n"/>
      <c r="F574" s="120" t="n"/>
      <c r="G574" s="121">
        <f>IF($A574="","",MAX(0,$D574+$E574-$F574))</f>
        <v/>
      </c>
      <c r="H574" s="121">
        <f>IF($A574="","",MAX(0,$C574-$B574))</f>
        <v/>
      </c>
    </row>
    <row r="575" ht="15" customHeight="1" s="78">
      <c r="A575" s="122" t="n"/>
      <c r="B575" s="120" t="n"/>
      <c r="C575" s="120" t="n"/>
      <c r="D575" s="120" t="n"/>
      <c r="E575" s="120" t="n"/>
      <c r="F575" s="120" t="n"/>
      <c r="G575" s="121">
        <f>IF($A575="","",MAX(0,$D575+$E575-$F575))</f>
        <v/>
      </c>
      <c r="H575" s="121">
        <f>IF($A575="","",MAX(0,$C575-$B575))</f>
        <v/>
      </c>
    </row>
    <row r="576" ht="15" customHeight="1" s="78">
      <c r="A576" s="122" t="n"/>
      <c r="B576" s="120" t="n"/>
      <c r="C576" s="120" t="n"/>
      <c r="D576" s="120" t="n"/>
      <c r="E576" s="120" t="n"/>
      <c r="F576" s="120" t="n"/>
      <c r="G576" s="121">
        <f>IF($A576="","",MAX(0,$D576+$E576-$F576))</f>
        <v/>
      </c>
      <c r="H576" s="121">
        <f>IF($A576="","",MAX(0,$C576-$B576))</f>
        <v/>
      </c>
    </row>
    <row r="577" ht="15" customHeight="1" s="78">
      <c r="A577" s="122" t="n"/>
      <c r="B577" s="120" t="n"/>
      <c r="C577" s="120" t="n"/>
      <c r="D577" s="120" t="n"/>
      <c r="E577" s="120" t="n"/>
      <c r="F577" s="120" t="n"/>
      <c r="G577" s="121">
        <f>IF($A577="","",MAX(0,$D577+$E577-$F577))</f>
        <v/>
      </c>
      <c r="H577" s="121">
        <f>IF($A577="","",MAX(0,$C577-$B577))</f>
        <v/>
      </c>
    </row>
    <row r="578" ht="15" customHeight="1" s="78">
      <c r="A578" s="122" t="n"/>
      <c r="B578" s="120" t="n"/>
      <c r="C578" s="120" t="n"/>
      <c r="D578" s="120" t="n"/>
      <c r="E578" s="120" t="n"/>
      <c r="F578" s="120" t="n"/>
      <c r="G578" s="121">
        <f>IF($A578="","",MAX(0,$D578+$E578-$F578))</f>
        <v/>
      </c>
      <c r="H578" s="121">
        <f>IF($A578="","",MAX(0,$C578-$B578))</f>
        <v/>
      </c>
    </row>
    <row r="579" ht="15" customHeight="1" s="78">
      <c r="A579" s="122" t="n"/>
      <c r="B579" s="120" t="n"/>
      <c r="C579" s="120" t="n"/>
      <c r="D579" s="120" t="n"/>
      <c r="E579" s="120" t="n"/>
      <c r="F579" s="120" t="n"/>
      <c r="G579" s="121">
        <f>IF($A579="","",MAX(0,$D579+$E579-$F579))</f>
        <v/>
      </c>
      <c r="H579" s="121">
        <f>IF($A579="","",MAX(0,$C579-$B579))</f>
        <v/>
      </c>
    </row>
    <row r="580" ht="15" customHeight="1" s="78">
      <c r="A580" s="122" t="n"/>
      <c r="B580" s="120" t="n"/>
      <c r="C580" s="120" t="n"/>
      <c r="D580" s="120" t="n"/>
      <c r="E580" s="120" t="n"/>
      <c r="F580" s="120" t="n"/>
      <c r="G580" s="121">
        <f>IF($A580="","",MAX(0,$D580+$E580-$F580))</f>
        <v/>
      </c>
      <c r="H580" s="121">
        <f>IF($A580="","",MAX(0,$C580-$B580))</f>
        <v/>
      </c>
    </row>
    <row r="581" ht="15" customHeight="1" s="78">
      <c r="A581" s="122" t="n"/>
      <c r="B581" s="120" t="n"/>
      <c r="C581" s="120" t="n"/>
      <c r="D581" s="120" t="n"/>
      <c r="E581" s="120" t="n"/>
      <c r="F581" s="120" t="n"/>
      <c r="G581" s="121">
        <f>IF($A581="","",MAX(0,$D581+$E581-$F581))</f>
        <v/>
      </c>
      <c r="H581" s="121">
        <f>IF($A581="","",MAX(0,$C581-$B581))</f>
        <v/>
      </c>
    </row>
    <row r="582" ht="15" customHeight="1" s="78">
      <c r="A582" s="122" t="n"/>
      <c r="B582" s="120" t="n"/>
      <c r="C582" s="120" t="n"/>
      <c r="D582" s="120" t="n"/>
      <c r="E582" s="120" t="n"/>
      <c r="F582" s="120" t="n"/>
      <c r="G582" s="121">
        <f>IF($A582="","",MAX(0,$D582+$E582-$F582))</f>
        <v/>
      </c>
      <c r="H582" s="121">
        <f>IF($A582="","",MAX(0,$C582-$B582))</f>
        <v/>
      </c>
    </row>
    <row r="583" ht="15" customHeight="1" s="78">
      <c r="A583" s="122" t="n"/>
      <c r="B583" s="120" t="n"/>
      <c r="C583" s="120" t="n"/>
      <c r="D583" s="120" t="n"/>
      <c r="E583" s="120" t="n"/>
      <c r="F583" s="120" t="n"/>
      <c r="G583" s="121">
        <f>IF($A583="","",MAX(0,$D583+$E583-$F583))</f>
        <v/>
      </c>
      <c r="H583" s="121">
        <f>IF($A583="","",MAX(0,$C583-$B583))</f>
        <v/>
      </c>
    </row>
    <row r="584" ht="15" customHeight="1" s="78">
      <c r="A584" s="122" t="n"/>
      <c r="B584" s="120" t="n"/>
      <c r="C584" s="120" t="n"/>
      <c r="D584" s="120" t="n"/>
      <c r="E584" s="120" t="n"/>
      <c r="F584" s="120" t="n"/>
      <c r="G584" s="121">
        <f>IF($A584="","",MAX(0,$D584+$E584-$F584))</f>
        <v/>
      </c>
      <c r="H584" s="121">
        <f>IF($A584="","",MAX(0,$C584-$B584))</f>
        <v/>
      </c>
    </row>
    <row r="585" ht="15" customHeight="1" s="78">
      <c r="A585" s="122" t="n"/>
      <c r="B585" s="120" t="n"/>
      <c r="C585" s="120" t="n"/>
      <c r="D585" s="120" t="n"/>
      <c r="E585" s="120" t="n"/>
      <c r="F585" s="120" t="n"/>
      <c r="G585" s="121">
        <f>IF($A585="","",MAX(0,$D585+$E585-$F585))</f>
        <v/>
      </c>
      <c r="H585" s="121">
        <f>IF($A585="","",MAX(0,$C585-$B585))</f>
        <v/>
      </c>
    </row>
    <row r="586" ht="15" customHeight="1" s="78">
      <c r="A586" s="122" t="n"/>
      <c r="B586" s="120" t="n"/>
      <c r="C586" s="120" t="n"/>
      <c r="D586" s="120" t="n"/>
      <c r="E586" s="120" t="n"/>
      <c r="F586" s="120" t="n"/>
      <c r="G586" s="121">
        <f>IF($A586="","",MAX(0,$D586+$E586-$F586))</f>
        <v/>
      </c>
      <c r="H586" s="121">
        <f>IF($A586="","",MAX(0,$C586-$B586))</f>
        <v/>
      </c>
    </row>
    <row r="587" ht="15" customHeight="1" s="78">
      <c r="A587" s="122" t="n"/>
      <c r="B587" s="120" t="n"/>
      <c r="C587" s="120" t="n"/>
      <c r="D587" s="120" t="n"/>
      <c r="E587" s="120" t="n"/>
      <c r="F587" s="120" t="n"/>
      <c r="G587" s="121">
        <f>IF($A587="","",MAX(0,$D587+$E587-$F587))</f>
        <v/>
      </c>
      <c r="H587" s="121">
        <f>IF($A587="","",MAX(0,$C587-$B587))</f>
        <v/>
      </c>
    </row>
    <row r="588" ht="15" customHeight="1" s="78">
      <c r="A588" s="122" t="n"/>
      <c r="B588" s="120" t="n"/>
      <c r="C588" s="120" t="n"/>
      <c r="D588" s="120" t="n"/>
      <c r="E588" s="120" t="n"/>
      <c r="F588" s="120" t="n"/>
      <c r="G588" s="121">
        <f>IF($A588="","",MAX(0,$D588+$E588-$F588))</f>
        <v/>
      </c>
      <c r="H588" s="121">
        <f>IF($A588="","",MAX(0,$C588-$B588))</f>
        <v/>
      </c>
    </row>
    <row r="589" ht="15" customHeight="1" s="78">
      <c r="A589" s="122" t="n"/>
      <c r="B589" s="120" t="n"/>
      <c r="C589" s="120" t="n"/>
      <c r="D589" s="120" t="n"/>
      <c r="E589" s="120" t="n"/>
      <c r="F589" s="120" t="n"/>
      <c r="G589" s="121">
        <f>IF($A589="","",MAX(0,$D589+$E589-$F589))</f>
        <v/>
      </c>
      <c r="H589" s="121">
        <f>IF($A589="","",MAX(0,$C589-$B589))</f>
        <v/>
      </c>
    </row>
    <row r="590" ht="15" customHeight="1" s="78">
      <c r="A590" s="122" t="n"/>
      <c r="B590" s="120" t="n"/>
      <c r="C590" s="120" t="n"/>
      <c r="D590" s="120" t="n"/>
      <c r="E590" s="120" t="n"/>
      <c r="F590" s="120" t="n"/>
      <c r="G590" s="121">
        <f>IF($A590="","",MAX(0,$D590+$E590-$F590))</f>
        <v/>
      </c>
      <c r="H590" s="121">
        <f>IF($A590="","",MAX(0,$C590-$B590))</f>
        <v/>
      </c>
    </row>
    <row r="591" ht="15" customHeight="1" s="78">
      <c r="A591" s="122" t="n"/>
      <c r="B591" s="120" t="n"/>
      <c r="C591" s="120" t="n"/>
      <c r="D591" s="120" t="n"/>
      <c r="E591" s="120" t="n"/>
      <c r="F591" s="120" t="n"/>
      <c r="G591" s="121">
        <f>IF($A591="","",MAX(0,$D591+$E591-$F591))</f>
        <v/>
      </c>
      <c r="H591" s="121">
        <f>IF($A591="","",MAX(0,$C591-$B591))</f>
        <v/>
      </c>
    </row>
    <row r="592" ht="15" customHeight="1" s="78">
      <c r="A592" s="122" t="n"/>
      <c r="B592" s="120" t="n"/>
      <c r="C592" s="120" t="n"/>
      <c r="D592" s="120" t="n"/>
      <c r="E592" s="120" t="n"/>
      <c r="F592" s="120" t="n"/>
      <c r="G592" s="121">
        <f>IF($A592="","",MAX(0,$D592+$E592-$F592))</f>
        <v/>
      </c>
      <c r="H592" s="121">
        <f>IF($A592="","",MAX(0,$C592-$B592))</f>
        <v/>
      </c>
    </row>
    <row r="593" ht="15" customHeight="1" s="78">
      <c r="A593" s="122" t="n"/>
      <c r="B593" s="120" t="n"/>
      <c r="C593" s="120" t="n"/>
      <c r="D593" s="120" t="n"/>
      <c r="E593" s="120" t="n"/>
      <c r="F593" s="120" t="n"/>
      <c r="G593" s="121">
        <f>IF($A593="","",MAX(0,$D593+$E593-$F593))</f>
        <v/>
      </c>
      <c r="H593" s="121">
        <f>IF($A593="","",MAX(0,$C593-$B593))</f>
        <v/>
      </c>
    </row>
    <row r="594" ht="15" customHeight="1" s="78">
      <c r="A594" s="122" t="n"/>
      <c r="B594" s="120" t="n"/>
      <c r="C594" s="120" t="n"/>
      <c r="D594" s="120" t="n"/>
      <c r="E594" s="120" t="n"/>
      <c r="F594" s="120" t="n"/>
      <c r="G594" s="121">
        <f>IF($A594="","",MAX(0,$D594+$E594-$F594))</f>
        <v/>
      </c>
      <c r="H594" s="121">
        <f>IF($A594="","",MAX(0,$C594-$B594))</f>
        <v/>
      </c>
    </row>
    <row r="595" ht="15" customHeight="1" s="78">
      <c r="A595" s="122" t="n"/>
      <c r="B595" s="120" t="n"/>
      <c r="C595" s="120" t="n"/>
      <c r="D595" s="120" t="n"/>
      <c r="E595" s="120" t="n"/>
      <c r="F595" s="120" t="n"/>
      <c r="G595" s="121">
        <f>IF($A595="","",MAX(0,$D595+$E595-$F595))</f>
        <v/>
      </c>
      <c r="H595" s="121">
        <f>IF($A595="","",MAX(0,$C595-$B595))</f>
        <v/>
      </c>
    </row>
    <row r="596" ht="15" customHeight="1" s="78">
      <c r="A596" s="122" t="n"/>
      <c r="B596" s="120" t="n"/>
      <c r="C596" s="120" t="n"/>
      <c r="D596" s="120" t="n"/>
      <c r="E596" s="120" t="n"/>
      <c r="F596" s="120" t="n"/>
      <c r="G596" s="121">
        <f>IF($A596="","",MAX(0,$D596+$E596-$F596))</f>
        <v/>
      </c>
      <c r="H596" s="121">
        <f>IF($A596="","",MAX(0,$C596-$B596))</f>
        <v/>
      </c>
    </row>
    <row r="597" ht="15" customHeight="1" s="78">
      <c r="A597" s="122" t="n"/>
      <c r="B597" s="120" t="n"/>
      <c r="C597" s="120" t="n"/>
      <c r="D597" s="120" t="n"/>
      <c r="E597" s="120" t="n"/>
      <c r="F597" s="120" t="n"/>
      <c r="G597" s="121">
        <f>IF($A597="","",MAX(0,$D597+$E597-$F597))</f>
        <v/>
      </c>
      <c r="H597" s="121">
        <f>IF($A597="","",MAX(0,$C597-$B597))</f>
        <v/>
      </c>
    </row>
    <row r="598" ht="15" customHeight="1" s="78">
      <c r="A598" s="122" t="n"/>
      <c r="B598" s="120" t="n"/>
      <c r="C598" s="120" t="n"/>
      <c r="D598" s="120" t="n"/>
      <c r="E598" s="120" t="n"/>
      <c r="F598" s="120" t="n"/>
      <c r="G598" s="121">
        <f>IF($A598="","",MAX(0,$D598+$E598-$F598))</f>
        <v/>
      </c>
      <c r="H598" s="121">
        <f>IF($A598="","",MAX(0,$C598-$B598))</f>
        <v/>
      </c>
    </row>
    <row r="599" ht="15" customHeight="1" s="78">
      <c r="A599" s="122" t="n"/>
      <c r="B599" s="120" t="n"/>
      <c r="C599" s="120" t="n"/>
      <c r="D599" s="120" t="n"/>
      <c r="E599" s="120" t="n"/>
      <c r="F599" s="120" t="n"/>
      <c r="G599" s="121">
        <f>IF($A599="","",MAX(0,$D599+$E599-$F599))</f>
        <v/>
      </c>
      <c r="H599" s="121">
        <f>IF($A599="","",MAX(0,$C599-$B599))</f>
        <v/>
      </c>
    </row>
    <row r="600" ht="15" customHeight="1" s="78">
      <c r="A600" s="122" t="n"/>
      <c r="B600" s="120" t="n"/>
      <c r="C600" s="120" t="n"/>
      <c r="D600" s="120" t="n"/>
      <c r="E600" s="120" t="n"/>
      <c r="F600" s="120" t="n"/>
      <c r="G600" s="121">
        <f>IF($A600="","",MAX(0,$D600+$E600-$F600))</f>
        <v/>
      </c>
      <c r="H600" s="121">
        <f>IF($A600="","",MAX(0,$C600-$B600))</f>
        <v/>
      </c>
    </row>
    <row r="601" ht="15" customHeight="1" s="78">
      <c r="A601" s="122" t="n"/>
      <c r="B601" s="120" t="n"/>
      <c r="C601" s="120" t="n"/>
      <c r="D601" s="120" t="n"/>
      <c r="E601" s="120" t="n"/>
      <c r="F601" s="120" t="n"/>
      <c r="G601" s="121">
        <f>IF($A601="","",MAX(0,$D601+$E601-$F601))</f>
        <v/>
      </c>
      <c r="H601" s="121">
        <f>IF($A601="","",MAX(0,$C601-$B601))</f>
        <v/>
      </c>
    </row>
    <row r="602" ht="15" customHeight="1" s="78">
      <c r="A602" s="122" t="n"/>
      <c r="B602" s="120" t="n"/>
      <c r="C602" s="120" t="n"/>
      <c r="D602" s="120" t="n"/>
      <c r="E602" s="120" t="n"/>
      <c r="F602" s="120" t="n"/>
      <c r="G602" s="121">
        <f>IF($A602="","",MAX(0,$D602+$E602-$F602))</f>
        <v/>
      </c>
      <c r="H602" s="121">
        <f>IF($A602="","",MAX(0,$C602-$B602))</f>
        <v/>
      </c>
    </row>
    <row r="603" ht="15" customHeight="1" s="78">
      <c r="A603" s="122" t="n"/>
      <c r="B603" s="120" t="n"/>
      <c r="C603" s="120" t="n"/>
      <c r="D603" s="120" t="n"/>
      <c r="E603" s="120" t="n"/>
      <c r="F603" s="120" t="n"/>
      <c r="G603" s="121">
        <f>IF($A603="","",MAX(0,$D603+$E603-$F603))</f>
        <v/>
      </c>
      <c r="H603" s="121">
        <f>IF($A603="","",MAX(0,$C603-$B603))</f>
        <v/>
      </c>
    </row>
    <row r="604" ht="15" customHeight="1" s="78">
      <c r="A604" s="122" t="n"/>
      <c r="B604" s="120" t="n"/>
      <c r="C604" s="120" t="n"/>
      <c r="D604" s="120" t="n"/>
      <c r="E604" s="120" t="n"/>
      <c r="F604" s="120" t="n"/>
      <c r="G604" s="121">
        <f>IF($A604="","",MAX(0,$D604+$E604-$F604))</f>
        <v/>
      </c>
      <c r="H604" s="121">
        <f>IF($A604="","",MAX(0,$C604-$B604))</f>
        <v/>
      </c>
    </row>
    <row r="605" ht="15" customHeight="1" s="78">
      <c r="A605" s="122" t="n"/>
      <c r="B605" s="120" t="n"/>
      <c r="C605" s="120" t="n"/>
      <c r="D605" s="120" t="n"/>
      <c r="E605" s="120" t="n"/>
      <c r="F605" s="120" t="n"/>
      <c r="G605" s="121">
        <f>IF($A605="","",MAX(0,$D605+$E605-$F605))</f>
        <v/>
      </c>
      <c r="H605" s="121">
        <f>IF($A605="","",MAX(0,$C605-$B605))</f>
        <v/>
      </c>
    </row>
    <row r="606" ht="15" customHeight="1" s="78">
      <c r="A606" s="122" t="n"/>
      <c r="B606" s="120" t="n"/>
      <c r="C606" s="120" t="n"/>
      <c r="D606" s="120" t="n"/>
      <c r="E606" s="120" t="n"/>
      <c r="F606" s="120" t="n"/>
      <c r="G606" s="121">
        <f>IF($A606="","",MAX(0,$D606+$E606-$F606))</f>
        <v/>
      </c>
      <c r="H606" s="121">
        <f>IF($A606="","",MAX(0,$C606-$B606))</f>
        <v/>
      </c>
    </row>
    <row r="607" ht="15" customHeight="1" s="78">
      <c r="A607" s="122" t="n"/>
      <c r="B607" s="120" t="n"/>
      <c r="C607" s="120" t="n"/>
      <c r="D607" s="120" t="n"/>
      <c r="E607" s="120" t="n"/>
      <c r="F607" s="120" t="n"/>
      <c r="G607" s="121">
        <f>IF($A607="","",MAX(0,$D607+$E607-$F607))</f>
        <v/>
      </c>
      <c r="H607" s="121">
        <f>IF($A607="","",MAX(0,$C607-$B607))</f>
        <v/>
      </c>
    </row>
    <row r="608" ht="15" customHeight="1" s="78">
      <c r="A608" s="122" t="n"/>
      <c r="B608" s="120" t="n"/>
      <c r="C608" s="120" t="n"/>
      <c r="D608" s="120" t="n"/>
      <c r="E608" s="120" t="n"/>
      <c r="F608" s="120" t="n"/>
      <c r="G608" s="121">
        <f>IF($A608="","",MAX(0,$D608+$E608-$F608))</f>
        <v/>
      </c>
      <c r="H608" s="121">
        <f>IF($A608="","",MAX(0,$C608-$B608))</f>
        <v/>
      </c>
    </row>
    <row r="609" ht="15" customHeight="1" s="78">
      <c r="A609" s="122" t="n"/>
      <c r="B609" s="120" t="n"/>
      <c r="C609" s="120" t="n"/>
      <c r="D609" s="120" t="n"/>
      <c r="E609" s="120" t="n"/>
      <c r="F609" s="120" t="n"/>
      <c r="G609" s="121">
        <f>IF($A609="","",MAX(0,$D609+$E609-$F609))</f>
        <v/>
      </c>
      <c r="H609" s="121">
        <f>IF($A609="","",MAX(0,$C609-$B609))</f>
        <v/>
      </c>
    </row>
    <row r="610" ht="15" customHeight="1" s="78">
      <c r="A610" s="122" t="n"/>
      <c r="B610" s="120" t="n"/>
      <c r="C610" s="120" t="n"/>
      <c r="D610" s="120" t="n"/>
      <c r="E610" s="120" t="n"/>
      <c r="F610" s="120" t="n"/>
      <c r="G610" s="121">
        <f>IF($A610="","",MAX(0,$D610+$E610-$F610))</f>
        <v/>
      </c>
      <c r="H610" s="121">
        <f>IF($A610="","",MAX(0,$C610-$B610))</f>
        <v/>
      </c>
    </row>
    <row r="611" ht="15" customHeight="1" s="78">
      <c r="A611" s="122" t="n"/>
      <c r="B611" s="120" t="n"/>
      <c r="C611" s="120" t="n"/>
      <c r="D611" s="120" t="n"/>
      <c r="E611" s="120" t="n"/>
      <c r="F611" s="120" t="n"/>
      <c r="G611" s="121">
        <f>IF($A611="","",MAX(0,$D611+$E611-$F611))</f>
        <v/>
      </c>
      <c r="H611" s="121">
        <f>IF($A611="","",MAX(0,$C611-$B611))</f>
        <v/>
      </c>
    </row>
    <row r="612" ht="15" customHeight="1" s="78">
      <c r="A612" s="122" t="n"/>
      <c r="B612" s="120" t="n"/>
      <c r="C612" s="120" t="n"/>
      <c r="D612" s="120" t="n"/>
      <c r="E612" s="120" t="n"/>
      <c r="F612" s="120" t="n"/>
      <c r="G612" s="121">
        <f>IF($A612="","",MAX(0,$D612+$E612-$F612))</f>
        <v/>
      </c>
      <c r="H612" s="121">
        <f>IF($A612="","",MAX(0,$C612-$B612))</f>
        <v/>
      </c>
    </row>
    <row r="613" ht="15" customHeight="1" s="78">
      <c r="A613" s="122" t="n"/>
      <c r="B613" s="120" t="n"/>
      <c r="C613" s="120" t="n"/>
      <c r="D613" s="120" t="n"/>
      <c r="E613" s="120" t="n"/>
      <c r="F613" s="120" t="n"/>
      <c r="G613" s="121">
        <f>IF($A613="","",MAX(0,$D613+$E613-$F613))</f>
        <v/>
      </c>
      <c r="H613" s="121">
        <f>IF($A613="","",MAX(0,$C613-$B613))</f>
        <v/>
      </c>
    </row>
    <row r="614" ht="15" customHeight="1" s="78">
      <c r="A614" s="122" t="n"/>
      <c r="B614" s="120" t="n"/>
      <c r="C614" s="120" t="n"/>
      <c r="D614" s="120" t="n"/>
      <c r="E614" s="120" t="n"/>
      <c r="F614" s="120" t="n"/>
      <c r="G614" s="121">
        <f>IF($A614="","",MAX(0,$D614+$E614-$F614))</f>
        <v/>
      </c>
      <c r="H614" s="121">
        <f>IF($A614="","",MAX(0,$C614-$B614))</f>
        <v/>
      </c>
    </row>
    <row r="615" ht="15" customHeight="1" s="78">
      <c r="A615" s="122" t="n"/>
      <c r="B615" s="120" t="n"/>
      <c r="C615" s="120" t="n"/>
      <c r="D615" s="120" t="n"/>
      <c r="E615" s="120" t="n"/>
      <c r="F615" s="120" t="n"/>
      <c r="G615" s="121">
        <f>IF($A615="","",MAX(0,$D615+$E615-$F615))</f>
        <v/>
      </c>
      <c r="H615" s="121">
        <f>IF($A615="","",MAX(0,$C615-$B615))</f>
        <v/>
      </c>
    </row>
    <row r="616" ht="15" customHeight="1" s="78">
      <c r="A616" s="122" t="n"/>
      <c r="B616" s="120" t="n"/>
      <c r="C616" s="120" t="n"/>
      <c r="D616" s="120" t="n"/>
      <c r="E616" s="120" t="n"/>
      <c r="F616" s="120" t="n"/>
      <c r="G616" s="121">
        <f>IF($A616="","",MAX(0,$D616+$E616-$F616))</f>
        <v/>
      </c>
      <c r="H616" s="121">
        <f>IF($A616="","",MAX(0,$C616-$B616))</f>
        <v/>
      </c>
    </row>
    <row r="617" ht="15" customHeight="1" s="78">
      <c r="A617" s="122" t="n"/>
      <c r="B617" s="120" t="n"/>
      <c r="C617" s="120" t="n"/>
      <c r="D617" s="120" t="n"/>
      <c r="E617" s="120" t="n"/>
      <c r="F617" s="120" t="n"/>
      <c r="G617" s="121">
        <f>IF($A617="","",MAX(0,$D617+$E617-$F617))</f>
        <v/>
      </c>
      <c r="H617" s="121">
        <f>IF($A617="","",MAX(0,$C617-$B617))</f>
        <v/>
      </c>
    </row>
    <row r="618" ht="15" customHeight="1" s="78">
      <c r="A618" s="122" t="n"/>
      <c r="B618" s="120" t="n"/>
      <c r="C618" s="120" t="n"/>
      <c r="D618" s="120" t="n"/>
      <c r="E618" s="120" t="n"/>
      <c r="F618" s="120" t="n"/>
      <c r="G618" s="121">
        <f>IF($A618="","",MAX(0,$D618+$E618-$F618))</f>
        <v/>
      </c>
      <c r="H618" s="121">
        <f>IF($A618="","",MAX(0,$C618-$B618))</f>
        <v/>
      </c>
    </row>
    <row r="619" ht="15" customHeight="1" s="78">
      <c r="A619" s="122" t="n"/>
      <c r="B619" s="120" t="n"/>
      <c r="C619" s="120" t="n"/>
      <c r="D619" s="120" t="n"/>
      <c r="E619" s="120" t="n"/>
      <c r="F619" s="120" t="n"/>
      <c r="G619" s="121">
        <f>IF($A619="","",MAX(0,$D619+$E619-$F619))</f>
        <v/>
      </c>
      <c r="H619" s="121">
        <f>IF($A619="","",MAX(0,$C619-$B619))</f>
        <v/>
      </c>
    </row>
    <row r="620" ht="15" customHeight="1" s="78">
      <c r="A620" s="122" t="n"/>
      <c r="B620" s="120" t="n"/>
      <c r="C620" s="120" t="n"/>
      <c r="D620" s="120" t="n"/>
      <c r="E620" s="120" t="n"/>
      <c r="F620" s="120" t="n"/>
      <c r="G620" s="121">
        <f>IF($A620="","",MAX(0,$D620+$E620-$F620))</f>
        <v/>
      </c>
      <c r="H620" s="121">
        <f>IF($A620="","",MAX(0,$C620-$B620))</f>
        <v/>
      </c>
    </row>
    <row r="621" ht="15" customHeight="1" s="78">
      <c r="A621" s="122" t="n"/>
      <c r="B621" s="120" t="n"/>
      <c r="C621" s="120" t="n"/>
      <c r="D621" s="120" t="n"/>
      <c r="E621" s="120" t="n"/>
      <c r="F621" s="120" t="n"/>
      <c r="G621" s="121">
        <f>IF($A621="","",MAX(0,$D621+$E621-$F621))</f>
        <v/>
      </c>
      <c r="H621" s="121">
        <f>IF($A621="","",MAX(0,$C621-$B621))</f>
        <v/>
      </c>
    </row>
    <row r="622" ht="15" customHeight="1" s="78">
      <c r="A622" s="122" t="n"/>
      <c r="B622" s="120" t="n"/>
      <c r="C622" s="120" t="n"/>
      <c r="D622" s="120" t="n"/>
      <c r="E622" s="120" t="n"/>
      <c r="F622" s="120" t="n"/>
      <c r="G622" s="121">
        <f>IF($A622="","",MAX(0,$D622+$E622-$F622))</f>
        <v/>
      </c>
      <c r="H622" s="121">
        <f>IF($A622="","",MAX(0,$C622-$B622))</f>
        <v/>
      </c>
    </row>
    <row r="623" ht="15" customHeight="1" s="78">
      <c r="A623" s="122" t="n"/>
      <c r="B623" s="120" t="n"/>
      <c r="C623" s="120" t="n"/>
      <c r="D623" s="120" t="n"/>
      <c r="E623" s="120" t="n"/>
      <c r="F623" s="120" t="n"/>
      <c r="G623" s="121">
        <f>IF($A623="","",MAX(0,$D623+$E623-$F623))</f>
        <v/>
      </c>
      <c r="H623" s="121">
        <f>IF($A623="","",MAX(0,$C623-$B623))</f>
        <v/>
      </c>
    </row>
    <row r="624" ht="15" customHeight="1" s="78">
      <c r="A624" s="122" t="n"/>
      <c r="B624" s="120" t="n"/>
      <c r="C624" s="120" t="n"/>
      <c r="D624" s="120" t="n"/>
      <c r="E624" s="120" t="n"/>
      <c r="F624" s="120" t="n"/>
      <c r="G624" s="121">
        <f>IF($A624="","",MAX(0,$D624+$E624-$F624))</f>
        <v/>
      </c>
      <c r="H624" s="121">
        <f>IF($A624="","",MAX(0,$C624-$B624))</f>
        <v/>
      </c>
    </row>
    <row r="625" ht="15" customHeight="1" s="78">
      <c r="A625" s="122" t="n"/>
      <c r="B625" s="120" t="n"/>
      <c r="C625" s="120" t="n"/>
      <c r="D625" s="120" t="n"/>
      <c r="E625" s="120" t="n"/>
      <c r="F625" s="120" t="n"/>
      <c r="G625" s="121">
        <f>IF($A625="","",MAX(0,$D625+$E625-$F625))</f>
        <v/>
      </c>
      <c r="H625" s="121">
        <f>IF($A625="","",MAX(0,$C625-$B625))</f>
        <v/>
      </c>
    </row>
    <row r="626" ht="15" customHeight="1" s="78">
      <c r="A626" s="122" t="n"/>
      <c r="B626" s="120" t="n"/>
      <c r="C626" s="120" t="n"/>
      <c r="D626" s="120" t="n"/>
      <c r="E626" s="120" t="n"/>
      <c r="F626" s="120" t="n"/>
      <c r="G626" s="121">
        <f>IF($A626="","",MAX(0,$D626+$E626-$F626))</f>
        <v/>
      </c>
      <c r="H626" s="121">
        <f>IF($A626="","",MAX(0,$C626-$B626))</f>
        <v/>
      </c>
    </row>
    <row r="627" ht="15" customHeight="1" s="78">
      <c r="A627" s="122" t="n"/>
      <c r="B627" s="120" t="n"/>
      <c r="C627" s="120" t="n"/>
      <c r="D627" s="120" t="n"/>
      <c r="E627" s="120" t="n"/>
      <c r="F627" s="120" t="n"/>
      <c r="G627" s="121">
        <f>IF($A627="","",MAX(0,$D627+$E627-$F627))</f>
        <v/>
      </c>
      <c r="H627" s="121">
        <f>IF($A627="","",MAX(0,$C627-$B627))</f>
        <v/>
      </c>
    </row>
    <row r="628" ht="15" customHeight="1" s="78">
      <c r="A628" s="122" t="n"/>
      <c r="B628" s="120" t="n"/>
      <c r="C628" s="120" t="n"/>
      <c r="D628" s="120" t="n"/>
      <c r="E628" s="120" t="n"/>
      <c r="F628" s="120" t="n"/>
      <c r="G628" s="121">
        <f>IF($A628="","",MAX(0,$D628+$E628-$F628))</f>
        <v/>
      </c>
      <c r="H628" s="121">
        <f>IF($A628="","",MAX(0,$C628-$B628))</f>
        <v/>
      </c>
    </row>
    <row r="629" ht="15" customHeight="1" s="78">
      <c r="A629" s="122" t="n"/>
      <c r="B629" s="120" t="n"/>
      <c r="C629" s="120" t="n"/>
      <c r="D629" s="120" t="n"/>
      <c r="E629" s="120" t="n"/>
      <c r="F629" s="120" t="n"/>
      <c r="G629" s="121">
        <f>IF($A629="","",MAX(0,$D629+$E629-$F629))</f>
        <v/>
      </c>
      <c r="H629" s="121">
        <f>IF($A629="","",MAX(0,$C629-$B629))</f>
        <v/>
      </c>
    </row>
    <row r="630" ht="15" customHeight="1" s="78">
      <c r="A630" s="122" t="n"/>
      <c r="B630" s="120" t="n"/>
      <c r="C630" s="120" t="n"/>
      <c r="D630" s="120" t="n"/>
      <c r="E630" s="120" t="n"/>
      <c r="F630" s="120" t="n"/>
      <c r="G630" s="121">
        <f>IF($A630="","",MAX(0,$D630+$E630-$F630))</f>
        <v/>
      </c>
      <c r="H630" s="121">
        <f>IF($A630="","",MAX(0,$C630-$B630))</f>
        <v/>
      </c>
    </row>
    <row r="631" ht="15" customHeight="1" s="78">
      <c r="A631" s="122" t="n"/>
      <c r="B631" s="120" t="n"/>
      <c r="C631" s="120" t="n"/>
      <c r="D631" s="120" t="n"/>
      <c r="E631" s="120" t="n"/>
      <c r="F631" s="120" t="n"/>
      <c r="G631" s="121">
        <f>IF($A631="","",MAX(0,$D631+$E631-$F631))</f>
        <v/>
      </c>
      <c r="H631" s="121">
        <f>IF($A631="","",MAX(0,$C631-$B631))</f>
        <v/>
      </c>
    </row>
    <row r="632" ht="15" customHeight="1" s="78">
      <c r="A632" s="122" t="n"/>
      <c r="B632" s="120" t="n"/>
      <c r="C632" s="120" t="n"/>
      <c r="D632" s="120" t="n"/>
      <c r="E632" s="120" t="n"/>
      <c r="F632" s="120" t="n"/>
      <c r="G632" s="121">
        <f>IF($A632="","",MAX(0,$D632+$E632-$F632))</f>
        <v/>
      </c>
      <c r="H632" s="121">
        <f>IF($A632="","",MAX(0,$C632-$B632))</f>
        <v/>
      </c>
    </row>
    <row r="633" ht="15" customHeight="1" s="78">
      <c r="A633" s="122" t="n"/>
      <c r="B633" s="120" t="n"/>
      <c r="C633" s="120" t="n"/>
      <c r="D633" s="120" t="n"/>
      <c r="E633" s="120" t="n"/>
      <c r="F633" s="120" t="n"/>
      <c r="G633" s="121">
        <f>IF($A633="","",MAX(0,$D633+$E633-$F633))</f>
        <v/>
      </c>
      <c r="H633" s="121">
        <f>IF($A633="","",MAX(0,$C633-$B633))</f>
        <v/>
      </c>
    </row>
    <row r="634" ht="15" customHeight="1" s="78">
      <c r="A634" s="122" t="n"/>
      <c r="B634" s="120" t="n"/>
      <c r="C634" s="120" t="n"/>
      <c r="D634" s="120" t="n"/>
      <c r="E634" s="120" t="n"/>
      <c r="F634" s="120" t="n"/>
      <c r="G634" s="121">
        <f>IF($A634="","",MAX(0,$D634+$E634-$F634))</f>
        <v/>
      </c>
      <c r="H634" s="121">
        <f>IF($A634="","",MAX(0,$C634-$B634))</f>
        <v/>
      </c>
    </row>
    <row r="635" ht="15" customHeight="1" s="78">
      <c r="A635" s="122" t="n"/>
      <c r="B635" s="120" t="n"/>
      <c r="C635" s="120" t="n"/>
      <c r="D635" s="120" t="n"/>
      <c r="E635" s="120" t="n"/>
      <c r="F635" s="120" t="n"/>
      <c r="G635" s="121">
        <f>IF($A635="","",MAX(0,$D635+$E635-$F635))</f>
        <v/>
      </c>
      <c r="H635" s="121">
        <f>IF($A635="","",MAX(0,$C635-$B635))</f>
        <v/>
      </c>
    </row>
    <row r="636" ht="15" customHeight="1" s="78">
      <c r="A636" s="122" t="n"/>
      <c r="B636" s="120" t="n"/>
      <c r="C636" s="120" t="n"/>
      <c r="D636" s="120" t="n"/>
      <c r="E636" s="120" t="n"/>
      <c r="F636" s="120" t="n"/>
      <c r="G636" s="121">
        <f>IF($A636="","",MAX(0,$D636+$E636-$F636))</f>
        <v/>
      </c>
      <c r="H636" s="121">
        <f>IF($A636="","",MAX(0,$C636-$B636))</f>
        <v/>
      </c>
    </row>
    <row r="637" ht="15" customHeight="1" s="78">
      <c r="A637" s="122" t="n"/>
      <c r="B637" s="120" t="n"/>
      <c r="C637" s="120" t="n"/>
      <c r="D637" s="120" t="n"/>
      <c r="E637" s="120" t="n"/>
      <c r="F637" s="120" t="n"/>
      <c r="G637" s="121">
        <f>IF($A637="","",MAX(0,$D637+$E637-$F637))</f>
        <v/>
      </c>
      <c r="H637" s="121">
        <f>IF($A637="","",MAX(0,$C637-$B637))</f>
        <v/>
      </c>
    </row>
    <row r="638" ht="15" customHeight="1" s="78">
      <c r="A638" s="122" t="n"/>
      <c r="B638" s="120" t="n"/>
      <c r="C638" s="120" t="n"/>
      <c r="D638" s="120" t="n"/>
      <c r="E638" s="120" t="n"/>
      <c r="F638" s="120" t="n"/>
      <c r="G638" s="121">
        <f>IF($A638="","",MAX(0,$D638+$E638-$F638))</f>
        <v/>
      </c>
      <c r="H638" s="121">
        <f>IF($A638="","",MAX(0,$C638-$B638))</f>
        <v/>
      </c>
    </row>
    <row r="639" ht="15" customHeight="1" s="78">
      <c r="A639" s="122" t="n"/>
      <c r="B639" s="120" t="n"/>
      <c r="C639" s="120" t="n"/>
      <c r="D639" s="120" t="n"/>
      <c r="E639" s="120" t="n"/>
      <c r="F639" s="120" t="n"/>
      <c r="G639" s="121">
        <f>IF($A639="","",MAX(0,$D639+$E639-$F639))</f>
        <v/>
      </c>
      <c r="H639" s="121">
        <f>IF($A639="","",MAX(0,$C639-$B639))</f>
        <v/>
      </c>
    </row>
    <row r="640" ht="15" customHeight="1" s="78">
      <c r="A640" s="122" t="n"/>
      <c r="B640" s="120" t="n"/>
      <c r="C640" s="120" t="n"/>
      <c r="D640" s="120" t="n"/>
      <c r="E640" s="120" t="n"/>
      <c r="F640" s="120" t="n"/>
      <c r="G640" s="121">
        <f>IF($A640="","",MAX(0,$D640+$E640-$F640))</f>
        <v/>
      </c>
      <c r="H640" s="121">
        <f>IF($A640="","",MAX(0,$C640-$B640))</f>
        <v/>
      </c>
    </row>
    <row r="641" ht="15" customHeight="1" s="78">
      <c r="A641" s="122" t="n"/>
      <c r="B641" s="120" t="n"/>
      <c r="C641" s="120" t="n"/>
      <c r="D641" s="120" t="n"/>
      <c r="E641" s="120" t="n"/>
      <c r="F641" s="120" t="n"/>
      <c r="G641" s="121">
        <f>IF($A641="","",MAX(0,$D641+$E641-$F641))</f>
        <v/>
      </c>
      <c r="H641" s="121">
        <f>IF($A641="","",MAX(0,$C641-$B641))</f>
        <v/>
      </c>
    </row>
    <row r="642" ht="15" customHeight="1" s="78">
      <c r="A642" s="122" t="n"/>
      <c r="B642" s="120" t="n"/>
      <c r="C642" s="120" t="n"/>
      <c r="D642" s="120" t="n"/>
      <c r="E642" s="120" t="n"/>
      <c r="F642" s="120" t="n"/>
      <c r="G642" s="121">
        <f>IF($A642="","",MAX(0,$D642+$E642-$F642))</f>
        <v/>
      </c>
      <c r="H642" s="121">
        <f>IF($A642="","",MAX(0,$C642-$B642))</f>
        <v/>
      </c>
    </row>
    <row r="643" ht="15" customHeight="1" s="78">
      <c r="A643" s="122" t="n"/>
      <c r="B643" s="120" t="n"/>
      <c r="C643" s="120" t="n"/>
      <c r="D643" s="120" t="n"/>
      <c r="E643" s="120" t="n"/>
      <c r="F643" s="120" t="n"/>
      <c r="G643" s="121">
        <f>IF($A643="","",MAX(0,$D643+$E643-$F643))</f>
        <v/>
      </c>
      <c r="H643" s="121">
        <f>IF($A643="","",MAX(0,$C643-$B643))</f>
        <v/>
      </c>
    </row>
    <row r="644" ht="15" customHeight="1" s="78">
      <c r="A644" s="122" t="n"/>
      <c r="B644" s="120" t="n"/>
      <c r="C644" s="120" t="n"/>
      <c r="D644" s="120" t="n"/>
      <c r="E644" s="120" t="n"/>
      <c r="F644" s="120" t="n"/>
      <c r="G644" s="121">
        <f>IF($A644="","",MAX(0,$D644+$E644-$F644))</f>
        <v/>
      </c>
      <c r="H644" s="121">
        <f>IF($A644="","",MAX(0,$C644-$B644))</f>
        <v/>
      </c>
    </row>
    <row r="645" ht="15" customHeight="1" s="78">
      <c r="A645" s="122" t="n"/>
      <c r="B645" s="120" t="n"/>
      <c r="C645" s="120" t="n"/>
      <c r="D645" s="120" t="n"/>
      <c r="E645" s="120" t="n"/>
      <c r="F645" s="120" t="n"/>
      <c r="G645" s="121">
        <f>IF($A645="","",MAX(0,$D645+$E645-$F645))</f>
        <v/>
      </c>
      <c r="H645" s="121">
        <f>IF($A645="","",MAX(0,$C645-$B645))</f>
        <v/>
      </c>
    </row>
    <row r="646" ht="15" customHeight="1" s="78">
      <c r="A646" s="122" t="n"/>
      <c r="B646" s="120" t="n"/>
      <c r="C646" s="120" t="n"/>
      <c r="D646" s="120" t="n"/>
      <c r="E646" s="120" t="n"/>
      <c r="F646" s="120" t="n"/>
      <c r="G646" s="121">
        <f>IF($A646="","",MAX(0,$D646+$E646-$F646))</f>
        <v/>
      </c>
      <c r="H646" s="121">
        <f>IF($A646="","",MAX(0,$C646-$B646))</f>
        <v/>
      </c>
    </row>
    <row r="647" ht="15" customHeight="1" s="78">
      <c r="A647" s="122" t="n"/>
      <c r="B647" s="120" t="n"/>
      <c r="C647" s="120" t="n"/>
      <c r="D647" s="120" t="n"/>
      <c r="E647" s="120" t="n"/>
      <c r="F647" s="120" t="n"/>
      <c r="G647" s="121">
        <f>IF($A647="","",MAX(0,$D647+$E647-$F647))</f>
        <v/>
      </c>
      <c r="H647" s="121">
        <f>IF($A647="","",MAX(0,$C647-$B647))</f>
        <v/>
      </c>
    </row>
    <row r="648" ht="15" customHeight="1" s="78">
      <c r="A648" s="122" t="n"/>
      <c r="B648" s="120" t="n"/>
      <c r="C648" s="120" t="n"/>
      <c r="D648" s="120" t="n"/>
      <c r="E648" s="120" t="n"/>
      <c r="F648" s="120" t="n"/>
      <c r="G648" s="121">
        <f>IF($A648="","",MAX(0,$D648+$E648-$F648))</f>
        <v/>
      </c>
      <c r="H648" s="121">
        <f>IF($A648="","",MAX(0,$C648-$B648))</f>
        <v/>
      </c>
    </row>
    <row r="649" ht="15" customHeight="1" s="78">
      <c r="A649" s="122" t="n"/>
      <c r="B649" s="120" t="n"/>
      <c r="C649" s="120" t="n"/>
      <c r="D649" s="120" t="n"/>
      <c r="E649" s="120" t="n"/>
      <c r="F649" s="120" t="n"/>
      <c r="G649" s="121">
        <f>IF($A649="","",MAX(0,$D649+$E649-$F649))</f>
        <v/>
      </c>
      <c r="H649" s="121">
        <f>IF($A649="","",MAX(0,$C649-$B649))</f>
        <v/>
      </c>
    </row>
    <row r="650" ht="15" customHeight="1" s="78">
      <c r="A650" s="122" t="n"/>
      <c r="B650" s="120" t="n"/>
      <c r="C650" s="120" t="n"/>
      <c r="D650" s="120" t="n"/>
      <c r="E650" s="120" t="n"/>
      <c r="F650" s="120" t="n"/>
      <c r="G650" s="121">
        <f>IF($A650="","",MAX(0,$D650+$E650-$F650))</f>
        <v/>
      </c>
      <c r="H650" s="121">
        <f>IF($A650="","",MAX(0,$C650-$B650))</f>
        <v/>
      </c>
    </row>
    <row r="651" ht="15" customHeight="1" s="78">
      <c r="A651" s="122" t="n"/>
      <c r="B651" s="120" t="n"/>
      <c r="C651" s="120" t="n"/>
      <c r="D651" s="120" t="n"/>
      <c r="E651" s="120" t="n"/>
      <c r="F651" s="120" t="n"/>
      <c r="G651" s="121">
        <f>IF($A651="","",MAX(0,$D651+$E651-$F651))</f>
        <v/>
      </c>
      <c r="H651" s="121">
        <f>IF($A651="","",MAX(0,$C651-$B651))</f>
        <v/>
      </c>
    </row>
    <row r="652" ht="15" customHeight="1" s="78">
      <c r="A652" s="122" t="n"/>
      <c r="B652" s="120" t="n"/>
      <c r="C652" s="120" t="n"/>
      <c r="D652" s="120" t="n"/>
      <c r="E652" s="120" t="n"/>
      <c r="F652" s="120" t="n"/>
      <c r="G652" s="121">
        <f>IF($A652="","",MAX(0,$D652+$E652-$F652))</f>
        <v/>
      </c>
      <c r="H652" s="121">
        <f>IF($A652="","",MAX(0,$C652-$B652))</f>
        <v/>
      </c>
    </row>
    <row r="653" ht="15" customHeight="1" s="78">
      <c r="A653" s="122" t="n"/>
      <c r="B653" s="120" t="n"/>
      <c r="C653" s="120" t="n"/>
      <c r="D653" s="120" t="n"/>
      <c r="E653" s="120" t="n"/>
      <c r="F653" s="120" t="n"/>
      <c r="G653" s="121">
        <f>IF($A653="","",MAX(0,$D653+$E653-$F653))</f>
        <v/>
      </c>
      <c r="H653" s="121">
        <f>IF($A653="","",MAX(0,$C653-$B653))</f>
        <v/>
      </c>
    </row>
    <row r="654" ht="15" customHeight="1" s="78">
      <c r="A654" s="122" t="n"/>
      <c r="B654" s="120" t="n"/>
      <c r="C654" s="120" t="n"/>
      <c r="D654" s="120" t="n"/>
      <c r="E654" s="120" t="n"/>
      <c r="F654" s="120" t="n"/>
      <c r="G654" s="121">
        <f>IF($A654="","",MAX(0,$D654+$E654-$F654))</f>
        <v/>
      </c>
      <c r="H654" s="121">
        <f>IF($A654="","",MAX(0,$C654-$B654))</f>
        <v/>
      </c>
    </row>
    <row r="655" ht="15" customHeight="1" s="78">
      <c r="A655" s="122" t="n"/>
      <c r="B655" s="120" t="n"/>
      <c r="C655" s="120" t="n"/>
      <c r="D655" s="120" t="n"/>
      <c r="E655" s="120" t="n"/>
      <c r="F655" s="120" t="n"/>
      <c r="G655" s="121">
        <f>IF($A655="","",MAX(0,$D655+$E655-$F655))</f>
        <v/>
      </c>
      <c r="H655" s="121">
        <f>IF($A655="","",MAX(0,$C655-$B655))</f>
        <v/>
      </c>
    </row>
    <row r="656" ht="15" customHeight="1" s="78">
      <c r="A656" s="122" t="n"/>
      <c r="B656" s="120" t="n"/>
      <c r="C656" s="120" t="n"/>
      <c r="D656" s="120" t="n"/>
      <c r="E656" s="120" t="n"/>
      <c r="F656" s="120" t="n"/>
      <c r="G656" s="121">
        <f>IF($A656="","",MAX(0,$D656+$E656-$F656))</f>
        <v/>
      </c>
      <c r="H656" s="121">
        <f>IF($A656="","",MAX(0,$C656-$B656))</f>
        <v/>
      </c>
    </row>
    <row r="657" ht="15" customHeight="1" s="78">
      <c r="A657" s="122" t="n"/>
      <c r="B657" s="120" t="n"/>
      <c r="C657" s="120" t="n"/>
      <c r="D657" s="120" t="n"/>
      <c r="E657" s="120" t="n"/>
      <c r="F657" s="120" t="n"/>
      <c r="G657" s="121">
        <f>IF($A657="","",MAX(0,$D657+$E657-$F657))</f>
        <v/>
      </c>
      <c r="H657" s="121">
        <f>IF($A657="","",MAX(0,$C657-$B657))</f>
        <v/>
      </c>
    </row>
    <row r="658" ht="15" customHeight="1" s="78">
      <c r="A658" s="122" t="n"/>
      <c r="B658" s="120" t="n"/>
      <c r="C658" s="120" t="n"/>
      <c r="D658" s="120" t="n"/>
      <c r="E658" s="120" t="n"/>
      <c r="F658" s="120" t="n"/>
      <c r="G658" s="121">
        <f>IF($A658="","",MAX(0,$D658+$E658-$F658))</f>
        <v/>
      </c>
      <c r="H658" s="121">
        <f>IF($A658="","",MAX(0,$C658-$B658))</f>
        <v/>
      </c>
    </row>
    <row r="659" ht="15" customHeight="1" s="78">
      <c r="A659" s="122" t="n"/>
      <c r="B659" s="120" t="n"/>
      <c r="C659" s="120" t="n"/>
      <c r="D659" s="120" t="n"/>
      <c r="E659" s="120" t="n"/>
      <c r="F659" s="120" t="n"/>
      <c r="G659" s="121">
        <f>IF($A659="","",MAX(0,$D659+$E659-$F659))</f>
        <v/>
      </c>
      <c r="H659" s="121">
        <f>IF($A659="","",MAX(0,$C659-$B659))</f>
        <v/>
      </c>
    </row>
    <row r="660" ht="15" customHeight="1" s="78">
      <c r="A660" s="122" t="n"/>
      <c r="B660" s="120" t="n"/>
      <c r="C660" s="120" t="n"/>
      <c r="D660" s="120" t="n"/>
      <c r="E660" s="120" t="n"/>
      <c r="F660" s="120" t="n"/>
      <c r="G660" s="121">
        <f>IF($A660="","",MAX(0,$D660+$E660-$F660))</f>
        <v/>
      </c>
      <c r="H660" s="121">
        <f>IF($A660="","",MAX(0,$C660-$B660))</f>
        <v/>
      </c>
    </row>
    <row r="661" ht="15" customHeight="1" s="78">
      <c r="A661" s="122" t="n"/>
      <c r="B661" s="120" t="n"/>
      <c r="C661" s="120" t="n"/>
      <c r="D661" s="120" t="n"/>
      <c r="E661" s="120" t="n"/>
      <c r="F661" s="120" t="n"/>
      <c r="G661" s="121">
        <f>IF($A661="","",MAX(0,$D661+$E661-$F661))</f>
        <v/>
      </c>
      <c r="H661" s="121">
        <f>IF($A661="","",MAX(0,$C661-$B661))</f>
        <v/>
      </c>
    </row>
    <row r="662" ht="15" customHeight="1" s="78">
      <c r="A662" s="122" t="n"/>
      <c r="B662" s="120" t="n"/>
      <c r="C662" s="120" t="n"/>
      <c r="D662" s="120" t="n"/>
      <c r="E662" s="120" t="n"/>
      <c r="F662" s="120" t="n"/>
      <c r="G662" s="121">
        <f>IF($A662="","",MAX(0,$D662+$E662-$F662))</f>
        <v/>
      </c>
      <c r="H662" s="121">
        <f>IF($A662="","",MAX(0,$C662-$B662))</f>
        <v/>
      </c>
    </row>
    <row r="663" ht="15" customHeight="1" s="78">
      <c r="A663" s="122" t="n"/>
      <c r="B663" s="120" t="n"/>
      <c r="C663" s="120" t="n"/>
      <c r="D663" s="120" t="n"/>
      <c r="E663" s="120" t="n"/>
      <c r="F663" s="120" t="n"/>
      <c r="G663" s="121">
        <f>IF($A663="","",MAX(0,$D663+$E663-$F663))</f>
        <v/>
      </c>
      <c r="H663" s="121">
        <f>IF($A663="","",MAX(0,$C663-$B663))</f>
        <v/>
      </c>
    </row>
    <row r="664" ht="15" customHeight="1" s="78">
      <c r="A664" s="122" t="n"/>
      <c r="B664" s="120" t="n"/>
      <c r="C664" s="120" t="n"/>
      <c r="D664" s="120" t="n"/>
      <c r="E664" s="120" t="n"/>
      <c r="F664" s="120" t="n"/>
      <c r="G664" s="121">
        <f>IF($A664="","",MAX(0,$D664+$E664-$F664))</f>
        <v/>
      </c>
      <c r="H664" s="121">
        <f>IF($A664="","",MAX(0,$C664-$B664))</f>
        <v/>
      </c>
    </row>
    <row r="665" ht="15" customHeight="1" s="78">
      <c r="A665" s="122" t="n"/>
      <c r="B665" s="120" t="n"/>
      <c r="C665" s="120" t="n"/>
      <c r="D665" s="120" t="n"/>
      <c r="E665" s="120" t="n"/>
      <c r="F665" s="120" t="n"/>
      <c r="G665" s="121">
        <f>IF($A665="","",MAX(0,$D665+$E665-$F665))</f>
        <v/>
      </c>
      <c r="H665" s="121">
        <f>IF($A665="","",MAX(0,$C665-$B665))</f>
        <v/>
      </c>
    </row>
    <row r="666" ht="15" customHeight="1" s="78">
      <c r="A666" s="122" t="n"/>
      <c r="B666" s="120" t="n"/>
      <c r="C666" s="120" t="n"/>
      <c r="D666" s="120" t="n"/>
      <c r="E666" s="120" t="n"/>
      <c r="F666" s="120" t="n"/>
      <c r="G666" s="121">
        <f>IF($A666="","",MAX(0,$D666+$E666-$F666))</f>
        <v/>
      </c>
      <c r="H666" s="121">
        <f>IF($A666="","",MAX(0,$C666-$B666))</f>
        <v/>
      </c>
    </row>
    <row r="667" ht="15" customHeight="1" s="78">
      <c r="A667" s="122" t="n"/>
      <c r="B667" s="120" t="n"/>
      <c r="C667" s="120" t="n"/>
      <c r="D667" s="120" t="n"/>
      <c r="E667" s="120" t="n"/>
      <c r="F667" s="120" t="n"/>
      <c r="G667" s="121">
        <f>IF($A667="","",MAX(0,$D667+$E667-$F667))</f>
        <v/>
      </c>
      <c r="H667" s="121">
        <f>IF($A667="","",MAX(0,$C667-$B667))</f>
        <v/>
      </c>
    </row>
    <row r="668" ht="15" customHeight="1" s="78">
      <c r="A668" s="122" t="n"/>
      <c r="B668" s="120" t="n"/>
      <c r="C668" s="120" t="n"/>
      <c r="D668" s="120" t="n"/>
      <c r="E668" s="120" t="n"/>
      <c r="F668" s="120" t="n"/>
      <c r="G668" s="121">
        <f>IF($A668="","",MAX(0,$D668+$E668-$F668))</f>
        <v/>
      </c>
      <c r="H668" s="121">
        <f>IF($A668="","",MAX(0,$C668-$B668))</f>
        <v/>
      </c>
    </row>
    <row r="669" ht="15" customHeight="1" s="78">
      <c r="A669" s="122" t="n"/>
      <c r="B669" s="120" t="n"/>
      <c r="C669" s="120" t="n"/>
      <c r="D669" s="120" t="n"/>
      <c r="E669" s="120" t="n"/>
      <c r="F669" s="120" t="n"/>
      <c r="G669" s="121">
        <f>IF($A669="","",MAX(0,$D669+$E669-$F669))</f>
        <v/>
      </c>
      <c r="H669" s="121">
        <f>IF($A669="","",MAX(0,$C669-$B669))</f>
        <v/>
      </c>
    </row>
    <row r="670" ht="15" customHeight="1" s="78">
      <c r="A670" s="122" t="n"/>
      <c r="B670" s="120" t="n"/>
      <c r="C670" s="120" t="n"/>
      <c r="D670" s="120" t="n"/>
      <c r="E670" s="120" t="n"/>
      <c r="F670" s="120" t="n"/>
      <c r="G670" s="121">
        <f>IF($A670="","",MAX(0,$D670+$E670-$F670))</f>
        <v/>
      </c>
      <c r="H670" s="121">
        <f>IF($A670="","",MAX(0,$C670-$B670))</f>
        <v/>
      </c>
    </row>
    <row r="671" ht="15" customHeight="1" s="78">
      <c r="A671" s="122" t="n"/>
      <c r="B671" s="120" t="n"/>
      <c r="C671" s="120" t="n"/>
      <c r="D671" s="120" t="n"/>
      <c r="E671" s="120" t="n"/>
      <c r="F671" s="120" t="n"/>
      <c r="G671" s="121">
        <f>IF($A671="","",MAX(0,$D671+$E671-$F671))</f>
        <v/>
      </c>
      <c r="H671" s="121">
        <f>IF($A671="","",MAX(0,$C671-$B671))</f>
        <v/>
      </c>
    </row>
    <row r="672" ht="15" customHeight="1" s="78">
      <c r="A672" s="122" t="n"/>
      <c r="B672" s="120" t="n"/>
      <c r="C672" s="120" t="n"/>
      <c r="D672" s="120" t="n"/>
      <c r="E672" s="120" t="n"/>
      <c r="F672" s="120" t="n"/>
      <c r="G672" s="121">
        <f>IF($A672="","",MAX(0,$D672+$E672-$F672))</f>
        <v/>
      </c>
      <c r="H672" s="121">
        <f>IF($A672="","",MAX(0,$C672-$B672))</f>
        <v/>
      </c>
    </row>
    <row r="673" ht="15" customHeight="1" s="78">
      <c r="A673" s="122" t="n"/>
      <c r="B673" s="120" t="n"/>
      <c r="C673" s="120" t="n"/>
      <c r="D673" s="120" t="n"/>
      <c r="E673" s="120" t="n"/>
      <c r="F673" s="120" t="n"/>
      <c r="G673" s="121">
        <f>IF($A673="","",MAX(0,$D673+$E673-$F673))</f>
        <v/>
      </c>
      <c r="H673" s="121">
        <f>IF($A673="","",MAX(0,$C673-$B673))</f>
        <v/>
      </c>
    </row>
    <row r="674" ht="15" customHeight="1" s="78">
      <c r="A674" s="122" t="n"/>
      <c r="B674" s="120" t="n"/>
      <c r="C674" s="120" t="n"/>
      <c r="D674" s="120" t="n"/>
      <c r="E674" s="120" t="n"/>
      <c r="F674" s="120" t="n"/>
      <c r="G674" s="121">
        <f>IF($A674="","",MAX(0,$D674+$E674-$F674))</f>
        <v/>
      </c>
      <c r="H674" s="121">
        <f>IF($A674="","",MAX(0,$C674-$B674))</f>
        <v/>
      </c>
    </row>
    <row r="675" ht="15" customHeight="1" s="78">
      <c r="A675" s="122" t="n"/>
      <c r="B675" s="120" t="n"/>
      <c r="C675" s="120" t="n"/>
      <c r="D675" s="120" t="n"/>
      <c r="E675" s="120" t="n"/>
      <c r="F675" s="120" t="n"/>
      <c r="G675" s="121">
        <f>IF($A675="","",MAX(0,$D675+$E675-$F675))</f>
        <v/>
      </c>
      <c r="H675" s="121">
        <f>IF($A675="","",MAX(0,$C675-$B675))</f>
        <v/>
      </c>
    </row>
    <row r="676" ht="15" customHeight="1" s="78">
      <c r="A676" s="122" t="n"/>
      <c r="B676" s="120" t="n"/>
      <c r="C676" s="120" t="n"/>
      <c r="D676" s="120" t="n"/>
      <c r="E676" s="120" t="n"/>
      <c r="F676" s="120" t="n"/>
      <c r="G676" s="121">
        <f>IF($A676="","",MAX(0,$D676+$E676-$F676))</f>
        <v/>
      </c>
      <c r="H676" s="121">
        <f>IF($A676="","",MAX(0,$C676-$B676))</f>
        <v/>
      </c>
    </row>
    <row r="677" ht="15" customHeight="1" s="78">
      <c r="A677" s="122" t="n"/>
      <c r="B677" s="120" t="n"/>
      <c r="C677" s="120" t="n"/>
      <c r="D677" s="120" t="n"/>
      <c r="E677" s="120" t="n"/>
      <c r="F677" s="120" t="n"/>
      <c r="G677" s="121">
        <f>IF($A677="","",MAX(0,$D677+$E677-$F677))</f>
        <v/>
      </c>
      <c r="H677" s="121">
        <f>IF($A677="","",MAX(0,$C677-$B677))</f>
        <v/>
      </c>
    </row>
    <row r="678" ht="15" customHeight="1" s="78">
      <c r="A678" s="122" t="n"/>
      <c r="B678" s="120" t="n"/>
      <c r="C678" s="120" t="n"/>
      <c r="D678" s="120" t="n"/>
      <c r="E678" s="120" t="n"/>
      <c r="F678" s="120" t="n"/>
      <c r="G678" s="121">
        <f>IF($A678="","",MAX(0,$D678+$E678-$F678))</f>
        <v/>
      </c>
      <c r="H678" s="121">
        <f>IF($A678="","",MAX(0,$C678-$B678))</f>
        <v/>
      </c>
    </row>
    <row r="679" ht="15" customHeight="1" s="78">
      <c r="A679" s="122" t="n"/>
      <c r="B679" s="120" t="n"/>
      <c r="C679" s="120" t="n"/>
      <c r="D679" s="120" t="n"/>
      <c r="E679" s="120" t="n"/>
      <c r="F679" s="120" t="n"/>
      <c r="G679" s="121">
        <f>IF($A679="","",MAX(0,$D679+$E679-$F679))</f>
        <v/>
      </c>
      <c r="H679" s="121">
        <f>IF($A679="","",MAX(0,$C679-$B679))</f>
        <v/>
      </c>
    </row>
    <row r="680" ht="15" customHeight="1" s="78">
      <c r="A680" s="122" t="n"/>
      <c r="B680" s="120" t="n"/>
      <c r="C680" s="120" t="n"/>
      <c r="D680" s="120" t="n"/>
      <c r="E680" s="120" t="n"/>
      <c r="F680" s="120" t="n"/>
      <c r="G680" s="121">
        <f>IF($A680="","",MAX(0,$D680+$E680-$F680))</f>
        <v/>
      </c>
      <c r="H680" s="121">
        <f>IF($A680="","",MAX(0,$C680-$B680))</f>
        <v/>
      </c>
    </row>
    <row r="681" ht="15" customHeight="1" s="78">
      <c r="A681" s="122" t="n"/>
      <c r="B681" s="120" t="n"/>
      <c r="C681" s="120" t="n"/>
      <c r="D681" s="120" t="n"/>
      <c r="E681" s="120" t="n"/>
      <c r="F681" s="120" t="n"/>
      <c r="G681" s="121">
        <f>IF($A681="","",MAX(0,$D681+$E681-$F681))</f>
        <v/>
      </c>
      <c r="H681" s="121">
        <f>IF($A681="","",MAX(0,$C681-$B681))</f>
        <v/>
      </c>
    </row>
    <row r="682" ht="15" customHeight="1" s="78">
      <c r="A682" s="122" t="n"/>
      <c r="B682" s="120" t="n"/>
      <c r="C682" s="120" t="n"/>
      <c r="D682" s="120" t="n"/>
      <c r="E682" s="120" t="n"/>
      <c r="F682" s="120" t="n"/>
      <c r="G682" s="121">
        <f>IF($A682="","",MAX(0,$D682+$E682-$F682))</f>
        <v/>
      </c>
      <c r="H682" s="121">
        <f>IF($A682="","",MAX(0,$C682-$B682))</f>
        <v/>
      </c>
    </row>
    <row r="683" ht="15" customHeight="1" s="78">
      <c r="A683" s="122" t="n"/>
      <c r="B683" s="120" t="n"/>
      <c r="C683" s="120" t="n"/>
      <c r="D683" s="120" t="n"/>
      <c r="E683" s="120" t="n"/>
      <c r="F683" s="120" t="n"/>
      <c r="G683" s="121">
        <f>IF($A683="","",MAX(0,$D683+$E683-$F683))</f>
        <v/>
      </c>
      <c r="H683" s="121">
        <f>IF($A683="","",MAX(0,$C683-$B683))</f>
        <v/>
      </c>
    </row>
    <row r="684" ht="15" customHeight="1" s="78">
      <c r="A684" s="122" t="n"/>
      <c r="B684" s="120" t="n"/>
      <c r="C684" s="120" t="n"/>
      <c r="D684" s="120" t="n"/>
      <c r="E684" s="120" t="n"/>
      <c r="F684" s="120" t="n"/>
      <c r="G684" s="121">
        <f>IF($A684="","",MAX(0,$D684+$E684-$F684))</f>
        <v/>
      </c>
      <c r="H684" s="121">
        <f>IF($A684="","",MAX(0,$C684-$B684))</f>
        <v/>
      </c>
    </row>
    <row r="685" ht="15" customHeight="1" s="78">
      <c r="A685" s="122" t="n"/>
      <c r="B685" s="120" t="n"/>
      <c r="C685" s="120" t="n"/>
      <c r="D685" s="120" t="n"/>
      <c r="E685" s="120" t="n"/>
      <c r="F685" s="120" t="n"/>
      <c r="G685" s="121">
        <f>IF($A685="","",MAX(0,$D685+$E685-$F685))</f>
        <v/>
      </c>
      <c r="H685" s="121">
        <f>IF($A685="","",MAX(0,$C685-$B685))</f>
        <v/>
      </c>
    </row>
    <row r="686" ht="15" customHeight="1" s="78">
      <c r="A686" s="122" t="n"/>
      <c r="B686" s="120" t="n"/>
      <c r="C686" s="120" t="n"/>
      <c r="D686" s="120" t="n"/>
      <c r="E686" s="120" t="n"/>
      <c r="F686" s="120" t="n"/>
      <c r="G686" s="121">
        <f>IF($A686="","",MAX(0,$D686+$E686-$F686))</f>
        <v/>
      </c>
      <c r="H686" s="121">
        <f>IF($A686="","",MAX(0,$C686-$B686))</f>
        <v/>
      </c>
    </row>
    <row r="687" ht="15" customHeight="1" s="78">
      <c r="A687" s="122" t="n"/>
      <c r="B687" s="120" t="n"/>
      <c r="C687" s="120" t="n"/>
      <c r="D687" s="120" t="n"/>
      <c r="E687" s="120" t="n"/>
      <c r="F687" s="120" t="n"/>
      <c r="G687" s="121">
        <f>IF($A687="","",MAX(0,$D687+$E687-$F687))</f>
        <v/>
      </c>
      <c r="H687" s="121">
        <f>IF($A687="","",MAX(0,$C687-$B687))</f>
        <v/>
      </c>
    </row>
    <row r="688" ht="15" customHeight="1" s="78">
      <c r="A688" s="122" t="n"/>
      <c r="B688" s="120" t="n"/>
      <c r="C688" s="120" t="n"/>
      <c r="D688" s="120" t="n"/>
      <c r="E688" s="120" t="n"/>
      <c r="F688" s="120" t="n"/>
      <c r="G688" s="121">
        <f>IF($A688="","",MAX(0,$D688+$E688-$F688))</f>
        <v/>
      </c>
      <c r="H688" s="121">
        <f>IF($A688="","",MAX(0,$C688-$B688))</f>
        <v/>
      </c>
    </row>
    <row r="689" ht="15" customHeight="1" s="78">
      <c r="A689" s="122" t="n"/>
      <c r="B689" s="120" t="n"/>
      <c r="C689" s="120" t="n"/>
      <c r="D689" s="120" t="n"/>
      <c r="E689" s="120" t="n"/>
      <c r="F689" s="120" t="n"/>
      <c r="G689" s="121">
        <f>IF($A689="","",MAX(0,$D689+$E689-$F689))</f>
        <v/>
      </c>
      <c r="H689" s="121">
        <f>IF($A689="","",MAX(0,$C689-$B689))</f>
        <v/>
      </c>
    </row>
    <row r="690" ht="15" customHeight="1" s="78">
      <c r="A690" s="122" t="n"/>
      <c r="B690" s="120" t="n"/>
      <c r="C690" s="120" t="n"/>
      <c r="D690" s="120" t="n"/>
      <c r="E690" s="120" t="n"/>
      <c r="F690" s="120" t="n"/>
      <c r="G690" s="121">
        <f>IF($A690="","",MAX(0,$D690+$E690-$F690))</f>
        <v/>
      </c>
      <c r="H690" s="121">
        <f>IF($A690="","",MAX(0,$C690-$B690))</f>
        <v/>
      </c>
    </row>
    <row r="691" ht="15" customHeight="1" s="78">
      <c r="A691" s="122" t="n"/>
      <c r="B691" s="120" t="n"/>
      <c r="C691" s="120" t="n"/>
      <c r="D691" s="120" t="n"/>
      <c r="E691" s="120" t="n"/>
      <c r="F691" s="120" t="n"/>
      <c r="G691" s="121">
        <f>IF($A691="","",MAX(0,$D691+$E691-$F691))</f>
        <v/>
      </c>
      <c r="H691" s="121">
        <f>IF($A691="","",MAX(0,$C691-$B691))</f>
        <v/>
      </c>
    </row>
    <row r="692" ht="15" customHeight="1" s="78">
      <c r="A692" s="122" t="n"/>
      <c r="B692" s="120" t="n"/>
      <c r="C692" s="120" t="n"/>
      <c r="D692" s="120" t="n"/>
      <c r="E692" s="120" t="n"/>
      <c r="F692" s="120" t="n"/>
      <c r="G692" s="121">
        <f>IF($A692="","",MAX(0,$D692+$E692-$F692))</f>
        <v/>
      </c>
      <c r="H692" s="121">
        <f>IF($A692="","",MAX(0,$C692-$B692))</f>
        <v/>
      </c>
    </row>
    <row r="693" ht="15" customHeight="1" s="78">
      <c r="A693" s="122" t="n"/>
      <c r="B693" s="120" t="n"/>
      <c r="C693" s="120" t="n"/>
      <c r="D693" s="120" t="n"/>
      <c r="E693" s="120" t="n"/>
      <c r="F693" s="120" t="n"/>
      <c r="G693" s="121">
        <f>IF($A693="","",MAX(0,$D693+$E693-$F693))</f>
        <v/>
      </c>
      <c r="H693" s="121">
        <f>IF($A693="","",MAX(0,$C693-$B693))</f>
        <v/>
      </c>
    </row>
    <row r="694" ht="15" customHeight="1" s="78">
      <c r="A694" s="122" t="n"/>
      <c r="B694" s="120" t="n"/>
      <c r="C694" s="120" t="n"/>
      <c r="D694" s="120" t="n"/>
      <c r="E694" s="120" t="n"/>
      <c r="F694" s="120" t="n"/>
      <c r="G694" s="121">
        <f>IF($A694="","",MAX(0,$D694+$E694-$F694))</f>
        <v/>
      </c>
      <c r="H694" s="121">
        <f>IF($A694="","",MAX(0,$C694-$B694))</f>
        <v/>
      </c>
    </row>
    <row r="695" ht="15" customHeight="1" s="78">
      <c r="A695" s="122" t="n"/>
      <c r="B695" s="120" t="n"/>
      <c r="C695" s="120" t="n"/>
      <c r="D695" s="120" t="n"/>
      <c r="E695" s="120" t="n"/>
      <c r="F695" s="120" t="n"/>
      <c r="G695" s="121">
        <f>IF($A695="","",MAX(0,$D695+$E695-$F695))</f>
        <v/>
      </c>
      <c r="H695" s="121">
        <f>IF($A695="","",MAX(0,$C695-$B695))</f>
        <v/>
      </c>
    </row>
    <row r="696" ht="15" customHeight="1" s="78">
      <c r="A696" s="122" t="n"/>
      <c r="B696" s="120" t="n"/>
      <c r="C696" s="120" t="n"/>
      <c r="D696" s="120" t="n"/>
      <c r="E696" s="120" t="n"/>
      <c r="F696" s="120" t="n"/>
      <c r="G696" s="121">
        <f>IF($A696="","",MAX(0,$D696+$E696-$F696))</f>
        <v/>
      </c>
      <c r="H696" s="121">
        <f>IF($A696="","",MAX(0,$C696-$B696))</f>
        <v/>
      </c>
    </row>
    <row r="697" ht="15" customHeight="1" s="78">
      <c r="A697" s="122" t="n"/>
      <c r="B697" s="120" t="n"/>
      <c r="C697" s="120" t="n"/>
      <c r="D697" s="120" t="n"/>
      <c r="E697" s="120" t="n"/>
      <c r="F697" s="120" t="n"/>
      <c r="G697" s="121">
        <f>IF($A697="","",MAX(0,$D697+$E697-$F697))</f>
        <v/>
      </c>
      <c r="H697" s="121">
        <f>IF($A697="","",MAX(0,$C697-$B697))</f>
        <v/>
      </c>
    </row>
    <row r="698" ht="15" customHeight="1" s="78">
      <c r="A698" s="122" t="n"/>
      <c r="B698" s="120" t="n"/>
      <c r="C698" s="120" t="n"/>
      <c r="D698" s="120" t="n"/>
      <c r="E698" s="120" t="n"/>
      <c r="F698" s="120" t="n"/>
      <c r="G698" s="121">
        <f>IF($A698="","",MAX(0,$D698+$E698-$F698))</f>
        <v/>
      </c>
      <c r="H698" s="121">
        <f>IF($A698="","",MAX(0,$C698-$B698))</f>
        <v/>
      </c>
    </row>
    <row r="699" ht="15" customHeight="1" s="78">
      <c r="A699" s="122" t="n"/>
      <c r="B699" s="120" t="n"/>
      <c r="C699" s="120" t="n"/>
      <c r="D699" s="120" t="n"/>
      <c r="E699" s="120" t="n"/>
      <c r="F699" s="120" t="n"/>
      <c r="G699" s="121">
        <f>IF($A699="","",MAX(0,$D699+$E699-$F699))</f>
        <v/>
      </c>
      <c r="H699" s="121">
        <f>IF($A699="","",MAX(0,$C699-$B699))</f>
        <v/>
      </c>
    </row>
    <row r="700" ht="15" customHeight="1" s="78">
      <c r="A700" s="122" t="n"/>
      <c r="B700" s="120" t="n"/>
      <c r="C700" s="120" t="n"/>
      <c r="D700" s="120" t="n"/>
      <c r="E700" s="120" t="n"/>
      <c r="F700" s="120" t="n"/>
      <c r="G700" s="121">
        <f>IF($A700="","",MAX(0,$D700+$E700-$F700))</f>
        <v/>
      </c>
      <c r="H700" s="121">
        <f>IF($A700="","",MAX(0,$C700-$B700))</f>
        <v/>
      </c>
    </row>
    <row r="701" ht="15" customHeight="1" s="78">
      <c r="A701" s="122" t="n"/>
      <c r="B701" s="120" t="n"/>
      <c r="C701" s="120" t="n"/>
      <c r="D701" s="120" t="n"/>
      <c r="E701" s="120" t="n"/>
      <c r="F701" s="120" t="n"/>
      <c r="G701" s="121">
        <f>IF($A701="","",MAX(0,$D701+$E701-$F701))</f>
        <v/>
      </c>
      <c r="H701" s="121">
        <f>IF($A701="","",MAX(0,$C701-$B701))</f>
        <v/>
      </c>
    </row>
    <row r="702" ht="15" customHeight="1" s="78">
      <c r="A702" s="122" t="n"/>
      <c r="B702" s="120" t="n"/>
      <c r="C702" s="120" t="n"/>
      <c r="D702" s="120" t="n"/>
      <c r="E702" s="120" t="n"/>
      <c r="F702" s="120" t="n"/>
      <c r="G702" s="121">
        <f>IF($A702="","",MAX(0,$D702+$E702-$F702))</f>
        <v/>
      </c>
      <c r="H702" s="121">
        <f>IF($A702="","",MAX(0,$C702-$B702))</f>
        <v/>
      </c>
    </row>
    <row r="703" ht="15" customHeight="1" s="78">
      <c r="A703" s="122" t="n"/>
      <c r="B703" s="120" t="n"/>
      <c r="C703" s="120" t="n"/>
      <c r="D703" s="120" t="n"/>
      <c r="E703" s="120" t="n"/>
      <c r="F703" s="120" t="n"/>
      <c r="G703" s="121">
        <f>IF($A703="","",MAX(0,$D703+$E703-$F703))</f>
        <v/>
      </c>
      <c r="H703" s="121">
        <f>IF($A703="","",MAX(0,$C703-$B703))</f>
        <v/>
      </c>
    </row>
    <row r="704" ht="15" customHeight="1" s="78">
      <c r="A704" s="122" t="n"/>
      <c r="B704" s="120" t="n"/>
      <c r="C704" s="120" t="n"/>
      <c r="D704" s="120" t="n"/>
      <c r="E704" s="120" t="n"/>
      <c r="F704" s="120" t="n"/>
      <c r="G704" s="121">
        <f>IF($A704="","",MAX(0,$D704+$E704-$F704))</f>
        <v/>
      </c>
      <c r="H704" s="121">
        <f>IF($A704="","",MAX(0,$C704-$B704))</f>
        <v/>
      </c>
    </row>
    <row r="705" ht="15" customHeight="1" s="78">
      <c r="A705" s="122" t="n"/>
      <c r="B705" s="120" t="n"/>
      <c r="C705" s="120" t="n"/>
      <c r="D705" s="120" t="n"/>
      <c r="E705" s="120" t="n"/>
      <c r="F705" s="120" t="n"/>
      <c r="G705" s="121">
        <f>IF($A705="","",MAX(0,$D705+$E705-$F705))</f>
        <v/>
      </c>
      <c r="H705" s="121">
        <f>IF($A705="","",MAX(0,$C705-$B705))</f>
        <v/>
      </c>
    </row>
    <row r="706" ht="15" customHeight="1" s="78">
      <c r="A706" s="122" t="n"/>
      <c r="B706" s="120" t="n"/>
      <c r="C706" s="120" t="n"/>
      <c r="D706" s="120" t="n"/>
      <c r="E706" s="120" t="n"/>
      <c r="F706" s="120" t="n"/>
      <c r="G706" s="121">
        <f>IF($A706="","",MAX(0,$D706+$E706-$F706))</f>
        <v/>
      </c>
      <c r="H706" s="121">
        <f>IF($A706="","",MAX(0,$C706-$B706))</f>
        <v/>
      </c>
    </row>
    <row r="707" ht="15" customHeight="1" s="78">
      <c r="A707" s="122" t="n"/>
      <c r="B707" s="120" t="n"/>
      <c r="C707" s="120" t="n"/>
      <c r="D707" s="120" t="n"/>
      <c r="E707" s="120" t="n"/>
      <c r="F707" s="120" t="n"/>
      <c r="G707" s="121">
        <f>IF($A707="","",MAX(0,$D707+$E707-$F707))</f>
        <v/>
      </c>
      <c r="H707" s="121">
        <f>IF($A707="","",MAX(0,$C707-$B707))</f>
        <v/>
      </c>
    </row>
    <row r="708" ht="15" customHeight="1" s="78">
      <c r="A708" s="122" t="n"/>
      <c r="B708" s="120" t="n"/>
      <c r="C708" s="120" t="n"/>
      <c r="D708" s="120" t="n"/>
      <c r="E708" s="120" t="n"/>
      <c r="F708" s="120" t="n"/>
      <c r="G708" s="121">
        <f>IF($A708="","",MAX(0,$D708+$E708-$F708))</f>
        <v/>
      </c>
      <c r="H708" s="121">
        <f>IF($A708="","",MAX(0,$C708-$B708))</f>
        <v/>
      </c>
    </row>
    <row r="709" ht="15" customHeight="1" s="78">
      <c r="A709" s="122" t="n"/>
      <c r="B709" s="120" t="n"/>
      <c r="C709" s="120" t="n"/>
      <c r="D709" s="120" t="n"/>
      <c r="E709" s="120" t="n"/>
      <c r="F709" s="120" t="n"/>
      <c r="G709" s="121">
        <f>IF($A709="","",MAX(0,$D709+$E709-$F709))</f>
        <v/>
      </c>
      <c r="H709" s="121">
        <f>IF($A709="","",MAX(0,$C709-$B709))</f>
        <v/>
      </c>
    </row>
    <row r="710" ht="15" customHeight="1" s="78">
      <c r="A710" s="122" t="n"/>
      <c r="B710" s="120" t="n"/>
      <c r="C710" s="120" t="n"/>
      <c r="D710" s="120" t="n"/>
      <c r="E710" s="120" t="n"/>
      <c r="F710" s="120" t="n"/>
      <c r="G710" s="121">
        <f>IF($A710="","",MAX(0,$D710+$E710-$F710))</f>
        <v/>
      </c>
      <c r="H710" s="121">
        <f>IF($A710="","",MAX(0,$C710-$B710))</f>
        <v/>
      </c>
    </row>
    <row r="711" ht="15" customHeight="1" s="78">
      <c r="A711" s="122" t="n"/>
      <c r="B711" s="120" t="n"/>
      <c r="C711" s="120" t="n"/>
      <c r="D711" s="120" t="n"/>
      <c r="E711" s="120" t="n"/>
      <c r="F711" s="120" t="n"/>
      <c r="G711" s="121">
        <f>IF($A711="","",MAX(0,$D711+$E711-$F711))</f>
        <v/>
      </c>
      <c r="H711" s="121">
        <f>IF($A711="","",MAX(0,$C711-$B711))</f>
        <v/>
      </c>
    </row>
    <row r="712" ht="15" customHeight="1" s="78">
      <c r="A712" s="122" t="n"/>
      <c r="B712" s="120" t="n"/>
      <c r="C712" s="120" t="n"/>
      <c r="D712" s="120" t="n"/>
      <c r="E712" s="120" t="n"/>
      <c r="F712" s="120" t="n"/>
      <c r="G712" s="121">
        <f>IF($A712="","",MAX(0,$D712+$E712-$F712))</f>
        <v/>
      </c>
      <c r="H712" s="121">
        <f>IF($A712="","",MAX(0,$C712-$B712))</f>
        <v/>
      </c>
    </row>
    <row r="713" ht="15" customHeight="1" s="78">
      <c r="A713" s="122" t="n"/>
      <c r="B713" s="120" t="n"/>
      <c r="C713" s="120" t="n"/>
      <c r="D713" s="120" t="n"/>
      <c r="E713" s="120" t="n"/>
      <c r="F713" s="120" t="n"/>
      <c r="G713" s="121">
        <f>IF($A713="","",MAX(0,$D713+$E713-$F713))</f>
        <v/>
      </c>
      <c r="H713" s="121">
        <f>IF($A713="","",MAX(0,$C713-$B713))</f>
        <v/>
      </c>
    </row>
    <row r="714" ht="15" customHeight="1" s="78">
      <c r="A714" s="122" t="n"/>
      <c r="B714" s="120" t="n"/>
      <c r="C714" s="120" t="n"/>
      <c r="D714" s="120" t="n"/>
      <c r="E714" s="120" t="n"/>
      <c r="F714" s="120" t="n"/>
      <c r="G714" s="121">
        <f>IF($A714="","",MAX(0,$D714+$E714-$F714))</f>
        <v/>
      </c>
      <c r="H714" s="121">
        <f>IF($A714="","",MAX(0,$C714-$B714))</f>
        <v/>
      </c>
    </row>
    <row r="715" ht="15" customHeight="1" s="78">
      <c r="A715" s="122" t="n"/>
      <c r="B715" s="120" t="n"/>
      <c r="C715" s="120" t="n"/>
      <c r="D715" s="120" t="n"/>
      <c r="E715" s="120" t="n"/>
      <c r="F715" s="120" t="n"/>
      <c r="G715" s="121">
        <f>IF($A715="","",MAX(0,$D715+$E715-$F715))</f>
        <v/>
      </c>
      <c r="H715" s="121">
        <f>IF($A715="","",MAX(0,$C715-$B715))</f>
        <v/>
      </c>
    </row>
    <row r="716" ht="15" customHeight="1" s="78">
      <c r="A716" s="122" t="n"/>
      <c r="B716" s="120" t="n"/>
      <c r="C716" s="120" t="n"/>
      <c r="D716" s="120" t="n"/>
      <c r="E716" s="120" t="n"/>
      <c r="F716" s="120" t="n"/>
      <c r="G716" s="121">
        <f>IF($A716="","",MAX(0,$D716+$E716-$F716))</f>
        <v/>
      </c>
      <c r="H716" s="121">
        <f>IF($A716="","",MAX(0,$C716-$B716))</f>
        <v/>
      </c>
    </row>
    <row r="717" ht="15" customHeight="1" s="78">
      <c r="A717" s="122" t="n"/>
      <c r="B717" s="120" t="n"/>
      <c r="C717" s="120" t="n"/>
      <c r="D717" s="120" t="n"/>
      <c r="E717" s="120" t="n"/>
      <c r="F717" s="120" t="n"/>
      <c r="G717" s="121">
        <f>IF($A717="","",MAX(0,$D717+$E717-$F717))</f>
        <v/>
      </c>
      <c r="H717" s="121">
        <f>IF($A717="","",MAX(0,$C717-$B717))</f>
        <v/>
      </c>
    </row>
    <row r="718" ht="15" customHeight="1" s="78">
      <c r="A718" s="122" t="n"/>
      <c r="B718" s="120" t="n"/>
      <c r="C718" s="120" t="n"/>
      <c r="D718" s="120" t="n"/>
      <c r="E718" s="120" t="n"/>
      <c r="F718" s="120" t="n"/>
      <c r="G718" s="121">
        <f>IF($A718="","",MAX(0,$D718+$E718-$F718))</f>
        <v/>
      </c>
      <c r="H718" s="121">
        <f>IF($A718="","",MAX(0,$C718-$B718))</f>
        <v/>
      </c>
    </row>
    <row r="719" ht="15" customHeight="1" s="78">
      <c r="A719" s="122" t="n"/>
      <c r="B719" s="120" t="n"/>
      <c r="C719" s="120" t="n"/>
      <c r="D719" s="120" t="n"/>
      <c r="E719" s="120" t="n"/>
      <c r="F719" s="120" t="n"/>
      <c r="G719" s="121">
        <f>IF($A719="","",MAX(0,$D719+$E719-$F719))</f>
        <v/>
      </c>
      <c r="H719" s="121">
        <f>IF($A719="","",MAX(0,$C719-$B719))</f>
        <v/>
      </c>
    </row>
    <row r="720" ht="15" customHeight="1" s="78">
      <c r="A720" s="122" t="n"/>
      <c r="B720" s="120" t="n"/>
      <c r="C720" s="120" t="n"/>
      <c r="D720" s="120" t="n"/>
      <c r="E720" s="120" t="n"/>
      <c r="F720" s="120" t="n"/>
      <c r="G720" s="121">
        <f>IF($A720="","",MAX(0,$D720+$E720-$F720))</f>
        <v/>
      </c>
      <c r="H720" s="121">
        <f>IF($A720="","",MAX(0,$C720-$B720))</f>
        <v/>
      </c>
    </row>
    <row r="721" ht="15" customHeight="1" s="78">
      <c r="A721" s="122" t="n"/>
      <c r="B721" s="120" t="n"/>
      <c r="C721" s="120" t="n"/>
      <c r="D721" s="120" t="n"/>
      <c r="E721" s="120" t="n"/>
      <c r="F721" s="120" t="n"/>
      <c r="G721" s="121">
        <f>IF($A721="","",MAX(0,$D721+$E721-$F721))</f>
        <v/>
      </c>
      <c r="H721" s="121">
        <f>IF($A721="","",MAX(0,$C721-$B721))</f>
        <v/>
      </c>
    </row>
    <row r="722" ht="15" customHeight="1" s="78">
      <c r="A722" s="122" t="n"/>
      <c r="B722" s="120" t="n"/>
      <c r="C722" s="120" t="n"/>
      <c r="D722" s="120" t="n"/>
      <c r="E722" s="120" t="n"/>
      <c r="F722" s="120" t="n"/>
      <c r="G722" s="121">
        <f>IF($A722="","",MAX(0,$D722+$E722-$F722))</f>
        <v/>
      </c>
      <c r="H722" s="121">
        <f>IF($A722="","",MAX(0,$C722-$B722))</f>
        <v/>
      </c>
    </row>
    <row r="723" ht="15" customHeight="1" s="78">
      <c r="A723" s="122" t="n"/>
      <c r="B723" s="120" t="n"/>
      <c r="C723" s="120" t="n"/>
      <c r="D723" s="120" t="n"/>
      <c r="E723" s="120" t="n"/>
      <c r="F723" s="120" t="n"/>
      <c r="G723" s="121">
        <f>IF($A723="","",MAX(0,$D723+$E723-$F723))</f>
        <v/>
      </c>
      <c r="H723" s="121">
        <f>IF($A723="","",MAX(0,$C723-$B723))</f>
        <v/>
      </c>
    </row>
    <row r="724" ht="15" customHeight="1" s="78">
      <c r="A724" s="122" t="n"/>
      <c r="B724" s="120" t="n"/>
      <c r="C724" s="120" t="n"/>
      <c r="D724" s="120" t="n"/>
      <c r="E724" s="120" t="n"/>
      <c r="F724" s="120" t="n"/>
      <c r="G724" s="121">
        <f>IF($A724="","",MAX(0,$D724+$E724-$F724))</f>
        <v/>
      </c>
      <c r="H724" s="121">
        <f>IF($A724="","",MAX(0,$C724-$B724))</f>
        <v/>
      </c>
    </row>
    <row r="725" ht="15" customHeight="1" s="78">
      <c r="A725" s="122" t="n"/>
      <c r="B725" s="120" t="n"/>
      <c r="C725" s="120" t="n"/>
      <c r="D725" s="120" t="n"/>
      <c r="E725" s="120" t="n"/>
      <c r="F725" s="120" t="n"/>
      <c r="G725" s="121">
        <f>IF($A725="","",MAX(0,$D725+$E725-$F725))</f>
        <v/>
      </c>
      <c r="H725" s="121">
        <f>IF($A725="","",MAX(0,$C725-$B725))</f>
        <v/>
      </c>
    </row>
    <row r="726" ht="15" customHeight="1" s="78">
      <c r="A726" s="122" t="n"/>
      <c r="B726" s="120" t="n"/>
      <c r="C726" s="120" t="n"/>
      <c r="D726" s="120" t="n"/>
      <c r="E726" s="120" t="n"/>
      <c r="F726" s="120" t="n"/>
      <c r="G726" s="121">
        <f>IF($A726="","",MAX(0,$D726+$E726-$F726))</f>
        <v/>
      </c>
      <c r="H726" s="121">
        <f>IF($A726="","",MAX(0,$C726-$B726))</f>
        <v/>
      </c>
    </row>
    <row r="727" ht="15" customHeight="1" s="78">
      <c r="A727" s="122" t="n"/>
      <c r="B727" s="120" t="n"/>
      <c r="C727" s="120" t="n"/>
      <c r="D727" s="120" t="n"/>
      <c r="E727" s="120" t="n"/>
      <c r="F727" s="120" t="n"/>
      <c r="G727" s="121">
        <f>IF($A727="","",MAX(0,$D727+$E727-$F727))</f>
        <v/>
      </c>
      <c r="H727" s="121">
        <f>IF($A727="","",MAX(0,$C727-$B727))</f>
        <v/>
      </c>
    </row>
    <row r="728" ht="15" customHeight="1" s="78">
      <c r="A728" s="122" t="n"/>
      <c r="B728" s="120" t="n"/>
      <c r="C728" s="120" t="n"/>
      <c r="D728" s="120" t="n"/>
      <c r="E728" s="120" t="n"/>
      <c r="F728" s="120" t="n"/>
      <c r="G728" s="121">
        <f>IF($A728="","",MAX(0,$D728+$E728-$F728))</f>
        <v/>
      </c>
      <c r="H728" s="121">
        <f>IF($A728="","",MAX(0,$C728-$B728))</f>
        <v/>
      </c>
    </row>
    <row r="729" ht="15" customHeight="1" s="78">
      <c r="A729" s="122" t="n"/>
      <c r="B729" s="120" t="n"/>
      <c r="C729" s="120" t="n"/>
      <c r="D729" s="120" t="n"/>
      <c r="E729" s="120" t="n"/>
      <c r="F729" s="120" t="n"/>
      <c r="G729" s="121">
        <f>IF($A729="","",MAX(0,$D729+$E729-$F729))</f>
        <v/>
      </c>
      <c r="H729" s="121">
        <f>IF($A729="","",MAX(0,$C729-$B729))</f>
        <v/>
      </c>
    </row>
    <row r="730" ht="15" customHeight="1" s="78">
      <c r="A730" s="122" t="n"/>
      <c r="B730" s="120" t="n"/>
      <c r="C730" s="120" t="n"/>
      <c r="D730" s="120" t="n"/>
      <c r="E730" s="120" t="n"/>
      <c r="F730" s="120" t="n"/>
      <c r="G730" s="121">
        <f>IF($A730="","",MAX(0,$D730+$E730-$F730))</f>
        <v/>
      </c>
      <c r="H730" s="121">
        <f>IF($A730="","",MAX(0,$C730-$B730))</f>
        <v/>
      </c>
    </row>
    <row r="731" ht="15" customHeight="1" s="78">
      <c r="A731" s="122" t="n"/>
      <c r="B731" s="120" t="n"/>
      <c r="C731" s="120" t="n"/>
      <c r="D731" s="120" t="n"/>
      <c r="E731" s="120" t="n"/>
      <c r="F731" s="120" t="n"/>
      <c r="G731" s="121">
        <f>IF($A731="","",MAX(0,$D731+$E731-$F731))</f>
        <v/>
      </c>
      <c r="H731" s="121">
        <f>IF($A731="","",MAX(0,$C731-$B731))</f>
        <v/>
      </c>
    </row>
    <row r="732" ht="15" customHeight="1" s="78">
      <c r="A732" s="122" t="n"/>
      <c r="B732" s="120" t="n"/>
      <c r="C732" s="120" t="n"/>
      <c r="D732" s="120" t="n"/>
      <c r="E732" s="120" t="n"/>
      <c r="F732" s="120" t="n"/>
      <c r="G732" s="121">
        <f>IF($A732="","",MAX(0,$D732+$E732-$F732))</f>
        <v/>
      </c>
      <c r="H732" s="121">
        <f>IF($A732="","",MAX(0,$C732-$B732))</f>
        <v/>
      </c>
    </row>
    <row r="733" ht="15" customHeight="1" s="78">
      <c r="A733" s="122" t="n"/>
      <c r="B733" s="120" t="n"/>
      <c r="C733" s="120" t="n"/>
      <c r="D733" s="120" t="n"/>
      <c r="E733" s="120" t="n"/>
      <c r="F733" s="120" t="n"/>
      <c r="G733" s="121">
        <f>IF($A733="","",MAX(0,$D733+$E733-$F733))</f>
        <v/>
      </c>
      <c r="H733" s="121">
        <f>IF($A733="","",MAX(0,$C733-$B733))</f>
        <v/>
      </c>
    </row>
    <row r="734" ht="15" customHeight="1" s="78">
      <c r="A734" s="122" t="n"/>
      <c r="B734" s="120" t="n"/>
      <c r="C734" s="120" t="n"/>
      <c r="D734" s="120" t="n"/>
      <c r="E734" s="120" t="n"/>
      <c r="F734" s="120" t="n"/>
      <c r="G734" s="121">
        <f>IF($A734="","",MAX(0,$D734+$E734-$F734))</f>
        <v/>
      </c>
      <c r="H734" s="121">
        <f>IF($A734="","",MAX(0,$C734-$B734))</f>
        <v/>
      </c>
    </row>
    <row r="735" ht="15" customHeight="1" s="78">
      <c r="A735" s="122" t="n"/>
      <c r="B735" s="120" t="n"/>
      <c r="C735" s="120" t="n"/>
      <c r="D735" s="120" t="n"/>
      <c r="E735" s="120" t="n"/>
      <c r="F735" s="120" t="n"/>
      <c r="G735" s="121">
        <f>IF($A735="","",MAX(0,$D735+$E735-$F735))</f>
        <v/>
      </c>
      <c r="H735" s="121">
        <f>IF($A735="","",MAX(0,$C735-$B735))</f>
        <v/>
      </c>
    </row>
    <row r="736" ht="15" customHeight="1" s="78">
      <c r="A736" s="122" t="n"/>
      <c r="B736" s="120" t="n"/>
      <c r="C736" s="120" t="n"/>
      <c r="D736" s="120" t="n"/>
      <c r="E736" s="120" t="n"/>
      <c r="F736" s="120" t="n"/>
      <c r="G736" s="121">
        <f>IF($A736="","",MAX(0,$D736+$E736-$F736))</f>
        <v/>
      </c>
      <c r="H736" s="121">
        <f>IF($A736="","",MAX(0,$C736-$B736))</f>
        <v/>
      </c>
    </row>
    <row r="737" ht="15" customHeight="1" s="78">
      <c r="A737" s="122" t="n"/>
      <c r="B737" s="120" t="n"/>
      <c r="C737" s="120" t="n"/>
      <c r="D737" s="120" t="n"/>
      <c r="E737" s="120" t="n"/>
      <c r="F737" s="120" t="n"/>
      <c r="G737" s="121">
        <f>IF($A737="","",MAX(0,$D737+$E737-$F737))</f>
        <v/>
      </c>
      <c r="H737" s="121">
        <f>IF($A737="","",MAX(0,$C737-$B737))</f>
        <v/>
      </c>
    </row>
    <row r="738" ht="15" customHeight="1" s="78">
      <c r="A738" s="122" t="n"/>
      <c r="B738" s="120" t="n"/>
      <c r="C738" s="120" t="n"/>
      <c r="D738" s="120" t="n"/>
      <c r="E738" s="120" t="n"/>
      <c r="F738" s="120" t="n"/>
      <c r="G738" s="121">
        <f>IF($A738="","",MAX(0,$D738+$E738-$F738))</f>
        <v/>
      </c>
      <c r="H738" s="121">
        <f>IF($A738="","",MAX(0,$C738-$B738))</f>
        <v/>
      </c>
    </row>
    <row r="739" ht="15" customHeight="1" s="78">
      <c r="A739" s="122" t="n"/>
      <c r="B739" s="120" t="n"/>
      <c r="C739" s="120" t="n"/>
      <c r="D739" s="120" t="n"/>
      <c r="E739" s="120" t="n"/>
      <c r="F739" s="120" t="n"/>
      <c r="G739" s="121">
        <f>IF($A739="","",MAX(0,$D739+$E739-$F739))</f>
        <v/>
      </c>
      <c r="H739" s="121">
        <f>IF($A739="","",MAX(0,$C739-$B739))</f>
        <v/>
      </c>
    </row>
    <row r="740" ht="15" customHeight="1" s="78">
      <c r="A740" s="122" t="n"/>
      <c r="B740" s="120" t="n"/>
      <c r="C740" s="120" t="n"/>
      <c r="D740" s="120" t="n"/>
      <c r="E740" s="120" t="n"/>
      <c r="F740" s="120" t="n"/>
      <c r="G740" s="121">
        <f>IF($A740="","",MAX(0,$D740+$E740-$F740))</f>
        <v/>
      </c>
      <c r="H740" s="121">
        <f>IF($A740="","",MAX(0,$C740-$B740))</f>
        <v/>
      </c>
    </row>
    <row r="741" ht="15" customHeight="1" s="78">
      <c r="A741" s="122" t="n"/>
      <c r="B741" s="120" t="n"/>
      <c r="C741" s="120" t="n"/>
      <c r="D741" s="120" t="n"/>
      <c r="E741" s="120" t="n"/>
      <c r="F741" s="120" t="n"/>
      <c r="G741" s="121">
        <f>IF($A741="","",MAX(0,$D741+$E741-$F741))</f>
        <v/>
      </c>
      <c r="H741" s="121">
        <f>IF($A741="","",MAX(0,$C741-$B741))</f>
        <v/>
      </c>
    </row>
    <row r="742" ht="15" customHeight="1" s="78">
      <c r="A742" s="122" t="n"/>
      <c r="B742" s="120" t="n"/>
      <c r="C742" s="120" t="n"/>
      <c r="D742" s="120" t="n"/>
      <c r="E742" s="120" t="n"/>
      <c r="F742" s="120" t="n"/>
      <c r="G742" s="121">
        <f>IF($A742="","",MAX(0,$D742+$E742-$F742))</f>
        <v/>
      </c>
      <c r="H742" s="121">
        <f>IF($A742="","",MAX(0,$C742-$B742))</f>
        <v/>
      </c>
    </row>
    <row r="743" ht="15" customHeight="1" s="78">
      <c r="A743" s="122" t="n"/>
      <c r="B743" s="120" t="n"/>
      <c r="C743" s="120" t="n"/>
      <c r="D743" s="120" t="n"/>
      <c r="E743" s="120" t="n"/>
      <c r="F743" s="120" t="n"/>
      <c r="G743" s="121">
        <f>IF($A743="","",MAX(0,$D743+$E743-$F743))</f>
        <v/>
      </c>
      <c r="H743" s="121">
        <f>IF($A743="","",MAX(0,$C743-$B743))</f>
        <v/>
      </c>
    </row>
    <row r="744" ht="15" customHeight="1" s="78">
      <c r="A744" s="122" t="n"/>
      <c r="B744" s="120" t="n"/>
      <c r="C744" s="120" t="n"/>
      <c r="D744" s="120" t="n"/>
      <c r="E744" s="120" t="n"/>
      <c r="F744" s="120" t="n"/>
      <c r="G744" s="121">
        <f>IF($A744="","",MAX(0,$D744+$E744-$F744))</f>
        <v/>
      </c>
      <c r="H744" s="121">
        <f>IF($A744="","",MAX(0,$C744-$B744))</f>
        <v/>
      </c>
    </row>
    <row r="745" ht="15" customHeight="1" s="78">
      <c r="A745" s="122" t="n"/>
      <c r="B745" s="120" t="n"/>
      <c r="C745" s="120" t="n"/>
      <c r="D745" s="120" t="n"/>
      <c r="E745" s="120" t="n"/>
      <c r="F745" s="120" t="n"/>
      <c r="G745" s="121">
        <f>IF($A745="","",MAX(0,$D745+$E745-$F745))</f>
        <v/>
      </c>
      <c r="H745" s="121">
        <f>IF($A745="","",MAX(0,$C745-$B745))</f>
        <v/>
      </c>
    </row>
    <row r="746" ht="15" customHeight="1" s="78">
      <c r="A746" s="122" t="n"/>
      <c r="B746" s="120" t="n"/>
      <c r="C746" s="120" t="n"/>
      <c r="D746" s="120" t="n"/>
      <c r="E746" s="120" t="n"/>
      <c r="F746" s="120" t="n"/>
      <c r="G746" s="121">
        <f>IF($A746="","",MAX(0,$D746+$E746-$F746))</f>
        <v/>
      </c>
      <c r="H746" s="121">
        <f>IF($A746="","",MAX(0,$C746-$B746))</f>
        <v/>
      </c>
    </row>
    <row r="747" ht="15" customHeight="1" s="78">
      <c r="A747" s="122" t="n"/>
      <c r="B747" s="120" t="n"/>
      <c r="C747" s="120" t="n"/>
      <c r="D747" s="120" t="n"/>
      <c r="E747" s="120" t="n"/>
      <c r="F747" s="120" t="n"/>
      <c r="G747" s="121">
        <f>IF($A747="","",MAX(0,$D747+$E747-$F747))</f>
        <v/>
      </c>
      <c r="H747" s="121">
        <f>IF($A747="","",MAX(0,$C747-$B747))</f>
        <v/>
      </c>
    </row>
    <row r="748" ht="15" customHeight="1" s="78">
      <c r="A748" s="122" t="n"/>
      <c r="B748" s="120" t="n"/>
      <c r="C748" s="120" t="n"/>
      <c r="D748" s="120" t="n"/>
      <c r="E748" s="120" t="n"/>
      <c r="F748" s="120" t="n"/>
      <c r="G748" s="121">
        <f>IF($A748="","",MAX(0,$D748+$E748-$F748))</f>
        <v/>
      </c>
      <c r="H748" s="121">
        <f>IF($A748="","",MAX(0,$C748-$B748))</f>
        <v/>
      </c>
    </row>
    <row r="749" ht="15" customHeight="1" s="78">
      <c r="A749" s="122" t="n"/>
      <c r="B749" s="120" t="n"/>
      <c r="C749" s="120" t="n"/>
      <c r="D749" s="120" t="n"/>
      <c r="E749" s="120" t="n"/>
      <c r="F749" s="120" t="n"/>
      <c r="G749" s="121">
        <f>IF($A749="","",MAX(0,$D749+$E749-$F749))</f>
        <v/>
      </c>
      <c r="H749" s="121">
        <f>IF($A749="","",MAX(0,$C749-$B749))</f>
        <v/>
      </c>
    </row>
    <row r="750" ht="15" customHeight="1" s="78">
      <c r="A750" s="122" t="n"/>
      <c r="B750" s="120" t="n"/>
      <c r="C750" s="120" t="n"/>
      <c r="D750" s="120" t="n"/>
      <c r="E750" s="120" t="n"/>
      <c r="F750" s="120" t="n"/>
      <c r="G750" s="121">
        <f>IF($A750="","",MAX(0,$D750+$E750-$F750))</f>
        <v/>
      </c>
      <c r="H750" s="121">
        <f>IF($A750="","",MAX(0,$C750-$B750))</f>
        <v/>
      </c>
    </row>
    <row r="751" ht="15" customHeight="1" s="78">
      <c r="A751" s="122" t="n"/>
      <c r="B751" s="120" t="n"/>
      <c r="C751" s="120" t="n"/>
      <c r="D751" s="120" t="n"/>
      <c r="E751" s="120" t="n"/>
      <c r="F751" s="120" t="n"/>
      <c r="G751" s="121">
        <f>IF($A751="","",MAX(0,$D751+$E751-$F751))</f>
        <v/>
      </c>
      <c r="H751" s="121">
        <f>IF($A751="","",MAX(0,$C751-$B751))</f>
        <v/>
      </c>
    </row>
    <row r="752" ht="15" customHeight="1" s="78">
      <c r="A752" s="122" t="n"/>
      <c r="B752" s="120" t="n"/>
      <c r="C752" s="120" t="n"/>
      <c r="D752" s="120" t="n"/>
      <c r="E752" s="120" t="n"/>
      <c r="F752" s="120" t="n"/>
      <c r="G752" s="121">
        <f>IF($A752="","",MAX(0,$D752+$E752-$F752))</f>
        <v/>
      </c>
      <c r="H752" s="121">
        <f>IF($A752="","",MAX(0,$C752-$B752))</f>
        <v/>
      </c>
    </row>
    <row r="753" ht="15" customHeight="1" s="78">
      <c r="A753" s="122" t="n"/>
      <c r="B753" s="120" t="n"/>
      <c r="C753" s="120" t="n"/>
      <c r="D753" s="120" t="n"/>
      <c r="E753" s="120" t="n"/>
      <c r="F753" s="120" t="n"/>
      <c r="G753" s="121">
        <f>IF($A753="","",MAX(0,$D753+$E753-$F753))</f>
        <v/>
      </c>
      <c r="H753" s="121">
        <f>IF($A753="","",MAX(0,$C753-$B753))</f>
        <v/>
      </c>
    </row>
    <row r="754" ht="15" customHeight="1" s="78">
      <c r="A754" s="122" t="n"/>
      <c r="B754" s="120" t="n"/>
      <c r="C754" s="120" t="n"/>
      <c r="D754" s="120" t="n"/>
      <c r="E754" s="120" t="n"/>
      <c r="F754" s="120" t="n"/>
      <c r="G754" s="121">
        <f>IF($A754="","",MAX(0,$D754+$E754-$F754))</f>
        <v/>
      </c>
      <c r="H754" s="121">
        <f>IF($A754="","",MAX(0,$C754-$B754))</f>
        <v/>
      </c>
    </row>
    <row r="755" ht="15" customHeight="1" s="78">
      <c r="A755" s="122" t="n"/>
      <c r="B755" s="120" t="n"/>
      <c r="C755" s="120" t="n"/>
      <c r="D755" s="120" t="n"/>
      <c r="E755" s="120" t="n"/>
      <c r="F755" s="120" t="n"/>
      <c r="G755" s="121">
        <f>IF($A755="","",MAX(0,$D755+$E755-$F755))</f>
        <v/>
      </c>
      <c r="H755" s="121">
        <f>IF($A755="","",MAX(0,$C755-$B755))</f>
        <v/>
      </c>
    </row>
    <row r="756" ht="15" customHeight="1" s="78">
      <c r="A756" s="122" t="n"/>
      <c r="B756" s="120" t="n"/>
      <c r="C756" s="120" t="n"/>
      <c r="D756" s="120" t="n"/>
      <c r="E756" s="120" t="n"/>
      <c r="F756" s="120" t="n"/>
      <c r="G756" s="121">
        <f>IF($A756="","",MAX(0,$D756+$E756-$F756))</f>
        <v/>
      </c>
      <c r="H756" s="121">
        <f>IF($A756="","",MAX(0,$C756-$B756))</f>
        <v/>
      </c>
    </row>
    <row r="757" ht="15" customHeight="1" s="78">
      <c r="A757" s="122" t="n"/>
      <c r="B757" s="120" t="n"/>
      <c r="C757" s="120" t="n"/>
      <c r="D757" s="120" t="n"/>
      <c r="E757" s="120" t="n"/>
      <c r="F757" s="120" t="n"/>
      <c r="G757" s="121">
        <f>IF($A757="","",MAX(0,$D757+$E757-$F757))</f>
        <v/>
      </c>
      <c r="H757" s="121">
        <f>IF($A757="","",MAX(0,$C757-$B757))</f>
        <v/>
      </c>
    </row>
    <row r="758" ht="15" customHeight="1" s="78">
      <c r="A758" s="122" t="n"/>
      <c r="B758" s="120" t="n"/>
      <c r="C758" s="120" t="n"/>
      <c r="D758" s="120" t="n"/>
      <c r="E758" s="120" t="n"/>
      <c r="F758" s="120" t="n"/>
      <c r="G758" s="121">
        <f>IF($A758="","",MAX(0,$D758+$E758-$F758))</f>
        <v/>
      </c>
      <c r="H758" s="121">
        <f>IF($A758="","",MAX(0,$C758-$B758))</f>
        <v/>
      </c>
    </row>
    <row r="759" ht="15" customHeight="1" s="78">
      <c r="A759" s="122" t="n"/>
      <c r="B759" s="120" t="n"/>
      <c r="C759" s="120" t="n"/>
      <c r="D759" s="120" t="n"/>
      <c r="E759" s="120" t="n"/>
      <c r="F759" s="120" t="n"/>
      <c r="G759" s="121">
        <f>IF($A759="","",MAX(0,$D759+$E759-$F759))</f>
        <v/>
      </c>
      <c r="H759" s="121">
        <f>IF($A759="","",MAX(0,$C759-$B759))</f>
        <v/>
      </c>
    </row>
    <row r="760" ht="15" customHeight="1" s="78">
      <c r="A760" s="122" t="n"/>
      <c r="B760" s="120" t="n"/>
      <c r="C760" s="120" t="n"/>
      <c r="D760" s="120" t="n"/>
      <c r="E760" s="120" t="n"/>
      <c r="F760" s="120" t="n"/>
      <c r="G760" s="121">
        <f>IF($A760="","",MAX(0,$D760+$E760-$F760))</f>
        <v/>
      </c>
      <c r="H760" s="121">
        <f>IF($A760="","",MAX(0,$C760-$B760))</f>
        <v/>
      </c>
    </row>
    <row r="761" ht="15" customHeight="1" s="78">
      <c r="A761" s="122" t="n"/>
      <c r="B761" s="120" t="n"/>
      <c r="C761" s="120" t="n"/>
      <c r="D761" s="120" t="n"/>
      <c r="E761" s="120" t="n"/>
      <c r="F761" s="120" t="n"/>
      <c r="G761" s="121">
        <f>IF($A761="","",MAX(0,$D761+$E761-$F761))</f>
        <v/>
      </c>
      <c r="H761" s="121">
        <f>IF($A761="","",MAX(0,$C761-$B761))</f>
        <v/>
      </c>
    </row>
    <row r="762" ht="15" customHeight="1" s="78">
      <c r="A762" s="122" t="n"/>
      <c r="B762" s="120" t="n"/>
      <c r="C762" s="120" t="n"/>
      <c r="D762" s="120" t="n"/>
      <c r="E762" s="120" t="n"/>
      <c r="F762" s="120" t="n"/>
      <c r="G762" s="121">
        <f>IF($A762="","",MAX(0,$D762+$E762-$F762))</f>
        <v/>
      </c>
      <c r="H762" s="121">
        <f>IF($A762="","",MAX(0,$C762-$B762))</f>
        <v/>
      </c>
    </row>
    <row r="763" ht="15" customHeight="1" s="78">
      <c r="A763" s="122" t="n"/>
      <c r="B763" s="120" t="n"/>
      <c r="C763" s="120" t="n"/>
      <c r="D763" s="120" t="n"/>
      <c r="E763" s="120" t="n"/>
      <c r="F763" s="120" t="n"/>
      <c r="G763" s="121">
        <f>IF($A763="","",MAX(0,$D763+$E763-$F763))</f>
        <v/>
      </c>
      <c r="H763" s="121">
        <f>IF($A763="","",MAX(0,$C763-$B763))</f>
        <v/>
      </c>
    </row>
    <row r="764" ht="15" customHeight="1" s="78">
      <c r="A764" s="122" t="n"/>
      <c r="B764" s="120" t="n"/>
      <c r="C764" s="120" t="n"/>
      <c r="D764" s="120" t="n"/>
      <c r="E764" s="120" t="n"/>
      <c r="F764" s="120" t="n"/>
      <c r="G764" s="121">
        <f>IF($A764="","",MAX(0,$D764+$E764-$F764))</f>
        <v/>
      </c>
      <c r="H764" s="121">
        <f>IF($A764="","",MAX(0,$C764-$B764))</f>
        <v/>
      </c>
    </row>
    <row r="765" ht="15" customHeight="1" s="78">
      <c r="A765" s="122" t="n"/>
      <c r="B765" s="120" t="n"/>
      <c r="C765" s="120" t="n"/>
      <c r="D765" s="120" t="n"/>
      <c r="E765" s="120" t="n"/>
      <c r="F765" s="120" t="n"/>
      <c r="G765" s="121">
        <f>IF($A765="","",MAX(0,$D765+$E765-$F765))</f>
        <v/>
      </c>
      <c r="H765" s="121">
        <f>IF($A765="","",MAX(0,$C765-$B765))</f>
        <v/>
      </c>
    </row>
    <row r="766" ht="15" customHeight="1" s="78">
      <c r="A766" s="122" t="n"/>
      <c r="B766" s="120" t="n"/>
      <c r="C766" s="120" t="n"/>
      <c r="D766" s="120" t="n"/>
      <c r="E766" s="120" t="n"/>
      <c r="F766" s="120" t="n"/>
      <c r="G766" s="121">
        <f>IF($A766="","",MAX(0,$D766+$E766-$F766))</f>
        <v/>
      </c>
      <c r="H766" s="121">
        <f>IF($A766="","",MAX(0,$C766-$B766))</f>
        <v/>
      </c>
    </row>
    <row r="767" ht="15" customHeight="1" s="78">
      <c r="A767" s="122" t="n"/>
      <c r="B767" s="120" t="n"/>
      <c r="C767" s="120" t="n"/>
      <c r="D767" s="120" t="n"/>
      <c r="E767" s="120" t="n"/>
      <c r="F767" s="120" t="n"/>
      <c r="G767" s="121">
        <f>IF($A767="","",MAX(0,$D767+$E767-$F767))</f>
        <v/>
      </c>
      <c r="H767" s="121">
        <f>IF($A767="","",MAX(0,$C767-$B767))</f>
        <v/>
      </c>
    </row>
    <row r="768" ht="15" customHeight="1" s="78">
      <c r="A768" s="122" t="n"/>
      <c r="B768" s="120" t="n"/>
      <c r="C768" s="120" t="n"/>
      <c r="D768" s="120" t="n"/>
      <c r="E768" s="120" t="n"/>
      <c r="F768" s="120" t="n"/>
      <c r="G768" s="121">
        <f>IF($A768="","",MAX(0,$D768+$E768-$F768))</f>
        <v/>
      </c>
      <c r="H768" s="121">
        <f>IF($A768="","",MAX(0,$C768-$B768))</f>
        <v/>
      </c>
    </row>
    <row r="769" ht="15" customHeight="1" s="78">
      <c r="A769" s="122" t="n"/>
      <c r="B769" s="120" t="n"/>
      <c r="C769" s="120" t="n"/>
      <c r="D769" s="120" t="n"/>
      <c r="E769" s="120" t="n"/>
      <c r="F769" s="120" t="n"/>
      <c r="G769" s="121">
        <f>IF($A769="","",MAX(0,$D769+$E769-$F769))</f>
        <v/>
      </c>
      <c r="H769" s="121">
        <f>IF($A769="","",MAX(0,$C769-$B769))</f>
        <v/>
      </c>
    </row>
    <row r="770" ht="15" customHeight="1" s="78">
      <c r="A770" s="122" t="n"/>
      <c r="B770" s="120" t="n"/>
      <c r="C770" s="120" t="n"/>
      <c r="D770" s="120" t="n"/>
      <c r="E770" s="120" t="n"/>
      <c r="F770" s="120" t="n"/>
      <c r="G770" s="121">
        <f>IF($A770="","",MAX(0,$D770+$E770-$F770))</f>
        <v/>
      </c>
      <c r="H770" s="121">
        <f>IF($A770="","",MAX(0,$C770-$B770))</f>
        <v/>
      </c>
    </row>
    <row r="771" ht="15" customHeight="1" s="78">
      <c r="A771" s="122" t="n"/>
      <c r="B771" s="120" t="n"/>
      <c r="C771" s="120" t="n"/>
      <c r="D771" s="120" t="n"/>
      <c r="E771" s="120" t="n"/>
      <c r="F771" s="120" t="n"/>
      <c r="G771" s="121">
        <f>IF($A771="","",MAX(0,$D771+$E771-$F771))</f>
        <v/>
      </c>
      <c r="H771" s="121">
        <f>IF($A771="","",MAX(0,$C771-$B771))</f>
        <v/>
      </c>
    </row>
    <row r="772" ht="15" customHeight="1" s="78">
      <c r="A772" s="122" t="n"/>
      <c r="B772" s="120" t="n"/>
      <c r="C772" s="120" t="n"/>
      <c r="D772" s="120" t="n"/>
      <c r="E772" s="120" t="n"/>
      <c r="F772" s="120" t="n"/>
      <c r="G772" s="121">
        <f>IF($A772="","",MAX(0,$D772+$E772-$F772))</f>
        <v/>
      </c>
      <c r="H772" s="121">
        <f>IF($A772="","",MAX(0,$C772-$B772))</f>
        <v/>
      </c>
    </row>
    <row r="773" ht="15" customHeight="1" s="78">
      <c r="A773" s="122" t="n"/>
      <c r="B773" s="120" t="n"/>
      <c r="C773" s="120" t="n"/>
      <c r="D773" s="120" t="n"/>
      <c r="E773" s="120" t="n"/>
      <c r="F773" s="120" t="n"/>
      <c r="G773" s="121">
        <f>IF($A773="","",MAX(0,$D773+$E773-$F773))</f>
        <v/>
      </c>
      <c r="H773" s="121">
        <f>IF($A773="","",MAX(0,$C773-$B773))</f>
        <v/>
      </c>
    </row>
    <row r="774" ht="15" customHeight="1" s="78">
      <c r="A774" s="122" t="n"/>
      <c r="B774" s="120" t="n"/>
      <c r="C774" s="120" t="n"/>
      <c r="D774" s="120" t="n"/>
      <c r="E774" s="120" t="n"/>
      <c r="F774" s="120" t="n"/>
      <c r="G774" s="121">
        <f>IF($A774="","",MAX(0,$D774+$E774-$F774))</f>
        <v/>
      </c>
      <c r="H774" s="121">
        <f>IF($A774="","",MAX(0,$C774-$B774))</f>
        <v/>
      </c>
    </row>
    <row r="775" ht="15" customHeight="1" s="78">
      <c r="A775" s="122" t="n"/>
      <c r="B775" s="120" t="n"/>
      <c r="C775" s="120" t="n"/>
      <c r="D775" s="120" t="n"/>
      <c r="E775" s="120" t="n"/>
      <c r="F775" s="120" t="n"/>
      <c r="G775" s="121">
        <f>IF($A775="","",MAX(0,$D775+$E775-$F775))</f>
        <v/>
      </c>
      <c r="H775" s="121">
        <f>IF($A775="","",MAX(0,$C775-$B775))</f>
        <v/>
      </c>
    </row>
    <row r="776" ht="15" customHeight="1" s="78">
      <c r="A776" s="122" t="n"/>
      <c r="B776" s="120" t="n"/>
      <c r="C776" s="120" t="n"/>
      <c r="D776" s="120" t="n"/>
      <c r="E776" s="120" t="n"/>
      <c r="F776" s="120" t="n"/>
      <c r="G776" s="121">
        <f>IF($A776="","",MAX(0,$D776+$E776-$F776))</f>
        <v/>
      </c>
      <c r="H776" s="121">
        <f>IF($A776="","",MAX(0,$C776-$B776))</f>
        <v/>
      </c>
    </row>
    <row r="777" ht="15" customHeight="1" s="78">
      <c r="A777" s="122" t="n"/>
      <c r="B777" s="120" t="n"/>
      <c r="C777" s="120" t="n"/>
      <c r="D777" s="120" t="n"/>
      <c r="E777" s="120" t="n"/>
      <c r="F777" s="120" t="n"/>
      <c r="G777" s="121">
        <f>IF($A777="","",MAX(0,$D777+$E777-$F777))</f>
        <v/>
      </c>
      <c r="H777" s="121">
        <f>IF($A777="","",MAX(0,$C777-$B777))</f>
        <v/>
      </c>
    </row>
    <row r="778" ht="15" customHeight="1" s="78">
      <c r="A778" s="122" t="n"/>
      <c r="B778" s="120" t="n"/>
      <c r="C778" s="120" t="n"/>
      <c r="D778" s="120" t="n"/>
      <c r="E778" s="120" t="n"/>
      <c r="F778" s="120" t="n"/>
      <c r="G778" s="121">
        <f>IF($A778="","",MAX(0,$D778+$E778-$F778))</f>
        <v/>
      </c>
      <c r="H778" s="121">
        <f>IF($A778="","",MAX(0,$C778-$B778))</f>
        <v/>
      </c>
    </row>
    <row r="779" ht="15" customHeight="1" s="78">
      <c r="A779" s="122" t="n"/>
      <c r="B779" s="120" t="n"/>
      <c r="C779" s="120" t="n"/>
      <c r="D779" s="120" t="n"/>
      <c r="E779" s="120" t="n"/>
      <c r="F779" s="120" t="n"/>
      <c r="G779" s="121">
        <f>IF($A779="","",MAX(0,$D779+$E779-$F779))</f>
        <v/>
      </c>
      <c r="H779" s="121">
        <f>IF($A779="","",MAX(0,$C779-$B779))</f>
        <v/>
      </c>
    </row>
    <row r="780" ht="15" customHeight="1" s="78">
      <c r="A780" s="122" t="n"/>
      <c r="B780" s="120" t="n"/>
      <c r="C780" s="120" t="n"/>
      <c r="D780" s="120" t="n"/>
      <c r="E780" s="120" t="n"/>
      <c r="F780" s="120" t="n"/>
      <c r="G780" s="121">
        <f>IF($A780="","",MAX(0,$D780+$E780-$F780))</f>
        <v/>
      </c>
      <c r="H780" s="121">
        <f>IF($A780="","",MAX(0,$C780-$B780))</f>
        <v/>
      </c>
    </row>
    <row r="781" ht="15" customHeight="1" s="78">
      <c r="A781" s="122" t="n"/>
      <c r="B781" s="120" t="n"/>
      <c r="C781" s="120" t="n"/>
      <c r="D781" s="120" t="n"/>
      <c r="E781" s="120" t="n"/>
      <c r="F781" s="120" t="n"/>
      <c r="G781" s="121">
        <f>IF($A781="","",MAX(0,$D781+$E781-$F781))</f>
        <v/>
      </c>
      <c r="H781" s="121">
        <f>IF($A781="","",MAX(0,$C781-$B781))</f>
        <v/>
      </c>
    </row>
    <row r="782" ht="15" customHeight="1" s="78">
      <c r="A782" s="122" t="n"/>
      <c r="B782" s="120" t="n"/>
      <c r="C782" s="120" t="n"/>
      <c r="D782" s="120" t="n"/>
      <c r="E782" s="120" t="n"/>
      <c r="F782" s="120" t="n"/>
      <c r="G782" s="121">
        <f>IF($A782="","",MAX(0,$D782+$E782-$F782))</f>
        <v/>
      </c>
      <c r="H782" s="121">
        <f>IF($A782="","",MAX(0,$C782-$B782))</f>
        <v/>
      </c>
    </row>
    <row r="783" ht="15" customHeight="1" s="78">
      <c r="A783" s="122" t="n"/>
      <c r="B783" s="120" t="n"/>
      <c r="C783" s="120" t="n"/>
      <c r="D783" s="120" t="n"/>
      <c r="E783" s="120" t="n"/>
      <c r="F783" s="120" t="n"/>
      <c r="G783" s="121">
        <f>IF($A783="","",MAX(0,$D783+$E783-$F783))</f>
        <v/>
      </c>
      <c r="H783" s="121">
        <f>IF($A783="","",MAX(0,$C783-$B783))</f>
        <v/>
      </c>
    </row>
    <row r="784" ht="15" customHeight="1" s="78">
      <c r="A784" s="122" t="n"/>
      <c r="B784" s="120" t="n"/>
      <c r="C784" s="120" t="n"/>
      <c r="D784" s="120" t="n"/>
      <c r="E784" s="120" t="n"/>
      <c r="F784" s="120" t="n"/>
      <c r="G784" s="121">
        <f>IF($A784="","",MAX(0,$D784+$E784-$F784))</f>
        <v/>
      </c>
      <c r="H784" s="121">
        <f>IF($A784="","",MAX(0,$C784-$B784))</f>
        <v/>
      </c>
    </row>
    <row r="785" ht="15" customHeight="1" s="78">
      <c r="A785" s="122" t="n"/>
      <c r="B785" s="120" t="n"/>
      <c r="C785" s="120" t="n"/>
      <c r="D785" s="120" t="n"/>
      <c r="E785" s="120" t="n"/>
      <c r="F785" s="120" t="n"/>
      <c r="G785" s="121">
        <f>IF($A785="","",MAX(0,$D785+$E785-$F785))</f>
        <v/>
      </c>
      <c r="H785" s="121">
        <f>IF($A785="","",MAX(0,$C785-$B785))</f>
        <v/>
      </c>
    </row>
    <row r="786" ht="15" customHeight="1" s="78">
      <c r="A786" s="122" t="n"/>
      <c r="B786" s="120" t="n"/>
      <c r="C786" s="120" t="n"/>
      <c r="D786" s="120" t="n"/>
      <c r="E786" s="120" t="n"/>
      <c r="F786" s="120" t="n"/>
      <c r="G786" s="121">
        <f>IF($A786="","",MAX(0,$D786+$E786-$F786))</f>
        <v/>
      </c>
      <c r="H786" s="121">
        <f>IF($A786="","",MAX(0,$C786-$B786))</f>
        <v/>
      </c>
    </row>
    <row r="787" ht="15" customHeight="1" s="78">
      <c r="A787" s="122" t="n"/>
      <c r="B787" s="120" t="n"/>
      <c r="C787" s="120" t="n"/>
      <c r="D787" s="120" t="n"/>
      <c r="E787" s="120" t="n"/>
      <c r="F787" s="120" t="n"/>
      <c r="G787" s="121">
        <f>IF($A787="","",MAX(0,$D787+$E787-$F787))</f>
        <v/>
      </c>
      <c r="H787" s="121">
        <f>IF($A787="","",MAX(0,$C787-$B787))</f>
        <v/>
      </c>
    </row>
    <row r="788" ht="15" customHeight="1" s="78">
      <c r="A788" s="122" t="n"/>
      <c r="B788" s="120" t="n"/>
      <c r="C788" s="120" t="n"/>
      <c r="D788" s="120" t="n"/>
      <c r="E788" s="120" t="n"/>
      <c r="F788" s="120" t="n"/>
      <c r="G788" s="121">
        <f>IF($A788="","",MAX(0,$D788+$E788-$F788))</f>
        <v/>
      </c>
      <c r="H788" s="121">
        <f>IF($A788="","",MAX(0,$C788-$B788))</f>
        <v/>
      </c>
    </row>
    <row r="789" ht="15" customHeight="1" s="78">
      <c r="A789" s="122" t="n"/>
      <c r="B789" s="120" t="n"/>
      <c r="C789" s="120" t="n"/>
      <c r="D789" s="120" t="n"/>
      <c r="E789" s="120" t="n"/>
      <c r="F789" s="120" t="n"/>
      <c r="G789" s="121">
        <f>IF($A789="","",MAX(0,$D789+$E789-$F789))</f>
        <v/>
      </c>
      <c r="H789" s="121">
        <f>IF($A789="","",MAX(0,$C789-$B789))</f>
        <v/>
      </c>
    </row>
    <row r="790" ht="15" customHeight="1" s="78">
      <c r="A790" s="122" t="n"/>
      <c r="B790" s="120" t="n"/>
      <c r="C790" s="120" t="n"/>
      <c r="D790" s="120" t="n"/>
      <c r="E790" s="120" t="n"/>
      <c r="F790" s="120" t="n"/>
      <c r="G790" s="121">
        <f>IF($A790="","",MAX(0,$D790+$E790-$F790))</f>
        <v/>
      </c>
      <c r="H790" s="121">
        <f>IF($A790="","",MAX(0,$C790-$B790))</f>
        <v/>
      </c>
    </row>
    <row r="791" ht="15" customHeight="1" s="78">
      <c r="A791" s="122" t="n"/>
      <c r="B791" s="120" t="n"/>
      <c r="C791" s="120" t="n"/>
      <c r="D791" s="120" t="n"/>
      <c r="E791" s="120" t="n"/>
      <c r="F791" s="120" t="n"/>
      <c r="G791" s="121">
        <f>IF($A791="","",MAX(0,$D791+$E791-$F791))</f>
        <v/>
      </c>
      <c r="H791" s="121">
        <f>IF($A791="","",MAX(0,$C791-$B791))</f>
        <v/>
      </c>
    </row>
    <row r="792" ht="15" customHeight="1" s="78">
      <c r="A792" s="122" t="n"/>
      <c r="B792" s="120" t="n"/>
      <c r="C792" s="120" t="n"/>
      <c r="D792" s="120" t="n"/>
      <c r="E792" s="120" t="n"/>
      <c r="F792" s="120" t="n"/>
      <c r="G792" s="121">
        <f>IF($A792="","",MAX(0,$D792+$E792-$F792))</f>
        <v/>
      </c>
      <c r="H792" s="121">
        <f>IF($A792="","",MAX(0,$C792-$B792))</f>
        <v/>
      </c>
    </row>
    <row r="793" ht="15" customHeight="1" s="78">
      <c r="A793" s="122" t="n"/>
      <c r="B793" s="120" t="n"/>
      <c r="C793" s="120" t="n"/>
      <c r="D793" s="120" t="n"/>
      <c r="E793" s="120" t="n"/>
      <c r="F793" s="120" t="n"/>
      <c r="G793" s="121">
        <f>IF($A793="","",MAX(0,$D793+$E793-$F793))</f>
        <v/>
      </c>
      <c r="H793" s="121">
        <f>IF($A793="","",MAX(0,$C793-$B793))</f>
        <v/>
      </c>
    </row>
    <row r="794" ht="15" customHeight="1" s="78">
      <c r="A794" s="122" t="n"/>
      <c r="B794" s="120" t="n"/>
      <c r="C794" s="120" t="n"/>
      <c r="D794" s="120" t="n"/>
      <c r="E794" s="120" t="n"/>
      <c r="F794" s="120" t="n"/>
      <c r="G794" s="121">
        <f>IF($A794="","",MAX(0,$D794+$E794-$F794))</f>
        <v/>
      </c>
      <c r="H794" s="121">
        <f>IF($A794="","",MAX(0,$C794-$B794))</f>
        <v/>
      </c>
    </row>
    <row r="795" ht="15" customHeight="1" s="78">
      <c r="A795" s="122" t="n"/>
      <c r="B795" s="120" t="n"/>
      <c r="C795" s="120" t="n"/>
      <c r="D795" s="120" t="n"/>
      <c r="E795" s="120" t="n"/>
      <c r="F795" s="120" t="n"/>
      <c r="G795" s="121">
        <f>IF($A795="","",MAX(0,$D795+$E795-$F795))</f>
        <v/>
      </c>
      <c r="H795" s="121">
        <f>IF($A795="","",MAX(0,$C795-$B795))</f>
        <v/>
      </c>
    </row>
    <row r="796" ht="15" customHeight="1" s="78">
      <c r="A796" s="122" t="n"/>
      <c r="B796" s="120" t="n"/>
      <c r="C796" s="120" t="n"/>
      <c r="D796" s="120" t="n"/>
      <c r="E796" s="120" t="n"/>
      <c r="F796" s="120" t="n"/>
      <c r="G796" s="121">
        <f>IF($A796="","",MAX(0,$D796+$E796-$F796))</f>
        <v/>
      </c>
      <c r="H796" s="121">
        <f>IF($A796="","",MAX(0,$C796-$B796))</f>
        <v/>
      </c>
    </row>
    <row r="797" ht="15" customHeight="1" s="78">
      <c r="A797" s="122" t="n"/>
      <c r="B797" s="120" t="n"/>
      <c r="C797" s="120" t="n"/>
      <c r="D797" s="120" t="n"/>
      <c r="E797" s="120" t="n"/>
      <c r="F797" s="120" t="n"/>
      <c r="G797" s="121">
        <f>IF($A797="","",MAX(0,$D797+$E797-$F797))</f>
        <v/>
      </c>
      <c r="H797" s="121">
        <f>IF($A797="","",MAX(0,$C797-$B797))</f>
        <v/>
      </c>
    </row>
    <row r="798" ht="15" customHeight="1" s="78">
      <c r="A798" s="122" t="n"/>
      <c r="B798" s="120" t="n"/>
      <c r="C798" s="120" t="n"/>
      <c r="D798" s="120" t="n"/>
      <c r="E798" s="120" t="n"/>
      <c r="F798" s="120" t="n"/>
      <c r="G798" s="121">
        <f>IF($A798="","",MAX(0,$D798+$E798-$F798))</f>
        <v/>
      </c>
      <c r="H798" s="121">
        <f>IF($A798="","",MAX(0,$C798-$B798))</f>
        <v/>
      </c>
    </row>
    <row r="799" ht="15" customHeight="1" s="78">
      <c r="A799" s="122" t="n"/>
      <c r="B799" s="120" t="n"/>
      <c r="C799" s="120" t="n"/>
      <c r="D799" s="120" t="n"/>
      <c r="E799" s="120" t="n"/>
      <c r="F799" s="120" t="n"/>
      <c r="G799" s="121">
        <f>IF($A799="","",MAX(0,$D799+$E799-$F799))</f>
        <v/>
      </c>
      <c r="H799" s="121">
        <f>IF($A799="","",MAX(0,$C799-$B799))</f>
        <v/>
      </c>
    </row>
    <row r="800" ht="15" customHeight="1" s="78">
      <c r="A800" s="122" t="n"/>
      <c r="B800" s="120" t="n"/>
      <c r="C800" s="120" t="n"/>
      <c r="D800" s="120" t="n"/>
      <c r="E800" s="120" t="n"/>
      <c r="F800" s="120" t="n"/>
      <c r="G800" s="121">
        <f>IF($A800="","",MAX(0,$D800+$E800-$F800))</f>
        <v/>
      </c>
      <c r="H800" s="121">
        <f>IF($A800="","",MAX(0,$C800-$B800))</f>
        <v/>
      </c>
    </row>
    <row r="801" ht="15" customHeight="1" s="78">
      <c r="A801" s="122" t="n"/>
      <c r="B801" s="120" t="n"/>
      <c r="C801" s="120" t="n"/>
      <c r="D801" s="120" t="n"/>
      <c r="E801" s="120" t="n"/>
      <c r="F801" s="120" t="n"/>
      <c r="G801" s="121">
        <f>IF($A801="","",MAX(0,$D801+$E801-$F801))</f>
        <v/>
      </c>
      <c r="H801" s="121">
        <f>IF($A801="","",MAX(0,$C801-$B801))</f>
        <v/>
      </c>
    </row>
    <row r="802" ht="15" customHeight="1" s="78">
      <c r="A802" s="122" t="n"/>
      <c r="B802" s="120" t="n"/>
      <c r="C802" s="120" t="n"/>
      <c r="D802" s="120" t="n"/>
      <c r="E802" s="120" t="n"/>
      <c r="F802" s="120" t="n"/>
      <c r="G802" s="121">
        <f>IF($A802="","",MAX(0,$D802+$E802-$F802))</f>
        <v/>
      </c>
      <c r="H802" s="121">
        <f>IF($A802="","",MAX(0,$C802-$B802))</f>
        <v/>
      </c>
    </row>
    <row r="803" ht="15" customHeight="1" s="78">
      <c r="A803" s="122" t="n"/>
      <c r="B803" s="120" t="n"/>
      <c r="C803" s="120" t="n"/>
      <c r="D803" s="120" t="n"/>
      <c r="E803" s="120" t="n"/>
      <c r="F803" s="120" t="n"/>
      <c r="G803" s="121">
        <f>IF($A803="","",MAX(0,$D803+$E803-$F803))</f>
        <v/>
      </c>
      <c r="H803" s="121">
        <f>IF($A803="","",MAX(0,$C803-$B803))</f>
        <v/>
      </c>
    </row>
    <row r="804" ht="15" customHeight="1" s="78">
      <c r="A804" s="122" t="n"/>
      <c r="B804" s="120" t="n"/>
      <c r="C804" s="120" t="n"/>
      <c r="D804" s="120" t="n"/>
      <c r="E804" s="120" t="n"/>
      <c r="F804" s="120" t="n"/>
      <c r="G804" s="121">
        <f>IF($A804="","",MAX(0,$D804+$E804-$F804))</f>
        <v/>
      </c>
      <c r="H804" s="121">
        <f>IF($A804="","",MAX(0,$C804-$B804))</f>
        <v/>
      </c>
    </row>
    <row r="805" ht="15" customHeight="1" s="78">
      <c r="A805" s="122" t="n"/>
      <c r="B805" s="120" t="n"/>
      <c r="C805" s="120" t="n"/>
      <c r="D805" s="120" t="n"/>
      <c r="E805" s="120" t="n"/>
      <c r="F805" s="120" t="n"/>
      <c r="G805" s="121">
        <f>IF($A805="","",MAX(0,$D805+$E805-$F805))</f>
        <v/>
      </c>
      <c r="H805" s="121">
        <f>IF($A805="","",MAX(0,$C805-$B805))</f>
        <v/>
      </c>
    </row>
    <row r="806" ht="15" customHeight="1" s="78">
      <c r="A806" s="122" t="n"/>
      <c r="B806" s="120" t="n"/>
      <c r="C806" s="120" t="n"/>
      <c r="D806" s="120" t="n"/>
      <c r="E806" s="120" t="n"/>
      <c r="F806" s="120" t="n"/>
      <c r="G806" s="121">
        <f>IF($A806="","",MAX(0,$D806+$E806-$F806))</f>
        <v/>
      </c>
      <c r="H806" s="121">
        <f>IF($A806="","",MAX(0,$C806-$B806))</f>
        <v/>
      </c>
    </row>
    <row r="807" ht="15" customHeight="1" s="78">
      <c r="A807" s="122" t="n"/>
      <c r="B807" s="120" t="n"/>
      <c r="C807" s="120" t="n"/>
      <c r="D807" s="120" t="n"/>
      <c r="E807" s="120" t="n"/>
      <c r="F807" s="120" t="n"/>
      <c r="G807" s="121">
        <f>IF($A807="","",MAX(0,$D807+$E807-$F807))</f>
        <v/>
      </c>
      <c r="H807" s="121">
        <f>IF($A807="","",MAX(0,$C807-$B807))</f>
        <v/>
      </c>
    </row>
    <row r="808" ht="15" customHeight="1" s="78">
      <c r="A808" s="122" t="n"/>
      <c r="B808" s="120" t="n"/>
      <c r="C808" s="120" t="n"/>
      <c r="D808" s="120" t="n"/>
      <c r="E808" s="120" t="n"/>
      <c r="F808" s="120" t="n"/>
      <c r="G808" s="121">
        <f>IF($A808="","",MAX(0,$D808+$E808-$F808))</f>
        <v/>
      </c>
      <c r="H808" s="121">
        <f>IF($A808="","",MAX(0,$C808-$B808))</f>
        <v/>
      </c>
    </row>
    <row r="809" ht="15" customHeight="1" s="78">
      <c r="A809" s="122" t="n"/>
      <c r="B809" s="120" t="n"/>
      <c r="C809" s="120" t="n"/>
      <c r="D809" s="120" t="n"/>
      <c r="E809" s="120" t="n"/>
      <c r="F809" s="120" t="n"/>
      <c r="G809" s="121">
        <f>IF($A809="","",MAX(0,$D809+$E809-$F809))</f>
        <v/>
      </c>
      <c r="H809" s="121">
        <f>IF($A809="","",MAX(0,$C809-$B809))</f>
        <v/>
      </c>
    </row>
    <row r="810" ht="15" customHeight="1" s="78">
      <c r="A810" s="122" t="n"/>
      <c r="B810" s="120" t="n"/>
      <c r="C810" s="120" t="n"/>
      <c r="D810" s="120" t="n"/>
      <c r="E810" s="120" t="n"/>
      <c r="F810" s="120" t="n"/>
      <c r="G810" s="121">
        <f>IF($A810="","",MAX(0,$D810+$E810-$F810))</f>
        <v/>
      </c>
      <c r="H810" s="121">
        <f>IF($A810="","",MAX(0,$C810-$B810))</f>
        <v/>
      </c>
    </row>
    <row r="811" ht="15" customHeight="1" s="78">
      <c r="A811" s="122" t="n"/>
      <c r="B811" s="120" t="n"/>
      <c r="C811" s="120" t="n"/>
      <c r="D811" s="120" t="n"/>
      <c r="E811" s="120" t="n"/>
      <c r="F811" s="120" t="n"/>
      <c r="G811" s="121">
        <f>IF($A811="","",MAX(0,$D811+$E811-$F811))</f>
        <v/>
      </c>
      <c r="H811" s="121">
        <f>IF($A811="","",MAX(0,$C811-$B811))</f>
        <v/>
      </c>
    </row>
    <row r="812" ht="15" customHeight="1" s="78">
      <c r="A812" s="122" t="n"/>
      <c r="B812" s="120" t="n"/>
      <c r="C812" s="120" t="n"/>
      <c r="D812" s="120" t="n"/>
      <c r="E812" s="120" t="n"/>
      <c r="F812" s="120" t="n"/>
      <c r="G812" s="121">
        <f>IF($A812="","",MAX(0,$D812+$E812-$F812))</f>
        <v/>
      </c>
      <c r="H812" s="121">
        <f>IF($A812="","",MAX(0,$C812-$B812))</f>
        <v/>
      </c>
    </row>
    <row r="813" ht="15" customHeight="1" s="78">
      <c r="A813" s="122" t="n"/>
      <c r="B813" s="120" t="n"/>
      <c r="C813" s="120" t="n"/>
      <c r="D813" s="120" t="n"/>
      <c r="E813" s="120" t="n"/>
      <c r="F813" s="120" t="n"/>
      <c r="G813" s="121">
        <f>IF($A813="","",MAX(0,$D813+$E813-$F813))</f>
        <v/>
      </c>
      <c r="H813" s="121">
        <f>IF($A813="","",MAX(0,$C813-$B813))</f>
        <v/>
      </c>
    </row>
    <row r="814" ht="15" customHeight="1" s="78">
      <c r="A814" s="122" t="n"/>
      <c r="B814" s="120" t="n"/>
      <c r="C814" s="120" t="n"/>
      <c r="D814" s="120" t="n"/>
      <c r="E814" s="120" t="n"/>
      <c r="F814" s="120" t="n"/>
      <c r="G814" s="121">
        <f>IF($A814="","",MAX(0,$D814+$E814-$F814))</f>
        <v/>
      </c>
      <c r="H814" s="121">
        <f>IF($A814="","",MAX(0,$C814-$B814))</f>
        <v/>
      </c>
    </row>
    <row r="815" ht="15" customHeight="1" s="78">
      <c r="A815" s="122" t="n"/>
      <c r="B815" s="120" t="n"/>
      <c r="C815" s="120" t="n"/>
      <c r="D815" s="120" t="n"/>
      <c r="E815" s="120" t="n"/>
      <c r="F815" s="120" t="n"/>
      <c r="G815" s="121">
        <f>IF($A815="","",MAX(0,$D815+$E815-$F815))</f>
        <v/>
      </c>
      <c r="H815" s="121">
        <f>IF($A815="","",MAX(0,$C815-$B815))</f>
        <v/>
      </c>
    </row>
    <row r="816" ht="15" customHeight="1" s="78">
      <c r="A816" s="122" t="n"/>
      <c r="B816" s="120" t="n"/>
      <c r="C816" s="120" t="n"/>
      <c r="D816" s="120" t="n"/>
      <c r="E816" s="120" t="n"/>
      <c r="F816" s="120" t="n"/>
      <c r="G816" s="121">
        <f>IF($A816="","",MAX(0,$D816+$E816-$F816))</f>
        <v/>
      </c>
      <c r="H816" s="121">
        <f>IF($A816="","",MAX(0,$C816-$B816))</f>
        <v/>
      </c>
    </row>
    <row r="817" ht="15" customHeight="1" s="78">
      <c r="A817" s="122" t="n"/>
      <c r="B817" s="120" t="n"/>
      <c r="C817" s="120" t="n"/>
      <c r="D817" s="120" t="n"/>
      <c r="E817" s="120" t="n"/>
      <c r="F817" s="120" t="n"/>
      <c r="G817" s="121">
        <f>IF($A817="","",MAX(0,$D817+$E817-$F817))</f>
        <v/>
      </c>
      <c r="H817" s="121">
        <f>IF($A817="","",MAX(0,$C817-$B817))</f>
        <v/>
      </c>
    </row>
    <row r="818" ht="15" customHeight="1" s="78">
      <c r="A818" s="122" t="n"/>
      <c r="B818" s="120" t="n"/>
      <c r="C818" s="120" t="n"/>
      <c r="D818" s="120" t="n"/>
      <c r="E818" s="120" t="n"/>
      <c r="F818" s="120" t="n"/>
      <c r="G818" s="121">
        <f>IF($A818="","",MAX(0,$D818+$E818-$F818))</f>
        <v/>
      </c>
      <c r="H818" s="121">
        <f>IF($A818="","",MAX(0,$C818-$B818))</f>
        <v/>
      </c>
    </row>
    <row r="819" ht="15" customHeight="1" s="78">
      <c r="A819" s="122" t="n"/>
      <c r="B819" s="120" t="n"/>
      <c r="C819" s="120" t="n"/>
      <c r="D819" s="120" t="n"/>
      <c r="E819" s="120" t="n"/>
      <c r="F819" s="120" t="n"/>
      <c r="G819" s="121">
        <f>IF($A819="","",MAX(0,$D819+$E819-$F819))</f>
        <v/>
      </c>
      <c r="H819" s="121">
        <f>IF($A819="","",MAX(0,$C819-$B819))</f>
        <v/>
      </c>
    </row>
    <row r="820" ht="15" customHeight="1" s="78">
      <c r="A820" s="122" t="n"/>
      <c r="B820" s="120" t="n"/>
      <c r="C820" s="120" t="n"/>
      <c r="D820" s="120" t="n"/>
      <c r="E820" s="120" t="n"/>
      <c r="F820" s="120" t="n"/>
      <c r="G820" s="121">
        <f>IF($A820="","",MAX(0,$D820+$E820-$F820))</f>
        <v/>
      </c>
      <c r="H820" s="121">
        <f>IF($A820="","",MAX(0,$C820-$B820))</f>
        <v/>
      </c>
    </row>
    <row r="821" ht="15" customHeight="1" s="78">
      <c r="A821" s="122" t="n"/>
      <c r="B821" s="120" t="n"/>
      <c r="C821" s="120" t="n"/>
      <c r="D821" s="120" t="n"/>
      <c r="E821" s="120" t="n"/>
      <c r="F821" s="120" t="n"/>
      <c r="G821" s="121">
        <f>IF($A821="","",MAX(0,$D821+$E821-$F821))</f>
        <v/>
      </c>
      <c r="H821" s="121">
        <f>IF($A821="","",MAX(0,$C821-$B821))</f>
        <v/>
      </c>
    </row>
    <row r="822" ht="15" customHeight="1" s="78">
      <c r="A822" s="122" t="n"/>
      <c r="B822" s="120" t="n"/>
      <c r="C822" s="120" t="n"/>
      <c r="D822" s="120" t="n"/>
      <c r="E822" s="120" t="n"/>
      <c r="F822" s="120" t="n"/>
      <c r="G822" s="121">
        <f>IF($A822="","",MAX(0,$D822+$E822-$F822))</f>
        <v/>
      </c>
      <c r="H822" s="121">
        <f>IF($A822="","",MAX(0,$C822-$B822))</f>
        <v/>
      </c>
    </row>
    <row r="823" ht="15" customHeight="1" s="78">
      <c r="A823" s="122" t="n"/>
      <c r="B823" s="120" t="n"/>
      <c r="C823" s="120" t="n"/>
      <c r="D823" s="120" t="n"/>
      <c r="E823" s="120" t="n"/>
      <c r="F823" s="120" t="n"/>
      <c r="G823" s="121">
        <f>IF($A823="","",MAX(0,$D823+$E823-$F823))</f>
        <v/>
      </c>
      <c r="H823" s="121">
        <f>IF($A823="","",MAX(0,$C823-$B823))</f>
        <v/>
      </c>
    </row>
    <row r="824" ht="15" customHeight="1" s="78">
      <c r="A824" s="122" t="n"/>
      <c r="B824" s="120" t="n"/>
      <c r="C824" s="120" t="n"/>
      <c r="D824" s="120" t="n"/>
      <c r="E824" s="120" t="n"/>
      <c r="F824" s="120" t="n"/>
      <c r="G824" s="121">
        <f>IF($A824="","",MAX(0,$D824+$E824-$F824))</f>
        <v/>
      </c>
      <c r="H824" s="121">
        <f>IF($A824="","",MAX(0,$C824-$B824))</f>
        <v/>
      </c>
    </row>
    <row r="825" ht="15" customHeight="1" s="78">
      <c r="A825" s="122" t="n"/>
      <c r="B825" s="120" t="n"/>
      <c r="C825" s="120" t="n"/>
      <c r="D825" s="120" t="n"/>
      <c r="E825" s="120" t="n"/>
      <c r="F825" s="120" t="n"/>
      <c r="G825" s="121">
        <f>IF($A825="","",MAX(0,$D825+$E825-$F825))</f>
        <v/>
      </c>
      <c r="H825" s="121">
        <f>IF($A825="","",MAX(0,$C825-$B825))</f>
        <v/>
      </c>
    </row>
    <row r="826" ht="15" customHeight="1" s="78">
      <c r="A826" s="122" t="n"/>
      <c r="B826" s="120" t="n"/>
      <c r="C826" s="120" t="n"/>
      <c r="D826" s="120" t="n"/>
      <c r="E826" s="120" t="n"/>
      <c r="F826" s="120" t="n"/>
      <c r="G826" s="121">
        <f>IF($A826="","",MAX(0,$D826+$E826-$F826))</f>
        <v/>
      </c>
      <c r="H826" s="121">
        <f>IF($A826="","",MAX(0,$C826-$B826))</f>
        <v/>
      </c>
    </row>
    <row r="827" ht="15" customHeight="1" s="78">
      <c r="A827" s="122" t="n"/>
      <c r="B827" s="120" t="n"/>
      <c r="C827" s="120" t="n"/>
      <c r="D827" s="120" t="n"/>
      <c r="E827" s="120" t="n"/>
      <c r="F827" s="120" t="n"/>
      <c r="G827" s="121">
        <f>IF($A827="","",MAX(0,$D827+$E827-$F827))</f>
        <v/>
      </c>
      <c r="H827" s="121">
        <f>IF($A827="","",MAX(0,$C827-$B827))</f>
        <v/>
      </c>
    </row>
    <row r="828" ht="15" customHeight="1" s="78">
      <c r="A828" s="122" t="n"/>
      <c r="B828" s="120" t="n"/>
      <c r="C828" s="120" t="n"/>
      <c r="D828" s="120" t="n"/>
      <c r="E828" s="120" t="n"/>
      <c r="F828" s="120" t="n"/>
      <c r="G828" s="121">
        <f>IF($A828="","",MAX(0,$D828+$E828-$F828))</f>
        <v/>
      </c>
      <c r="H828" s="121">
        <f>IF($A828="","",MAX(0,$C828-$B828))</f>
        <v/>
      </c>
    </row>
    <row r="829" ht="15" customHeight="1" s="78">
      <c r="A829" s="122" t="n"/>
      <c r="B829" s="120" t="n"/>
      <c r="C829" s="120" t="n"/>
      <c r="D829" s="120" t="n"/>
      <c r="E829" s="120" t="n"/>
      <c r="F829" s="120" t="n"/>
      <c r="G829" s="121">
        <f>IF($A829="","",MAX(0,$D829+$E829-$F829))</f>
        <v/>
      </c>
      <c r="H829" s="121">
        <f>IF($A829="","",MAX(0,$C829-$B829))</f>
        <v/>
      </c>
    </row>
    <row r="830" ht="15" customHeight="1" s="78">
      <c r="A830" s="122" t="n"/>
      <c r="B830" s="120" t="n"/>
      <c r="C830" s="120" t="n"/>
      <c r="D830" s="120" t="n"/>
      <c r="E830" s="120" t="n"/>
      <c r="F830" s="120" t="n"/>
      <c r="G830" s="121">
        <f>IF($A830="","",MAX(0,$D830+$E830-$F830))</f>
        <v/>
      </c>
      <c r="H830" s="121">
        <f>IF($A830="","",MAX(0,$C830-$B830))</f>
        <v/>
      </c>
    </row>
    <row r="831" ht="15" customHeight="1" s="78">
      <c r="A831" s="122" t="n"/>
      <c r="B831" s="120" t="n"/>
      <c r="C831" s="120" t="n"/>
      <c r="D831" s="120" t="n"/>
      <c r="E831" s="120" t="n"/>
      <c r="F831" s="120" t="n"/>
      <c r="G831" s="121">
        <f>IF($A831="","",MAX(0,$D831+$E831-$F831))</f>
        <v/>
      </c>
      <c r="H831" s="121">
        <f>IF($A831="","",MAX(0,$C831-$B831))</f>
        <v/>
      </c>
    </row>
    <row r="832" ht="15" customHeight="1" s="78">
      <c r="A832" s="122" t="n"/>
      <c r="B832" s="120" t="n"/>
      <c r="C832" s="120" t="n"/>
      <c r="D832" s="120" t="n"/>
      <c r="E832" s="120" t="n"/>
      <c r="F832" s="120" t="n"/>
      <c r="G832" s="121">
        <f>IF($A832="","",MAX(0,$D832+$E832-$F832))</f>
        <v/>
      </c>
      <c r="H832" s="121">
        <f>IF($A832="","",MAX(0,$C832-$B832))</f>
        <v/>
      </c>
    </row>
    <row r="833" ht="15" customHeight="1" s="78">
      <c r="A833" s="122" t="n"/>
      <c r="B833" s="120" t="n"/>
      <c r="C833" s="120" t="n"/>
      <c r="D833" s="120" t="n"/>
      <c r="E833" s="120" t="n"/>
      <c r="F833" s="120" t="n"/>
      <c r="G833" s="121">
        <f>IF($A833="","",MAX(0,$D833+$E833-$F833))</f>
        <v/>
      </c>
      <c r="H833" s="121">
        <f>IF($A833="","",MAX(0,$C833-$B833))</f>
        <v/>
      </c>
    </row>
    <row r="834" ht="15" customHeight="1" s="78">
      <c r="A834" s="122" t="n"/>
      <c r="B834" s="120" t="n"/>
      <c r="C834" s="120" t="n"/>
      <c r="D834" s="120" t="n"/>
      <c r="E834" s="120" t="n"/>
      <c r="F834" s="120" t="n"/>
      <c r="G834" s="121">
        <f>IF($A834="","",MAX(0,$D834+$E834-$F834))</f>
        <v/>
      </c>
      <c r="H834" s="121">
        <f>IF($A834="","",MAX(0,$C834-$B834))</f>
        <v/>
      </c>
    </row>
    <row r="835" ht="15" customHeight="1" s="78">
      <c r="A835" s="122" t="n"/>
      <c r="B835" s="120" t="n"/>
      <c r="C835" s="120" t="n"/>
      <c r="D835" s="120" t="n"/>
      <c r="E835" s="120" t="n"/>
      <c r="F835" s="120" t="n"/>
      <c r="G835" s="121">
        <f>IF($A835="","",MAX(0,$D835+$E835-$F835))</f>
        <v/>
      </c>
      <c r="H835" s="121">
        <f>IF($A835="","",MAX(0,$C835-$B835))</f>
        <v/>
      </c>
    </row>
    <row r="836" ht="15" customHeight="1" s="78">
      <c r="A836" s="122" t="n"/>
      <c r="B836" s="120" t="n"/>
      <c r="C836" s="120" t="n"/>
      <c r="D836" s="120" t="n"/>
      <c r="E836" s="120" t="n"/>
      <c r="F836" s="120" t="n"/>
      <c r="G836" s="121">
        <f>IF($A836="","",MAX(0,$D836+$E836-$F836))</f>
        <v/>
      </c>
      <c r="H836" s="121">
        <f>IF($A836="","",MAX(0,$C836-$B836))</f>
        <v/>
      </c>
    </row>
    <row r="837" ht="15" customHeight="1" s="78">
      <c r="A837" s="122" t="n"/>
      <c r="B837" s="120" t="n"/>
      <c r="C837" s="120" t="n"/>
      <c r="D837" s="120" t="n"/>
      <c r="E837" s="120" t="n"/>
      <c r="F837" s="120" t="n"/>
      <c r="G837" s="121">
        <f>IF($A837="","",MAX(0,$D837+$E837-$F837))</f>
        <v/>
      </c>
      <c r="H837" s="121">
        <f>IF($A837="","",MAX(0,$C837-$B837))</f>
        <v/>
      </c>
    </row>
    <row r="838" ht="15" customHeight="1" s="78">
      <c r="A838" s="122" t="n"/>
      <c r="B838" s="120" t="n"/>
      <c r="C838" s="120" t="n"/>
      <c r="D838" s="120" t="n"/>
      <c r="E838" s="120" t="n"/>
      <c r="F838" s="120" t="n"/>
      <c r="G838" s="121">
        <f>IF($A838="","",MAX(0,$D838+$E838-$F838))</f>
        <v/>
      </c>
      <c r="H838" s="121">
        <f>IF($A838="","",MAX(0,$C838-$B838))</f>
        <v/>
      </c>
    </row>
    <row r="839" ht="15" customHeight="1" s="78">
      <c r="A839" s="122" t="n"/>
      <c r="B839" s="120" t="n"/>
      <c r="C839" s="120" t="n"/>
      <c r="D839" s="120" t="n"/>
      <c r="E839" s="120" t="n"/>
      <c r="F839" s="120" t="n"/>
      <c r="G839" s="121">
        <f>IF($A839="","",MAX(0,$D839+$E839-$F839))</f>
        <v/>
      </c>
      <c r="H839" s="121">
        <f>IF($A839="","",MAX(0,$C839-$B839))</f>
        <v/>
      </c>
    </row>
    <row r="840" ht="15" customHeight="1" s="78">
      <c r="A840" s="122" t="n"/>
      <c r="B840" s="120" t="n"/>
      <c r="C840" s="120" t="n"/>
      <c r="D840" s="120" t="n"/>
      <c r="E840" s="120" t="n"/>
      <c r="F840" s="120" t="n"/>
      <c r="G840" s="121">
        <f>IF($A840="","",MAX(0,$D840+$E840-$F840))</f>
        <v/>
      </c>
      <c r="H840" s="121">
        <f>IF($A840="","",MAX(0,$C840-$B840))</f>
        <v/>
      </c>
    </row>
    <row r="841" ht="15" customHeight="1" s="78">
      <c r="A841" s="122" t="n"/>
      <c r="B841" s="120" t="n"/>
      <c r="C841" s="120" t="n"/>
      <c r="D841" s="120" t="n"/>
      <c r="E841" s="120" t="n"/>
      <c r="F841" s="120" t="n"/>
      <c r="G841" s="121">
        <f>IF($A841="","",MAX(0,$D841+$E841-$F841))</f>
        <v/>
      </c>
      <c r="H841" s="121">
        <f>IF($A841="","",MAX(0,$C841-$B841))</f>
        <v/>
      </c>
    </row>
    <row r="842" ht="15" customHeight="1" s="78">
      <c r="A842" s="122" t="n"/>
      <c r="B842" s="120" t="n"/>
      <c r="C842" s="120" t="n"/>
      <c r="D842" s="120" t="n"/>
      <c r="E842" s="120" t="n"/>
      <c r="F842" s="120" t="n"/>
      <c r="G842" s="121">
        <f>IF($A842="","",MAX(0,$D842+$E842-$F842))</f>
        <v/>
      </c>
      <c r="H842" s="121">
        <f>IF($A842="","",MAX(0,$C842-$B842))</f>
        <v/>
      </c>
    </row>
    <row r="843" ht="15" customHeight="1" s="78">
      <c r="A843" s="122" t="n"/>
      <c r="B843" s="120" t="n"/>
      <c r="C843" s="120" t="n"/>
      <c r="D843" s="120" t="n"/>
      <c r="E843" s="120" t="n"/>
      <c r="F843" s="120" t="n"/>
      <c r="G843" s="121">
        <f>IF($A843="","",MAX(0,$D843+$E843-$F843))</f>
        <v/>
      </c>
      <c r="H843" s="121">
        <f>IF($A843="","",MAX(0,$C843-$B843))</f>
        <v/>
      </c>
    </row>
    <row r="844" ht="15" customHeight="1" s="78">
      <c r="A844" s="122" t="n"/>
      <c r="B844" s="120" t="n"/>
      <c r="C844" s="120" t="n"/>
      <c r="D844" s="120" t="n"/>
      <c r="E844" s="120" t="n"/>
      <c r="F844" s="120" t="n"/>
      <c r="G844" s="121">
        <f>IF($A844="","",MAX(0,$D844+$E844-$F844))</f>
        <v/>
      </c>
      <c r="H844" s="121">
        <f>IF($A844="","",MAX(0,$C844-$B844))</f>
        <v/>
      </c>
    </row>
    <row r="845" ht="15" customHeight="1" s="78">
      <c r="A845" s="122" t="n"/>
      <c r="B845" s="120" t="n"/>
      <c r="C845" s="120" t="n"/>
      <c r="D845" s="120" t="n"/>
      <c r="E845" s="120" t="n"/>
      <c r="F845" s="120" t="n"/>
      <c r="G845" s="121">
        <f>IF($A845="","",MAX(0,$D845+$E845-$F845))</f>
        <v/>
      </c>
      <c r="H845" s="121">
        <f>IF($A845="","",MAX(0,$C845-$B845))</f>
        <v/>
      </c>
    </row>
    <row r="846" ht="15" customHeight="1" s="78">
      <c r="A846" s="122" t="n"/>
      <c r="B846" s="120" t="n"/>
      <c r="C846" s="120" t="n"/>
      <c r="D846" s="120" t="n"/>
      <c r="E846" s="120" t="n"/>
      <c r="F846" s="120" t="n"/>
      <c r="G846" s="121">
        <f>IF($A846="","",MAX(0,$D846+$E846-$F846))</f>
        <v/>
      </c>
      <c r="H846" s="121">
        <f>IF($A846="","",MAX(0,$C846-$B846))</f>
        <v/>
      </c>
    </row>
    <row r="847" ht="15" customHeight="1" s="78">
      <c r="A847" s="122" t="n"/>
      <c r="B847" s="120" t="n"/>
      <c r="C847" s="120" t="n"/>
      <c r="D847" s="120" t="n"/>
      <c r="E847" s="120" t="n"/>
      <c r="F847" s="120" t="n"/>
      <c r="G847" s="121">
        <f>IF($A847="","",MAX(0,$D847+$E847-$F847))</f>
        <v/>
      </c>
      <c r="H847" s="121">
        <f>IF($A847="","",MAX(0,$C847-$B847))</f>
        <v/>
      </c>
    </row>
    <row r="848" ht="15" customHeight="1" s="78">
      <c r="A848" s="122" t="n"/>
      <c r="B848" s="120" t="n"/>
      <c r="C848" s="120" t="n"/>
      <c r="D848" s="120" t="n"/>
      <c r="E848" s="120" t="n"/>
      <c r="F848" s="120" t="n"/>
      <c r="G848" s="121">
        <f>IF($A848="","",MAX(0,$D848+$E848-$F848))</f>
        <v/>
      </c>
      <c r="H848" s="121">
        <f>IF($A848="","",MAX(0,$C848-$B848))</f>
        <v/>
      </c>
    </row>
    <row r="849" ht="15" customHeight="1" s="78">
      <c r="A849" s="122" t="n"/>
      <c r="B849" s="120" t="n"/>
      <c r="C849" s="120" t="n"/>
      <c r="D849" s="120" t="n"/>
      <c r="E849" s="120" t="n"/>
      <c r="F849" s="120" t="n"/>
      <c r="G849" s="121">
        <f>IF($A849="","",MAX(0,$D849+$E849-$F849))</f>
        <v/>
      </c>
      <c r="H849" s="121">
        <f>IF($A849="","",MAX(0,$C849-$B849))</f>
        <v/>
      </c>
    </row>
    <row r="850" ht="15" customHeight="1" s="78">
      <c r="A850" s="122" t="n"/>
      <c r="B850" s="120" t="n"/>
      <c r="C850" s="120" t="n"/>
      <c r="D850" s="120" t="n"/>
      <c r="E850" s="120" t="n"/>
      <c r="F850" s="120" t="n"/>
      <c r="G850" s="121">
        <f>IF($A850="","",MAX(0,$D850+$E850-$F850))</f>
        <v/>
      </c>
      <c r="H850" s="121">
        <f>IF($A850="","",MAX(0,$C850-$B850))</f>
        <v/>
      </c>
    </row>
    <row r="851" ht="15" customHeight="1" s="78">
      <c r="A851" s="122" t="n"/>
      <c r="B851" s="120" t="n"/>
      <c r="C851" s="120" t="n"/>
      <c r="D851" s="120" t="n"/>
      <c r="E851" s="120" t="n"/>
      <c r="F851" s="120" t="n"/>
      <c r="G851" s="121">
        <f>IF($A851="","",MAX(0,$D851+$E851-$F851))</f>
        <v/>
      </c>
      <c r="H851" s="121">
        <f>IF($A851="","",MAX(0,$C851-$B851))</f>
        <v/>
      </c>
    </row>
    <row r="852" ht="15" customHeight="1" s="78">
      <c r="A852" s="122" t="n"/>
      <c r="B852" s="120" t="n"/>
      <c r="C852" s="120" t="n"/>
      <c r="D852" s="120" t="n"/>
      <c r="E852" s="120" t="n"/>
      <c r="F852" s="120" t="n"/>
      <c r="G852" s="121">
        <f>IF($A852="","",MAX(0,$D852+$E852-$F852))</f>
        <v/>
      </c>
      <c r="H852" s="121">
        <f>IF($A852="","",MAX(0,$C852-$B852))</f>
        <v/>
      </c>
    </row>
    <row r="853" ht="15" customHeight="1" s="78">
      <c r="A853" s="122" t="n"/>
      <c r="B853" s="120" t="n"/>
      <c r="C853" s="120" t="n"/>
      <c r="D853" s="120" t="n"/>
      <c r="E853" s="120" t="n"/>
      <c r="F853" s="120" t="n"/>
      <c r="G853" s="121">
        <f>IF($A853="","",MAX(0,$D853+$E853-$F853))</f>
        <v/>
      </c>
      <c r="H853" s="121">
        <f>IF($A853="","",MAX(0,$C853-$B853))</f>
        <v/>
      </c>
    </row>
    <row r="854" ht="15" customHeight="1" s="78">
      <c r="A854" s="122" t="n"/>
      <c r="B854" s="120" t="n"/>
      <c r="C854" s="120" t="n"/>
      <c r="D854" s="120" t="n"/>
      <c r="E854" s="120" t="n"/>
      <c r="F854" s="120" t="n"/>
      <c r="G854" s="121">
        <f>IF($A854="","",MAX(0,$D854+$E854-$F854))</f>
        <v/>
      </c>
      <c r="H854" s="121">
        <f>IF($A854="","",MAX(0,$C854-$B854))</f>
        <v/>
      </c>
    </row>
    <row r="855" ht="15" customHeight="1" s="78">
      <c r="A855" s="122" t="n"/>
      <c r="B855" s="120" t="n"/>
      <c r="C855" s="120" t="n"/>
      <c r="D855" s="120" t="n"/>
      <c r="E855" s="120" t="n"/>
      <c r="F855" s="120" t="n"/>
      <c r="G855" s="121">
        <f>IF($A855="","",MAX(0,$D855+$E855-$F855))</f>
        <v/>
      </c>
      <c r="H855" s="121">
        <f>IF($A855="","",MAX(0,$C855-$B855))</f>
        <v/>
      </c>
    </row>
    <row r="856" ht="15" customHeight="1" s="78">
      <c r="A856" s="122" t="n"/>
      <c r="B856" s="120" t="n"/>
      <c r="C856" s="120" t="n"/>
      <c r="D856" s="120" t="n"/>
      <c r="E856" s="120" t="n"/>
      <c r="F856" s="120" t="n"/>
      <c r="G856" s="121">
        <f>IF($A856="","",MAX(0,$D856+$E856-$F856))</f>
        <v/>
      </c>
      <c r="H856" s="121">
        <f>IF($A856="","",MAX(0,$C856-$B856))</f>
        <v/>
      </c>
    </row>
    <row r="857" ht="15" customHeight="1" s="78">
      <c r="A857" s="122" t="n"/>
      <c r="B857" s="120" t="n"/>
      <c r="C857" s="120" t="n"/>
      <c r="D857" s="120" t="n"/>
      <c r="E857" s="120" t="n"/>
      <c r="F857" s="120" t="n"/>
      <c r="G857" s="121">
        <f>IF($A857="","",MAX(0,$D857+$E857-$F857))</f>
        <v/>
      </c>
      <c r="H857" s="121">
        <f>IF($A857="","",MAX(0,$C857-$B857))</f>
        <v/>
      </c>
    </row>
    <row r="858" ht="15" customHeight="1" s="78">
      <c r="A858" s="122" t="n"/>
      <c r="B858" s="120" t="n"/>
      <c r="C858" s="120" t="n"/>
      <c r="D858" s="120" t="n"/>
      <c r="E858" s="120" t="n"/>
      <c r="F858" s="120" t="n"/>
      <c r="G858" s="121">
        <f>IF($A858="","",MAX(0,$D858+$E858-$F858))</f>
        <v/>
      </c>
      <c r="H858" s="121">
        <f>IF($A858="","",MAX(0,$C858-$B858))</f>
        <v/>
      </c>
    </row>
    <row r="859" ht="15" customHeight="1" s="78">
      <c r="A859" s="122" t="n"/>
      <c r="B859" s="120" t="n"/>
      <c r="C859" s="120" t="n"/>
      <c r="D859" s="120" t="n"/>
      <c r="E859" s="120" t="n"/>
      <c r="F859" s="120" t="n"/>
      <c r="G859" s="121">
        <f>IF($A859="","",MAX(0,$D859+$E859-$F859))</f>
        <v/>
      </c>
      <c r="H859" s="121">
        <f>IF($A859="","",MAX(0,$C859-$B859))</f>
        <v/>
      </c>
    </row>
    <row r="860" ht="15" customHeight="1" s="78">
      <c r="A860" s="122" t="n"/>
      <c r="B860" s="120" t="n"/>
      <c r="C860" s="120" t="n"/>
      <c r="D860" s="120" t="n"/>
      <c r="E860" s="120" t="n"/>
      <c r="F860" s="120" t="n"/>
      <c r="G860" s="121">
        <f>IF($A860="","",MAX(0,$D860+$E860-$F860))</f>
        <v/>
      </c>
      <c r="H860" s="121">
        <f>IF($A860="","",MAX(0,$C860-$B860))</f>
        <v/>
      </c>
    </row>
    <row r="861" ht="15" customHeight="1" s="78">
      <c r="A861" s="122" t="n"/>
      <c r="B861" s="120" t="n"/>
      <c r="C861" s="120" t="n"/>
      <c r="D861" s="120" t="n"/>
      <c r="E861" s="120" t="n"/>
      <c r="F861" s="120" t="n"/>
      <c r="G861" s="121">
        <f>IF($A861="","",MAX(0,$D861+$E861-$F861))</f>
        <v/>
      </c>
      <c r="H861" s="121">
        <f>IF($A861="","",MAX(0,$C861-$B861))</f>
        <v/>
      </c>
    </row>
    <row r="862" ht="15" customHeight="1" s="78">
      <c r="A862" s="122" t="n"/>
      <c r="B862" s="120" t="n"/>
      <c r="C862" s="120" t="n"/>
      <c r="D862" s="120" t="n"/>
      <c r="E862" s="120" t="n"/>
      <c r="F862" s="120" t="n"/>
      <c r="G862" s="121">
        <f>IF($A862="","",MAX(0,$D862+$E862-$F862))</f>
        <v/>
      </c>
      <c r="H862" s="121">
        <f>IF($A862="","",MAX(0,$C862-$B862))</f>
        <v/>
      </c>
    </row>
    <row r="863" ht="15" customHeight="1" s="78">
      <c r="A863" s="122" t="n"/>
      <c r="B863" s="120" t="n"/>
      <c r="C863" s="120" t="n"/>
      <c r="D863" s="120" t="n"/>
      <c r="E863" s="120" t="n"/>
      <c r="F863" s="120" t="n"/>
      <c r="G863" s="121">
        <f>IF($A863="","",MAX(0,$D863+$E863-$F863))</f>
        <v/>
      </c>
      <c r="H863" s="121">
        <f>IF($A863="","",MAX(0,$C863-$B863))</f>
        <v/>
      </c>
    </row>
    <row r="864" ht="15" customHeight="1" s="78">
      <c r="A864" s="122" t="n"/>
      <c r="B864" s="120" t="n"/>
      <c r="C864" s="120" t="n"/>
      <c r="D864" s="120" t="n"/>
      <c r="E864" s="120" t="n"/>
      <c r="F864" s="120" t="n"/>
      <c r="G864" s="121">
        <f>IF($A864="","",MAX(0,$D864+$E864-$F864))</f>
        <v/>
      </c>
      <c r="H864" s="121">
        <f>IF($A864="","",MAX(0,$C864-$B864))</f>
        <v/>
      </c>
    </row>
    <row r="865" ht="15" customHeight="1" s="78">
      <c r="A865" s="122" t="n"/>
      <c r="B865" s="120" t="n"/>
      <c r="C865" s="120" t="n"/>
      <c r="D865" s="120" t="n"/>
      <c r="E865" s="120" t="n"/>
      <c r="F865" s="120" t="n"/>
      <c r="G865" s="121">
        <f>IF($A865="","",MAX(0,$D865+$E865-$F865))</f>
        <v/>
      </c>
      <c r="H865" s="121">
        <f>IF($A865="","",MAX(0,$C865-$B865))</f>
        <v/>
      </c>
    </row>
    <row r="866" ht="15" customHeight="1" s="78">
      <c r="A866" s="122" t="n"/>
      <c r="B866" s="120" t="n"/>
      <c r="C866" s="120" t="n"/>
      <c r="D866" s="120" t="n"/>
      <c r="E866" s="120" t="n"/>
      <c r="F866" s="120" t="n"/>
      <c r="G866" s="121">
        <f>IF($A866="","",MAX(0,$D866+$E866-$F866))</f>
        <v/>
      </c>
      <c r="H866" s="121">
        <f>IF($A866="","",MAX(0,$C866-$B866))</f>
        <v/>
      </c>
    </row>
    <row r="867" ht="15" customHeight="1" s="78">
      <c r="A867" s="122" t="n"/>
      <c r="B867" s="120" t="n"/>
      <c r="C867" s="120" t="n"/>
      <c r="D867" s="120" t="n"/>
      <c r="E867" s="120" t="n"/>
      <c r="F867" s="120" t="n"/>
      <c r="G867" s="121">
        <f>IF($A867="","",MAX(0,$D867+$E867-$F867))</f>
        <v/>
      </c>
      <c r="H867" s="121">
        <f>IF($A867="","",MAX(0,$C867-$B867))</f>
        <v/>
      </c>
    </row>
    <row r="868" ht="15" customHeight="1" s="78">
      <c r="A868" s="122" t="n"/>
      <c r="B868" s="120" t="n"/>
      <c r="C868" s="120" t="n"/>
      <c r="D868" s="120" t="n"/>
      <c r="E868" s="120" t="n"/>
      <c r="F868" s="120" t="n"/>
      <c r="G868" s="121">
        <f>IF($A868="","",MAX(0,$D868+$E868-$F868))</f>
        <v/>
      </c>
      <c r="H868" s="121">
        <f>IF($A868="","",MAX(0,$C868-$B868))</f>
        <v/>
      </c>
    </row>
    <row r="869" ht="15" customHeight="1" s="78">
      <c r="A869" s="122" t="n"/>
      <c r="B869" s="120" t="n"/>
      <c r="C869" s="120" t="n"/>
      <c r="D869" s="120" t="n"/>
      <c r="E869" s="120" t="n"/>
      <c r="F869" s="120" t="n"/>
      <c r="G869" s="121">
        <f>IF($A869="","",MAX(0,$D869+$E869-$F869))</f>
        <v/>
      </c>
      <c r="H869" s="121">
        <f>IF($A869="","",MAX(0,$C869-$B869))</f>
        <v/>
      </c>
    </row>
    <row r="870" ht="15" customHeight="1" s="78">
      <c r="A870" s="122" t="n"/>
      <c r="B870" s="120" t="n"/>
      <c r="C870" s="120" t="n"/>
      <c r="D870" s="120" t="n"/>
      <c r="E870" s="120" t="n"/>
      <c r="F870" s="120" t="n"/>
      <c r="G870" s="121">
        <f>IF($A870="","",MAX(0,$D870+$E870-$F870))</f>
        <v/>
      </c>
      <c r="H870" s="121">
        <f>IF($A870="","",MAX(0,$C870-$B870))</f>
        <v/>
      </c>
    </row>
    <row r="871" ht="15" customHeight="1" s="78">
      <c r="A871" s="122" t="n"/>
      <c r="B871" s="120" t="n"/>
      <c r="C871" s="120" t="n"/>
      <c r="D871" s="120" t="n"/>
      <c r="E871" s="120" t="n"/>
      <c r="F871" s="120" t="n"/>
      <c r="G871" s="121">
        <f>IF($A871="","",MAX(0,$D871+$E871-$F871))</f>
        <v/>
      </c>
      <c r="H871" s="121">
        <f>IF($A871="","",MAX(0,$C871-$B871))</f>
        <v/>
      </c>
    </row>
    <row r="872" ht="15" customHeight="1" s="78">
      <c r="A872" s="122" t="n"/>
      <c r="B872" s="120" t="n"/>
      <c r="C872" s="120" t="n"/>
      <c r="D872" s="120" t="n"/>
      <c r="E872" s="120" t="n"/>
      <c r="F872" s="120" t="n"/>
      <c r="G872" s="121">
        <f>IF($A872="","",MAX(0,$D872+$E872-$F872))</f>
        <v/>
      </c>
      <c r="H872" s="121">
        <f>IF($A872="","",MAX(0,$C872-$B872))</f>
        <v/>
      </c>
    </row>
    <row r="873" ht="15" customHeight="1" s="78">
      <c r="A873" s="122" t="n"/>
      <c r="B873" s="120" t="n"/>
      <c r="C873" s="120" t="n"/>
      <c r="D873" s="120" t="n"/>
      <c r="E873" s="120" t="n"/>
      <c r="F873" s="120" t="n"/>
      <c r="G873" s="121">
        <f>IF($A873="","",MAX(0,$D873+$E873-$F873))</f>
        <v/>
      </c>
      <c r="H873" s="121">
        <f>IF($A873="","",MAX(0,$C873-$B873))</f>
        <v/>
      </c>
    </row>
    <row r="874" ht="15" customHeight="1" s="78">
      <c r="A874" s="122" t="n"/>
      <c r="B874" s="120" t="n"/>
      <c r="C874" s="120" t="n"/>
      <c r="D874" s="120" t="n"/>
      <c r="E874" s="120" t="n"/>
      <c r="F874" s="120" t="n"/>
      <c r="G874" s="121">
        <f>IF($A874="","",MAX(0,$D874+$E874-$F874))</f>
        <v/>
      </c>
      <c r="H874" s="121">
        <f>IF($A874="","",MAX(0,$C874-$B874))</f>
        <v/>
      </c>
    </row>
    <row r="875" ht="15" customHeight="1" s="78">
      <c r="A875" s="122" t="n"/>
      <c r="B875" s="120" t="n"/>
      <c r="C875" s="120" t="n"/>
      <c r="D875" s="120" t="n"/>
      <c r="E875" s="120" t="n"/>
      <c r="F875" s="120" t="n"/>
      <c r="G875" s="121">
        <f>IF($A875="","",MAX(0,$D875+$E875-$F875))</f>
        <v/>
      </c>
      <c r="H875" s="121">
        <f>IF($A875="","",MAX(0,$C875-$B875))</f>
        <v/>
      </c>
    </row>
    <row r="876" ht="15" customHeight="1" s="78">
      <c r="A876" s="122" t="n"/>
      <c r="B876" s="120" t="n"/>
      <c r="C876" s="120" t="n"/>
      <c r="D876" s="120" t="n"/>
      <c r="E876" s="120" t="n"/>
      <c r="F876" s="120" t="n"/>
      <c r="G876" s="121">
        <f>IF($A876="","",MAX(0,$D876+$E876-$F876))</f>
        <v/>
      </c>
      <c r="H876" s="121">
        <f>IF($A876="","",MAX(0,$C876-$B876))</f>
        <v/>
      </c>
    </row>
    <row r="877" ht="15" customHeight="1" s="78">
      <c r="A877" s="122" t="n"/>
      <c r="B877" s="120" t="n"/>
      <c r="C877" s="120" t="n"/>
      <c r="D877" s="120" t="n"/>
      <c r="E877" s="120" t="n"/>
      <c r="F877" s="120" t="n"/>
      <c r="G877" s="121">
        <f>IF($A877="","",MAX(0,$D877+$E877-$F877))</f>
        <v/>
      </c>
      <c r="H877" s="121">
        <f>IF($A877="","",MAX(0,$C877-$B877))</f>
        <v/>
      </c>
    </row>
    <row r="878" ht="15" customHeight="1" s="78">
      <c r="A878" s="122" t="n"/>
      <c r="B878" s="120" t="n"/>
      <c r="C878" s="120" t="n"/>
      <c r="D878" s="120" t="n"/>
      <c r="E878" s="120" t="n"/>
      <c r="F878" s="120" t="n"/>
      <c r="G878" s="121">
        <f>IF($A878="","",MAX(0,$D878+$E878-$F878))</f>
        <v/>
      </c>
      <c r="H878" s="121">
        <f>IF($A878="","",MAX(0,$C878-$B878))</f>
        <v/>
      </c>
    </row>
    <row r="879" ht="15" customHeight="1" s="78">
      <c r="A879" s="122" t="n"/>
      <c r="B879" s="120" t="n"/>
      <c r="C879" s="120" t="n"/>
      <c r="D879" s="120" t="n"/>
      <c r="E879" s="120" t="n"/>
      <c r="F879" s="120" t="n"/>
      <c r="G879" s="121">
        <f>IF($A879="","",MAX(0,$D879+$E879-$F879))</f>
        <v/>
      </c>
      <c r="H879" s="121">
        <f>IF($A879="","",MAX(0,$C879-$B879))</f>
        <v/>
      </c>
    </row>
    <row r="880" ht="15" customHeight="1" s="78">
      <c r="A880" s="122" t="n"/>
      <c r="B880" s="120" t="n"/>
      <c r="C880" s="120" t="n"/>
      <c r="D880" s="120" t="n"/>
      <c r="E880" s="120" t="n"/>
      <c r="F880" s="120" t="n"/>
      <c r="G880" s="121">
        <f>IF($A880="","",MAX(0,$D880+$E880-$F880))</f>
        <v/>
      </c>
      <c r="H880" s="121">
        <f>IF($A880="","",MAX(0,$C880-$B880))</f>
        <v/>
      </c>
    </row>
    <row r="881" ht="15" customHeight="1" s="78">
      <c r="A881" s="122" t="n"/>
      <c r="B881" s="120" t="n"/>
      <c r="C881" s="120" t="n"/>
      <c r="D881" s="120" t="n"/>
      <c r="E881" s="120" t="n"/>
      <c r="F881" s="120" t="n"/>
      <c r="G881" s="121">
        <f>IF($A881="","",MAX(0,$D881+$E881-$F881))</f>
        <v/>
      </c>
      <c r="H881" s="121">
        <f>IF($A881="","",MAX(0,$C881-$B881))</f>
        <v/>
      </c>
    </row>
    <row r="882" ht="15" customHeight="1" s="78">
      <c r="A882" s="122" t="n"/>
      <c r="B882" s="120" t="n"/>
      <c r="C882" s="120" t="n"/>
      <c r="D882" s="120" t="n"/>
      <c r="E882" s="120" t="n"/>
      <c r="F882" s="120" t="n"/>
      <c r="G882" s="121">
        <f>IF($A882="","",MAX(0,$D882+$E882-$F882))</f>
        <v/>
      </c>
      <c r="H882" s="121">
        <f>IF($A882="","",MAX(0,$C882-$B882))</f>
        <v/>
      </c>
    </row>
    <row r="883" ht="15" customHeight="1" s="78">
      <c r="A883" s="122" t="n"/>
      <c r="B883" s="120" t="n"/>
      <c r="C883" s="120" t="n"/>
      <c r="D883" s="120" t="n"/>
      <c r="E883" s="120" t="n"/>
      <c r="F883" s="120" t="n"/>
      <c r="G883" s="121">
        <f>IF($A883="","",MAX(0,$D883+$E883-$F883))</f>
        <v/>
      </c>
      <c r="H883" s="121">
        <f>IF($A883="","",MAX(0,$C883-$B883))</f>
        <v/>
      </c>
    </row>
    <row r="884" ht="15" customHeight="1" s="78">
      <c r="A884" s="122" t="n"/>
      <c r="B884" s="120" t="n"/>
      <c r="C884" s="120" t="n"/>
      <c r="D884" s="120" t="n"/>
      <c r="E884" s="120" t="n"/>
      <c r="F884" s="120" t="n"/>
      <c r="G884" s="121">
        <f>IF($A884="","",MAX(0,$D884+$E884-$F884))</f>
        <v/>
      </c>
      <c r="H884" s="121">
        <f>IF($A884="","",MAX(0,$C884-$B884))</f>
        <v/>
      </c>
    </row>
    <row r="885" ht="15" customHeight="1" s="78">
      <c r="A885" s="122" t="n"/>
      <c r="B885" s="120" t="n"/>
      <c r="C885" s="120" t="n"/>
      <c r="D885" s="120" t="n"/>
      <c r="E885" s="120" t="n"/>
      <c r="F885" s="120" t="n"/>
      <c r="G885" s="121">
        <f>IF($A885="","",MAX(0,$D885+$E885-$F885))</f>
        <v/>
      </c>
      <c r="H885" s="121">
        <f>IF($A885="","",MAX(0,$C885-$B885))</f>
        <v/>
      </c>
    </row>
    <row r="886" ht="15" customHeight="1" s="78">
      <c r="A886" s="122" t="n"/>
      <c r="B886" s="120" t="n"/>
      <c r="C886" s="120" t="n"/>
      <c r="D886" s="120" t="n"/>
      <c r="E886" s="120" t="n"/>
      <c r="F886" s="120" t="n"/>
      <c r="G886" s="121">
        <f>IF($A886="","",MAX(0,$D886+$E886-$F886))</f>
        <v/>
      </c>
      <c r="H886" s="121">
        <f>IF($A886="","",MAX(0,$C886-$B886))</f>
        <v/>
      </c>
    </row>
    <row r="887" ht="15" customHeight="1" s="78">
      <c r="A887" s="122" t="n"/>
      <c r="B887" s="120" t="n"/>
      <c r="C887" s="120" t="n"/>
      <c r="D887" s="120" t="n"/>
      <c r="E887" s="120" t="n"/>
      <c r="F887" s="120" t="n"/>
      <c r="G887" s="121">
        <f>IF($A887="","",MAX(0,$D887+$E887-$F887))</f>
        <v/>
      </c>
      <c r="H887" s="121">
        <f>IF($A887="","",MAX(0,$C887-$B887))</f>
        <v/>
      </c>
    </row>
    <row r="888" ht="15" customHeight="1" s="78">
      <c r="A888" s="122" t="n"/>
      <c r="B888" s="120" t="n"/>
      <c r="C888" s="120" t="n"/>
      <c r="D888" s="120" t="n"/>
      <c r="E888" s="120" t="n"/>
      <c r="F888" s="120" t="n"/>
      <c r="G888" s="121">
        <f>IF($A888="","",MAX(0,$D888+$E888-$F888))</f>
        <v/>
      </c>
      <c r="H888" s="121">
        <f>IF($A888="","",MAX(0,$C888-$B888))</f>
        <v/>
      </c>
    </row>
    <row r="889" ht="15" customHeight="1" s="78">
      <c r="A889" s="122" t="n"/>
      <c r="B889" s="120" t="n"/>
      <c r="C889" s="120" t="n"/>
      <c r="D889" s="120" t="n"/>
      <c r="E889" s="120" t="n"/>
      <c r="F889" s="120" t="n"/>
      <c r="G889" s="121">
        <f>IF($A889="","",MAX(0,$D889+$E889-$F889))</f>
        <v/>
      </c>
      <c r="H889" s="121">
        <f>IF($A889="","",MAX(0,$C889-$B889))</f>
        <v/>
      </c>
    </row>
    <row r="890" ht="15" customHeight="1" s="78">
      <c r="A890" s="122" t="n"/>
      <c r="B890" s="120" t="n"/>
      <c r="C890" s="120" t="n"/>
      <c r="D890" s="120" t="n"/>
      <c r="E890" s="120" t="n"/>
      <c r="F890" s="120" t="n"/>
      <c r="G890" s="121">
        <f>IF($A890="","",MAX(0,$D890+$E890-$F890))</f>
        <v/>
      </c>
      <c r="H890" s="121">
        <f>IF($A890="","",MAX(0,$C890-$B890))</f>
        <v/>
      </c>
    </row>
    <row r="891" ht="15" customHeight="1" s="78">
      <c r="A891" s="122" t="n"/>
      <c r="B891" s="120" t="n"/>
      <c r="C891" s="120" t="n"/>
      <c r="D891" s="120" t="n"/>
      <c r="E891" s="120" t="n"/>
      <c r="F891" s="120" t="n"/>
      <c r="G891" s="121">
        <f>IF($A891="","",MAX(0,$D891+$E891-$F891))</f>
        <v/>
      </c>
      <c r="H891" s="121">
        <f>IF($A891="","",MAX(0,$C891-$B891))</f>
        <v/>
      </c>
    </row>
    <row r="892" ht="15" customHeight="1" s="78">
      <c r="A892" s="122" t="n"/>
      <c r="B892" s="120" t="n"/>
      <c r="C892" s="120" t="n"/>
      <c r="D892" s="120" t="n"/>
      <c r="E892" s="120" t="n"/>
      <c r="F892" s="120" t="n"/>
      <c r="G892" s="121">
        <f>IF($A892="","",MAX(0,$D892+$E892-$F892))</f>
        <v/>
      </c>
      <c r="H892" s="121">
        <f>IF($A892="","",MAX(0,$C892-$B892))</f>
        <v/>
      </c>
    </row>
    <row r="893" ht="15" customHeight="1" s="78">
      <c r="A893" s="122" t="n"/>
      <c r="B893" s="120" t="n"/>
      <c r="C893" s="120" t="n"/>
      <c r="D893" s="120" t="n"/>
      <c r="E893" s="120" t="n"/>
      <c r="F893" s="120" t="n"/>
      <c r="G893" s="121">
        <f>IF($A893="","",MAX(0,$D893+$E893-$F893))</f>
        <v/>
      </c>
      <c r="H893" s="121">
        <f>IF($A893="","",MAX(0,$C893-$B893))</f>
        <v/>
      </c>
    </row>
    <row r="894" ht="15" customHeight="1" s="78">
      <c r="A894" s="122" t="n"/>
      <c r="B894" s="120" t="n"/>
      <c r="C894" s="120" t="n"/>
      <c r="D894" s="120" t="n"/>
      <c r="E894" s="120" t="n"/>
      <c r="F894" s="120" t="n"/>
      <c r="G894" s="121">
        <f>IF($A894="","",MAX(0,$D894+$E894-$F894))</f>
        <v/>
      </c>
      <c r="H894" s="121">
        <f>IF($A894="","",MAX(0,$C894-$B894))</f>
        <v/>
      </c>
    </row>
    <row r="895" ht="15" customHeight="1" s="78">
      <c r="A895" s="122" t="n"/>
      <c r="B895" s="120" t="n"/>
      <c r="C895" s="120" t="n"/>
      <c r="D895" s="120" t="n"/>
      <c r="E895" s="120" t="n"/>
      <c r="F895" s="120" t="n"/>
      <c r="G895" s="121">
        <f>IF($A895="","",MAX(0,$D895+$E895-$F895))</f>
        <v/>
      </c>
      <c r="H895" s="121">
        <f>IF($A895="","",MAX(0,$C895-$B895))</f>
        <v/>
      </c>
    </row>
    <row r="896" ht="15" customHeight="1" s="78">
      <c r="A896" s="122" t="n"/>
      <c r="B896" s="120" t="n"/>
      <c r="C896" s="120" t="n"/>
      <c r="D896" s="120" t="n"/>
      <c r="E896" s="120" t="n"/>
      <c r="F896" s="120" t="n"/>
      <c r="G896" s="121">
        <f>IF($A896="","",MAX(0,$D896+$E896-$F896))</f>
        <v/>
      </c>
      <c r="H896" s="121">
        <f>IF($A896="","",MAX(0,$C896-$B896))</f>
        <v/>
      </c>
    </row>
    <row r="897" ht="15" customHeight="1" s="78">
      <c r="A897" s="122" t="n"/>
      <c r="B897" s="120" t="n"/>
      <c r="C897" s="120" t="n"/>
      <c r="D897" s="120" t="n"/>
      <c r="E897" s="120" t="n"/>
      <c r="F897" s="120" t="n"/>
      <c r="G897" s="121">
        <f>IF($A897="","",MAX(0,$D897+$E897-$F897))</f>
        <v/>
      </c>
      <c r="H897" s="121">
        <f>IF($A897="","",MAX(0,$C897-$B897))</f>
        <v/>
      </c>
    </row>
    <row r="898" ht="15" customHeight="1" s="78">
      <c r="A898" s="122" t="n"/>
      <c r="B898" s="120" t="n"/>
      <c r="C898" s="120" t="n"/>
      <c r="D898" s="120" t="n"/>
      <c r="E898" s="120" t="n"/>
      <c r="F898" s="120" t="n"/>
      <c r="G898" s="121">
        <f>IF($A898="","",MAX(0,$D898+$E898-$F898))</f>
        <v/>
      </c>
      <c r="H898" s="121">
        <f>IF($A898="","",MAX(0,$C898-$B898))</f>
        <v/>
      </c>
    </row>
    <row r="899" ht="15" customHeight="1" s="78">
      <c r="A899" s="122" t="n"/>
      <c r="B899" s="120" t="n"/>
      <c r="C899" s="120" t="n"/>
      <c r="D899" s="120" t="n"/>
      <c r="E899" s="120" t="n"/>
      <c r="F899" s="120" t="n"/>
      <c r="G899" s="121">
        <f>IF($A899="","",MAX(0,$D899+$E899-$F899))</f>
        <v/>
      </c>
      <c r="H899" s="121">
        <f>IF($A899="","",MAX(0,$C899-$B899))</f>
        <v/>
      </c>
    </row>
    <row r="900" ht="15" customHeight="1" s="78">
      <c r="A900" s="122" t="n"/>
      <c r="B900" s="120" t="n"/>
      <c r="C900" s="120" t="n"/>
      <c r="D900" s="120" t="n"/>
      <c r="E900" s="120" t="n"/>
      <c r="F900" s="120" t="n"/>
      <c r="G900" s="121">
        <f>IF($A900="","",MAX(0,$D900+$E900-$F900))</f>
        <v/>
      </c>
      <c r="H900" s="121">
        <f>IF($A900="","",MAX(0,$C900-$B900))</f>
        <v/>
      </c>
    </row>
    <row r="901" ht="15" customHeight="1" s="78">
      <c r="A901" s="122" t="n"/>
      <c r="B901" s="120" t="n"/>
      <c r="C901" s="120" t="n"/>
      <c r="D901" s="120" t="n"/>
      <c r="E901" s="120" t="n"/>
      <c r="F901" s="120" t="n"/>
      <c r="G901" s="121">
        <f>IF($A901="","",MAX(0,$D901+$E901-$F901))</f>
        <v/>
      </c>
      <c r="H901" s="121">
        <f>IF($A901="","",MAX(0,$C901-$B901))</f>
        <v/>
      </c>
    </row>
    <row r="902" ht="15" customHeight="1" s="78">
      <c r="A902" s="122" t="n"/>
      <c r="B902" s="120" t="n"/>
      <c r="C902" s="120" t="n"/>
      <c r="D902" s="120" t="n"/>
      <c r="E902" s="120" t="n"/>
      <c r="F902" s="120" t="n"/>
      <c r="G902" s="121">
        <f>IF($A902="","",MAX(0,$D902+$E902-$F902))</f>
        <v/>
      </c>
      <c r="H902" s="121">
        <f>IF($A902="","",MAX(0,$C902-$B902))</f>
        <v/>
      </c>
    </row>
    <row r="903" ht="15" customHeight="1" s="78">
      <c r="A903" s="122" t="n"/>
      <c r="B903" s="120" t="n"/>
      <c r="C903" s="120" t="n"/>
      <c r="D903" s="120" t="n"/>
      <c r="E903" s="120" t="n"/>
      <c r="F903" s="120" t="n"/>
      <c r="G903" s="121">
        <f>IF($A903="","",MAX(0,$D903+$E903-$F903))</f>
        <v/>
      </c>
      <c r="H903" s="121">
        <f>IF($A903="","",MAX(0,$C903-$B903))</f>
        <v/>
      </c>
    </row>
    <row r="904" ht="15" customHeight="1" s="78">
      <c r="A904" s="122" t="n"/>
      <c r="B904" s="120" t="n"/>
      <c r="C904" s="120" t="n"/>
      <c r="D904" s="120" t="n"/>
      <c r="E904" s="120" t="n"/>
      <c r="F904" s="120" t="n"/>
      <c r="G904" s="121">
        <f>IF($A904="","",MAX(0,$D904+$E904-$F904))</f>
        <v/>
      </c>
      <c r="H904" s="121">
        <f>IF($A904="","",MAX(0,$C904-$B904))</f>
        <v/>
      </c>
    </row>
    <row r="905" ht="15" customHeight="1" s="78">
      <c r="A905" s="122" t="n"/>
      <c r="B905" s="120" t="n"/>
      <c r="C905" s="120" t="n"/>
      <c r="D905" s="120" t="n"/>
      <c r="E905" s="120" t="n"/>
      <c r="F905" s="120" t="n"/>
      <c r="G905" s="121">
        <f>IF($A905="","",MAX(0,$D905+$E905-$F905))</f>
        <v/>
      </c>
      <c r="H905" s="121">
        <f>IF($A905="","",MAX(0,$C905-$B905))</f>
        <v/>
      </c>
    </row>
    <row r="906" ht="15" customHeight="1" s="78">
      <c r="A906" s="122" t="n"/>
      <c r="B906" s="120" t="n"/>
      <c r="C906" s="120" t="n"/>
      <c r="D906" s="120" t="n"/>
      <c r="E906" s="120" t="n"/>
      <c r="F906" s="120" t="n"/>
      <c r="G906" s="121">
        <f>IF($A906="","",MAX(0,$D906+$E906-$F906))</f>
        <v/>
      </c>
      <c r="H906" s="121">
        <f>IF($A906="","",MAX(0,$C906-$B906))</f>
        <v/>
      </c>
    </row>
    <row r="907" ht="15" customHeight="1" s="78">
      <c r="A907" s="122" t="n"/>
      <c r="B907" s="120" t="n"/>
      <c r="C907" s="120" t="n"/>
      <c r="D907" s="120" t="n"/>
      <c r="E907" s="120" t="n"/>
      <c r="F907" s="120" t="n"/>
      <c r="G907" s="121">
        <f>IF($A907="","",MAX(0,$D907+$E907-$F907))</f>
        <v/>
      </c>
      <c r="H907" s="121">
        <f>IF($A907="","",MAX(0,$C907-$B907))</f>
        <v/>
      </c>
    </row>
    <row r="908" ht="15" customHeight="1" s="78">
      <c r="A908" s="122" t="n"/>
      <c r="B908" s="120" t="n"/>
      <c r="C908" s="120" t="n"/>
      <c r="D908" s="120" t="n"/>
      <c r="E908" s="120" t="n"/>
      <c r="F908" s="120" t="n"/>
      <c r="G908" s="121">
        <f>IF($A908="","",MAX(0,$D908+$E908-$F908))</f>
        <v/>
      </c>
      <c r="H908" s="121">
        <f>IF($A908="","",MAX(0,$C908-$B908))</f>
        <v/>
      </c>
    </row>
    <row r="909" ht="15" customHeight="1" s="78">
      <c r="A909" s="122" t="n"/>
      <c r="B909" s="120" t="n"/>
      <c r="C909" s="120" t="n"/>
      <c r="D909" s="120" t="n"/>
      <c r="E909" s="120" t="n"/>
      <c r="F909" s="120" t="n"/>
      <c r="G909" s="121">
        <f>IF($A909="","",MAX(0,$D909+$E909-$F909))</f>
        <v/>
      </c>
      <c r="H909" s="121">
        <f>IF($A909="","",MAX(0,$C909-$B909))</f>
        <v/>
      </c>
    </row>
    <row r="910" ht="15" customHeight="1" s="78">
      <c r="A910" s="122" t="n"/>
      <c r="B910" s="120" t="n"/>
      <c r="C910" s="120" t="n"/>
      <c r="D910" s="120" t="n"/>
      <c r="E910" s="120" t="n"/>
      <c r="F910" s="120" t="n"/>
      <c r="G910" s="121">
        <f>IF($A910="","",MAX(0,$D910+$E910-$F910))</f>
        <v/>
      </c>
      <c r="H910" s="121">
        <f>IF($A910="","",MAX(0,$C910-$B910))</f>
        <v/>
      </c>
    </row>
    <row r="911" ht="15" customHeight="1" s="78">
      <c r="A911" s="122" t="n"/>
      <c r="B911" s="120" t="n"/>
      <c r="C911" s="120" t="n"/>
      <c r="D911" s="120" t="n"/>
      <c r="E911" s="120" t="n"/>
      <c r="F911" s="120" t="n"/>
      <c r="G911" s="121">
        <f>IF($A911="","",MAX(0,$D911+$E911-$F911))</f>
        <v/>
      </c>
      <c r="H911" s="121">
        <f>IF($A911="","",MAX(0,$C911-$B911))</f>
        <v/>
      </c>
    </row>
    <row r="912" ht="15" customHeight="1" s="78">
      <c r="A912" s="122" t="n"/>
      <c r="B912" s="120" t="n"/>
      <c r="C912" s="120" t="n"/>
      <c r="D912" s="120" t="n"/>
      <c r="E912" s="120" t="n"/>
      <c r="F912" s="120" t="n"/>
      <c r="G912" s="121">
        <f>IF($A912="","",MAX(0,$D912+$E912-$F912))</f>
        <v/>
      </c>
      <c r="H912" s="121">
        <f>IF($A912="","",MAX(0,$C912-$B912))</f>
        <v/>
      </c>
    </row>
    <row r="913" ht="15" customHeight="1" s="78">
      <c r="A913" s="122" t="n"/>
      <c r="B913" s="120" t="n"/>
      <c r="C913" s="120" t="n"/>
      <c r="D913" s="120" t="n"/>
      <c r="E913" s="120" t="n"/>
      <c r="F913" s="120" t="n"/>
      <c r="G913" s="121">
        <f>IF($A913="","",MAX(0,$D913+$E913-$F913))</f>
        <v/>
      </c>
      <c r="H913" s="121">
        <f>IF($A913="","",MAX(0,$C913-$B913))</f>
        <v/>
      </c>
    </row>
    <row r="914" ht="15" customHeight="1" s="78">
      <c r="A914" s="122" t="n"/>
      <c r="B914" s="120" t="n"/>
      <c r="C914" s="120" t="n"/>
      <c r="D914" s="120" t="n"/>
      <c r="E914" s="120" t="n"/>
      <c r="F914" s="120" t="n"/>
      <c r="G914" s="121">
        <f>IF($A914="","",MAX(0,$D914+$E914-$F914))</f>
        <v/>
      </c>
      <c r="H914" s="121">
        <f>IF($A914="","",MAX(0,$C914-$B914))</f>
        <v/>
      </c>
    </row>
    <row r="915" ht="15" customHeight="1" s="78">
      <c r="A915" s="122" t="n"/>
      <c r="B915" s="120" t="n"/>
      <c r="C915" s="120" t="n"/>
      <c r="D915" s="120" t="n"/>
      <c r="E915" s="120" t="n"/>
      <c r="F915" s="120" t="n"/>
      <c r="G915" s="121">
        <f>IF($A915="","",MAX(0,$D915+$E915-$F915))</f>
        <v/>
      </c>
      <c r="H915" s="121">
        <f>IF($A915="","",MAX(0,$C915-$B915))</f>
        <v/>
      </c>
    </row>
    <row r="916" ht="15" customHeight="1" s="78">
      <c r="A916" s="122" t="n"/>
      <c r="B916" s="120" t="n"/>
      <c r="C916" s="120" t="n"/>
      <c r="D916" s="120" t="n"/>
      <c r="E916" s="120" t="n"/>
      <c r="F916" s="120" t="n"/>
      <c r="G916" s="121">
        <f>IF($A916="","",MAX(0,$D916+$E916-$F916))</f>
        <v/>
      </c>
      <c r="H916" s="121">
        <f>IF($A916="","",MAX(0,$C916-$B916))</f>
        <v/>
      </c>
    </row>
    <row r="917" ht="15" customHeight="1" s="78">
      <c r="A917" s="122" t="n"/>
      <c r="B917" s="120" t="n"/>
      <c r="C917" s="120" t="n"/>
      <c r="D917" s="120" t="n"/>
      <c r="E917" s="120" t="n"/>
      <c r="F917" s="120" t="n"/>
      <c r="G917" s="121">
        <f>IF($A917="","",MAX(0,$D917+$E917-$F917))</f>
        <v/>
      </c>
      <c r="H917" s="121">
        <f>IF($A917="","",MAX(0,$C917-$B917))</f>
        <v/>
      </c>
    </row>
    <row r="918" ht="15" customHeight="1" s="78">
      <c r="A918" s="122" t="n"/>
      <c r="B918" s="120" t="n"/>
      <c r="C918" s="120" t="n"/>
      <c r="D918" s="120" t="n"/>
      <c r="E918" s="120" t="n"/>
      <c r="F918" s="120" t="n"/>
      <c r="G918" s="121">
        <f>IF($A918="","",MAX(0,$D918+$E918-$F918))</f>
        <v/>
      </c>
      <c r="H918" s="121">
        <f>IF($A918="","",MAX(0,$C918-$B918))</f>
        <v/>
      </c>
    </row>
    <row r="919" ht="15" customHeight="1" s="78">
      <c r="A919" s="122" t="n"/>
      <c r="B919" s="120" t="n"/>
      <c r="C919" s="120" t="n"/>
      <c r="D919" s="120" t="n"/>
      <c r="E919" s="120" t="n"/>
      <c r="F919" s="120" t="n"/>
      <c r="G919" s="121">
        <f>IF($A919="","",MAX(0,$D919+$E919-$F919))</f>
        <v/>
      </c>
      <c r="H919" s="121">
        <f>IF($A919="","",MAX(0,$C919-$B919))</f>
        <v/>
      </c>
    </row>
    <row r="920" ht="15" customHeight="1" s="78">
      <c r="A920" s="122" t="n"/>
      <c r="B920" s="120" t="n"/>
      <c r="C920" s="120" t="n"/>
      <c r="D920" s="120" t="n"/>
      <c r="E920" s="120" t="n"/>
      <c r="F920" s="120" t="n"/>
      <c r="G920" s="121">
        <f>IF($A920="","",MAX(0,$D920+$E920-$F920))</f>
        <v/>
      </c>
      <c r="H920" s="121">
        <f>IF($A920="","",MAX(0,$C920-$B920))</f>
        <v/>
      </c>
    </row>
    <row r="921" ht="15" customHeight="1" s="78">
      <c r="A921" s="122" t="n"/>
      <c r="B921" s="120" t="n"/>
      <c r="C921" s="120" t="n"/>
      <c r="D921" s="120" t="n"/>
      <c r="E921" s="120" t="n"/>
      <c r="F921" s="120" t="n"/>
      <c r="G921" s="121">
        <f>IF($A921="","",MAX(0,$D921+$E921-$F921))</f>
        <v/>
      </c>
      <c r="H921" s="121">
        <f>IF($A921="","",MAX(0,$C921-$B921))</f>
        <v/>
      </c>
    </row>
    <row r="922" ht="15" customHeight="1" s="78">
      <c r="A922" s="122" t="n"/>
      <c r="B922" s="120" t="n"/>
      <c r="C922" s="120" t="n"/>
      <c r="D922" s="120" t="n"/>
      <c r="E922" s="120" t="n"/>
      <c r="F922" s="120" t="n"/>
      <c r="G922" s="121">
        <f>IF($A922="","",MAX(0,$D922+$E922-$F922))</f>
        <v/>
      </c>
      <c r="H922" s="121">
        <f>IF($A922="","",MAX(0,$C922-$B922))</f>
        <v/>
      </c>
    </row>
    <row r="923" ht="15" customHeight="1" s="78">
      <c r="A923" s="122" t="n"/>
      <c r="B923" s="120" t="n"/>
      <c r="C923" s="120" t="n"/>
      <c r="D923" s="120" t="n"/>
      <c r="E923" s="120" t="n"/>
      <c r="F923" s="120" t="n"/>
      <c r="G923" s="121">
        <f>IF($A923="","",MAX(0,$D923+$E923-$F923))</f>
        <v/>
      </c>
      <c r="H923" s="121">
        <f>IF($A923="","",MAX(0,$C923-$B923))</f>
        <v/>
      </c>
    </row>
    <row r="924" ht="15" customHeight="1" s="78">
      <c r="A924" s="122" t="n"/>
      <c r="B924" s="120" t="n"/>
      <c r="C924" s="120" t="n"/>
      <c r="D924" s="120" t="n"/>
      <c r="E924" s="120" t="n"/>
      <c r="F924" s="120" t="n"/>
      <c r="G924" s="121">
        <f>IF($A924="","",MAX(0,$D924+$E924-$F924))</f>
        <v/>
      </c>
      <c r="H924" s="121">
        <f>IF($A924="","",MAX(0,$C924-$B924))</f>
        <v/>
      </c>
    </row>
    <row r="925" ht="15" customHeight="1" s="78">
      <c r="A925" s="122" t="n"/>
      <c r="B925" s="120" t="n"/>
      <c r="C925" s="120" t="n"/>
      <c r="D925" s="120" t="n"/>
      <c r="E925" s="120" t="n"/>
      <c r="F925" s="120" t="n"/>
      <c r="G925" s="121">
        <f>IF($A925="","",MAX(0,$D925+$E925-$F925))</f>
        <v/>
      </c>
      <c r="H925" s="121">
        <f>IF($A925="","",MAX(0,$C925-$B925))</f>
        <v/>
      </c>
    </row>
    <row r="926" ht="15" customHeight="1" s="78">
      <c r="A926" s="122" t="n"/>
      <c r="B926" s="120" t="n"/>
      <c r="C926" s="120" t="n"/>
      <c r="D926" s="120" t="n"/>
      <c r="E926" s="120" t="n"/>
      <c r="F926" s="120" t="n"/>
      <c r="G926" s="121">
        <f>IF($A926="","",MAX(0,$D926+$E926-$F926))</f>
        <v/>
      </c>
      <c r="H926" s="121">
        <f>IF($A926="","",MAX(0,$C926-$B926))</f>
        <v/>
      </c>
    </row>
    <row r="927" ht="15" customHeight="1" s="78">
      <c r="A927" s="122" t="n"/>
      <c r="B927" s="120" t="n"/>
      <c r="C927" s="120" t="n"/>
      <c r="D927" s="120" t="n"/>
      <c r="E927" s="120" t="n"/>
      <c r="F927" s="120" t="n"/>
      <c r="G927" s="121">
        <f>IF($A927="","",MAX(0,$D927+$E927-$F927))</f>
        <v/>
      </c>
      <c r="H927" s="121">
        <f>IF($A927="","",MAX(0,$C927-$B927))</f>
        <v/>
      </c>
    </row>
    <row r="928" ht="15" customHeight="1" s="78">
      <c r="A928" s="122" t="n"/>
      <c r="B928" s="120" t="n"/>
      <c r="C928" s="120" t="n"/>
      <c r="D928" s="120" t="n"/>
      <c r="E928" s="120" t="n"/>
      <c r="F928" s="120" t="n"/>
      <c r="G928" s="121">
        <f>IF($A928="","",MAX(0,$D928+$E928-$F928))</f>
        <v/>
      </c>
      <c r="H928" s="121">
        <f>IF($A928="","",MAX(0,$C928-$B928))</f>
        <v/>
      </c>
    </row>
    <row r="929" ht="15" customHeight="1" s="78">
      <c r="A929" s="122" t="n"/>
      <c r="B929" s="120" t="n"/>
      <c r="C929" s="120" t="n"/>
      <c r="D929" s="120" t="n"/>
      <c r="E929" s="120" t="n"/>
      <c r="F929" s="120" t="n"/>
      <c r="G929" s="121">
        <f>IF($A929="","",MAX(0,$D929+$E929-$F929))</f>
        <v/>
      </c>
      <c r="H929" s="121">
        <f>IF($A929="","",MAX(0,$C929-$B929))</f>
        <v/>
      </c>
    </row>
    <row r="930" ht="15" customHeight="1" s="78">
      <c r="A930" s="122" t="n"/>
      <c r="B930" s="120" t="n"/>
      <c r="C930" s="120" t="n"/>
      <c r="D930" s="120" t="n"/>
      <c r="E930" s="120" t="n"/>
      <c r="F930" s="120" t="n"/>
      <c r="G930" s="121">
        <f>IF($A930="","",MAX(0,$D930+$E930-$F930))</f>
        <v/>
      </c>
      <c r="H930" s="121">
        <f>IF($A930="","",MAX(0,$C930-$B930))</f>
        <v/>
      </c>
    </row>
    <row r="931" ht="15" customHeight="1" s="78">
      <c r="A931" s="122" t="n"/>
      <c r="B931" s="120" t="n"/>
      <c r="C931" s="120" t="n"/>
      <c r="D931" s="120" t="n"/>
      <c r="E931" s="120" t="n"/>
      <c r="F931" s="120" t="n"/>
      <c r="G931" s="121">
        <f>IF($A931="","",MAX(0,$D931+$E931-$F931))</f>
        <v/>
      </c>
      <c r="H931" s="121">
        <f>IF($A931="","",MAX(0,$C931-$B931))</f>
        <v/>
      </c>
    </row>
    <row r="932" ht="15" customHeight="1" s="78">
      <c r="A932" s="122" t="n"/>
      <c r="B932" s="120" t="n"/>
      <c r="C932" s="120" t="n"/>
      <c r="D932" s="120" t="n"/>
      <c r="E932" s="120" t="n"/>
      <c r="F932" s="120" t="n"/>
      <c r="G932" s="121">
        <f>IF($A932="","",MAX(0,$D932+$E932-$F932))</f>
        <v/>
      </c>
      <c r="H932" s="121">
        <f>IF($A932="","",MAX(0,$C932-$B932))</f>
        <v/>
      </c>
    </row>
    <row r="933" ht="15" customHeight="1" s="78">
      <c r="A933" s="122" t="n"/>
      <c r="B933" s="120" t="n"/>
      <c r="C933" s="120" t="n"/>
      <c r="D933" s="120" t="n"/>
      <c r="E933" s="120" t="n"/>
      <c r="F933" s="120" t="n"/>
      <c r="G933" s="121">
        <f>IF($A933="","",MAX(0,$D933+$E933-$F933))</f>
        <v/>
      </c>
      <c r="H933" s="121">
        <f>IF($A933="","",MAX(0,$C933-$B933))</f>
        <v/>
      </c>
    </row>
    <row r="934" ht="15" customHeight="1" s="78">
      <c r="A934" s="122" t="n"/>
      <c r="B934" s="120" t="n"/>
      <c r="C934" s="120" t="n"/>
      <c r="D934" s="120" t="n"/>
      <c r="E934" s="120" t="n"/>
      <c r="F934" s="120" t="n"/>
      <c r="G934" s="121">
        <f>IF($A934="","",MAX(0,$D934+$E934-$F934))</f>
        <v/>
      </c>
      <c r="H934" s="121">
        <f>IF($A934="","",MAX(0,$C934-$B934))</f>
        <v/>
      </c>
    </row>
    <row r="935" ht="15" customHeight="1" s="78">
      <c r="A935" s="122" t="n"/>
      <c r="B935" s="120" t="n"/>
      <c r="C935" s="120" t="n"/>
      <c r="D935" s="120" t="n"/>
      <c r="E935" s="120" t="n"/>
      <c r="F935" s="120" t="n"/>
      <c r="G935" s="121">
        <f>IF($A935="","",MAX(0,$D935+$E935-$F935))</f>
        <v/>
      </c>
      <c r="H935" s="121">
        <f>IF($A935="","",MAX(0,$C935-$B935))</f>
        <v/>
      </c>
    </row>
    <row r="936" ht="15" customHeight="1" s="78">
      <c r="A936" s="122" t="n"/>
      <c r="B936" s="120" t="n"/>
      <c r="C936" s="120" t="n"/>
      <c r="D936" s="120" t="n"/>
      <c r="E936" s="120" t="n"/>
      <c r="F936" s="120" t="n"/>
      <c r="G936" s="121">
        <f>IF($A936="","",MAX(0,$D936+$E936-$F936))</f>
        <v/>
      </c>
      <c r="H936" s="121">
        <f>IF($A936="","",MAX(0,$C936-$B936))</f>
        <v/>
      </c>
    </row>
    <row r="937" ht="15" customHeight="1" s="78">
      <c r="A937" s="122" t="n"/>
      <c r="B937" s="120" t="n"/>
      <c r="C937" s="120" t="n"/>
      <c r="D937" s="120" t="n"/>
      <c r="E937" s="120" t="n"/>
      <c r="F937" s="120" t="n"/>
      <c r="G937" s="121">
        <f>IF($A937="","",MAX(0,$D937+$E937-$F937))</f>
        <v/>
      </c>
      <c r="H937" s="121">
        <f>IF($A937="","",MAX(0,$C937-$B937))</f>
        <v/>
      </c>
    </row>
    <row r="938" ht="15" customHeight="1" s="78">
      <c r="A938" s="122" t="n"/>
      <c r="B938" s="120" t="n"/>
      <c r="C938" s="120" t="n"/>
      <c r="D938" s="120" t="n"/>
      <c r="E938" s="120" t="n"/>
      <c r="F938" s="120" t="n"/>
      <c r="G938" s="121">
        <f>IF($A938="","",MAX(0,$D938+$E938-$F938))</f>
        <v/>
      </c>
      <c r="H938" s="121">
        <f>IF($A938="","",MAX(0,$C938-$B938))</f>
        <v/>
      </c>
    </row>
    <row r="939" ht="15" customHeight="1" s="78">
      <c r="A939" s="122" t="n"/>
      <c r="B939" s="120" t="n"/>
      <c r="C939" s="120" t="n"/>
      <c r="D939" s="120" t="n"/>
      <c r="E939" s="120" t="n"/>
      <c r="F939" s="120" t="n"/>
      <c r="G939" s="121">
        <f>IF($A939="","",MAX(0,$D939+$E939-$F939))</f>
        <v/>
      </c>
      <c r="H939" s="121">
        <f>IF($A939="","",MAX(0,$C939-$B939))</f>
        <v/>
      </c>
    </row>
    <row r="940" ht="15" customHeight="1" s="78">
      <c r="A940" s="122" t="n"/>
      <c r="B940" s="120" t="n"/>
      <c r="C940" s="120" t="n"/>
      <c r="D940" s="120" t="n"/>
      <c r="E940" s="120" t="n"/>
      <c r="F940" s="120" t="n"/>
      <c r="G940" s="121">
        <f>IF($A940="","",MAX(0,$D940+$E940-$F940))</f>
        <v/>
      </c>
      <c r="H940" s="121">
        <f>IF($A940="","",MAX(0,$C940-$B940))</f>
        <v/>
      </c>
    </row>
    <row r="941" ht="15" customHeight="1" s="78">
      <c r="A941" s="122" t="n"/>
      <c r="B941" s="120" t="n"/>
      <c r="C941" s="120" t="n"/>
      <c r="D941" s="120" t="n"/>
      <c r="E941" s="120" t="n"/>
      <c r="F941" s="120" t="n"/>
      <c r="G941" s="121">
        <f>IF($A941="","",MAX(0,$D941+$E941-$F941))</f>
        <v/>
      </c>
      <c r="H941" s="121">
        <f>IF($A941="","",MAX(0,$C941-$B941))</f>
        <v/>
      </c>
    </row>
    <row r="942" ht="15" customHeight="1" s="78">
      <c r="A942" s="122" t="n"/>
      <c r="B942" s="120" t="n"/>
      <c r="C942" s="120" t="n"/>
      <c r="D942" s="120" t="n"/>
      <c r="E942" s="120" t="n"/>
      <c r="F942" s="120" t="n"/>
      <c r="G942" s="121">
        <f>IF($A942="","",MAX(0,$D942+$E942-$F942))</f>
        <v/>
      </c>
      <c r="H942" s="121">
        <f>IF($A942="","",MAX(0,$C942-$B942))</f>
        <v/>
      </c>
    </row>
    <row r="943" ht="15" customHeight="1" s="78">
      <c r="A943" s="122" t="n"/>
      <c r="B943" s="120" t="n"/>
      <c r="C943" s="120" t="n"/>
      <c r="D943" s="120" t="n"/>
      <c r="E943" s="120" t="n"/>
      <c r="F943" s="120" t="n"/>
      <c r="G943" s="121">
        <f>IF($A943="","",MAX(0,$D943+$E943-$F943))</f>
        <v/>
      </c>
      <c r="H943" s="121">
        <f>IF($A943="","",MAX(0,$C943-$B943))</f>
        <v/>
      </c>
    </row>
    <row r="944" ht="15" customHeight="1" s="78">
      <c r="A944" s="122" t="n"/>
      <c r="B944" s="120" t="n"/>
      <c r="C944" s="120" t="n"/>
      <c r="D944" s="120" t="n"/>
      <c r="E944" s="120" t="n"/>
      <c r="F944" s="120" t="n"/>
      <c r="G944" s="121">
        <f>IF($A944="","",MAX(0,$D944+$E944-$F944))</f>
        <v/>
      </c>
      <c r="H944" s="121">
        <f>IF($A944="","",MAX(0,$C944-$B944))</f>
        <v/>
      </c>
    </row>
    <row r="945" ht="15" customHeight="1" s="78">
      <c r="A945" s="122" t="n"/>
      <c r="B945" s="120" t="n"/>
      <c r="C945" s="120" t="n"/>
      <c r="D945" s="120" t="n"/>
      <c r="E945" s="120" t="n"/>
      <c r="F945" s="120" t="n"/>
      <c r="G945" s="121">
        <f>IF($A945="","",MAX(0,$D945+$E945-$F945))</f>
        <v/>
      </c>
      <c r="H945" s="121">
        <f>IF($A945="","",MAX(0,$C945-$B945))</f>
        <v/>
      </c>
    </row>
    <row r="946" ht="15" customHeight="1" s="78">
      <c r="A946" s="122" t="n"/>
      <c r="B946" s="120" t="n"/>
      <c r="C946" s="120" t="n"/>
      <c r="D946" s="120" t="n"/>
      <c r="E946" s="120" t="n"/>
      <c r="F946" s="120" t="n"/>
      <c r="G946" s="121">
        <f>IF($A946="","",MAX(0,$D946+$E946-$F946))</f>
        <v/>
      </c>
      <c r="H946" s="121">
        <f>IF($A946="","",MAX(0,$C946-$B946))</f>
        <v/>
      </c>
    </row>
    <row r="947" ht="15" customHeight="1" s="78">
      <c r="A947" s="122" t="n"/>
      <c r="B947" s="120" t="n"/>
      <c r="C947" s="120" t="n"/>
      <c r="D947" s="120" t="n"/>
      <c r="E947" s="120" t="n"/>
      <c r="F947" s="120" t="n"/>
      <c r="G947" s="121">
        <f>IF($A947="","",MAX(0,$D947+$E947-$F947))</f>
        <v/>
      </c>
      <c r="H947" s="121">
        <f>IF($A947="","",MAX(0,$C947-$B947))</f>
        <v/>
      </c>
    </row>
    <row r="948" ht="15" customHeight="1" s="78">
      <c r="A948" s="122" t="n"/>
      <c r="B948" s="120" t="n"/>
      <c r="C948" s="120" t="n"/>
      <c r="D948" s="120" t="n"/>
      <c r="E948" s="120" t="n"/>
      <c r="F948" s="120" t="n"/>
      <c r="G948" s="121">
        <f>IF($A948="","",MAX(0,$D948+$E948-$F948))</f>
        <v/>
      </c>
      <c r="H948" s="121">
        <f>IF($A948="","",MAX(0,$C948-$B948))</f>
        <v/>
      </c>
    </row>
    <row r="949" ht="15" customHeight="1" s="78">
      <c r="A949" s="122" t="n"/>
      <c r="B949" s="120" t="n"/>
      <c r="C949" s="120" t="n"/>
      <c r="D949" s="120" t="n"/>
      <c r="E949" s="120" t="n"/>
      <c r="F949" s="120" t="n"/>
      <c r="G949" s="121">
        <f>IF($A949="","",MAX(0,$D949+$E949-$F949))</f>
        <v/>
      </c>
      <c r="H949" s="121">
        <f>IF($A949="","",MAX(0,$C949-$B949))</f>
        <v/>
      </c>
    </row>
    <row r="950" ht="15" customHeight="1" s="78">
      <c r="A950" s="122" t="n"/>
      <c r="B950" s="120" t="n"/>
      <c r="C950" s="120" t="n"/>
      <c r="D950" s="120" t="n"/>
      <c r="E950" s="120" t="n"/>
      <c r="F950" s="120" t="n"/>
      <c r="G950" s="121">
        <f>IF($A950="","",MAX(0,$D950+$E950-$F950))</f>
        <v/>
      </c>
      <c r="H950" s="121">
        <f>IF($A950="","",MAX(0,$C950-$B950))</f>
        <v/>
      </c>
    </row>
    <row r="951" ht="15" customHeight="1" s="78">
      <c r="A951" s="122" t="n"/>
      <c r="B951" s="120" t="n"/>
      <c r="C951" s="120" t="n"/>
      <c r="D951" s="120" t="n"/>
      <c r="E951" s="120" t="n"/>
      <c r="F951" s="120" t="n"/>
      <c r="G951" s="121">
        <f>IF($A951="","",MAX(0,$D951+$E951-$F951))</f>
        <v/>
      </c>
      <c r="H951" s="121">
        <f>IF($A951="","",MAX(0,$C951-$B951))</f>
        <v/>
      </c>
    </row>
    <row r="952" ht="15" customHeight="1" s="78">
      <c r="A952" s="122" t="n"/>
      <c r="B952" s="120" t="n"/>
      <c r="C952" s="120" t="n"/>
      <c r="D952" s="120" t="n"/>
      <c r="E952" s="120" t="n"/>
      <c r="F952" s="120" t="n"/>
      <c r="G952" s="121">
        <f>IF($A952="","",MAX(0,$D952+$E952-$F952))</f>
        <v/>
      </c>
      <c r="H952" s="121">
        <f>IF($A952="","",MAX(0,$C952-$B952))</f>
        <v/>
      </c>
    </row>
    <row r="953" ht="15" customHeight="1" s="78">
      <c r="A953" s="122" t="n"/>
      <c r="B953" s="120" t="n"/>
      <c r="C953" s="120" t="n"/>
      <c r="D953" s="120" t="n"/>
      <c r="E953" s="120" t="n"/>
      <c r="F953" s="120" t="n"/>
      <c r="G953" s="121">
        <f>IF($A953="","",MAX(0,$D953+$E953-$F953))</f>
        <v/>
      </c>
      <c r="H953" s="121">
        <f>IF($A953="","",MAX(0,$C953-$B953))</f>
        <v/>
      </c>
    </row>
    <row r="954" ht="15" customHeight="1" s="78">
      <c r="A954" s="122" t="n"/>
      <c r="B954" s="120" t="n"/>
      <c r="C954" s="120" t="n"/>
      <c r="D954" s="120" t="n"/>
      <c r="E954" s="120" t="n"/>
      <c r="F954" s="120" t="n"/>
      <c r="G954" s="121">
        <f>IF($A954="","",MAX(0,$D954+$E954-$F954))</f>
        <v/>
      </c>
      <c r="H954" s="121">
        <f>IF($A954="","",MAX(0,$C954-$B954))</f>
        <v/>
      </c>
    </row>
    <row r="955" ht="15" customHeight="1" s="78">
      <c r="A955" s="122" t="n"/>
      <c r="B955" s="120" t="n"/>
      <c r="C955" s="120" t="n"/>
      <c r="D955" s="120" t="n"/>
      <c r="E955" s="120" t="n"/>
      <c r="F955" s="120" t="n"/>
      <c r="G955" s="121">
        <f>IF($A955="","",MAX(0,$D955+$E955-$F955))</f>
        <v/>
      </c>
      <c r="H955" s="121">
        <f>IF($A955="","",MAX(0,$C955-$B955))</f>
        <v/>
      </c>
    </row>
    <row r="956" ht="15" customHeight="1" s="78">
      <c r="A956" s="122" t="n"/>
      <c r="B956" s="120" t="n"/>
      <c r="C956" s="120" t="n"/>
      <c r="D956" s="120" t="n"/>
      <c r="E956" s="120" t="n"/>
      <c r="F956" s="120" t="n"/>
      <c r="G956" s="121">
        <f>IF($A956="","",MAX(0,$D956+$E956-$F956))</f>
        <v/>
      </c>
      <c r="H956" s="121">
        <f>IF($A956="","",MAX(0,$C956-$B956))</f>
        <v/>
      </c>
    </row>
    <row r="957" ht="15" customHeight="1" s="78">
      <c r="A957" s="122" t="n"/>
      <c r="B957" s="120" t="n"/>
      <c r="C957" s="120" t="n"/>
      <c r="D957" s="120" t="n"/>
      <c r="E957" s="120" t="n"/>
      <c r="F957" s="120" t="n"/>
      <c r="G957" s="121">
        <f>IF($A957="","",MAX(0,$D957+$E957-$F957))</f>
        <v/>
      </c>
      <c r="H957" s="121">
        <f>IF($A957="","",MAX(0,$C957-$B957))</f>
        <v/>
      </c>
    </row>
    <row r="958" ht="15" customHeight="1" s="78">
      <c r="A958" s="122" t="n"/>
      <c r="B958" s="120" t="n"/>
      <c r="C958" s="120" t="n"/>
      <c r="D958" s="120" t="n"/>
      <c r="E958" s="120" t="n"/>
      <c r="F958" s="120" t="n"/>
      <c r="G958" s="121">
        <f>IF($A958="","",MAX(0,$D958+$E958-$F958))</f>
        <v/>
      </c>
      <c r="H958" s="121">
        <f>IF($A958="","",MAX(0,$C958-$B958))</f>
        <v/>
      </c>
    </row>
    <row r="959" ht="15" customHeight="1" s="78">
      <c r="A959" s="122" t="n"/>
      <c r="B959" s="120" t="n"/>
      <c r="C959" s="120" t="n"/>
      <c r="D959" s="120" t="n"/>
      <c r="E959" s="120" t="n"/>
      <c r="F959" s="120" t="n"/>
      <c r="G959" s="121">
        <f>IF($A959="","",MAX(0,$D959+$E959-$F959))</f>
        <v/>
      </c>
      <c r="H959" s="121">
        <f>IF($A959="","",MAX(0,$C959-$B959))</f>
        <v/>
      </c>
    </row>
    <row r="960" ht="15" customHeight="1" s="78">
      <c r="A960" s="122" t="n"/>
      <c r="B960" s="120" t="n"/>
      <c r="C960" s="120" t="n"/>
      <c r="D960" s="120" t="n"/>
      <c r="E960" s="120" t="n"/>
      <c r="F960" s="120" t="n"/>
      <c r="G960" s="121">
        <f>IF($A960="","",MAX(0,$D960+$E960-$F960))</f>
        <v/>
      </c>
      <c r="H960" s="121">
        <f>IF($A960="","",MAX(0,$C960-$B960))</f>
        <v/>
      </c>
    </row>
    <row r="961" ht="15" customHeight="1" s="78">
      <c r="A961" s="122" t="n"/>
      <c r="B961" s="120" t="n"/>
      <c r="C961" s="120" t="n"/>
      <c r="D961" s="120" t="n"/>
      <c r="E961" s="120" t="n"/>
      <c r="F961" s="120" t="n"/>
      <c r="G961" s="121">
        <f>IF($A961="","",MAX(0,$D961+$E961-$F961))</f>
        <v/>
      </c>
      <c r="H961" s="121">
        <f>IF($A961="","",MAX(0,$C961-$B961))</f>
        <v/>
      </c>
    </row>
    <row r="962" ht="15" customHeight="1" s="78">
      <c r="A962" s="122" t="n"/>
      <c r="B962" s="120" t="n"/>
      <c r="C962" s="120" t="n"/>
      <c r="D962" s="120" t="n"/>
      <c r="E962" s="120" t="n"/>
      <c r="F962" s="120" t="n"/>
      <c r="G962" s="121">
        <f>IF($A962="","",MAX(0,$D962+$E962-$F962))</f>
        <v/>
      </c>
      <c r="H962" s="121">
        <f>IF($A962="","",MAX(0,$C962-$B962))</f>
        <v/>
      </c>
    </row>
    <row r="963" ht="15" customHeight="1" s="78">
      <c r="A963" s="122" t="n"/>
      <c r="B963" s="120" t="n"/>
      <c r="C963" s="120" t="n"/>
      <c r="D963" s="120" t="n"/>
      <c r="E963" s="120" t="n"/>
      <c r="F963" s="120" t="n"/>
      <c r="G963" s="121">
        <f>IF($A963="","",MAX(0,$D963+$E963-$F963))</f>
        <v/>
      </c>
      <c r="H963" s="121">
        <f>IF($A963="","",MAX(0,$C963-$B963))</f>
        <v/>
      </c>
    </row>
    <row r="964" ht="15" customHeight="1" s="78">
      <c r="A964" s="122" t="n"/>
      <c r="B964" s="120" t="n"/>
      <c r="C964" s="120" t="n"/>
      <c r="D964" s="120" t="n"/>
      <c r="E964" s="120" t="n"/>
      <c r="F964" s="120" t="n"/>
      <c r="G964" s="121">
        <f>IF($A964="","",MAX(0,$D964+$E964-$F964))</f>
        <v/>
      </c>
      <c r="H964" s="121">
        <f>IF($A964="","",MAX(0,$C964-$B964))</f>
        <v/>
      </c>
    </row>
    <row r="965" ht="15" customHeight="1" s="78">
      <c r="A965" s="122" t="n"/>
      <c r="B965" s="120" t="n"/>
      <c r="C965" s="120" t="n"/>
      <c r="D965" s="120" t="n"/>
      <c r="E965" s="120" t="n"/>
      <c r="F965" s="120" t="n"/>
      <c r="G965" s="121">
        <f>IF($A965="","",MAX(0,$D965+$E965-$F965))</f>
        <v/>
      </c>
      <c r="H965" s="121">
        <f>IF($A965="","",MAX(0,$C965-$B965))</f>
        <v/>
      </c>
    </row>
    <row r="966" ht="15" customHeight="1" s="78">
      <c r="A966" s="122" t="n"/>
      <c r="B966" s="120" t="n"/>
      <c r="C966" s="120" t="n"/>
      <c r="D966" s="120" t="n"/>
      <c r="E966" s="120" t="n"/>
      <c r="F966" s="120" t="n"/>
      <c r="G966" s="121">
        <f>IF($A966="","",MAX(0,$D966+$E966-$F966))</f>
        <v/>
      </c>
      <c r="H966" s="121">
        <f>IF($A966="","",MAX(0,$C966-$B966))</f>
        <v/>
      </c>
    </row>
    <row r="967" ht="15" customHeight="1" s="78">
      <c r="A967" s="122" t="n"/>
      <c r="B967" s="120" t="n"/>
      <c r="C967" s="120" t="n"/>
      <c r="D967" s="120" t="n"/>
      <c r="E967" s="120" t="n"/>
      <c r="F967" s="120" t="n"/>
      <c r="G967" s="121">
        <f>IF($A967="","",MAX(0,$D967+$E967-$F967))</f>
        <v/>
      </c>
      <c r="H967" s="121">
        <f>IF($A967="","",MAX(0,$C967-$B967))</f>
        <v/>
      </c>
    </row>
    <row r="968" ht="15" customHeight="1" s="78">
      <c r="A968" s="122" t="n"/>
      <c r="B968" s="120" t="n"/>
      <c r="C968" s="120" t="n"/>
      <c r="D968" s="120" t="n"/>
      <c r="E968" s="120" t="n"/>
      <c r="F968" s="120" t="n"/>
      <c r="G968" s="121">
        <f>IF($A968="","",MAX(0,$D968+$E968-$F968))</f>
        <v/>
      </c>
      <c r="H968" s="121">
        <f>IF($A968="","",MAX(0,$C968-$B968))</f>
        <v/>
      </c>
    </row>
    <row r="969" ht="15" customHeight="1" s="78">
      <c r="A969" s="122" t="n"/>
      <c r="B969" s="120" t="n"/>
      <c r="C969" s="120" t="n"/>
      <c r="D969" s="120" t="n"/>
      <c r="E969" s="120" t="n"/>
      <c r="F969" s="120" t="n"/>
      <c r="G969" s="121">
        <f>IF($A969="","",MAX(0,$D969+$E969-$F969))</f>
        <v/>
      </c>
      <c r="H969" s="121">
        <f>IF($A969="","",MAX(0,$C969-$B969))</f>
        <v/>
      </c>
    </row>
    <row r="970" ht="15" customHeight="1" s="78">
      <c r="A970" s="122" t="n"/>
      <c r="B970" s="120" t="n"/>
      <c r="C970" s="120" t="n"/>
      <c r="D970" s="120" t="n"/>
      <c r="E970" s="120" t="n"/>
      <c r="F970" s="120" t="n"/>
      <c r="G970" s="121">
        <f>IF($A970="","",MAX(0,$D970+$E970-$F970))</f>
        <v/>
      </c>
      <c r="H970" s="121">
        <f>IF($A970="","",MAX(0,$C970-$B970))</f>
        <v/>
      </c>
    </row>
    <row r="971" ht="15" customHeight="1" s="78">
      <c r="A971" s="122" t="n"/>
      <c r="B971" s="120" t="n"/>
      <c r="C971" s="120" t="n"/>
      <c r="D971" s="120" t="n"/>
      <c r="E971" s="120" t="n"/>
      <c r="F971" s="120" t="n"/>
      <c r="G971" s="121">
        <f>IF($A971="","",MAX(0,$D971+$E971-$F971))</f>
        <v/>
      </c>
      <c r="H971" s="121">
        <f>IF($A971="","",MAX(0,$C971-$B971))</f>
        <v/>
      </c>
    </row>
    <row r="972" ht="15" customHeight="1" s="78">
      <c r="A972" s="122" t="n"/>
      <c r="B972" s="120" t="n"/>
      <c r="C972" s="120" t="n"/>
      <c r="D972" s="120" t="n"/>
      <c r="E972" s="120" t="n"/>
      <c r="F972" s="120" t="n"/>
      <c r="G972" s="121">
        <f>IF($A972="","",MAX(0,$D972+$E972-$F972))</f>
        <v/>
      </c>
      <c r="H972" s="121">
        <f>IF($A972="","",MAX(0,$C972-$B972))</f>
        <v/>
      </c>
    </row>
    <row r="973" ht="15" customHeight="1" s="78">
      <c r="A973" s="122" t="n"/>
      <c r="B973" s="120" t="n"/>
      <c r="C973" s="120" t="n"/>
      <c r="D973" s="120" t="n"/>
      <c r="E973" s="120" t="n"/>
      <c r="F973" s="120" t="n"/>
      <c r="G973" s="121">
        <f>IF($A973="","",MAX(0,$D973+$E973-$F973))</f>
        <v/>
      </c>
      <c r="H973" s="121">
        <f>IF($A973="","",MAX(0,$C973-$B973))</f>
        <v/>
      </c>
    </row>
    <row r="974" ht="15" customHeight="1" s="78">
      <c r="A974" s="122" t="n"/>
      <c r="B974" s="120" t="n"/>
      <c r="C974" s="120" t="n"/>
      <c r="D974" s="120" t="n"/>
      <c r="E974" s="120" t="n"/>
      <c r="F974" s="120" t="n"/>
      <c r="G974" s="121">
        <f>IF($A974="","",MAX(0,$D974+$E974-$F974))</f>
        <v/>
      </c>
      <c r="H974" s="121">
        <f>IF($A974="","",MAX(0,$C974-$B974))</f>
        <v/>
      </c>
    </row>
    <row r="975" ht="15" customHeight="1" s="78">
      <c r="A975" s="122" t="n"/>
      <c r="B975" s="120" t="n"/>
      <c r="C975" s="120" t="n"/>
      <c r="D975" s="120" t="n"/>
      <c r="E975" s="120" t="n"/>
      <c r="F975" s="120" t="n"/>
      <c r="G975" s="121">
        <f>IF($A975="","",MAX(0,$D975+$E975-$F975))</f>
        <v/>
      </c>
      <c r="H975" s="121">
        <f>IF($A975="","",MAX(0,$C975-$B975))</f>
        <v/>
      </c>
    </row>
    <row r="976" ht="15" customHeight="1" s="78">
      <c r="A976" s="122" t="n"/>
      <c r="B976" s="120" t="n"/>
      <c r="C976" s="120" t="n"/>
      <c r="D976" s="120" t="n"/>
      <c r="E976" s="120" t="n"/>
      <c r="F976" s="120" t="n"/>
      <c r="G976" s="121">
        <f>IF($A976="","",MAX(0,$D976+$E976-$F976))</f>
        <v/>
      </c>
      <c r="H976" s="121">
        <f>IF($A976="","",MAX(0,$C976-$B976))</f>
        <v/>
      </c>
    </row>
    <row r="977" ht="15" customHeight="1" s="78">
      <c r="A977" s="122" t="n"/>
      <c r="B977" s="120" t="n"/>
      <c r="C977" s="120" t="n"/>
      <c r="D977" s="120" t="n"/>
      <c r="E977" s="120" t="n"/>
      <c r="F977" s="120" t="n"/>
      <c r="G977" s="121">
        <f>IF($A977="","",MAX(0,$D977+$E977-$F977))</f>
        <v/>
      </c>
      <c r="H977" s="121">
        <f>IF($A977="","",MAX(0,$C977-$B977))</f>
        <v/>
      </c>
    </row>
    <row r="978" ht="15" customHeight="1" s="78">
      <c r="A978" s="122" t="n"/>
      <c r="B978" s="120" t="n"/>
      <c r="C978" s="120" t="n"/>
      <c r="D978" s="120" t="n"/>
      <c r="E978" s="120" t="n"/>
      <c r="F978" s="120" t="n"/>
      <c r="G978" s="121">
        <f>IF($A978="","",MAX(0,$D978+$E978-$F978))</f>
        <v/>
      </c>
      <c r="H978" s="121">
        <f>IF($A978="","",MAX(0,$C978-$B978))</f>
        <v/>
      </c>
    </row>
    <row r="979" ht="15" customHeight="1" s="78">
      <c r="A979" s="122" t="n"/>
      <c r="B979" s="120" t="n"/>
      <c r="C979" s="120" t="n"/>
      <c r="D979" s="120" t="n"/>
      <c r="E979" s="120" t="n"/>
      <c r="F979" s="120" t="n"/>
      <c r="G979" s="121">
        <f>IF($A979="","",MAX(0,$D979+$E979-$F979))</f>
        <v/>
      </c>
      <c r="H979" s="121">
        <f>IF($A979="","",MAX(0,$C979-$B979))</f>
        <v/>
      </c>
    </row>
    <row r="980" ht="15" customHeight="1" s="78">
      <c r="A980" s="122" t="n"/>
      <c r="B980" s="120" t="n"/>
      <c r="C980" s="120" t="n"/>
      <c r="D980" s="120" t="n"/>
      <c r="E980" s="120" t="n"/>
      <c r="F980" s="120" t="n"/>
      <c r="G980" s="121">
        <f>IF($A980="","",MAX(0,$D980+$E980-$F980))</f>
        <v/>
      </c>
      <c r="H980" s="121">
        <f>IF($A980="","",MAX(0,$C980-$B980))</f>
        <v/>
      </c>
    </row>
    <row r="981" ht="15" customHeight="1" s="78">
      <c r="A981" s="122" t="n"/>
      <c r="B981" s="120" t="n"/>
      <c r="C981" s="120" t="n"/>
      <c r="D981" s="120" t="n"/>
      <c r="E981" s="120" t="n"/>
      <c r="F981" s="120" t="n"/>
      <c r="G981" s="121">
        <f>IF($A981="","",MAX(0,$D981+$E981-$F981))</f>
        <v/>
      </c>
      <c r="H981" s="121">
        <f>IF($A981="","",MAX(0,$C981-$B981))</f>
        <v/>
      </c>
    </row>
    <row r="982" ht="15" customHeight="1" s="78">
      <c r="A982" s="122" t="n"/>
      <c r="B982" s="120" t="n"/>
      <c r="C982" s="120" t="n"/>
      <c r="D982" s="120" t="n"/>
      <c r="E982" s="120" t="n"/>
      <c r="F982" s="120" t="n"/>
      <c r="G982" s="121">
        <f>IF($A982="","",MAX(0,$D982+$E982-$F982))</f>
        <v/>
      </c>
      <c r="H982" s="121">
        <f>IF($A982="","",MAX(0,$C982-$B982))</f>
        <v/>
      </c>
    </row>
    <row r="983" ht="15" customHeight="1" s="78">
      <c r="A983" s="122" t="n"/>
      <c r="B983" s="120" t="n"/>
      <c r="C983" s="120" t="n"/>
      <c r="D983" s="120" t="n"/>
      <c r="E983" s="120" t="n"/>
      <c r="F983" s="120" t="n"/>
      <c r="G983" s="121">
        <f>IF($A983="","",MAX(0,$D983+$E983-$F983))</f>
        <v/>
      </c>
      <c r="H983" s="121">
        <f>IF($A983="","",MAX(0,$C983-$B983))</f>
        <v/>
      </c>
    </row>
    <row r="984" ht="15" customHeight="1" s="78">
      <c r="A984" s="122" t="n"/>
      <c r="B984" s="120" t="n"/>
      <c r="C984" s="120" t="n"/>
      <c r="D984" s="120" t="n"/>
      <c r="E984" s="120" t="n"/>
      <c r="F984" s="120" t="n"/>
      <c r="G984" s="121">
        <f>IF($A984="","",MAX(0,$D984+$E984-$F984))</f>
        <v/>
      </c>
      <c r="H984" s="121">
        <f>IF($A984="","",MAX(0,$C984-$B984))</f>
        <v/>
      </c>
    </row>
    <row r="985" ht="15" customHeight="1" s="78">
      <c r="A985" s="122" t="n"/>
      <c r="B985" s="120" t="n"/>
      <c r="C985" s="120" t="n"/>
      <c r="D985" s="120" t="n"/>
      <c r="E985" s="120" t="n"/>
      <c r="F985" s="120" t="n"/>
      <c r="G985" s="121">
        <f>IF($A985="","",MAX(0,$D985+$E985-$F985))</f>
        <v/>
      </c>
      <c r="H985" s="121">
        <f>IF($A985="","",MAX(0,$C985-$B985))</f>
        <v/>
      </c>
    </row>
    <row r="986" ht="15" customHeight="1" s="78">
      <c r="A986" s="122" t="n"/>
      <c r="B986" s="120" t="n"/>
      <c r="C986" s="120" t="n"/>
      <c r="D986" s="120" t="n"/>
      <c r="E986" s="120" t="n"/>
      <c r="F986" s="120" t="n"/>
      <c r="G986" s="121">
        <f>IF($A986="","",MAX(0,$D986+$E986-$F986))</f>
        <v/>
      </c>
      <c r="H986" s="121">
        <f>IF($A986="","",MAX(0,$C986-$B986))</f>
        <v/>
      </c>
    </row>
    <row r="987" ht="15" customHeight="1" s="78">
      <c r="A987" s="122" t="n"/>
      <c r="B987" s="120" t="n"/>
      <c r="C987" s="120" t="n"/>
      <c r="D987" s="120" t="n"/>
      <c r="E987" s="120" t="n"/>
      <c r="F987" s="120" t="n"/>
      <c r="G987" s="121">
        <f>IF($A987="","",MAX(0,$D987+$E987-$F987))</f>
        <v/>
      </c>
      <c r="H987" s="121">
        <f>IF($A987="","",MAX(0,$C987-$B987))</f>
        <v/>
      </c>
    </row>
    <row r="988" ht="15" customHeight="1" s="78">
      <c r="A988" s="122" t="n"/>
      <c r="B988" s="120" t="n"/>
      <c r="C988" s="120" t="n"/>
      <c r="D988" s="120" t="n"/>
      <c r="E988" s="120" t="n"/>
      <c r="F988" s="120" t="n"/>
      <c r="G988" s="121">
        <f>IF($A988="","",MAX(0,$D988+$E988-$F988))</f>
        <v/>
      </c>
      <c r="H988" s="121">
        <f>IF($A988="","",MAX(0,$C988-$B988))</f>
        <v/>
      </c>
    </row>
    <row r="989" ht="15" customHeight="1" s="78">
      <c r="A989" s="122" t="n"/>
      <c r="B989" s="120" t="n"/>
      <c r="C989" s="120" t="n"/>
      <c r="D989" s="120" t="n"/>
      <c r="E989" s="120" t="n"/>
      <c r="F989" s="120" t="n"/>
      <c r="G989" s="121">
        <f>IF($A989="","",MAX(0,$D989+$E989-$F989))</f>
        <v/>
      </c>
      <c r="H989" s="121">
        <f>IF($A989="","",MAX(0,$C989-$B989))</f>
        <v/>
      </c>
    </row>
    <row r="990" ht="15" customHeight="1" s="78">
      <c r="A990" s="122" t="n"/>
      <c r="B990" s="120" t="n"/>
      <c r="C990" s="120" t="n"/>
      <c r="D990" s="120" t="n"/>
      <c r="E990" s="120" t="n"/>
      <c r="F990" s="120" t="n"/>
      <c r="G990" s="121">
        <f>IF($A990="","",MAX(0,$D990+$E990-$F990))</f>
        <v/>
      </c>
      <c r="H990" s="121">
        <f>IF($A990="","",MAX(0,$C990-$B990))</f>
        <v/>
      </c>
    </row>
    <row r="991" ht="15" customHeight="1" s="78">
      <c r="A991" s="122" t="n"/>
      <c r="B991" s="120" t="n"/>
      <c r="C991" s="120" t="n"/>
      <c r="D991" s="120" t="n"/>
      <c r="E991" s="120" t="n"/>
      <c r="F991" s="120" t="n"/>
      <c r="G991" s="121">
        <f>IF($A991="","",MAX(0,$D991+$E991-$F991))</f>
        <v/>
      </c>
      <c r="H991" s="121">
        <f>IF($A991="","",MAX(0,$C991-$B991))</f>
        <v/>
      </c>
    </row>
    <row r="992" ht="15" customHeight="1" s="78">
      <c r="A992" s="122" t="n"/>
      <c r="B992" s="120" t="n"/>
      <c r="C992" s="120" t="n"/>
      <c r="D992" s="120" t="n"/>
      <c r="E992" s="120" t="n"/>
      <c r="F992" s="120" t="n"/>
      <c r="G992" s="121">
        <f>IF($A992="","",MAX(0,$D992+$E992-$F992))</f>
        <v/>
      </c>
      <c r="H992" s="121">
        <f>IF($A992="","",MAX(0,$C992-$B992))</f>
        <v/>
      </c>
    </row>
    <row r="993" ht="15" customHeight="1" s="78">
      <c r="A993" s="122" t="n"/>
      <c r="B993" s="120" t="n"/>
      <c r="C993" s="120" t="n"/>
      <c r="D993" s="120" t="n"/>
      <c r="E993" s="120" t="n"/>
      <c r="F993" s="120" t="n"/>
      <c r="G993" s="121">
        <f>IF($A993="","",MAX(0,$D993+$E993-$F993))</f>
        <v/>
      </c>
      <c r="H993" s="121">
        <f>IF($A993="","",MAX(0,$C993-$B993))</f>
        <v/>
      </c>
    </row>
    <row r="994" ht="15" customHeight="1" s="78">
      <c r="A994" s="122" t="n"/>
      <c r="B994" s="120" t="n"/>
      <c r="C994" s="120" t="n"/>
      <c r="D994" s="120" t="n"/>
      <c r="E994" s="120" t="n"/>
      <c r="F994" s="120" t="n"/>
      <c r="G994" s="121">
        <f>IF($A994="","",MAX(0,$D994+$E994-$F994))</f>
        <v/>
      </c>
      <c r="H994" s="121">
        <f>IF($A994="","",MAX(0,$C994-$B994))</f>
        <v/>
      </c>
    </row>
    <row r="995" ht="15" customHeight="1" s="78">
      <c r="A995" s="122" t="n"/>
      <c r="B995" s="120" t="n"/>
      <c r="C995" s="120" t="n"/>
      <c r="D995" s="120" t="n"/>
      <c r="E995" s="120" t="n"/>
      <c r="F995" s="120" t="n"/>
      <c r="G995" s="121">
        <f>IF($A995="","",MAX(0,$D995+$E995-$F995))</f>
        <v/>
      </c>
      <c r="H995" s="121">
        <f>IF($A995="","",MAX(0,$C995-$B995))</f>
        <v/>
      </c>
    </row>
    <row r="996" ht="15" customHeight="1" s="78">
      <c r="A996" s="122" t="n"/>
      <c r="B996" s="120" t="n"/>
      <c r="C996" s="120" t="n"/>
      <c r="D996" s="120" t="n"/>
      <c r="E996" s="120" t="n"/>
      <c r="F996" s="120" t="n"/>
      <c r="G996" s="121">
        <f>IF($A996="","",MAX(0,$D996+$E996-$F996))</f>
        <v/>
      </c>
      <c r="H996" s="121">
        <f>IF($A996="","",MAX(0,$C996-$B996))</f>
        <v/>
      </c>
    </row>
    <row r="997" ht="15" customHeight="1" s="78">
      <c r="A997" s="122" t="n"/>
      <c r="B997" s="120" t="n"/>
      <c r="C997" s="120" t="n"/>
      <c r="D997" s="120" t="n"/>
      <c r="E997" s="120" t="n"/>
      <c r="F997" s="120" t="n"/>
      <c r="G997" s="121">
        <f>IF($A997="","",MAX(0,$D997+$E997-$F997))</f>
        <v/>
      </c>
      <c r="H997" s="121">
        <f>IF($A997="","",MAX(0,$C997-$B997))</f>
        <v/>
      </c>
    </row>
    <row r="998" ht="15" customHeight="1" s="78">
      <c r="A998" s="122" t="n"/>
      <c r="B998" s="120" t="n"/>
      <c r="C998" s="120" t="n"/>
      <c r="D998" s="120" t="n"/>
      <c r="E998" s="120" t="n"/>
      <c r="F998" s="120" t="n"/>
      <c r="G998" s="121">
        <f>IF($A998="","",MAX(0,$D998+$E998-$F998))</f>
        <v/>
      </c>
      <c r="H998" s="121">
        <f>IF($A998="","",MAX(0,$C998-$B998))</f>
        <v/>
      </c>
    </row>
    <row r="999" ht="15" customHeight="1" s="78">
      <c r="A999" s="122" t="n"/>
      <c r="B999" s="120" t="n"/>
      <c r="C999" s="120" t="n"/>
      <c r="D999" s="120" t="n"/>
      <c r="E999" s="120" t="n"/>
      <c r="F999" s="120" t="n"/>
      <c r="G999" s="121">
        <f>IF($A999="","",MAX(0,$D999+$E999-$F999))</f>
        <v/>
      </c>
      <c r="H999" s="121">
        <f>IF($A999="","",MAX(0,$C999-$B999))</f>
        <v/>
      </c>
    </row>
    <row r="1000" ht="15" customHeight="1" s="78">
      <c r="A1000" s="122" t="n"/>
      <c r="B1000" s="120" t="n"/>
      <c r="C1000" s="120" t="n"/>
      <c r="D1000" s="120" t="n"/>
      <c r="E1000" s="120" t="n"/>
      <c r="F1000" s="120" t="n"/>
      <c r="G1000" s="121">
        <f>IF($A1000="","",MAX(0,$D1000+$E1000-$F1000))</f>
        <v/>
      </c>
      <c r="H1000" s="121">
        <f>IF($A1000="","",MAX(0,$C1000-$B1000))</f>
        <v/>
      </c>
    </row>
    <row r="1001" ht="15" customHeight="1" s="78">
      <c r="A1001" s="122" t="n"/>
      <c r="B1001" s="120" t="n"/>
      <c r="C1001" s="120" t="n"/>
      <c r="D1001" s="120" t="n"/>
      <c r="E1001" s="120" t="n"/>
      <c r="F1001" s="120" t="n"/>
      <c r="G1001" s="121">
        <f>IF($A1001="","",MAX(0,$D1001+$E1001-$F1001))</f>
        <v/>
      </c>
      <c r="H1001" s="121">
        <f>IF($A1001="","",MAX(0,$C1001-$B1001))</f>
        <v/>
      </c>
    </row>
    <row r="1002" ht="15" customHeight="1" s="78">
      <c r="A1002" s="122" t="n"/>
      <c r="B1002" s="120" t="n"/>
      <c r="C1002" s="120" t="n"/>
      <c r="D1002" s="120" t="n"/>
      <c r="E1002" s="120" t="n"/>
      <c r="F1002" s="120" t="n"/>
      <c r="G1002" s="121">
        <f>IF($A1002="","",MAX(0,$D1002+$E1002-$F1002))</f>
        <v/>
      </c>
      <c r="H1002" s="121">
        <f>IF($A1002="","",MAX(0,$C1002-$B1002))</f>
        <v/>
      </c>
    </row>
    <row r="1003" ht="15" customHeight="1" s="78">
      <c r="A1003" s="122" t="n"/>
      <c r="B1003" s="120" t="n"/>
      <c r="C1003" s="120" t="n"/>
      <c r="D1003" s="120" t="n"/>
      <c r="E1003" s="120" t="n"/>
      <c r="F1003" s="120" t="n"/>
      <c r="G1003" s="121">
        <f>IF($A1003="","",MAX(0,$D1003+$E1003-$F1003))</f>
        <v/>
      </c>
      <c r="H1003" s="121">
        <f>IF($A1003="","",MAX(0,$C1003-$B1003))</f>
        <v/>
      </c>
    </row>
    <row r="1004" ht="15" customHeight="1" s="78">
      <c r="A1004" s="122" t="n"/>
      <c r="B1004" s="122" t="n"/>
      <c r="C1004" s="122" t="n"/>
      <c r="D1004" s="122" t="n"/>
      <c r="E1004" s="122" t="n"/>
      <c r="F1004" s="122" t="n"/>
      <c r="G1004" s="123">
        <f>IF($A1004="","",MAX(0,$D1004+$E1004-$F1004))</f>
        <v/>
      </c>
      <c r="H1004" s="123">
        <f>IF($A1004="","",MAX(0,$C1004-$B1004))</f>
        <v/>
      </c>
    </row>
    <row r="1006" ht="19.5" customHeight="1" s="78">
      <c r="A1006" s="124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B6:B1004">
    <cfRule type="cellIs" rank="0" priority="2" equalAverage="0" operator="lessThan" aboveAverage="0" dxfId="8" text="" percent="0" bottom="0">
      <formula>0</formula>
    </cfRule>
  </conditionalFormatting>
  <conditionalFormatting sqref="C6:C1004">
    <cfRule type="cellIs" rank="0" priority="3" equalAverage="0" operator="lessThan" aboveAverage="0" dxfId="8" text="" percent="0" bottom="0">
      <formula>0</formula>
    </cfRule>
  </conditionalFormatting>
  <conditionalFormatting sqref="D6:D1004">
    <cfRule type="cellIs" rank="0" priority="4" equalAverage="0" operator="lessThan" aboveAverage="0" dxfId="8" text="" percent="0" bottom="0">
      <formula>0</formula>
    </cfRule>
  </conditionalFormatting>
  <conditionalFormatting sqref="E6:E1004">
    <cfRule type="cellIs" rank="0" priority="5" equalAverage="0" operator="lessThan" aboveAverage="0" dxfId="8" text="" percent="0" bottom="0">
      <formula>0</formula>
    </cfRule>
  </conditionalFormatting>
  <conditionalFormatting sqref="F6:F1004">
    <cfRule type="cellIs" rank="0" priority="6" equalAverage="0" operator="lessThan" aboveAverage="0" dxfId="8" text="" percent="0" bottom="0">
      <formula>0</formula>
    </cfRule>
  </conditionalFormatting>
  <conditionalFormatting sqref="G6:G1004">
    <cfRule type="cellIs" rank="0" priority="7" equalAverage="0" operator="lessThan" aboveAverage="0" dxfId="8" text="" percent="0" bottom="0">
      <formula>0</formula>
    </cfRule>
    <cfRule type="cellIs" rank="0" priority="8" equalAverage="0" operator="greaterThan" aboveAverage="0" dxfId="9" text="" percent="0" bottom="0">
      <formula>0</formula>
    </cfRule>
  </conditionalFormatting>
  <conditionalFormatting sqref="H6:H1004">
    <cfRule type="cellIs" rank="0" priority="9" equalAverage="0" operator="greaterThan" aboveAverage="0" dxfId="10" text="" percent="0" bottom="0">
      <formula>0</formula>
    </cfRule>
  </conditionalFormatting>
  <dataValidations count="6">
    <dataValidation sqref="A6:A1004" showDropDown="0" showInputMessage="1" showErrorMessage="1" allowBlank="1" errorTitle="Geçersiz ay" error="Listede olmayan ay giremezsiniz." promptTitle="Ay" prompt="Listeden dönem ayını seçin (ör. 2026-01)." type="list" errorStyle="stop" operator="between">
      <formula1>ListeAylar</formula1>
      <formula2>0</formula2>
    </dataValidation>
    <dataValidation sqref="B6:B1004" showDropDown="0" showInputMessage="1" showErrorMessage="1" allowBlank="1" errorTitle="Geçersiz değer" error="0 ile 1.000.000.000.000 arasında olmalı." promptTitle="Öz Kaynak" prompt="Ay sonu öz kaynak tutarını TL olarak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 değer" error="0 ile 1.000.000.000.000 arasında olmalı." promptTitle="Yabancı Kaynak" prompt="Ay sonu yabancı kaynak tutarını TL olarak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 değer" error="0 ile 100.000.000.000 arasında olmalı." promptTitle="Finansman Gideri" prompt="Aya ait faiz, komisyon ve vade farkı giderlerini TL girin." type="decimal" errorStyle="stop" operator="between">
      <formula1>0</formula1>
      <formula2>100000000000</formula2>
    </dataValidation>
    <dataValidation sqref="E6:E1004" showDropDown="0" showInputMessage="1" showErrorMessage="1" allowBlank="1" errorTitle="Geçersiz değer" error="0 ile 100.000.000.000 arasında olmalı." promptTitle="Kur Farkı Gideri" prompt="Aya ait kur farkı giderlerini TL girin (yoksa 0)." type="decimal" errorStyle="stop" operator="between">
      <formula1>0</formula1>
      <formula2>100000000000</formula2>
    </dataValidation>
    <dataValidation sqref="F6:F1004" showDropDown="0" showInputMessage="1" showErrorMessage="1" allowBlank="1" errorTitle="Geçersiz değer" error="0 ile 100.000.000.000 arasında olmalı." promptTitle="Kapsam Dışı Gider" prompt="Kısıtlama kapsamı dışındaki giderleri TL girin (yoksa 0)." type="decimal" errorStyle="stop" operator="between">
      <formula1>0</formula1>
      <formula2>100000000000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04" min="1" max="1"/>
    <col width="18" customWidth="1" style="104" min="2" max="2"/>
    <col width="14" customWidth="1" style="104" min="3" max="4"/>
    <col width="18" customWidth="1" style="104" min="5" max="5"/>
    <col width="14" customWidth="1" style="104" min="6" max="6"/>
    <col width="22" customWidth="1" style="104" min="7" max="7"/>
    <col width="14" customWidth="1" style="104" min="8" max="8"/>
    <col width="22" customWidth="1" style="104" min="9" max="9"/>
    <col width="10" customWidth="1" style="104" min="10" max="10"/>
    <col width="20" customWidth="1" style="104" min="11" max="11"/>
  </cols>
  <sheetData>
    <row r="1" ht="25.5" customHeight="1" s="78">
      <c r="A1" s="105" t="inlineStr">
        <is>
          <t>KREDI LISTESI — KKEG ve Finansman Gider Kısıtlaması Vergi Savunma Seti</t>
        </is>
      </c>
    </row>
    <row r="3" ht="15.75" customHeight="1" s="78">
      <c r="A3" s="112" t="inlineStr">
        <is>
          <t>Kredi Listesi</t>
        </is>
      </c>
    </row>
    <row r="4" ht="175.5" customHeight="1" s="78">
      <c r="A4" s="107" t="inlineStr">
        <is>
          <t>Sarı hücrelere dönem kredilerinizi girin. Kapsam dışı işaretli kredilerin gideri KKEG hesabına katılmaz; yoğunlaşma ve anomali analizleri bu listeden beslenir.</t>
        </is>
      </c>
    </row>
    <row r="5" ht="30" customHeight="1" s="78">
      <c r="A5" s="117" t="inlineStr">
        <is>
          <t>Kredi Numarası</t>
        </is>
      </c>
      <c r="B5" s="117" t="inlineStr">
        <is>
          <t>Kaynak Türü</t>
        </is>
      </c>
      <c r="C5" s="117" t="inlineStr">
        <is>
          <t>Kullanım Tarihi</t>
        </is>
      </c>
      <c r="D5" s="117" t="inlineStr">
        <is>
          <t>Vade Tarihi</t>
        </is>
      </c>
      <c r="E5" s="117" t="inlineStr">
        <is>
          <t>Kredi Tutarı (₺)</t>
        </is>
      </c>
      <c r="F5" s="117" t="inlineStr">
        <is>
          <t>Yıllık Faiz Oranı</t>
        </is>
      </c>
      <c r="G5" s="117" t="inlineStr">
        <is>
          <t>Dönem Finansman Gideri (₺)</t>
        </is>
      </c>
      <c r="H5" s="117" t="inlineStr">
        <is>
          <t>Kapsam Dışı mı?</t>
        </is>
      </c>
      <c r="I5" s="117" t="inlineStr">
        <is>
          <t>Açıklama</t>
        </is>
      </c>
      <c r="J5" s="117" t="inlineStr">
        <is>
          <t>Vade Günü</t>
        </is>
      </c>
      <c r="K5" s="117" t="inlineStr">
        <is>
          <t>Kapsamdaki Gider (₺)</t>
        </is>
      </c>
    </row>
    <row r="6" ht="15.75" customHeight="1" s="78">
      <c r="A6" s="118" t="inlineStr">
        <is>
          <t>K-1001</t>
        </is>
      </c>
      <c r="B6" s="118" t="inlineStr">
        <is>
          <t>Banka Kredisi</t>
        </is>
      </c>
      <c r="C6" s="125" t="n">
        <v>46037</v>
      </c>
      <c r="D6" s="125" t="n">
        <v>46402</v>
      </c>
      <c r="E6" s="119" t="n">
        <v>10000000</v>
      </c>
      <c r="F6" s="126" t="n">
        <v>0.3</v>
      </c>
      <c r="G6" s="119" t="n">
        <v>250000</v>
      </c>
      <c r="H6" s="118" t="inlineStr">
        <is>
          <t>Hayır</t>
        </is>
      </c>
      <c r="I6" s="118" t="inlineStr">
        <is>
          <t>İşletme kredisi</t>
        </is>
      </c>
      <c r="J6" s="127">
        <f>IF($A6="","",IFERROR($D6-$C6,0))</f>
        <v/>
      </c>
      <c r="K6" s="121">
        <f>IF($A6="","",IF($H6="Evet",0,$G6))</f>
        <v/>
      </c>
    </row>
    <row r="7" ht="15.75" customHeight="1" s="78">
      <c r="A7" s="118" t="inlineStr">
        <is>
          <t>K-1002</t>
        </is>
      </c>
      <c r="B7" s="118" t="inlineStr">
        <is>
          <t>Ortak Borcu</t>
        </is>
      </c>
      <c r="C7" s="125" t="n">
        <v>46054</v>
      </c>
      <c r="D7" s="125" t="n">
        <v>46419</v>
      </c>
      <c r="E7" s="119" t="n">
        <v>5000000</v>
      </c>
      <c r="F7" s="126" t="n">
        <v>0.25</v>
      </c>
      <c r="G7" s="119" t="n">
        <v>125000</v>
      </c>
      <c r="H7" s="118" t="inlineStr">
        <is>
          <t>Hayır</t>
        </is>
      </c>
      <c r="I7" s="118" t="inlineStr">
        <is>
          <t>Ortak avansı</t>
        </is>
      </c>
      <c r="J7" s="127">
        <f>IF($A7="","",IFERROR($D7-$C7,0))</f>
        <v/>
      </c>
      <c r="K7" s="121">
        <f>IF($A7="","",IF($H7="Evet",0,$G7))</f>
        <v/>
      </c>
    </row>
    <row r="8" ht="15.75" customHeight="1" s="78">
      <c r="A8" s="118" t="inlineStr">
        <is>
          <t>K-1003</t>
        </is>
      </c>
      <c r="B8" s="118" t="inlineStr">
        <is>
          <t>Tahvil</t>
        </is>
      </c>
      <c r="C8" s="125" t="n">
        <v>46091</v>
      </c>
      <c r="D8" s="125" t="n">
        <v>46822</v>
      </c>
      <c r="E8" s="119" t="n">
        <v>8000000</v>
      </c>
      <c r="F8" s="126" t="n">
        <v>0.28</v>
      </c>
      <c r="G8" s="119" t="n">
        <v>186667</v>
      </c>
      <c r="H8" s="118" t="inlineStr">
        <is>
          <t>Hayır</t>
        </is>
      </c>
      <c r="I8" s="118" t="inlineStr">
        <is>
          <t>Kurumsal tahvil</t>
        </is>
      </c>
      <c r="J8" s="127">
        <f>IF($A8="","",IFERROR($D8-$C8,0))</f>
        <v/>
      </c>
      <c r="K8" s="121">
        <f>IF($A8="","",IF($H8="Evet",0,$G8))</f>
        <v/>
      </c>
    </row>
    <row r="9" ht="15.75" customHeight="1" s="78">
      <c r="A9" s="118" t="inlineStr">
        <is>
          <t>K-1004</t>
        </is>
      </c>
      <c r="B9" s="118" t="inlineStr">
        <is>
          <t>Banka Kredisi</t>
        </is>
      </c>
      <c r="C9" s="125" t="n">
        <v>46117</v>
      </c>
      <c r="D9" s="125" t="n">
        <v>46482</v>
      </c>
      <c r="E9" s="119" t="n">
        <v>6000000</v>
      </c>
      <c r="F9" s="126" t="n">
        <v>0.32</v>
      </c>
      <c r="G9" s="119" t="n">
        <v>160000</v>
      </c>
      <c r="H9" s="118" t="inlineStr">
        <is>
          <t>Hayır</t>
        </is>
      </c>
      <c r="I9" s="118" t="inlineStr">
        <is>
          <t>Yatırım kredisi</t>
        </is>
      </c>
      <c r="J9" s="127">
        <f>IF($A9="","",IFERROR($D9-$C9,0))</f>
        <v/>
      </c>
      <c r="K9" s="121">
        <f>IF($A9="","",IF($H9="Evet",0,$G9))</f>
        <v/>
      </c>
    </row>
    <row r="10" ht="15.75" customHeight="1" s="78">
      <c r="A10" s="118" t="inlineStr">
        <is>
          <t>K-1005</t>
        </is>
      </c>
      <c r="B10" s="118" t="inlineStr">
        <is>
          <t>Finansal Kiralama</t>
        </is>
      </c>
      <c r="C10" s="125" t="n">
        <v>46162</v>
      </c>
      <c r="D10" s="125" t="n">
        <v>46893</v>
      </c>
      <c r="E10" s="119" t="n">
        <v>3000000</v>
      </c>
      <c r="F10" s="126" t="n">
        <v>0.24</v>
      </c>
      <c r="G10" s="119" t="n">
        <v>60000</v>
      </c>
      <c r="H10" s="118" t="inlineStr">
        <is>
          <t>Evet</t>
        </is>
      </c>
      <c r="I10" s="118" t="inlineStr">
        <is>
          <t>Kiralama kapsam dışı</t>
        </is>
      </c>
      <c r="J10" s="127">
        <f>IF($A10="","",IFERROR($D10-$C10,0))</f>
        <v/>
      </c>
      <c r="K10" s="121">
        <f>IF($A10="","",IF($H10="Evet",0,$G10))</f>
        <v/>
      </c>
    </row>
    <row r="11" ht="15.75" customHeight="1" s="78">
      <c r="A11" s="118" t="inlineStr">
        <is>
          <t>K-1006</t>
        </is>
      </c>
      <c r="B11" s="118" t="inlineStr">
        <is>
          <t>Ortak Borcu</t>
        </is>
      </c>
      <c r="C11" s="125" t="n">
        <v>46174</v>
      </c>
      <c r="D11" s="125" t="n">
        <v>46539</v>
      </c>
      <c r="E11" s="119" t="n">
        <v>4000000</v>
      </c>
      <c r="F11" s="126" t="n">
        <v>0.22</v>
      </c>
      <c r="G11" s="119" t="n">
        <v>73333</v>
      </c>
      <c r="H11" s="118" t="inlineStr">
        <is>
          <t>Hayır</t>
        </is>
      </c>
      <c r="I11" s="118" t="inlineStr">
        <is>
          <t>Ortak katkısı</t>
        </is>
      </c>
      <c r="J11" s="127">
        <f>IF($A11="","",IFERROR($D11-$C11,0))</f>
        <v/>
      </c>
      <c r="K11" s="121">
        <f>IF($A11="","",IF($H11="Evet",0,$G11))</f>
        <v/>
      </c>
    </row>
    <row r="12" ht="15" customHeight="1" s="78">
      <c r="A12" s="122" t="n"/>
      <c r="B12" s="122" t="n"/>
      <c r="C12" s="128" t="n"/>
      <c r="D12" s="128" t="n"/>
      <c r="E12" s="120" t="n"/>
      <c r="F12" s="129" t="n"/>
      <c r="G12" s="120" t="n"/>
      <c r="H12" s="122" t="n"/>
      <c r="I12" s="122" t="n"/>
      <c r="J12" s="127">
        <f>IF($A12="","",IFERROR($D12-$C12,0))</f>
        <v/>
      </c>
      <c r="K12" s="121">
        <f>IF($A12="","",IF($H12="Evet",0,$G12))</f>
        <v/>
      </c>
    </row>
    <row r="13" ht="15" customHeight="1" s="78">
      <c r="A13" s="122" t="n"/>
      <c r="B13" s="122" t="n"/>
      <c r="C13" s="128" t="n"/>
      <c r="D13" s="128" t="n"/>
      <c r="E13" s="120" t="n"/>
      <c r="F13" s="129" t="n"/>
      <c r="G13" s="120" t="n"/>
      <c r="H13" s="122" t="n"/>
      <c r="I13" s="122" t="n"/>
      <c r="J13" s="127">
        <f>IF($A13="","",IFERROR($D13-$C13,0))</f>
        <v/>
      </c>
      <c r="K13" s="121">
        <f>IF($A13="","",IF($H13="Evet",0,$G13))</f>
        <v/>
      </c>
    </row>
    <row r="14" ht="15" customHeight="1" s="78">
      <c r="A14" s="122" t="n"/>
      <c r="B14" s="122" t="n"/>
      <c r="C14" s="128" t="n"/>
      <c r="D14" s="128" t="n"/>
      <c r="E14" s="120" t="n"/>
      <c r="F14" s="129" t="n"/>
      <c r="G14" s="120" t="n"/>
      <c r="H14" s="122" t="n"/>
      <c r="I14" s="122" t="n"/>
      <c r="J14" s="127">
        <f>IF($A14="","",IFERROR($D14-$C14,0))</f>
        <v/>
      </c>
      <c r="K14" s="121">
        <f>IF($A14="","",IF($H14="Evet",0,$G14))</f>
        <v/>
      </c>
    </row>
    <row r="15" ht="15" customHeight="1" s="78">
      <c r="A15" s="122" t="n"/>
      <c r="B15" s="122" t="n"/>
      <c r="C15" s="128" t="n"/>
      <c r="D15" s="128" t="n"/>
      <c r="E15" s="120" t="n"/>
      <c r="F15" s="129" t="n"/>
      <c r="G15" s="120" t="n"/>
      <c r="H15" s="122" t="n"/>
      <c r="I15" s="122" t="n"/>
      <c r="J15" s="127">
        <f>IF($A15="","",IFERROR($D15-$C15,0))</f>
        <v/>
      </c>
      <c r="K15" s="121">
        <f>IF($A15="","",IF($H15="Evet",0,$G15))</f>
        <v/>
      </c>
    </row>
    <row r="16" ht="15" customHeight="1" s="78">
      <c r="A16" s="122" t="n"/>
      <c r="B16" s="122" t="n"/>
      <c r="C16" s="128" t="n"/>
      <c r="D16" s="128" t="n"/>
      <c r="E16" s="120" t="n"/>
      <c r="F16" s="129" t="n"/>
      <c r="G16" s="120" t="n"/>
      <c r="H16" s="122" t="n"/>
      <c r="I16" s="122" t="n"/>
      <c r="J16" s="127">
        <f>IF($A16="","",IFERROR($D16-$C16,0))</f>
        <v/>
      </c>
      <c r="K16" s="121">
        <f>IF($A16="","",IF($H16="Evet",0,$G16))</f>
        <v/>
      </c>
    </row>
    <row r="17" ht="15" customHeight="1" s="78">
      <c r="A17" s="122" t="n"/>
      <c r="B17" s="122" t="n"/>
      <c r="C17" s="128" t="n"/>
      <c r="D17" s="128" t="n"/>
      <c r="E17" s="120" t="n"/>
      <c r="F17" s="129" t="n"/>
      <c r="G17" s="120" t="n"/>
      <c r="H17" s="122" t="n"/>
      <c r="I17" s="122" t="n"/>
      <c r="J17" s="127">
        <f>IF($A17="","",IFERROR($D17-$C17,0))</f>
        <v/>
      </c>
      <c r="K17" s="121">
        <f>IF($A17="","",IF($H17="Evet",0,$G17))</f>
        <v/>
      </c>
    </row>
    <row r="18" ht="15" customHeight="1" s="78">
      <c r="A18" s="122" t="n"/>
      <c r="B18" s="122" t="n"/>
      <c r="C18" s="128" t="n"/>
      <c r="D18" s="128" t="n"/>
      <c r="E18" s="120" t="n"/>
      <c r="F18" s="129" t="n"/>
      <c r="G18" s="120" t="n"/>
      <c r="H18" s="122" t="n"/>
      <c r="I18" s="122" t="n"/>
      <c r="J18" s="127">
        <f>IF($A18="","",IFERROR($D18-$C18,0))</f>
        <v/>
      </c>
      <c r="K18" s="121">
        <f>IF($A18="","",IF($H18="Evet",0,$G18))</f>
        <v/>
      </c>
    </row>
    <row r="19" ht="15" customHeight="1" s="78">
      <c r="A19" s="122" t="n"/>
      <c r="B19" s="122" t="n"/>
      <c r="C19" s="128" t="n"/>
      <c r="D19" s="128" t="n"/>
      <c r="E19" s="120" t="n"/>
      <c r="F19" s="129" t="n"/>
      <c r="G19" s="120" t="n"/>
      <c r="H19" s="122" t="n"/>
      <c r="I19" s="122" t="n"/>
      <c r="J19" s="127">
        <f>IF($A19="","",IFERROR($D19-$C19,0))</f>
        <v/>
      </c>
      <c r="K19" s="121">
        <f>IF($A19="","",IF($H19="Evet",0,$G19))</f>
        <v/>
      </c>
    </row>
    <row r="20" ht="15" customHeight="1" s="78">
      <c r="A20" s="122" t="n"/>
      <c r="B20" s="122" t="n"/>
      <c r="C20" s="128" t="n"/>
      <c r="D20" s="128" t="n"/>
      <c r="E20" s="120" t="n"/>
      <c r="F20" s="129" t="n"/>
      <c r="G20" s="120" t="n"/>
      <c r="H20" s="122" t="n"/>
      <c r="I20" s="122" t="n"/>
      <c r="J20" s="127">
        <f>IF($A20="","",IFERROR($D20-$C20,0))</f>
        <v/>
      </c>
      <c r="K20" s="121">
        <f>IF($A20="","",IF($H20="Evet",0,$G20))</f>
        <v/>
      </c>
    </row>
    <row r="21" ht="15" customHeight="1" s="78">
      <c r="A21" s="122" t="n"/>
      <c r="B21" s="122" t="n"/>
      <c r="C21" s="128" t="n"/>
      <c r="D21" s="128" t="n"/>
      <c r="E21" s="120" t="n"/>
      <c r="F21" s="129" t="n"/>
      <c r="G21" s="120" t="n"/>
      <c r="H21" s="122" t="n"/>
      <c r="I21" s="122" t="n"/>
      <c r="J21" s="127">
        <f>IF($A21="","",IFERROR($D21-$C21,0))</f>
        <v/>
      </c>
      <c r="K21" s="121">
        <f>IF($A21="","",IF($H21="Evet",0,$G21))</f>
        <v/>
      </c>
    </row>
    <row r="22" ht="15" customHeight="1" s="78">
      <c r="A22" s="122" t="n"/>
      <c r="B22" s="122" t="n"/>
      <c r="C22" s="128" t="n"/>
      <c r="D22" s="128" t="n"/>
      <c r="E22" s="120" t="n"/>
      <c r="F22" s="129" t="n"/>
      <c r="G22" s="120" t="n"/>
      <c r="H22" s="122" t="n"/>
      <c r="I22" s="122" t="n"/>
      <c r="J22" s="127">
        <f>IF($A22="","",IFERROR($D22-$C22,0))</f>
        <v/>
      </c>
      <c r="K22" s="121">
        <f>IF($A22="","",IF($H22="Evet",0,$G22))</f>
        <v/>
      </c>
    </row>
    <row r="23" ht="15" customHeight="1" s="78">
      <c r="A23" s="122" t="n"/>
      <c r="B23" s="122" t="n"/>
      <c r="C23" s="128" t="n"/>
      <c r="D23" s="128" t="n"/>
      <c r="E23" s="120" t="n"/>
      <c r="F23" s="129" t="n"/>
      <c r="G23" s="120" t="n"/>
      <c r="H23" s="122" t="n"/>
      <c r="I23" s="122" t="n"/>
      <c r="J23" s="127">
        <f>IF($A23="","",IFERROR($D23-$C23,0))</f>
        <v/>
      </c>
      <c r="K23" s="121">
        <f>IF($A23="","",IF($H23="Evet",0,$G23))</f>
        <v/>
      </c>
    </row>
    <row r="24" ht="15" customHeight="1" s="78">
      <c r="A24" s="122" t="n"/>
      <c r="B24" s="122" t="n"/>
      <c r="C24" s="128" t="n"/>
      <c r="D24" s="128" t="n"/>
      <c r="E24" s="120" t="n"/>
      <c r="F24" s="129" t="n"/>
      <c r="G24" s="120" t="n"/>
      <c r="H24" s="122" t="n"/>
      <c r="I24" s="122" t="n"/>
      <c r="J24" s="127">
        <f>IF($A24="","",IFERROR($D24-$C24,0))</f>
        <v/>
      </c>
      <c r="K24" s="121">
        <f>IF($A24="","",IF($H24="Evet",0,$G24))</f>
        <v/>
      </c>
    </row>
    <row r="25" ht="15" customHeight="1" s="78">
      <c r="A25" s="122" t="n"/>
      <c r="B25" s="122" t="n"/>
      <c r="C25" s="128" t="n"/>
      <c r="D25" s="128" t="n"/>
      <c r="E25" s="120" t="n"/>
      <c r="F25" s="129" t="n"/>
      <c r="G25" s="120" t="n"/>
      <c r="H25" s="122" t="n"/>
      <c r="I25" s="122" t="n"/>
      <c r="J25" s="127">
        <f>IF($A25="","",IFERROR($D25-$C25,0))</f>
        <v/>
      </c>
      <c r="K25" s="121">
        <f>IF($A25="","",IF($H25="Evet",0,$G25))</f>
        <v/>
      </c>
    </row>
    <row r="26" ht="15" customHeight="1" s="78">
      <c r="A26" s="122" t="n"/>
      <c r="B26" s="122" t="n"/>
      <c r="C26" s="128" t="n"/>
      <c r="D26" s="128" t="n"/>
      <c r="E26" s="120" t="n"/>
      <c r="F26" s="129" t="n"/>
      <c r="G26" s="120" t="n"/>
      <c r="H26" s="122" t="n"/>
      <c r="I26" s="122" t="n"/>
      <c r="J26" s="127">
        <f>IF($A26="","",IFERROR($D26-$C26,0))</f>
        <v/>
      </c>
      <c r="K26" s="121">
        <f>IF($A26="","",IF($H26="Evet",0,$G26))</f>
        <v/>
      </c>
    </row>
    <row r="27" ht="15" customHeight="1" s="78">
      <c r="A27" s="122" t="n"/>
      <c r="B27" s="122" t="n"/>
      <c r="C27" s="128" t="n"/>
      <c r="D27" s="128" t="n"/>
      <c r="E27" s="120" t="n"/>
      <c r="F27" s="129" t="n"/>
      <c r="G27" s="120" t="n"/>
      <c r="H27" s="122" t="n"/>
      <c r="I27" s="122" t="n"/>
      <c r="J27" s="127">
        <f>IF($A27="","",IFERROR($D27-$C27,0))</f>
        <v/>
      </c>
      <c r="K27" s="121">
        <f>IF($A27="","",IF($H27="Evet",0,$G27))</f>
        <v/>
      </c>
    </row>
    <row r="28" ht="15" customHeight="1" s="78">
      <c r="A28" s="122" t="n"/>
      <c r="B28" s="122" t="n"/>
      <c r="C28" s="128" t="n"/>
      <c r="D28" s="128" t="n"/>
      <c r="E28" s="120" t="n"/>
      <c r="F28" s="129" t="n"/>
      <c r="G28" s="120" t="n"/>
      <c r="H28" s="122" t="n"/>
      <c r="I28" s="122" t="n"/>
      <c r="J28" s="127">
        <f>IF($A28="","",IFERROR($D28-$C28,0))</f>
        <v/>
      </c>
      <c r="K28" s="121">
        <f>IF($A28="","",IF($H28="Evet",0,$G28))</f>
        <v/>
      </c>
    </row>
    <row r="29" ht="15" customHeight="1" s="78">
      <c r="A29" s="122" t="n"/>
      <c r="B29" s="122" t="n"/>
      <c r="C29" s="128" t="n"/>
      <c r="D29" s="128" t="n"/>
      <c r="E29" s="120" t="n"/>
      <c r="F29" s="129" t="n"/>
      <c r="G29" s="120" t="n"/>
      <c r="H29" s="122" t="n"/>
      <c r="I29" s="122" t="n"/>
      <c r="J29" s="127">
        <f>IF($A29="","",IFERROR($D29-$C29,0))</f>
        <v/>
      </c>
      <c r="K29" s="121">
        <f>IF($A29="","",IF($H29="Evet",0,$G29))</f>
        <v/>
      </c>
    </row>
    <row r="30" ht="15" customHeight="1" s="78">
      <c r="A30" s="122" t="n"/>
      <c r="B30" s="122" t="n"/>
      <c r="C30" s="128" t="n"/>
      <c r="D30" s="128" t="n"/>
      <c r="E30" s="120" t="n"/>
      <c r="F30" s="129" t="n"/>
      <c r="G30" s="120" t="n"/>
      <c r="H30" s="122" t="n"/>
      <c r="I30" s="122" t="n"/>
      <c r="J30" s="127">
        <f>IF($A30="","",IFERROR($D30-$C30,0))</f>
        <v/>
      </c>
      <c r="K30" s="121">
        <f>IF($A30="","",IF($H30="Evet",0,$G30))</f>
        <v/>
      </c>
    </row>
    <row r="31" ht="15" customHeight="1" s="78">
      <c r="A31" s="122" t="n"/>
      <c r="B31" s="122" t="n"/>
      <c r="C31" s="128" t="n"/>
      <c r="D31" s="128" t="n"/>
      <c r="E31" s="120" t="n"/>
      <c r="F31" s="129" t="n"/>
      <c r="G31" s="120" t="n"/>
      <c r="H31" s="122" t="n"/>
      <c r="I31" s="122" t="n"/>
      <c r="J31" s="127">
        <f>IF($A31="","",IFERROR($D31-$C31,0))</f>
        <v/>
      </c>
      <c r="K31" s="121">
        <f>IF($A31="","",IF($H31="Evet",0,$G31))</f>
        <v/>
      </c>
    </row>
    <row r="32" ht="15" customHeight="1" s="78">
      <c r="A32" s="122" t="n"/>
      <c r="B32" s="122" t="n"/>
      <c r="C32" s="128" t="n"/>
      <c r="D32" s="128" t="n"/>
      <c r="E32" s="120" t="n"/>
      <c r="F32" s="129" t="n"/>
      <c r="G32" s="120" t="n"/>
      <c r="H32" s="122" t="n"/>
      <c r="I32" s="122" t="n"/>
      <c r="J32" s="127">
        <f>IF($A32="","",IFERROR($D32-$C32,0))</f>
        <v/>
      </c>
      <c r="K32" s="121">
        <f>IF($A32="","",IF($H32="Evet",0,$G32))</f>
        <v/>
      </c>
    </row>
    <row r="33" ht="15" customHeight="1" s="78">
      <c r="A33" s="122" t="n"/>
      <c r="B33" s="122" t="n"/>
      <c r="C33" s="128" t="n"/>
      <c r="D33" s="128" t="n"/>
      <c r="E33" s="120" t="n"/>
      <c r="F33" s="129" t="n"/>
      <c r="G33" s="120" t="n"/>
      <c r="H33" s="122" t="n"/>
      <c r="I33" s="122" t="n"/>
      <c r="J33" s="127">
        <f>IF($A33="","",IFERROR($D33-$C33,0))</f>
        <v/>
      </c>
      <c r="K33" s="121">
        <f>IF($A33="","",IF($H33="Evet",0,$G33))</f>
        <v/>
      </c>
    </row>
    <row r="34" ht="15" customHeight="1" s="78">
      <c r="A34" s="122" t="n"/>
      <c r="B34" s="122" t="n"/>
      <c r="C34" s="128" t="n"/>
      <c r="D34" s="128" t="n"/>
      <c r="E34" s="120" t="n"/>
      <c r="F34" s="129" t="n"/>
      <c r="G34" s="120" t="n"/>
      <c r="H34" s="122" t="n"/>
      <c r="I34" s="122" t="n"/>
      <c r="J34" s="127">
        <f>IF($A34="","",IFERROR($D34-$C34,0))</f>
        <v/>
      </c>
      <c r="K34" s="121">
        <f>IF($A34="","",IF($H34="Evet",0,$G34))</f>
        <v/>
      </c>
    </row>
    <row r="35" ht="15" customHeight="1" s="78">
      <c r="A35" s="122" t="n"/>
      <c r="B35" s="122" t="n"/>
      <c r="C35" s="128" t="n"/>
      <c r="D35" s="128" t="n"/>
      <c r="E35" s="120" t="n"/>
      <c r="F35" s="129" t="n"/>
      <c r="G35" s="120" t="n"/>
      <c r="H35" s="122" t="n"/>
      <c r="I35" s="122" t="n"/>
      <c r="J35" s="127">
        <f>IF($A35="","",IFERROR($D35-$C35,0))</f>
        <v/>
      </c>
      <c r="K35" s="121">
        <f>IF($A35="","",IF($H35="Evet",0,$G35))</f>
        <v/>
      </c>
    </row>
    <row r="36" ht="15" customHeight="1" s="78">
      <c r="A36" s="122" t="n"/>
      <c r="B36" s="122" t="n"/>
      <c r="C36" s="128" t="n"/>
      <c r="D36" s="128" t="n"/>
      <c r="E36" s="120" t="n"/>
      <c r="F36" s="129" t="n"/>
      <c r="G36" s="120" t="n"/>
      <c r="H36" s="122" t="n"/>
      <c r="I36" s="122" t="n"/>
      <c r="J36" s="127">
        <f>IF($A36="","",IFERROR($D36-$C36,0))</f>
        <v/>
      </c>
      <c r="K36" s="121">
        <f>IF($A36="","",IF($H36="Evet",0,$G36))</f>
        <v/>
      </c>
    </row>
    <row r="37" ht="15" customHeight="1" s="78">
      <c r="A37" s="122" t="n"/>
      <c r="B37" s="122" t="n"/>
      <c r="C37" s="128" t="n"/>
      <c r="D37" s="128" t="n"/>
      <c r="E37" s="120" t="n"/>
      <c r="F37" s="129" t="n"/>
      <c r="G37" s="120" t="n"/>
      <c r="H37" s="122" t="n"/>
      <c r="I37" s="122" t="n"/>
      <c r="J37" s="127">
        <f>IF($A37="","",IFERROR($D37-$C37,0))</f>
        <v/>
      </c>
      <c r="K37" s="121">
        <f>IF($A37="","",IF($H37="Evet",0,$G37))</f>
        <v/>
      </c>
    </row>
    <row r="38" ht="15" customHeight="1" s="78">
      <c r="A38" s="122" t="n"/>
      <c r="B38" s="122" t="n"/>
      <c r="C38" s="128" t="n"/>
      <c r="D38" s="128" t="n"/>
      <c r="E38" s="120" t="n"/>
      <c r="F38" s="129" t="n"/>
      <c r="G38" s="120" t="n"/>
      <c r="H38" s="122" t="n"/>
      <c r="I38" s="122" t="n"/>
      <c r="J38" s="127">
        <f>IF($A38="","",IFERROR($D38-$C38,0))</f>
        <v/>
      </c>
      <c r="K38" s="121">
        <f>IF($A38="","",IF($H38="Evet",0,$G38))</f>
        <v/>
      </c>
    </row>
    <row r="39" ht="15" customHeight="1" s="78">
      <c r="A39" s="122" t="n"/>
      <c r="B39" s="122" t="n"/>
      <c r="C39" s="128" t="n"/>
      <c r="D39" s="128" t="n"/>
      <c r="E39" s="120" t="n"/>
      <c r="F39" s="129" t="n"/>
      <c r="G39" s="120" t="n"/>
      <c r="H39" s="122" t="n"/>
      <c r="I39" s="122" t="n"/>
      <c r="J39" s="127">
        <f>IF($A39="","",IFERROR($D39-$C39,0))</f>
        <v/>
      </c>
      <c r="K39" s="121">
        <f>IF($A39="","",IF($H39="Evet",0,$G39))</f>
        <v/>
      </c>
    </row>
    <row r="40" ht="15" customHeight="1" s="78">
      <c r="A40" s="122" t="n"/>
      <c r="B40" s="122" t="n"/>
      <c r="C40" s="128" t="n"/>
      <c r="D40" s="128" t="n"/>
      <c r="E40" s="120" t="n"/>
      <c r="F40" s="129" t="n"/>
      <c r="G40" s="120" t="n"/>
      <c r="H40" s="122" t="n"/>
      <c r="I40" s="122" t="n"/>
      <c r="J40" s="127">
        <f>IF($A40="","",IFERROR($D40-$C40,0))</f>
        <v/>
      </c>
      <c r="K40" s="121">
        <f>IF($A40="","",IF($H40="Evet",0,$G40))</f>
        <v/>
      </c>
    </row>
    <row r="41" ht="15" customHeight="1" s="78">
      <c r="A41" s="122" t="n"/>
      <c r="B41" s="122" t="n"/>
      <c r="C41" s="128" t="n"/>
      <c r="D41" s="128" t="n"/>
      <c r="E41" s="120" t="n"/>
      <c r="F41" s="129" t="n"/>
      <c r="G41" s="120" t="n"/>
      <c r="H41" s="122" t="n"/>
      <c r="I41" s="122" t="n"/>
      <c r="J41" s="127">
        <f>IF($A41="","",IFERROR($D41-$C41,0))</f>
        <v/>
      </c>
      <c r="K41" s="121">
        <f>IF($A41="","",IF($H41="Evet",0,$G41))</f>
        <v/>
      </c>
    </row>
    <row r="42" ht="15" customHeight="1" s="78">
      <c r="A42" s="122" t="n"/>
      <c r="B42" s="122" t="n"/>
      <c r="C42" s="128" t="n"/>
      <c r="D42" s="128" t="n"/>
      <c r="E42" s="120" t="n"/>
      <c r="F42" s="129" t="n"/>
      <c r="G42" s="120" t="n"/>
      <c r="H42" s="122" t="n"/>
      <c r="I42" s="122" t="n"/>
      <c r="J42" s="127">
        <f>IF($A42="","",IFERROR($D42-$C42,0))</f>
        <v/>
      </c>
      <c r="K42" s="121">
        <f>IF($A42="","",IF($H42="Evet",0,$G42))</f>
        <v/>
      </c>
    </row>
    <row r="43" ht="15" customHeight="1" s="78">
      <c r="A43" s="122" t="n"/>
      <c r="B43" s="122" t="n"/>
      <c r="C43" s="128" t="n"/>
      <c r="D43" s="128" t="n"/>
      <c r="E43" s="120" t="n"/>
      <c r="F43" s="129" t="n"/>
      <c r="G43" s="120" t="n"/>
      <c r="H43" s="122" t="n"/>
      <c r="I43" s="122" t="n"/>
      <c r="J43" s="127">
        <f>IF($A43="","",IFERROR($D43-$C43,0))</f>
        <v/>
      </c>
      <c r="K43" s="121">
        <f>IF($A43="","",IF($H43="Evet",0,$G43))</f>
        <v/>
      </c>
    </row>
    <row r="44" ht="15" customHeight="1" s="78">
      <c r="A44" s="122" t="n"/>
      <c r="B44" s="122" t="n"/>
      <c r="C44" s="128" t="n"/>
      <c r="D44" s="128" t="n"/>
      <c r="E44" s="120" t="n"/>
      <c r="F44" s="129" t="n"/>
      <c r="G44" s="120" t="n"/>
      <c r="H44" s="122" t="n"/>
      <c r="I44" s="122" t="n"/>
      <c r="J44" s="127">
        <f>IF($A44="","",IFERROR($D44-$C44,0))</f>
        <v/>
      </c>
      <c r="K44" s="121">
        <f>IF($A44="","",IF($H44="Evet",0,$G44))</f>
        <v/>
      </c>
    </row>
    <row r="45" ht="15" customHeight="1" s="78">
      <c r="A45" s="122" t="n"/>
      <c r="B45" s="122" t="n"/>
      <c r="C45" s="128" t="n"/>
      <c r="D45" s="128" t="n"/>
      <c r="E45" s="120" t="n"/>
      <c r="F45" s="129" t="n"/>
      <c r="G45" s="120" t="n"/>
      <c r="H45" s="122" t="n"/>
      <c r="I45" s="122" t="n"/>
      <c r="J45" s="127">
        <f>IF($A45="","",IFERROR($D45-$C45,0))</f>
        <v/>
      </c>
      <c r="K45" s="121">
        <f>IF($A45="","",IF($H45="Evet",0,$G45))</f>
        <v/>
      </c>
    </row>
    <row r="46" ht="15" customHeight="1" s="78">
      <c r="A46" s="122" t="n"/>
      <c r="B46" s="122" t="n"/>
      <c r="C46" s="128" t="n"/>
      <c r="D46" s="128" t="n"/>
      <c r="E46" s="120" t="n"/>
      <c r="F46" s="129" t="n"/>
      <c r="G46" s="120" t="n"/>
      <c r="H46" s="122" t="n"/>
      <c r="I46" s="122" t="n"/>
      <c r="J46" s="127">
        <f>IF($A46="","",IFERROR($D46-$C46,0))</f>
        <v/>
      </c>
      <c r="K46" s="121">
        <f>IF($A46="","",IF($H46="Evet",0,$G46))</f>
        <v/>
      </c>
    </row>
    <row r="47" ht="15" customHeight="1" s="78">
      <c r="A47" s="122" t="n"/>
      <c r="B47" s="122" t="n"/>
      <c r="C47" s="128" t="n"/>
      <c r="D47" s="128" t="n"/>
      <c r="E47" s="120" t="n"/>
      <c r="F47" s="129" t="n"/>
      <c r="G47" s="120" t="n"/>
      <c r="H47" s="122" t="n"/>
      <c r="I47" s="122" t="n"/>
      <c r="J47" s="127">
        <f>IF($A47="","",IFERROR($D47-$C47,0))</f>
        <v/>
      </c>
      <c r="K47" s="121">
        <f>IF($A47="","",IF($H47="Evet",0,$G47))</f>
        <v/>
      </c>
    </row>
    <row r="48" ht="15" customHeight="1" s="78">
      <c r="A48" s="122" t="n"/>
      <c r="B48" s="122" t="n"/>
      <c r="C48" s="128" t="n"/>
      <c r="D48" s="128" t="n"/>
      <c r="E48" s="120" t="n"/>
      <c r="F48" s="129" t="n"/>
      <c r="G48" s="120" t="n"/>
      <c r="H48" s="122" t="n"/>
      <c r="I48" s="122" t="n"/>
      <c r="J48" s="127">
        <f>IF($A48="","",IFERROR($D48-$C48,0))</f>
        <v/>
      </c>
      <c r="K48" s="121">
        <f>IF($A48="","",IF($H48="Evet",0,$G48))</f>
        <v/>
      </c>
    </row>
    <row r="49" ht="15" customHeight="1" s="78">
      <c r="A49" s="122" t="n"/>
      <c r="B49" s="122" t="n"/>
      <c r="C49" s="128" t="n"/>
      <c r="D49" s="128" t="n"/>
      <c r="E49" s="120" t="n"/>
      <c r="F49" s="129" t="n"/>
      <c r="G49" s="120" t="n"/>
      <c r="H49" s="122" t="n"/>
      <c r="I49" s="122" t="n"/>
      <c r="J49" s="127">
        <f>IF($A49="","",IFERROR($D49-$C49,0))</f>
        <v/>
      </c>
      <c r="K49" s="121">
        <f>IF($A49="","",IF($H49="Evet",0,$G49))</f>
        <v/>
      </c>
    </row>
    <row r="50" ht="15" customHeight="1" s="78">
      <c r="A50" s="122" t="n"/>
      <c r="B50" s="122" t="n"/>
      <c r="C50" s="128" t="n"/>
      <c r="D50" s="128" t="n"/>
      <c r="E50" s="120" t="n"/>
      <c r="F50" s="129" t="n"/>
      <c r="G50" s="120" t="n"/>
      <c r="H50" s="122" t="n"/>
      <c r="I50" s="122" t="n"/>
      <c r="J50" s="127">
        <f>IF($A50="","",IFERROR($D50-$C50,0))</f>
        <v/>
      </c>
      <c r="K50" s="121">
        <f>IF($A50="","",IF($H50="Evet",0,$G50))</f>
        <v/>
      </c>
    </row>
    <row r="51" ht="15" customHeight="1" s="78">
      <c r="A51" s="122" t="n"/>
      <c r="B51" s="122" t="n"/>
      <c r="C51" s="128" t="n"/>
      <c r="D51" s="128" t="n"/>
      <c r="E51" s="120" t="n"/>
      <c r="F51" s="129" t="n"/>
      <c r="G51" s="120" t="n"/>
      <c r="H51" s="122" t="n"/>
      <c r="I51" s="122" t="n"/>
      <c r="J51" s="127">
        <f>IF($A51="","",IFERROR($D51-$C51,0))</f>
        <v/>
      </c>
      <c r="K51" s="121">
        <f>IF($A51="","",IF($H51="Evet",0,$G51))</f>
        <v/>
      </c>
    </row>
    <row r="52" ht="15" customHeight="1" s="78">
      <c r="A52" s="122" t="n"/>
      <c r="B52" s="122" t="n"/>
      <c r="C52" s="128" t="n"/>
      <c r="D52" s="128" t="n"/>
      <c r="E52" s="120" t="n"/>
      <c r="F52" s="129" t="n"/>
      <c r="G52" s="120" t="n"/>
      <c r="H52" s="122" t="n"/>
      <c r="I52" s="122" t="n"/>
      <c r="J52" s="127">
        <f>IF($A52="","",IFERROR($D52-$C52,0))</f>
        <v/>
      </c>
      <c r="K52" s="121">
        <f>IF($A52="","",IF($H52="Evet",0,$G52))</f>
        <v/>
      </c>
    </row>
    <row r="53" ht="15" customHeight="1" s="78">
      <c r="A53" s="122" t="n"/>
      <c r="B53" s="122" t="n"/>
      <c r="C53" s="128" t="n"/>
      <c r="D53" s="128" t="n"/>
      <c r="E53" s="120" t="n"/>
      <c r="F53" s="129" t="n"/>
      <c r="G53" s="120" t="n"/>
      <c r="H53" s="122" t="n"/>
      <c r="I53" s="122" t="n"/>
      <c r="J53" s="127">
        <f>IF($A53="","",IFERROR($D53-$C53,0))</f>
        <v/>
      </c>
      <c r="K53" s="121">
        <f>IF($A53="","",IF($H53="Evet",0,$G53))</f>
        <v/>
      </c>
    </row>
    <row r="54" ht="15" customHeight="1" s="78">
      <c r="A54" s="122" t="n"/>
      <c r="B54" s="122" t="n"/>
      <c r="C54" s="128" t="n"/>
      <c r="D54" s="128" t="n"/>
      <c r="E54" s="120" t="n"/>
      <c r="F54" s="129" t="n"/>
      <c r="G54" s="120" t="n"/>
      <c r="H54" s="122" t="n"/>
      <c r="I54" s="122" t="n"/>
      <c r="J54" s="127">
        <f>IF($A54="","",IFERROR($D54-$C54,0))</f>
        <v/>
      </c>
      <c r="K54" s="121">
        <f>IF($A54="","",IF($H54="Evet",0,$G54))</f>
        <v/>
      </c>
    </row>
    <row r="55" ht="15" customHeight="1" s="78">
      <c r="A55" s="122" t="n"/>
      <c r="B55" s="122" t="n"/>
      <c r="C55" s="128" t="n"/>
      <c r="D55" s="128" t="n"/>
      <c r="E55" s="120" t="n"/>
      <c r="F55" s="129" t="n"/>
      <c r="G55" s="120" t="n"/>
      <c r="H55" s="122" t="n"/>
      <c r="I55" s="122" t="n"/>
      <c r="J55" s="127">
        <f>IF($A55="","",IFERROR($D55-$C55,0))</f>
        <v/>
      </c>
      <c r="K55" s="121">
        <f>IF($A55="","",IF($H55="Evet",0,$G55))</f>
        <v/>
      </c>
    </row>
    <row r="56" ht="15" customHeight="1" s="78">
      <c r="A56" s="122" t="n"/>
      <c r="B56" s="122" t="n"/>
      <c r="C56" s="128" t="n"/>
      <c r="D56" s="128" t="n"/>
      <c r="E56" s="120" t="n"/>
      <c r="F56" s="129" t="n"/>
      <c r="G56" s="120" t="n"/>
      <c r="H56" s="122" t="n"/>
      <c r="I56" s="122" t="n"/>
      <c r="J56" s="127">
        <f>IF($A56="","",IFERROR($D56-$C56,0))</f>
        <v/>
      </c>
      <c r="K56" s="121">
        <f>IF($A56="","",IF($H56="Evet",0,$G56))</f>
        <v/>
      </c>
    </row>
    <row r="57" ht="15" customHeight="1" s="78">
      <c r="A57" s="122" t="n"/>
      <c r="B57" s="122" t="n"/>
      <c r="C57" s="128" t="n"/>
      <c r="D57" s="128" t="n"/>
      <c r="E57" s="120" t="n"/>
      <c r="F57" s="129" t="n"/>
      <c r="G57" s="120" t="n"/>
      <c r="H57" s="122" t="n"/>
      <c r="I57" s="122" t="n"/>
      <c r="J57" s="127">
        <f>IF($A57="","",IFERROR($D57-$C57,0))</f>
        <v/>
      </c>
      <c r="K57" s="121">
        <f>IF($A57="","",IF($H57="Evet",0,$G57))</f>
        <v/>
      </c>
    </row>
    <row r="58" ht="15" customHeight="1" s="78">
      <c r="A58" s="122" t="n"/>
      <c r="B58" s="122" t="n"/>
      <c r="C58" s="128" t="n"/>
      <c r="D58" s="128" t="n"/>
      <c r="E58" s="120" t="n"/>
      <c r="F58" s="129" t="n"/>
      <c r="G58" s="120" t="n"/>
      <c r="H58" s="122" t="n"/>
      <c r="I58" s="122" t="n"/>
      <c r="J58" s="127">
        <f>IF($A58="","",IFERROR($D58-$C58,0))</f>
        <v/>
      </c>
      <c r="K58" s="121">
        <f>IF($A58="","",IF($H58="Evet",0,$G58))</f>
        <v/>
      </c>
    </row>
    <row r="59" ht="15" customHeight="1" s="78">
      <c r="A59" s="122" t="n"/>
      <c r="B59" s="122" t="n"/>
      <c r="C59" s="128" t="n"/>
      <c r="D59" s="128" t="n"/>
      <c r="E59" s="120" t="n"/>
      <c r="F59" s="129" t="n"/>
      <c r="G59" s="120" t="n"/>
      <c r="H59" s="122" t="n"/>
      <c r="I59" s="122" t="n"/>
      <c r="J59" s="127">
        <f>IF($A59="","",IFERROR($D59-$C59,0))</f>
        <v/>
      </c>
      <c r="K59" s="121">
        <f>IF($A59="","",IF($H59="Evet",0,$G59))</f>
        <v/>
      </c>
    </row>
    <row r="60" ht="15" customHeight="1" s="78">
      <c r="A60" s="122" t="n"/>
      <c r="B60" s="122" t="n"/>
      <c r="C60" s="128" t="n"/>
      <c r="D60" s="128" t="n"/>
      <c r="E60" s="120" t="n"/>
      <c r="F60" s="129" t="n"/>
      <c r="G60" s="120" t="n"/>
      <c r="H60" s="122" t="n"/>
      <c r="I60" s="122" t="n"/>
      <c r="J60" s="127">
        <f>IF($A60="","",IFERROR($D60-$C60,0))</f>
        <v/>
      </c>
      <c r="K60" s="121">
        <f>IF($A60="","",IF($H60="Evet",0,$G60))</f>
        <v/>
      </c>
    </row>
    <row r="61" ht="15" customHeight="1" s="78">
      <c r="A61" s="122" t="n"/>
      <c r="B61" s="122" t="n"/>
      <c r="C61" s="128" t="n"/>
      <c r="D61" s="128" t="n"/>
      <c r="E61" s="120" t="n"/>
      <c r="F61" s="129" t="n"/>
      <c r="G61" s="120" t="n"/>
      <c r="H61" s="122" t="n"/>
      <c r="I61" s="122" t="n"/>
      <c r="J61" s="127">
        <f>IF($A61="","",IFERROR($D61-$C61,0))</f>
        <v/>
      </c>
      <c r="K61" s="121">
        <f>IF($A61="","",IF($H61="Evet",0,$G61))</f>
        <v/>
      </c>
    </row>
    <row r="62" ht="15" customHeight="1" s="78">
      <c r="A62" s="122" t="n"/>
      <c r="B62" s="122" t="n"/>
      <c r="C62" s="128" t="n"/>
      <c r="D62" s="128" t="n"/>
      <c r="E62" s="120" t="n"/>
      <c r="F62" s="129" t="n"/>
      <c r="G62" s="120" t="n"/>
      <c r="H62" s="122" t="n"/>
      <c r="I62" s="122" t="n"/>
      <c r="J62" s="127">
        <f>IF($A62="","",IFERROR($D62-$C62,0))</f>
        <v/>
      </c>
      <c r="K62" s="121">
        <f>IF($A62="","",IF($H62="Evet",0,$G62))</f>
        <v/>
      </c>
    </row>
    <row r="63" ht="15" customHeight="1" s="78">
      <c r="A63" s="122" t="n"/>
      <c r="B63" s="122" t="n"/>
      <c r="C63" s="128" t="n"/>
      <c r="D63" s="128" t="n"/>
      <c r="E63" s="120" t="n"/>
      <c r="F63" s="129" t="n"/>
      <c r="G63" s="120" t="n"/>
      <c r="H63" s="122" t="n"/>
      <c r="I63" s="122" t="n"/>
      <c r="J63" s="127">
        <f>IF($A63="","",IFERROR($D63-$C63,0))</f>
        <v/>
      </c>
      <c r="K63" s="121">
        <f>IF($A63="","",IF($H63="Evet",0,$G63))</f>
        <v/>
      </c>
    </row>
    <row r="64" ht="15" customHeight="1" s="78">
      <c r="A64" s="122" t="n"/>
      <c r="B64" s="122" t="n"/>
      <c r="C64" s="128" t="n"/>
      <c r="D64" s="128" t="n"/>
      <c r="E64" s="120" t="n"/>
      <c r="F64" s="129" t="n"/>
      <c r="G64" s="120" t="n"/>
      <c r="H64" s="122" t="n"/>
      <c r="I64" s="122" t="n"/>
      <c r="J64" s="127">
        <f>IF($A64="","",IFERROR($D64-$C64,0))</f>
        <v/>
      </c>
      <c r="K64" s="121">
        <f>IF($A64="","",IF($H64="Evet",0,$G64))</f>
        <v/>
      </c>
    </row>
    <row r="65" ht="15" customHeight="1" s="78">
      <c r="A65" s="122" t="n"/>
      <c r="B65" s="122" t="n"/>
      <c r="C65" s="128" t="n"/>
      <c r="D65" s="128" t="n"/>
      <c r="E65" s="120" t="n"/>
      <c r="F65" s="129" t="n"/>
      <c r="G65" s="120" t="n"/>
      <c r="H65" s="122" t="n"/>
      <c r="I65" s="122" t="n"/>
      <c r="J65" s="127">
        <f>IF($A65="","",IFERROR($D65-$C65,0))</f>
        <v/>
      </c>
      <c r="K65" s="121">
        <f>IF($A65="","",IF($H65="Evet",0,$G65))</f>
        <v/>
      </c>
    </row>
    <row r="66" ht="15" customHeight="1" s="78">
      <c r="A66" s="122" t="n"/>
      <c r="B66" s="122" t="n"/>
      <c r="C66" s="128" t="n"/>
      <c r="D66" s="128" t="n"/>
      <c r="E66" s="120" t="n"/>
      <c r="F66" s="129" t="n"/>
      <c r="G66" s="120" t="n"/>
      <c r="H66" s="122" t="n"/>
      <c r="I66" s="122" t="n"/>
      <c r="J66" s="127">
        <f>IF($A66="","",IFERROR($D66-$C66,0))</f>
        <v/>
      </c>
      <c r="K66" s="121">
        <f>IF($A66="","",IF($H66="Evet",0,$G66))</f>
        <v/>
      </c>
    </row>
    <row r="67" ht="15" customHeight="1" s="78">
      <c r="A67" s="122" t="n"/>
      <c r="B67" s="122" t="n"/>
      <c r="C67" s="128" t="n"/>
      <c r="D67" s="128" t="n"/>
      <c r="E67" s="120" t="n"/>
      <c r="F67" s="129" t="n"/>
      <c r="G67" s="120" t="n"/>
      <c r="H67" s="122" t="n"/>
      <c r="I67" s="122" t="n"/>
      <c r="J67" s="127">
        <f>IF($A67="","",IFERROR($D67-$C67,0))</f>
        <v/>
      </c>
      <c r="K67" s="121">
        <f>IF($A67="","",IF($H67="Evet",0,$G67))</f>
        <v/>
      </c>
    </row>
    <row r="68" ht="15" customHeight="1" s="78">
      <c r="A68" s="122" t="n"/>
      <c r="B68" s="122" t="n"/>
      <c r="C68" s="128" t="n"/>
      <c r="D68" s="128" t="n"/>
      <c r="E68" s="120" t="n"/>
      <c r="F68" s="129" t="n"/>
      <c r="G68" s="120" t="n"/>
      <c r="H68" s="122" t="n"/>
      <c r="I68" s="122" t="n"/>
      <c r="J68" s="127">
        <f>IF($A68="","",IFERROR($D68-$C68,0))</f>
        <v/>
      </c>
      <c r="K68" s="121">
        <f>IF($A68="","",IF($H68="Evet",0,$G68))</f>
        <v/>
      </c>
    </row>
    <row r="69" ht="15" customHeight="1" s="78">
      <c r="A69" s="122" t="n"/>
      <c r="B69" s="122" t="n"/>
      <c r="C69" s="128" t="n"/>
      <c r="D69" s="128" t="n"/>
      <c r="E69" s="120" t="n"/>
      <c r="F69" s="129" t="n"/>
      <c r="G69" s="120" t="n"/>
      <c r="H69" s="122" t="n"/>
      <c r="I69" s="122" t="n"/>
      <c r="J69" s="127">
        <f>IF($A69="","",IFERROR($D69-$C69,0))</f>
        <v/>
      </c>
      <c r="K69" s="121">
        <f>IF($A69="","",IF($H69="Evet",0,$G69))</f>
        <v/>
      </c>
    </row>
    <row r="70" ht="15" customHeight="1" s="78">
      <c r="A70" s="122" t="n"/>
      <c r="B70" s="122" t="n"/>
      <c r="C70" s="128" t="n"/>
      <c r="D70" s="128" t="n"/>
      <c r="E70" s="120" t="n"/>
      <c r="F70" s="129" t="n"/>
      <c r="G70" s="120" t="n"/>
      <c r="H70" s="122" t="n"/>
      <c r="I70" s="122" t="n"/>
      <c r="J70" s="127">
        <f>IF($A70="","",IFERROR($D70-$C70,0))</f>
        <v/>
      </c>
      <c r="K70" s="121">
        <f>IF($A70="","",IF($H70="Evet",0,$G70))</f>
        <v/>
      </c>
    </row>
    <row r="71" ht="15" customHeight="1" s="78">
      <c r="A71" s="122" t="n"/>
      <c r="B71" s="122" t="n"/>
      <c r="C71" s="128" t="n"/>
      <c r="D71" s="128" t="n"/>
      <c r="E71" s="120" t="n"/>
      <c r="F71" s="129" t="n"/>
      <c r="G71" s="120" t="n"/>
      <c r="H71" s="122" t="n"/>
      <c r="I71" s="122" t="n"/>
      <c r="J71" s="127">
        <f>IF($A71="","",IFERROR($D71-$C71,0))</f>
        <v/>
      </c>
      <c r="K71" s="121">
        <f>IF($A71="","",IF($H71="Evet",0,$G71))</f>
        <v/>
      </c>
    </row>
    <row r="72" ht="15" customHeight="1" s="78">
      <c r="A72" s="122" t="n"/>
      <c r="B72" s="122" t="n"/>
      <c r="C72" s="128" t="n"/>
      <c r="D72" s="128" t="n"/>
      <c r="E72" s="120" t="n"/>
      <c r="F72" s="129" t="n"/>
      <c r="G72" s="120" t="n"/>
      <c r="H72" s="122" t="n"/>
      <c r="I72" s="122" t="n"/>
      <c r="J72" s="127">
        <f>IF($A72="","",IFERROR($D72-$C72,0))</f>
        <v/>
      </c>
      <c r="K72" s="121">
        <f>IF($A72="","",IF($H72="Evet",0,$G72))</f>
        <v/>
      </c>
    </row>
    <row r="73" ht="15" customHeight="1" s="78">
      <c r="A73" s="122" t="n"/>
      <c r="B73" s="122" t="n"/>
      <c r="C73" s="128" t="n"/>
      <c r="D73" s="128" t="n"/>
      <c r="E73" s="120" t="n"/>
      <c r="F73" s="129" t="n"/>
      <c r="G73" s="120" t="n"/>
      <c r="H73" s="122" t="n"/>
      <c r="I73" s="122" t="n"/>
      <c r="J73" s="127">
        <f>IF($A73="","",IFERROR($D73-$C73,0))</f>
        <v/>
      </c>
      <c r="K73" s="121">
        <f>IF($A73="","",IF($H73="Evet",0,$G73))</f>
        <v/>
      </c>
    </row>
    <row r="74" ht="15" customHeight="1" s="78">
      <c r="A74" s="122" t="n"/>
      <c r="B74" s="122" t="n"/>
      <c r="C74" s="128" t="n"/>
      <c r="D74" s="128" t="n"/>
      <c r="E74" s="120" t="n"/>
      <c r="F74" s="129" t="n"/>
      <c r="G74" s="120" t="n"/>
      <c r="H74" s="122" t="n"/>
      <c r="I74" s="122" t="n"/>
      <c r="J74" s="127">
        <f>IF($A74="","",IFERROR($D74-$C74,0))</f>
        <v/>
      </c>
      <c r="K74" s="121">
        <f>IF($A74="","",IF($H74="Evet",0,$G74))</f>
        <v/>
      </c>
    </row>
    <row r="75" ht="15" customHeight="1" s="78">
      <c r="A75" s="122" t="n"/>
      <c r="B75" s="122" t="n"/>
      <c r="C75" s="128" t="n"/>
      <c r="D75" s="128" t="n"/>
      <c r="E75" s="120" t="n"/>
      <c r="F75" s="129" t="n"/>
      <c r="G75" s="120" t="n"/>
      <c r="H75" s="122" t="n"/>
      <c r="I75" s="122" t="n"/>
      <c r="J75" s="127">
        <f>IF($A75="","",IFERROR($D75-$C75,0))</f>
        <v/>
      </c>
      <c r="K75" s="121">
        <f>IF($A75="","",IF($H75="Evet",0,$G75))</f>
        <v/>
      </c>
    </row>
    <row r="76" ht="15" customHeight="1" s="78">
      <c r="A76" s="122" t="n"/>
      <c r="B76" s="122" t="n"/>
      <c r="C76" s="128" t="n"/>
      <c r="D76" s="128" t="n"/>
      <c r="E76" s="120" t="n"/>
      <c r="F76" s="129" t="n"/>
      <c r="G76" s="120" t="n"/>
      <c r="H76" s="122" t="n"/>
      <c r="I76" s="122" t="n"/>
      <c r="J76" s="127">
        <f>IF($A76="","",IFERROR($D76-$C76,0))</f>
        <v/>
      </c>
      <c r="K76" s="121">
        <f>IF($A76="","",IF($H76="Evet",0,$G76))</f>
        <v/>
      </c>
    </row>
    <row r="77" ht="15" customHeight="1" s="78">
      <c r="A77" s="122" t="n"/>
      <c r="B77" s="122" t="n"/>
      <c r="C77" s="128" t="n"/>
      <c r="D77" s="128" t="n"/>
      <c r="E77" s="120" t="n"/>
      <c r="F77" s="129" t="n"/>
      <c r="G77" s="120" t="n"/>
      <c r="H77" s="122" t="n"/>
      <c r="I77" s="122" t="n"/>
      <c r="J77" s="127">
        <f>IF($A77="","",IFERROR($D77-$C77,0))</f>
        <v/>
      </c>
      <c r="K77" s="121">
        <f>IF($A77="","",IF($H77="Evet",0,$G77))</f>
        <v/>
      </c>
    </row>
    <row r="78" ht="15" customHeight="1" s="78">
      <c r="A78" s="122" t="n"/>
      <c r="B78" s="122" t="n"/>
      <c r="C78" s="128" t="n"/>
      <c r="D78" s="128" t="n"/>
      <c r="E78" s="120" t="n"/>
      <c r="F78" s="129" t="n"/>
      <c r="G78" s="120" t="n"/>
      <c r="H78" s="122" t="n"/>
      <c r="I78" s="122" t="n"/>
      <c r="J78" s="127">
        <f>IF($A78="","",IFERROR($D78-$C78,0))</f>
        <v/>
      </c>
      <c r="K78" s="121">
        <f>IF($A78="","",IF($H78="Evet",0,$G78))</f>
        <v/>
      </c>
    </row>
    <row r="79" ht="15" customHeight="1" s="78">
      <c r="A79" s="122" t="n"/>
      <c r="B79" s="122" t="n"/>
      <c r="C79" s="128" t="n"/>
      <c r="D79" s="128" t="n"/>
      <c r="E79" s="120" t="n"/>
      <c r="F79" s="129" t="n"/>
      <c r="G79" s="120" t="n"/>
      <c r="H79" s="122" t="n"/>
      <c r="I79" s="122" t="n"/>
      <c r="J79" s="127">
        <f>IF($A79="","",IFERROR($D79-$C79,0))</f>
        <v/>
      </c>
      <c r="K79" s="121">
        <f>IF($A79="","",IF($H79="Evet",0,$G79))</f>
        <v/>
      </c>
    </row>
    <row r="80" ht="15" customHeight="1" s="78">
      <c r="A80" s="122" t="n"/>
      <c r="B80" s="122" t="n"/>
      <c r="C80" s="128" t="n"/>
      <c r="D80" s="128" t="n"/>
      <c r="E80" s="120" t="n"/>
      <c r="F80" s="129" t="n"/>
      <c r="G80" s="120" t="n"/>
      <c r="H80" s="122" t="n"/>
      <c r="I80" s="122" t="n"/>
      <c r="J80" s="127">
        <f>IF($A80="","",IFERROR($D80-$C80,0))</f>
        <v/>
      </c>
      <c r="K80" s="121">
        <f>IF($A80="","",IF($H80="Evet",0,$G80))</f>
        <v/>
      </c>
    </row>
    <row r="81" ht="15" customHeight="1" s="78">
      <c r="A81" s="122" t="n"/>
      <c r="B81" s="122" t="n"/>
      <c r="C81" s="128" t="n"/>
      <c r="D81" s="128" t="n"/>
      <c r="E81" s="120" t="n"/>
      <c r="F81" s="129" t="n"/>
      <c r="G81" s="120" t="n"/>
      <c r="H81" s="122" t="n"/>
      <c r="I81" s="122" t="n"/>
      <c r="J81" s="127">
        <f>IF($A81="","",IFERROR($D81-$C81,0))</f>
        <v/>
      </c>
      <c r="K81" s="121">
        <f>IF($A81="","",IF($H81="Evet",0,$G81))</f>
        <v/>
      </c>
    </row>
    <row r="82" ht="15" customHeight="1" s="78">
      <c r="A82" s="122" t="n"/>
      <c r="B82" s="122" t="n"/>
      <c r="C82" s="128" t="n"/>
      <c r="D82" s="128" t="n"/>
      <c r="E82" s="120" t="n"/>
      <c r="F82" s="129" t="n"/>
      <c r="G82" s="120" t="n"/>
      <c r="H82" s="122" t="n"/>
      <c r="I82" s="122" t="n"/>
      <c r="J82" s="127">
        <f>IF($A82="","",IFERROR($D82-$C82,0))</f>
        <v/>
      </c>
      <c r="K82" s="121">
        <f>IF($A82="","",IF($H82="Evet",0,$G82))</f>
        <v/>
      </c>
    </row>
    <row r="83" ht="15" customHeight="1" s="78">
      <c r="A83" s="122" t="n"/>
      <c r="B83" s="122" t="n"/>
      <c r="C83" s="128" t="n"/>
      <c r="D83" s="128" t="n"/>
      <c r="E83" s="120" t="n"/>
      <c r="F83" s="129" t="n"/>
      <c r="G83" s="120" t="n"/>
      <c r="H83" s="122" t="n"/>
      <c r="I83" s="122" t="n"/>
      <c r="J83" s="127">
        <f>IF($A83="","",IFERROR($D83-$C83,0))</f>
        <v/>
      </c>
      <c r="K83" s="121">
        <f>IF($A83="","",IF($H83="Evet",0,$G83))</f>
        <v/>
      </c>
    </row>
    <row r="84" ht="15" customHeight="1" s="78">
      <c r="A84" s="122" t="n"/>
      <c r="B84" s="122" t="n"/>
      <c r="C84" s="128" t="n"/>
      <c r="D84" s="128" t="n"/>
      <c r="E84" s="120" t="n"/>
      <c r="F84" s="129" t="n"/>
      <c r="G84" s="120" t="n"/>
      <c r="H84" s="122" t="n"/>
      <c r="I84" s="122" t="n"/>
      <c r="J84" s="127">
        <f>IF($A84="","",IFERROR($D84-$C84,0))</f>
        <v/>
      </c>
      <c r="K84" s="121">
        <f>IF($A84="","",IF($H84="Evet",0,$G84))</f>
        <v/>
      </c>
    </row>
    <row r="85" ht="15" customHeight="1" s="78">
      <c r="A85" s="122" t="n"/>
      <c r="B85" s="122" t="n"/>
      <c r="C85" s="128" t="n"/>
      <c r="D85" s="128" t="n"/>
      <c r="E85" s="120" t="n"/>
      <c r="F85" s="129" t="n"/>
      <c r="G85" s="120" t="n"/>
      <c r="H85" s="122" t="n"/>
      <c r="I85" s="122" t="n"/>
      <c r="J85" s="127">
        <f>IF($A85="","",IFERROR($D85-$C85,0))</f>
        <v/>
      </c>
      <c r="K85" s="121">
        <f>IF($A85="","",IF($H85="Evet",0,$G85))</f>
        <v/>
      </c>
    </row>
    <row r="86" ht="15" customHeight="1" s="78">
      <c r="A86" s="122" t="n"/>
      <c r="B86" s="122" t="n"/>
      <c r="C86" s="128" t="n"/>
      <c r="D86" s="128" t="n"/>
      <c r="E86" s="120" t="n"/>
      <c r="F86" s="129" t="n"/>
      <c r="G86" s="120" t="n"/>
      <c r="H86" s="122" t="n"/>
      <c r="I86" s="122" t="n"/>
      <c r="J86" s="127">
        <f>IF($A86="","",IFERROR($D86-$C86,0))</f>
        <v/>
      </c>
      <c r="K86" s="121">
        <f>IF($A86="","",IF($H86="Evet",0,$G86))</f>
        <v/>
      </c>
    </row>
    <row r="87" ht="15" customHeight="1" s="78">
      <c r="A87" s="122" t="n"/>
      <c r="B87" s="122" t="n"/>
      <c r="C87" s="128" t="n"/>
      <c r="D87" s="128" t="n"/>
      <c r="E87" s="120" t="n"/>
      <c r="F87" s="129" t="n"/>
      <c r="G87" s="120" t="n"/>
      <c r="H87" s="122" t="n"/>
      <c r="I87" s="122" t="n"/>
      <c r="J87" s="127">
        <f>IF($A87="","",IFERROR($D87-$C87,0))</f>
        <v/>
      </c>
      <c r="K87" s="121">
        <f>IF($A87="","",IF($H87="Evet",0,$G87))</f>
        <v/>
      </c>
    </row>
    <row r="88" ht="15" customHeight="1" s="78">
      <c r="A88" s="122" t="n"/>
      <c r="B88" s="122" t="n"/>
      <c r="C88" s="128" t="n"/>
      <c r="D88" s="128" t="n"/>
      <c r="E88" s="120" t="n"/>
      <c r="F88" s="129" t="n"/>
      <c r="G88" s="120" t="n"/>
      <c r="H88" s="122" t="n"/>
      <c r="I88" s="122" t="n"/>
      <c r="J88" s="127">
        <f>IF($A88="","",IFERROR($D88-$C88,0))</f>
        <v/>
      </c>
      <c r="K88" s="121">
        <f>IF($A88="","",IF($H88="Evet",0,$G88))</f>
        <v/>
      </c>
    </row>
    <row r="89" ht="15" customHeight="1" s="78">
      <c r="A89" s="122" t="n"/>
      <c r="B89" s="122" t="n"/>
      <c r="C89" s="128" t="n"/>
      <c r="D89" s="128" t="n"/>
      <c r="E89" s="120" t="n"/>
      <c r="F89" s="129" t="n"/>
      <c r="G89" s="120" t="n"/>
      <c r="H89" s="122" t="n"/>
      <c r="I89" s="122" t="n"/>
      <c r="J89" s="127">
        <f>IF($A89="","",IFERROR($D89-$C89,0))</f>
        <v/>
      </c>
      <c r="K89" s="121">
        <f>IF($A89="","",IF($H89="Evet",0,$G89))</f>
        <v/>
      </c>
    </row>
    <row r="90" ht="15" customHeight="1" s="78">
      <c r="A90" s="122" t="n"/>
      <c r="B90" s="122" t="n"/>
      <c r="C90" s="128" t="n"/>
      <c r="D90" s="128" t="n"/>
      <c r="E90" s="120" t="n"/>
      <c r="F90" s="129" t="n"/>
      <c r="G90" s="120" t="n"/>
      <c r="H90" s="122" t="n"/>
      <c r="I90" s="122" t="n"/>
      <c r="J90" s="127">
        <f>IF($A90="","",IFERROR($D90-$C90,0))</f>
        <v/>
      </c>
      <c r="K90" s="121">
        <f>IF($A90="","",IF($H90="Evet",0,$G90))</f>
        <v/>
      </c>
    </row>
    <row r="91" ht="15" customHeight="1" s="78">
      <c r="A91" s="122" t="n"/>
      <c r="B91" s="122" t="n"/>
      <c r="C91" s="128" t="n"/>
      <c r="D91" s="128" t="n"/>
      <c r="E91" s="120" t="n"/>
      <c r="F91" s="129" t="n"/>
      <c r="G91" s="120" t="n"/>
      <c r="H91" s="122" t="n"/>
      <c r="I91" s="122" t="n"/>
      <c r="J91" s="127">
        <f>IF($A91="","",IFERROR($D91-$C91,0))</f>
        <v/>
      </c>
      <c r="K91" s="121">
        <f>IF($A91="","",IF($H91="Evet",0,$G91))</f>
        <v/>
      </c>
    </row>
    <row r="92" ht="15" customHeight="1" s="78">
      <c r="A92" s="122" t="n"/>
      <c r="B92" s="122" t="n"/>
      <c r="C92" s="128" t="n"/>
      <c r="D92" s="128" t="n"/>
      <c r="E92" s="120" t="n"/>
      <c r="F92" s="129" t="n"/>
      <c r="G92" s="120" t="n"/>
      <c r="H92" s="122" t="n"/>
      <c r="I92" s="122" t="n"/>
      <c r="J92" s="127">
        <f>IF($A92="","",IFERROR($D92-$C92,0))</f>
        <v/>
      </c>
      <c r="K92" s="121">
        <f>IF($A92="","",IF($H92="Evet",0,$G92))</f>
        <v/>
      </c>
    </row>
    <row r="93" ht="15" customHeight="1" s="78">
      <c r="A93" s="122" t="n"/>
      <c r="B93" s="122" t="n"/>
      <c r="C93" s="128" t="n"/>
      <c r="D93" s="128" t="n"/>
      <c r="E93" s="120" t="n"/>
      <c r="F93" s="129" t="n"/>
      <c r="G93" s="120" t="n"/>
      <c r="H93" s="122" t="n"/>
      <c r="I93" s="122" t="n"/>
      <c r="J93" s="127">
        <f>IF($A93="","",IFERROR($D93-$C93,0))</f>
        <v/>
      </c>
      <c r="K93" s="121">
        <f>IF($A93="","",IF($H93="Evet",0,$G93))</f>
        <v/>
      </c>
    </row>
    <row r="94" ht="15" customHeight="1" s="78">
      <c r="A94" s="122" t="n"/>
      <c r="B94" s="122" t="n"/>
      <c r="C94" s="128" t="n"/>
      <c r="D94" s="128" t="n"/>
      <c r="E94" s="120" t="n"/>
      <c r="F94" s="129" t="n"/>
      <c r="G94" s="120" t="n"/>
      <c r="H94" s="122" t="n"/>
      <c r="I94" s="122" t="n"/>
      <c r="J94" s="127">
        <f>IF($A94="","",IFERROR($D94-$C94,0))</f>
        <v/>
      </c>
      <c r="K94" s="121">
        <f>IF($A94="","",IF($H94="Evet",0,$G94))</f>
        <v/>
      </c>
    </row>
    <row r="95" ht="15" customHeight="1" s="78">
      <c r="A95" s="122" t="n"/>
      <c r="B95" s="122" t="n"/>
      <c r="C95" s="128" t="n"/>
      <c r="D95" s="128" t="n"/>
      <c r="E95" s="120" t="n"/>
      <c r="F95" s="129" t="n"/>
      <c r="G95" s="120" t="n"/>
      <c r="H95" s="122" t="n"/>
      <c r="I95" s="122" t="n"/>
      <c r="J95" s="127">
        <f>IF($A95="","",IFERROR($D95-$C95,0))</f>
        <v/>
      </c>
      <c r="K95" s="121">
        <f>IF($A95="","",IF($H95="Evet",0,$G95))</f>
        <v/>
      </c>
    </row>
    <row r="96" ht="15" customHeight="1" s="78">
      <c r="A96" s="122" t="n"/>
      <c r="B96" s="122" t="n"/>
      <c r="C96" s="128" t="n"/>
      <c r="D96" s="128" t="n"/>
      <c r="E96" s="120" t="n"/>
      <c r="F96" s="129" t="n"/>
      <c r="G96" s="120" t="n"/>
      <c r="H96" s="122" t="n"/>
      <c r="I96" s="122" t="n"/>
      <c r="J96" s="127">
        <f>IF($A96="","",IFERROR($D96-$C96,0))</f>
        <v/>
      </c>
      <c r="K96" s="121">
        <f>IF($A96="","",IF($H96="Evet",0,$G96))</f>
        <v/>
      </c>
    </row>
    <row r="97" ht="15" customHeight="1" s="78">
      <c r="A97" s="122" t="n"/>
      <c r="B97" s="122" t="n"/>
      <c r="C97" s="128" t="n"/>
      <c r="D97" s="128" t="n"/>
      <c r="E97" s="120" t="n"/>
      <c r="F97" s="129" t="n"/>
      <c r="G97" s="120" t="n"/>
      <c r="H97" s="122" t="n"/>
      <c r="I97" s="122" t="n"/>
      <c r="J97" s="127">
        <f>IF($A97="","",IFERROR($D97-$C97,0))</f>
        <v/>
      </c>
      <c r="K97" s="121">
        <f>IF($A97="","",IF($H97="Evet",0,$G97))</f>
        <v/>
      </c>
    </row>
    <row r="98" ht="15" customHeight="1" s="78">
      <c r="A98" s="122" t="n"/>
      <c r="B98" s="122" t="n"/>
      <c r="C98" s="128" t="n"/>
      <c r="D98" s="128" t="n"/>
      <c r="E98" s="120" t="n"/>
      <c r="F98" s="129" t="n"/>
      <c r="G98" s="120" t="n"/>
      <c r="H98" s="122" t="n"/>
      <c r="I98" s="122" t="n"/>
      <c r="J98" s="127">
        <f>IF($A98="","",IFERROR($D98-$C98,0))</f>
        <v/>
      </c>
      <c r="K98" s="121">
        <f>IF($A98="","",IF($H98="Evet",0,$G98))</f>
        <v/>
      </c>
    </row>
    <row r="99" ht="15" customHeight="1" s="78">
      <c r="A99" s="122" t="n"/>
      <c r="B99" s="122" t="n"/>
      <c r="C99" s="128" t="n"/>
      <c r="D99" s="128" t="n"/>
      <c r="E99" s="120" t="n"/>
      <c r="F99" s="129" t="n"/>
      <c r="G99" s="120" t="n"/>
      <c r="H99" s="122" t="n"/>
      <c r="I99" s="122" t="n"/>
      <c r="J99" s="127">
        <f>IF($A99="","",IFERROR($D99-$C99,0))</f>
        <v/>
      </c>
      <c r="K99" s="121">
        <f>IF($A99="","",IF($H99="Evet",0,$G99))</f>
        <v/>
      </c>
    </row>
    <row r="100" ht="15" customHeight="1" s="78">
      <c r="A100" s="122" t="n"/>
      <c r="B100" s="122" t="n"/>
      <c r="C100" s="128" t="n"/>
      <c r="D100" s="128" t="n"/>
      <c r="E100" s="120" t="n"/>
      <c r="F100" s="129" t="n"/>
      <c r="G100" s="120" t="n"/>
      <c r="H100" s="122" t="n"/>
      <c r="I100" s="122" t="n"/>
      <c r="J100" s="127">
        <f>IF($A100="","",IFERROR($D100-$C100,0))</f>
        <v/>
      </c>
      <c r="K100" s="121">
        <f>IF($A100="","",IF($H100="Evet",0,$G100))</f>
        <v/>
      </c>
    </row>
    <row r="101" ht="15" customHeight="1" s="78">
      <c r="A101" s="122" t="n"/>
      <c r="B101" s="122" t="n"/>
      <c r="C101" s="128" t="n"/>
      <c r="D101" s="128" t="n"/>
      <c r="E101" s="120" t="n"/>
      <c r="F101" s="129" t="n"/>
      <c r="G101" s="120" t="n"/>
      <c r="H101" s="122" t="n"/>
      <c r="I101" s="122" t="n"/>
      <c r="J101" s="127">
        <f>IF($A101="","",IFERROR($D101-$C101,0))</f>
        <v/>
      </c>
      <c r="K101" s="121">
        <f>IF($A101="","",IF($H101="Evet",0,$G101))</f>
        <v/>
      </c>
    </row>
    <row r="102" ht="15" customHeight="1" s="78">
      <c r="A102" s="122" t="n"/>
      <c r="B102" s="122" t="n"/>
      <c r="C102" s="128" t="n"/>
      <c r="D102" s="128" t="n"/>
      <c r="E102" s="120" t="n"/>
      <c r="F102" s="129" t="n"/>
      <c r="G102" s="120" t="n"/>
      <c r="H102" s="122" t="n"/>
      <c r="I102" s="122" t="n"/>
      <c r="J102" s="127">
        <f>IF($A102="","",IFERROR($D102-$C102,0))</f>
        <v/>
      </c>
      <c r="K102" s="121">
        <f>IF($A102="","",IF($H102="Evet",0,$G102))</f>
        <v/>
      </c>
    </row>
    <row r="103" ht="15" customHeight="1" s="78">
      <c r="A103" s="122" t="n"/>
      <c r="B103" s="122" t="n"/>
      <c r="C103" s="128" t="n"/>
      <c r="D103" s="128" t="n"/>
      <c r="E103" s="120" t="n"/>
      <c r="F103" s="129" t="n"/>
      <c r="G103" s="120" t="n"/>
      <c r="H103" s="122" t="n"/>
      <c r="I103" s="122" t="n"/>
      <c r="J103" s="127">
        <f>IF($A103="","",IFERROR($D103-$C103,0))</f>
        <v/>
      </c>
      <c r="K103" s="121">
        <f>IF($A103="","",IF($H103="Evet",0,$G103))</f>
        <v/>
      </c>
    </row>
    <row r="104" ht="15" customHeight="1" s="78">
      <c r="A104" s="122" t="n"/>
      <c r="B104" s="122" t="n"/>
      <c r="C104" s="128" t="n"/>
      <c r="D104" s="128" t="n"/>
      <c r="E104" s="120" t="n"/>
      <c r="F104" s="129" t="n"/>
      <c r="G104" s="120" t="n"/>
      <c r="H104" s="122" t="n"/>
      <c r="I104" s="122" t="n"/>
      <c r="J104" s="127">
        <f>IF($A104="","",IFERROR($D104-$C104,0))</f>
        <v/>
      </c>
      <c r="K104" s="121">
        <f>IF($A104="","",IF($H104="Evet",0,$G104))</f>
        <v/>
      </c>
    </row>
    <row r="105" ht="15" customHeight="1" s="78">
      <c r="A105" s="122" t="n"/>
      <c r="B105" s="122" t="n"/>
      <c r="C105" s="128" t="n"/>
      <c r="D105" s="128" t="n"/>
      <c r="E105" s="120" t="n"/>
      <c r="F105" s="129" t="n"/>
      <c r="G105" s="120" t="n"/>
      <c r="H105" s="122" t="n"/>
      <c r="I105" s="122" t="n"/>
      <c r="J105" s="127">
        <f>IF($A105="","",IFERROR($D105-$C105,0))</f>
        <v/>
      </c>
      <c r="K105" s="121">
        <f>IF($A105="","",IF($H105="Evet",0,$G105))</f>
        <v/>
      </c>
    </row>
    <row r="106" ht="15" customHeight="1" s="78">
      <c r="A106" s="122" t="n"/>
      <c r="B106" s="122" t="n"/>
      <c r="C106" s="128" t="n"/>
      <c r="D106" s="128" t="n"/>
      <c r="E106" s="120" t="n"/>
      <c r="F106" s="129" t="n"/>
      <c r="G106" s="120" t="n"/>
      <c r="H106" s="122" t="n"/>
      <c r="I106" s="122" t="n"/>
      <c r="J106" s="127">
        <f>IF($A106="","",IFERROR($D106-$C106,0))</f>
        <v/>
      </c>
      <c r="K106" s="121">
        <f>IF($A106="","",IF($H106="Evet",0,$G106))</f>
        <v/>
      </c>
    </row>
    <row r="107" ht="15" customHeight="1" s="78">
      <c r="A107" s="122" t="n"/>
      <c r="B107" s="122" t="n"/>
      <c r="C107" s="128" t="n"/>
      <c r="D107" s="128" t="n"/>
      <c r="E107" s="120" t="n"/>
      <c r="F107" s="129" t="n"/>
      <c r="G107" s="120" t="n"/>
      <c r="H107" s="122" t="n"/>
      <c r="I107" s="122" t="n"/>
      <c r="J107" s="127">
        <f>IF($A107="","",IFERROR($D107-$C107,0))</f>
        <v/>
      </c>
      <c r="K107" s="121">
        <f>IF($A107="","",IF($H107="Evet",0,$G107))</f>
        <v/>
      </c>
    </row>
    <row r="108" ht="15" customHeight="1" s="78">
      <c r="A108" s="122" t="n"/>
      <c r="B108" s="122" t="n"/>
      <c r="C108" s="128" t="n"/>
      <c r="D108" s="128" t="n"/>
      <c r="E108" s="120" t="n"/>
      <c r="F108" s="129" t="n"/>
      <c r="G108" s="120" t="n"/>
      <c r="H108" s="122" t="n"/>
      <c r="I108" s="122" t="n"/>
      <c r="J108" s="127">
        <f>IF($A108="","",IFERROR($D108-$C108,0))</f>
        <v/>
      </c>
      <c r="K108" s="121">
        <f>IF($A108="","",IF($H108="Evet",0,$G108))</f>
        <v/>
      </c>
    </row>
    <row r="109" ht="15" customHeight="1" s="78">
      <c r="A109" s="122" t="n"/>
      <c r="B109" s="122" t="n"/>
      <c r="C109" s="128" t="n"/>
      <c r="D109" s="128" t="n"/>
      <c r="E109" s="120" t="n"/>
      <c r="F109" s="129" t="n"/>
      <c r="G109" s="120" t="n"/>
      <c r="H109" s="122" t="n"/>
      <c r="I109" s="122" t="n"/>
      <c r="J109" s="127">
        <f>IF($A109="","",IFERROR($D109-$C109,0))</f>
        <v/>
      </c>
      <c r="K109" s="121">
        <f>IF($A109="","",IF($H109="Evet",0,$G109))</f>
        <v/>
      </c>
    </row>
    <row r="110" ht="15" customHeight="1" s="78">
      <c r="A110" s="122" t="n"/>
      <c r="B110" s="122" t="n"/>
      <c r="C110" s="128" t="n"/>
      <c r="D110" s="128" t="n"/>
      <c r="E110" s="120" t="n"/>
      <c r="F110" s="129" t="n"/>
      <c r="G110" s="120" t="n"/>
      <c r="H110" s="122" t="n"/>
      <c r="I110" s="122" t="n"/>
      <c r="J110" s="127">
        <f>IF($A110="","",IFERROR($D110-$C110,0))</f>
        <v/>
      </c>
      <c r="K110" s="121">
        <f>IF($A110="","",IF($H110="Evet",0,$G110))</f>
        <v/>
      </c>
    </row>
    <row r="111" ht="15" customHeight="1" s="78">
      <c r="A111" s="122" t="n"/>
      <c r="B111" s="122" t="n"/>
      <c r="C111" s="128" t="n"/>
      <c r="D111" s="128" t="n"/>
      <c r="E111" s="120" t="n"/>
      <c r="F111" s="129" t="n"/>
      <c r="G111" s="120" t="n"/>
      <c r="H111" s="122" t="n"/>
      <c r="I111" s="122" t="n"/>
      <c r="J111" s="127">
        <f>IF($A111="","",IFERROR($D111-$C111,0))</f>
        <v/>
      </c>
      <c r="K111" s="121">
        <f>IF($A111="","",IF($H111="Evet",0,$G111))</f>
        <v/>
      </c>
    </row>
    <row r="112" ht="15" customHeight="1" s="78">
      <c r="A112" s="122" t="n"/>
      <c r="B112" s="122" t="n"/>
      <c r="C112" s="128" t="n"/>
      <c r="D112" s="128" t="n"/>
      <c r="E112" s="120" t="n"/>
      <c r="F112" s="129" t="n"/>
      <c r="G112" s="120" t="n"/>
      <c r="H112" s="122" t="n"/>
      <c r="I112" s="122" t="n"/>
      <c r="J112" s="127">
        <f>IF($A112="","",IFERROR($D112-$C112,0))</f>
        <v/>
      </c>
      <c r="K112" s="121">
        <f>IF($A112="","",IF($H112="Evet",0,$G112))</f>
        <v/>
      </c>
    </row>
    <row r="113" ht="15" customHeight="1" s="78">
      <c r="A113" s="122" t="n"/>
      <c r="B113" s="122" t="n"/>
      <c r="C113" s="128" t="n"/>
      <c r="D113" s="128" t="n"/>
      <c r="E113" s="120" t="n"/>
      <c r="F113" s="129" t="n"/>
      <c r="G113" s="120" t="n"/>
      <c r="H113" s="122" t="n"/>
      <c r="I113" s="122" t="n"/>
      <c r="J113" s="127">
        <f>IF($A113="","",IFERROR($D113-$C113,0))</f>
        <v/>
      </c>
      <c r="K113" s="121">
        <f>IF($A113="","",IF($H113="Evet",0,$G113))</f>
        <v/>
      </c>
    </row>
    <row r="114" ht="15" customHeight="1" s="78">
      <c r="A114" s="122" t="n"/>
      <c r="B114" s="122" t="n"/>
      <c r="C114" s="128" t="n"/>
      <c r="D114" s="128" t="n"/>
      <c r="E114" s="120" t="n"/>
      <c r="F114" s="129" t="n"/>
      <c r="G114" s="120" t="n"/>
      <c r="H114" s="122" t="n"/>
      <c r="I114" s="122" t="n"/>
      <c r="J114" s="127">
        <f>IF($A114="","",IFERROR($D114-$C114,0))</f>
        <v/>
      </c>
      <c r="K114" s="121">
        <f>IF($A114="","",IF($H114="Evet",0,$G114))</f>
        <v/>
      </c>
    </row>
    <row r="115" ht="15" customHeight="1" s="78">
      <c r="A115" s="122" t="n"/>
      <c r="B115" s="122" t="n"/>
      <c r="C115" s="128" t="n"/>
      <c r="D115" s="128" t="n"/>
      <c r="E115" s="120" t="n"/>
      <c r="F115" s="129" t="n"/>
      <c r="G115" s="120" t="n"/>
      <c r="H115" s="122" t="n"/>
      <c r="I115" s="122" t="n"/>
      <c r="J115" s="127">
        <f>IF($A115="","",IFERROR($D115-$C115,0))</f>
        <v/>
      </c>
      <c r="K115" s="121">
        <f>IF($A115="","",IF($H115="Evet",0,$G115))</f>
        <v/>
      </c>
    </row>
    <row r="116" ht="15" customHeight="1" s="78">
      <c r="A116" s="122" t="n"/>
      <c r="B116" s="122" t="n"/>
      <c r="C116" s="128" t="n"/>
      <c r="D116" s="128" t="n"/>
      <c r="E116" s="120" t="n"/>
      <c r="F116" s="129" t="n"/>
      <c r="G116" s="120" t="n"/>
      <c r="H116" s="122" t="n"/>
      <c r="I116" s="122" t="n"/>
      <c r="J116" s="127">
        <f>IF($A116="","",IFERROR($D116-$C116,0))</f>
        <v/>
      </c>
      <c r="K116" s="121">
        <f>IF($A116="","",IF($H116="Evet",0,$G116))</f>
        <v/>
      </c>
    </row>
    <row r="117" ht="15" customHeight="1" s="78">
      <c r="A117" s="122" t="n"/>
      <c r="B117" s="122" t="n"/>
      <c r="C117" s="128" t="n"/>
      <c r="D117" s="128" t="n"/>
      <c r="E117" s="120" t="n"/>
      <c r="F117" s="129" t="n"/>
      <c r="G117" s="120" t="n"/>
      <c r="H117" s="122" t="n"/>
      <c r="I117" s="122" t="n"/>
      <c r="J117" s="127">
        <f>IF($A117="","",IFERROR($D117-$C117,0))</f>
        <v/>
      </c>
      <c r="K117" s="121">
        <f>IF($A117="","",IF($H117="Evet",0,$G117))</f>
        <v/>
      </c>
    </row>
    <row r="118" ht="15" customHeight="1" s="78">
      <c r="A118" s="122" t="n"/>
      <c r="B118" s="122" t="n"/>
      <c r="C118" s="128" t="n"/>
      <c r="D118" s="128" t="n"/>
      <c r="E118" s="120" t="n"/>
      <c r="F118" s="129" t="n"/>
      <c r="G118" s="120" t="n"/>
      <c r="H118" s="122" t="n"/>
      <c r="I118" s="122" t="n"/>
      <c r="J118" s="127">
        <f>IF($A118="","",IFERROR($D118-$C118,0))</f>
        <v/>
      </c>
      <c r="K118" s="121">
        <f>IF($A118="","",IF($H118="Evet",0,$G118))</f>
        <v/>
      </c>
    </row>
    <row r="119" ht="15" customHeight="1" s="78">
      <c r="A119" s="122" t="n"/>
      <c r="B119" s="122" t="n"/>
      <c r="C119" s="128" t="n"/>
      <c r="D119" s="128" t="n"/>
      <c r="E119" s="120" t="n"/>
      <c r="F119" s="129" t="n"/>
      <c r="G119" s="120" t="n"/>
      <c r="H119" s="122" t="n"/>
      <c r="I119" s="122" t="n"/>
      <c r="J119" s="127">
        <f>IF($A119="","",IFERROR($D119-$C119,0))</f>
        <v/>
      </c>
      <c r="K119" s="121">
        <f>IF($A119="","",IF($H119="Evet",0,$G119))</f>
        <v/>
      </c>
    </row>
    <row r="120" ht="15" customHeight="1" s="78">
      <c r="A120" s="122" t="n"/>
      <c r="B120" s="122" t="n"/>
      <c r="C120" s="128" t="n"/>
      <c r="D120" s="128" t="n"/>
      <c r="E120" s="120" t="n"/>
      <c r="F120" s="129" t="n"/>
      <c r="G120" s="120" t="n"/>
      <c r="H120" s="122" t="n"/>
      <c r="I120" s="122" t="n"/>
      <c r="J120" s="127">
        <f>IF($A120="","",IFERROR($D120-$C120,0))</f>
        <v/>
      </c>
      <c r="K120" s="121">
        <f>IF($A120="","",IF($H120="Evet",0,$G120))</f>
        <v/>
      </c>
    </row>
    <row r="121" ht="15" customHeight="1" s="78">
      <c r="A121" s="122" t="n"/>
      <c r="B121" s="122" t="n"/>
      <c r="C121" s="128" t="n"/>
      <c r="D121" s="128" t="n"/>
      <c r="E121" s="120" t="n"/>
      <c r="F121" s="129" t="n"/>
      <c r="G121" s="120" t="n"/>
      <c r="H121" s="122" t="n"/>
      <c r="I121" s="122" t="n"/>
      <c r="J121" s="127">
        <f>IF($A121="","",IFERROR($D121-$C121,0))</f>
        <v/>
      </c>
      <c r="K121" s="121">
        <f>IF($A121="","",IF($H121="Evet",0,$G121))</f>
        <v/>
      </c>
    </row>
    <row r="122" ht="15" customHeight="1" s="78">
      <c r="A122" s="122" t="n"/>
      <c r="B122" s="122" t="n"/>
      <c r="C122" s="128" t="n"/>
      <c r="D122" s="128" t="n"/>
      <c r="E122" s="120" t="n"/>
      <c r="F122" s="129" t="n"/>
      <c r="G122" s="120" t="n"/>
      <c r="H122" s="122" t="n"/>
      <c r="I122" s="122" t="n"/>
      <c r="J122" s="127">
        <f>IF($A122="","",IFERROR($D122-$C122,0))</f>
        <v/>
      </c>
      <c r="K122" s="121">
        <f>IF($A122="","",IF($H122="Evet",0,$G122))</f>
        <v/>
      </c>
    </row>
    <row r="123" ht="15" customHeight="1" s="78">
      <c r="A123" s="122" t="n"/>
      <c r="B123" s="122" t="n"/>
      <c r="C123" s="128" t="n"/>
      <c r="D123" s="128" t="n"/>
      <c r="E123" s="120" t="n"/>
      <c r="F123" s="129" t="n"/>
      <c r="G123" s="120" t="n"/>
      <c r="H123" s="122" t="n"/>
      <c r="I123" s="122" t="n"/>
      <c r="J123" s="127">
        <f>IF($A123="","",IFERROR($D123-$C123,0))</f>
        <v/>
      </c>
      <c r="K123" s="121">
        <f>IF($A123="","",IF($H123="Evet",0,$G123))</f>
        <v/>
      </c>
    </row>
    <row r="124" ht="15" customHeight="1" s="78">
      <c r="A124" s="122" t="n"/>
      <c r="B124" s="122" t="n"/>
      <c r="C124" s="128" t="n"/>
      <c r="D124" s="128" t="n"/>
      <c r="E124" s="120" t="n"/>
      <c r="F124" s="129" t="n"/>
      <c r="G124" s="120" t="n"/>
      <c r="H124" s="122" t="n"/>
      <c r="I124" s="122" t="n"/>
      <c r="J124" s="127">
        <f>IF($A124="","",IFERROR($D124-$C124,0))</f>
        <v/>
      </c>
      <c r="K124" s="121">
        <f>IF($A124="","",IF($H124="Evet",0,$G124))</f>
        <v/>
      </c>
    </row>
    <row r="125" ht="15" customHeight="1" s="78">
      <c r="A125" s="122" t="n"/>
      <c r="B125" s="122" t="n"/>
      <c r="C125" s="128" t="n"/>
      <c r="D125" s="128" t="n"/>
      <c r="E125" s="120" t="n"/>
      <c r="F125" s="129" t="n"/>
      <c r="G125" s="120" t="n"/>
      <c r="H125" s="122" t="n"/>
      <c r="I125" s="122" t="n"/>
      <c r="J125" s="127">
        <f>IF($A125="","",IFERROR($D125-$C125,0))</f>
        <v/>
      </c>
      <c r="K125" s="121">
        <f>IF($A125="","",IF($H125="Evet",0,$G125))</f>
        <v/>
      </c>
    </row>
    <row r="126" ht="15" customHeight="1" s="78">
      <c r="A126" s="122" t="n"/>
      <c r="B126" s="122" t="n"/>
      <c r="C126" s="128" t="n"/>
      <c r="D126" s="128" t="n"/>
      <c r="E126" s="120" t="n"/>
      <c r="F126" s="129" t="n"/>
      <c r="G126" s="120" t="n"/>
      <c r="H126" s="122" t="n"/>
      <c r="I126" s="122" t="n"/>
      <c r="J126" s="127">
        <f>IF($A126="","",IFERROR($D126-$C126,0))</f>
        <v/>
      </c>
      <c r="K126" s="121">
        <f>IF($A126="","",IF($H126="Evet",0,$G126))</f>
        <v/>
      </c>
    </row>
    <row r="127" ht="15" customHeight="1" s="78">
      <c r="A127" s="122" t="n"/>
      <c r="B127" s="122" t="n"/>
      <c r="C127" s="128" t="n"/>
      <c r="D127" s="128" t="n"/>
      <c r="E127" s="120" t="n"/>
      <c r="F127" s="129" t="n"/>
      <c r="G127" s="120" t="n"/>
      <c r="H127" s="122" t="n"/>
      <c r="I127" s="122" t="n"/>
      <c r="J127" s="127">
        <f>IF($A127="","",IFERROR($D127-$C127,0))</f>
        <v/>
      </c>
      <c r="K127" s="121">
        <f>IF($A127="","",IF($H127="Evet",0,$G127))</f>
        <v/>
      </c>
    </row>
    <row r="128" ht="15" customHeight="1" s="78">
      <c r="A128" s="122" t="n"/>
      <c r="B128" s="122" t="n"/>
      <c r="C128" s="128" t="n"/>
      <c r="D128" s="128" t="n"/>
      <c r="E128" s="120" t="n"/>
      <c r="F128" s="129" t="n"/>
      <c r="G128" s="120" t="n"/>
      <c r="H128" s="122" t="n"/>
      <c r="I128" s="122" t="n"/>
      <c r="J128" s="127">
        <f>IF($A128="","",IFERROR($D128-$C128,0))</f>
        <v/>
      </c>
      <c r="K128" s="121">
        <f>IF($A128="","",IF($H128="Evet",0,$G128))</f>
        <v/>
      </c>
    </row>
    <row r="129" ht="15" customHeight="1" s="78">
      <c r="A129" s="122" t="n"/>
      <c r="B129" s="122" t="n"/>
      <c r="C129" s="128" t="n"/>
      <c r="D129" s="128" t="n"/>
      <c r="E129" s="120" t="n"/>
      <c r="F129" s="129" t="n"/>
      <c r="G129" s="120" t="n"/>
      <c r="H129" s="122" t="n"/>
      <c r="I129" s="122" t="n"/>
      <c r="J129" s="127">
        <f>IF($A129="","",IFERROR($D129-$C129,0))</f>
        <v/>
      </c>
      <c r="K129" s="121">
        <f>IF($A129="","",IF($H129="Evet",0,$G129))</f>
        <v/>
      </c>
    </row>
    <row r="130" ht="15" customHeight="1" s="78">
      <c r="A130" s="122" t="n"/>
      <c r="B130" s="122" t="n"/>
      <c r="C130" s="128" t="n"/>
      <c r="D130" s="128" t="n"/>
      <c r="E130" s="120" t="n"/>
      <c r="F130" s="129" t="n"/>
      <c r="G130" s="120" t="n"/>
      <c r="H130" s="122" t="n"/>
      <c r="I130" s="122" t="n"/>
      <c r="J130" s="127">
        <f>IF($A130="","",IFERROR($D130-$C130,0))</f>
        <v/>
      </c>
      <c r="K130" s="121">
        <f>IF($A130="","",IF($H130="Evet",0,$G130))</f>
        <v/>
      </c>
    </row>
    <row r="131" ht="15" customHeight="1" s="78">
      <c r="A131" s="122" t="n"/>
      <c r="B131" s="122" t="n"/>
      <c r="C131" s="128" t="n"/>
      <c r="D131" s="128" t="n"/>
      <c r="E131" s="120" t="n"/>
      <c r="F131" s="129" t="n"/>
      <c r="G131" s="120" t="n"/>
      <c r="H131" s="122" t="n"/>
      <c r="I131" s="122" t="n"/>
      <c r="J131" s="127">
        <f>IF($A131="","",IFERROR($D131-$C131,0))</f>
        <v/>
      </c>
      <c r="K131" s="121">
        <f>IF($A131="","",IF($H131="Evet",0,$G131))</f>
        <v/>
      </c>
    </row>
    <row r="132" ht="15" customHeight="1" s="78">
      <c r="A132" s="122" t="n"/>
      <c r="B132" s="122" t="n"/>
      <c r="C132" s="128" t="n"/>
      <c r="D132" s="128" t="n"/>
      <c r="E132" s="120" t="n"/>
      <c r="F132" s="129" t="n"/>
      <c r="G132" s="120" t="n"/>
      <c r="H132" s="122" t="n"/>
      <c r="I132" s="122" t="n"/>
      <c r="J132" s="127">
        <f>IF($A132="","",IFERROR($D132-$C132,0))</f>
        <v/>
      </c>
      <c r="K132" s="121">
        <f>IF($A132="","",IF($H132="Evet",0,$G132))</f>
        <v/>
      </c>
    </row>
    <row r="133" ht="15" customHeight="1" s="78">
      <c r="A133" s="122" t="n"/>
      <c r="B133" s="122" t="n"/>
      <c r="C133" s="128" t="n"/>
      <c r="D133" s="128" t="n"/>
      <c r="E133" s="120" t="n"/>
      <c r="F133" s="129" t="n"/>
      <c r="G133" s="120" t="n"/>
      <c r="H133" s="122" t="n"/>
      <c r="I133" s="122" t="n"/>
      <c r="J133" s="127">
        <f>IF($A133="","",IFERROR($D133-$C133,0))</f>
        <v/>
      </c>
      <c r="K133" s="121">
        <f>IF($A133="","",IF($H133="Evet",0,$G133))</f>
        <v/>
      </c>
    </row>
    <row r="134" ht="15" customHeight="1" s="78">
      <c r="A134" s="122" t="n"/>
      <c r="B134" s="122" t="n"/>
      <c r="C134" s="128" t="n"/>
      <c r="D134" s="128" t="n"/>
      <c r="E134" s="120" t="n"/>
      <c r="F134" s="129" t="n"/>
      <c r="G134" s="120" t="n"/>
      <c r="H134" s="122" t="n"/>
      <c r="I134" s="122" t="n"/>
      <c r="J134" s="127">
        <f>IF($A134="","",IFERROR($D134-$C134,0))</f>
        <v/>
      </c>
      <c r="K134" s="121">
        <f>IF($A134="","",IF($H134="Evet",0,$G134))</f>
        <v/>
      </c>
    </row>
    <row r="135" ht="15" customHeight="1" s="78">
      <c r="A135" s="122" t="n"/>
      <c r="B135" s="122" t="n"/>
      <c r="C135" s="128" t="n"/>
      <c r="D135" s="128" t="n"/>
      <c r="E135" s="120" t="n"/>
      <c r="F135" s="129" t="n"/>
      <c r="G135" s="120" t="n"/>
      <c r="H135" s="122" t="n"/>
      <c r="I135" s="122" t="n"/>
      <c r="J135" s="127">
        <f>IF($A135="","",IFERROR($D135-$C135,0))</f>
        <v/>
      </c>
      <c r="K135" s="121">
        <f>IF($A135="","",IF($H135="Evet",0,$G135))</f>
        <v/>
      </c>
    </row>
    <row r="136" ht="15" customHeight="1" s="78">
      <c r="A136" s="122" t="n"/>
      <c r="B136" s="122" t="n"/>
      <c r="C136" s="128" t="n"/>
      <c r="D136" s="128" t="n"/>
      <c r="E136" s="120" t="n"/>
      <c r="F136" s="129" t="n"/>
      <c r="G136" s="120" t="n"/>
      <c r="H136" s="122" t="n"/>
      <c r="I136" s="122" t="n"/>
      <c r="J136" s="127">
        <f>IF($A136="","",IFERROR($D136-$C136,0))</f>
        <v/>
      </c>
      <c r="K136" s="121">
        <f>IF($A136="","",IF($H136="Evet",0,$G136))</f>
        <v/>
      </c>
    </row>
    <row r="137" ht="15" customHeight="1" s="78">
      <c r="A137" s="122" t="n"/>
      <c r="B137" s="122" t="n"/>
      <c r="C137" s="128" t="n"/>
      <c r="D137" s="128" t="n"/>
      <c r="E137" s="120" t="n"/>
      <c r="F137" s="129" t="n"/>
      <c r="G137" s="120" t="n"/>
      <c r="H137" s="122" t="n"/>
      <c r="I137" s="122" t="n"/>
      <c r="J137" s="127">
        <f>IF($A137="","",IFERROR($D137-$C137,0))</f>
        <v/>
      </c>
      <c r="K137" s="121">
        <f>IF($A137="","",IF($H137="Evet",0,$G137))</f>
        <v/>
      </c>
    </row>
    <row r="138" ht="15" customHeight="1" s="78">
      <c r="A138" s="122" t="n"/>
      <c r="B138" s="122" t="n"/>
      <c r="C138" s="128" t="n"/>
      <c r="D138" s="128" t="n"/>
      <c r="E138" s="120" t="n"/>
      <c r="F138" s="129" t="n"/>
      <c r="G138" s="120" t="n"/>
      <c r="H138" s="122" t="n"/>
      <c r="I138" s="122" t="n"/>
      <c r="J138" s="127">
        <f>IF($A138="","",IFERROR($D138-$C138,0))</f>
        <v/>
      </c>
      <c r="K138" s="121">
        <f>IF($A138="","",IF($H138="Evet",0,$G138))</f>
        <v/>
      </c>
    </row>
    <row r="139" ht="15" customHeight="1" s="78">
      <c r="A139" s="122" t="n"/>
      <c r="B139" s="122" t="n"/>
      <c r="C139" s="128" t="n"/>
      <c r="D139" s="128" t="n"/>
      <c r="E139" s="120" t="n"/>
      <c r="F139" s="129" t="n"/>
      <c r="G139" s="120" t="n"/>
      <c r="H139" s="122" t="n"/>
      <c r="I139" s="122" t="n"/>
      <c r="J139" s="127">
        <f>IF($A139="","",IFERROR($D139-$C139,0))</f>
        <v/>
      </c>
      <c r="K139" s="121">
        <f>IF($A139="","",IF($H139="Evet",0,$G139))</f>
        <v/>
      </c>
    </row>
    <row r="140" ht="15" customHeight="1" s="78">
      <c r="A140" s="122" t="n"/>
      <c r="B140" s="122" t="n"/>
      <c r="C140" s="128" t="n"/>
      <c r="D140" s="128" t="n"/>
      <c r="E140" s="120" t="n"/>
      <c r="F140" s="129" t="n"/>
      <c r="G140" s="120" t="n"/>
      <c r="H140" s="122" t="n"/>
      <c r="I140" s="122" t="n"/>
      <c r="J140" s="127">
        <f>IF($A140="","",IFERROR($D140-$C140,0))</f>
        <v/>
      </c>
      <c r="K140" s="121">
        <f>IF($A140="","",IF($H140="Evet",0,$G140))</f>
        <v/>
      </c>
    </row>
    <row r="141" ht="15" customHeight="1" s="78">
      <c r="A141" s="122" t="n"/>
      <c r="B141" s="122" t="n"/>
      <c r="C141" s="128" t="n"/>
      <c r="D141" s="128" t="n"/>
      <c r="E141" s="120" t="n"/>
      <c r="F141" s="129" t="n"/>
      <c r="G141" s="120" t="n"/>
      <c r="H141" s="122" t="n"/>
      <c r="I141" s="122" t="n"/>
      <c r="J141" s="127">
        <f>IF($A141="","",IFERROR($D141-$C141,0))</f>
        <v/>
      </c>
      <c r="K141" s="121">
        <f>IF($A141="","",IF($H141="Evet",0,$G141))</f>
        <v/>
      </c>
    </row>
    <row r="142" ht="15" customHeight="1" s="78">
      <c r="A142" s="122" t="n"/>
      <c r="B142" s="122" t="n"/>
      <c r="C142" s="128" t="n"/>
      <c r="D142" s="128" t="n"/>
      <c r="E142" s="120" t="n"/>
      <c r="F142" s="129" t="n"/>
      <c r="G142" s="120" t="n"/>
      <c r="H142" s="122" t="n"/>
      <c r="I142" s="122" t="n"/>
      <c r="J142" s="127">
        <f>IF($A142="","",IFERROR($D142-$C142,0))</f>
        <v/>
      </c>
      <c r="K142" s="121">
        <f>IF($A142="","",IF($H142="Evet",0,$G142))</f>
        <v/>
      </c>
    </row>
    <row r="143" ht="15" customHeight="1" s="78">
      <c r="A143" s="122" t="n"/>
      <c r="B143" s="122" t="n"/>
      <c r="C143" s="128" t="n"/>
      <c r="D143" s="128" t="n"/>
      <c r="E143" s="120" t="n"/>
      <c r="F143" s="129" t="n"/>
      <c r="G143" s="120" t="n"/>
      <c r="H143" s="122" t="n"/>
      <c r="I143" s="122" t="n"/>
      <c r="J143" s="127">
        <f>IF($A143="","",IFERROR($D143-$C143,0))</f>
        <v/>
      </c>
      <c r="K143" s="121">
        <f>IF($A143="","",IF($H143="Evet",0,$G143))</f>
        <v/>
      </c>
    </row>
    <row r="144" ht="15" customHeight="1" s="78">
      <c r="A144" s="122" t="n"/>
      <c r="B144" s="122" t="n"/>
      <c r="C144" s="128" t="n"/>
      <c r="D144" s="128" t="n"/>
      <c r="E144" s="120" t="n"/>
      <c r="F144" s="129" t="n"/>
      <c r="G144" s="120" t="n"/>
      <c r="H144" s="122" t="n"/>
      <c r="I144" s="122" t="n"/>
      <c r="J144" s="127">
        <f>IF($A144="","",IFERROR($D144-$C144,0))</f>
        <v/>
      </c>
      <c r="K144" s="121">
        <f>IF($A144="","",IF($H144="Evet",0,$G144))</f>
        <v/>
      </c>
    </row>
    <row r="145" ht="15" customHeight="1" s="78">
      <c r="A145" s="122" t="n"/>
      <c r="B145" s="122" t="n"/>
      <c r="C145" s="128" t="n"/>
      <c r="D145" s="128" t="n"/>
      <c r="E145" s="120" t="n"/>
      <c r="F145" s="129" t="n"/>
      <c r="G145" s="120" t="n"/>
      <c r="H145" s="122" t="n"/>
      <c r="I145" s="122" t="n"/>
      <c r="J145" s="127">
        <f>IF($A145="","",IFERROR($D145-$C145,0))</f>
        <v/>
      </c>
      <c r="K145" s="121">
        <f>IF($A145="","",IF($H145="Evet",0,$G145))</f>
        <v/>
      </c>
    </row>
    <row r="146" ht="15" customHeight="1" s="78">
      <c r="A146" s="122" t="n"/>
      <c r="B146" s="122" t="n"/>
      <c r="C146" s="128" t="n"/>
      <c r="D146" s="128" t="n"/>
      <c r="E146" s="120" t="n"/>
      <c r="F146" s="129" t="n"/>
      <c r="G146" s="120" t="n"/>
      <c r="H146" s="122" t="n"/>
      <c r="I146" s="122" t="n"/>
      <c r="J146" s="127">
        <f>IF($A146="","",IFERROR($D146-$C146,0))</f>
        <v/>
      </c>
      <c r="K146" s="121">
        <f>IF($A146="","",IF($H146="Evet",0,$G146))</f>
        <v/>
      </c>
    </row>
    <row r="147" ht="15" customHeight="1" s="78">
      <c r="A147" s="122" t="n"/>
      <c r="B147" s="122" t="n"/>
      <c r="C147" s="128" t="n"/>
      <c r="D147" s="128" t="n"/>
      <c r="E147" s="120" t="n"/>
      <c r="F147" s="129" t="n"/>
      <c r="G147" s="120" t="n"/>
      <c r="H147" s="122" t="n"/>
      <c r="I147" s="122" t="n"/>
      <c r="J147" s="127">
        <f>IF($A147="","",IFERROR($D147-$C147,0))</f>
        <v/>
      </c>
      <c r="K147" s="121">
        <f>IF($A147="","",IF($H147="Evet",0,$G147))</f>
        <v/>
      </c>
    </row>
    <row r="148" ht="15" customHeight="1" s="78">
      <c r="A148" s="122" t="n"/>
      <c r="B148" s="122" t="n"/>
      <c r="C148" s="128" t="n"/>
      <c r="D148" s="128" t="n"/>
      <c r="E148" s="120" t="n"/>
      <c r="F148" s="129" t="n"/>
      <c r="G148" s="120" t="n"/>
      <c r="H148" s="122" t="n"/>
      <c r="I148" s="122" t="n"/>
      <c r="J148" s="127">
        <f>IF($A148="","",IFERROR($D148-$C148,0))</f>
        <v/>
      </c>
      <c r="K148" s="121">
        <f>IF($A148="","",IF($H148="Evet",0,$G148))</f>
        <v/>
      </c>
    </row>
    <row r="149" ht="15" customHeight="1" s="78">
      <c r="A149" s="122" t="n"/>
      <c r="B149" s="122" t="n"/>
      <c r="C149" s="128" t="n"/>
      <c r="D149" s="128" t="n"/>
      <c r="E149" s="120" t="n"/>
      <c r="F149" s="129" t="n"/>
      <c r="G149" s="120" t="n"/>
      <c r="H149" s="122" t="n"/>
      <c r="I149" s="122" t="n"/>
      <c r="J149" s="127">
        <f>IF($A149="","",IFERROR($D149-$C149,0))</f>
        <v/>
      </c>
      <c r="K149" s="121">
        <f>IF($A149="","",IF($H149="Evet",0,$G149))</f>
        <v/>
      </c>
    </row>
    <row r="150" ht="15" customHeight="1" s="78">
      <c r="A150" s="122" t="n"/>
      <c r="B150" s="122" t="n"/>
      <c r="C150" s="128" t="n"/>
      <c r="D150" s="128" t="n"/>
      <c r="E150" s="120" t="n"/>
      <c r="F150" s="129" t="n"/>
      <c r="G150" s="120" t="n"/>
      <c r="H150" s="122" t="n"/>
      <c r="I150" s="122" t="n"/>
      <c r="J150" s="127">
        <f>IF($A150="","",IFERROR($D150-$C150,0))</f>
        <v/>
      </c>
      <c r="K150" s="121">
        <f>IF($A150="","",IF($H150="Evet",0,$G150))</f>
        <v/>
      </c>
    </row>
    <row r="151" ht="15" customHeight="1" s="78">
      <c r="A151" s="122" t="n"/>
      <c r="B151" s="122" t="n"/>
      <c r="C151" s="128" t="n"/>
      <c r="D151" s="128" t="n"/>
      <c r="E151" s="120" t="n"/>
      <c r="F151" s="129" t="n"/>
      <c r="G151" s="120" t="n"/>
      <c r="H151" s="122" t="n"/>
      <c r="I151" s="122" t="n"/>
      <c r="J151" s="127">
        <f>IF($A151="","",IFERROR($D151-$C151,0))</f>
        <v/>
      </c>
      <c r="K151" s="121">
        <f>IF($A151="","",IF($H151="Evet",0,$G151))</f>
        <v/>
      </c>
    </row>
    <row r="152" ht="15" customHeight="1" s="78">
      <c r="A152" s="122" t="n"/>
      <c r="B152" s="122" t="n"/>
      <c r="C152" s="128" t="n"/>
      <c r="D152" s="128" t="n"/>
      <c r="E152" s="120" t="n"/>
      <c r="F152" s="129" t="n"/>
      <c r="G152" s="120" t="n"/>
      <c r="H152" s="122" t="n"/>
      <c r="I152" s="122" t="n"/>
      <c r="J152" s="127">
        <f>IF($A152="","",IFERROR($D152-$C152,0))</f>
        <v/>
      </c>
      <c r="K152" s="121">
        <f>IF($A152="","",IF($H152="Evet",0,$G152))</f>
        <v/>
      </c>
    </row>
    <row r="153" ht="15" customHeight="1" s="78">
      <c r="A153" s="122" t="n"/>
      <c r="B153" s="122" t="n"/>
      <c r="C153" s="128" t="n"/>
      <c r="D153" s="128" t="n"/>
      <c r="E153" s="120" t="n"/>
      <c r="F153" s="129" t="n"/>
      <c r="G153" s="120" t="n"/>
      <c r="H153" s="122" t="n"/>
      <c r="I153" s="122" t="n"/>
      <c r="J153" s="127">
        <f>IF($A153="","",IFERROR($D153-$C153,0))</f>
        <v/>
      </c>
      <c r="K153" s="121">
        <f>IF($A153="","",IF($H153="Evet",0,$G153))</f>
        <v/>
      </c>
    </row>
    <row r="154" ht="15" customHeight="1" s="78">
      <c r="A154" s="122" t="n"/>
      <c r="B154" s="122" t="n"/>
      <c r="C154" s="128" t="n"/>
      <c r="D154" s="128" t="n"/>
      <c r="E154" s="120" t="n"/>
      <c r="F154" s="129" t="n"/>
      <c r="G154" s="120" t="n"/>
      <c r="H154" s="122" t="n"/>
      <c r="I154" s="122" t="n"/>
      <c r="J154" s="127">
        <f>IF($A154="","",IFERROR($D154-$C154,0))</f>
        <v/>
      </c>
      <c r="K154" s="121">
        <f>IF($A154="","",IF($H154="Evet",0,$G154))</f>
        <v/>
      </c>
    </row>
    <row r="155" ht="15" customHeight="1" s="78">
      <c r="A155" s="122" t="n"/>
      <c r="B155" s="122" t="n"/>
      <c r="C155" s="128" t="n"/>
      <c r="D155" s="128" t="n"/>
      <c r="E155" s="120" t="n"/>
      <c r="F155" s="129" t="n"/>
      <c r="G155" s="120" t="n"/>
      <c r="H155" s="122" t="n"/>
      <c r="I155" s="122" t="n"/>
      <c r="J155" s="127">
        <f>IF($A155="","",IFERROR($D155-$C155,0))</f>
        <v/>
      </c>
      <c r="K155" s="121">
        <f>IF($A155="","",IF($H155="Evet",0,$G155))</f>
        <v/>
      </c>
    </row>
    <row r="156" ht="15" customHeight="1" s="78">
      <c r="A156" s="122" t="n"/>
      <c r="B156" s="122" t="n"/>
      <c r="C156" s="128" t="n"/>
      <c r="D156" s="128" t="n"/>
      <c r="E156" s="120" t="n"/>
      <c r="F156" s="129" t="n"/>
      <c r="G156" s="120" t="n"/>
      <c r="H156" s="122" t="n"/>
      <c r="I156" s="122" t="n"/>
      <c r="J156" s="127">
        <f>IF($A156="","",IFERROR($D156-$C156,0))</f>
        <v/>
      </c>
      <c r="K156" s="121">
        <f>IF($A156="","",IF($H156="Evet",0,$G156))</f>
        <v/>
      </c>
    </row>
    <row r="157" ht="15" customHeight="1" s="78">
      <c r="A157" s="122" t="n"/>
      <c r="B157" s="122" t="n"/>
      <c r="C157" s="128" t="n"/>
      <c r="D157" s="128" t="n"/>
      <c r="E157" s="120" t="n"/>
      <c r="F157" s="129" t="n"/>
      <c r="G157" s="120" t="n"/>
      <c r="H157" s="122" t="n"/>
      <c r="I157" s="122" t="n"/>
      <c r="J157" s="127">
        <f>IF($A157="","",IFERROR($D157-$C157,0))</f>
        <v/>
      </c>
      <c r="K157" s="121">
        <f>IF($A157="","",IF($H157="Evet",0,$G157))</f>
        <v/>
      </c>
    </row>
    <row r="158" ht="15" customHeight="1" s="78">
      <c r="A158" s="122" t="n"/>
      <c r="B158" s="122" t="n"/>
      <c r="C158" s="128" t="n"/>
      <c r="D158" s="128" t="n"/>
      <c r="E158" s="120" t="n"/>
      <c r="F158" s="129" t="n"/>
      <c r="G158" s="120" t="n"/>
      <c r="H158" s="122" t="n"/>
      <c r="I158" s="122" t="n"/>
      <c r="J158" s="127">
        <f>IF($A158="","",IFERROR($D158-$C158,0))</f>
        <v/>
      </c>
      <c r="K158" s="121">
        <f>IF($A158="","",IF($H158="Evet",0,$G158))</f>
        <v/>
      </c>
    </row>
    <row r="159" ht="15" customHeight="1" s="78">
      <c r="A159" s="122" t="n"/>
      <c r="B159" s="122" t="n"/>
      <c r="C159" s="128" t="n"/>
      <c r="D159" s="128" t="n"/>
      <c r="E159" s="120" t="n"/>
      <c r="F159" s="129" t="n"/>
      <c r="G159" s="120" t="n"/>
      <c r="H159" s="122" t="n"/>
      <c r="I159" s="122" t="n"/>
      <c r="J159" s="127">
        <f>IF($A159="","",IFERROR($D159-$C159,0))</f>
        <v/>
      </c>
      <c r="K159" s="121">
        <f>IF($A159="","",IF($H159="Evet",0,$G159))</f>
        <v/>
      </c>
    </row>
    <row r="160" ht="15" customHeight="1" s="78">
      <c r="A160" s="122" t="n"/>
      <c r="B160" s="122" t="n"/>
      <c r="C160" s="128" t="n"/>
      <c r="D160" s="128" t="n"/>
      <c r="E160" s="120" t="n"/>
      <c r="F160" s="129" t="n"/>
      <c r="G160" s="120" t="n"/>
      <c r="H160" s="122" t="n"/>
      <c r="I160" s="122" t="n"/>
      <c r="J160" s="127">
        <f>IF($A160="","",IFERROR($D160-$C160,0))</f>
        <v/>
      </c>
      <c r="K160" s="121">
        <f>IF($A160="","",IF($H160="Evet",0,$G160))</f>
        <v/>
      </c>
    </row>
    <row r="161" ht="15" customHeight="1" s="78">
      <c r="A161" s="122" t="n"/>
      <c r="B161" s="122" t="n"/>
      <c r="C161" s="128" t="n"/>
      <c r="D161" s="128" t="n"/>
      <c r="E161" s="120" t="n"/>
      <c r="F161" s="129" t="n"/>
      <c r="G161" s="120" t="n"/>
      <c r="H161" s="122" t="n"/>
      <c r="I161" s="122" t="n"/>
      <c r="J161" s="127">
        <f>IF($A161="","",IFERROR($D161-$C161,0))</f>
        <v/>
      </c>
      <c r="K161" s="121">
        <f>IF($A161="","",IF($H161="Evet",0,$G161))</f>
        <v/>
      </c>
    </row>
    <row r="162" ht="15" customHeight="1" s="78">
      <c r="A162" s="122" t="n"/>
      <c r="B162" s="122" t="n"/>
      <c r="C162" s="128" t="n"/>
      <c r="D162" s="128" t="n"/>
      <c r="E162" s="120" t="n"/>
      <c r="F162" s="129" t="n"/>
      <c r="G162" s="120" t="n"/>
      <c r="H162" s="122" t="n"/>
      <c r="I162" s="122" t="n"/>
      <c r="J162" s="127">
        <f>IF($A162="","",IFERROR($D162-$C162,0))</f>
        <v/>
      </c>
      <c r="K162" s="121">
        <f>IF($A162="","",IF($H162="Evet",0,$G162))</f>
        <v/>
      </c>
    </row>
    <row r="163" ht="15" customHeight="1" s="78">
      <c r="A163" s="122" t="n"/>
      <c r="B163" s="122" t="n"/>
      <c r="C163" s="128" t="n"/>
      <c r="D163" s="128" t="n"/>
      <c r="E163" s="120" t="n"/>
      <c r="F163" s="129" t="n"/>
      <c r="G163" s="120" t="n"/>
      <c r="H163" s="122" t="n"/>
      <c r="I163" s="122" t="n"/>
      <c r="J163" s="127">
        <f>IF($A163="","",IFERROR($D163-$C163,0))</f>
        <v/>
      </c>
      <c r="K163" s="121">
        <f>IF($A163="","",IF($H163="Evet",0,$G163))</f>
        <v/>
      </c>
    </row>
    <row r="164" ht="15" customHeight="1" s="78">
      <c r="A164" s="122" t="n"/>
      <c r="B164" s="122" t="n"/>
      <c r="C164" s="128" t="n"/>
      <c r="D164" s="128" t="n"/>
      <c r="E164" s="120" t="n"/>
      <c r="F164" s="129" t="n"/>
      <c r="G164" s="120" t="n"/>
      <c r="H164" s="122" t="n"/>
      <c r="I164" s="122" t="n"/>
      <c r="J164" s="127">
        <f>IF($A164="","",IFERROR($D164-$C164,0))</f>
        <v/>
      </c>
      <c r="K164" s="121">
        <f>IF($A164="","",IF($H164="Evet",0,$G164))</f>
        <v/>
      </c>
    </row>
    <row r="165" ht="15" customHeight="1" s="78">
      <c r="A165" s="122" t="n"/>
      <c r="B165" s="122" t="n"/>
      <c r="C165" s="128" t="n"/>
      <c r="D165" s="128" t="n"/>
      <c r="E165" s="120" t="n"/>
      <c r="F165" s="129" t="n"/>
      <c r="G165" s="120" t="n"/>
      <c r="H165" s="122" t="n"/>
      <c r="I165" s="122" t="n"/>
      <c r="J165" s="127">
        <f>IF($A165="","",IFERROR($D165-$C165,0))</f>
        <v/>
      </c>
      <c r="K165" s="121">
        <f>IF($A165="","",IF($H165="Evet",0,$G165))</f>
        <v/>
      </c>
    </row>
    <row r="166" ht="15" customHeight="1" s="78">
      <c r="A166" s="122" t="n"/>
      <c r="B166" s="122" t="n"/>
      <c r="C166" s="128" t="n"/>
      <c r="D166" s="128" t="n"/>
      <c r="E166" s="120" t="n"/>
      <c r="F166" s="129" t="n"/>
      <c r="G166" s="120" t="n"/>
      <c r="H166" s="122" t="n"/>
      <c r="I166" s="122" t="n"/>
      <c r="J166" s="127">
        <f>IF($A166="","",IFERROR($D166-$C166,0))</f>
        <v/>
      </c>
      <c r="K166" s="121">
        <f>IF($A166="","",IF($H166="Evet",0,$G166))</f>
        <v/>
      </c>
    </row>
    <row r="167" ht="15" customHeight="1" s="78">
      <c r="A167" s="122" t="n"/>
      <c r="B167" s="122" t="n"/>
      <c r="C167" s="128" t="n"/>
      <c r="D167" s="128" t="n"/>
      <c r="E167" s="120" t="n"/>
      <c r="F167" s="129" t="n"/>
      <c r="G167" s="120" t="n"/>
      <c r="H167" s="122" t="n"/>
      <c r="I167" s="122" t="n"/>
      <c r="J167" s="127">
        <f>IF($A167="","",IFERROR($D167-$C167,0))</f>
        <v/>
      </c>
      <c r="K167" s="121">
        <f>IF($A167="","",IF($H167="Evet",0,$G167))</f>
        <v/>
      </c>
    </row>
    <row r="168" ht="15" customHeight="1" s="78">
      <c r="A168" s="122" t="n"/>
      <c r="B168" s="122" t="n"/>
      <c r="C168" s="128" t="n"/>
      <c r="D168" s="128" t="n"/>
      <c r="E168" s="120" t="n"/>
      <c r="F168" s="129" t="n"/>
      <c r="G168" s="120" t="n"/>
      <c r="H168" s="122" t="n"/>
      <c r="I168" s="122" t="n"/>
      <c r="J168" s="127">
        <f>IF($A168="","",IFERROR($D168-$C168,0))</f>
        <v/>
      </c>
      <c r="K168" s="121">
        <f>IF($A168="","",IF($H168="Evet",0,$G168))</f>
        <v/>
      </c>
    </row>
    <row r="169" ht="15" customHeight="1" s="78">
      <c r="A169" s="122" t="n"/>
      <c r="B169" s="122" t="n"/>
      <c r="C169" s="128" t="n"/>
      <c r="D169" s="128" t="n"/>
      <c r="E169" s="120" t="n"/>
      <c r="F169" s="129" t="n"/>
      <c r="G169" s="120" t="n"/>
      <c r="H169" s="122" t="n"/>
      <c r="I169" s="122" t="n"/>
      <c r="J169" s="127">
        <f>IF($A169="","",IFERROR($D169-$C169,0))</f>
        <v/>
      </c>
      <c r="K169" s="121">
        <f>IF($A169="","",IF($H169="Evet",0,$G169))</f>
        <v/>
      </c>
    </row>
    <row r="170" ht="15" customHeight="1" s="78">
      <c r="A170" s="122" t="n"/>
      <c r="B170" s="122" t="n"/>
      <c r="C170" s="128" t="n"/>
      <c r="D170" s="128" t="n"/>
      <c r="E170" s="120" t="n"/>
      <c r="F170" s="129" t="n"/>
      <c r="G170" s="120" t="n"/>
      <c r="H170" s="122" t="n"/>
      <c r="I170" s="122" t="n"/>
      <c r="J170" s="127">
        <f>IF($A170="","",IFERROR($D170-$C170,0))</f>
        <v/>
      </c>
      <c r="K170" s="121">
        <f>IF($A170="","",IF($H170="Evet",0,$G170))</f>
        <v/>
      </c>
    </row>
    <row r="171" ht="15" customHeight="1" s="78">
      <c r="A171" s="122" t="n"/>
      <c r="B171" s="122" t="n"/>
      <c r="C171" s="128" t="n"/>
      <c r="D171" s="128" t="n"/>
      <c r="E171" s="120" t="n"/>
      <c r="F171" s="129" t="n"/>
      <c r="G171" s="120" t="n"/>
      <c r="H171" s="122" t="n"/>
      <c r="I171" s="122" t="n"/>
      <c r="J171" s="127">
        <f>IF($A171="","",IFERROR($D171-$C171,0))</f>
        <v/>
      </c>
      <c r="K171" s="121">
        <f>IF($A171="","",IF($H171="Evet",0,$G171))</f>
        <v/>
      </c>
    </row>
    <row r="172" ht="15" customHeight="1" s="78">
      <c r="A172" s="122" t="n"/>
      <c r="B172" s="122" t="n"/>
      <c r="C172" s="128" t="n"/>
      <c r="D172" s="128" t="n"/>
      <c r="E172" s="120" t="n"/>
      <c r="F172" s="129" t="n"/>
      <c r="G172" s="120" t="n"/>
      <c r="H172" s="122" t="n"/>
      <c r="I172" s="122" t="n"/>
      <c r="J172" s="127">
        <f>IF($A172="","",IFERROR($D172-$C172,0))</f>
        <v/>
      </c>
      <c r="K172" s="121">
        <f>IF($A172="","",IF($H172="Evet",0,$G172))</f>
        <v/>
      </c>
    </row>
    <row r="173" ht="15" customHeight="1" s="78">
      <c r="A173" s="122" t="n"/>
      <c r="B173" s="122" t="n"/>
      <c r="C173" s="128" t="n"/>
      <c r="D173" s="128" t="n"/>
      <c r="E173" s="120" t="n"/>
      <c r="F173" s="129" t="n"/>
      <c r="G173" s="120" t="n"/>
      <c r="H173" s="122" t="n"/>
      <c r="I173" s="122" t="n"/>
      <c r="J173" s="127">
        <f>IF($A173="","",IFERROR($D173-$C173,0))</f>
        <v/>
      </c>
      <c r="K173" s="121">
        <f>IF($A173="","",IF($H173="Evet",0,$G173))</f>
        <v/>
      </c>
    </row>
    <row r="174" ht="15" customHeight="1" s="78">
      <c r="A174" s="122" t="n"/>
      <c r="B174" s="122" t="n"/>
      <c r="C174" s="128" t="n"/>
      <c r="D174" s="128" t="n"/>
      <c r="E174" s="120" t="n"/>
      <c r="F174" s="129" t="n"/>
      <c r="G174" s="120" t="n"/>
      <c r="H174" s="122" t="n"/>
      <c r="I174" s="122" t="n"/>
      <c r="J174" s="127">
        <f>IF($A174="","",IFERROR($D174-$C174,0))</f>
        <v/>
      </c>
      <c r="K174" s="121">
        <f>IF($A174="","",IF($H174="Evet",0,$G174))</f>
        <v/>
      </c>
    </row>
    <row r="175" ht="15" customHeight="1" s="78">
      <c r="A175" s="122" t="n"/>
      <c r="B175" s="122" t="n"/>
      <c r="C175" s="128" t="n"/>
      <c r="D175" s="128" t="n"/>
      <c r="E175" s="120" t="n"/>
      <c r="F175" s="129" t="n"/>
      <c r="G175" s="120" t="n"/>
      <c r="H175" s="122" t="n"/>
      <c r="I175" s="122" t="n"/>
      <c r="J175" s="127">
        <f>IF($A175="","",IFERROR($D175-$C175,0))</f>
        <v/>
      </c>
      <c r="K175" s="121">
        <f>IF($A175="","",IF($H175="Evet",0,$G175))</f>
        <v/>
      </c>
    </row>
    <row r="176" ht="15" customHeight="1" s="78">
      <c r="A176" s="122" t="n"/>
      <c r="B176" s="122" t="n"/>
      <c r="C176" s="128" t="n"/>
      <c r="D176" s="128" t="n"/>
      <c r="E176" s="120" t="n"/>
      <c r="F176" s="129" t="n"/>
      <c r="G176" s="120" t="n"/>
      <c r="H176" s="122" t="n"/>
      <c r="I176" s="122" t="n"/>
      <c r="J176" s="127">
        <f>IF($A176="","",IFERROR($D176-$C176,0))</f>
        <v/>
      </c>
      <c r="K176" s="121">
        <f>IF($A176="","",IF($H176="Evet",0,$G176))</f>
        <v/>
      </c>
    </row>
    <row r="177" ht="15" customHeight="1" s="78">
      <c r="A177" s="122" t="n"/>
      <c r="B177" s="122" t="n"/>
      <c r="C177" s="128" t="n"/>
      <c r="D177" s="128" t="n"/>
      <c r="E177" s="120" t="n"/>
      <c r="F177" s="129" t="n"/>
      <c r="G177" s="120" t="n"/>
      <c r="H177" s="122" t="n"/>
      <c r="I177" s="122" t="n"/>
      <c r="J177" s="127">
        <f>IF($A177="","",IFERROR($D177-$C177,0))</f>
        <v/>
      </c>
      <c r="K177" s="121">
        <f>IF($A177="","",IF($H177="Evet",0,$G177))</f>
        <v/>
      </c>
    </row>
    <row r="178" ht="15" customHeight="1" s="78">
      <c r="A178" s="122" t="n"/>
      <c r="B178" s="122" t="n"/>
      <c r="C178" s="128" t="n"/>
      <c r="D178" s="128" t="n"/>
      <c r="E178" s="120" t="n"/>
      <c r="F178" s="129" t="n"/>
      <c r="G178" s="120" t="n"/>
      <c r="H178" s="122" t="n"/>
      <c r="I178" s="122" t="n"/>
      <c r="J178" s="127">
        <f>IF($A178="","",IFERROR($D178-$C178,0))</f>
        <v/>
      </c>
      <c r="K178" s="121">
        <f>IF($A178="","",IF($H178="Evet",0,$G178))</f>
        <v/>
      </c>
    </row>
    <row r="179" ht="15" customHeight="1" s="78">
      <c r="A179" s="122" t="n"/>
      <c r="B179" s="122" t="n"/>
      <c r="C179" s="128" t="n"/>
      <c r="D179" s="128" t="n"/>
      <c r="E179" s="120" t="n"/>
      <c r="F179" s="129" t="n"/>
      <c r="G179" s="120" t="n"/>
      <c r="H179" s="122" t="n"/>
      <c r="I179" s="122" t="n"/>
      <c r="J179" s="127">
        <f>IF($A179="","",IFERROR($D179-$C179,0))</f>
        <v/>
      </c>
      <c r="K179" s="121">
        <f>IF($A179="","",IF($H179="Evet",0,$G179))</f>
        <v/>
      </c>
    </row>
    <row r="180" ht="15" customHeight="1" s="78">
      <c r="A180" s="122" t="n"/>
      <c r="B180" s="122" t="n"/>
      <c r="C180" s="128" t="n"/>
      <c r="D180" s="128" t="n"/>
      <c r="E180" s="120" t="n"/>
      <c r="F180" s="129" t="n"/>
      <c r="G180" s="120" t="n"/>
      <c r="H180" s="122" t="n"/>
      <c r="I180" s="122" t="n"/>
      <c r="J180" s="127">
        <f>IF($A180="","",IFERROR($D180-$C180,0))</f>
        <v/>
      </c>
      <c r="K180" s="121">
        <f>IF($A180="","",IF($H180="Evet",0,$G180))</f>
        <v/>
      </c>
    </row>
    <row r="181" ht="15" customHeight="1" s="78">
      <c r="A181" s="122" t="n"/>
      <c r="B181" s="122" t="n"/>
      <c r="C181" s="128" t="n"/>
      <c r="D181" s="128" t="n"/>
      <c r="E181" s="120" t="n"/>
      <c r="F181" s="129" t="n"/>
      <c r="G181" s="120" t="n"/>
      <c r="H181" s="122" t="n"/>
      <c r="I181" s="122" t="n"/>
      <c r="J181" s="127">
        <f>IF($A181="","",IFERROR($D181-$C181,0))</f>
        <v/>
      </c>
      <c r="K181" s="121">
        <f>IF($A181="","",IF($H181="Evet",0,$G181))</f>
        <v/>
      </c>
    </row>
    <row r="182" ht="15" customHeight="1" s="78">
      <c r="A182" s="122" t="n"/>
      <c r="B182" s="122" t="n"/>
      <c r="C182" s="128" t="n"/>
      <c r="D182" s="128" t="n"/>
      <c r="E182" s="120" t="n"/>
      <c r="F182" s="129" t="n"/>
      <c r="G182" s="120" t="n"/>
      <c r="H182" s="122" t="n"/>
      <c r="I182" s="122" t="n"/>
      <c r="J182" s="127">
        <f>IF($A182="","",IFERROR($D182-$C182,0))</f>
        <v/>
      </c>
      <c r="K182" s="121">
        <f>IF($A182="","",IF($H182="Evet",0,$G182))</f>
        <v/>
      </c>
    </row>
    <row r="183" ht="15" customHeight="1" s="78">
      <c r="A183" s="122" t="n"/>
      <c r="B183" s="122" t="n"/>
      <c r="C183" s="128" t="n"/>
      <c r="D183" s="128" t="n"/>
      <c r="E183" s="120" t="n"/>
      <c r="F183" s="129" t="n"/>
      <c r="G183" s="120" t="n"/>
      <c r="H183" s="122" t="n"/>
      <c r="I183" s="122" t="n"/>
      <c r="J183" s="127">
        <f>IF($A183="","",IFERROR($D183-$C183,0))</f>
        <v/>
      </c>
      <c r="K183" s="121">
        <f>IF($A183="","",IF($H183="Evet",0,$G183))</f>
        <v/>
      </c>
    </row>
    <row r="184" ht="15" customHeight="1" s="78">
      <c r="A184" s="122" t="n"/>
      <c r="B184" s="122" t="n"/>
      <c r="C184" s="128" t="n"/>
      <c r="D184" s="128" t="n"/>
      <c r="E184" s="120" t="n"/>
      <c r="F184" s="129" t="n"/>
      <c r="G184" s="120" t="n"/>
      <c r="H184" s="122" t="n"/>
      <c r="I184" s="122" t="n"/>
      <c r="J184" s="127">
        <f>IF($A184="","",IFERROR($D184-$C184,0))</f>
        <v/>
      </c>
      <c r="K184" s="121">
        <f>IF($A184="","",IF($H184="Evet",0,$G184))</f>
        <v/>
      </c>
    </row>
    <row r="185" ht="15" customHeight="1" s="78">
      <c r="A185" s="122" t="n"/>
      <c r="B185" s="122" t="n"/>
      <c r="C185" s="128" t="n"/>
      <c r="D185" s="128" t="n"/>
      <c r="E185" s="120" t="n"/>
      <c r="F185" s="129" t="n"/>
      <c r="G185" s="120" t="n"/>
      <c r="H185" s="122" t="n"/>
      <c r="I185" s="122" t="n"/>
      <c r="J185" s="127">
        <f>IF($A185="","",IFERROR($D185-$C185,0))</f>
        <v/>
      </c>
      <c r="K185" s="121">
        <f>IF($A185="","",IF($H185="Evet",0,$G185))</f>
        <v/>
      </c>
    </row>
    <row r="186" ht="15" customHeight="1" s="78">
      <c r="A186" s="122" t="n"/>
      <c r="B186" s="122" t="n"/>
      <c r="C186" s="128" t="n"/>
      <c r="D186" s="128" t="n"/>
      <c r="E186" s="120" t="n"/>
      <c r="F186" s="129" t="n"/>
      <c r="G186" s="120" t="n"/>
      <c r="H186" s="122" t="n"/>
      <c r="I186" s="122" t="n"/>
      <c r="J186" s="127">
        <f>IF($A186="","",IFERROR($D186-$C186,0))</f>
        <v/>
      </c>
      <c r="K186" s="121">
        <f>IF($A186="","",IF($H186="Evet",0,$G186))</f>
        <v/>
      </c>
    </row>
    <row r="187" ht="15" customHeight="1" s="78">
      <c r="A187" s="122" t="n"/>
      <c r="B187" s="122" t="n"/>
      <c r="C187" s="128" t="n"/>
      <c r="D187" s="128" t="n"/>
      <c r="E187" s="120" t="n"/>
      <c r="F187" s="129" t="n"/>
      <c r="G187" s="120" t="n"/>
      <c r="H187" s="122" t="n"/>
      <c r="I187" s="122" t="n"/>
      <c r="J187" s="127">
        <f>IF($A187="","",IFERROR($D187-$C187,0))</f>
        <v/>
      </c>
      <c r="K187" s="121">
        <f>IF($A187="","",IF($H187="Evet",0,$G187))</f>
        <v/>
      </c>
    </row>
    <row r="188" ht="15" customHeight="1" s="78">
      <c r="A188" s="122" t="n"/>
      <c r="B188" s="122" t="n"/>
      <c r="C188" s="128" t="n"/>
      <c r="D188" s="128" t="n"/>
      <c r="E188" s="120" t="n"/>
      <c r="F188" s="129" t="n"/>
      <c r="G188" s="120" t="n"/>
      <c r="H188" s="122" t="n"/>
      <c r="I188" s="122" t="n"/>
      <c r="J188" s="127">
        <f>IF($A188="","",IFERROR($D188-$C188,0))</f>
        <v/>
      </c>
      <c r="K188" s="121">
        <f>IF($A188="","",IF($H188="Evet",0,$G188))</f>
        <v/>
      </c>
    </row>
    <row r="189" ht="15" customHeight="1" s="78">
      <c r="A189" s="122" t="n"/>
      <c r="B189" s="122" t="n"/>
      <c r="C189" s="128" t="n"/>
      <c r="D189" s="128" t="n"/>
      <c r="E189" s="120" t="n"/>
      <c r="F189" s="129" t="n"/>
      <c r="G189" s="120" t="n"/>
      <c r="H189" s="122" t="n"/>
      <c r="I189" s="122" t="n"/>
      <c r="J189" s="127">
        <f>IF($A189="","",IFERROR($D189-$C189,0))</f>
        <v/>
      </c>
      <c r="K189" s="121">
        <f>IF($A189="","",IF($H189="Evet",0,$G189))</f>
        <v/>
      </c>
    </row>
    <row r="190" ht="15" customHeight="1" s="78">
      <c r="A190" s="122" t="n"/>
      <c r="B190" s="122" t="n"/>
      <c r="C190" s="128" t="n"/>
      <c r="D190" s="128" t="n"/>
      <c r="E190" s="120" t="n"/>
      <c r="F190" s="129" t="n"/>
      <c r="G190" s="120" t="n"/>
      <c r="H190" s="122" t="n"/>
      <c r="I190" s="122" t="n"/>
      <c r="J190" s="127">
        <f>IF($A190="","",IFERROR($D190-$C190,0))</f>
        <v/>
      </c>
      <c r="K190" s="121">
        <f>IF($A190="","",IF($H190="Evet",0,$G190))</f>
        <v/>
      </c>
    </row>
    <row r="191" ht="15" customHeight="1" s="78">
      <c r="A191" s="122" t="n"/>
      <c r="B191" s="122" t="n"/>
      <c r="C191" s="128" t="n"/>
      <c r="D191" s="128" t="n"/>
      <c r="E191" s="120" t="n"/>
      <c r="F191" s="129" t="n"/>
      <c r="G191" s="120" t="n"/>
      <c r="H191" s="122" t="n"/>
      <c r="I191" s="122" t="n"/>
      <c r="J191" s="127">
        <f>IF($A191="","",IFERROR($D191-$C191,0))</f>
        <v/>
      </c>
      <c r="K191" s="121">
        <f>IF($A191="","",IF($H191="Evet",0,$G191))</f>
        <v/>
      </c>
    </row>
    <row r="192" ht="15" customHeight="1" s="78">
      <c r="A192" s="122" t="n"/>
      <c r="B192" s="122" t="n"/>
      <c r="C192" s="128" t="n"/>
      <c r="D192" s="128" t="n"/>
      <c r="E192" s="120" t="n"/>
      <c r="F192" s="129" t="n"/>
      <c r="G192" s="120" t="n"/>
      <c r="H192" s="122" t="n"/>
      <c r="I192" s="122" t="n"/>
      <c r="J192" s="127">
        <f>IF($A192="","",IFERROR($D192-$C192,0))</f>
        <v/>
      </c>
      <c r="K192" s="121">
        <f>IF($A192="","",IF($H192="Evet",0,$G192))</f>
        <v/>
      </c>
    </row>
    <row r="193" ht="15" customHeight="1" s="78">
      <c r="A193" s="122" t="n"/>
      <c r="B193" s="122" t="n"/>
      <c r="C193" s="128" t="n"/>
      <c r="D193" s="128" t="n"/>
      <c r="E193" s="120" t="n"/>
      <c r="F193" s="129" t="n"/>
      <c r="G193" s="120" t="n"/>
      <c r="H193" s="122" t="n"/>
      <c r="I193" s="122" t="n"/>
      <c r="J193" s="127">
        <f>IF($A193="","",IFERROR($D193-$C193,0))</f>
        <v/>
      </c>
      <c r="K193" s="121">
        <f>IF($A193="","",IF($H193="Evet",0,$G193))</f>
        <v/>
      </c>
    </row>
    <row r="194" ht="15" customHeight="1" s="78">
      <c r="A194" s="122" t="n"/>
      <c r="B194" s="122" t="n"/>
      <c r="C194" s="128" t="n"/>
      <c r="D194" s="128" t="n"/>
      <c r="E194" s="120" t="n"/>
      <c r="F194" s="129" t="n"/>
      <c r="G194" s="120" t="n"/>
      <c r="H194" s="122" t="n"/>
      <c r="I194" s="122" t="n"/>
      <c r="J194" s="127">
        <f>IF($A194="","",IFERROR($D194-$C194,0))</f>
        <v/>
      </c>
      <c r="K194" s="121">
        <f>IF($A194="","",IF($H194="Evet",0,$G194))</f>
        <v/>
      </c>
    </row>
    <row r="195" ht="15" customHeight="1" s="78">
      <c r="A195" s="122" t="n"/>
      <c r="B195" s="122" t="n"/>
      <c r="C195" s="128" t="n"/>
      <c r="D195" s="128" t="n"/>
      <c r="E195" s="120" t="n"/>
      <c r="F195" s="129" t="n"/>
      <c r="G195" s="120" t="n"/>
      <c r="H195" s="122" t="n"/>
      <c r="I195" s="122" t="n"/>
      <c r="J195" s="127">
        <f>IF($A195="","",IFERROR($D195-$C195,0))</f>
        <v/>
      </c>
      <c r="K195" s="121">
        <f>IF($A195="","",IF($H195="Evet",0,$G195))</f>
        <v/>
      </c>
    </row>
    <row r="196" ht="15" customHeight="1" s="78">
      <c r="A196" s="122" t="n"/>
      <c r="B196" s="122" t="n"/>
      <c r="C196" s="128" t="n"/>
      <c r="D196" s="128" t="n"/>
      <c r="E196" s="120" t="n"/>
      <c r="F196" s="129" t="n"/>
      <c r="G196" s="120" t="n"/>
      <c r="H196" s="122" t="n"/>
      <c r="I196" s="122" t="n"/>
      <c r="J196" s="127">
        <f>IF($A196="","",IFERROR($D196-$C196,0))</f>
        <v/>
      </c>
      <c r="K196" s="121">
        <f>IF($A196="","",IF($H196="Evet",0,$G196))</f>
        <v/>
      </c>
    </row>
    <row r="197" ht="15" customHeight="1" s="78">
      <c r="A197" s="122" t="n"/>
      <c r="B197" s="122" t="n"/>
      <c r="C197" s="128" t="n"/>
      <c r="D197" s="128" t="n"/>
      <c r="E197" s="120" t="n"/>
      <c r="F197" s="129" t="n"/>
      <c r="G197" s="120" t="n"/>
      <c r="H197" s="122" t="n"/>
      <c r="I197" s="122" t="n"/>
      <c r="J197" s="127">
        <f>IF($A197="","",IFERROR($D197-$C197,0))</f>
        <v/>
      </c>
      <c r="K197" s="121">
        <f>IF($A197="","",IF($H197="Evet",0,$G197))</f>
        <v/>
      </c>
    </row>
    <row r="198" ht="15" customHeight="1" s="78">
      <c r="A198" s="122" t="n"/>
      <c r="B198" s="122" t="n"/>
      <c r="C198" s="128" t="n"/>
      <c r="D198" s="128" t="n"/>
      <c r="E198" s="120" t="n"/>
      <c r="F198" s="129" t="n"/>
      <c r="G198" s="120" t="n"/>
      <c r="H198" s="122" t="n"/>
      <c r="I198" s="122" t="n"/>
      <c r="J198" s="127">
        <f>IF($A198="","",IFERROR($D198-$C198,0))</f>
        <v/>
      </c>
      <c r="K198" s="121">
        <f>IF($A198="","",IF($H198="Evet",0,$G198))</f>
        <v/>
      </c>
    </row>
    <row r="199" ht="15" customHeight="1" s="78">
      <c r="A199" s="122" t="n"/>
      <c r="B199" s="122" t="n"/>
      <c r="C199" s="128" t="n"/>
      <c r="D199" s="128" t="n"/>
      <c r="E199" s="120" t="n"/>
      <c r="F199" s="129" t="n"/>
      <c r="G199" s="120" t="n"/>
      <c r="H199" s="122" t="n"/>
      <c r="I199" s="122" t="n"/>
      <c r="J199" s="127">
        <f>IF($A199="","",IFERROR($D199-$C199,0))</f>
        <v/>
      </c>
      <c r="K199" s="121">
        <f>IF($A199="","",IF($H199="Evet",0,$G199))</f>
        <v/>
      </c>
    </row>
    <row r="200" ht="15" customHeight="1" s="78">
      <c r="A200" s="122" t="n"/>
      <c r="B200" s="122" t="n"/>
      <c r="C200" s="128" t="n"/>
      <c r="D200" s="128" t="n"/>
      <c r="E200" s="120" t="n"/>
      <c r="F200" s="129" t="n"/>
      <c r="G200" s="120" t="n"/>
      <c r="H200" s="122" t="n"/>
      <c r="I200" s="122" t="n"/>
      <c r="J200" s="127">
        <f>IF($A200="","",IFERROR($D200-$C200,0))</f>
        <v/>
      </c>
      <c r="K200" s="121">
        <f>IF($A200="","",IF($H200="Evet",0,$G200))</f>
        <v/>
      </c>
    </row>
    <row r="201" ht="15" customHeight="1" s="78">
      <c r="A201" s="122" t="n"/>
      <c r="B201" s="122" t="n"/>
      <c r="C201" s="128" t="n"/>
      <c r="D201" s="128" t="n"/>
      <c r="E201" s="120" t="n"/>
      <c r="F201" s="129" t="n"/>
      <c r="G201" s="120" t="n"/>
      <c r="H201" s="122" t="n"/>
      <c r="I201" s="122" t="n"/>
      <c r="J201" s="127">
        <f>IF($A201="","",IFERROR($D201-$C201,0))</f>
        <v/>
      </c>
      <c r="K201" s="121">
        <f>IF($A201="","",IF($H201="Evet",0,$G201))</f>
        <v/>
      </c>
    </row>
    <row r="202" ht="15" customHeight="1" s="78">
      <c r="A202" s="122" t="n"/>
      <c r="B202" s="122" t="n"/>
      <c r="C202" s="128" t="n"/>
      <c r="D202" s="128" t="n"/>
      <c r="E202" s="120" t="n"/>
      <c r="F202" s="129" t="n"/>
      <c r="G202" s="120" t="n"/>
      <c r="H202" s="122" t="n"/>
      <c r="I202" s="122" t="n"/>
      <c r="J202" s="127">
        <f>IF($A202="","",IFERROR($D202-$C202,0))</f>
        <v/>
      </c>
      <c r="K202" s="121">
        <f>IF($A202="","",IF($H202="Evet",0,$G202))</f>
        <v/>
      </c>
    </row>
    <row r="203" ht="15" customHeight="1" s="78">
      <c r="A203" s="122" t="n"/>
      <c r="B203" s="122" t="n"/>
      <c r="C203" s="128" t="n"/>
      <c r="D203" s="128" t="n"/>
      <c r="E203" s="120" t="n"/>
      <c r="F203" s="129" t="n"/>
      <c r="G203" s="120" t="n"/>
      <c r="H203" s="122" t="n"/>
      <c r="I203" s="122" t="n"/>
      <c r="J203" s="127">
        <f>IF($A203="","",IFERROR($D203-$C203,0))</f>
        <v/>
      </c>
      <c r="K203" s="121">
        <f>IF($A203="","",IF($H203="Evet",0,$G203))</f>
        <v/>
      </c>
    </row>
    <row r="204" ht="15" customHeight="1" s="78">
      <c r="A204" s="122" t="n"/>
      <c r="B204" s="122" t="n"/>
      <c r="C204" s="128" t="n"/>
      <c r="D204" s="128" t="n"/>
      <c r="E204" s="120" t="n"/>
      <c r="F204" s="129" t="n"/>
      <c r="G204" s="120" t="n"/>
      <c r="H204" s="122" t="n"/>
      <c r="I204" s="122" t="n"/>
      <c r="J204" s="127">
        <f>IF($A204="","",IFERROR($D204-$C204,0))</f>
        <v/>
      </c>
      <c r="K204" s="121">
        <f>IF($A204="","",IF($H204="Evet",0,$G204))</f>
        <v/>
      </c>
    </row>
    <row r="205" ht="15" customHeight="1" s="78">
      <c r="A205" s="122" t="n"/>
      <c r="B205" s="122" t="n"/>
      <c r="C205" s="128" t="n"/>
      <c r="D205" s="128" t="n"/>
      <c r="E205" s="120" t="n"/>
      <c r="F205" s="129" t="n"/>
      <c r="G205" s="120" t="n"/>
      <c r="H205" s="122" t="n"/>
      <c r="I205" s="122" t="n"/>
      <c r="J205" s="127">
        <f>IF($A205="","",IFERROR($D205-$C205,0))</f>
        <v/>
      </c>
      <c r="K205" s="121">
        <f>IF($A205="","",IF($H205="Evet",0,$G205))</f>
        <v/>
      </c>
    </row>
    <row r="206" ht="15" customHeight="1" s="78">
      <c r="A206" s="122" t="n"/>
      <c r="B206" s="122" t="n"/>
      <c r="C206" s="128" t="n"/>
      <c r="D206" s="128" t="n"/>
      <c r="E206" s="120" t="n"/>
      <c r="F206" s="129" t="n"/>
      <c r="G206" s="120" t="n"/>
      <c r="H206" s="122" t="n"/>
      <c r="I206" s="122" t="n"/>
      <c r="J206" s="127">
        <f>IF($A206="","",IFERROR($D206-$C206,0))</f>
        <v/>
      </c>
      <c r="K206" s="121">
        <f>IF($A206="","",IF($H206="Evet",0,$G206))</f>
        <v/>
      </c>
    </row>
    <row r="207" ht="15" customHeight="1" s="78">
      <c r="A207" s="122" t="n"/>
      <c r="B207" s="122" t="n"/>
      <c r="C207" s="128" t="n"/>
      <c r="D207" s="128" t="n"/>
      <c r="E207" s="120" t="n"/>
      <c r="F207" s="129" t="n"/>
      <c r="G207" s="120" t="n"/>
      <c r="H207" s="122" t="n"/>
      <c r="I207" s="122" t="n"/>
      <c r="J207" s="127">
        <f>IF($A207="","",IFERROR($D207-$C207,0))</f>
        <v/>
      </c>
      <c r="K207" s="121">
        <f>IF($A207="","",IF($H207="Evet",0,$G207))</f>
        <v/>
      </c>
    </row>
    <row r="208" ht="15" customHeight="1" s="78">
      <c r="A208" s="122" t="n"/>
      <c r="B208" s="122" t="n"/>
      <c r="C208" s="128" t="n"/>
      <c r="D208" s="128" t="n"/>
      <c r="E208" s="120" t="n"/>
      <c r="F208" s="129" t="n"/>
      <c r="G208" s="120" t="n"/>
      <c r="H208" s="122" t="n"/>
      <c r="I208" s="122" t="n"/>
      <c r="J208" s="127">
        <f>IF($A208="","",IFERROR($D208-$C208,0))</f>
        <v/>
      </c>
      <c r="K208" s="121">
        <f>IF($A208="","",IF($H208="Evet",0,$G208))</f>
        <v/>
      </c>
    </row>
    <row r="209" ht="15" customHeight="1" s="78">
      <c r="A209" s="122" t="n"/>
      <c r="B209" s="122" t="n"/>
      <c r="C209" s="128" t="n"/>
      <c r="D209" s="128" t="n"/>
      <c r="E209" s="120" t="n"/>
      <c r="F209" s="129" t="n"/>
      <c r="G209" s="120" t="n"/>
      <c r="H209" s="122" t="n"/>
      <c r="I209" s="122" t="n"/>
      <c r="J209" s="127">
        <f>IF($A209="","",IFERROR($D209-$C209,0))</f>
        <v/>
      </c>
      <c r="K209" s="121">
        <f>IF($A209="","",IF($H209="Evet",0,$G209))</f>
        <v/>
      </c>
    </row>
    <row r="210" ht="15" customHeight="1" s="78">
      <c r="A210" s="122" t="n"/>
      <c r="B210" s="122" t="n"/>
      <c r="C210" s="128" t="n"/>
      <c r="D210" s="128" t="n"/>
      <c r="E210" s="120" t="n"/>
      <c r="F210" s="129" t="n"/>
      <c r="G210" s="120" t="n"/>
      <c r="H210" s="122" t="n"/>
      <c r="I210" s="122" t="n"/>
      <c r="J210" s="127">
        <f>IF($A210="","",IFERROR($D210-$C210,0))</f>
        <v/>
      </c>
      <c r="K210" s="121">
        <f>IF($A210="","",IF($H210="Evet",0,$G210))</f>
        <v/>
      </c>
    </row>
    <row r="211" ht="15" customHeight="1" s="78">
      <c r="A211" s="122" t="n"/>
      <c r="B211" s="122" t="n"/>
      <c r="C211" s="128" t="n"/>
      <c r="D211" s="128" t="n"/>
      <c r="E211" s="120" t="n"/>
      <c r="F211" s="129" t="n"/>
      <c r="G211" s="120" t="n"/>
      <c r="H211" s="122" t="n"/>
      <c r="I211" s="122" t="n"/>
      <c r="J211" s="127">
        <f>IF($A211="","",IFERROR($D211-$C211,0))</f>
        <v/>
      </c>
      <c r="K211" s="121">
        <f>IF($A211="","",IF($H211="Evet",0,$G211))</f>
        <v/>
      </c>
    </row>
    <row r="212" ht="15" customHeight="1" s="78">
      <c r="A212" s="122" t="n"/>
      <c r="B212" s="122" t="n"/>
      <c r="C212" s="128" t="n"/>
      <c r="D212" s="128" t="n"/>
      <c r="E212" s="120" t="n"/>
      <c r="F212" s="129" t="n"/>
      <c r="G212" s="120" t="n"/>
      <c r="H212" s="122" t="n"/>
      <c r="I212" s="122" t="n"/>
      <c r="J212" s="127">
        <f>IF($A212="","",IFERROR($D212-$C212,0))</f>
        <v/>
      </c>
      <c r="K212" s="121">
        <f>IF($A212="","",IF($H212="Evet",0,$G212))</f>
        <v/>
      </c>
    </row>
    <row r="213" ht="15" customHeight="1" s="78">
      <c r="A213" s="122" t="n"/>
      <c r="B213" s="122" t="n"/>
      <c r="C213" s="128" t="n"/>
      <c r="D213" s="128" t="n"/>
      <c r="E213" s="120" t="n"/>
      <c r="F213" s="129" t="n"/>
      <c r="G213" s="120" t="n"/>
      <c r="H213" s="122" t="n"/>
      <c r="I213" s="122" t="n"/>
      <c r="J213" s="127">
        <f>IF($A213="","",IFERROR($D213-$C213,0))</f>
        <v/>
      </c>
      <c r="K213" s="121">
        <f>IF($A213="","",IF($H213="Evet",0,$G213))</f>
        <v/>
      </c>
    </row>
    <row r="214" ht="15" customHeight="1" s="78">
      <c r="A214" s="122" t="n"/>
      <c r="B214" s="122" t="n"/>
      <c r="C214" s="128" t="n"/>
      <c r="D214" s="128" t="n"/>
      <c r="E214" s="120" t="n"/>
      <c r="F214" s="129" t="n"/>
      <c r="G214" s="120" t="n"/>
      <c r="H214" s="122" t="n"/>
      <c r="I214" s="122" t="n"/>
      <c r="J214" s="127">
        <f>IF($A214="","",IFERROR($D214-$C214,0))</f>
        <v/>
      </c>
      <c r="K214" s="121">
        <f>IF($A214="","",IF($H214="Evet",0,$G214))</f>
        <v/>
      </c>
    </row>
    <row r="215" ht="15" customHeight="1" s="78">
      <c r="A215" s="122" t="n"/>
      <c r="B215" s="122" t="n"/>
      <c r="C215" s="128" t="n"/>
      <c r="D215" s="128" t="n"/>
      <c r="E215" s="120" t="n"/>
      <c r="F215" s="129" t="n"/>
      <c r="G215" s="120" t="n"/>
      <c r="H215" s="122" t="n"/>
      <c r="I215" s="122" t="n"/>
      <c r="J215" s="127">
        <f>IF($A215="","",IFERROR($D215-$C215,0))</f>
        <v/>
      </c>
      <c r="K215" s="121">
        <f>IF($A215="","",IF($H215="Evet",0,$G215))</f>
        <v/>
      </c>
    </row>
    <row r="216" ht="15" customHeight="1" s="78">
      <c r="A216" s="122" t="n"/>
      <c r="B216" s="122" t="n"/>
      <c r="C216" s="128" t="n"/>
      <c r="D216" s="128" t="n"/>
      <c r="E216" s="120" t="n"/>
      <c r="F216" s="129" t="n"/>
      <c r="G216" s="120" t="n"/>
      <c r="H216" s="122" t="n"/>
      <c r="I216" s="122" t="n"/>
      <c r="J216" s="127">
        <f>IF($A216="","",IFERROR($D216-$C216,0))</f>
        <v/>
      </c>
      <c r="K216" s="121">
        <f>IF($A216="","",IF($H216="Evet",0,$G216))</f>
        <v/>
      </c>
    </row>
    <row r="217" ht="15" customHeight="1" s="78">
      <c r="A217" s="122" t="n"/>
      <c r="B217" s="122" t="n"/>
      <c r="C217" s="128" t="n"/>
      <c r="D217" s="128" t="n"/>
      <c r="E217" s="120" t="n"/>
      <c r="F217" s="129" t="n"/>
      <c r="G217" s="120" t="n"/>
      <c r="H217" s="122" t="n"/>
      <c r="I217" s="122" t="n"/>
      <c r="J217" s="127">
        <f>IF($A217="","",IFERROR($D217-$C217,0))</f>
        <v/>
      </c>
      <c r="K217" s="121">
        <f>IF($A217="","",IF($H217="Evet",0,$G217))</f>
        <v/>
      </c>
    </row>
    <row r="218" ht="15" customHeight="1" s="78">
      <c r="A218" s="122" t="n"/>
      <c r="B218" s="122" t="n"/>
      <c r="C218" s="128" t="n"/>
      <c r="D218" s="128" t="n"/>
      <c r="E218" s="120" t="n"/>
      <c r="F218" s="129" t="n"/>
      <c r="G218" s="120" t="n"/>
      <c r="H218" s="122" t="n"/>
      <c r="I218" s="122" t="n"/>
      <c r="J218" s="127">
        <f>IF($A218="","",IFERROR($D218-$C218,0))</f>
        <v/>
      </c>
      <c r="K218" s="121">
        <f>IF($A218="","",IF($H218="Evet",0,$G218))</f>
        <v/>
      </c>
    </row>
    <row r="219" ht="15" customHeight="1" s="78">
      <c r="A219" s="122" t="n"/>
      <c r="B219" s="122" t="n"/>
      <c r="C219" s="128" t="n"/>
      <c r="D219" s="128" t="n"/>
      <c r="E219" s="120" t="n"/>
      <c r="F219" s="129" t="n"/>
      <c r="G219" s="120" t="n"/>
      <c r="H219" s="122" t="n"/>
      <c r="I219" s="122" t="n"/>
      <c r="J219" s="127">
        <f>IF($A219="","",IFERROR($D219-$C219,0))</f>
        <v/>
      </c>
      <c r="K219" s="121">
        <f>IF($A219="","",IF($H219="Evet",0,$G219))</f>
        <v/>
      </c>
    </row>
    <row r="220" ht="15" customHeight="1" s="78">
      <c r="A220" s="122" t="n"/>
      <c r="B220" s="122" t="n"/>
      <c r="C220" s="128" t="n"/>
      <c r="D220" s="128" t="n"/>
      <c r="E220" s="120" t="n"/>
      <c r="F220" s="129" t="n"/>
      <c r="G220" s="120" t="n"/>
      <c r="H220" s="122" t="n"/>
      <c r="I220" s="122" t="n"/>
      <c r="J220" s="127">
        <f>IF($A220="","",IFERROR($D220-$C220,0))</f>
        <v/>
      </c>
      <c r="K220" s="121">
        <f>IF($A220="","",IF($H220="Evet",0,$G220))</f>
        <v/>
      </c>
    </row>
    <row r="221" ht="15" customHeight="1" s="78">
      <c r="A221" s="122" t="n"/>
      <c r="B221" s="122" t="n"/>
      <c r="C221" s="128" t="n"/>
      <c r="D221" s="128" t="n"/>
      <c r="E221" s="120" t="n"/>
      <c r="F221" s="129" t="n"/>
      <c r="G221" s="120" t="n"/>
      <c r="H221" s="122" t="n"/>
      <c r="I221" s="122" t="n"/>
      <c r="J221" s="127">
        <f>IF($A221="","",IFERROR($D221-$C221,0))</f>
        <v/>
      </c>
      <c r="K221" s="121">
        <f>IF($A221="","",IF($H221="Evet",0,$G221))</f>
        <v/>
      </c>
    </row>
    <row r="222" ht="15" customHeight="1" s="78">
      <c r="A222" s="122" t="n"/>
      <c r="B222" s="122" t="n"/>
      <c r="C222" s="128" t="n"/>
      <c r="D222" s="128" t="n"/>
      <c r="E222" s="120" t="n"/>
      <c r="F222" s="129" t="n"/>
      <c r="G222" s="120" t="n"/>
      <c r="H222" s="122" t="n"/>
      <c r="I222" s="122" t="n"/>
      <c r="J222" s="127">
        <f>IF($A222="","",IFERROR($D222-$C222,0))</f>
        <v/>
      </c>
      <c r="K222" s="121">
        <f>IF($A222="","",IF($H222="Evet",0,$G222))</f>
        <v/>
      </c>
    </row>
    <row r="223" ht="15" customHeight="1" s="78">
      <c r="A223" s="122" t="n"/>
      <c r="B223" s="122" t="n"/>
      <c r="C223" s="128" t="n"/>
      <c r="D223" s="128" t="n"/>
      <c r="E223" s="120" t="n"/>
      <c r="F223" s="129" t="n"/>
      <c r="G223" s="120" t="n"/>
      <c r="H223" s="122" t="n"/>
      <c r="I223" s="122" t="n"/>
      <c r="J223" s="127">
        <f>IF($A223="","",IFERROR($D223-$C223,0))</f>
        <v/>
      </c>
      <c r="K223" s="121">
        <f>IF($A223="","",IF($H223="Evet",0,$G223))</f>
        <v/>
      </c>
    </row>
    <row r="224" ht="15" customHeight="1" s="78">
      <c r="A224" s="122" t="n"/>
      <c r="B224" s="122" t="n"/>
      <c r="C224" s="128" t="n"/>
      <c r="D224" s="128" t="n"/>
      <c r="E224" s="120" t="n"/>
      <c r="F224" s="129" t="n"/>
      <c r="G224" s="120" t="n"/>
      <c r="H224" s="122" t="n"/>
      <c r="I224" s="122" t="n"/>
      <c r="J224" s="127">
        <f>IF($A224="","",IFERROR($D224-$C224,0))</f>
        <v/>
      </c>
      <c r="K224" s="121">
        <f>IF($A224="","",IF($H224="Evet",0,$G224))</f>
        <v/>
      </c>
    </row>
    <row r="225" ht="15" customHeight="1" s="78">
      <c r="A225" s="122" t="n"/>
      <c r="B225" s="122" t="n"/>
      <c r="C225" s="128" t="n"/>
      <c r="D225" s="128" t="n"/>
      <c r="E225" s="120" t="n"/>
      <c r="F225" s="129" t="n"/>
      <c r="G225" s="120" t="n"/>
      <c r="H225" s="122" t="n"/>
      <c r="I225" s="122" t="n"/>
      <c r="J225" s="127">
        <f>IF($A225="","",IFERROR($D225-$C225,0))</f>
        <v/>
      </c>
      <c r="K225" s="121">
        <f>IF($A225="","",IF($H225="Evet",0,$G225))</f>
        <v/>
      </c>
    </row>
    <row r="226" ht="15" customHeight="1" s="78">
      <c r="A226" s="122" t="n"/>
      <c r="B226" s="122" t="n"/>
      <c r="C226" s="128" t="n"/>
      <c r="D226" s="128" t="n"/>
      <c r="E226" s="120" t="n"/>
      <c r="F226" s="129" t="n"/>
      <c r="G226" s="120" t="n"/>
      <c r="H226" s="122" t="n"/>
      <c r="I226" s="122" t="n"/>
      <c r="J226" s="127">
        <f>IF($A226="","",IFERROR($D226-$C226,0))</f>
        <v/>
      </c>
      <c r="K226" s="121">
        <f>IF($A226="","",IF($H226="Evet",0,$G226))</f>
        <v/>
      </c>
    </row>
    <row r="227" ht="15" customHeight="1" s="78">
      <c r="A227" s="122" t="n"/>
      <c r="B227" s="122" t="n"/>
      <c r="C227" s="128" t="n"/>
      <c r="D227" s="128" t="n"/>
      <c r="E227" s="120" t="n"/>
      <c r="F227" s="129" t="n"/>
      <c r="G227" s="120" t="n"/>
      <c r="H227" s="122" t="n"/>
      <c r="I227" s="122" t="n"/>
      <c r="J227" s="127">
        <f>IF($A227="","",IFERROR($D227-$C227,0))</f>
        <v/>
      </c>
      <c r="K227" s="121">
        <f>IF($A227="","",IF($H227="Evet",0,$G227))</f>
        <v/>
      </c>
    </row>
    <row r="228" ht="15" customHeight="1" s="78">
      <c r="A228" s="122" t="n"/>
      <c r="B228" s="122" t="n"/>
      <c r="C228" s="128" t="n"/>
      <c r="D228" s="128" t="n"/>
      <c r="E228" s="120" t="n"/>
      <c r="F228" s="129" t="n"/>
      <c r="G228" s="120" t="n"/>
      <c r="H228" s="122" t="n"/>
      <c r="I228" s="122" t="n"/>
      <c r="J228" s="127">
        <f>IF($A228="","",IFERROR($D228-$C228,0))</f>
        <v/>
      </c>
      <c r="K228" s="121">
        <f>IF($A228="","",IF($H228="Evet",0,$G228))</f>
        <v/>
      </c>
    </row>
    <row r="229" ht="15" customHeight="1" s="78">
      <c r="A229" s="122" t="n"/>
      <c r="B229" s="122" t="n"/>
      <c r="C229" s="128" t="n"/>
      <c r="D229" s="128" t="n"/>
      <c r="E229" s="120" t="n"/>
      <c r="F229" s="129" t="n"/>
      <c r="G229" s="120" t="n"/>
      <c r="H229" s="122" t="n"/>
      <c r="I229" s="122" t="n"/>
      <c r="J229" s="127">
        <f>IF($A229="","",IFERROR($D229-$C229,0))</f>
        <v/>
      </c>
      <c r="K229" s="121">
        <f>IF($A229="","",IF($H229="Evet",0,$G229))</f>
        <v/>
      </c>
    </row>
    <row r="230" ht="15" customHeight="1" s="78">
      <c r="A230" s="122" t="n"/>
      <c r="B230" s="122" t="n"/>
      <c r="C230" s="128" t="n"/>
      <c r="D230" s="128" t="n"/>
      <c r="E230" s="120" t="n"/>
      <c r="F230" s="129" t="n"/>
      <c r="G230" s="120" t="n"/>
      <c r="H230" s="122" t="n"/>
      <c r="I230" s="122" t="n"/>
      <c r="J230" s="127">
        <f>IF($A230="","",IFERROR($D230-$C230,0))</f>
        <v/>
      </c>
      <c r="K230" s="121">
        <f>IF($A230="","",IF($H230="Evet",0,$G230))</f>
        <v/>
      </c>
    </row>
    <row r="231" ht="15" customHeight="1" s="78">
      <c r="A231" s="122" t="n"/>
      <c r="B231" s="122" t="n"/>
      <c r="C231" s="128" t="n"/>
      <c r="D231" s="128" t="n"/>
      <c r="E231" s="120" t="n"/>
      <c r="F231" s="129" t="n"/>
      <c r="G231" s="120" t="n"/>
      <c r="H231" s="122" t="n"/>
      <c r="I231" s="122" t="n"/>
      <c r="J231" s="127">
        <f>IF($A231="","",IFERROR($D231-$C231,0))</f>
        <v/>
      </c>
      <c r="K231" s="121">
        <f>IF($A231="","",IF($H231="Evet",0,$G231))</f>
        <v/>
      </c>
    </row>
    <row r="232" ht="15" customHeight="1" s="78">
      <c r="A232" s="122" t="n"/>
      <c r="B232" s="122" t="n"/>
      <c r="C232" s="128" t="n"/>
      <c r="D232" s="128" t="n"/>
      <c r="E232" s="120" t="n"/>
      <c r="F232" s="129" t="n"/>
      <c r="G232" s="120" t="n"/>
      <c r="H232" s="122" t="n"/>
      <c r="I232" s="122" t="n"/>
      <c r="J232" s="127">
        <f>IF($A232="","",IFERROR($D232-$C232,0))</f>
        <v/>
      </c>
      <c r="K232" s="121">
        <f>IF($A232="","",IF($H232="Evet",0,$G232))</f>
        <v/>
      </c>
    </row>
    <row r="233" ht="15" customHeight="1" s="78">
      <c r="A233" s="122" t="n"/>
      <c r="B233" s="122" t="n"/>
      <c r="C233" s="128" t="n"/>
      <c r="D233" s="128" t="n"/>
      <c r="E233" s="120" t="n"/>
      <c r="F233" s="129" t="n"/>
      <c r="G233" s="120" t="n"/>
      <c r="H233" s="122" t="n"/>
      <c r="I233" s="122" t="n"/>
      <c r="J233" s="127">
        <f>IF($A233="","",IFERROR($D233-$C233,0))</f>
        <v/>
      </c>
      <c r="K233" s="121">
        <f>IF($A233="","",IF($H233="Evet",0,$G233))</f>
        <v/>
      </c>
    </row>
    <row r="234" ht="15" customHeight="1" s="78">
      <c r="A234" s="122" t="n"/>
      <c r="B234" s="122" t="n"/>
      <c r="C234" s="128" t="n"/>
      <c r="D234" s="128" t="n"/>
      <c r="E234" s="120" t="n"/>
      <c r="F234" s="129" t="n"/>
      <c r="G234" s="120" t="n"/>
      <c r="H234" s="122" t="n"/>
      <c r="I234" s="122" t="n"/>
      <c r="J234" s="127">
        <f>IF($A234="","",IFERROR($D234-$C234,0))</f>
        <v/>
      </c>
      <c r="K234" s="121">
        <f>IF($A234="","",IF($H234="Evet",0,$G234))</f>
        <v/>
      </c>
    </row>
    <row r="235" ht="15" customHeight="1" s="78">
      <c r="A235" s="122" t="n"/>
      <c r="B235" s="122" t="n"/>
      <c r="C235" s="128" t="n"/>
      <c r="D235" s="128" t="n"/>
      <c r="E235" s="120" t="n"/>
      <c r="F235" s="129" t="n"/>
      <c r="G235" s="120" t="n"/>
      <c r="H235" s="122" t="n"/>
      <c r="I235" s="122" t="n"/>
      <c r="J235" s="127">
        <f>IF($A235="","",IFERROR($D235-$C235,0))</f>
        <v/>
      </c>
      <c r="K235" s="121">
        <f>IF($A235="","",IF($H235="Evet",0,$G235))</f>
        <v/>
      </c>
    </row>
    <row r="236" ht="15" customHeight="1" s="78">
      <c r="A236" s="122" t="n"/>
      <c r="B236" s="122" t="n"/>
      <c r="C236" s="128" t="n"/>
      <c r="D236" s="128" t="n"/>
      <c r="E236" s="120" t="n"/>
      <c r="F236" s="129" t="n"/>
      <c r="G236" s="120" t="n"/>
      <c r="H236" s="122" t="n"/>
      <c r="I236" s="122" t="n"/>
      <c r="J236" s="127">
        <f>IF($A236="","",IFERROR($D236-$C236,0))</f>
        <v/>
      </c>
      <c r="K236" s="121">
        <f>IF($A236="","",IF($H236="Evet",0,$G236))</f>
        <v/>
      </c>
    </row>
    <row r="237" ht="15" customHeight="1" s="78">
      <c r="A237" s="122" t="n"/>
      <c r="B237" s="122" t="n"/>
      <c r="C237" s="128" t="n"/>
      <c r="D237" s="128" t="n"/>
      <c r="E237" s="120" t="n"/>
      <c r="F237" s="129" t="n"/>
      <c r="G237" s="120" t="n"/>
      <c r="H237" s="122" t="n"/>
      <c r="I237" s="122" t="n"/>
      <c r="J237" s="127">
        <f>IF($A237="","",IFERROR($D237-$C237,0))</f>
        <v/>
      </c>
      <c r="K237" s="121">
        <f>IF($A237="","",IF($H237="Evet",0,$G237))</f>
        <v/>
      </c>
    </row>
    <row r="238" ht="15" customHeight="1" s="78">
      <c r="A238" s="122" t="n"/>
      <c r="B238" s="122" t="n"/>
      <c r="C238" s="128" t="n"/>
      <c r="D238" s="128" t="n"/>
      <c r="E238" s="120" t="n"/>
      <c r="F238" s="129" t="n"/>
      <c r="G238" s="120" t="n"/>
      <c r="H238" s="122" t="n"/>
      <c r="I238" s="122" t="n"/>
      <c r="J238" s="127">
        <f>IF($A238="","",IFERROR($D238-$C238,0))</f>
        <v/>
      </c>
      <c r="K238" s="121">
        <f>IF($A238="","",IF($H238="Evet",0,$G238))</f>
        <v/>
      </c>
    </row>
    <row r="239" ht="15" customHeight="1" s="78">
      <c r="A239" s="122" t="n"/>
      <c r="B239" s="122" t="n"/>
      <c r="C239" s="128" t="n"/>
      <c r="D239" s="128" t="n"/>
      <c r="E239" s="120" t="n"/>
      <c r="F239" s="129" t="n"/>
      <c r="G239" s="120" t="n"/>
      <c r="H239" s="122" t="n"/>
      <c r="I239" s="122" t="n"/>
      <c r="J239" s="127">
        <f>IF($A239="","",IFERROR($D239-$C239,0))</f>
        <v/>
      </c>
      <c r="K239" s="121">
        <f>IF($A239="","",IF($H239="Evet",0,$G239))</f>
        <v/>
      </c>
    </row>
    <row r="240" ht="15" customHeight="1" s="78">
      <c r="A240" s="122" t="n"/>
      <c r="B240" s="122" t="n"/>
      <c r="C240" s="128" t="n"/>
      <c r="D240" s="128" t="n"/>
      <c r="E240" s="120" t="n"/>
      <c r="F240" s="129" t="n"/>
      <c r="G240" s="120" t="n"/>
      <c r="H240" s="122" t="n"/>
      <c r="I240" s="122" t="n"/>
      <c r="J240" s="127">
        <f>IF($A240="","",IFERROR($D240-$C240,0))</f>
        <v/>
      </c>
      <c r="K240" s="121">
        <f>IF($A240="","",IF($H240="Evet",0,$G240))</f>
        <v/>
      </c>
    </row>
    <row r="241" ht="15" customHeight="1" s="78">
      <c r="A241" s="122" t="n"/>
      <c r="B241" s="122" t="n"/>
      <c r="C241" s="128" t="n"/>
      <c r="D241" s="128" t="n"/>
      <c r="E241" s="120" t="n"/>
      <c r="F241" s="129" t="n"/>
      <c r="G241" s="120" t="n"/>
      <c r="H241" s="122" t="n"/>
      <c r="I241" s="122" t="n"/>
      <c r="J241" s="127">
        <f>IF($A241="","",IFERROR($D241-$C241,0))</f>
        <v/>
      </c>
      <c r="K241" s="121">
        <f>IF($A241="","",IF($H241="Evet",0,$G241))</f>
        <v/>
      </c>
    </row>
    <row r="242" ht="15" customHeight="1" s="78">
      <c r="A242" s="122" t="n"/>
      <c r="B242" s="122" t="n"/>
      <c r="C242" s="128" t="n"/>
      <c r="D242" s="128" t="n"/>
      <c r="E242" s="120" t="n"/>
      <c r="F242" s="129" t="n"/>
      <c r="G242" s="120" t="n"/>
      <c r="H242" s="122" t="n"/>
      <c r="I242" s="122" t="n"/>
      <c r="J242" s="127">
        <f>IF($A242="","",IFERROR($D242-$C242,0))</f>
        <v/>
      </c>
      <c r="K242" s="121">
        <f>IF($A242="","",IF($H242="Evet",0,$G242))</f>
        <v/>
      </c>
    </row>
    <row r="243" ht="15" customHeight="1" s="78">
      <c r="A243" s="122" t="n"/>
      <c r="B243" s="122" t="n"/>
      <c r="C243" s="128" t="n"/>
      <c r="D243" s="128" t="n"/>
      <c r="E243" s="120" t="n"/>
      <c r="F243" s="129" t="n"/>
      <c r="G243" s="120" t="n"/>
      <c r="H243" s="122" t="n"/>
      <c r="I243" s="122" t="n"/>
      <c r="J243" s="127">
        <f>IF($A243="","",IFERROR($D243-$C243,0))</f>
        <v/>
      </c>
      <c r="K243" s="121">
        <f>IF($A243="","",IF($H243="Evet",0,$G243))</f>
        <v/>
      </c>
    </row>
    <row r="244" ht="15" customHeight="1" s="78">
      <c r="A244" s="122" t="n"/>
      <c r="B244" s="122" t="n"/>
      <c r="C244" s="128" t="n"/>
      <c r="D244" s="128" t="n"/>
      <c r="E244" s="120" t="n"/>
      <c r="F244" s="129" t="n"/>
      <c r="G244" s="120" t="n"/>
      <c r="H244" s="122" t="n"/>
      <c r="I244" s="122" t="n"/>
      <c r="J244" s="127">
        <f>IF($A244="","",IFERROR($D244-$C244,0))</f>
        <v/>
      </c>
      <c r="K244" s="121">
        <f>IF($A244="","",IF($H244="Evet",0,$G244))</f>
        <v/>
      </c>
    </row>
    <row r="245" ht="15" customHeight="1" s="78">
      <c r="A245" s="122" t="n"/>
      <c r="B245" s="122" t="n"/>
      <c r="C245" s="128" t="n"/>
      <c r="D245" s="128" t="n"/>
      <c r="E245" s="120" t="n"/>
      <c r="F245" s="129" t="n"/>
      <c r="G245" s="120" t="n"/>
      <c r="H245" s="122" t="n"/>
      <c r="I245" s="122" t="n"/>
      <c r="J245" s="127">
        <f>IF($A245="","",IFERROR($D245-$C245,0))</f>
        <v/>
      </c>
      <c r="K245" s="121">
        <f>IF($A245="","",IF($H245="Evet",0,$G245))</f>
        <v/>
      </c>
    </row>
    <row r="246" ht="15" customHeight="1" s="78">
      <c r="A246" s="122" t="n"/>
      <c r="B246" s="122" t="n"/>
      <c r="C246" s="128" t="n"/>
      <c r="D246" s="128" t="n"/>
      <c r="E246" s="120" t="n"/>
      <c r="F246" s="129" t="n"/>
      <c r="G246" s="120" t="n"/>
      <c r="H246" s="122" t="n"/>
      <c r="I246" s="122" t="n"/>
      <c r="J246" s="127">
        <f>IF($A246="","",IFERROR($D246-$C246,0))</f>
        <v/>
      </c>
      <c r="K246" s="121">
        <f>IF($A246="","",IF($H246="Evet",0,$G246))</f>
        <v/>
      </c>
    </row>
    <row r="247" ht="15" customHeight="1" s="78">
      <c r="A247" s="122" t="n"/>
      <c r="B247" s="122" t="n"/>
      <c r="C247" s="128" t="n"/>
      <c r="D247" s="128" t="n"/>
      <c r="E247" s="120" t="n"/>
      <c r="F247" s="129" t="n"/>
      <c r="G247" s="120" t="n"/>
      <c r="H247" s="122" t="n"/>
      <c r="I247" s="122" t="n"/>
      <c r="J247" s="127">
        <f>IF($A247="","",IFERROR($D247-$C247,0))</f>
        <v/>
      </c>
      <c r="K247" s="121">
        <f>IF($A247="","",IF($H247="Evet",0,$G247))</f>
        <v/>
      </c>
    </row>
    <row r="248" ht="15" customHeight="1" s="78">
      <c r="A248" s="122" t="n"/>
      <c r="B248" s="122" t="n"/>
      <c r="C248" s="128" t="n"/>
      <c r="D248" s="128" t="n"/>
      <c r="E248" s="120" t="n"/>
      <c r="F248" s="129" t="n"/>
      <c r="G248" s="120" t="n"/>
      <c r="H248" s="122" t="n"/>
      <c r="I248" s="122" t="n"/>
      <c r="J248" s="127">
        <f>IF($A248="","",IFERROR($D248-$C248,0))</f>
        <v/>
      </c>
      <c r="K248" s="121">
        <f>IF($A248="","",IF($H248="Evet",0,$G248))</f>
        <v/>
      </c>
    </row>
    <row r="249" ht="15" customHeight="1" s="78">
      <c r="A249" s="122" t="n"/>
      <c r="B249" s="122" t="n"/>
      <c r="C249" s="128" t="n"/>
      <c r="D249" s="128" t="n"/>
      <c r="E249" s="120" t="n"/>
      <c r="F249" s="129" t="n"/>
      <c r="G249" s="120" t="n"/>
      <c r="H249" s="122" t="n"/>
      <c r="I249" s="122" t="n"/>
      <c r="J249" s="127">
        <f>IF($A249="","",IFERROR($D249-$C249,0))</f>
        <v/>
      </c>
      <c r="K249" s="121">
        <f>IF($A249="","",IF($H249="Evet",0,$G249))</f>
        <v/>
      </c>
    </row>
    <row r="250" ht="15" customHeight="1" s="78">
      <c r="A250" s="122" t="n"/>
      <c r="B250" s="122" t="n"/>
      <c r="C250" s="128" t="n"/>
      <c r="D250" s="128" t="n"/>
      <c r="E250" s="120" t="n"/>
      <c r="F250" s="129" t="n"/>
      <c r="G250" s="120" t="n"/>
      <c r="H250" s="122" t="n"/>
      <c r="I250" s="122" t="n"/>
      <c r="J250" s="127">
        <f>IF($A250="","",IFERROR($D250-$C250,0))</f>
        <v/>
      </c>
      <c r="K250" s="121">
        <f>IF($A250="","",IF($H250="Evet",0,$G250))</f>
        <v/>
      </c>
    </row>
    <row r="251" ht="15" customHeight="1" s="78">
      <c r="A251" s="122" t="n"/>
      <c r="B251" s="122" t="n"/>
      <c r="C251" s="128" t="n"/>
      <c r="D251" s="128" t="n"/>
      <c r="E251" s="120" t="n"/>
      <c r="F251" s="129" t="n"/>
      <c r="G251" s="120" t="n"/>
      <c r="H251" s="122" t="n"/>
      <c r="I251" s="122" t="n"/>
      <c r="J251" s="127">
        <f>IF($A251="","",IFERROR($D251-$C251,0))</f>
        <v/>
      </c>
      <c r="K251" s="121">
        <f>IF($A251="","",IF($H251="Evet",0,$G251))</f>
        <v/>
      </c>
    </row>
    <row r="252" ht="15" customHeight="1" s="78">
      <c r="A252" s="122" t="n"/>
      <c r="B252" s="122" t="n"/>
      <c r="C252" s="128" t="n"/>
      <c r="D252" s="128" t="n"/>
      <c r="E252" s="120" t="n"/>
      <c r="F252" s="129" t="n"/>
      <c r="G252" s="120" t="n"/>
      <c r="H252" s="122" t="n"/>
      <c r="I252" s="122" t="n"/>
      <c r="J252" s="127">
        <f>IF($A252="","",IFERROR($D252-$C252,0))</f>
        <v/>
      </c>
      <c r="K252" s="121">
        <f>IF($A252="","",IF($H252="Evet",0,$G252))</f>
        <v/>
      </c>
    </row>
    <row r="253" ht="15" customHeight="1" s="78">
      <c r="A253" s="122" t="n"/>
      <c r="B253" s="122" t="n"/>
      <c r="C253" s="128" t="n"/>
      <c r="D253" s="128" t="n"/>
      <c r="E253" s="120" t="n"/>
      <c r="F253" s="129" t="n"/>
      <c r="G253" s="120" t="n"/>
      <c r="H253" s="122" t="n"/>
      <c r="I253" s="122" t="n"/>
      <c r="J253" s="127">
        <f>IF($A253="","",IFERROR($D253-$C253,0))</f>
        <v/>
      </c>
      <c r="K253" s="121">
        <f>IF($A253="","",IF($H253="Evet",0,$G253))</f>
        <v/>
      </c>
    </row>
    <row r="254" ht="15" customHeight="1" s="78">
      <c r="A254" s="122" t="n"/>
      <c r="B254" s="122" t="n"/>
      <c r="C254" s="128" t="n"/>
      <c r="D254" s="128" t="n"/>
      <c r="E254" s="120" t="n"/>
      <c r="F254" s="129" t="n"/>
      <c r="G254" s="120" t="n"/>
      <c r="H254" s="122" t="n"/>
      <c r="I254" s="122" t="n"/>
      <c r="J254" s="127">
        <f>IF($A254="","",IFERROR($D254-$C254,0))</f>
        <v/>
      </c>
      <c r="K254" s="121">
        <f>IF($A254="","",IF($H254="Evet",0,$G254))</f>
        <v/>
      </c>
    </row>
    <row r="255" ht="15" customHeight="1" s="78">
      <c r="A255" s="122" t="n"/>
      <c r="B255" s="122" t="n"/>
      <c r="C255" s="128" t="n"/>
      <c r="D255" s="128" t="n"/>
      <c r="E255" s="120" t="n"/>
      <c r="F255" s="129" t="n"/>
      <c r="G255" s="120" t="n"/>
      <c r="H255" s="122" t="n"/>
      <c r="I255" s="122" t="n"/>
      <c r="J255" s="127">
        <f>IF($A255="","",IFERROR($D255-$C255,0))</f>
        <v/>
      </c>
      <c r="K255" s="121">
        <f>IF($A255="","",IF($H255="Evet",0,$G255))</f>
        <v/>
      </c>
    </row>
    <row r="256" ht="15" customHeight="1" s="78">
      <c r="A256" s="122" t="n"/>
      <c r="B256" s="122" t="n"/>
      <c r="C256" s="128" t="n"/>
      <c r="D256" s="128" t="n"/>
      <c r="E256" s="120" t="n"/>
      <c r="F256" s="129" t="n"/>
      <c r="G256" s="120" t="n"/>
      <c r="H256" s="122" t="n"/>
      <c r="I256" s="122" t="n"/>
      <c r="J256" s="127">
        <f>IF($A256="","",IFERROR($D256-$C256,0))</f>
        <v/>
      </c>
      <c r="K256" s="121">
        <f>IF($A256="","",IF($H256="Evet",0,$G256))</f>
        <v/>
      </c>
    </row>
    <row r="257" ht="15" customHeight="1" s="78">
      <c r="A257" s="122" t="n"/>
      <c r="B257" s="122" t="n"/>
      <c r="C257" s="128" t="n"/>
      <c r="D257" s="128" t="n"/>
      <c r="E257" s="120" t="n"/>
      <c r="F257" s="129" t="n"/>
      <c r="G257" s="120" t="n"/>
      <c r="H257" s="122" t="n"/>
      <c r="I257" s="122" t="n"/>
      <c r="J257" s="127">
        <f>IF($A257="","",IFERROR($D257-$C257,0))</f>
        <v/>
      </c>
      <c r="K257" s="121">
        <f>IF($A257="","",IF($H257="Evet",0,$G257))</f>
        <v/>
      </c>
    </row>
    <row r="258" ht="15" customHeight="1" s="78">
      <c r="A258" s="122" t="n"/>
      <c r="B258" s="122" t="n"/>
      <c r="C258" s="128" t="n"/>
      <c r="D258" s="128" t="n"/>
      <c r="E258" s="120" t="n"/>
      <c r="F258" s="129" t="n"/>
      <c r="G258" s="120" t="n"/>
      <c r="H258" s="122" t="n"/>
      <c r="I258" s="122" t="n"/>
      <c r="J258" s="127">
        <f>IF($A258="","",IFERROR($D258-$C258,0))</f>
        <v/>
      </c>
      <c r="K258" s="121">
        <f>IF($A258="","",IF($H258="Evet",0,$G258))</f>
        <v/>
      </c>
    </row>
    <row r="259" ht="15" customHeight="1" s="78">
      <c r="A259" s="122" t="n"/>
      <c r="B259" s="122" t="n"/>
      <c r="C259" s="128" t="n"/>
      <c r="D259" s="128" t="n"/>
      <c r="E259" s="120" t="n"/>
      <c r="F259" s="129" t="n"/>
      <c r="G259" s="120" t="n"/>
      <c r="H259" s="122" t="n"/>
      <c r="I259" s="122" t="n"/>
      <c r="J259" s="127">
        <f>IF($A259="","",IFERROR($D259-$C259,0))</f>
        <v/>
      </c>
      <c r="K259" s="121">
        <f>IF($A259="","",IF($H259="Evet",0,$G259))</f>
        <v/>
      </c>
    </row>
    <row r="260" ht="15" customHeight="1" s="78">
      <c r="A260" s="122" t="n"/>
      <c r="B260" s="122" t="n"/>
      <c r="C260" s="128" t="n"/>
      <c r="D260" s="128" t="n"/>
      <c r="E260" s="120" t="n"/>
      <c r="F260" s="129" t="n"/>
      <c r="G260" s="120" t="n"/>
      <c r="H260" s="122" t="n"/>
      <c r="I260" s="122" t="n"/>
      <c r="J260" s="127">
        <f>IF($A260="","",IFERROR($D260-$C260,0))</f>
        <v/>
      </c>
      <c r="K260" s="121">
        <f>IF($A260="","",IF($H260="Evet",0,$G260))</f>
        <v/>
      </c>
    </row>
    <row r="261" ht="15" customHeight="1" s="78">
      <c r="A261" s="122" t="n"/>
      <c r="B261" s="122" t="n"/>
      <c r="C261" s="128" t="n"/>
      <c r="D261" s="128" t="n"/>
      <c r="E261" s="120" t="n"/>
      <c r="F261" s="129" t="n"/>
      <c r="G261" s="120" t="n"/>
      <c r="H261" s="122" t="n"/>
      <c r="I261" s="122" t="n"/>
      <c r="J261" s="127">
        <f>IF($A261="","",IFERROR($D261-$C261,0))</f>
        <v/>
      </c>
      <c r="K261" s="121">
        <f>IF($A261="","",IF($H261="Evet",0,$G261))</f>
        <v/>
      </c>
    </row>
    <row r="262" ht="15" customHeight="1" s="78">
      <c r="A262" s="122" t="n"/>
      <c r="B262" s="122" t="n"/>
      <c r="C262" s="128" t="n"/>
      <c r="D262" s="128" t="n"/>
      <c r="E262" s="120" t="n"/>
      <c r="F262" s="129" t="n"/>
      <c r="G262" s="120" t="n"/>
      <c r="H262" s="122" t="n"/>
      <c r="I262" s="122" t="n"/>
      <c r="J262" s="127">
        <f>IF($A262="","",IFERROR($D262-$C262,0))</f>
        <v/>
      </c>
      <c r="K262" s="121">
        <f>IF($A262="","",IF($H262="Evet",0,$G262))</f>
        <v/>
      </c>
    </row>
    <row r="263" ht="15" customHeight="1" s="78">
      <c r="A263" s="122" t="n"/>
      <c r="B263" s="122" t="n"/>
      <c r="C263" s="128" t="n"/>
      <c r="D263" s="128" t="n"/>
      <c r="E263" s="120" t="n"/>
      <c r="F263" s="129" t="n"/>
      <c r="G263" s="120" t="n"/>
      <c r="H263" s="122" t="n"/>
      <c r="I263" s="122" t="n"/>
      <c r="J263" s="127">
        <f>IF($A263="","",IFERROR($D263-$C263,0))</f>
        <v/>
      </c>
      <c r="K263" s="121">
        <f>IF($A263="","",IF($H263="Evet",0,$G263))</f>
        <v/>
      </c>
    </row>
    <row r="264" ht="15" customHeight="1" s="78">
      <c r="A264" s="122" t="n"/>
      <c r="B264" s="122" t="n"/>
      <c r="C264" s="128" t="n"/>
      <c r="D264" s="128" t="n"/>
      <c r="E264" s="120" t="n"/>
      <c r="F264" s="129" t="n"/>
      <c r="G264" s="120" t="n"/>
      <c r="H264" s="122" t="n"/>
      <c r="I264" s="122" t="n"/>
      <c r="J264" s="127">
        <f>IF($A264="","",IFERROR($D264-$C264,0))</f>
        <v/>
      </c>
      <c r="K264" s="121">
        <f>IF($A264="","",IF($H264="Evet",0,$G264))</f>
        <v/>
      </c>
    </row>
    <row r="265" ht="15" customHeight="1" s="78">
      <c r="A265" s="122" t="n"/>
      <c r="B265" s="122" t="n"/>
      <c r="C265" s="128" t="n"/>
      <c r="D265" s="128" t="n"/>
      <c r="E265" s="120" t="n"/>
      <c r="F265" s="129" t="n"/>
      <c r="G265" s="120" t="n"/>
      <c r="H265" s="122" t="n"/>
      <c r="I265" s="122" t="n"/>
      <c r="J265" s="127">
        <f>IF($A265="","",IFERROR($D265-$C265,0))</f>
        <v/>
      </c>
      <c r="K265" s="121">
        <f>IF($A265="","",IF($H265="Evet",0,$G265))</f>
        <v/>
      </c>
    </row>
    <row r="266" ht="15" customHeight="1" s="78">
      <c r="A266" s="122" t="n"/>
      <c r="B266" s="122" t="n"/>
      <c r="C266" s="128" t="n"/>
      <c r="D266" s="128" t="n"/>
      <c r="E266" s="120" t="n"/>
      <c r="F266" s="129" t="n"/>
      <c r="G266" s="120" t="n"/>
      <c r="H266" s="122" t="n"/>
      <c r="I266" s="122" t="n"/>
      <c r="J266" s="127">
        <f>IF($A266="","",IFERROR($D266-$C266,0))</f>
        <v/>
      </c>
      <c r="K266" s="121">
        <f>IF($A266="","",IF($H266="Evet",0,$G266))</f>
        <v/>
      </c>
    </row>
    <row r="267" ht="15" customHeight="1" s="78">
      <c r="A267" s="122" t="n"/>
      <c r="B267" s="122" t="n"/>
      <c r="C267" s="128" t="n"/>
      <c r="D267" s="128" t="n"/>
      <c r="E267" s="120" t="n"/>
      <c r="F267" s="129" t="n"/>
      <c r="G267" s="120" t="n"/>
      <c r="H267" s="122" t="n"/>
      <c r="I267" s="122" t="n"/>
      <c r="J267" s="127">
        <f>IF($A267="","",IFERROR($D267-$C267,0))</f>
        <v/>
      </c>
      <c r="K267" s="121">
        <f>IF($A267="","",IF($H267="Evet",0,$G267))</f>
        <v/>
      </c>
    </row>
    <row r="268" ht="15" customHeight="1" s="78">
      <c r="A268" s="122" t="n"/>
      <c r="B268" s="122" t="n"/>
      <c r="C268" s="128" t="n"/>
      <c r="D268" s="128" t="n"/>
      <c r="E268" s="120" t="n"/>
      <c r="F268" s="129" t="n"/>
      <c r="G268" s="120" t="n"/>
      <c r="H268" s="122" t="n"/>
      <c r="I268" s="122" t="n"/>
      <c r="J268" s="127">
        <f>IF($A268="","",IFERROR($D268-$C268,0))</f>
        <v/>
      </c>
      <c r="K268" s="121">
        <f>IF($A268="","",IF($H268="Evet",0,$G268))</f>
        <v/>
      </c>
    </row>
    <row r="269" ht="15" customHeight="1" s="78">
      <c r="A269" s="122" t="n"/>
      <c r="B269" s="122" t="n"/>
      <c r="C269" s="128" t="n"/>
      <c r="D269" s="128" t="n"/>
      <c r="E269" s="120" t="n"/>
      <c r="F269" s="129" t="n"/>
      <c r="G269" s="120" t="n"/>
      <c r="H269" s="122" t="n"/>
      <c r="I269" s="122" t="n"/>
      <c r="J269" s="127">
        <f>IF($A269="","",IFERROR($D269-$C269,0))</f>
        <v/>
      </c>
      <c r="K269" s="121">
        <f>IF($A269="","",IF($H269="Evet",0,$G269))</f>
        <v/>
      </c>
    </row>
    <row r="270" ht="15" customHeight="1" s="78">
      <c r="A270" s="122" t="n"/>
      <c r="B270" s="122" t="n"/>
      <c r="C270" s="128" t="n"/>
      <c r="D270" s="128" t="n"/>
      <c r="E270" s="120" t="n"/>
      <c r="F270" s="129" t="n"/>
      <c r="G270" s="120" t="n"/>
      <c r="H270" s="122" t="n"/>
      <c r="I270" s="122" t="n"/>
      <c r="J270" s="127">
        <f>IF($A270="","",IFERROR($D270-$C270,0))</f>
        <v/>
      </c>
      <c r="K270" s="121">
        <f>IF($A270="","",IF($H270="Evet",0,$G270))</f>
        <v/>
      </c>
    </row>
    <row r="271" ht="15" customHeight="1" s="78">
      <c r="A271" s="122" t="n"/>
      <c r="B271" s="122" t="n"/>
      <c r="C271" s="128" t="n"/>
      <c r="D271" s="128" t="n"/>
      <c r="E271" s="120" t="n"/>
      <c r="F271" s="129" t="n"/>
      <c r="G271" s="120" t="n"/>
      <c r="H271" s="122" t="n"/>
      <c r="I271" s="122" t="n"/>
      <c r="J271" s="127">
        <f>IF($A271="","",IFERROR($D271-$C271,0))</f>
        <v/>
      </c>
      <c r="K271" s="121">
        <f>IF($A271="","",IF($H271="Evet",0,$G271))</f>
        <v/>
      </c>
    </row>
    <row r="272" ht="15" customHeight="1" s="78">
      <c r="A272" s="122" t="n"/>
      <c r="B272" s="122" t="n"/>
      <c r="C272" s="128" t="n"/>
      <c r="D272" s="128" t="n"/>
      <c r="E272" s="120" t="n"/>
      <c r="F272" s="129" t="n"/>
      <c r="G272" s="120" t="n"/>
      <c r="H272" s="122" t="n"/>
      <c r="I272" s="122" t="n"/>
      <c r="J272" s="127">
        <f>IF($A272="","",IFERROR($D272-$C272,0))</f>
        <v/>
      </c>
      <c r="K272" s="121">
        <f>IF($A272="","",IF($H272="Evet",0,$G272))</f>
        <v/>
      </c>
    </row>
    <row r="273" ht="15" customHeight="1" s="78">
      <c r="A273" s="122" t="n"/>
      <c r="B273" s="122" t="n"/>
      <c r="C273" s="128" t="n"/>
      <c r="D273" s="128" t="n"/>
      <c r="E273" s="120" t="n"/>
      <c r="F273" s="129" t="n"/>
      <c r="G273" s="120" t="n"/>
      <c r="H273" s="122" t="n"/>
      <c r="I273" s="122" t="n"/>
      <c r="J273" s="127">
        <f>IF($A273="","",IFERROR($D273-$C273,0))</f>
        <v/>
      </c>
      <c r="K273" s="121">
        <f>IF($A273="","",IF($H273="Evet",0,$G273))</f>
        <v/>
      </c>
    </row>
    <row r="274" ht="15" customHeight="1" s="78">
      <c r="A274" s="122" t="n"/>
      <c r="B274" s="122" t="n"/>
      <c r="C274" s="128" t="n"/>
      <c r="D274" s="128" t="n"/>
      <c r="E274" s="120" t="n"/>
      <c r="F274" s="129" t="n"/>
      <c r="G274" s="120" t="n"/>
      <c r="H274" s="122" t="n"/>
      <c r="I274" s="122" t="n"/>
      <c r="J274" s="127">
        <f>IF($A274="","",IFERROR($D274-$C274,0))</f>
        <v/>
      </c>
      <c r="K274" s="121">
        <f>IF($A274="","",IF($H274="Evet",0,$G274))</f>
        <v/>
      </c>
    </row>
    <row r="275" ht="15" customHeight="1" s="78">
      <c r="A275" s="122" t="n"/>
      <c r="B275" s="122" t="n"/>
      <c r="C275" s="128" t="n"/>
      <c r="D275" s="128" t="n"/>
      <c r="E275" s="120" t="n"/>
      <c r="F275" s="129" t="n"/>
      <c r="G275" s="120" t="n"/>
      <c r="H275" s="122" t="n"/>
      <c r="I275" s="122" t="n"/>
      <c r="J275" s="127">
        <f>IF($A275="","",IFERROR($D275-$C275,0))</f>
        <v/>
      </c>
      <c r="K275" s="121">
        <f>IF($A275="","",IF($H275="Evet",0,$G275))</f>
        <v/>
      </c>
    </row>
    <row r="276" ht="15" customHeight="1" s="78">
      <c r="A276" s="122" t="n"/>
      <c r="B276" s="122" t="n"/>
      <c r="C276" s="128" t="n"/>
      <c r="D276" s="128" t="n"/>
      <c r="E276" s="120" t="n"/>
      <c r="F276" s="129" t="n"/>
      <c r="G276" s="120" t="n"/>
      <c r="H276" s="122" t="n"/>
      <c r="I276" s="122" t="n"/>
      <c r="J276" s="127">
        <f>IF($A276="","",IFERROR($D276-$C276,0))</f>
        <v/>
      </c>
      <c r="K276" s="121">
        <f>IF($A276="","",IF($H276="Evet",0,$G276))</f>
        <v/>
      </c>
    </row>
    <row r="277" ht="15" customHeight="1" s="78">
      <c r="A277" s="122" t="n"/>
      <c r="B277" s="122" t="n"/>
      <c r="C277" s="128" t="n"/>
      <c r="D277" s="128" t="n"/>
      <c r="E277" s="120" t="n"/>
      <c r="F277" s="129" t="n"/>
      <c r="G277" s="120" t="n"/>
      <c r="H277" s="122" t="n"/>
      <c r="I277" s="122" t="n"/>
      <c r="J277" s="127">
        <f>IF($A277="","",IFERROR($D277-$C277,0))</f>
        <v/>
      </c>
      <c r="K277" s="121">
        <f>IF($A277="","",IF($H277="Evet",0,$G277))</f>
        <v/>
      </c>
    </row>
    <row r="278" ht="15" customHeight="1" s="78">
      <c r="A278" s="122" t="n"/>
      <c r="B278" s="122" t="n"/>
      <c r="C278" s="128" t="n"/>
      <c r="D278" s="128" t="n"/>
      <c r="E278" s="120" t="n"/>
      <c r="F278" s="129" t="n"/>
      <c r="G278" s="120" t="n"/>
      <c r="H278" s="122" t="n"/>
      <c r="I278" s="122" t="n"/>
      <c r="J278" s="127">
        <f>IF($A278="","",IFERROR($D278-$C278,0))</f>
        <v/>
      </c>
      <c r="K278" s="121">
        <f>IF($A278="","",IF($H278="Evet",0,$G278))</f>
        <v/>
      </c>
    </row>
    <row r="279" ht="15" customHeight="1" s="78">
      <c r="A279" s="122" t="n"/>
      <c r="B279" s="122" t="n"/>
      <c r="C279" s="128" t="n"/>
      <c r="D279" s="128" t="n"/>
      <c r="E279" s="120" t="n"/>
      <c r="F279" s="129" t="n"/>
      <c r="G279" s="120" t="n"/>
      <c r="H279" s="122" t="n"/>
      <c r="I279" s="122" t="n"/>
      <c r="J279" s="127">
        <f>IF($A279="","",IFERROR($D279-$C279,0))</f>
        <v/>
      </c>
      <c r="K279" s="121">
        <f>IF($A279="","",IF($H279="Evet",0,$G279))</f>
        <v/>
      </c>
    </row>
    <row r="280" ht="15" customHeight="1" s="78">
      <c r="A280" s="122" t="n"/>
      <c r="B280" s="122" t="n"/>
      <c r="C280" s="128" t="n"/>
      <c r="D280" s="128" t="n"/>
      <c r="E280" s="120" t="n"/>
      <c r="F280" s="129" t="n"/>
      <c r="G280" s="120" t="n"/>
      <c r="H280" s="122" t="n"/>
      <c r="I280" s="122" t="n"/>
      <c r="J280" s="127">
        <f>IF($A280="","",IFERROR($D280-$C280,0))</f>
        <v/>
      </c>
      <c r="K280" s="121">
        <f>IF($A280="","",IF($H280="Evet",0,$G280))</f>
        <v/>
      </c>
    </row>
    <row r="281" ht="15" customHeight="1" s="78">
      <c r="A281" s="122" t="n"/>
      <c r="B281" s="122" t="n"/>
      <c r="C281" s="128" t="n"/>
      <c r="D281" s="128" t="n"/>
      <c r="E281" s="120" t="n"/>
      <c r="F281" s="129" t="n"/>
      <c r="G281" s="120" t="n"/>
      <c r="H281" s="122" t="n"/>
      <c r="I281" s="122" t="n"/>
      <c r="J281" s="127">
        <f>IF($A281="","",IFERROR($D281-$C281,0))</f>
        <v/>
      </c>
      <c r="K281" s="121">
        <f>IF($A281="","",IF($H281="Evet",0,$G281))</f>
        <v/>
      </c>
    </row>
    <row r="282" ht="15" customHeight="1" s="78">
      <c r="A282" s="122" t="n"/>
      <c r="B282" s="122" t="n"/>
      <c r="C282" s="128" t="n"/>
      <c r="D282" s="128" t="n"/>
      <c r="E282" s="120" t="n"/>
      <c r="F282" s="129" t="n"/>
      <c r="G282" s="120" t="n"/>
      <c r="H282" s="122" t="n"/>
      <c r="I282" s="122" t="n"/>
      <c r="J282" s="127">
        <f>IF($A282="","",IFERROR($D282-$C282,0))</f>
        <v/>
      </c>
      <c r="K282" s="121">
        <f>IF($A282="","",IF($H282="Evet",0,$G282))</f>
        <v/>
      </c>
    </row>
    <row r="283" ht="15" customHeight="1" s="78">
      <c r="A283" s="122" t="n"/>
      <c r="B283" s="122" t="n"/>
      <c r="C283" s="128" t="n"/>
      <c r="D283" s="128" t="n"/>
      <c r="E283" s="120" t="n"/>
      <c r="F283" s="129" t="n"/>
      <c r="G283" s="120" t="n"/>
      <c r="H283" s="122" t="n"/>
      <c r="I283" s="122" t="n"/>
      <c r="J283" s="127">
        <f>IF($A283="","",IFERROR($D283-$C283,0))</f>
        <v/>
      </c>
      <c r="K283" s="121">
        <f>IF($A283="","",IF($H283="Evet",0,$G283))</f>
        <v/>
      </c>
    </row>
    <row r="284" ht="15" customHeight="1" s="78">
      <c r="A284" s="122" t="n"/>
      <c r="B284" s="122" t="n"/>
      <c r="C284" s="128" t="n"/>
      <c r="D284" s="128" t="n"/>
      <c r="E284" s="120" t="n"/>
      <c r="F284" s="129" t="n"/>
      <c r="G284" s="120" t="n"/>
      <c r="H284" s="122" t="n"/>
      <c r="I284" s="122" t="n"/>
      <c r="J284" s="127">
        <f>IF($A284="","",IFERROR($D284-$C284,0))</f>
        <v/>
      </c>
      <c r="K284" s="121">
        <f>IF($A284="","",IF($H284="Evet",0,$G284))</f>
        <v/>
      </c>
    </row>
    <row r="285" ht="15" customHeight="1" s="78">
      <c r="A285" s="122" t="n"/>
      <c r="B285" s="122" t="n"/>
      <c r="C285" s="128" t="n"/>
      <c r="D285" s="128" t="n"/>
      <c r="E285" s="120" t="n"/>
      <c r="F285" s="129" t="n"/>
      <c r="G285" s="120" t="n"/>
      <c r="H285" s="122" t="n"/>
      <c r="I285" s="122" t="n"/>
      <c r="J285" s="127">
        <f>IF($A285="","",IFERROR($D285-$C285,0))</f>
        <v/>
      </c>
      <c r="K285" s="121">
        <f>IF($A285="","",IF($H285="Evet",0,$G285))</f>
        <v/>
      </c>
    </row>
    <row r="286" ht="15" customHeight="1" s="78">
      <c r="A286" s="122" t="n"/>
      <c r="B286" s="122" t="n"/>
      <c r="C286" s="128" t="n"/>
      <c r="D286" s="128" t="n"/>
      <c r="E286" s="120" t="n"/>
      <c r="F286" s="129" t="n"/>
      <c r="G286" s="120" t="n"/>
      <c r="H286" s="122" t="n"/>
      <c r="I286" s="122" t="n"/>
      <c r="J286" s="127">
        <f>IF($A286="","",IFERROR($D286-$C286,0))</f>
        <v/>
      </c>
      <c r="K286" s="121">
        <f>IF($A286="","",IF($H286="Evet",0,$G286))</f>
        <v/>
      </c>
    </row>
    <row r="287" ht="15" customHeight="1" s="78">
      <c r="A287" s="122" t="n"/>
      <c r="B287" s="122" t="n"/>
      <c r="C287" s="128" t="n"/>
      <c r="D287" s="128" t="n"/>
      <c r="E287" s="120" t="n"/>
      <c r="F287" s="129" t="n"/>
      <c r="G287" s="120" t="n"/>
      <c r="H287" s="122" t="n"/>
      <c r="I287" s="122" t="n"/>
      <c r="J287" s="127">
        <f>IF($A287="","",IFERROR($D287-$C287,0))</f>
        <v/>
      </c>
      <c r="K287" s="121">
        <f>IF($A287="","",IF($H287="Evet",0,$G287))</f>
        <v/>
      </c>
    </row>
    <row r="288" ht="15" customHeight="1" s="78">
      <c r="A288" s="122" t="n"/>
      <c r="B288" s="122" t="n"/>
      <c r="C288" s="128" t="n"/>
      <c r="D288" s="128" t="n"/>
      <c r="E288" s="120" t="n"/>
      <c r="F288" s="129" t="n"/>
      <c r="G288" s="120" t="n"/>
      <c r="H288" s="122" t="n"/>
      <c r="I288" s="122" t="n"/>
      <c r="J288" s="127">
        <f>IF($A288="","",IFERROR($D288-$C288,0))</f>
        <v/>
      </c>
      <c r="K288" s="121">
        <f>IF($A288="","",IF($H288="Evet",0,$G288))</f>
        <v/>
      </c>
    </row>
    <row r="289" ht="15" customHeight="1" s="78">
      <c r="A289" s="122" t="n"/>
      <c r="B289" s="122" t="n"/>
      <c r="C289" s="128" t="n"/>
      <c r="D289" s="128" t="n"/>
      <c r="E289" s="120" t="n"/>
      <c r="F289" s="129" t="n"/>
      <c r="G289" s="120" t="n"/>
      <c r="H289" s="122" t="n"/>
      <c r="I289" s="122" t="n"/>
      <c r="J289" s="127">
        <f>IF($A289="","",IFERROR($D289-$C289,0))</f>
        <v/>
      </c>
      <c r="K289" s="121">
        <f>IF($A289="","",IF($H289="Evet",0,$G289))</f>
        <v/>
      </c>
    </row>
    <row r="290" ht="15" customHeight="1" s="78">
      <c r="A290" s="122" t="n"/>
      <c r="B290" s="122" t="n"/>
      <c r="C290" s="128" t="n"/>
      <c r="D290" s="128" t="n"/>
      <c r="E290" s="120" t="n"/>
      <c r="F290" s="129" t="n"/>
      <c r="G290" s="120" t="n"/>
      <c r="H290" s="122" t="n"/>
      <c r="I290" s="122" t="n"/>
      <c r="J290" s="127">
        <f>IF($A290="","",IFERROR($D290-$C290,0))</f>
        <v/>
      </c>
      <c r="K290" s="121">
        <f>IF($A290="","",IF($H290="Evet",0,$G290))</f>
        <v/>
      </c>
    </row>
    <row r="291" ht="15" customHeight="1" s="78">
      <c r="A291" s="122" t="n"/>
      <c r="B291" s="122" t="n"/>
      <c r="C291" s="128" t="n"/>
      <c r="D291" s="128" t="n"/>
      <c r="E291" s="120" t="n"/>
      <c r="F291" s="129" t="n"/>
      <c r="G291" s="120" t="n"/>
      <c r="H291" s="122" t="n"/>
      <c r="I291" s="122" t="n"/>
      <c r="J291" s="127">
        <f>IF($A291="","",IFERROR($D291-$C291,0))</f>
        <v/>
      </c>
      <c r="K291" s="121">
        <f>IF($A291="","",IF($H291="Evet",0,$G291))</f>
        <v/>
      </c>
    </row>
    <row r="292" ht="15" customHeight="1" s="78">
      <c r="A292" s="122" t="n"/>
      <c r="B292" s="122" t="n"/>
      <c r="C292" s="128" t="n"/>
      <c r="D292" s="128" t="n"/>
      <c r="E292" s="120" t="n"/>
      <c r="F292" s="129" t="n"/>
      <c r="G292" s="120" t="n"/>
      <c r="H292" s="122" t="n"/>
      <c r="I292" s="122" t="n"/>
      <c r="J292" s="127">
        <f>IF($A292="","",IFERROR($D292-$C292,0))</f>
        <v/>
      </c>
      <c r="K292" s="121">
        <f>IF($A292="","",IF($H292="Evet",0,$G292))</f>
        <v/>
      </c>
    </row>
    <row r="293" ht="15" customHeight="1" s="78">
      <c r="A293" s="122" t="n"/>
      <c r="B293" s="122" t="n"/>
      <c r="C293" s="128" t="n"/>
      <c r="D293" s="128" t="n"/>
      <c r="E293" s="120" t="n"/>
      <c r="F293" s="129" t="n"/>
      <c r="G293" s="120" t="n"/>
      <c r="H293" s="122" t="n"/>
      <c r="I293" s="122" t="n"/>
      <c r="J293" s="127">
        <f>IF($A293="","",IFERROR($D293-$C293,0))</f>
        <v/>
      </c>
      <c r="K293" s="121">
        <f>IF($A293="","",IF($H293="Evet",0,$G293))</f>
        <v/>
      </c>
    </row>
    <row r="294" ht="15" customHeight="1" s="78">
      <c r="A294" s="122" t="n"/>
      <c r="B294" s="122" t="n"/>
      <c r="C294" s="128" t="n"/>
      <c r="D294" s="128" t="n"/>
      <c r="E294" s="120" t="n"/>
      <c r="F294" s="129" t="n"/>
      <c r="G294" s="120" t="n"/>
      <c r="H294" s="122" t="n"/>
      <c r="I294" s="122" t="n"/>
      <c r="J294" s="127">
        <f>IF($A294="","",IFERROR($D294-$C294,0))</f>
        <v/>
      </c>
      <c r="K294" s="121">
        <f>IF($A294="","",IF($H294="Evet",0,$G294))</f>
        <v/>
      </c>
    </row>
    <row r="295" ht="15" customHeight="1" s="78">
      <c r="A295" s="122" t="n"/>
      <c r="B295" s="122" t="n"/>
      <c r="C295" s="128" t="n"/>
      <c r="D295" s="128" t="n"/>
      <c r="E295" s="120" t="n"/>
      <c r="F295" s="129" t="n"/>
      <c r="G295" s="120" t="n"/>
      <c r="H295" s="122" t="n"/>
      <c r="I295" s="122" t="n"/>
      <c r="J295" s="127">
        <f>IF($A295="","",IFERROR($D295-$C295,0))</f>
        <v/>
      </c>
      <c r="K295" s="121">
        <f>IF($A295="","",IF($H295="Evet",0,$G295))</f>
        <v/>
      </c>
    </row>
    <row r="296" ht="15" customHeight="1" s="78">
      <c r="A296" s="122" t="n"/>
      <c r="B296" s="122" t="n"/>
      <c r="C296" s="128" t="n"/>
      <c r="D296" s="128" t="n"/>
      <c r="E296" s="120" t="n"/>
      <c r="F296" s="129" t="n"/>
      <c r="G296" s="120" t="n"/>
      <c r="H296" s="122" t="n"/>
      <c r="I296" s="122" t="n"/>
      <c r="J296" s="127">
        <f>IF($A296="","",IFERROR($D296-$C296,0))</f>
        <v/>
      </c>
      <c r="K296" s="121">
        <f>IF($A296="","",IF($H296="Evet",0,$G296))</f>
        <v/>
      </c>
    </row>
    <row r="297" ht="15" customHeight="1" s="78">
      <c r="A297" s="122" t="n"/>
      <c r="B297" s="122" t="n"/>
      <c r="C297" s="128" t="n"/>
      <c r="D297" s="128" t="n"/>
      <c r="E297" s="120" t="n"/>
      <c r="F297" s="129" t="n"/>
      <c r="G297" s="120" t="n"/>
      <c r="H297" s="122" t="n"/>
      <c r="I297" s="122" t="n"/>
      <c r="J297" s="127">
        <f>IF($A297="","",IFERROR($D297-$C297,0))</f>
        <v/>
      </c>
      <c r="K297" s="121">
        <f>IF($A297="","",IF($H297="Evet",0,$G297))</f>
        <v/>
      </c>
    </row>
    <row r="298" ht="15" customHeight="1" s="78">
      <c r="A298" s="122" t="n"/>
      <c r="B298" s="122" t="n"/>
      <c r="C298" s="128" t="n"/>
      <c r="D298" s="128" t="n"/>
      <c r="E298" s="120" t="n"/>
      <c r="F298" s="129" t="n"/>
      <c r="G298" s="120" t="n"/>
      <c r="H298" s="122" t="n"/>
      <c r="I298" s="122" t="n"/>
      <c r="J298" s="127">
        <f>IF($A298="","",IFERROR($D298-$C298,0))</f>
        <v/>
      </c>
      <c r="K298" s="121">
        <f>IF($A298="","",IF($H298="Evet",0,$G298))</f>
        <v/>
      </c>
    </row>
    <row r="299" ht="15" customHeight="1" s="78">
      <c r="A299" s="122" t="n"/>
      <c r="B299" s="122" t="n"/>
      <c r="C299" s="128" t="n"/>
      <c r="D299" s="128" t="n"/>
      <c r="E299" s="120" t="n"/>
      <c r="F299" s="129" t="n"/>
      <c r="G299" s="120" t="n"/>
      <c r="H299" s="122" t="n"/>
      <c r="I299" s="122" t="n"/>
      <c r="J299" s="127">
        <f>IF($A299="","",IFERROR($D299-$C299,0))</f>
        <v/>
      </c>
      <c r="K299" s="121">
        <f>IF($A299="","",IF($H299="Evet",0,$G299))</f>
        <v/>
      </c>
    </row>
    <row r="300" ht="15" customHeight="1" s="78">
      <c r="A300" s="122" t="n"/>
      <c r="B300" s="122" t="n"/>
      <c r="C300" s="128" t="n"/>
      <c r="D300" s="128" t="n"/>
      <c r="E300" s="120" t="n"/>
      <c r="F300" s="129" t="n"/>
      <c r="G300" s="120" t="n"/>
      <c r="H300" s="122" t="n"/>
      <c r="I300" s="122" t="n"/>
      <c r="J300" s="127">
        <f>IF($A300="","",IFERROR($D300-$C300,0))</f>
        <v/>
      </c>
      <c r="K300" s="121">
        <f>IF($A300="","",IF($H300="Evet",0,$G300))</f>
        <v/>
      </c>
    </row>
    <row r="301" ht="15" customHeight="1" s="78">
      <c r="A301" s="122" t="n"/>
      <c r="B301" s="122" t="n"/>
      <c r="C301" s="128" t="n"/>
      <c r="D301" s="128" t="n"/>
      <c r="E301" s="120" t="n"/>
      <c r="F301" s="129" t="n"/>
      <c r="G301" s="120" t="n"/>
      <c r="H301" s="122" t="n"/>
      <c r="I301" s="122" t="n"/>
      <c r="J301" s="127">
        <f>IF($A301="","",IFERROR($D301-$C301,0))</f>
        <v/>
      </c>
      <c r="K301" s="121">
        <f>IF($A301="","",IF($H301="Evet",0,$G301))</f>
        <v/>
      </c>
    </row>
    <row r="302" ht="15" customHeight="1" s="78">
      <c r="A302" s="122" t="n"/>
      <c r="B302" s="122" t="n"/>
      <c r="C302" s="128" t="n"/>
      <c r="D302" s="128" t="n"/>
      <c r="E302" s="120" t="n"/>
      <c r="F302" s="129" t="n"/>
      <c r="G302" s="120" t="n"/>
      <c r="H302" s="122" t="n"/>
      <c r="I302" s="122" t="n"/>
      <c r="J302" s="127">
        <f>IF($A302="","",IFERROR($D302-$C302,0))</f>
        <v/>
      </c>
      <c r="K302" s="121">
        <f>IF($A302="","",IF($H302="Evet",0,$G302))</f>
        <v/>
      </c>
    </row>
    <row r="303" ht="15" customHeight="1" s="78">
      <c r="A303" s="122" t="n"/>
      <c r="B303" s="122" t="n"/>
      <c r="C303" s="128" t="n"/>
      <c r="D303" s="128" t="n"/>
      <c r="E303" s="120" t="n"/>
      <c r="F303" s="129" t="n"/>
      <c r="G303" s="120" t="n"/>
      <c r="H303" s="122" t="n"/>
      <c r="I303" s="122" t="n"/>
      <c r="J303" s="127">
        <f>IF($A303="","",IFERROR($D303-$C303,0))</f>
        <v/>
      </c>
      <c r="K303" s="121">
        <f>IF($A303="","",IF($H303="Evet",0,$G303))</f>
        <v/>
      </c>
    </row>
    <row r="304" ht="15" customHeight="1" s="78">
      <c r="A304" s="122" t="n"/>
      <c r="B304" s="122" t="n"/>
      <c r="C304" s="128" t="n"/>
      <c r="D304" s="128" t="n"/>
      <c r="E304" s="120" t="n"/>
      <c r="F304" s="129" t="n"/>
      <c r="G304" s="120" t="n"/>
      <c r="H304" s="122" t="n"/>
      <c r="I304" s="122" t="n"/>
      <c r="J304" s="127">
        <f>IF($A304="","",IFERROR($D304-$C304,0))</f>
        <v/>
      </c>
      <c r="K304" s="121">
        <f>IF($A304="","",IF($H304="Evet",0,$G304))</f>
        <v/>
      </c>
    </row>
    <row r="305" ht="15" customHeight="1" s="78">
      <c r="A305" s="122" t="n"/>
      <c r="B305" s="122" t="n"/>
      <c r="C305" s="128" t="n"/>
      <c r="D305" s="128" t="n"/>
      <c r="E305" s="120" t="n"/>
      <c r="F305" s="129" t="n"/>
      <c r="G305" s="120" t="n"/>
      <c r="H305" s="122" t="n"/>
      <c r="I305" s="122" t="n"/>
      <c r="J305" s="127">
        <f>IF($A305="","",IFERROR($D305-$C305,0))</f>
        <v/>
      </c>
      <c r="K305" s="121">
        <f>IF($A305="","",IF($H305="Evet",0,$G305))</f>
        <v/>
      </c>
    </row>
    <row r="306" ht="15" customHeight="1" s="78">
      <c r="A306" s="122" t="n"/>
      <c r="B306" s="122" t="n"/>
      <c r="C306" s="128" t="n"/>
      <c r="D306" s="128" t="n"/>
      <c r="E306" s="120" t="n"/>
      <c r="F306" s="129" t="n"/>
      <c r="G306" s="120" t="n"/>
      <c r="H306" s="122" t="n"/>
      <c r="I306" s="122" t="n"/>
      <c r="J306" s="127">
        <f>IF($A306="","",IFERROR($D306-$C306,0))</f>
        <v/>
      </c>
      <c r="K306" s="121">
        <f>IF($A306="","",IF($H306="Evet",0,$G306))</f>
        <v/>
      </c>
    </row>
    <row r="307" ht="15" customHeight="1" s="78">
      <c r="A307" s="122" t="n"/>
      <c r="B307" s="122" t="n"/>
      <c r="C307" s="128" t="n"/>
      <c r="D307" s="128" t="n"/>
      <c r="E307" s="120" t="n"/>
      <c r="F307" s="129" t="n"/>
      <c r="G307" s="120" t="n"/>
      <c r="H307" s="122" t="n"/>
      <c r="I307" s="122" t="n"/>
      <c r="J307" s="127">
        <f>IF($A307="","",IFERROR($D307-$C307,0))</f>
        <v/>
      </c>
      <c r="K307" s="121">
        <f>IF($A307="","",IF($H307="Evet",0,$G307))</f>
        <v/>
      </c>
    </row>
    <row r="308" ht="15" customHeight="1" s="78">
      <c r="A308" s="122" t="n"/>
      <c r="B308" s="122" t="n"/>
      <c r="C308" s="128" t="n"/>
      <c r="D308" s="128" t="n"/>
      <c r="E308" s="120" t="n"/>
      <c r="F308" s="129" t="n"/>
      <c r="G308" s="120" t="n"/>
      <c r="H308" s="122" t="n"/>
      <c r="I308" s="122" t="n"/>
      <c r="J308" s="127">
        <f>IF($A308="","",IFERROR($D308-$C308,0))</f>
        <v/>
      </c>
      <c r="K308" s="121">
        <f>IF($A308="","",IF($H308="Evet",0,$G308))</f>
        <v/>
      </c>
    </row>
    <row r="309" ht="15" customHeight="1" s="78">
      <c r="A309" s="122" t="n"/>
      <c r="B309" s="122" t="n"/>
      <c r="C309" s="128" t="n"/>
      <c r="D309" s="128" t="n"/>
      <c r="E309" s="120" t="n"/>
      <c r="F309" s="129" t="n"/>
      <c r="G309" s="120" t="n"/>
      <c r="H309" s="122" t="n"/>
      <c r="I309" s="122" t="n"/>
      <c r="J309" s="127">
        <f>IF($A309="","",IFERROR($D309-$C309,0))</f>
        <v/>
      </c>
      <c r="K309" s="121">
        <f>IF($A309="","",IF($H309="Evet",0,$G309))</f>
        <v/>
      </c>
    </row>
    <row r="310" ht="15" customHeight="1" s="78">
      <c r="A310" s="122" t="n"/>
      <c r="B310" s="122" t="n"/>
      <c r="C310" s="128" t="n"/>
      <c r="D310" s="128" t="n"/>
      <c r="E310" s="120" t="n"/>
      <c r="F310" s="129" t="n"/>
      <c r="G310" s="120" t="n"/>
      <c r="H310" s="122" t="n"/>
      <c r="I310" s="122" t="n"/>
      <c r="J310" s="127">
        <f>IF($A310="","",IFERROR($D310-$C310,0))</f>
        <v/>
      </c>
      <c r="K310" s="121">
        <f>IF($A310="","",IF($H310="Evet",0,$G310))</f>
        <v/>
      </c>
    </row>
    <row r="311" ht="15" customHeight="1" s="78">
      <c r="A311" s="122" t="n"/>
      <c r="B311" s="122" t="n"/>
      <c r="C311" s="128" t="n"/>
      <c r="D311" s="128" t="n"/>
      <c r="E311" s="120" t="n"/>
      <c r="F311" s="129" t="n"/>
      <c r="G311" s="120" t="n"/>
      <c r="H311" s="122" t="n"/>
      <c r="I311" s="122" t="n"/>
      <c r="J311" s="127">
        <f>IF($A311="","",IFERROR($D311-$C311,0))</f>
        <v/>
      </c>
      <c r="K311" s="121">
        <f>IF($A311="","",IF($H311="Evet",0,$G311))</f>
        <v/>
      </c>
    </row>
    <row r="312" ht="15" customHeight="1" s="78">
      <c r="A312" s="122" t="n"/>
      <c r="B312" s="122" t="n"/>
      <c r="C312" s="128" t="n"/>
      <c r="D312" s="128" t="n"/>
      <c r="E312" s="120" t="n"/>
      <c r="F312" s="129" t="n"/>
      <c r="G312" s="120" t="n"/>
      <c r="H312" s="122" t="n"/>
      <c r="I312" s="122" t="n"/>
      <c r="J312" s="127">
        <f>IF($A312="","",IFERROR($D312-$C312,0))</f>
        <v/>
      </c>
      <c r="K312" s="121">
        <f>IF($A312="","",IF($H312="Evet",0,$G312))</f>
        <v/>
      </c>
    </row>
    <row r="313" ht="15" customHeight="1" s="78">
      <c r="A313" s="122" t="n"/>
      <c r="B313" s="122" t="n"/>
      <c r="C313" s="128" t="n"/>
      <c r="D313" s="128" t="n"/>
      <c r="E313" s="120" t="n"/>
      <c r="F313" s="129" t="n"/>
      <c r="G313" s="120" t="n"/>
      <c r="H313" s="122" t="n"/>
      <c r="I313" s="122" t="n"/>
      <c r="J313" s="127">
        <f>IF($A313="","",IFERROR($D313-$C313,0))</f>
        <v/>
      </c>
      <c r="K313" s="121">
        <f>IF($A313="","",IF($H313="Evet",0,$G313))</f>
        <v/>
      </c>
    </row>
    <row r="314" ht="15" customHeight="1" s="78">
      <c r="A314" s="122" t="n"/>
      <c r="B314" s="122" t="n"/>
      <c r="C314" s="128" t="n"/>
      <c r="D314" s="128" t="n"/>
      <c r="E314" s="120" t="n"/>
      <c r="F314" s="129" t="n"/>
      <c r="G314" s="120" t="n"/>
      <c r="H314" s="122" t="n"/>
      <c r="I314" s="122" t="n"/>
      <c r="J314" s="127">
        <f>IF($A314="","",IFERROR($D314-$C314,0))</f>
        <v/>
      </c>
      <c r="K314" s="121">
        <f>IF($A314="","",IF($H314="Evet",0,$G314))</f>
        <v/>
      </c>
    </row>
    <row r="315" ht="15" customHeight="1" s="78">
      <c r="A315" s="122" t="n"/>
      <c r="B315" s="122" t="n"/>
      <c r="C315" s="128" t="n"/>
      <c r="D315" s="128" t="n"/>
      <c r="E315" s="120" t="n"/>
      <c r="F315" s="129" t="n"/>
      <c r="G315" s="120" t="n"/>
      <c r="H315" s="122" t="n"/>
      <c r="I315" s="122" t="n"/>
      <c r="J315" s="127">
        <f>IF($A315="","",IFERROR($D315-$C315,0))</f>
        <v/>
      </c>
      <c r="K315" s="121">
        <f>IF($A315="","",IF($H315="Evet",0,$G315))</f>
        <v/>
      </c>
    </row>
    <row r="316" ht="15" customHeight="1" s="78">
      <c r="A316" s="122" t="n"/>
      <c r="B316" s="122" t="n"/>
      <c r="C316" s="128" t="n"/>
      <c r="D316" s="128" t="n"/>
      <c r="E316" s="120" t="n"/>
      <c r="F316" s="129" t="n"/>
      <c r="G316" s="120" t="n"/>
      <c r="H316" s="122" t="n"/>
      <c r="I316" s="122" t="n"/>
      <c r="J316" s="127">
        <f>IF($A316="","",IFERROR($D316-$C316,0))</f>
        <v/>
      </c>
      <c r="K316" s="121">
        <f>IF($A316="","",IF($H316="Evet",0,$G316))</f>
        <v/>
      </c>
    </row>
    <row r="317" ht="15" customHeight="1" s="78">
      <c r="A317" s="122" t="n"/>
      <c r="B317" s="122" t="n"/>
      <c r="C317" s="128" t="n"/>
      <c r="D317" s="128" t="n"/>
      <c r="E317" s="120" t="n"/>
      <c r="F317" s="129" t="n"/>
      <c r="G317" s="120" t="n"/>
      <c r="H317" s="122" t="n"/>
      <c r="I317" s="122" t="n"/>
      <c r="J317" s="127">
        <f>IF($A317="","",IFERROR($D317-$C317,0))</f>
        <v/>
      </c>
      <c r="K317" s="121">
        <f>IF($A317="","",IF($H317="Evet",0,$G317))</f>
        <v/>
      </c>
    </row>
    <row r="318" ht="15" customHeight="1" s="78">
      <c r="A318" s="122" t="n"/>
      <c r="B318" s="122" t="n"/>
      <c r="C318" s="128" t="n"/>
      <c r="D318" s="128" t="n"/>
      <c r="E318" s="120" t="n"/>
      <c r="F318" s="129" t="n"/>
      <c r="G318" s="120" t="n"/>
      <c r="H318" s="122" t="n"/>
      <c r="I318" s="122" t="n"/>
      <c r="J318" s="127">
        <f>IF($A318="","",IFERROR($D318-$C318,0))</f>
        <v/>
      </c>
      <c r="K318" s="121">
        <f>IF($A318="","",IF($H318="Evet",0,$G318))</f>
        <v/>
      </c>
    </row>
    <row r="319" ht="15" customHeight="1" s="78">
      <c r="A319" s="122" t="n"/>
      <c r="B319" s="122" t="n"/>
      <c r="C319" s="128" t="n"/>
      <c r="D319" s="128" t="n"/>
      <c r="E319" s="120" t="n"/>
      <c r="F319" s="129" t="n"/>
      <c r="G319" s="120" t="n"/>
      <c r="H319" s="122" t="n"/>
      <c r="I319" s="122" t="n"/>
      <c r="J319" s="127">
        <f>IF($A319="","",IFERROR($D319-$C319,0))</f>
        <v/>
      </c>
      <c r="K319" s="121">
        <f>IF($A319="","",IF($H319="Evet",0,$G319))</f>
        <v/>
      </c>
    </row>
    <row r="320" ht="15" customHeight="1" s="78">
      <c r="A320" s="122" t="n"/>
      <c r="B320" s="122" t="n"/>
      <c r="C320" s="128" t="n"/>
      <c r="D320" s="128" t="n"/>
      <c r="E320" s="120" t="n"/>
      <c r="F320" s="129" t="n"/>
      <c r="G320" s="120" t="n"/>
      <c r="H320" s="122" t="n"/>
      <c r="I320" s="122" t="n"/>
      <c r="J320" s="127">
        <f>IF($A320="","",IFERROR($D320-$C320,0))</f>
        <v/>
      </c>
      <c r="K320" s="121">
        <f>IF($A320="","",IF($H320="Evet",0,$G320))</f>
        <v/>
      </c>
    </row>
    <row r="321" ht="15" customHeight="1" s="78">
      <c r="A321" s="122" t="n"/>
      <c r="B321" s="122" t="n"/>
      <c r="C321" s="128" t="n"/>
      <c r="D321" s="128" t="n"/>
      <c r="E321" s="120" t="n"/>
      <c r="F321" s="129" t="n"/>
      <c r="G321" s="120" t="n"/>
      <c r="H321" s="122" t="n"/>
      <c r="I321" s="122" t="n"/>
      <c r="J321" s="127">
        <f>IF($A321="","",IFERROR($D321-$C321,0))</f>
        <v/>
      </c>
      <c r="K321" s="121">
        <f>IF($A321="","",IF($H321="Evet",0,$G321))</f>
        <v/>
      </c>
    </row>
    <row r="322" ht="15" customHeight="1" s="78">
      <c r="A322" s="122" t="n"/>
      <c r="B322" s="122" t="n"/>
      <c r="C322" s="128" t="n"/>
      <c r="D322" s="128" t="n"/>
      <c r="E322" s="120" t="n"/>
      <c r="F322" s="129" t="n"/>
      <c r="G322" s="120" t="n"/>
      <c r="H322" s="122" t="n"/>
      <c r="I322" s="122" t="n"/>
      <c r="J322" s="127">
        <f>IF($A322="","",IFERROR($D322-$C322,0))</f>
        <v/>
      </c>
      <c r="K322" s="121">
        <f>IF($A322="","",IF($H322="Evet",0,$G322))</f>
        <v/>
      </c>
    </row>
    <row r="323" ht="15" customHeight="1" s="78">
      <c r="A323" s="122" t="n"/>
      <c r="B323" s="122" t="n"/>
      <c r="C323" s="128" t="n"/>
      <c r="D323" s="128" t="n"/>
      <c r="E323" s="120" t="n"/>
      <c r="F323" s="129" t="n"/>
      <c r="G323" s="120" t="n"/>
      <c r="H323" s="122" t="n"/>
      <c r="I323" s="122" t="n"/>
      <c r="J323" s="127">
        <f>IF($A323="","",IFERROR($D323-$C323,0))</f>
        <v/>
      </c>
      <c r="K323" s="121">
        <f>IF($A323="","",IF($H323="Evet",0,$G323))</f>
        <v/>
      </c>
    </row>
    <row r="324" ht="15" customHeight="1" s="78">
      <c r="A324" s="122" t="n"/>
      <c r="B324" s="122" t="n"/>
      <c r="C324" s="128" t="n"/>
      <c r="D324" s="128" t="n"/>
      <c r="E324" s="120" t="n"/>
      <c r="F324" s="129" t="n"/>
      <c r="G324" s="120" t="n"/>
      <c r="H324" s="122" t="n"/>
      <c r="I324" s="122" t="n"/>
      <c r="J324" s="127">
        <f>IF($A324="","",IFERROR($D324-$C324,0))</f>
        <v/>
      </c>
      <c r="K324" s="121">
        <f>IF($A324="","",IF($H324="Evet",0,$G324))</f>
        <v/>
      </c>
    </row>
    <row r="325" ht="15" customHeight="1" s="78">
      <c r="A325" s="122" t="n"/>
      <c r="B325" s="122" t="n"/>
      <c r="C325" s="128" t="n"/>
      <c r="D325" s="128" t="n"/>
      <c r="E325" s="120" t="n"/>
      <c r="F325" s="129" t="n"/>
      <c r="G325" s="120" t="n"/>
      <c r="H325" s="122" t="n"/>
      <c r="I325" s="122" t="n"/>
      <c r="J325" s="127">
        <f>IF($A325="","",IFERROR($D325-$C325,0))</f>
        <v/>
      </c>
      <c r="K325" s="121">
        <f>IF($A325="","",IF($H325="Evet",0,$G325))</f>
        <v/>
      </c>
    </row>
    <row r="326" ht="15" customHeight="1" s="78">
      <c r="A326" s="122" t="n"/>
      <c r="B326" s="122" t="n"/>
      <c r="C326" s="128" t="n"/>
      <c r="D326" s="128" t="n"/>
      <c r="E326" s="120" t="n"/>
      <c r="F326" s="129" t="n"/>
      <c r="G326" s="120" t="n"/>
      <c r="H326" s="122" t="n"/>
      <c r="I326" s="122" t="n"/>
      <c r="J326" s="127">
        <f>IF($A326="","",IFERROR($D326-$C326,0))</f>
        <v/>
      </c>
      <c r="K326" s="121">
        <f>IF($A326="","",IF($H326="Evet",0,$G326))</f>
        <v/>
      </c>
    </row>
    <row r="327" ht="15" customHeight="1" s="78">
      <c r="A327" s="122" t="n"/>
      <c r="B327" s="122" t="n"/>
      <c r="C327" s="128" t="n"/>
      <c r="D327" s="128" t="n"/>
      <c r="E327" s="120" t="n"/>
      <c r="F327" s="129" t="n"/>
      <c r="G327" s="120" t="n"/>
      <c r="H327" s="122" t="n"/>
      <c r="I327" s="122" t="n"/>
      <c r="J327" s="127">
        <f>IF($A327="","",IFERROR($D327-$C327,0))</f>
        <v/>
      </c>
      <c r="K327" s="121">
        <f>IF($A327="","",IF($H327="Evet",0,$G327))</f>
        <v/>
      </c>
    </row>
    <row r="328" ht="15" customHeight="1" s="78">
      <c r="A328" s="122" t="n"/>
      <c r="B328" s="122" t="n"/>
      <c r="C328" s="128" t="n"/>
      <c r="D328" s="128" t="n"/>
      <c r="E328" s="120" t="n"/>
      <c r="F328" s="129" t="n"/>
      <c r="G328" s="120" t="n"/>
      <c r="H328" s="122" t="n"/>
      <c r="I328" s="122" t="n"/>
      <c r="J328" s="127">
        <f>IF($A328="","",IFERROR($D328-$C328,0))</f>
        <v/>
      </c>
      <c r="K328" s="121">
        <f>IF($A328="","",IF($H328="Evet",0,$G328))</f>
        <v/>
      </c>
    </row>
    <row r="329" ht="15" customHeight="1" s="78">
      <c r="A329" s="122" t="n"/>
      <c r="B329" s="122" t="n"/>
      <c r="C329" s="128" t="n"/>
      <c r="D329" s="128" t="n"/>
      <c r="E329" s="120" t="n"/>
      <c r="F329" s="129" t="n"/>
      <c r="G329" s="120" t="n"/>
      <c r="H329" s="122" t="n"/>
      <c r="I329" s="122" t="n"/>
      <c r="J329" s="127">
        <f>IF($A329="","",IFERROR($D329-$C329,0))</f>
        <v/>
      </c>
      <c r="K329" s="121">
        <f>IF($A329="","",IF($H329="Evet",0,$G329))</f>
        <v/>
      </c>
    </row>
    <row r="330" ht="15" customHeight="1" s="78">
      <c r="A330" s="122" t="n"/>
      <c r="B330" s="122" t="n"/>
      <c r="C330" s="128" t="n"/>
      <c r="D330" s="128" t="n"/>
      <c r="E330" s="120" t="n"/>
      <c r="F330" s="129" t="n"/>
      <c r="G330" s="120" t="n"/>
      <c r="H330" s="122" t="n"/>
      <c r="I330" s="122" t="n"/>
      <c r="J330" s="127">
        <f>IF($A330="","",IFERROR($D330-$C330,0))</f>
        <v/>
      </c>
      <c r="K330" s="121">
        <f>IF($A330="","",IF($H330="Evet",0,$G330))</f>
        <v/>
      </c>
    </row>
    <row r="331" ht="15" customHeight="1" s="78">
      <c r="A331" s="122" t="n"/>
      <c r="B331" s="122" t="n"/>
      <c r="C331" s="128" t="n"/>
      <c r="D331" s="128" t="n"/>
      <c r="E331" s="120" t="n"/>
      <c r="F331" s="129" t="n"/>
      <c r="G331" s="120" t="n"/>
      <c r="H331" s="122" t="n"/>
      <c r="I331" s="122" t="n"/>
      <c r="J331" s="127">
        <f>IF($A331="","",IFERROR($D331-$C331,0))</f>
        <v/>
      </c>
      <c r="K331" s="121">
        <f>IF($A331="","",IF($H331="Evet",0,$G331))</f>
        <v/>
      </c>
    </row>
    <row r="332" ht="15" customHeight="1" s="78">
      <c r="A332" s="122" t="n"/>
      <c r="B332" s="122" t="n"/>
      <c r="C332" s="128" t="n"/>
      <c r="D332" s="128" t="n"/>
      <c r="E332" s="120" t="n"/>
      <c r="F332" s="129" t="n"/>
      <c r="G332" s="120" t="n"/>
      <c r="H332" s="122" t="n"/>
      <c r="I332" s="122" t="n"/>
      <c r="J332" s="127">
        <f>IF($A332="","",IFERROR($D332-$C332,0))</f>
        <v/>
      </c>
      <c r="K332" s="121">
        <f>IF($A332="","",IF($H332="Evet",0,$G332))</f>
        <v/>
      </c>
    </row>
    <row r="333" ht="15" customHeight="1" s="78">
      <c r="A333" s="122" t="n"/>
      <c r="B333" s="122" t="n"/>
      <c r="C333" s="128" t="n"/>
      <c r="D333" s="128" t="n"/>
      <c r="E333" s="120" t="n"/>
      <c r="F333" s="129" t="n"/>
      <c r="G333" s="120" t="n"/>
      <c r="H333" s="122" t="n"/>
      <c r="I333" s="122" t="n"/>
      <c r="J333" s="127">
        <f>IF($A333="","",IFERROR($D333-$C333,0))</f>
        <v/>
      </c>
      <c r="K333" s="121">
        <f>IF($A333="","",IF($H333="Evet",0,$G333))</f>
        <v/>
      </c>
    </row>
    <row r="334" ht="15" customHeight="1" s="78">
      <c r="A334" s="122" t="n"/>
      <c r="B334" s="122" t="n"/>
      <c r="C334" s="128" t="n"/>
      <c r="D334" s="128" t="n"/>
      <c r="E334" s="120" t="n"/>
      <c r="F334" s="129" t="n"/>
      <c r="G334" s="120" t="n"/>
      <c r="H334" s="122" t="n"/>
      <c r="I334" s="122" t="n"/>
      <c r="J334" s="127">
        <f>IF($A334="","",IFERROR($D334-$C334,0))</f>
        <v/>
      </c>
      <c r="K334" s="121">
        <f>IF($A334="","",IF($H334="Evet",0,$G334))</f>
        <v/>
      </c>
    </row>
    <row r="335" ht="15" customHeight="1" s="78">
      <c r="A335" s="122" t="n"/>
      <c r="B335" s="122" t="n"/>
      <c r="C335" s="128" t="n"/>
      <c r="D335" s="128" t="n"/>
      <c r="E335" s="120" t="n"/>
      <c r="F335" s="129" t="n"/>
      <c r="G335" s="120" t="n"/>
      <c r="H335" s="122" t="n"/>
      <c r="I335" s="122" t="n"/>
      <c r="J335" s="127">
        <f>IF($A335="","",IFERROR($D335-$C335,0))</f>
        <v/>
      </c>
      <c r="K335" s="121">
        <f>IF($A335="","",IF($H335="Evet",0,$G335))</f>
        <v/>
      </c>
    </row>
    <row r="336" ht="15" customHeight="1" s="78">
      <c r="A336" s="122" t="n"/>
      <c r="B336" s="122" t="n"/>
      <c r="C336" s="128" t="n"/>
      <c r="D336" s="128" t="n"/>
      <c r="E336" s="120" t="n"/>
      <c r="F336" s="129" t="n"/>
      <c r="G336" s="120" t="n"/>
      <c r="H336" s="122" t="n"/>
      <c r="I336" s="122" t="n"/>
      <c r="J336" s="127">
        <f>IF($A336="","",IFERROR($D336-$C336,0))</f>
        <v/>
      </c>
      <c r="K336" s="121">
        <f>IF($A336="","",IF($H336="Evet",0,$G336))</f>
        <v/>
      </c>
    </row>
    <row r="337" ht="15" customHeight="1" s="78">
      <c r="A337" s="122" t="n"/>
      <c r="B337" s="122" t="n"/>
      <c r="C337" s="128" t="n"/>
      <c r="D337" s="128" t="n"/>
      <c r="E337" s="120" t="n"/>
      <c r="F337" s="129" t="n"/>
      <c r="G337" s="120" t="n"/>
      <c r="H337" s="122" t="n"/>
      <c r="I337" s="122" t="n"/>
      <c r="J337" s="127">
        <f>IF($A337="","",IFERROR($D337-$C337,0))</f>
        <v/>
      </c>
      <c r="K337" s="121">
        <f>IF($A337="","",IF($H337="Evet",0,$G337))</f>
        <v/>
      </c>
    </row>
    <row r="338" ht="15" customHeight="1" s="78">
      <c r="A338" s="122" t="n"/>
      <c r="B338" s="122" t="n"/>
      <c r="C338" s="128" t="n"/>
      <c r="D338" s="128" t="n"/>
      <c r="E338" s="120" t="n"/>
      <c r="F338" s="129" t="n"/>
      <c r="G338" s="120" t="n"/>
      <c r="H338" s="122" t="n"/>
      <c r="I338" s="122" t="n"/>
      <c r="J338" s="127">
        <f>IF($A338="","",IFERROR($D338-$C338,0))</f>
        <v/>
      </c>
      <c r="K338" s="121">
        <f>IF($A338="","",IF($H338="Evet",0,$G338))</f>
        <v/>
      </c>
    </row>
    <row r="339" ht="15" customHeight="1" s="78">
      <c r="A339" s="122" t="n"/>
      <c r="B339" s="122" t="n"/>
      <c r="C339" s="128" t="n"/>
      <c r="D339" s="128" t="n"/>
      <c r="E339" s="120" t="n"/>
      <c r="F339" s="129" t="n"/>
      <c r="G339" s="120" t="n"/>
      <c r="H339" s="122" t="n"/>
      <c r="I339" s="122" t="n"/>
      <c r="J339" s="127">
        <f>IF($A339="","",IFERROR($D339-$C339,0))</f>
        <v/>
      </c>
      <c r="K339" s="121">
        <f>IF($A339="","",IF($H339="Evet",0,$G339))</f>
        <v/>
      </c>
    </row>
    <row r="340" ht="15" customHeight="1" s="78">
      <c r="A340" s="122" t="n"/>
      <c r="B340" s="122" t="n"/>
      <c r="C340" s="128" t="n"/>
      <c r="D340" s="128" t="n"/>
      <c r="E340" s="120" t="n"/>
      <c r="F340" s="129" t="n"/>
      <c r="G340" s="120" t="n"/>
      <c r="H340" s="122" t="n"/>
      <c r="I340" s="122" t="n"/>
      <c r="J340" s="127">
        <f>IF($A340="","",IFERROR($D340-$C340,0))</f>
        <v/>
      </c>
      <c r="K340" s="121">
        <f>IF($A340="","",IF($H340="Evet",0,$G340))</f>
        <v/>
      </c>
    </row>
    <row r="341" ht="15" customHeight="1" s="78">
      <c r="A341" s="122" t="n"/>
      <c r="B341" s="122" t="n"/>
      <c r="C341" s="128" t="n"/>
      <c r="D341" s="128" t="n"/>
      <c r="E341" s="120" t="n"/>
      <c r="F341" s="129" t="n"/>
      <c r="G341" s="120" t="n"/>
      <c r="H341" s="122" t="n"/>
      <c r="I341" s="122" t="n"/>
      <c r="J341" s="127">
        <f>IF($A341="","",IFERROR($D341-$C341,0))</f>
        <v/>
      </c>
      <c r="K341" s="121">
        <f>IF($A341="","",IF($H341="Evet",0,$G341))</f>
        <v/>
      </c>
    </row>
    <row r="342" ht="15" customHeight="1" s="78">
      <c r="A342" s="122" t="n"/>
      <c r="B342" s="122" t="n"/>
      <c r="C342" s="128" t="n"/>
      <c r="D342" s="128" t="n"/>
      <c r="E342" s="120" t="n"/>
      <c r="F342" s="129" t="n"/>
      <c r="G342" s="120" t="n"/>
      <c r="H342" s="122" t="n"/>
      <c r="I342" s="122" t="n"/>
      <c r="J342" s="127">
        <f>IF($A342="","",IFERROR($D342-$C342,0))</f>
        <v/>
      </c>
      <c r="K342" s="121">
        <f>IF($A342="","",IF($H342="Evet",0,$G342))</f>
        <v/>
      </c>
    </row>
    <row r="343" ht="15" customHeight="1" s="78">
      <c r="A343" s="122" t="n"/>
      <c r="B343" s="122" t="n"/>
      <c r="C343" s="128" t="n"/>
      <c r="D343" s="128" t="n"/>
      <c r="E343" s="120" t="n"/>
      <c r="F343" s="129" t="n"/>
      <c r="G343" s="120" t="n"/>
      <c r="H343" s="122" t="n"/>
      <c r="I343" s="122" t="n"/>
      <c r="J343" s="127">
        <f>IF($A343="","",IFERROR($D343-$C343,0))</f>
        <v/>
      </c>
      <c r="K343" s="121">
        <f>IF($A343="","",IF($H343="Evet",0,$G343))</f>
        <v/>
      </c>
    </row>
    <row r="344" ht="15" customHeight="1" s="78">
      <c r="A344" s="122" t="n"/>
      <c r="B344" s="122" t="n"/>
      <c r="C344" s="128" t="n"/>
      <c r="D344" s="128" t="n"/>
      <c r="E344" s="120" t="n"/>
      <c r="F344" s="129" t="n"/>
      <c r="G344" s="120" t="n"/>
      <c r="H344" s="122" t="n"/>
      <c r="I344" s="122" t="n"/>
      <c r="J344" s="127">
        <f>IF($A344="","",IFERROR($D344-$C344,0))</f>
        <v/>
      </c>
      <c r="K344" s="121">
        <f>IF($A344="","",IF($H344="Evet",0,$G344))</f>
        <v/>
      </c>
    </row>
    <row r="345" ht="15" customHeight="1" s="78">
      <c r="A345" s="122" t="n"/>
      <c r="B345" s="122" t="n"/>
      <c r="C345" s="128" t="n"/>
      <c r="D345" s="128" t="n"/>
      <c r="E345" s="120" t="n"/>
      <c r="F345" s="129" t="n"/>
      <c r="G345" s="120" t="n"/>
      <c r="H345" s="122" t="n"/>
      <c r="I345" s="122" t="n"/>
      <c r="J345" s="127">
        <f>IF($A345="","",IFERROR($D345-$C345,0))</f>
        <v/>
      </c>
      <c r="K345" s="121">
        <f>IF($A345="","",IF($H345="Evet",0,$G345))</f>
        <v/>
      </c>
    </row>
    <row r="346" ht="15" customHeight="1" s="78">
      <c r="A346" s="122" t="n"/>
      <c r="B346" s="122" t="n"/>
      <c r="C346" s="128" t="n"/>
      <c r="D346" s="128" t="n"/>
      <c r="E346" s="120" t="n"/>
      <c r="F346" s="129" t="n"/>
      <c r="G346" s="120" t="n"/>
      <c r="H346" s="122" t="n"/>
      <c r="I346" s="122" t="n"/>
      <c r="J346" s="127">
        <f>IF($A346="","",IFERROR($D346-$C346,0))</f>
        <v/>
      </c>
      <c r="K346" s="121">
        <f>IF($A346="","",IF($H346="Evet",0,$G346))</f>
        <v/>
      </c>
    </row>
    <row r="347" ht="15" customHeight="1" s="78">
      <c r="A347" s="122" t="n"/>
      <c r="B347" s="122" t="n"/>
      <c r="C347" s="128" t="n"/>
      <c r="D347" s="128" t="n"/>
      <c r="E347" s="120" t="n"/>
      <c r="F347" s="129" t="n"/>
      <c r="G347" s="120" t="n"/>
      <c r="H347" s="122" t="n"/>
      <c r="I347" s="122" t="n"/>
      <c r="J347" s="127">
        <f>IF($A347="","",IFERROR($D347-$C347,0))</f>
        <v/>
      </c>
      <c r="K347" s="121">
        <f>IF($A347="","",IF($H347="Evet",0,$G347))</f>
        <v/>
      </c>
    </row>
    <row r="348" ht="15" customHeight="1" s="78">
      <c r="A348" s="122" t="n"/>
      <c r="B348" s="122" t="n"/>
      <c r="C348" s="128" t="n"/>
      <c r="D348" s="128" t="n"/>
      <c r="E348" s="120" t="n"/>
      <c r="F348" s="129" t="n"/>
      <c r="G348" s="120" t="n"/>
      <c r="H348" s="122" t="n"/>
      <c r="I348" s="122" t="n"/>
      <c r="J348" s="127">
        <f>IF($A348="","",IFERROR($D348-$C348,0))</f>
        <v/>
      </c>
      <c r="K348" s="121">
        <f>IF($A348="","",IF($H348="Evet",0,$G348))</f>
        <v/>
      </c>
    </row>
    <row r="349" ht="15" customHeight="1" s="78">
      <c r="A349" s="122" t="n"/>
      <c r="B349" s="122" t="n"/>
      <c r="C349" s="128" t="n"/>
      <c r="D349" s="128" t="n"/>
      <c r="E349" s="120" t="n"/>
      <c r="F349" s="129" t="n"/>
      <c r="G349" s="120" t="n"/>
      <c r="H349" s="122" t="n"/>
      <c r="I349" s="122" t="n"/>
      <c r="J349" s="127">
        <f>IF($A349="","",IFERROR($D349-$C349,0))</f>
        <v/>
      </c>
      <c r="K349" s="121">
        <f>IF($A349="","",IF($H349="Evet",0,$G349))</f>
        <v/>
      </c>
    </row>
    <row r="350" ht="15" customHeight="1" s="78">
      <c r="A350" s="122" t="n"/>
      <c r="B350" s="122" t="n"/>
      <c r="C350" s="128" t="n"/>
      <c r="D350" s="128" t="n"/>
      <c r="E350" s="120" t="n"/>
      <c r="F350" s="129" t="n"/>
      <c r="G350" s="120" t="n"/>
      <c r="H350" s="122" t="n"/>
      <c r="I350" s="122" t="n"/>
      <c r="J350" s="127">
        <f>IF($A350="","",IFERROR($D350-$C350,0))</f>
        <v/>
      </c>
      <c r="K350" s="121">
        <f>IF($A350="","",IF($H350="Evet",0,$G350))</f>
        <v/>
      </c>
    </row>
    <row r="351" ht="15" customHeight="1" s="78">
      <c r="A351" s="122" t="n"/>
      <c r="B351" s="122" t="n"/>
      <c r="C351" s="128" t="n"/>
      <c r="D351" s="128" t="n"/>
      <c r="E351" s="120" t="n"/>
      <c r="F351" s="129" t="n"/>
      <c r="G351" s="120" t="n"/>
      <c r="H351" s="122" t="n"/>
      <c r="I351" s="122" t="n"/>
      <c r="J351" s="127">
        <f>IF($A351="","",IFERROR($D351-$C351,0))</f>
        <v/>
      </c>
      <c r="K351" s="121">
        <f>IF($A351="","",IF($H351="Evet",0,$G351))</f>
        <v/>
      </c>
    </row>
    <row r="352" ht="15" customHeight="1" s="78">
      <c r="A352" s="122" t="n"/>
      <c r="B352" s="122" t="n"/>
      <c r="C352" s="128" t="n"/>
      <c r="D352" s="128" t="n"/>
      <c r="E352" s="120" t="n"/>
      <c r="F352" s="129" t="n"/>
      <c r="G352" s="120" t="n"/>
      <c r="H352" s="122" t="n"/>
      <c r="I352" s="122" t="n"/>
      <c r="J352" s="127">
        <f>IF($A352="","",IFERROR($D352-$C352,0))</f>
        <v/>
      </c>
      <c r="K352" s="121">
        <f>IF($A352="","",IF($H352="Evet",0,$G352))</f>
        <v/>
      </c>
    </row>
    <row r="353" ht="15" customHeight="1" s="78">
      <c r="A353" s="122" t="n"/>
      <c r="B353" s="122" t="n"/>
      <c r="C353" s="128" t="n"/>
      <c r="D353" s="128" t="n"/>
      <c r="E353" s="120" t="n"/>
      <c r="F353" s="129" t="n"/>
      <c r="G353" s="120" t="n"/>
      <c r="H353" s="122" t="n"/>
      <c r="I353" s="122" t="n"/>
      <c r="J353" s="127">
        <f>IF($A353="","",IFERROR($D353-$C353,0))</f>
        <v/>
      </c>
      <c r="K353" s="121">
        <f>IF($A353="","",IF($H353="Evet",0,$G353))</f>
        <v/>
      </c>
    </row>
    <row r="354" ht="15" customHeight="1" s="78">
      <c r="A354" s="122" t="n"/>
      <c r="B354" s="122" t="n"/>
      <c r="C354" s="128" t="n"/>
      <c r="D354" s="128" t="n"/>
      <c r="E354" s="120" t="n"/>
      <c r="F354" s="129" t="n"/>
      <c r="G354" s="120" t="n"/>
      <c r="H354" s="122" t="n"/>
      <c r="I354" s="122" t="n"/>
      <c r="J354" s="127">
        <f>IF($A354="","",IFERROR($D354-$C354,0))</f>
        <v/>
      </c>
      <c r="K354" s="121">
        <f>IF($A354="","",IF($H354="Evet",0,$G354))</f>
        <v/>
      </c>
    </row>
    <row r="355" ht="15" customHeight="1" s="78">
      <c r="A355" s="122" t="n"/>
      <c r="B355" s="122" t="n"/>
      <c r="C355" s="128" t="n"/>
      <c r="D355" s="128" t="n"/>
      <c r="E355" s="120" t="n"/>
      <c r="F355" s="129" t="n"/>
      <c r="G355" s="120" t="n"/>
      <c r="H355" s="122" t="n"/>
      <c r="I355" s="122" t="n"/>
      <c r="J355" s="127">
        <f>IF($A355="","",IFERROR($D355-$C355,0))</f>
        <v/>
      </c>
      <c r="K355" s="121">
        <f>IF($A355="","",IF($H355="Evet",0,$G355))</f>
        <v/>
      </c>
    </row>
    <row r="356" ht="15" customHeight="1" s="78">
      <c r="A356" s="122" t="n"/>
      <c r="B356" s="122" t="n"/>
      <c r="C356" s="128" t="n"/>
      <c r="D356" s="128" t="n"/>
      <c r="E356" s="120" t="n"/>
      <c r="F356" s="129" t="n"/>
      <c r="G356" s="120" t="n"/>
      <c r="H356" s="122" t="n"/>
      <c r="I356" s="122" t="n"/>
      <c r="J356" s="127">
        <f>IF($A356="","",IFERROR($D356-$C356,0))</f>
        <v/>
      </c>
      <c r="K356" s="121">
        <f>IF($A356="","",IF($H356="Evet",0,$G356))</f>
        <v/>
      </c>
    </row>
    <row r="357" ht="15" customHeight="1" s="78">
      <c r="A357" s="122" t="n"/>
      <c r="B357" s="122" t="n"/>
      <c r="C357" s="128" t="n"/>
      <c r="D357" s="128" t="n"/>
      <c r="E357" s="120" t="n"/>
      <c r="F357" s="129" t="n"/>
      <c r="G357" s="120" t="n"/>
      <c r="H357" s="122" t="n"/>
      <c r="I357" s="122" t="n"/>
      <c r="J357" s="127">
        <f>IF($A357="","",IFERROR($D357-$C357,0))</f>
        <v/>
      </c>
      <c r="K357" s="121">
        <f>IF($A357="","",IF($H357="Evet",0,$G357))</f>
        <v/>
      </c>
    </row>
    <row r="358" ht="15" customHeight="1" s="78">
      <c r="A358" s="122" t="n"/>
      <c r="B358" s="122" t="n"/>
      <c r="C358" s="128" t="n"/>
      <c r="D358" s="128" t="n"/>
      <c r="E358" s="120" t="n"/>
      <c r="F358" s="129" t="n"/>
      <c r="G358" s="120" t="n"/>
      <c r="H358" s="122" t="n"/>
      <c r="I358" s="122" t="n"/>
      <c r="J358" s="127">
        <f>IF($A358="","",IFERROR($D358-$C358,0))</f>
        <v/>
      </c>
      <c r="K358" s="121">
        <f>IF($A358="","",IF($H358="Evet",0,$G358))</f>
        <v/>
      </c>
    </row>
    <row r="359" ht="15" customHeight="1" s="78">
      <c r="A359" s="122" t="n"/>
      <c r="B359" s="122" t="n"/>
      <c r="C359" s="128" t="n"/>
      <c r="D359" s="128" t="n"/>
      <c r="E359" s="120" t="n"/>
      <c r="F359" s="129" t="n"/>
      <c r="G359" s="120" t="n"/>
      <c r="H359" s="122" t="n"/>
      <c r="I359" s="122" t="n"/>
      <c r="J359" s="127">
        <f>IF($A359="","",IFERROR($D359-$C359,0))</f>
        <v/>
      </c>
      <c r="K359" s="121">
        <f>IF($A359="","",IF($H359="Evet",0,$G359))</f>
        <v/>
      </c>
    </row>
    <row r="360" ht="15" customHeight="1" s="78">
      <c r="A360" s="122" t="n"/>
      <c r="B360" s="122" t="n"/>
      <c r="C360" s="128" t="n"/>
      <c r="D360" s="128" t="n"/>
      <c r="E360" s="120" t="n"/>
      <c r="F360" s="129" t="n"/>
      <c r="G360" s="120" t="n"/>
      <c r="H360" s="122" t="n"/>
      <c r="I360" s="122" t="n"/>
      <c r="J360" s="127">
        <f>IF($A360="","",IFERROR($D360-$C360,0))</f>
        <v/>
      </c>
      <c r="K360" s="121">
        <f>IF($A360="","",IF($H360="Evet",0,$G360))</f>
        <v/>
      </c>
    </row>
    <row r="361" ht="15" customHeight="1" s="78">
      <c r="A361" s="122" t="n"/>
      <c r="B361" s="122" t="n"/>
      <c r="C361" s="128" t="n"/>
      <c r="D361" s="128" t="n"/>
      <c r="E361" s="120" t="n"/>
      <c r="F361" s="129" t="n"/>
      <c r="G361" s="120" t="n"/>
      <c r="H361" s="122" t="n"/>
      <c r="I361" s="122" t="n"/>
      <c r="J361" s="127">
        <f>IF($A361="","",IFERROR($D361-$C361,0))</f>
        <v/>
      </c>
      <c r="K361" s="121">
        <f>IF($A361="","",IF($H361="Evet",0,$G361))</f>
        <v/>
      </c>
    </row>
    <row r="362" ht="15" customHeight="1" s="78">
      <c r="A362" s="122" t="n"/>
      <c r="B362" s="122" t="n"/>
      <c r="C362" s="128" t="n"/>
      <c r="D362" s="128" t="n"/>
      <c r="E362" s="120" t="n"/>
      <c r="F362" s="129" t="n"/>
      <c r="G362" s="120" t="n"/>
      <c r="H362" s="122" t="n"/>
      <c r="I362" s="122" t="n"/>
      <c r="J362" s="127">
        <f>IF($A362="","",IFERROR($D362-$C362,0))</f>
        <v/>
      </c>
      <c r="K362" s="121">
        <f>IF($A362="","",IF($H362="Evet",0,$G362))</f>
        <v/>
      </c>
    </row>
    <row r="363" ht="15" customHeight="1" s="78">
      <c r="A363" s="122" t="n"/>
      <c r="B363" s="122" t="n"/>
      <c r="C363" s="128" t="n"/>
      <c r="D363" s="128" t="n"/>
      <c r="E363" s="120" t="n"/>
      <c r="F363" s="129" t="n"/>
      <c r="G363" s="120" t="n"/>
      <c r="H363" s="122" t="n"/>
      <c r="I363" s="122" t="n"/>
      <c r="J363" s="127">
        <f>IF($A363="","",IFERROR($D363-$C363,0))</f>
        <v/>
      </c>
      <c r="K363" s="121">
        <f>IF($A363="","",IF($H363="Evet",0,$G363))</f>
        <v/>
      </c>
    </row>
    <row r="364" ht="15" customHeight="1" s="78">
      <c r="A364" s="122" t="n"/>
      <c r="B364" s="122" t="n"/>
      <c r="C364" s="128" t="n"/>
      <c r="D364" s="128" t="n"/>
      <c r="E364" s="120" t="n"/>
      <c r="F364" s="129" t="n"/>
      <c r="G364" s="120" t="n"/>
      <c r="H364" s="122" t="n"/>
      <c r="I364" s="122" t="n"/>
      <c r="J364" s="127">
        <f>IF($A364="","",IFERROR($D364-$C364,0))</f>
        <v/>
      </c>
      <c r="K364" s="121">
        <f>IF($A364="","",IF($H364="Evet",0,$G364))</f>
        <v/>
      </c>
    </row>
    <row r="365" ht="15" customHeight="1" s="78">
      <c r="A365" s="122" t="n"/>
      <c r="B365" s="122" t="n"/>
      <c r="C365" s="128" t="n"/>
      <c r="D365" s="128" t="n"/>
      <c r="E365" s="120" t="n"/>
      <c r="F365" s="129" t="n"/>
      <c r="G365" s="120" t="n"/>
      <c r="H365" s="122" t="n"/>
      <c r="I365" s="122" t="n"/>
      <c r="J365" s="127">
        <f>IF($A365="","",IFERROR($D365-$C365,0))</f>
        <v/>
      </c>
      <c r="K365" s="121">
        <f>IF($A365="","",IF($H365="Evet",0,$G365))</f>
        <v/>
      </c>
    </row>
    <row r="366" ht="15" customHeight="1" s="78">
      <c r="A366" s="122" t="n"/>
      <c r="B366" s="122" t="n"/>
      <c r="C366" s="128" t="n"/>
      <c r="D366" s="128" t="n"/>
      <c r="E366" s="120" t="n"/>
      <c r="F366" s="129" t="n"/>
      <c r="G366" s="120" t="n"/>
      <c r="H366" s="122" t="n"/>
      <c r="I366" s="122" t="n"/>
      <c r="J366" s="127">
        <f>IF($A366="","",IFERROR($D366-$C366,0))</f>
        <v/>
      </c>
      <c r="K366" s="121">
        <f>IF($A366="","",IF($H366="Evet",0,$G366))</f>
        <v/>
      </c>
    </row>
    <row r="367" ht="15" customHeight="1" s="78">
      <c r="A367" s="122" t="n"/>
      <c r="B367" s="122" t="n"/>
      <c r="C367" s="128" t="n"/>
      <c r="D367" s="128" t="n"/>
      <c r="E367" s="120" t="n"/>
      <c r="F367" s="129" t="n"/>
      <c r="G367" s="120" t="n"/>
      <c r="H367" s="122" t="n"/>
      <c r="I367" s="122" t="n"/>
      <c r="J367" s="127">
        <f>IF($A367="","",IFERROR($D367-$C367,0))</f>
        <v/>
      </c>
      <c r="K367" s="121">
        <f>IF($A367="","",IF($H367="Evet",0,$G367))</f>
        <v/>
      </c>
    </row>
    <row r="368" ht="15" customHeight="1" s="78">
      <c r="A368" s="122" t="n"/>
      <c r="B368" s="122" t="n"/>
      <c r="C368" s="128" t="n"/>
      <c r="D368" s="128" t="n"/>
      <c r="E368" s="120" t="n"/>
      <c r="F368" s="129" t="n"/>
      <c r="G368" s="120" t="n"/>
      <c r="H368" s="122" t="n"/>
      <c r="I368" s="122" t="n"/>
      <c r="J368" s="127">
        <f>IF($A368="","",IFERROR($D368-$C368,0))</f>
        <v/>
      </c>
      <c r="K368" s="121">
        <f>IF($A368="","",IF($H368="Evet",0,$G368))</f>
        <v/>
      </c>
    </row>
    <row r="369" ht="15" customHeight="1" s="78">
      <c r="A369" s="122" t="n"/>
      <c r="B369" s="122" t="n"/>
      <c r="C369" s="128" t="n"/>
      <c r="D369" s="128" t="n"/>
      <c r="E369" s="120" t="n"/>
      <c r="F369" s="129" t="n"/>
      <c r="G369" s="120" t="n"/>
      <c r="H369" s="122" t="n"/>
      <c r="I369" s="122" t="n"/>
      <c r="J369" s="127">
        <f>IF($A369="","",IFERROR($D369-$C369,0))</f>
        <v/>
      </c>
      <c r="K369" s="121">
        <f>IF($A369="","",IF($H369="Evet",0,$G369))</f>
        <v/>
      </c>
    </row>
    <row r="370" ht="15" customHeight="1" s="78">
      <c r="A370" s="122" t="n"/>
      <c r="B370" s="122" t="n"/>
      <c r="C370" s="128" t="n"/>
      <c r="D370" s="128" t="n"/>
      <c r="E370" s="120" t="n"/>
      <c r="F370" s="129" t="n"/>
      <c r="G370" s="120" t="n"/>
      <c r="H370" s="122" t="n"/>
      <c r="I370" s="122" t="n"/>
      <c r="J370" s="127">
        <f>IF($A370="","",IFERROR($D370-$C370,0))</f>
        <v/>
      </c>
      <c r="K370" s="121">
        <f>IF($A370="","",IF($H370="Evet",0,$G370))</f>
        <v/>
      </c>
    </row>
    <row r="371" ht="15" customHeight="1" s="78">
      <c r="A371" s="122" t="n"/>
      <c r="B371" s="122" t="n"/>
      <c r="C371" s="128" t="n"/>
      <c r="D371" s="128" t="n"/>
      <c r="E371" s="120" t="n"/>
      <c r="F371" s="129" t="n"/>
      <c r="G371" s="120" t="n"/>
      <c r="H371" s="122" t="n"/>
      <c r="I371" s="122" t="n"/>
      <c r="J371" s="127">
        <f>IF($A371="","",IFERROR($D371-$C371,0))</f>
        <v/>
      </c>
      <c r="K371" s="121">
        <f>IF($A371="","",IF($H371="Evet",0,$G371))</f>
        <v/>
      </c>
    </row>
    <row r="372" ht="15" customHeight="1" s="78">
      <c r="A372" s="122" t="n"/>
      <c r="B372" s="122" t="n"/>
      <c r="C372" s="128" t="n"/>
      <c r="D372" s="128" t="n"/>
      <c r="E372" s="120" t="n"/>
      <c r="F372" s="129" t="n"/>
      <c r="G372" s="120" t="n"/>
      <c r="H372" s="122" t="n"/>
      <c r="I372" s="122" t="n"/>
      <c r="J372" s="127">
        <f>IF($A372="","",IFERROR($D372-$C372,0))</f>
        <v/>
      </c>
      <c r="K372" s="121">
        <f>IF($A372="","",IF($H372="Evet",0,$G372))</f>
        <v/>
      </c>
    </row>
    <row r="373" ht="15" customHeight="1" s="78">
      <c r="A373" s="122" t="n"/>
      <c r="B373" s="122" t="n"/>
      <c r="C373" s="128" t="n"/>
      <c r="D373" s="128" t="n"/>
      <c r="E373" s="120" t="n"/>
      <c r="F373" s="129" t="n"/>
      <c r="G373" s="120" t="n"/>
      <c r="H373" s="122" t="n"/>
      <c r="I373" s="122" t="n"/>
      <c r="J373" s="127">
        <f>IF($A373="","",IFERROR($D373-$C373,0))</f>
        <v/>
      </c>
      <c r="K373" s="121">
        <f>IF($A373="","",IF($H373="Evet",0,$G373))</f>
        <v/>
      </c>
    </row>
    <row r="374" ht="15" customHeight="1" s="78">
      <c r="A374" s="122" t="n"/>
      <c r="B374" s="122" t="n"/>
      <c r="C374" s="128" t="n"/>
      <c r="D374" s="128" t="n"/>
      <c r="E374" s="120" t="n"/>
      <c r="F374" s="129" t="n"/>
      <c r="G374" s="120" t="n"/>
      <c r="H374" s="122" t="n"/>
      <c r="I374" s="122" t="n"/>
      <c r="J374" s="127">
        <f>IF($A374="","",IFERROR($D374-$C374,0))</f>
        <v/>
      </c>
      <c r="K374" s="121">
        <f>IF($A374="","",IF($H374="Evet",0,$G374))</f>
        <v/>
      </c>
    </row>
    <row r="375" ht="15" customHeight="1" s="78">
      <c r="A375" s="122" t="n"/>
      <c r="B375" s="122" t="n"/>
      <c r="C375" s="128" t="n"/>
      <c r="D375" s="128" t="n"/>
      <c r="E375" s="120" t="n"/>
      <c r="F375" s="129" t="n"/>
      <c r="G375" s="120" t="n"/>
      <c r="H375" s="122" t="n"/>
      <c r="I375" s="122" t="n"/>
      <c r="J375" s="127">
        <f>IF($A375="","",IFERROR($D375-$C375,0))</f>
        <v/>
      </c>
      <c r="K375" s="121">
        <f>IF($A375="","",IF($H375="Evet",0,$G375))</f>
        <v/>
      </c>
    </row>
    <row r="376" ht="15" customHeight="1" s="78">
      <c r="A376" s="122" t="n"/>
      <c r="B376" s="122" t="n"/>
      <c r="C376" s="128" t="n"/>
      <c r="D376" s="128" t="n"/>
      <c r="E376" s="120" t="n"/>
      <c r="F376" s="129" t="n"/>
      <c r="G376" s="120" t="n"/>
      <c r="H376" s="122" t="n"/>
      <c r="I376" s="122" t="n"/>
      <c r="J376" s="127">
        <f>IF($A376="","",IFERROR($D376-$C376,0))</f>
        <v/>
      </c>
      <c r="K376" s="121">
        <f>IF($A376="","",IF($H376="Evet",0,$G376))</f>
        <v/>
      </c>
    </row>
    <row r="377" ht="15" customHeight="1" s="78">
      <c r="A377" s="122" t="n"/>
      <c r="B377" s="122" t="n"/>
      <c r="C377" s="128" t="n"/>
      <c r="D377" s="128" t="n"/>
      <c r="E377" s="120" t="n"/>
      <c r="F377" s="129" t="n"/>
      <c r="G377" s="120" t="n"/>
      <c r="H377" s="122" t="n"/>
      <c r="I377" s="122" t="n"/>
      <c r="J377" s="127">
        <f>IF($A377="","",IFERROR($D377-$C377,0))</f>
        <v/>
      </c>
      <c r="K377" s="121">
        <f>IF($A377="","",IF($H377="Evet",0,$G377))</f>
        <v/>
      </c>
    </row>
    <row r="378" ht="15" customHeight="1" s="78">
      <c r="A378" s="122" t="n"/>
      <c r="B378" s="122" t="n"/>
      <c r="C378" s="128" t="n"/>
      <c r="D378" s="128" t="n"/>
      <c r="E378" s="120" t="n"/>
      <c r="F378" s="129" t="n"/>
      <c r="G378" s="120" t="n"/>
      <c r="H378" s="122" t="n"/>
      <c r="I378" s="122" t="n"/>
      <c r="J378" s="127">
        <f>IF($A378="","",IFERROR($D378-$C378,0))</f>
        <v/>
      </c>
      <c r="K378" s="121">
        <f>IF($A378="","",IF($H378="Evet",0,$G378))</f>
        <v/>
      </c>
    </row>
    <row r="379" ht="15" customHeight="1" s="78">
      <c r="A379" s="122" t="n"/>
      <c r="B379" s="122" t="n"/>
      <c r="C379" s="128" t="n"/>
      <c r="D379" s="128" t="n"/>
      <c r="E379" s="120" t="n"/>
      <c r="F379" s="129" t="n"/>
      <c r="G379" s="120" t="n"/>
      <c r="H379" s="122" t="n"/>
      <c r="I379" s="122" t="n"/>
      <c r="J379" s="127">
        <f>IF($A379="","",IFERROR($D379-$C379,0))</f>
        <v/>
      </c>
      <c r="K379" s="121">
        <f>IF($A379="","",IF($H379="Evet",0,$G379))</f>
        <v/>
      </c>
    </row>
    <row r="380" ht="15" customHeight="1" s="78">
      <c r="A380" s="122" t="n"/>
      <c r="B380" s="122" t="n"/>
      <c r="C380" s="128" t="n"/>
      <c r="D380" s="128" t="n"/>
      <c r="E380" s="120" t="n"/>
      <c r="F380" s="129" t="n"/>
      <c r="G380" s="120" t="n"/>
      <c r="H380" s="122" t="n"/>
      <c r="I380" s="122" t="n"/>
      <c r="J380" s="127">
        <f>IF($A380="","",IFERROR($D380-$C380,0))</f>
        <v/>
      </c>
      <c r="K380" s="121">
        <f>IF($A380="","",IF($H380="Evet",0,$G380))</f>
        <v/>
      </c>
    </row>
    <row r="381" ht="15" customHeight="1" s="78">
      <c r="A381" s="122" t="n"/>
      <c r="B381" s="122" t="n"/>
      <c r="C381" s="128" t="n"/>
      <c r="D381" s="128" t="n"/>
      <c r="E381" s="120" t="n"/>
      <c r="F381" s="129" t="n"/>
      <c r="G381" s="120" t="n"/>
      <c r="H381" s="122" t="n"/>
      <c r="I381" s="122" t="n"/>
      <c r="J381" s="127">
        <f>IF($A381="","",IFERROR($D381-$C381,0))</f>
        <v/>
      </c>
      <c r="K381" s="121">
        <f>IF($A381="","",IF($H381="Evet",0,$G381))</f>
        <v/>
      </c>
    </row>
    <row r="382" ht="15" customHeight="1" s="78">
      <c r="A382" s="122" t="n"/>
      <c r="B382" s="122" t="n"/>
      <c r="C382" s="128" t="n"/>
      <c r="D382" s="128" t="n"/>
      <c r="E382" s="120" t="n"/>
      <c r="F382" s="129" t="n"/>
      <c r="G382" s="120" t="n"/>
      <c r="H382" s="122" t="n"/>
      <c r="I382" s="122" t="n"/>
      <c r="J382" s="127">
        <f>IF($A382="","",IFERROR($D382-$C382,0))</f>
        <v/>
      </c>
      <c r="K382" s="121">
        <f>IF($A382="","",IF($H382="Evet",0,$G382))</f>
        <v/>
      </c>
    </row>
    <row r="383" ht="15" customHeight="1" s="78">
      <c r="A383" s="122" t="n"/>
      <c r="B383" s="122" t="n"/>
      <c r="C383" s="128" t="n"/>
      <c r="D383" s="128" t="n"/>
      <c r="E383" s="120" t="n"/>
      <c r="F383" s="129" t="n"/>
      <c r="G383" s="120" t="n"/>
      <c r="H383" s="122" t="n"/>
      <c r="I383" s="122" t="n"/>
      <c r="J383" s="127">
        <f>IF($A383="","",IFERROR($D383-$C383,0))</f>
        <v/>
      </c>
      <c r="K383" s="121">
        <f>IF($A383="","",IF($H383="Evet",0,$G383))</f>
        <v/>
      </c>
    </row>
    <row r="384" ht="15" customHeight="1" s="78">
      <c r="A384" s="122" t="n"/>
      <c r="B384" s="122" t="n"/>
      <c r="C384" s="128" t="n"/>
      <c r="D384" s="128" t="n"/>
      <c r="E384" s="120" t="n"/>
      <c r="F384" s="129" t="n"/>
      <c r="G384" s="120" t="n"/>
      <c r="H384" s="122" t="n"/>
      <c r="I384" s="122" t="n"/>
      <c r="J384" s="127">
        <f>IF($A384="","",IFERROR($D384-$C384,0))</f>
        <v/>
      </c>
      <c r="K384" s="121">
        <f>IF($A384="","",IF($H384="Evet",0,$G384))</f>
        <v/>
      </c>
    </row>
    <row r="385" ht="15" customHeight="1" s="78">
      <c r="A385" s="122" t="n"/>
      <c r="B385" s="122" t="n"/>
      <c r="C385" s="128" t="n"/>
      <c r="D385" s="128" t="n"/>
      <c r="E385" s="120" t="n"/>
      <c r="F385" s="129" t="n"/>
      <c r="G385" s="120" t="n"/>
      <c r="H385" s="122" t="n"/>
      <c r="I385" s="122" t="n"/>
      <c r="J385" s="127">
        <f>IF($A385="","",IFERROR($D385-$C385,0))</f>
        <v/>
      </c>
      <c r="K385" s="121">
        <f>IF($A385="","",IF($H385="Evet",0,$G385))</f>
        <v/>
      </c>
    </row>
    <row r="386" ht="15" customHeight="1" s="78">
      <c r="A386" s="122" t="n"/>
      <c r="B386" s="122" t="n"/>
      <c r="C386" s="128" t="n"/>
      <c r="D386" s="128" t="n"/>
      <c r="E386" s="120" t="n"/>
      <c r="F386" s="129" t="n"/>
      <c r="G386" s="120" t="n"/>
      <c r="H386" s="122" t="n"/>
      <c r="I386" s="122" t="n"/>
      <c r="J386" s="127">
        <f>IF($A386="","",IFERROR($D386-$C386,0))</f>
        <v/>
      </c>
      <c r="K386" s="121">
        <f>IF($A386="","",IF($H386="Evet",0,$G386))</f>
        <v/>
      </c>
    </row>
    <row r="387" ht="15" customHeight="1" s="78">
      <c r="A387" s="122" t="n"/>
      <c r="B387" s="122" t="n"/>
      <c r="C387" s="128" t="n"/>
      <c r="D387" s="128" t="n"/>
      <c r="E387" s="120" t="n"/>
      <c r="F387" s="129" t="n"/>
      <c r="G387" s="120" t="n"/>
      <c r="H387" s="122" t="n"/>
      <c r="I387" s="122" t="n"/>
      <c r="J387" s="127">
        <f>IF($A387="","",IFERROR($D387-$C387,0))</f>
        <v/>
      </c>
      <c r="K387" s="121">
        <f>IF($A387="","",IF($H387="Evet",0,$G387))</f>
        <v/>
      </c>
    </row>
    <row r="388" ht="15" customHeight="1" s="78">
      <c r="A388" s="122" t="n"/>
      <c r="B388" s="122" t="n"/>
      <c r="C388" s="128" t="n"/>
      <c r="D388" s="128" t="n"/>
      <c r="E388" s="120" t="n"/>
      <c r="F388" s="129" t="n"/>
      <c r="G388" s="120" t="n"/>
      <c r="H388" s="122" t="n"/>
      <c r="I388" s="122" t="n"/>
      <c r="J388" s="127">
        <f>IF($A388="","",IFERROR($D388-$C388,0))</f>
        <v/>
      </c>
      <c r="K388" s="121">
        <f>IF($A388="","",IF($H388="Evet",0,$G388))</f>
        <v/>
      </c>
    </row>
    <row r="389" ht="15" customHeight="1" s="78">
      <c r="A389" s="122" t="n"/>
      <c r="B389" s="122" t="n"/>
      <c r="C389" s="128" t="n"/>
      <c r="D389" s="128" t="n"/>
      <c r="E389" s="120" t="n"/>
      <c r="F389" s="129" t="n"/>
      <c r="G389" s="120" t="n"/>
      <c r="H389" s="122" t="n"/>
      <c r="I389" s="122" t="n"/>
      <c r="J389" s="127">
        <f>IF($A389="","",IFERROR($D389-$C389,0))</f>
        <v/>
      </c>
      <c r="K389" s="121">
        <f>IF($A389="","",IF($H389="Evet",0,$G389))</f>
        <v/>
      </c>
    </row>
    <row r="390" ht="15" customHeight="1" s="78">
      <c r="A390" s="122" t="n"/>
      <c r="B390" s="122" t="n"/>
      <c r="C390" s="128" t="n"/>
      <c r="D390" s="128" t="n"/>
      <c r="E390" s="120" t="n"/>
      <c r="F390" s="129" t="n"/>
      <c r="G390" s="120" t="n"/>
      <c r="H390" s="122" t="n"/>
      <c r="I390" s="122" t="n"/>
      <c r="J390" s="127">
        <f>IF($A390="","",IFERROR($D390-$C390,0))</f>
        <v/>
      </c>
      <c r="K390" s="121">
        <f>IF($A390="","",IF($H390="Evet",0,$G390))</f>
        <v/>
      </c>
    </row>
    <row r="391" ht="15" customHeight="1" s="78">
      <c r="A391" s="122" t="n"/>
      <c r="B391" s="122" t="n"/>
      <c r="C391" s="128" t="n"/>
      <c r="D391" s="128" t="n"/>
      <c r="E391" s="120" t="n"/>
      <c r="F391" s="129" t="n"/>
      <c r="G391" s="120" t="n"/>
      <c r="H391" s="122" t="n"/>
      <c r="I391" s="122" t="n"/>
      <c r="J391" s="127">
        <f>IF($A391="","",IFERROR($D391-$C391,0))</f>
        <v/>
      </c>
      <c r="K391" s="121">
        <f>IF($A391="","",IF($H391="Evet",0,$G391))</f>
        <v/>
      </c>
    </row>
    <row r="392" ht="15" customHeight="1" s="78">
      <c r="A392" s="122" t="n"/>
      <c r="B392" s="122" t="n"/>
      <c r="C392" s="128" t="n"/>
      <c r="D392" s="128" t="n"/>
      <c r="E392" s="120" t="n"/>
      <c r="F392" s="129" t="n"/>
      <c r="G392" s="120" t="n"/>
      <c r="H392" s="122" t="n"/>
      <c r="I392" s="122" t="n"/>
      <c r="J392" s="127">
        <f>IF($A392="","",IFERROR($D392-$C392,0))</f>
        <v/>
      </c>
      <c r="K392" s="121">
        <f>IF($A392="","",IF($H392="Evet",0,$G392))</f>
        <v/>
      </c>
    </row>
    <row r="393" ht="15" customHeight="1" s="78">
      <c r="A393" s="122" t="n"/>
      <c r="B393" s="122" t="n"/>
      <c r="C393" s="128" t="n"/>
      <c r="D393" s="128" t="n"/>
      <c r="E393" s="120" t="n"/>
      <c r="F393" s="129" t="n"/>
      <c r="G393" s="120" t="n"/>
      <c r="H393" s="122" t="n"/>
      <c r="I393" s="122" t="n"/>
      <c r="J393" s="127">
        <f>IF($A393="","",IFERROR($D393-$C393,0))</f>
        <v/>
      </c>
      <c r="K393" s="121">
        <f>IF($A393="","",IF($H393="Evet",0,$G393))</f>
        <v/>
      </c>
    </row>
    <row r="394" ht="15" customHeight="1" s="78">
      <c r="A394" s="122" t="n"/>
      <c r="B394" s="122" t="n"/>
      <c r="C394" s="128" t="n"/>
      <c r="D394" s="128" t="n"/>
      <c r="E394" s="120" t="n"/>
      <c r="F394" s="129" t="n"/>
      <c r="G394" s="120" t="n"/>
      <c r="H394" s="122" t="n"/>
      <c r="I394" s="122" t="n"/>
      <c r="J394" s="127">
        <f>IF($A394="","",IFERROR($D394-$C394,0))</f>
        <v/>
      </c>
      <c r="K394" s="121">
        <f>IF($A394="","",IF($H394="Evet",0,$G394))</f>
        <v/>
      </c>
    </row>
    <row r="395" ht="15" customHeight="1" s="78">
      <c r="A395" s="122" t="n"/>
      <c r="B395" s="122" t="n"/>
      <c r="C395" s="128" t="n"/>
      <c r="D395" s="128" t="n"/>
      <c r="E395" s="120" t="n"/>
      <c r="F395" s="129" t="n"/>
      <c r="G395" s="120" t="n"/>
      <c r="H395" s="122" t="n"/>
      <c r="I395" s="122" t="n"/>
      <c r="J395" s="127">
        <f>IF($A395="","",IFERROR($D395-$C395,0))</f>
        <v/>
      </c>
      <c r="K395" s="121">
        <f>IF($A395="","",IF($H395="Evet",0,$G395))</f>
        <v/>
      </c>
    </row>
    <row r="396" ht="15" customHeight="1" s="78">
      <c r="A396" s="122" t="n"/>
      <c r="B396" s="122" t="n"/>
      <c r="C396" s="128" t="n"/>
      <c r="D396" s="128" t="n"/>
      <c r="E396" s="120" t="n"/>
      <c r="F396" s="129" t="n"/>
      <c r="G396" s="120" t="n"/>
      <c r="H396" s="122" t="n"/>
      <c r="I396" s="122" t="n"/>
      <c r="J396" s="127">
        <f>IF($A396="","",IFERROR($D396-$C396,0))</f>
        <v/>
      </c>
      <c r="K396" s="121">
        <f>IF($A396="","",IF($H396="Evet",0,$G396))</f>
        <v/>
      </c>
    </row>
    <row r="397" ht="15" customHeight="1" s="78">
      <c r="A397" s="122" t="n"/>
      <c r="B397" s="122" t="n"/>
      <c r="C397" s="128" t="n"/>
      <c r="D397" s="128" t="n"/>
      <c r="E397" s="120" t="n"/>
      <c r="F397" s="129" t="n"/>
      <c r="G397" s="120" t="n"/>
      <c r="H397" s="122" t="n"/>
      <c r="I397" s="122" t="n"/>
      <c r="J397" s="127">
        <f>IF($A397="","",IFERROR($D397-$C397,0))</f>
        <v/>
      </c>
      <c r="K397" s="121">
        <f>IF($A397="","",IF($H397="Evet",0,$G397))</f>
        <v/>
      </c>
    </row>
    <row r="398" ht="15" customHeight="1" s="78">
      <c r="A398" s="122" t="n"/>
      <c r="B398" s="122" t="n"/>
      <c r="C398" s="128" t="n"/>
      <c r="D398" s="128" t="n"/>
      <c r="E398" s="120" t="n"/>
      <c r="F398" s="129" t="n"/>
      <c r="G398" s="120" t="n"/>
      <c r="H398" s="122" t="n"/>
      <c r="I398" s="122" t="n"/>
      <c r="J398" s="127">
        <f>IF($A398="","",IFERROR($D398-$C398,0))</f>
        <v/>
      </c>
      <c r="K398" s="121">
        <f>IF($A398="","",IF($H398="Evet",0,$G398))</f>
        <v/>
      </c>
    </row>
    <row r="399" ht="15" customHeight="1" s="78">
      <c r="A399" s="122" t="n"/>
      <c r="B399" s="122" t="n"/>
      <c r="C399" s="128" t="n"/>
      <c r="D399" s="128" t="n"/>
      <c r="E399" s="120" t="n"/>
      <c r="F399" s="129" t="n"/>
      <c r="G399" s="120" t="n"/>
      <c r="H399" s="122" t="n"/>
      <c r="I399" s="122" t="n"/>
      <c r="J399" s="127">
        <f>IF($A399="","",IFERROR($D399-$C399,0))</f>
        <v/>
      </c>
      <c r="K399" s="121">
        <f>IF($A399="","",IF($H399="Evet",0,$G399))</f>
        <v/>
      </c>
    </row>
    <row r="400" ht="15" customHeight="1" s="78">
      <c r="A400" s="122" t="n"/>
      <c r="B400" s="122" t="n"/>
      <c r="C400" s="128" t="n"/>
      <c r="D400" s="128" t="n"/>
      <c r="E400" s="120" t="n"/>
      <c r="F400" s="129" t="n"/>
      <c r="G400" s="120" t="n"/>
      <c r="H400" s="122" t="n"/>
      <c r="I400" s="122" t="n"/>
      <c r="J400" s="127">
        <f>IF($A400="","",IFERROR($D400-$C400,0))</f>
        <v/>
      </c>
      <c r="K400" s="121">
        <f>IF($A400="","",IF($H400="Evet",0,$G400))</f>
        <v/>
      </c>
    </row>
    <row r="401" ht="15" customHeight="1" s="78">
      <c r="A401" s="122" t="n"/>
      <c r="B401" s="122" t="n"/>
      <c r="C401" s="128" t="n"/>
      <c r="D401" s="128" t="n"/>
      <c r="E401" s="120" t="n"/>
      <c r="F401" s="129" t="n"/>
      <c r="G401" s="120" t="n"/>
      <c r="H401" s="122" t="n"/>
      <c r="I401" s="122" t="n"/>
      <c r="J401" s="127">
        <f>IF($A401="","",IFERROR($D401-$C401,0))</f>
        <v/>
      </c>
      <c r="K401" s="121">
        <f>IF($A401="","",IF($H401="Evet",0,$G401))</f>
        <v/>
      </c>
    </row>
    <row r="402" ht="15" customHeight="1" s="78">
      <c r="A402" s="122" t="n"/>
      <c r="B402" s="122" t="n"/>
      <c r="C402" s="128" t="n"/>
      <c r="D402" s="128" t="n"/>
      <c r="E402" s="120" t="n"/>
      <c r="F402" s="129" t="n"/>
      <c r="G402" s="120" t="n"/>
      <c r="H402" s="122" t="n"/>
      <c r="I402" s="122" t="n"/>
      <c r="J402" s="127">
        <f>IF($A402="","",IFERROR($D402-$C402,0))</f>
        <v/>
      </c>
      <c r="K402" s="121">
        <f>IF($A402="","",IF($H402="Evet",0,$G402))</f>
        <v/>
      </c>
    </row>
    <row r="403" ht="15" customHeight="1" s="78">
      <c r="A403" s="122" t="n"/>
      <c r="B403" s="122" t="n"/>
      <c r="C403" s="128" t="n"/>
      <c r="D403" s="128" t="n"/>
      <c r="E403" s="120" t="n"/>
      <c r="F403" s="129" t="n"/>
      <c r="G403" s="120" t="n"/>
      <c r="H403" s="122" t="n"/>
      <c r="I403" s="122" t="n"/>
      <c r="J403" s="127">
        <f>IF($A403="","",IFERROR($D403-$C403,0))</f>
        <v/>
      </c>
      <c r="K403" s="121">
        <f>IF($A403="","",IF($H403="Evet",0,$G403))</f>
        <v/>
      </c>
    </row>
    <row r="404" ht="15" customHeight="1" s="78">
      <c r="A404" s="122" t="n"/>
      <c r="B404" s="122" t="n"/>
      <c r="C404" s="128" t="n"/>
      <c r="D404" s="128" t="n"/>
      <c r="E404" s="120" t="n"/>
      <c r="F404" s="129" t="n"/>
      <c r="G404" s="120" t="n"/>
      <c r="H404" s="122" t="n"/>
      <c r="I404" s="122" t="n"/>
      <c r="J404" s="127">
        <f>IF($A404="","",IFERROR($D404-$C404,0))</f>
        <v/>
      </c>
      <c r="K404" s="121">
        <f>IF($A404="","",IF($H404="Evet",0,$G404))</f>
        <v/>
      </c>
    </row>
    <row r="405" ht="15" customHeight="1" s="78">
      <c r="A405" s="122" t="n"/>
      <c r="B405" s="122" t="n"/>
      <c r="C405" s="128" t="n"/>
      <c r="D405" s="128" t="n"/>
      <c r="E405" s="120" t="n"/>
      <c r="F405" s="129" t="n"/>
      <c r="G405" s="120" t="n"/>
      <c r="H405" s="122" t="n"/>
      <c r="I405" s="122" t="n"/>
      <c r="J405" s="127">
        <f>IF($A405="","",IFERROR($D405-$C405,0))</f>
        <v/>
      </c>
      <c r="K405" s="121">
        <f>IF($A405="","",IF($H405="Evet",0,$G405))</f>
        <v/>
      </c>
    </row>
    <row r="406" ht="15" customHeight="1" s="78">
      <c r="A406" s="122" t="n"/>
      <c r="B406" s="122" t="n"/>
      <c r="C406" s="128" t="n"/>
      <c r="D406" s="128" t="n"/>
      <c r="E406" s="120" t="n"/>
      <c r="F406" s="129" t="n"/>
      <c r="G406" s="120" t="n"/>
      <c r="H406" s="122" t="n"/>
      <c r="I406" s="122" t="n"/>
      <c r="J406" s="127">
        <f>IF($A406="","",IFERROR($D406-$C406,0))</f>
        <v/>
      </c>
      <c r="K406" s="121">
        <f>IF($A406="","",IF($H406="Evet",0,$G406))</f>
        <v/>
      </c>
    </row>
    <row r="407" ht="15" customHeight="1" s="78">
      <c r="A407" s="122" t="n"/>
      <c r="B407" s="122" t="n"/>
      <c r="C407" s="128" t="n"/>
      <c r="D407" s="128" t="n"/>
      <c r="E407" s="120" t="n"/>
      <c r="F407" s="129" t="n"/>
      <c r="G407" s="120" t="n"/>
      <c r="H407" s="122" t="n"/>
      <c r="I407" s="122" t="n"/>
      <c r="J407" s="127">
        <f>IF($A407="","",IFERROR($D407-$C407,0))</f>
        <v/>
      </c>
      <c r="K407" s="121">
        <f>IF($A407="","",IF($H407="Evet",0,$G407))</f>
        <v/>
      </c>
    </row>
    <row r="408" ht="15" customHeight="1" s="78">
      <c r="A408" s="122" t="n"/>
      <c r="B408" s="122" t="n"/>
      <c r="C408" s="128" t="n"/>
      <c r="D408" s="128" t="n"/>
      <c r="E408" s="120" t="n"/>
      <c r="F408" s="129" t="n"/>
      <c r="G408" s="120" t="n"/>
      <c r="H408" s="122" t="n"/>
      <c r="I408" s="122" t="n"/>
      <c r="J408" s="127">
        <f>IF($A408="","",IFERROR($D408-$C408,0))</f>
        <v/>
      </c>
      <c r="K408" s="121">
        <f>IF($A408="","",IF($H408="Evet",0,$G408))</f>
        <v/>
      </c>
    </row>
    <row r="409" ht="15" customHeight="1" s="78">
      <c r="A409" s="122" t="n"/>
      <c r="B409" s="122" t="n"/>
      <c r="C409" s="128" t="n"/>
      <c r="D409" s="128" t="n"/>
      <c r="E409" s="120" t="n"/>
      <c r="F409" s="129" t="n"/>
      <c r="G409" s="120" t="n"/>
      <c r="H409" s="122" t="n"/>
      <c r="I409" s="122" t="n"/>
      <c r="J409" s="127">
        <f>IF($A409="","",IFERROR($D409-$C409,0))</f>
        <v/>
      </c>
      <c r="K409" s="121">
        <f>IF($A409="","",IF($H409="Evet",0,$G409))</f>
        <v/>
      </c>
    </row>
    <row r="410" ht="15" customHeight="1" s="78">
      <c r="A410" s="122" t="n"/>
      <c r="B410" s="122" t="n"/>
      <c r="C410" s="128" t="n"/>
      <c r="D410" s="128" t="n"/>
      <c r="E410" s="120" t="n"/>
      <c r="F410" s="129" t="n"/>
      <c r="G410" s="120" t="n"/>
      <c r="H410" s="122" t="n"/>
      <c r="I410" s="122" t="n"/>
      <c r="J410" s="127">
        <f>IF($A410="","",IFERROR($D410-$C410,0))</f>
        <v/>
      </c>
      <c r="K410" s="121">
        <f>IF($A410="","",IF($H410="Evet",0,$G410))</f>
        <v/>
      </c>
    </row>
    <row r="411" ht="15" customHeight="1" s="78">
      <c r="A411" s="122" t="n"/>
      <c r="B411" s="122" t="n"/>
      <c r="C411" s="128" t="n"/>
      <c r="D411" s="128" t="n"/>
      <c r="E411" s="120" t="n"/>
      <c r="F411" s="129" t="n"/>
      <c r="G411" s="120" t="n"/>
      <c r="H411" s="122" t="n"/>
      <c r="I411" s="122" t="n"/>
      <c r="J411" s="127">
        <f>IF($A411="","",IFERROR($D411-$C411,0))</f>
        <v/>
      </c>
      <c r="K411" s="121">
        <f>IF($A411="","",IF($H411="Evet",0,$G411))</f>
        <v/>
      </c>
    </row>
    <row r="412" ht="15" customHeight="1" s="78">
      <c r="A412" s="122" t="n"/>
      <c r="B412" s="122" t="n"/>
      <c r="C412" s="128" t="n"/>
      <c r="D412" s="128" t="n"/>
      <c r="E412" s="120" t="n"/>
      <c r="F412" s="129" t="n"/>
      <c r="G412" s="120" t="n"/>
      <c r="H412" s="122" t="n"/>
      <c r="I412" s="122" t="n"/>
      <c r="J412" s="127">
        <f>IF($A412="","",IFERROR($D412-$C412,0))</f>
        <v/>
      </c>
      <c r="K412" s="121">
        <f>IF($A412="","",IF($H412="Evet",0,$G412))</f>
        <v/>
      </c>
    </row>
    <row r="413" ht="15" customHeight="1" s="78">
      <c r="A413" s="122" t="n"/>
      <c r="B413" s="122" t="n"/>
      <c r="C413" s="128" t="n"/>
      <c r="D413" s="128" t="n"/>
      <c r="E413" s="120" t="n"/>
      <c r="F413" s="129" t="n"/>
      <c r="G413" s="120" t="n"/>
      <c r="H413" s="122" t="n"/>
      <c r="I413" s="122" t="n"/>
      <c r="J413" s="127">
        <f>IF($A413="","",IFERROR($D413-$C413,0))</f>
        <v/>
      </c>
      <c r="K413" s="121">
        <f>IF($A413="","",IF($H413="Evet",0,$G413))</f>
        <v/>
      </c>
    </row>
    <row r="414" ht="15" customHeight="1" s="78">
      <c r="A414" s="122" t="n"/>
      <c r="B414" s="122" t="n"/>
      <c r="C414" s="128" t="n"/>
      <c r="D414" s="128" t="n"/>
      <c r="E414" s="120" t="n"/>
      <c r="F414" s="129" t="n"/>
      <c r="G414" s="120" t="n"/>
      <c r="H414" s="122" t="n"/>
      <c r="I414" s="122" t="n"/>
      <c r="J414" s="127">
        <f>IF($A414="","",IFERROR($D414-$C414,0))</f>
        <v/>
      </c>
      <c r="K414" s="121">
        <f>IF($A414="","",IF($H414="Evet",0,$G414))</f>
        <v/>
      </c>
    </row>
    <row r="415" ht="15" customHeight="1" s="78">
      <c r="A415" s="122" t="n"/>
      <c r="B415" s="122" t="n"/>
      <c r="C415" s="128" t="n"/>
      <c r="D415" s="128" t="n"/>
      <c r="E415" s="120" t="n"/>
      <c r="F415" s="129" t="n"/>
      <c r="G415" s="120" t="n"/>
      <c r="H415" s="122" t="n"/>
      <c r="I415" s="122" t="n"/>
      <c r="J415" s="127">
        <f>IF($A415="","",IFERROR($D415-$C415,0))</f>
        <v/>
      </c>
      <c r="K415" s="121">
        <f>IF($A415="","",IF($H415="Evet",0,$G415))</f>
        <v/>
      </c>
    </row>
    <row r="416" ht="15" customHeight="1" s="78">
      <c r="A416" s="122" t="n"/>
      <c r="B416" s="122" t="n"/>
      <c r="C416" s="128" t="n"/>
      <c r="D416" s="128" t="n"/>
      <c r="E416" s="120" t="n"/>
      <c r="F416" s="129" t="n"/>
      <c r="G416" s="120" t="n"/>
      <c r="H416" s="122" t="n"/>
      <c r="I416" s="122" t="n"/>
      <c r="J416" s="127">
        <f>IF($A416="","",IFERROR($D416-$C416,0))</f>
        <v/>
      </c>
      <c r="K416" s="121">
        <f>IF($A416="","",IF($H416="Evet",0,$G416))</f>
        <v/>
      </c>
    </row>
    <row r="417" ht="15" customHeight="1" s="78">
      <c r="A417" s="122" t="n"/>
      <c r="B417" s="122" t="n"/>
      <c r="C417" s="128" t="n"/>
      <c r="D417" s="128" t="n"/>
      <c r="E417" s="120" t="n"/>
      <c r="F417" s="129" t="n"/>
      <c r="G417" s="120" t="n"/>
      <c r="H417" s="122" t="n"/>
      <c r="I417" s="122" t="n"/>
      <c r="J417" s="127">
        <f>IF($A417="","",IFERROR($D417-$C417,0))</f>
        <v/>
      </c>
      <c r="K417" s="121">
        <f>IF($A417="","",IF($H417="Evet",0,$G417))</f>
        <v/>
      </c>
    </row>
    <row r="418" ht="15" customHeight="1" s="78">
      <c r="A418" s="122" t="n"/>
      <c r="B418" s="122" t="n"/>
      <c r="C418" s="128" t="n"/>
      <c r="D418" s="128" t="n"/>
      <c r="E418" s="120" t="n"/>
      <c r="F418" s="129" t="n"/>
      <c r="G418" s="120" t="n"/>
      <c r="H418" s="122" t="n"/>
      <c r="I418" s="122" t="n"/>
      <c r="J418" s="127">
        <f>IF($A418="","",IFERROR($D418-$C418,0))</f>
        <v/>
      </c>
      <c r="K418" s="121">
        <f>IF($A418="","",IF($H418="Evet",0,$G418))</f>
        <v/>
      </c>
    </row>
    <row r="419" ht="15" customHeight="1" s="78">
      <c r="A419" s="122" t="n"/>
      <c r="B419" s="122" t="n"/>
      <c r="C419" s="128" t="n"/>
      <c r="D419" s="128" t="n"/>
      <c r="E419" s="120" t="n"/>
      <c r="F419" s="129" t="n"/>
      <c r="G419" s="120" t="n"/>
      <c r="H419" s="122" t="n"/>
      <c r="I419" s="122" t="n"/>
      <c r="J419" s="127">
        <f>IF($A419="","",IFERROR($D419-$C419,0))</f>
        <v/>
      </c>
      <c r="K419" s="121">
        <f>IF($A419="","",IF($H419="Evet",0,$G419))</f>
        <v/>
      </c>
    </row>
    <row r="420" ht="15" customHeight="1" s="78">
      <c r="A420" s="122" t="n"/>
      <c r="B420" s="122" t="n"/>
      <c r="C420" s="128" t="n"/>
      <c r="D420" s="128" t="n"/>
      <c r="E420" s="120" t="n"/>
      <c r="F420" s="129" t="n"/>
      <c r="G420" s="120" t="n"/>
      <c r="H420" s="122" t="n"/>
      <c r="I420" s="122" t="n"/>
      <c r="J420" s="127">
        <f>IF($A420="","",IFERROR($D420-$C420,0))</f>
        <v/>
      </c>
      <c r="K420" s="121">
        <f>IF($A420="","",IF($H420="Evet",0,$G420))</f>
        <v/>
      </c>
    </row>
    <row r="421" ht="15" customHeight="1" s="78">
      <c r="A421" s="122" t="n"/>
      <c r="B421" s="122" t="n"/>
      <c r="C421" s="128" t="n"/>
      <c r="D421" s="128" t="n"/>
      <c r="E421" s="120" t="n"/>
      <c r="F421" s="129" t="n"/>
      <c r="G421" s="120" t="n"/>
      <c r="H421" s="122" t="n"/>
      <c r="I421" s="122" t="n"/>
      <c r="J421" s="127">
        <f>IF($A421="","",IFERROR($D421-$C421,0))</f>
        <v/>
      </c>
      <c r="K421" s="121">
        <f>IF($A421="","",IF($H421="Evet",0,$G421))</f>
        <v/>
      </c>
    </row>
    <row r="422" ht="15" customHeight="1" s="78">
      <c r="A422" s="122" t="n"/>
      <c r="B422" s="122" t="n"/>
      <c r="C422" s="128" t="n"/>
      <c r="D422" s="128" t="n"/>
      <c r="E422" s="120" t="n"/>
      <c r="F422" s="129" t="n"/>
      <c r="G422" s="120" t="n"/>
      <c r="H422" s="122" t="n"/>
      <c r="I422" s="122" t="n"/>
      <c r="J422" s="127">
        <f>IF($A422="","",IFERROR($D422-$C422,0))</f>
        <v/>
      </c>
      <c r="K422" s="121">
        <f>IF($A422="","",IF($H422="Evet",0,$G422))</f>
        <v/>
      </c>
    </row>
    <row r="423" ht="15" customHeight="1" s="78">
      <c r="A423" s="122" t="n"/>
      <c r="B423" s="122" t="n"/>
      <c r="C423" s="128" t="n"/>
      <c r="D423" s="128" t="n"/>
      <c r="E423" s="120" t="n"/>
      <c r="F423" s="129" t="n"/>
      <c r="G423" s="120" t="n"/>
      <c r="H423" s="122" t="n"/>
      <c r="I423" s="122" t="n"/>
      <c r="J423" s="127">
        <f>IF($A423="","",IFERROR($D423-$C423,0))</f>
        <v/>
      </c>
      <c r="K423" s="121">
        <f>IF($A423="","",IF($H423="Evet",0,$G423))</f>
        <v/>
      </c>
    </row>
    <row r="424" ht="15" customHeight="1" s="78">
      <c r="A424" s="122" t="n"/>
      <c r="B424" s="122" t="n"/>
      <c r="C424" s="128" t="n"/>
      <c r="D424" s="128" t="n"/>
      <c r="E424" s="120" t="n"/>
      <c r="F424" s="129" t="n"/>
      <c r="G424" s="120" t="n"/>
      <c r="H424" s="122" t="n"/>
      <c r="I424" s="122" t="n"/>
      <c r="J424" s="127">
        <f>IF($A424="","",IFERROR($D424-$C424,0))</f>
        <v/>
      </c>
      <c r="K424" s="121">
        <f>IF($A424="","",IF($H424="Evet",0,$G424))</f>
        <v/>
      </c>
    </row>
    <row r="425" ht="15" customHeight="1" s="78">
      <c r="A425" s="122" t="n"/>
      <c r="B425" s="122" t="n"/>
      <c r="C425" s="128" t="n"/>
      <c r="D425" s="128" t="n"/>
      <c r="E425" s="120" t="n"/>
      <c r="F425" s="129" t="n"/>
      <c r="G425" s="120" t="n"/>
      <c r="H425" s="122" t="n"/>
      <c r="I425" s="122" t="n"/>
      <c r="J425" s="127">
        <f>IF($A425="","",IFERROR($D425-$C425,0))</f>
        <v/>
      </c>
      <c r="K425" s="121">
        <f>IF($A425="","",IF($H425="Evet",0,$G425))</f>
        <v/>
      </c>
    </row>
    <row r="426" ht="15" customHeight="1" s="78">
      <c r="A426" s="122" t="n"/>
      <c r="B426" s="122" t="n"/>
      <c r="C426" s="128" t="n"/>
      <c r="D426" s="128" t="n"/>
      <c r="E426" s="120" t="n"/>
      <c r="F426" s="129" t="n"/>
      <c r="G426" s="120" t="n"/>
      <c r="H426" s="122" t="n"/>
      <c r="I426" s="122" t="n"/>
      <c r="J426" s="127">
        <f>IF($A426="","",IFERROR($D426-$C426,0))</f>
        <v/>
      </c>
      <c r="K426" s="121">
        <f>IF($A426="","",IF($H426="Evet",0,$G426))</f>
        <v/>
      </c>
    </row>
    <row r="427" ht="15" customHeight="1" s="78">
      <c r="A427" s="122" t="n"/>
      <c r="B427" s="122" t="n"/>
      <c r="C427" s="128" t="n"/>
      <c r="D427" s="128" t="n"/>
      <c r="E427" s="120" t="n"/>
      <c r="F427" s="129" t="n"/>
      <c r="G427" s="120" t="n"/>
      <c r="H427" s="122" t="n"/>
      <c r="I427" s="122" t="n"/>
      <c r="J427" s="127">
        <f>IF($A427="","",IFERROR($D427-$C427,0))</f>
        <v/>
      </c>
      <c r="K427" s="121">
        <f>IF($A427="","",IF($H427="Evet",0,$G427))</f>
        <v/>
      </c>
    </row>
    <row r="428" ht="15" customHeight="1" s="78">
      <c r="A428" s="122" t="n"/>
      <c r="B428" s="122" t="n"/>
      <c r="C428" s="128" t="n"/>
      <c r="D428" s="128" t="n"/>
      <c r="E428" s="120" t="n"/>
      <c r="F428" s="129" t="n"/>
      <c r="G428" s="120" t="n"/>
      <c r="H428" s="122" t="n"/>
      <c r="I428" s="122" t="n"/>
      <c r="J428" s="127">
        <f>IF($A428="","",IFERROR($D428-$C428,0))</f>
        <v/>
      </c>
      <c r="K428" s="121">
        <f>IF($A428="","",IF($H428="Evet",0,$G428))</f>
        <v/>
      </c>
    </row>
    <row r="429" ht="15" customHeight="1" s="78">
      <c r="A429" s="122" t="n"/>
      <c r="B429" s="122" t="n"/>
      <c r="C429" s="128" t="n"/>
      <c r="D429" s="128" t="n"/>
      <c r="E429" s="120" t="n"/>
      <c r="F429" s="129" t="n"/>
      <c r="G429" s="120" t="n"/>
      <c r="H429" s="122" t="n"/>
      <c r="I429" s="122" t="n"/>
      <c r="J429" s="127">
        <f>IF($A429="","",IFERROR($D429-$C429,0))</f>
        <v/>
      </c>
      <c r="K429" s="121">
        <f>IF($A429="","",IF($H429="Evet",0,$G429))</f>
        <v/>
      </c>
    </row>
    <row r="430" ht="15" customHeight="1" s="78">
      <c r="A430" s="122" t="n"/>
      <c r="B430" s="122" t="n"/>
      <c r="C430" s="128" t="n"/>
      <c r="D430" s="128" t="n"/>
      <c r="E430" s="120" t="n"/>
      <c r="F430" s="129" t="n"/>
      <c r="G430" s="120" t="n"/>
      <c r="H430" s="122" t="n"/>
      <c r="I430" s="122" t="n"/>
      <c r="J430" s="127">
        <f>IF($A430="","",IFERROR($D430-$C430,0))</f>
        <v/>
      </c>
      <c r="K430" s="121">
        <f>IF($A430="","",IF($H430="Evet",0,$G430))</f>
        <v/>
      </c>
    </row>
    <row r="431" ht="15" customHeight="1" s="78">
      <c r="A431" s="122" t="n"/>
      <c r="B431" s="122" t="n"/>
      <c r="C431" s="128" t="n"/>
      <c r="D431" s="128" t="n"/>
      <c r="E431" s="120" t="n"/>
      <c r="F431" s="129" t="n"/>
      <c r="G431" s="120" t="n"/>
      <c r="H431" s="122" t="n"/>
      <c r="I431" s="122" t="n"/>
      <c r="J431" s="127">
        <f>IF($A431="","",IFERROR($D431-$C431,0))</f>
        <v/>
      </c>
      <c r="K431" s="121">
        <f>IF($A431="","",IF($H431="Evet",0,$G431))</f>
        <v/>
      </c>
    </row>
    <row r="432" ht="15" customHeight="1" s="78">
      <c r="A432" s="122" t="n"/>
      <c r="B432" s="122" t="n"/>
      <c r="C432" s="128" t="n"/>
      <c r="D432" s="128" t="n"/>
      <c r="E432" s="120" t="n"/>
      <c r="F432" s="129" t="n"/>
      <c r="G432" s="120" t="n"/>
      <c r="H432" s="122" t="n"/>
      <c r="I432" s="122" t="n"/>
      <c r="J432" s="127">
        <f>IF($A432="","",IFERROR($D432-$C432,0))</f>
        <v/>
      </c>
      <c r="K432" s="121">
        <f>IF($A432="","",IF($H432="Evet",0,$G432))</f>
        <v/>
      </c>
    </row>
    <row r="433" ht="15" customHeight="1" s="78">
      <c r="A433" s="122" t="n"/>
      <c r="B433" s="122" t="n"/>
      <c r="C433" s="128" t="n"/>
      <c r="D433" s="128" t="n"/>
      <c r="E433" s="120" t="n"/>
      <c r="F433" s="129" t="n"/>
      <c r="G433" s="120" t="n"/>
      <c r="H433" s="122" t="n"/>
      <c r="I433" s="122" t="n"/>
      <c r="J433" s="127">
        <f>IF($A433="","",IFERROR($D433-$C433,0))</f>
        <v/>
      </c>
      <c r="K433" s="121">
        <f>IF($A433="","",IF($H433="Evet",0,$G433))</f>
        <v/>
      </c>
    </row>
    <row r="434" ht="15" customHeight="1" s="78">
      <c r="A434" s="122" t="n"/>
      <c r="B434" s="122" t="n"/>
      <c r="C434" s="128" t="n"/>
      <c r="D434" s="128" t="n"/>
      <c r="E434" s="120" t="n"/>
      <c r="F434" s="129" t="n"/>
      <c r="G434" s="120" t="n"/>
      <c r="H434" s="122" t="n"/>
      <c r="I434" s="122" t="n"/>
      <c r="J434" s="127">
        <f>IF($A434="","",IFERROR($D434-$C434,0))</f>
        <v/>
      </c>
      <c r="K434" s="121">
        <f>IF($A434="","",IF($H434="Evet",0,$G434))</f>
        <v/>
      </c>
    </row>
    <row r="435" ht="15" customHeight="1" s="78">
      <c r="A435" s="122" t="n"/>
      <c r="B435" s="122" t="n"/>
      <c r="C435" s="128" t="n"/>
      <c r="D435" s="128" t="n"/>
      <c r="E435" s="120" t="n"/>
      <c r="F435" s="129" t="n"/>
      <c r="G435" s="120" t="n"/>
      <c r="H435" s="122" t="n"/>
      <c r="I435" s="122" t="n"/>
      <c r="J435" s="127">
        <f>IF($A435="","",IFERROR($D435-$C435,0))</f>
        <v/>
      </c>
      <c r="K435" s="121">
        <f>IF($A435="","",IF($H435="Evet",0,$G435))</f>
        <v/>
      </c>
    </row>
    <row r="436" ht="15" customHeight="1" s="78">
      <c r="A436" s="122" t="n"/>
      <c r="B436" s="122" t="n"/>
      <c r="C436" s="128" t="n"/>
      <c r="D436" s="128" t="n"/>
      <c r="E436" s="120" t="n"/>
      <c r="F436" s="129" t="n"/>
      <c r="G436" s="120" t="n"/>
      <c r="H436" s="122" t="n"/>
      <c r="I436" s="122" t="n"/>
      <c r="J436" s="127">
        <f>IF($A436="","",IFERROR($D436-$C436,0))</f>
        <v/>
      </c>
      <c r="K436" s="121">
        <f>IF($A436="","",IF($H436="Evet",0,$G436))</f>
        <v/>
      </c>
    </row>
    <row r="437" ht="15" customHeight="1" s="78">
      <c r="A437" s="122" t="n"/>
      <c r="B437" s="122" t="n"/>
      <c r="C437" s="128" t="n"/>
      <c r="D437" s="128" t="n"/>
      <c r="E437" s="120" t="n"/>
      <c r="F437" s="129" t="n"/>
      <c r="G437" s="120" t="n"/>
      <c r="H437" s="122" t="n"/>
      <c r="I437" s="122" t="n"/>
      <c r="J437" s="127">
        <f>IF($A437="","",IFERROR($D437-$C437,0))</f>
        <v/>
      </c>
      <c r="K437" s="121">
        <f>IF($A437="","",IF($H437="Evet",0,$G437))</f>
        <v/>
      </c>
    </row>
    <row r="438" ht="15" customHeight="1" s="78">
      <c r="A438" s="122" t="n"/>
      <c r="B438" s="122" t="n"/>
      <c r="C438" s="128" t="n"/>
      <c r="D438" s="128" t="n"/>
      <c r="E438" s="120" t="n"/>
      <c r="F438" s="129" t="n"/>
      <c r="G438" s="120" t="n"/>
      <c r="H438" s="122" t="n"/>
      <c r="I438" s="122" t="n"/>
      <c r="J438" s="127">
        <f>IF($A438="","",IFERROR($D438-$C438,0))</f>
        <v/>
      </c>
      <c r="K438" s="121">
        <f>IF($A438="","",IF($H438="Evet",0,$G438))</f>
        <v/>
      </c>
    </row>
    <row r="439" ht="15" customHeight="1" s="78">
      <c r="A439" s="122" t="n"/>
      <c r="B439" s="122" t="n"/>
      <c r="C439" s="128" t="n"/>
      <c r="D439" s="128" t="n"/>
      <c r="E439" s="120" t="n"/>
      <c r="F439" s="129" t="n"/>
      <c r="G439" s="120" t="n"/>
      <c r="H439" s="122" t="n"/>
      <c r="I439" s="122" t="n"/>
      <c r="J439" s="127">
        <f>IF($A439="","",IFERROR($D439-$C439,0))</f>
        <v/>
      </c>
      <c r="K439" s="121">
        <f>IF($A439="","",IF($H439="Evet",0,$G439))</f>
        <v/>
      </c>
    </row>
    <row r="440" ht="15" customHeight="1" s="78">
      <c r="A440" s="122" t="n"/>
      <c r="B440" s="122" t="n"/>
      <c r="C440" s="128" t="n"/>
      <c r="D440" s="128" t="n"/>
      <c r="E440" s="120" t="n"/>
      <c r="F440" s="129" t="n"/>
      <c r="G440" s="120" t="n"/>
      <c r="H440" s="122" t="n"/>
      <c r="I440" s="122" t="n"/>
      <c r="J440" s="127">
        <f>IF($A440="","",IFERROR($D440-$C440,0))</f>
        <v/>
      </c>
      <c r="K440" s="121">
        <f>IF($A440="","",IF($H440="Evet",0,$G440))</f>
        <v/>
      </c>
    </row>
    <row r="441" ht="15" customHeight="1" s="78">
      <c r="A441" s="122" t="n"/>
      <c r="B441" s="122" t="n"/>
      <c r="C441" s="128" t="n"/>
      <c r="D441" s="128" t="n"/>
      <c r="E441" s="120" t="n"/>
      <c r="F441" s="129" t="n"/>
      <c r="G441" s="120" t="n"/>
      <c r="H441" s="122" t="n"/>
      <c r="I441" s="122" t="n"/>
      <c r="J441" s="127">
        <f>IF($A441="","",IFERROR($D441-$C441,0))</f>
        <v/>
      </c>
      <c r="K441" s="121">
        <f>IF($A441="","",IF($H441="Evet",0,$G441))</f>
        <v/>
      </c>
    </row>
    <row r="442" ht="15" customHeight="1" s="78">
      <c r="A442" s="122" t="n"/>
      <c r="B442" s="122" t="n"/>
      <c r="C442" s="128" t="n"/>
      <c r="D442" s="128" t="n"/>
      <c r="E442" s="120" t="n"/>
      <c r="F442" s="129" t="n"/>
      <c r="G442" s="120" t="n"/>
      <c r="H442" s="122" t="n"/>
      <c r="I442" s="122" t="n"/>
      <c r="J442" s="127">
        <f>IF($A442="","",IFERROR($D442-$C442,0))</f>
        <v/>
      </c>
      <c r="K442" s="121">
        <f>IF($A442="","",IF($H442="Evet",0,$G442))</f>
        <v/>
      </c>
    </row>
    <row r="443" ht="15" customHeight="1" s="78">
      <c r="A443" s="122" t="n"/>
      <c r="B443" s="122" t="n"/>
      <c r="C443" s="128" t="n"/>
      <c r="D443" s="128" t="n"/>
      <c r="E443" s="120" t="n"/>
      <c r="F443" s="129" t="n"/>
      <c r="G443" s="120" t="n"/>
      <c r="H443" s="122" t="n"/>
      <c r="I443" s="122" t="n"/>
      <c r="J443" s="127">
        <f>IF($A443="","",IFERROR($D443-$C443,0))</f>
        <v/>
      </c>
      <c r="K443" s="121">
        <f>IF($A443="","",IF($H443="Evet",0,$G443))</f>
        <v/>
      </c>
    </row>
    <row r="444" ht="15" customHeight="1" s="78">
      <c r="A444" s="122" t="n"/>
      <c r="B444" s="122" t="n"/>
      <c r="C444" s="128" t="n"/>
      <c r="D444" s="128" t="n"/>
      <c r="E444" s="120" t="n"/>
      <c r="F444" s="129" t="n"/>
      <c r="G444" s="120" t="n"/>
      <c r="H444" s="122" t="n"/>
      <c r="I444" s="122" t="n"/>
      <c r="J444" s="127">
        <f>IF($A444="","",IFERROR($D444-$C444,0))</f>
        <v/>
      </c>
      <c r="K444" s="121">
        <f>IF($A444="","",IF($H444="Evet",0,$G444))</f>
        <v/>
      </c>
    </row>
    <row r="445" ht="15" customHeight="1" s="78">
      <c r="A445" s="122" t="n"/>
      <c r="B445" s="122" t="n"/>
      <c r="C445" s="128" t="n"/>
      <c r="D445" s="128" t="n"/>
      <c r="E445" s="120" t="n"/>
      <c r="F445" s="129" t="n"/>
      <c r="G445" s="120" t="n"/>
      <c r="H445" s="122" t="n"/>
      <c r="I445" s="122" t="n"/>
      <c r="J445" s="127">
        <f>IF($A445="","",IFERROR($D445-$C445,0))</f>
        <v/>
      </c>
      <c r="K445" s="121">
        <f>IF($A445="","",IF($H445="Evet",0,$G445))</f>
        <v/>
      </c>
    </row>
    <row r="446" ht="15" customHeight="1" s="78">
      <c r="A446" s="122" t="n"/>
      <c r="B446" s="122" t="n"/>
      <c r="C446" s="128" t="n"/>
      <c r="D446" s="128" t="n"/>
      <c r="E446" s="120" t="n"/>
      <c r="F446" s="129" t="n"/>
      <c r="G446" s="120" t="n"/>
      <c r="H446" s="122" t="n"/>
      <c r="I446" s="122" t="n"/>
      <c r="J446" s="127">
        <f>IF($A446="","",IFERROR($D446-$C446,0))</f>
        <v/>
      </c>
      <c r="K446" s="121">
        <f>IF($A446="","",IF($H446="Evet",0,$G446))</f>
        <v/>
      </c>
    </row>
    <row r="447" ht="15" customHeight="1" s="78">
      <c r="A447" s="122" t="n"/>
      <c r="B447" s="122" t="n"/>
      <c r="C447" s="128" t="n"/>
      <c r="D447" s="128" t="n"/>
      <c r="E447" s="120" t="n"/>
      <c r="F447" s="129" t="n"/>
      <c r="G447" s="120" t="n"/>
      <c r="H447" s="122" t="n"/>
      <c r="I447" s="122" t="n"/>
      <c r="J447" s="127">
        <f>IF($A447="","",IFERROR($D447-$C447,0))</f>
        <v/>
      </c>
      <c r="K447" s="121">
        <f>IF($A447="","",IF($H447="Evet",0,$G447))</f>
        <v/>
      </c>
    </row>
    <row r="448" ht="15" customHeight="1" s="78">
      <c r="A448" s="122" t="n"/>
      <c r="B448" s="122" t="n"/>
      <c r="C448" s="128" t="n"/>
      <c r="D448" s="128" t="n"/>
      <c r="E448" s="120" t="n"/>
      <c r="F448" s="129" t="n"/>
      <c r="G448" s="120" t="n"/>
      <c r="H448" s="122" t="n"/>
      <c r="I448" s="122" t="n"/>
      <c r="J448" s="127">
        <f>IF($A448="","",IFERROR($D448-$C448,0))</f>
        <v/>
      </c>
      <c r="K448" s="121">
        <f>IF($A448="","",IF($H448="Evet",0,$G448))</f>
        <v/>
      </c>
    </row>
    <row r="449" ht="15" customHeight="1" s="78">
      <c r="A449" s="122" t="n"/>
      <c r="B449" s="122" t="n"/>
      <c r="C449" s="128" t="n"/>
      <c r="D449" s="128" t="n"/>
      <c r="E449" s="120" t="n"/>
      <c r="F449" s="129" t="n"/>
      <c r="G449" s="120" t="n"/>
      <c r="H449" s="122" t="n"/>
      <c r="I449" s="122" t="n"/>
      <c r="J449" s="127">
        <f>IF($A449="","",IFERROR($D449-$C449,0))</f>
        <v/>
      </c>
      <c r="K449" s="121">
        <f>IF($A449="","",IF($H449="Evet",0,$G449))</f>
        <v/>
      </c>
    </row>
    <row r="450" ht="15" customHeight="1" s="78">
      <c r="A450" s="122" t="n"/>
      <c r="B450" s="122" t="n"/>
      <c r="C450" s="128" t="n"/>
      <c r="D450" s="128" t="n"/>
      <c r="E450" s="120" t="n"/>
      <c r="F450" s="129" t="n"/>
      <c r="G450" s="120" t="n"/>
      <c r="H450" s="122" t="n"/>
      <c r="I450" s="122" t="n"/>
      <c r="J450" s="127">
        <f>IF($A450="","",IFERROR($D450-$C450,0))</f>
        <v/>
      </c>
      <c r="K450" s="121">
        <f>IF($A450="","",IF($H450="Evet",0,$G450))</f>
        <v/>
      </c>
    </row>
    <row r="451" ht="15" customHeight="1" s="78">
      <c r="A451" s="122" t="n"/>
      <c r="B451" s="122" t="n"/>
      <c r="C451" s="128" t="n"/>
      <c r="D451" s="128" t="n"/>
      <c r="E451" s="120" t="n"/>
      <c r="F451" s="129" t="n"/>
      <c r="G451" s="120" t="n"/>
      <c r="H451" s="122" t="n"/>
      <c r="I451" s="122" t="n"/>
      <c r="J451" s="127">
        <f>IF($A451="","",IFERROR($D451-$C451,0))</f>
        <v/>
      </c>
      <c r="K451" s="121">
        <f>IF($A451="","",IF($H451="Evet",0,$G451))</f>
        <v/>
      </c>
    </row>
    <row r="452" ht="15" customHeight="1" s="78">
      <c r="A452" s="122" t="n"/>
      <c r="B452" s="122" t="n"/>
      <c r="C452" s="128" t="n"/>
      <c r="D452" s="128" t="n"/>
      <c r="E452" s="120" t="n"/>
      <c r="F452" s="129" t="n"/>
      <c r="G452" s="120" t="n"/>
      <c r="H452" s="122" t="n"/>
      <c r="I452" s="122" t="n"/>
      <c r="J452" s="127">
        <f>IF($A452="","",IFERROR($D452-$C452,0))</f>
        <v/>
      </c>
      <c r="K452" s="121">
        <f>IF($A452="","",IF($H452="Evet",0,$G452))</f>
        <v/>
      </c>
    </row>
    <row r="453" ht="15" customHeight="1" s="78">
      <c r="A453" s="122" t="n"/>
      <c r="B453" s="122" t="n"/>
      <c r="C453" s="128" t="n"/>
      <c r="D453" s="128" t="n"/>
      <c r="E453" s="120" t="n"/>
      <c r="F453" s="129" t="n"/>
      <c r="G453" s="120" t="n"/>
      <c r="H453" s="122" t="n"/>
      <c r="I453" s="122" t="n"/>
      <c r="J453" s="127">
        <f>IF($A453="","",IFERROR($D453-$C453,0))</f>
        <v/>
      </c>
      <c r="K453" s="121">
        <f>IF($A453="","",IF($H453="Evet",0,$G453))</f>
        <v/>
      </c>
    </row>
    <row r="454" ht="15" customHeight="1" s="78">
      <c r="A454" s="122" t="n"/>
      <c r="B454" s="122" t="n"/>
      <c r="C454" s="128" t="n"/>
      <c r="D454" s="128" t="n"/>
      <c r="E454" s="120" t="n"/>
      <c r="F454" s="129" t="n"/>
      <c r="G454" s="120" t="n"/>
      <c r="H454" s="122" t="n"/>
      <c r="I454" s="122" t="n"/>
      <c r="J454" s="127">
        <f>IF($A454="","",IFERROR($D454-$C454,0))</f>
        <v/>
      </c>
      <c r="K454" s="121">
        <f>IF($A454="","",IF($H454="Evet",0,$G454))</f>
        <v/>
      </c>
    </row>
    <row r="455" ht="15" customHeight="1" s="78">
      <c r="A455" s="122" t="n"/>
      <c r="B455" s="122" t="n"/>
      <c r="C455" s="128" t="n"/>
      <c r="D455" s="128" t="n"/>
      <c r="E455" s="120" t="n"/>
      <c r="F455" s="129" t="n"/>
      <c r="G455" s="120" t="n"/>
      <c r="H455" s="122" t="n"/>
      <c r="I455" s="122" t="n"/>
      <c r="J455" s="127">
        <f>IF($A455="","",IFERROR($D455-$C455,0))</f>
        <v/>
      </c>
      <c r="K455" s="121">
        <f>IF($A455="","",IF($H455="Evet",0,$G455))</f>
        <v/>
      </c>
    </row>
    <row r="456" ht="15" customHeight="1" s="78">
      <c r="A456" s="122" t="n"/>
      <c r="B456" s="122" t="n"/>
      <c r="C456" s="128" t="n"/>
      <c r="D456" s="128" t="n"/>
      <c r="E456" s="120" t="n"/>
      <c r="F456" s="129" t="n"/>
      <c r="G456" s="120" t="n"/>
      <c r="H456" s="122" t="n"/>
      <c r="I456" s="122" t="n"/>
      <c r="J456" s="127">
        <f>IF($A456="","",IFERROR($D456-$C456,0))</f>
        <v/>
      </c>
      <c r="K456" s="121">
        <f>IF($A456="","",IF($H456="Evet",0,$G456))</f>
        <v/>
      </c>
    </row>
    <row r="457" ht="15" customHeight="1" s="78">
      <c r="A457" s="122" t="n"/>
      <c r="B457" s="122" t="n"/>
      <c r="C457" s="128" t="n"/>
      <c r="D457" s="128" t="n"/>
      <c r="E457" s="120" t="n"/>
      <c r="F457" s="129" t="n"/>
      <c r="G457" s="120" t="n"/>
      <c r="H457" s="122" t="n"/>
      <c r="I457" s="122" t="n"/>
      <c r="J457" s="127">
        <f>IF($A457="","",IFERROR($D457-$C457,0))</f>
        <v/>
      </c>
      <c r="K457" s="121">
        <f>IF($A457="","",IF($H457="Evet",0,$G457))</f>
        <v/>
      </c>
    </row>
    <row r="458" ht="15" customHeight="1" s="78">
      <c r="A458" s="122" t="n"/>
      <c r="B458" s="122" t="n"/>
      <c r="C458" s="128" t="n"/>
      <c r="D458" s="128" t="n"/>
      <c r="E458" s="120" t="n"/>
      <c r="F458" s="129" t="n"/>
      <c r="G458" s="120" t="n"/>
      <c r="H458" s="122" t="n"/>
      <c r="I458" s="122" t="n"/>
      <c r="J458" s="127">
        <f>IF($A458="","",IFERROR($D458-$C458,0))</f>
        <v/>
      </c>
      <c r="K458" s="121">
        <f>IF($A458="","",IF($H458="Evet",0,$G458))</f>
        <v/>
      </c>
    </row>
    <row r="459" ht="15" customHeight="1" s="78">
      <c r="A459" s="122" t="n"/>
      <c r="B459" s="122" t="n"/>
      <c r="C459" s="128" t="n"/>
      <c r="D459" s="128" t="n"/>
      <c r="E459" s="120" t="n"/>
      <c r="F459" s="129" t="n"/>
      <c r="G459" s="120" t="n"/>
      <c r="H459" s="122" t="n"/>
      <c r="I459" s="122" t="n"/>
      <c r="J459" s="127">
        <f>IF($A459="","",IFERROR($D459-$C459,0))</f>
        <v/>
      </c>
      <c r="K459" s="121">
        <f>IF($A459="","",IF($H459="Evet",0,$G459))</f>
        <v/>
      </c>
    </row>
    <row r="460" ht="15" customHeight="1" s="78">
      <c r="A460" s="122" t="n"/>
      <c r="B460" s="122" t="n"/>
      <c r="C460" s="128" t="n"/>
      <c r="D460" s="128" t="n"/>
      <c r="E460" s="120" t="n"/>
      <c r="F460" s="129" t="n"/>
      <c r="G460" s="120" t="n"/>
      <c r="H460" s="122" t="n"/>
      <c r="I460" s="122" t="n"/>
      <c r="J460" s="127">
        <f>IF($A460="","",IFERROR($D460-$C460,0))</f>
        <v/>
      </c>
      <c r="K460" s="121">
        <f>IF($A460="","",IF($H460="Evet",0,$G460))</f>
        <v/>
      </c>
    </row>
    <row r="461" ht="15" customHeight="1" s="78">
      <c r="A461" s="122" t="n"/>
      <c r="B461" s="122" t="n"/>
      <c r="C461" s="128" t="n"/>
      <c r="D461" s="128" t="n"/>
      <c r="E461" s="120" t="n"/>
      <c r="F461" s="129" t="n"/>
      <c r="G461" s="120" t="n"/>
      <c r="H461" s="122" t="n"/>
      <c r="I461" s="122" t="n"/>
      <c r="J461" s="127">
        <f>IF($A461="","",IFERROR($D461-$C461,0))</f>
        <v/>
      </c>
      <c r="K461" s="121">
        <f>IF($A461="","",IF($H461="Evet",0,$G461))</f>
        <v/>
      </c>
    </row>
    <row r="462" ht="15" customHeight="1" s="78">
      <c r="A462" s="122" t="n"/>
      <c r="B462" s="122" t="n"/>
      <c r="C462" s="128" t="n"/>
      <c r="D462" s="128" t="n"/>
      <c r="E462" s="120" t="n"/>
      <c r="F462" s="129" t="n"/>
      <c r="G462" s="120" t="n"/>
      <c r="H462" s="122" t="n"/>
      <c r="I462" s="122" t="n"/>
      <c r="J462" s="127">
        <f>IF($A462="","",IFERROR($D462-$C462,0))</f>
        <v/>
      </c>
      <c r="K462" s="121">
        <f>IF($A462="","",IF($H462="Evet",0,$G462))</f>
        <v/>
      </c>
    </row>
    <row r="463" ht="15" customHeight="1" s="78">
      <c r="A463" s="122" t="n"/>
      <c r="B463" s="122" t="n"/>
      <c r="C463" s="128" t="n"/>
      <c r="D463" s="128" t="n"/>
      <c r="E463" s="120" t="n"/>
      <c r="F463" s="129" t="n"/>
      <c r="G463" s="120" t="n"/>
      <c r="H463" s="122" t="n"/>
      <c r="I463" s="122" t="n"/>
      <c r="J463" s="127">
        <f>IF($A463="","",IFERROR($D463-$C463,0))</f>
        <v/>
      </c>
      <c r="K463" s="121">
        <f>IF($A463="","",IF($H463="Evet",0,$G463))</f>
        <v/>
      </c>
    </row>
    <row r="464" ht="15" customHeight="1" s="78">
      <c r="A464" s="122" t="n"/>
      <c r="B464" s="122" t="n"/>
      <c r="C464" s="128" t="n"/>
      <c r="D464" s="128" t="n"/>
      <c r="E464" s="120" t="n"/>
      <c r="F464" s="129" t="n"/>
      <c r="G464" s="120" t="n"/>
      <c r="H464" s="122" t="n"/>
      <c r="I464" s="122" t="n"/>
      <c r="J464" s="127">
        <f>IF($A464="","",IFERROR($D464-$C464,0))</f>
        <v/>
      </c>
      <c r="K464" s="121">
        <f>IF($A464="","",IF($H464="Evet",0,$G464))</f>
        <v/>
      </c>
    </row>
    <row r="465" ht="15" customHeight="1" s="78">
      <c r="A465" s="122" t="n"/>
      <c r="B465" s="122" t="n"/>
      <c r="C465" s="128" t="n"/>
      <c r="D465" s="128" t="n"/>
      <c r="E465" s="120" t="n"/>
      <c r="F465" s="129" t="n"/>
      <c r="G465" s="120" t="n"/>
      <c r="H465" s="122" t="n"/>
      <c r="I465" s="122" t="n"/>
      <c r="J465" s="127">
        <f>IF($A465="","",IFERROR($D465-$C465,0))</f>
        <v/>
      </c>
      <c r="K465" s="121">
        <f>IF($A465="","",IF($H465="Evet",0,$G465))</f>
        <v/>
      </c>
    </row>
    <row r="466" ht="15" customHeight="1" s="78">
      <c r="A466" s="122" t="n"/>
      <c r="B466" s="122" t="n"/>
      <c r="C466" s="128" t="n"/>
      <c r="D466" s="128" t="n"/>
      <c r="E466" s="120" t="n"/>
      <c r="F466" s="129" t="n"/>
      <c r="G466" s="120" t="n"/>
      <c r="H466" s="122" t="n"/>
      <c r="I466" s="122" t="n"/>
      <c r="J466" s="127">
        <f>IF($A466="","",IFERROR($D466-$C466,0))</f>
        <v/>
      </c>
      <c r="K466" s="121">
        <f>IF($A466="","",IF($H466="Evet",0,$G466))</f>
        <v/>
      </c>
    </row>
    <row r="467" ht="15" customHeight="1" s="78">
      <c r="A467" s="122" t="n"/>
      <c r="B467" s="122" t="n"/>
      <c r="C467" s="128" t="n"/>
      <c r="D467" s="128" t="n"/>
      <c r="E467" s="120" t="n"/>
      <c r="F467" s="129" t="n"/>
      <c r="G467" s="120" t="n"/>
      <c r="H467" s="122" t="n"/>
      <c r="I467" s="122" t="n"/>
      <c r="J467" s="127">
        <f>IF($A467="","",IFERROR($D467-$C467,0))</f>
        <v/>
      </c>
      <c r="K467" s="121">
        <f>IF($A467="","",IF($H467="Evet",0,$G467))</f>
        <v/>
      </c>
    </row>
    <row r="468" ht="15" customHeight="1" s="78">
      <c r="A468" s="122" t="n"/>
      <c r="B468" s="122" t="n"/>
      <c r="C468" s="128" t="n"/>
      <c r="D468" s="128" t="n"/>
      <c r="E468" s="120" t="n"/>
      <c r="F468" s="129" t="n"/>
      <c r="G468" s="120" t="n"/>
      <c r="H468" s="122" t="n"/>
      <c r="I468" s="122" t="n"/>
      <c r="J468" s="127">
        <f>IF($A468="","",IFERROR($D468-$C468,0))</f>
        <v/>
      </c>
      <c r="K468" s="121">
        <f>IF($A468="","",IF($H468="Evet",0,$G468))</f>
        <v/>
      </c>
    </row>
    <row r="469" ht="15" customHeight="1" s="78">
      <c r="A469" s="122" t="n"/>
      <c r="B469" s="122" t="n"/>
      <c r="C469" s="128" t="n"/>
      <c r="D469" s="128" t="n"/>
      <c r="E469" s="120" t="n"/>
      <c r="F469" s="129" t="n"/>
      <c r="G469" s="120" t="n"/>
      <c r="H469" s="122" t="n"/>
      <c r="I469" s="122" t="n"/>
      <c r="J469" s="127">
        <f>IF($A469="","",IFERROR($D469-$C469,0))</f>
        <v/>
      </c>
      <c r="K469" s="121">
        <f>IF($A469="","",IF($H469="Evet",0,$G469))</f>
        <v/>
      </c>
    </row>
    <row r="470" ht="15" customHeight="1" s="78">
      <c r="A470" s="122" t="n"/>
      <c r="B470" s="122" t="n"/>
      <c r="C470" s="128" t="n"/>
      <c r="D470" s="128" t="n"/>
      <c r="E470" s="120" t="n"/>
      <c r="F470" s="129" t="n"/>
      <c r="G470" s="120" t="n"/>
      <c r="H470" s="122" t="n"/>
      <c r="I470" s="122" t="n"/>
      <c r="J470" s="127">
        <f>IF($A470="","",IFERROR($D470-$C470,0))</f>
        <v/>
      </c>
      <c r="K470" s="121">
        <f>IF($A470="","",IF($H470="Evet",0,$G470))</f>
        <v/>
      </c>
    </row>
    <row r="471" ht="15" customHeight="1" s="78">
      <c r="A471" s="122" t="n"/>
      <c r="B471" s="122" t="n"/>
      <c r="C471" s="128" t="n"/>
      <c r="D471" s="128" t="n"/>
      <c r="E471" s="120" t="n"/>
      <c r="F471" s="129" t="n"/>
      <c r="G471" s="120" t="n"/>
      <c r="H471" s="122" t="n"/>
      <c r="I471" s="122" t="n"/>
      <c r="J471" s="127">
        <f>IF($A471="","",IFERROR($D471-$C471,0))</f>
        <v/>
      </c>
      <c r="K471" s="121">
        <f>IF($A471="","",IF($H471="Evet",0,$G471))</f>
        <v/>
      </c>
    </row>
    <row r="472" ht="15" customHeight="1" s="78">
      <c r="A472" s="122" t="n"/>
      <c r="B472" s="122" t="n"/>
      <c r="C472" s="128" t="n"/>
      <c r="D472" s="128" t="n"/>
      <c r="E472" s="120" t="n"/>
      <c r="F472" s="129" t="n"/>
      <c r="G472" s="120" t="n"/>
      <c r="H472" s="122" t="n"/>
      <c r="I472" s="122" t="n"/>
      <c r="J472" s="127">
        <f>IF($A472="","",IFERROR($D472-$C472,0))</f>
        <v/>
      </c>
      <c r="K472" s="121">
        <f>IF($A472="","",IF($H472="Evet",0,$G472))</f>
        <v/>
      </c>
    </row>
    <row r="473" ht="15" customHeight="1" s="78">
      <c r="A473" s="122" t="n"/>
      <c r="B473" s="122" t="n"/>
      <c r="C473" s="128" t="n"/>
      <c r="D473" s="128" t="n"/>
      <c r="E473" s="120" t="n"/>
      <c r="F473" s="129" t="n"/>
      <c r="G473" s="120" t="n"/>
      <c r="H473" s="122" t="n"/>
      <c r="I473" s="122" t="n"/>
      <c r="J473" s="127">
        <f>IF($A473="","",IFERROR($D473-$C473,0))</f>
        <v/>
      </c>
      <c r="K473" s="121">
        <f>IF($A473="","",IF($H473="Evet",0,$G473))</f>
        <v/>
      </c>
    </row>
    <row r="474" ht="15" customHeight="1" s="78">
      <c r="A474" s="122" t="n"/>
      <c r="B474" s="122" t="n"/>
      <c r="C474" s="128" t="n"/>
      <c r="D474" s="128" t="n"/>
      <c r="E474" s="120" t="n"/>
      <c r="F474" s="129" t="n"/>
      <c r="G474" s="120" t="n"/>
      <c r="H474" s="122" t="n"/>
      <c r="I474" s="122" t="n"/>
      <c r="J474" s="127">
        <f>IF($A474="","",IFERROR($D474-$C474,0))</f>
        <v/>
      </c>
      <c r="K474" s="121">
        <f>IF($A474="","",IF($H474="Evet",0,$G474))</f>
        <v/>
      </c>
    </row>
    <row r="475" ht="15" customHeight="1" s="78">
      <c r="A475" s="122" t="n"/>
      <c r="B475" s="122" t="n"/>
      <c r="C475" s="128" t="n"/>
      <c r="D475" s="128" t="n"/>
      <c r="E475" s="120" t="n"/>
      <c r="F475" s="129" t="n"/>
      <c r="G475" s="120" t="n"/>
      <c r="H475" s="122" t="n"/>
      <c r="I475" s="122" t="n"/>
      <c r="J475" s="127">
        <f>IF($A475="","",IFERROR($D475-$C475,0))</f>
        <v/>
      </c>
      <c r="K475" s="121">
        <f>IF($A475="","",IF($H475="Evet",0,$G475))</f>
        <v/>
      </c>
    </row>
    <row r="476" ht="15" customHeight="1" s="78">
      <c r="A476" s="122" t="n"/>
      <c r="B476" s="122" t="n"/>
      <c r="C476" s="128" t="n"/>
      <c r="D476" s="128" t="n"/>
      <c r="E476" s="120" t="n"/>
      <c r="F476" s="129" t="n"/>
      <c r="G476" s="120" t="n"/>
      <c r="H476" s="122" t="n"/>
      <c r="I476" s="122" t="n"/>
      <c r="J476" s="127">
        <f>IF($A476="","",IFERROR($D476-$C476,0))</f>
        <v/>
      </c>
      <c r="K476" s="121">
        <f>IF($A476="","",IF($H476="Evet",0,$G476))</f>
        <v/>
      </c>
    </row>
    <row r="477" ht="15" customHeight="1" s="78">
      <c r="A477" s="122" t="n"/>
      <c r="B477" s="122" t="n"/>
      <c r="C477" s="128" t="n"/>
      <c r="D477" s="128" t="n"/>
      <c r="E477" s="120" t="n"/>
      <c r="F477" s="129" t="n"/>
      <c r="G477" s="120" t="n"/>
      <c r="H477" s="122" t="n"/>
      <c r="I477" s="122" t="n"/>
      <c r="J477" s="127">
        <f>IF($A477="","",IFERROR($D477-$C477,0))</f>
        <v/>
      </c>
      <c r="K477" s="121">
        <f>IF($A477="","",IF($H477="Evet",0,$G477))</f>
        <v/>
      </c>
    </row>
    <row r="478" ht="15" customHeight="1" s="78">
      <c r="A478" s="122" t="n"/>
      <c r="B478" s="122" t="n"/>
      <c r="C478" s="128" t="n"/>
      <c r="D478" s="128" t="n"/>
      <c r="E478" s="120" t="n"/>
      <c r="F478" s="129" t="n"/>
      <c r="G478" s="120" t="n"/>
      <c r="H478" s="122" t="n"/>
      <c r="I478" s="122" t="n"/>
      <c r="J478" s="127">
        <f>IF($A478="","",IFERROR($D478-$C478,0))</f>
        <v/>
      </c>
      <c r="K478" s="121">
        <f>IF($A478="","",IF($H478="Evet",0,$G478))</f>
        <v/>
      </c>
    </row>
    <row r="479" ht="15" customHeight="1" s="78">
      <c r="A479" s="122" t="n"/>
      <c r="B479" s="122" t="n"/>
      <c r="C479" s="128" t="n"/>
      <c r="D479" s="128" t="n"/>
      <c r="E479" s="120" t="n"/>
      <c r="F479" s="129" t="n"/>
      <c r="G479" s="120" t="n"/>
      <c r="H479" s="122" t="n"/>
      <c r="I479" s="122" t="n"/>
      <c r="J479" s="127">
        <f>IF($A479="","",IFERROR($D479-$C479,0))</f>
        <v/>
      </c>
      <c r="K479" s="121">
        <f>IF($A479="","",IF($H479="Evet",0,$G479))</f>
        <v/>
      </c>
    </row>
    <row r="480" ht="15" customHeight="1" s="78">
      <c r="A480" s="122" t="n"/>
      <c r="B480" s="122" t="n"/>
      <c r="C480" s="128" t="n"/>
      <c r="D480" s="128" t="n"/>
      <c r="E480" s="120" t="n"/>
      <c r="F480" s="129" t="n"/>
      <c r="G480" s="120" t="n"/>
      <c r="H480" s="122" t="n"/>
      <c r="I480" s="122" t="n"/>
      <c r="J480" s="127">
        <f>IF($A480="","",IFERROR($D480-$C480,0))</f>
        <v/>
      </c>
      <c r="K480" s="121">
        <f>IF($A480="","",IF($H480="Evet",0,$G480))</f>
        <v/>
      </c>
    </row>
    <row r="481" ht="15" customHeight="1" s="78">
      <c r="A481" s="122" t="n"/>
      <c r="B481" s="122" t="n"/>
      <c r="C481" s="128" t="n"/>
      <c r="D481" s="128" t="n"/>
      <c r="E481" s="120" t="n"/>
      <c r="F481" s="129" t="n"/>
      <c r="G481" s="120" t="n"/>
      <c r="H481" s="122" t="n"/>
      <c r="I481" s="122" t="n"/>
      <c r="J481" s="127">
        <f>IF($A481="","",IFERROR($D481-$C481,0))</f>
        <v/>
      </c>
      <c r="K481" s="121">
        <f>IF($A481="","",IF($H481="Evet",0,$G481))</f>
        <v/>
      </c>
    </row>
    <row r="482" ht="15" customHeight="1" s="78">
      <c r="A482" s="122" t="n"/>
      <c r="B482" s="122" t="n"/>
      <c r="C482" s="128" t="n"/>
      <c r="D482" s="128" t="n"/>
      <c r="E482" s="120" t="n"/>
      <c r="F482" s="129" t="n"/>
      <c r="G482" s="120" t="n"/>
      <c r="H482" s="122" t="n"/>
      <c r="I482" s="122" t="n"/>
      <c r="J482" s="127">
        <f>IF($A482="","",IFERROR($D482-$C482,0))</f>
        <v/>
      </c>
      <c r="K482" s="121">
        <f>IF($A482="","",IF($H482="Evet",0,$G482))</f>
        <v/>
      </c>
    </row>
    <row r="483" ht="15" customHeight="1" s="78">
      <c r="A483" s="122" t="n"/>
      <c r="B483" s="122" t="n"/>
      <c r="C483" s="128" t="n"/>
      <c r="D483" s="128" t="n"/>
      <c r="E483" s="120" t="n"/>
      <c r="F483" s="129" t="n"/>
      <c r="G483" s="120" t="n"/>
      <c r="H483" s="122" t="n"/>
      <c r="I483" s="122" t="n"/>
      <c r="J483" s="127">
        <f>IF($A483="","",IFERROR($D483-$C483,0))</f>
        <v/>
      </c>
      <c r="K483" s="121">
        <f>IF($A483="","",IF($H483="Evet",0,$G483))</f>
        <v/>
      </c>
    </row>
    <row r="484" ht="15" customHeight="1" s="78">
      <c r="A484" s="122" t="n"/>
      <c r="B484" s="122" t="n"/>
      <c r="C484" s="128" t="n"/>
      <c r="D484" s="128" t="n"/>
      <c r="E484" s="120" t="n"/>
      <c r="F484" s="129" t="n"/>
      <c r="G484" s="120" t="n"/>
      <c r="H484" s="122" t="n"/>
      <c r="I484" s="122" t="n"/>
      <c r="J484" s="127">
        <f>IF($A484="","",IFERROR($D484-$C484,0))</f>
        <v/>
      </c>
      <c r="K484" s="121">
        <f>IF($A484="","",IF($H484="Evet",0,$G484))</f>
        <v/>
      </c>
    </row>
    <row r="485" ht="15" customHeight="1" s="78">
      <c r="A485" s="122" t="n"/>
      <c r="B485" s="122" t="n"/>
      <c r="C485" s="128" t="n"/>
      <c r="D485" s="128" t="n"/>
      <c r="E485" s="120" t="n"/>
      <c r="F485" s="129" t="n"/>
      <c r="G485" s="120" t="n"/>
      <c r="H485" s="122" t="n"/>
      <c r="I485" s="122" t="n"/>
      <c r="J485" s="127">
        <f>IF($A485="","",IFERROR($D485-$C485,0))</f>
        <v/>
      </c>
      <c r="K485" s="121">
        <f>IF($A485="","",IF($H485="Evet",0,$G485))</f>
        <v/>
      </c>
    </row>
    <row r="486" ht="15" customHeight="1" s="78">
      <c r="A486" s="122" t="n"/>
      <c r="B486" s="122" t="n"/>
      <c r="C486" s="128" t="n"/>
      <c r="D486" s="128" t="n"/>
      <c r="E486" s="120" t="n"/>
      <c r="F486" s="129" t="n"/>
      <c r="G486" s="120" t="n"/>
      <c r="H486" s="122" t="n"/>
      <c r="I486" s="122" t="n"/>
      <c r="J486" s="127">
        <f>IF($A486="","",IFERROR($D486-$C486,0))</f>
        <v/>
      </c>
      <c r="K486" s="121">
        <f>IF($A486="","",IF($H486="Evet",0,$G486))</f>
        <v/>
      </c>
    </row>
    <row r="487" ht="15" customHeight="1" s="78">
      <c r="A487" s="122" t="n"/>
      <c r="B487" s="122" t="n"/>
      <c r="C487" s="128" t="n"/>
      <c r="D487" s="128" t="n"/>
      <c r="E487" s="120" t="n"/>
      <c r="F487" s="129" t="n"/>
      <c r="G487" s="120" t="n"/>
      <c r="H487" s="122" t="n"/>
      <c r="I487" s="122" t="n"/>
      <c r="J487" s="127">
        <f>IF($A487="","",IFERROR($D487-$C487,0))</f>
        <v/>
      </c>
      <c r="K487" s="121">
        <f>IF($A487="","",IF($H487="Evet",0,$G487))</f>
        <v/>
      </c>
    </row>
    <row r="488" ht="15" customHeight="1" s="78">
      <c r="A488" s="122" t="n"/>
      <c r="B488" s="122" t="n"/>
      <c r="C488" s="128" t="n"/>
      <c r="D488" s="128" t="n"/>
      <c r="E488" s="120" t="n"/>
      <c r="F488" s="129" t="n"/>
      <c r="G488" s="120" t="n"/>
      <c r="H488" s="122" t="n"/>
      <c r="I488" s="122" t="n"/>
      <c r="J488" s="127">
        <f>IF($A488="","",IFERROR($D488-$C488,0))</f>
        <v/>
      </c>
      <c r="K488" s="121">
        <f>IF($A488="","",IF($H488="Evet",0,$G488))</f>
        <v/>
      </c>
    </row>
    <row r="489" ht="15" customHeight="1" s="78">
      <c r="A489" s="122" t="n"/>
      <c r="B489" s="122" t="n"/>
      <c r="C489" s="128" t="n"/>
      <c r="D489" s="128" t="n"/>
      <c r="E489" s="120" t="n"/>
      <c r="F489" s="129" t="n"/>
      <c r="G489" s="120" t="n"/>
      <c r="H489" s="122" t="n"/>
      <c r="I489" s="122" t="n"/>
      <c r="J489" s="127">
        <f>IF($A489="","",IFERROR($D489-$C489,0))</f>
        <v/>
      </c>
      <c r="K489" s="121">
        <f>IF($A489="","",IF($H489="Evet",0,$G489))</f>
        <v/>
      </c>
    </row>
    <row r="490" ht="15" customHeight="1" s="78">
      <c r="A490" s="122" t="n"/>
      <c r="B490" s="122" t="n"/>
      <c r="C490" s="128" t="n"/>
      <c r="D490" s="128" t="n"/>
      <c r="E490" s="120" t="n"/>
      <c r="F490" s="129" t="n"/>
      <c r="G490" s="120" t="n"/>
      <c r="H490" s="122" t="n"/>
      <c r="I490" s="122" t="n"/>
      <c r="J490" s="127">
        <f>IF($A490="","",IFERROR($D490-$C490,0))</f>
        <v/>
      </c>
      <c r="K490" s="121">
        <f>IF($A490="","",IF($H490="Evet",0,$G490))</f>
        <v/>
      </c>
    </row>
    <row r="491" ht="15" customHeight="1" s="78">
      <c r="A491" s="122" t="n"/>
      <c r="B491" s="122" t="n"/>
      <c r="C491" s="128" t="n"/>
      <c r="D491" s="128" t="n"/>
      <c r="E491" s="120" t="n"/>
      <c r="F491" s="129" t="n"/>
      <c r="G491" s="120" t="n"/>
      <c r="H491" s="122" t="n"/>
      <c r="I491" s="122" t="n"/>
      <c r="J491" s="127">
        <f>IF($A491="","",IFERROR($D491-$C491,0))</f>
        <v/>
      </c>
      <c r="K491" s="121">
        <f>IF($A491="","",IF($H491="Evet",0,$G491))</f>
        <v/>
      </c>
    </row>
    <row r="492" ht="15" customHeight="1" s="78">
      <c r="A492" s="122" t="n"/>
      <c r="B492" s="122" t="n"/>
      <c r="C492" s="128" t="n"/>
      <c r="D492" s="128" t="n"/>
      <c r="E492" s="120" t="n"/>
      <c r="F492" s="129" t="n"/>
      <c r="G492" s="120" t="n"/>
      <c r="H492" s="122" t="n"/>
      <c r="I492" s="122" t="n"/>
      <c r="J492" s="127">
        <f>IF($A492="","",IFERROR($D492-$C492,0))</f>
        <v/>
      </c>
      <c r="K492" s="121">
        <f>IF($A492="","",IF($H492="Evet",0,$G492))</f>
        <v/>
      </c>
    </row>
    <row r="493" ht="15" customHeight="1" s="78">
      <c r="A493" s="122" t="n"/>
      <c r="B493" s="122" t="n"/>
      <c r="C493" s="128" t="n"/>
      <c r="D493" s="128" t="n"/>
      <c r="E493" s="120" t="n"/>
      <c r="F493" s="129" t="n"/>
      <c r="G493" s="120" t="n"/>
      <c r="H493" s="122" t="n"/>
      <c r="I493" s="122" t="n"/>
      <c r="J493" s="127">
        <f>IF($A493="","",IFERROR($D493-$C493,0))</f>
        <v/>
      </c>
      <c r="K493" s="121">
        <f>IF($A493="","",IF($H493="Evet",0,$G493))</f>
        <v/>
      </c>
    </row>
    <row r="494" ht="15" customHeight="1" s="78">
      <c r="A494" s="122" t="n"/>
      <c r="B494" s="122" t="n"/>
      <c r="C494" s="128" t="n"/>
      <c r="D494" s="128" t="n"/>
      <c r="E494" s="120" t="n"/>
      <c r="F494" s="129" t="n"/>
      <c r="G494" s="120" t="n"/>
      <c r="H494" s="122" t="n"/>
      <c r="I494" s="122" t="n"/>
      <c r="J494" s="127">
        <f>IF($A494="","",IFERROR($D494-$C494,0))</f>
        <v/>
      </c>
      <c r="K494" s="121">
        <f>IF($A494="","",IF($H494="Evet",0,$G494))</f>
        <v/>
      </c>
    </row>
    <row r="495" ht="15" customHeight="1" s="78">
      <c r="A495" s="122" t="n"/>
      <c r="B495" s="122" t="n"/>
      <c r="C495" s="128" t="n"/>
      <c r="D495" s="128" t="n"/>
      <c r="E495" s="120" t="n"/>
      <c r="F495" s="129" t="n"/>
      <c r="G495" s="120" t="n"/>
      <c r="H495" s="122" t="n"/>
      <c r="I495" s="122" t="n"/>
      <c r="J495" s="127">
        <f>IF($A495="","",IFERROR($D495-$C495,0))</f>
        <v/>
      </c>
      <c r="K495" s="121">
        <f>IF($A495="","",IF($H495="Evet",0,$G495))</f>
        <v/>
      </c>
    </row>
    <row r="496" ht="15" customHeight="1" s="78">
      <c r="A496" s="122" t="n"/>
      <c r="B496" s="122" t="n"/>
      <c r="C496" s="128" t="n"/>
      <c r="D496" s="128" t="n"/>
      <c r="E496" s="120" t="n"/>
      <c r="F496" s="129" t="n"/>
      <c r="G496" s="120" t="n"/>
      <c r="H496" s="122" t="n"/>
      <c r="I496" s="122" t="n"/>
      <c r="J496" s="127">
        <f>IF($A496="","",IFERROR($D496-$C496,0))</f>
        <v/>
      </c>
      <c r="K496" s="121">
        <f>IF($A496="","",IF($H496="Evet",0,$G496))</f>
        <v/>
      </c>
    </row>
    <row r="497" ht="15" customHeight="1" s="78">
      <c r="A497" s="122" t="n"/>
      <c r="B497" s="122" t="n"/>
      <c r="C497" s="128" t="n"/>
      <c r="D497" s="128" t="n"/>
      <c r="E497" s="120" t="n"/>
      <c r="F497" s="129" t="n"/>
      <c r="G497" s="120" t="n"/>
      <c r="H497" s="122" t="n"/>
      <c r="I497" s="122" t="n"/>
      <c r="J497" s="127">
        <f>IF($A497="","",IFERROR($D497-$C497,0))</f>
        <v/>
      </c>
      <c r="K497" s="121">
        <f>IF($A497="","",IF($H497="Evet",0,$G497))</f>
        <v/>
      </c>
    </row>
    <row r="498" ht="15" customHeight="1" s="78">
      <c r="A498" s="122" t="n"/>
      <c r="B498" s="122" t="n"/>
      <c r="C498" s="128" t="n"/>
      <c r="D498" s="128" t="n"/>
      <c r="E498" s="120" t="n"/>
      <c r="F498" s="129" t="n"/>
      <c r="G498" s="120" t="n"/>
      <c r="H498" s="122" t="n"/>
      <c r="I498" s="122" t="n"/>
      <c r="J498" s="127">
        <f>IF($A498="","",IFERROR($D498-$C498,0))</f>
        <v/>
      </c>
      <c r="K498" s="121">
        <f>IF($A498="","",IF($H498="Evet",0,$G498))</f>
        <v/>
      </c>
    </row>
    <row r="499" ht="15" customHeight="1" s="78">
      <c r="A499" s="122" t="n"/>
      <c r="B499" s="122" t="n"/>
      <c r="C499" s="128" t="n"/>
      <c r="D499" s="128" t="n"/>
      <c r="E499" s="120" t="n"/>
      <c r="F499" s="129" t="n"/>
      <c r="G499" s="120" t="n"/>
      <c r="H499" s="122" t="n"/>
      <c r="I499" s="122" t="n"/>
      <c r="J499" s="127">
        <f>IF($A499="","",IFERROR($D499-$C499,0))</f>
        <v/>
      </c>
      <c r="K499" s="121">
        <f>IF($A499="","",IF($H499="Evet",0,$G499))</f>
        <v/>
      </c>
    </row>
    <row r="500" ht="15" customHeight="1" s="78">
      <c r="A500" s="122" t="n"/>
      <c r="B500" s="122" t="n"/>
      <c r="C500" s="128" t="n"/>
      <c r="D500" s="128" t="n"/>
      <c r="E500" s="120" t="n"/>
      <c r="F500" s="129" t="n"/>
      <c r="G500" s="120" t="n"/>
      <c r="H500" s="122" t="n"/>
      <c r="I500" s="122" t="n"/>
      <c r="J500" s="127">
        <f>IF($A500="","",IFERROR($D500-$C500,0))</f>
        <v/>
      </c>
      <c r="K500" s="121">
        <f>IF($A500="","",IF($H500="Evet",0,$G500))</f>
        <v/>
      </c>
    </row>
    <row r="501" ht="15" customHeight="1" s="78">
      <c r="A501" s="122" t="n"/>
      <c r="B501" s="122" t="n"/>
      <c r="C501" s="128" t="n"/>
      <c r="D501" s="128" t="n"/>
      <c r="E501" s="120" t="n"/>
      <c r="F501" s="129" t="n"/>
      <c r="G501" s="120" t="n"/>
      <c r="H501" s="122" t="n"/>
      <c r="I501" s="122" t="n"/>
      <c r="J501" s="127">
        <f>IF($A501="","",IFERROR($D501-$C501,0))</f>
        <v/>
      </c>
      <c r="K501" s="121">
        <f>IF($A501="","",IF($H501="Evet",0,$G501))</f>
        <v/>
      </c>
    </row>
    <row r="502" ht="15" customHeight="1" s="78">
      <c r="A502" s="122" t="n"/>
      <c r="B502" s="122" t="n"/>
      <c r="C502" s="128" t="n"/>
      <c r="D502" s="128" t="n"/>
      <c r="E502" s="120" t="n"/>
      <c r="F502" s="129" t="n"/>
      <c r="G502" s="120" t="n"/>
      <c r="H502" s="122" t="n"/>
      <c r="I502" s="122" t="n"/>
      <c r="J502" s="127">
        <f>IF($A502="","",IFERROR($D502-$C502,0))</f>
        <v/>
      </c>
      <c r="K502" s="121">
        <f>IF($A502="","",IF($H502="Evet",0,$G502))</f>
        <v/>
      </c>
    </row>
    <row r="503" ht="15" customHeight="1" s="78">
      <c r="A503" s="122" t="n"/>
      <c r="B503" s="122" t="n"/>
      <c r="C503" s="128" t="n"/>
      <c r="D503" s="128" t="n"/>
      <c r="E503" s="120" t="n"/>
      <c r="F503" s="129" t="n"/>
      <c r="G503" s="120" t="n"/>
      <c r="H503" s="122" t="n"/>
      <c r="I503" s="122" t="n"/>
      <c r="J503" s="127">
        <f>IF($A503="","",IFERROR($D503-$C503,0))</f>
        <v/>
      </c>
      <c r="K503" s="121">
        <f>IF($A503="","",IF($H503="Evet",0,$G503))</f>
        <v/>
      </c>
    </row>
    <row r="504" ht="15" customHeight="1" s="78">
      <c r="A504" s="122" t="n"/>
      <c r="B504" s="122" t="n"/>
      <c r="C504" s="128" t="n"/>
      <c r="D504" s="128" t="n"/>
      <c r="E504" s="120" t="n"/>
      <c r="F504" s="129" t="n"/>
      <c r="G504" s="120" t="n"/>
      <c r="H504" s="122" t="n"/>
      <c r="I504" s="122" t="n"/>
      <c r="J504" s="127">
        <f>IF($A504="","",IFERROR($D504-$C504,0))</f>
        <v/>
      </c>
      <c r="K504" s="121">
        <f>IF($A504="","",IF($H504="Evet",0,$G504))</f>
        <v/>
      </c>
    </row>
    <row r="505" ht="15" customHeight="1" s="78">
      <c r="A505" s="122" t="n"/>
      <c r="B505" s="122" t="n"/>
      <c r="C505" s="128" t="n"/>
      <c r="D505" s="128" t="n"/>
      <c r="E505" s="120" t="n"/>
      <c r="F505" s="129" t="n"/>
      <c r="G505" s="120" t="n"/>
      <c r="H505" s="122" t="n"/>
      <c r="I505" s="122" t="n"/>
      <c r="J505" s="127">
        <f>IF($A505="","",IFERROR($D505-$C505,0))</f>
        <v/>
      </c>
      <c r="K505" s="121">
        <f>IF($A505="","",IF($H505="Evet",0,$G505))</f>
        <v/>
      </c>
    </row>
    <row r="506" ht="15" customHeight="1" s="78">
      <c r="A506" s="122" t="n"/>
      <c r="B506" s="122" t="n"/>
      <c r="C506" s="128" t="n"/>
      <c r="D506" s="128" t="n"/>
      <c r="E506" s="120" t="n"/>
      <c r="F506" s="129" t="n"/>
      <c r="G506" s="120" t="n"/>
      <c r="H506" s="122" t="n"/>
      <c r="I506" s="122" t="n"/>
      <c r="J506" s="127">
        <f>IF($A506="","",IFERROR($D506-$C506,0))</f>
        <v/>
      </c>
      <c r="K506" s="121">
        <f>IF($A506="","",IF($H506="Evet",0,$G506))</f>
        <v/>
      </c>
    </row>
    <row r="507" ht="15" customHeight="1" s="78">
      <c r="A507" s="122" t="n"/>
      <c r="B507" s="122" t="n"/>
      <c r="C507" s="128" t="n"/>
      <c r="D507" s="128" t="n"/>
      <c r="E507" s="120" t="n"/>
      <c r="F507" s="129" t="n"/>
      <c r="G507" s="120" t="n"/>
      <c r="H507" s="122" t="n"/>
      <c r="I507" s="122" t="n"/>
      <c r="J507" s="127">
        <f>IF($A507="","",IFERROR($D507-$C507,0))</f>
        <v/>
      </c>
      <c r="K507" s="121">
        <f>IF($A507="","",IF($H507="Evet",0,$G507))</f>
        <v/>
      </c>
    </row>
    <row r="508" ht="15" customHeight="1" s="78">
      <c r="A508" s="122" t="n"/>
      <c r="B508" s="122" t="n"/>
      <c r="C508" s="128" t="n"/>
      <c r="D508" s="128" t="n"/>
      <c r="E508" s="120" t="n"/>
      <c r="F508" s="129" t="n"/>
      <c r="G508" s="120" t="n"/>
      <c r="H508" s="122" t="n"/>
      <c r="I508" s="122" t="n"/>
      <c r="J508" s="127">
        <f>IF($A508="","",IFERROR($D508-$C508,0))</f>
        <v/>
      </c>
      <c r="K508" s="121">
        <f>IF($A508="","",IF($H508="Evet",0,$G508))</f>
        <v/>
      </c>
    </row>
    <row r="509" ht="15" customHeight="1" s="78">
      <c r="A509" s="122" t="n"/>
      <c r="B509" s="122" t="n"/>
      <c r="C509" s="128" t="n"/>
      <c r="D509" s="128" t="n"/>
      <c r="E509" s="120" t="n"/>
      <c r="F509" s="129" t="n"/>
      <c r="G509" s="120" t="n"/>
      <c r="H509" s="122" t="n"/>
      <c r="I509" s="122" t="n"/>
      <c r="J509" s="127">
        <f>IF($A509="","",IFERROR($D509-$C509,0))</f>
        <v/>
      </c>
      <c r="K509" s="121">
        <f>IF($A509="","",IF($H509="Evet",0,$G509))</f>
        <v/>
      </c>
    </row>
    <row r="510" ht="15" customHeight="1" s="78">
      <c r="A510" s="122" t="n"/>
      <c r="B510" s="122" t="n"/>
      <c r="C510" s="128" t="n"/>
      <c r="D510" s="128" t="n"/>
      <c r="E510" s="120" t="n"/>
      <c r="F510" s="129" t="n"/>
      <c r="G510" s="120" t="n"/>
      <c r="H510" s="122" t="n"/>
      <c r="I510" s="122" t="n"/>
      <c r="J510" s="127">
        <f>IF($A510="","",IFERROR($D510-$C510,0))</f>
        <v/>
      </c>
      <c r="K510" s="121">
        <f>IF($A510="","",IF($H510="Evet",0,$G510))</f>
        <v/>
      </c>
    </row>
    <row r="511" ht="15" customHeight="1" s="78">
      <c r="A511" s="122" t="n"/>
      <c r="B511" s="122" t="n"/>
      <c r="C511" s="128" t="n"/>
      <c r="D511" s="128" t="n"/>
      <c r="E511" s="120" t="n"/>
      <c r="F511" s="129" t="n"/>
      <c r="G511" s="120" t="n"/>
      <c r="H511" s="122" t="n"/>
      <c r="I511" s="122" t="n"/>
      <c r="J511" s="127">
        <f>IF($A511="","",IFERROR($D511-$C511,0))</f>
        <v/>
      </c>
      <c r="K511" s="121">
        <f>IF($A511="","",IF($H511="Evet",0,$G511))</f>
        <v/>
      </c>
    </row>
    <row r="512" ht="15" customHeight="1" s="78">
      <c r="A512" s="122" t="n"/>
      <c r="B512" s="122" t="n"/>
      <c r="C512" s="128" t="n"/>
      <c r="D512" s="128" t="n"/>
      <c r="E512" s="120" t="n"/>
      <c r="F512" s="129" t="n"/>
      <c r="G512" s="120" t="n"/>
      <c r="H512" s="122" t="n"/>
      <c r="I512" s="122" t="n"/>
      <c r="J512" s="127">
        <f>IF($A512="","",IFERROR($D512-$C512,0))</f>
        <v/>
      </c>
      <c r="K512" s="121">
        <f>IF($A512="","",IF($H512="Evet",0,$G512))</f>
        <v/>
      </c>
    </row>
    <row r="513" ht="15" customHeight="1" s="78">
      <c r="A513" s="122" t="n"/>
      <c r="B513" s="122" t="n"/>
      <c r="C513" s="128" t="n"/>
      <c r="D513" s="128" t="n"/>
      <c r="E513" s="120" t="n"/>
      <c r="F513" s="129" t="n"/>
      <c r="G513" s="120" t="n"/>
      <c r="H513" s="122" t="n"/>
      <c r="I513" s="122" t="n"/>
      <c r="J513" s="127">
        <f>IF($A513="","",IFERROR($D513-$C513,0))</f>
        <v/>
      </c>
      <c r="K513" s="121">
        <f>IF($A513="","",IF($H513="Evet",0,$G513))</f>
        <v/>
      </c>
    </row>
    <row r="514" ht="15" customHeight="1" s="78">
      <c r="A514" s="122" t="n"/>
      <c r="B514" s="122" t="n"/>
      <c r="C514" s="128" t="n"/>
      <c r="D514" s="128" t="n"/>
      <c r="E514" s="120" t="n"/>
      <c r="F514" s="129" t="n"/>
      <c r="G514" s="120" t="n"/>
      <c r="H514" s="122" t="n"/>
      <c r="I514" s="122" t="n"/>
      <c r="J514" s="127">
        <f>IF($A514="","",IFERROR($D514-$C514,0))</f>
        <v/>
      </c>
      <c r="K514" s="121">
        <f>IF($A514="","",IF($H514="Evet",0,$G514))</f>
        <v/>
      </c>
    </row>
    <row r="515" ht="15" customHeight="1" s="78">
      <c r="A515" s="122" t="n"/>
      <c r="B515" s="122" t="n"/>
      <c r="C515" s="128" t="n"/>
      <c r="D515" s="128" t="n"/>
      <c r="E515" s="120" t="n"/>
      <c r="F515" s="129" t="n"/>
      <c r="G515" s="120" t="n"/>
      <c r="H515" s="122" t="n"/>
      <c r="I515" s="122" t="n"/>
      <c r="J515" s="127">
        <f>IF($A515="","",IFERROR($D515-$C515,0))</f>
        <v/>
      </c>
      <c r="K515" s="121">
        <f>IF($A515="","",IF($H515="Evet",0,$G515))</f>
        <v/>
      </c>
    </row>
    <row r="516" ht="15" customHeight="1" s="78">
      <c r="A516" s="122" t="n"/>
      <c r="B516" s="122" t="n"/>
      <c r="C516" s="128" t="n"/>
      <c r="D516" s="128" t="n"/>
      <c r="E516" s="120" t="n"/>
      <c r="F516" s="129" t="n"/>
      <c r="G516" s="120" t="n"/>
      <c r="H516" s="122" t="n"/>
      <c r="I516" s="122" t="n"/>
      <c r="J516" s="127">
        <f>IF($A516="","",IFERROR($D516-$C516,0))</f>
        <v/>
      </c>
      <c r="K516" s="121">
        <f>IF($A516="","",IF($H516="Evet",0,$G516))</f>
        <v/>
      </c>
    </row>
    <row r="517" ht="15" customHeight="1" s="78">
      <c r="A517" s="122" t="n"/>
      <c r="B517" s="122" t="n"/>
      <c r="C517" s="128" t="n"/>
      <c r="D517" s="128" t="n"/>
      <c r="E517" s="120" t="n"/>
      <c r="F517" s="129" t="n"/>
      <c r="G517" s="120" t="n"/>
      <c r="H517" s="122" t="n"/>
      <c r="I517" s="122" t="n"/>
      <c r="J517" s="127">
        <f>IF($A517="","",IFERROR($D517-$C517,0))</f>
        <v/>
      </c>
      <c r="K517" s="121">
        <f>IF($A517="","",IF($H517="Evet",0,$G517))</f>
        <v/>
      </c>
    </row>
    <row r="518" ht="15" customHeight="1" s="78">
      <c r="A518" s="122" t="n"/>
      <c r="B518" s="122" t="n"/>
      <c r="C518" s="128" t="n"/>
      <c r="D518" s="128" t="n"/>
      <c r="E518" s="120" t="n"/>
      <c r="F518" s="129" t="n"/>
      <c r="G518" s="120" t="n"/>
      <c r="H518" s="122" t="n"/>
      <c r="I518" s="122" t="n"/>
      <c r="J518" s="127">
        <f>IF($A518="","",IFERROR($D518-$C518,0))</f>
        <v/>
      </c>
      <c r="K518" s="121">
        <f>IF($A518="","",IF($H518="Evet",0,$G518))</f>
        <v/>
      </c>
    </row>
    <row r="519" ht="15" customHeight="1" s="78">
      <c r="A519" s="122" t="n"/>
      <c r="B519" s="122" t="n"/>
      <c r="C519" s="128" t="n"/>
      <c r="D519" s="128" t="n"/>
      <c r="E519" s="120" t="n"/>
      <c r="F519" s="129" t="n"/>
      <c r="G519" s="120" t="n"/>
      <c r="H519" s="122" t="n"/>
      <c r="I519" s="122" t="n"/>
      <c r="J519" s="127">
        <f>IF($A519="","",IFERROR($D519-$C519,0))</f>
        <v/>
      </c>
      <c r="K519" s="121">
        <f>IF($A519="","",IF($H519="Evet",0,$G519))</f>
        <v/>
      </c>
    </row>
    <row r="520" ht="15" customHeight="1" s="78">
      <c r="A520" s="122" t="n"/>
      <c r="B520" s="122" t="n"/>
      <c r="C520" s="128" t="n"/>
      <c r="D520" s="128" t="n"/>
      <c r="E520" s="120" t="n"/>
      <c r="F520" s="129" t="n"/>
      <c r="G520" s="120" t="n"/>
      <c r="H520" s="122" t="n"/>
      <c r="I520" s="122" t="n"/>
      <c r="J520" s="127">
        <f>IF($A520="","",IFERROR($D520-$C520,0))</f>
        <v/>
      </c>
      <c r="K520" s="121">
        <f>IF($A520="","",IF($H520="Evet",0,$G520))</f>
        <v/>
      </c>
    </row>
    <row r="521" ht="15" customHeight="1" s="78">
      <c r="A521" s="122" t="n"/>
      <c r="B521" s="122" t="n"/>
      <c r="C521" s="128" t="n"/>
      <c r="D521" s="128" t="n"/>
      <c r="E521" s="120" t="n"/>
      <c r="F521" s="129" t="n"/>
      <c r="G521" s="120" t="n"/>
      <c r="H521" s="122" t="n"/>
      <c r="I521" s="122" t="n"/>
      <c r="J521" s="127">
        <f>IF($A521="","",IFERROR($D521-$C521,0))</f>
        <v/>
      </c>
      <c r="K521" s="121">
        <f>IF($A521="","",IF($H521="Evet",0,$G521))</f>
        <v/>
      </c>
    </row>
    <row r="522" ht="15" customHeight="1" s="78">
      <c r="A522" s="122" t="n"/>
      <c r="B522" s="122" t="n"/>
      <c r="C522" s="128" t="n"/>
      <c r="D522" s="128" t="n"/>
      <c r="E522" s="120" t="n"/>
      <c r="F522" s="129" t="n"/>
      <c r="G522" s="120" t="n"/>
      <c r="H522" s="122" t="n"/>
      <c r="I522" s="122" t="n"/>
      <c r="J522" s="127">
        <f>IF($A522="","",IFERROR($D522-$C522,0))</f>
        <v/>
      </c>
      <c r="K522" s="121">
        <f>IF($A522="","",IF($H522="Evet",0,$G522))</f>
        <v/>
      </c>
    </row>
    <row r="523" ht="15" customHeight="1" s="78">
      <c r="A523" s="122" t="n"/>
      <c r="B523" s="122" t="n"/>
      <c r="C523" s="128" t="n"/>
      <c r="D523" s="128" t="n"/>
      <c r="E523" s="120" t="n"/>
      <c r="F523" s="129" t="n"/>
      <c r="G523" s="120" t="n"/>
      <c r="H523" s="122" t="n"/>
      <c r="I523" s="122" t="n"/>
      <c r="J523" s="127">
        <f>IF($A523="","",IFERROR($D523-$C523,0))</f>
        <v/>
      </c>
      <c r="K523" s="121">
        <f>IF($A523="","",IF($H523="Evet",0,$G523))</f>
        <v/>
      </c>
    </row>
    <row r="524" ht="15" customHeight="1" s="78">
      <c r="A524" s="122" t="n"/>
      <c r="B524" s="122" t="n"/>
      <c r="C524" s="128" t="n"/>
      <c r="D524" s="128" t="n"/>
      <c r="E524" s="120" t="n"/>
      <c r="F524" s="129" t="n"/>
      <c r="G524" s="120" t="n"/>
      <c r="H524" s="122" t="n"/>
      <c r="I524" s="122" t="n"/>
      <c r="J524" s="127">
        <f>IF($A524="","",IFERROR($D524-$C524,0))</f>
        <v/>
      </c>
      <c r="K524" s="121">
        <f>IF($A524="","",IF($H524="Evet",0,$G524))</f>
        <v/>
      </c>
    </row>
    <row r="525" ht="15" customHeight="1" s="78">
      <c r="A525" s="122" t="n"/>
      <c r="B525" s="122" t="n"/>
      <c r="C525" s="128" t="n"/>
      <c r="D525" s="128" t="n"/>
      <c r="E525" s="120" t="n"/>
      <c r="F525" s="129" t="n"/>
      <c r="G525" s="120" t="n"/>
      <c r="H525" s="122" t="n"/>
      <c r="I525" s="122" t="n"/>
      <c r="J525" s="127">
        <f>IF($A525="","",IFERROR($D525-$C525,0))</f>
        <v/>
      </c>
      <c r="K525" s="121">
        <f>IF($A525="","",IF($H525="Evet",0,$G525))</f>
        <v/>
      </c>
    </row>
    <row r="526" ht="15" customHeight="1" s="78">
      <c r="A526" s="122" t="n"/>
      <c r="B526" s="122" t="n"/>
      <c r="C526" s="128" t="n"/>
      <c r="D526" s="128" t="n"/>
      <c r="E526" s="120" t="n"/>
      <c r="F526" s="129" t="n"/>
      <c r="G526" s="120" t="n"/>
      <c r="H526" s="122" t="n"/>
      <c r="I526" s="122" t="n"/>
      <c r="J526" s="127">
        <f>IF($A526="","",IFERROR($D526-$C526,0))</f>
        <v/>
      </c>
      <c r="K526" s="121">
        <f>IF($A526="","",IF($H526="Evet",0,$G526))</f>
        <v/>
      </c>
    </row>
    <row r="527" ht="15" customHeight="1" s="78">
      <c r="A527" s="122" t="n"/>
      <c r="B527" s="122" t="n"/>
      <c r="C527" s="128" t="n"/>
      <c r="D527" s="128" t="n"/>
      <c r="E527" s="120" t="n"/>
      <c r="F527" s="129" t="n"/>
      <c r="G527" s="120" t="n"/>
      <c r="H527" s="122" t="n"/>
      <c r="I527" s="122" t="n"/>
      <c r="J527" s="127">
        <f>IF($A527="","",IFERROR($D527-$C527,0))</f>
        <v/>
      </c>
      <c r="K527" s="121">
        <f>IF($A527="","",IF($H527="Evet",0,$G527))</f>
        <v/>
      </c>
    </row>
    <row r="528" ht="15" customHeight="1" s="78">
      <c r="A528" s="122" t="n"/>
      <c r="B528" s="122" t="n"/>
      <c r="C528" s="128" t="n"/>
      <c r="D528" s="128" t="n"/>
      <c r="E528" s="120" t="n"/>
      <c r="F528" s="129" t="n"/>
      <c r="G528" s="120" t="n"/>
      <c r="H528" s="122" t="n"/>
      <c r="I528" s="122" t="n"/>
      <c r="J528" s="127">
        <f>IF($A528="","",IFERROR($D528-$C528,0))</f>
        <v/>
      </c>
      <c r="K528" s="121">
        <f>IF($A528="","",IF($H528="Evet",0,$G528))</f>
        <v/>
      </c>
    </row>
    <row r="529" ht="15" customHeight="1" s="78">
      <c r="A529" s="122" t="n"/>
      <c r="B529" s="122" t="n"/>
      <c r="C529" s="128" t="n"/>
      <c r="D529" s="128" t="n"/>
      <c r="E529" s="120" t="n"/>
      <c r="F529" s="129" t="n"/>
      <c r="G529" s="120" t="n"/>
      <c r="H529" s="122" t="n"/>
      <c r="I529" s="122" t="n"/>
      <c r="J529" s="127">
        <f>IF($A529="","",IFERROR($D529-$C529,0))</f>
        <v/>
      </c>
      <c r="K529" s="121">
        <f>IF($A529="","",IF($H529="Evet",0,$G529))</f>
        <v/>
      </c>
    </row>
    <row r="530" ht="15" customHeight="1" s="78">
      <c r="A530" s="122" t="n"/>
      <c r="B530" s="122" t="n"/>
      <c r="C530" s="128" t="n"/>
      <c r="D530" s="128" t="n"/>
      <c r="E530" s="120" t="n"/>
      <c r="F530" s="129" t="n"/>
      <c r="G530" s="120" t="n"/>
      <c r="H530" s="122" t="n"/>
      <c r="I530" s="122" t="n"/>
      <c r="J530" s="127">
        <f>IF($A530="","",IFERROR($D530-$C530,0))</f>
        <v/>
      </c>
      <c r="K530" s="121">
        <f>IF($A530="","",IF($H530="Evet",0,$G530))</f>
        <v/>
      </c>
    </row>
    <row r="531" ht="15" customHeight="1" s="78">
      <c r="A531" s="122" t="n"/>
      <c r="B531" s="122" t="n"/>
      <c r="C531" s="128" t="n"/>
      <c r="D531" s="128" t="n"/>
      <c r="E531" s="120" t="n"/>
      <c r="F531" s="129" t="n"/>
      <c r="G531" s="120" t="n"/>
      <c r="H531" s="122" t="n"/>
      <c r="I531" s="122" t="n"/>
      <c r="J531" s="127">
        <f>IF($A531="","",IFERROR($D531-$C531,0))</f>
        <v/>
      </c>
      <c r="K531" s="121">
        <f>IF($A531="","",IF($H531="Evet",0,$G531))</f>
        <v/>
      </c>
    </row>
    <row r="532" ht="15" customHeight="1" s="78">
      <c r="A532" s="122" t="n"/>
      <c r="B532" s="122" t="n"/>
      <c r="C532" s="128" t="n"/>
      <c r="D532" s="128" t="n"/>
      <c r="E532" s="120" t="n"/>
      <c r="F532" s="129" t="n"/>
      <c r="G532" s="120" t="n"/>
      <c r="H532" s="122" t="n"/>
      <c r="I532" s="122" t="n"/>
      <c r="J532" s="127">
        <f>IF($A532="","",IFERROR($D532-$C532,0))</f>
        <v/>
      </c>
      <c r="K532" s="121">
        <f>IF($A532="","",IF($H532="Evet",0,$G532))</f>
        <v/>
      </c>
    </row>
    <row r="533" ht="15" customHeight="1" s="78">
      <c r="A533" s="122" t="n"/>
      <c r="B533" s="122" t="n"/>
      <c r="C533" s="128" t="n"/>
      <c r="D533" s="128" t="n"/>
      <c r="E533" s="120" t="n"/>
      <c r="F533" s="129" t="n"/>
      <c r="G533" s="120" t="n"/>
      <c r="H533" s="122" t="n"/>
      <c r="I533" s="122" t="n"/>
      <c r="J533" s="127">
        <f>IF($A533="","",IFERROR($D533-$C533,0))</f>
        <v/>
      </c>
      <c r="K533" s="121">
        <f>IF($A533="","",IF($H533="Evet",0,$G533))</f>
        <v/>
      </c>
    </row>
    <row r="534" ht="15" customHeight="1" s="78">
      <c r="A534" s="122" t="n"/>
      <c r="B534" s="122" t="n"/>
      <c r="C534" s="128" t="n"/>
      <c r="D534" s="128" t="n"/>
      <c r="E534" s="120" t="n"/>
      <c r="F534" s="129" t="n"/>
      <c r="G534" s="120" t="n"/>
      <c r="H534" s="122" t="n"/>
      <c r="I534" s="122" t="n"/>
      <c r="J534" s="127">
        <f>IF($A534="","",IFERROR($D534-$C534,0))</f>
        <v/>
      </c>
      <c r="K534" s="121">
        <f>IF($A534="","",IF($H534="Evet",0,$G534))</f>
        <v/>
      </c>
    </row>
    <row r="535" ht="15" customHeight="1" s="78">
      <c r="A535" s="122" t="n"/>
      <c r="B535" s="122" t="n"/>
      <c r="C535" s="128" t="n"/>
      <c r="D535" s="128" t="n"/>
      <c r="E535" s="120" t="n"/>
      <c r="F535" s="129" t="n"/>
      <c r="G535" s="120" t="n"/>
      <c r="H535" s="122" t="n"/>
      <c r="I535" s="122" t="n"/>
      <c r="J535" s="127">
        <f>IF($A535="","",IFERROR($D535-$C535,0))</f>
        <v/>
      </c>
      <c r="K535" s="121">
        <f>IF($A535="","",IF($H535="Evet",0,$G535))</f>
        <v/>
      </c>
    </row>
    <row r="536" ht="15" customHeight="1" s="78">
      <c r="A536" s="122" t="n"/>
      <c r="B536" s="122" t="n"/>
      <c r="C536" s="128" t="n"/>
      <c r="D536" s="128" t="n"/>
      <c r="E536" s="120" t="n"/>
      <c r="F536" s="129" t="n"/>
      <c r="G536" s="120" t="n"/>
      <c r="H536" s="122" t="n"/>
      <c r="I536" s="122" t="n"/>
      <c r="J536" s="127">
        <f>IF($A536="","",IFERROR($D536-$C536,0))</f>
        <v/>
      </c>
      <c r="K536" s="121">
        <f>IF($A536="","",IF($H536="Evet",0,$G536))</f>
        <v/>
      </c>
    </row>
    <row r="537" ht="15" customHeight="1" s="78">
      <c r="A537" s="122" t="n"/>
      <c r="B537" s="122" t="n"/>
      <c r="C537" s="128" t="n"/>
      <c r="D537" s="128" t="n"/>
      <c r="E537" s="120" t="n"/>
      <c r="F537" s="129" t="n"/>
      <c r="G537" s="120" t="n"/>
      <c r="H537" s="122" t="n"/>
      <c r="I537" s="122" t="n"/>
      <c r="J537" s="127">
        <f>IF($A537="","",IFERROR($D537-$C537,0))</f>
        <v/>
      </c>
      <c r="K537" s="121">
        <f>IF($A537="","",IF($H537="Evet",0,$G537))</f>
        <v/>
      </c>
    </row>
    <row r="538" ht="15" customHeight="1" s="78">
      <c r="A538" s="122" t="n"/>
      <c r="B538" s="122" t="n"/>
      <c r="C538" s="128" t="n"/>
      <c r="D538" s="128" t="n"/>
      <c r="E538" s="120" t="n"/>
      <c r="F538" s="129" t="n"/>
      <c r="G538" s="120" t="n"/>
      <c r="H538" s="122" t="n"/>
      <c r="I538" s="122" t="n"/>
      <c r="J538" s="127">
        <f>IF($A538="","",IFERROR($D538-$C538,0))</f>
        <v/>
      </c>
      <c r="K538" s="121">
        <f>IF($A538="","",IF($H538="Evet",0,$G538))</f>
        <v/>
      </c>
    </row>
    <row r="539" ht="15" customHeight="1" s="78">
      <c r="A539" s="122" t="n"/>
      <c r="B539" s="122" t="n"/>
      <c r="C539" s="128" t="n"/>
      <c r="D539" s="128" t="n"/>
      <c r="E539" s="120" t="n"/>
      <c r="F539" s="129" t="n"/>
      <c r="G539" s="120" t="n"/>
      <c r="H539" s="122" t="n"/>
      <c r="I539" s="122" t="n"/>
      <c r="J539" s="127">
        <f>IF($A539="","",IFERROR($D539-$C539,0))</f>
        <v/>
      </c>
      <c r="K539" s="121">
        <f>IF($A539="","",IF($H539="Evet",0,$G539))</f>
        <v/>
      </c>
    </row>
    <row r="540" ht="15" customHeight="1" s="78">
      <c r="A540" s="122" t="n"/>
      <c r="B540" s="122" t="n"/>
      <c r="C540" s="128" t="n"/>
      <c r="D540" s="128" t="n"/>
      <c r="E540" s="120" t="n"/>
      <c r="F540" s="129" t="n"/>
      <c r="G540" s="120" t="n"/>
      <c r="H540" s="122" t="n"/>
      <c r="I540" s="122" t="n"/>
      <c r="J540" s="127">
        <f>IF($A540="","",IFERROR($D540-$C540,0))</f>
        <v/>
      </c>
      <c r="K540" s="121">
        <f>IF($A540="","",IF($H540="Evet",0,$G540))</f>
        <v/>
      </c>
    </row>
    <row r="541" ht="15" customHeight="1" s="78">
      <c r="A541" s="122" t="n"/>
      <c r="B541" s="122" t="n"/>
      <c r="C541" s="128" t="n"/>
      <c r="D541" s="128" t="n"/>
      <c r="E541" s="120" t="n"/>
      <c r="F541" s="129" t="n"/>
      <c r="G541" s="120" t="n"/>
      <c r="H541" s="122" t="n"/>
      <c r="I541" s="122" t="n"/>
      <c r="J541" s="127">
        <f>IF($A541="","",IFERROR($D541-$C541,0))</f>
        <v/>
      </c>
      <c r="K541" s="121">
        <f>IF($A541="","",IF($H541="Evet",0,$G541))</f>
        <v/>
      </c>
    </row>
    <row r="542" ht="15" customHeight="1" s="78">
      <c r="A542" s="122" t="n"/>
      <c r="B542" s="122" t="n"/>
      <c r="C542" s="128" t="n"/>
      <c r="D542" s="128" t="n"/>
      <c r="E542" s="120" t="n"/>
      <c r="F542" s="129" t="n"/>
      <c r="G542" s="120" t="n"/>
      <c r="H542" s="122" t="n"/>
      <c r="I542" s="122" t="n"/>
      <c r="J542" s="127">
        <f>IF($A542="","",IFERROR($D542-$C542,0))</f>
        <v/>
      </c>
      <c r="K542" s="121">
        <f>IF($A542="","",IF($H542="Evet",0,$G542))</f>
        <v/>
      </c>
    </row>
    <row r="543" ht="15" customHeight="1" s="78">
      <c r="A543" s="122" t="n"/>
      <c r="B543" s="122" t="n"/>
      <c r="C543" s="128" t="n"/>
      <c r="D543" s="128" t="n"/>
      <c r="E543" s="120" t="n"/>
      <c r="F543" s="129" t="n"/>
      <c r="G543" s="120" t="n"/>
      <c r="H543" s="122" t="n"/>
      <c r="I543" s="122" t="n"/>
      <c r="J543" s="127">
        <f>IF($A543="","",IFERROR($D543-$C543,0))</f>
        <v/>
      </c>
      <c r="K543" s="121">
        <f>IF($A543="","",IF($H543="Evet",0,$G543))</f>
        <v/>
      </c>
    </row>
    <row r="544" ht="15" customHeight="1" s="78">
      <c r="A544" s="122" t="n"/>
      <c r="B544" s="122" t="n"/>
      <c r="C544" s="128" t="n"/>
      <c r="D544" s="128" t="n"/>
      <c r="E544" s="120" t="n"/>
      <c r="F544" s="129" t="n"/>
      <c r="G544" s="120" t="n"/>
      <c r="H544" s="122" t="n"/>
      <c r="I544" s="122" t="n"/>
      <c r="J544" s="127">
        <f>IF($A544="","",IFERROR($D544-$C544,0))</f>
        <v/>
      </c>
      <c r="K544" s="121">
        <f>IF($A544="","",IF($H544="Evet",0,$G544))</f>
        <v/>
      </c>
    </row>
    <row r="545" ht="15" customHeight="1" s="78">
      <c r="A545" s="122" t="n"/>
      <c r="B545" s="122" t="n"/>
      <c r="C545" s="128" t="n"/>
      <c r="D545" s="128" t="n"/>
      <c r="E545" s="120" t="n"/>
      <c r="F545" s="129" t="n"/>
      <c r="G545" s="120" t="n"/>
      <c r="H545" s="122" t="n"/>
      <c r="I545" s="122" t="n"/>
      <c r="J545" s="127">
        <f>IF($A545="","",IFERROR($D545-$C545,0))</f>
        <v/>
      </c>
      <c r="K545" s="121">
        <f>IF($A545="","",IF($H545="Evet",0,$G545))</f>
        <v/>
      </c>
    </row>
    <row r="546" ht="15" customHeight="1" s="78">
      <c r="A546" s="122" t="n"/>
      <c r="B546" s="122" t="n"/>
      <c r="C546" s="128" t="n"/>
      <c r="D546" s="128" t="n"/>
      <c r="E546" s="120" t="n"/>
      <c r="F546" s="129" t="n"/>
      <c r="G546" s="120" t="n"/>
      <c r="H546" s="122" t="n"/>
      <c r="I546" s="122" t="n"/>
      <c r="J546" s="127">
        <f>IF($A546="","",IFERROR($D546-$C546,0))</f>
        <v/>
      </c>
      <c r="K546" s="121">
        <f>IF($A546="","",IF($H546="Evet",0,$G546))</f>
        <v/>
      </c>
    </row>
    <row r="547" ht="15" customHeight="1" s="78">
      <c r="A547" s="122" t="n"/>
      <c r="B547" s="122" t="n"/>
      <c r="C547" s="128" t="n"/>
      <c r="D547" s="128" t="n"/>
      <c r="E547" s="120" t="n"/>
      <c r="F547" s="129" t="n"/>
      <c r="G547" s="120" t="n"/>
      <c r="H547" s="122" t="n"/>
      <c r="I547" s="122" t="n"/>
      <c r="J547" s="127">
        <f>IF($A547="","",IFERROR($D547-$C547,0))</f>
        <v/>
      </c>
      <c r="K547" s="121">
        <f>IF($A547="","",IF($H547="Evet",0,$G547))</f>
        <v/>
      </c>
    </row>
    <row r="548" ht="15" customHeight="1" s="78">
      <c r="A548" s="122" t="n"/>
      <c r="B548" s="122" t="n"/>
      <c r="C548" s="128" t="n"/>
      <c r="D548" s="128" t="n"/>
      <c r="E548" s="120" t="n"/>
      <c r="F548" s="129" t="n"/>
      <c r="G548" s="120" t="n"/>
      <c r="H548" s="122" t="n"/>
      <c r="I548" s="122" t="n"/>
      <c r="J548" s="127">
        <f>IF($A548="","",IFERROR($D548-$C548,0))</f>
        <v/>
      </c>
      <c r="K548" s="121">
        <f>IF($A548="","",IF($H548="Evet",0,$G548))</f>
        <v/>
      </c>
    </row>
    <row r="549" ht="15" customHeight="1" s="78">
      <c r="A549" s="122" t="n"/>
      <c r="B549" s="122" t="n"/>
      <c r="C549" s="128" t="n"/>
      <c r="D549" s="128" t="n"/>
      <c r="E549" s="120" t="n"/>
      <c r="F549" s="129" t="n"/>
      <c r="G549" s="120" t="n"/>
      <c r="H549" s="122" t="n"/>
      <c r="I549" s="122" t="n"/>
      <c r="J549" s="127">
        <f>IF($A549="","",IFERROR($D549-$C549,0))</f>
        <v/>
      </c>
      <c r="K549" s="121">
        <f>IF($A549="","",IF($H549="Evet",0,$G549))</f>
        <v/>
      </c>
    </row>
    <row r="550" ht="15" customHeight="1" s="78">
      <c r="A550" s="122" t="n"/>
      <c r="B550" s="122" t="n"/>
      <c r="C550" s="128" t="n"/>
      <c r="D550" s="128" t="n"/>
      <c r="E550" s="120" t="n"/>
      <c r="F550" s="129" t="n"/>
      <c r="G550" s="120" t="n"/>
      <c r="H550" s="122" t="n"/>
      <c r="I550" s="122" t="n"/>
      <c r="J550" s="127">
        <f>IF($A550="","",IFERROR($D550-$C550,0))</f>
        <v/>
      </c>
      <c r="K550" s="121">
        <f>IF($A550="","",IF($H550="Evet",0,$G550))</f>
        <v/>
      </c>
    </row>
    <row r="551" ht="15" customHeight="1" s="78">
      <c r="A551" s="122" t="n"/>
      <c r="B551" s="122" t="n"/>
      <c r="C551" s="128" t="n"/>
      <c r="D551" s="128" t="n"/>
      <c r="E551" s="120" t="n"/>
      <c r="F551" s="129" t="n"/>
      <c r="G551" s="120" t="n"/>
      <c r="H551" s="122" t="n"/>
      <c r="I551" s="122" t="n"/>
      <c r="J551" s="127">
        <f>IF($A551="","",IFERROR($D551-$C551,0))</f>
        <v/>
      </c>
      <c r="K551" s="121">
        <f>IF($A551="","",IF($H551="Evet",0,$G551))</f>
        <v/>
      </c>
    </row>
    <row r="552" ht="15" customHeight="1" s="78">
      <c r="A552" s="122" t="n"/>
      <c r="B552" s="122" t="n"/>
      <c r="C552" s="128" t="n"/>
      <c r="D552" s="128" t="n"/>
      <c r="E552" s="120" t="n"/>
      <c r="F552" s="129" t="n"/>
      <c r="G552" s="120" t="n"/>
      <c r="H552" s="122" t="n"/>
      <c r="I552" s="122" t="n"/>
      <c r="J552" s="127">
        <f>IF($A552="","",IFERROR($D552-$C552,0))</f>
        <v/>
      </c>
      <c r="K552" s="121">
        <f>IF($A552="","",IF($H552="Evet",0,$G552))</f>
        <v/>
      </c>
    </row>
    <row r="553" ht="15" customHeight="1" s="78">
      <c r="A553" s="122" t="n"/>
      <c r="B553" s="122" t="n"/>
      <c r="C553" s="128" t="n"/>
      <c r="D553" s="128" t="n"/>
      <c r="E553" s="120" t="n"/>
      <c r="F553" s="129" t="n"/>
      <c r="G553" s="120" t="n"/>
      <c r="H553" s="122" t="n"/>
      <c r="I553" s="122" t="n"/>
      <c r="J553" s="127">
        <f>IF($A553="","",IFERROR($D553-$C553,0))</f>
        <v/>
      </c>
      <c r="K553" s="121">
        <f>IF($A553="","",IF($H553="Evet",0,$G553))</f>
        <v/>
      </c>
    </row>
    <row r="554" ht="15" customHeight="1" s="78">
      <c r="A554" s="122" t="n"/>
      <c r="B554" s="122" t="n"/>
      <c r="C554" s="128" t="n"/>
      <c r="D554" s="128" t="n"/>
      <c r="E554" s="120" t="n"/>
      <c r="F554" s="129" t="n"/>
      <c r="G554" s="120" t="n"/>
      <c r="H554" s="122" t="n"/>
      <c r="I554" s="122" t="n"/>
      <c r="J554" s="127">
        <f>IF($A554="","",IFERROR($D554-$C554,0))</f>
        <v/>
      </c>
      <c r="K554" s="121">
        <f>IF($A554="","",IF($H554="Evet",0,$G554))</f>
        <v/>
      </c>
    </row>
    <row r="555" ht="15" customHeight="1" s="78">
      <c r="A555" s="122" t="n"/>
      <c r="B555" s="122" t="n"/>
      <c r="C555" s="128" t="n"/>
      <c r="D555" s="128" t="n"/>
      <c r="E555" s="120" t="n"/>
      <c r="F555" s="129" t="n"/>
      <c r="G555" s="120" t="n"/>
      <c r="H555" s="122" t="n"/>
      <c r="I555" s="122" t="n"/>
      <c r="J555" s="127">
        <f>IF($A555="","",IFERROR($D555-$C555,0))</f>
        <v/>
      </c>
      <c r="K555" s="121">
        <f>IF($A555="","",IF($H555="Evet",0,$G555))</f>
        <v/>
      </c>
    </row>
    <row r="556" ht="15" customHeight="1" s="78">
      <c r="A556" s="122" t="n"/>
      <c r="B556" s="122" t="n"/>
      <c r="C556" s="128" t="n"/>
      <c r="D556" s="128" t="n"/>
      <c r="E556" s="120" t="n"/>
      <c r="F556" s="129" t="n"/>
      <c r="G556" s="120" t="n"/>
      <c r="H556" s="122" t="n"/>
      <c r="I556" s="122" t="n"/>
      <c r="J556" s="127">
        <f>IF($A556="","",IFERROR($D556-$C556,0))</f>
        <v/>
      </c>
      <c r="K556" s="121">
        <f>IF($A556="","",IF($H556="Evet",0,$G556))</f>
        <v/>
      </c>
    </row>
    <row r="557" ht="15" customHeight="1" s="78">
      <c r="A557" s="122" t="n"/>
      <c r="B557" s="122" t="n"/>
      <c r="C557" s="128" t="n"/>
      <c r="D557" s="128" t="n"/>
      <c r="E557" s="120" t="n"/>
      <c r="F557" s="129" t="n"/>
      <c r="G557" s="120" t="n"/>
      <c r="H557" s="122" t="n"/>
      <c r="I557" s="122" t="n"/>
      <c r="J557" s="127">
        <f>IF($A557="","",IFERROR($D557-$C557,0))</f>
        <v/>
      </c>
      <c r="K557" s="121">
        <f>IF($A557="","",IF($H557="Evet",0,$G557))</f>
        <v/>
      </c>
    </row>
    <row r="558" ht="15" customHeight="1" s="78">
      <c r="A558" s="122" t="n"/>
      <c r="B558" s="122" t="n"/>
      <c r="C558" s="128" t="n"/>
      <c r="D558" s="128" t="n"/>
      <c r="E558" s="120" t="n"/>
      <c r="F558" s="129" t="n"/>
      <c r="G558" s="120" t="n"/>
      <c r="H558" s="122" t="n"/>
      <c r="I558" s="122" t="n"/>
      <c r="J558" s="127">
        <f>IF($A558="","",IFERROR($D558-$C558,0))</f>
        <v/>
      </c>
      <c r="K558" s="121">
        <f>IF($A558="","",IF($H558="Evet",0,$G558))</f>
        <v/>
      </c>
    </row>
    <row r="559" ht="15" customHeight="1" s="78">
      <c r="A559" s="122" t="n"/>
      <c r="B559" s="122" t="n"/>
      <c r="C559" s="128" t="n"/>
      <c r="D559" s="128" t="n"/>
      <c r="E559" s="120" t="n"/>
      <c r="F559" s="129" t="n"/>
      <c r="G559" s="120" t="n"/>
      <c r="H559" s="122" t="n"/>
      <c r="I559" s="122" t="n"/>
      <c r="J559" s="127">
        <f>IF($A559="","",IFERROR($D559-$C559,0))</f>
        <v/>
      </c>
      <c r="K559" s="121">
        <f>IF($A559="","",IF($H559="Evet",0,$G559))</f>
        <v/>
      </c>
    </row>
    <row r="560" ht="15" customHeight="1" s="78">
      <c r="A560" s="122" t="n"/>
      <c r="B560" s="122" t="n"/>
      <c r="C560" s="128" t="n"/>
      <c r="D560" s="128" t="n"/>
      <c r="E560" s="120" t="n"/>
      <c r="F560" s="129" t="n"/>
      <c r="G560" s="120" t="n"/>
      <c r="H560" s="122" t="n"/>
      <c r="I560" s="122" t="n"/>
      <c r="J560" s="127">
        <f>IF($A560="","",IFERROR($D560-$C560,0))</f>
        <v/>
      </c>
      <c r="K560" s="121">
        <f>IF($A560="","",IF($H560="Evet",0,$G560))</f>
        <v/>
      </c>
    </row>
    <row r="561" ht="15" customHeight="1" s="78">
      <c r="A561" s="122" t="n"/>
      <c r="B561" s="122" t="n"/>
      <c r="C561" s="128" t="n"/>
      <c r="D561" s="128" t="n"/>
      <c r="E561" s="120" t="n"/>
      <c r="F561" s="129" t="n"/>
      <c r="G561" s="120" t="n"/>
      <c r="H561" s="122" t="n"/>
      <c r="I561" s="122" t="n"/>
      <c r="J561" s="127">
        <f>IF($A561="","",IFERROR($D561-$C561,0))</f>
        <v/>
      </c>
      <c r="K561" s="121">
        <f>IF($A561="","",IF($H561="Evet",0,$G561))</f>
        <v/>
      </c>
    </row>
    <row r="562" ht="15" customHeight="1" s="78">
      <c r="A562" s="122" t="n"/>
      <c r="B562" s="122" t="n"/>
      <c r="C562" s="128" t="n"/>
      <c r="D562" s="128" t="n"/>
      <c r="E562" s="120" t="n"/>
      <c r="F562" s="129" t="n"/>
      <c r="G562" s="120" t="n"/>
      <c r="H562" s="122" t="n"/>
      <c r="I562" s="122" t="n"/>
      <c r="J562" s="127">
        <f>IF($A562="","",IFERROR($D562-$C562,0))</f>
        <v/>
      </c>
      <c r="K562" s="121">
        <f>IF($A562="","",IF($H562="Evet",0,$G562))</f>
        <v/>
      </c>
    </row>
    <row r="563" ht="15" customHeight="1" s="78">
      <c r="A563" s="122" t="n"/>
      <c r="B563" s="122" t="n"/>
      <c r="C563" s="128" t="n"/>
      <c r="D563" s="128" t="n"/>
      <c r="E563" s="120" t="n"/>
      <c r="F563" s="129" t="n"/>
      <c r="G563" s="120" t="n"/>
      <c r="H563" s="122" t="n"/>
      <c r="I563" s="122" t="n"/>
      <c r="J563" s="127">
        <f>IF($A563="","",IFERROR($D563-$C563,0))</f>
        <v/>
      </c>
      <c r="K563" s="121">
        <f>IF($A563="","",IF($H563="Evet",0,$G563))</f>
        <v/>
      </c>
    </row>
    <row r="564" ht="15" customHeight="1" s="78">
      <c r="A564" s="122" t="n"/>
      <c r="B564" s="122" t="n"/>
      <c r="C564" s="128" t="n"/>
      <c r="D564" s="128" t="n"/>
      <c r="E564" s="120" t="n"/>
      <c r="F564" s="129" t="n"/>
      <c r="G564" s="120" t="n"/>
      <c r="H564" s="122" t="n"/>
      <c r="I564" s="122" t="n"/>
      <c r="J564" s="127">
        <f>IF($A564="","",IFERROR($D564-$C564,0))</f>
        <v/>
      </c>
      <c r="K564" s="121">
        <f>IF($A564="","",IF($H564="Evet",0,$G564))</f>
        <v/>
      </c>
    </row>
    <row r="565" ht="15" customHeight="1" s="78">
      <c r="A565" s="122" t="n"/>
      <c r="B565" s="122" t="n"/>
      <c r="C565" s="128" t="n"/>
      <c r="D565" s="128" t="n"/>
      <c r="E565" s="120" t="n"/>
      <c r="F565" s="129" t="n"/>
      <c r="G565" s="120" t="n"/>
      <c r="H565" s="122" t="n"/>
      <c r="I565" s="122" t="n"/>
      <c r="J565" s="127">
        <f>IF($A565="","",IFERROR($D565-$C565,0))</f>
        <v/>
      </c>
      <c r="K565" s="121">
        <f>IF($A565="","",IF($H565="Evet",0,$G565))</f>
        <v/>
      </c>
    </row>
    <row r="566" ht="15" customHeight="1" s="78">
      <c r="A566" s="122" t="n"/>
      <c r="B566" s="122" t="n"/>
      <c r="C566" s="128" t="n"/>
      <c r="D566" s="128" t="n"/>
      <c r="E566" s="120" t="n"/>
      <c r="F566" s="129" t="n"/>
      <c r="G566" s="120" t="n"/>
      <c r="H566" s="122" t="n"/>
      <c r="I566" s="122" t="n"/>
      <c r="J566" s="127">
        <f>IF($A566="","",IFERROR($D566-$C566,0))</f>
        <v/>
      </c>
      <c r="K566" s="121">
        <f>IF($A566="","",IF($H566="Evet",0,$G566))</f>
        <v/>
      </c>
    </row>
    <row r="567" ht="15" customHeight="1" s="78">
      <c r="A567" s="122" t="n"/>
      <c r="B567" s="122" t="n"/>
      <c r="C567" s="128" t="n"/>
      <c r="D567" s="128" t="n"/>
      <c r="E567" s="120" t="n"/>
      <c r="F567" s="129" t="n"/>
      <c r="G567" s="120" t="n"/>
      <c r="H567" s="122" t="n"/>
      <c r="I567" s="122" t="n"/>
      <c r="J567" s="127">
        <f>IF($A567="","",IFERROR($D567-$C567,0))</f>
        <v/>
      </c>
      <c r="K567" s="121">
        <f>IF($A567="","",IF($H567="Evet",0,$G567))</f>
        <v/>
      </c>
    </row>
    <row r="568" ht="15" customHeight="1" s="78">
      <c r="A568" s="122" t="n"/>
      <c r="B568" s="122" t="n"/>
      <c r="C568" s="128" t="n"/>
      <c r="D568" s="128" t="n"/>
      <c r="E568" s="120" t="n"/>
      <c r="F568" s="129" t="n"/>
      <c r="G568" s="120" t="n"/>
      <c r="H568" s="122" t="n"/>
      <c r="I568" s="122" t="n"/>
      <c r="J568" s="127">
        <f>IF($A568="","",IFERROR($D568-$C568,0))</f>
        <v/>
      </c>
      <c r="K568" s="121">
        <f>IF($A568="","",IF($H568="Evet",0,$G568))</f>
        <v/>
      </c>
    </row>
    <row r="569" ht="15" customHeight="1" s="78">
      <c r="A569" s="122" t="n"/>
      <c r="B569" s="122" t="n"/>
      <c r="C569" s="128" t="n"/>
      <c r="D569" s="128" t="n"/>
      <c r="E569" s="120" t="n"/>
      <c r="F569" s="129" t="n"/>
      <c r="G569" s="120" t="n"/>
      <c r="H569" s="122" t="n"/>
      <c r="I569" s="122" t="n"/>
      <c r="J569" s="127">
        <f>IF($A569="","",IFERROR($D569-$C569,0))</f>
        <v/>
      </c>
      <c r="K569" s="121">
        <f>IF($A569="","",IF($H569="Evet",0,$G569))</f>
        <v/>
      </c>
    </row>
    <row r="570" ht="15" customHeight="1" s="78">
      <c r="A570" s="122" t="n"/>
      <c r="B570" s="122" t="n"/>
      <c r="C570" s="128" t="n"/>
      <c r="D570" s="128" t="n"/>
      <c r="E570" s="120" t="n"/>
      <c r="F570" s="129" t="n"/>
      <c r="G570" s="120" t="n"/>
      <c r="H570" s="122" t="n"/>
      <c r="I570" s="122" t="n"/>
      <c r="J570" s="127">
        <f>IF($A570="","",IFERROR($D570-$C570,0))</f>
        <v/>
      </c>
      <c r="K570" s="121">
        <f>IF($A570="","",IF($H570="Evet",0,$G570))</f>
        <v/>
      </c>
    </row>
    <row r="571" ht="15" customHeight="1" s="78">
      <c r="A571" s="122" t="n"/>
      <c r="B571" s="122" t="n"/>
      <c r="C571" s="128" t="n"/>
      <c r="D571" s="128" t="n"/>
      <c r="E571" s="120" t="n"/>
      <c r="F571" s="129" t="n"/>
      <c r="G571" s="120" t="n"/>
      <c r="H571" s="122" t="n"/>
      <c r="I571" s="122" t="n"/>
      <c r="J571" s="127">
        <f>IF($A571="","",IFERROR($D571-$C571,0))</f>
        <v/>
      </c>
      <c r="K571" s="121">
        <f>IF($A571="","",IF($H571="Evet",0,$G571))</f>
        <v/>
      </c>
    </row>
    <row r="572" ht="15" customHeight="1" s="78">
      <c r="A572" s="122" t="n"/>
      <c r="B572" s="122" t="n"/>
      <c r="C572" s="128" t="n"/>
      <c r="D572" s="128" t="n"/>
      <c r="E572" s="120" t="n"/>
      <c r="F572" s="129" t="n"/>
      <c r="G572" s="120" t="n"/>
      <c r="H572" s="122" t="n"/>
      <c r="I572" s="122" t="n"/>
      <c r="J572" s="127">
        <f>IF($A572="","",IFERROR($D572-$C572,0))</f>
        <v/>
      </c>
      <c r="K572" s="121">
        <f>IF($A572="","",IF($H572="Evet",0,$G572))</f>
        <v/>
      </c>
    </row>
    <row r="573" ht="15" customHeight="1" s="78">
      <c r="A573" s="122" t="n"/>
      <c r="B573" s="122" t="n"/>
      <c r="C573" s="128" t="n"/>
      <c r="D573" s="128" t="n"/>
      <c r="E573" s="120" t="n"/>
      <c r="F573" s="129" t="n"/>
      <c r="G573" s="120" t="n"/>
      <c r="H573" s="122" t="n"/>
      <c r="I573" s="122" t="n"/>
      <c r="J573" s="127">
        <f>IF($A573="","",IFERROR($D573-$C573,0))</f>
        <v/>
      </c>
      <c r="K573" s="121">
        <f>IF($A573="","",IF($H573="Evet",0,$G573))</f>
        <v/>
      </c>
    </row>
    <row r="574" ht="15" customHeight="1" s="78">
      <c r="A574" s="122" t="n"/>
      <c r="B574" s="122" t="n"/>
      <c r="C574" s="128" t="n"/>
      <c r="D574" s="128" t="n"/>
      <c r="E574" s="120" t="n"/>
      <c r="F574" s="129" t="n"/>
      <c r="G574" s="120" t="n"/>
      <c r="H574" s="122" t="n"/>
      <c r="I574" s="122" t="n"/>
      <c r="J574" s="127">
        <f>IF($A574="","",IFERROR($D574-$C574,0))</f>
        <v/>
      </c>
      <c r="K574" s="121">
        <f>IF($A574="","",IF($H574="Evet",0,$G574))</f>
        <v/>
      </c>
    </row>
    <row r="575" ht="15" customHeight="1" s="78">
      <c r="A575" s="122" t="n"/>
      <c r="B575" s="122" t="n"/>
      <c r="C575" s="128" t="n"/>
      <c r="D575" s="128" t="n"/>
      <c r="E575" s="120" t="n"/>
      <c r="F575" s="129" t="n"/>
      <c r="G575" s="120" t="n"/>
      <c r="H575" s="122" t="n"/>
      <c r="I575" s="122" t="n"/>
      <c r="J575" s="127">
        <f>IF($A575="","",IFERROR($D575-$C575,0))</f>
        <v/>
      </c>
      <c r="K575" s="121">
        <f>IF($A575="","",IF($H575="Evet",0,$G575))</f>
        <v/>
      </c>
    </row>
    <row r="576" ht="15" customHeight="1" s="78">
      <c r="A576" s="122" t="n"/>
      <c r="B576" s="122" t="n"/>
      <c r="C576" s="128" t="n"/>
      <c r="D576" s="128" t="n"/>
      <c r="E576" s="120" t="n"/>
      <c r="F576" s="129" t="n"/>
      <c r="G576" s="120" t="n"/>
      <c r="H576" s="122" t="n"/>
      <c r="I576" s="122" t="n"/>
      <c r="J576" s="127">
        <f>IF($A576="","",IFERROR($D576-$C576,0))</f>
        <v/>
      </c>
      <c r="K576" s="121">
        <f>IF($A576="","",IF($H576="Evet",0,$G576))</f>
        <v/>
      </c>
    </row>
    <row r="577" ht="15" customHeight="1" s="78">
      <c r="A577" s="122" t="n"/>
      <c r="B577" s="122" t="n"/>
      <c r="C577" s="128" t="n"/>
      <c r="D577" s="128" t="n"/>
      <c r="E577" s="120" t="n"/>
      <c r="F577" s="129" t="n"/>
      <c r="G577" s="120" t="n"/>
      <c r="H577" s="122" t="n"/>
      <c r="I577" s="122" t="n"/>
      <c r="J577" s="127">
        <f>IF($A577="","",IFERROR($D577-$C577,0))</f>
        <v/>
      </c>
      <c r="K577" s="121">
        <f>IF($A577="","",IF($H577="Evet",0,$G577))</f>
        <v/>
      </c>
    </row>
    <row r="578" ht="15" customHeight="1" s="78">
      <c r="A578" s="122" t="n"/>
      <c r="B578" s="122" t="n"/>
      <c r="C578" s="128" t="n"/>
      <c r="D578" s="128" t="n"/>
      <c r="E578" s="120" t="n"/>
      <c r="F578" s="129" t="n"/>
      <c r="G578" s="120" t="n"/>
      <c r="H578" s="122" t="n"/>
      <c r="I578" s="122" t="n"/>
      <c r="J578" s="127">
        <f>IF($A578="","",IFERROR($D578-$C578,0))</f>
        <v/>
      </c>
      <c r="K578" s="121">
        <f>IF($A578="","",IF($H578="Evet",0,$G578))</f>
        <v/>
      </c>
    </row>
    <row r="579" ht="15" customHeight="1" s="78">
      <c r="A579" s="122" t="n"/>
      <c r="B579" s="122" t="n"/>
      <c r="C579" s="128" t="n"/>
      <c r="D579" s="128" t="n"/>
      <c r="E579" s="120" t="n"/>
      <c r="F579" s="129" t="n"/>
      <c r="G579" s="120" t="n"/>
      <c r="H579" s="122" t="n"/>
      <c r="I579" s="122" t="n"/>
      <c r="J579" s="127">
        <f>IF($A579="","",IFERROR($D579-$C579,0))</f>
        <v/>
      </c>
      <c r="K579" s="121">
        <f>IF($A579="","",IF($H579="Evet",0,$G579))</f>
        <v/>
      </c>
    </row>
    <row r="580" ht="15" customHeight="1" s="78">
      <c r="A580" s="122" t="n"/>
      <c r="B580" s="122" t="n"/>
      <c r="C580" s="128" t="n"/>
      <c r="D580" s="128" t="n"/>
      <c r="E580" s="120" t="n"/>
      <c r="F580" s="129" t="n"/>
      <c r="G580" s="120" t="n"/>
      <c r="H580" s="122" t="n"/>
      <c r="I580" s="122" t="n"/>
      <c r="J580" s="127">
        <f>IF($A580="","",IFERROR($D580-$C580,0))</f>
        <v/>
      </c>
      <c r="K580" s="121">
        <f>IF($A580="","",IF($H580="Evet",0,$G580))</f>
        <v/>
      </c>
    </row>
    <row r="581" ht="15" customHeight="1" s="78">
      <c r="A581" s="122" t="n"/>
      <c r="B581" s="122" t="n"/>
      <c r="C581" s="128" t="n"/>
      <c r="D581" s="128" t="n"/>
      <c r="E581" s="120" t="n"/>
      <c r="F581" s="129" t="n"/>
      <c r="G581" s="120" t="n"/>
      <c r="H581" s="122" t="n"/>
      <c r="I581" s="122" t="n"/>
      <c r="J581" s="127">
        <f>IF($A581="","",IFERROR($D581-$C581,0))</f>
        <v/>
      </c>
      <c r="K581" s="121">
        <f>IF($A581="","",IF($H581="Evet",0,$G581))</f>
        <v/>
      </c>
    </row>
    <row r="582" ht="15" customHeight="1" s="78">
      <c r="A582" s="122" t="n"/>
      <c r="B582" s="122" t="n"/>
      <c r="C582" s="128" t="n"/>
      <c r="D582" s="128" t="n"/>
      <c r="E582" s="120" t="n"/>
      <c r="F582" s="129" t="n"/>
      <c r="G582" s="120" t="n"/>
      <c r="H582" s="122" t="n"/>
      <c r="I582" s="122" t="n"/>
      <c r="J582" s="127">
        <f>IF($A582="","",IFERROR($D582-$C582,0))</f>
        <v/>
      </c>
      <c r="K582" s="121">
        <f>IF($A582="","",IF($H582="Evet",0,$G582))</f>
        <v/>
      </c>
    </row>
    <row r="583" ht="15" customHeight="1" s="78">
      <c r="A583" s="122" t="n"/>
      <c r="B583" s="122" t="n"/>
      <c r="C583" s="128" t="n"/>
      <c r="D583" s="128" t="n"/>
      <c r="E583" s="120" t="n"/>
      <c r="F583" s="129" t="n"/>
      <c r="G583" s="120" t="n"/>
      <c r="H583" s="122" t="n"/>
      <c r="I583" s="122" t="n"/>
      <c r="J583" s="127">
        <f>IF($A583="","",IFERROR($D583-$C583,0))</f>
        <v/>
      </c>
      <c r="K583" s="121">
        <f>IF($A583="","",IF($H583="Evet",0,$G583))</f>
        <v/>
      </c>
    </row>
    <row r="584" ht="15" customHeight="1" s="78">
      <c r="A584" s="122" t="n"/>
      <c r="B584" s="122" t="n"/>
      <c r="C584" s="128" t="n"/>
      <c r="D584" s="128" t="n"/>
      <c r="E584" s="120" t="n"/>
      <c r="F584" s="129" t="n"/>
      <c r="G584" s="120" t="n"/>
      <c r="H584" s="122" t="n"/>
      <c r="I584" s="122" t="n"/>
      <c r="J584" s="127">
        <f>IF($A584="","",IFERROR($D584-$C584,0))</f>
        <v/>
      </c>
      <c r="K584" s="121">
        <f>IF($A584="","",IF($H584="Evet",0,$G584))</f>
        <v/>
      </c>
    </row>
    <row r="585" ht="15" customHeight="1" s="78">
      <c r="A585" s="122" t="n"/>
      <c r="B585" s="122" t="n"/>
      <c r="C585" s="128" t="n"/>
      <c r="D585" s="128" t="n"/>
      <c r="E585" s="120" t="n"/>
      <c r="F585" s="129" t="n"/>
      <c r="G585" s="120" t="n"/>
      <c r="H585" s="122" t="n"/>
      <c r="I585" s="122" t="n"/>
      <c r="J585" s="127">
        <f>IF($A585="","",IFERROR($D585-$C585,0))</f>
        <v/>
      </c>
      <c r="K585" s="121">
        <f>IF($A585="","",IF($H585="Evet",0,$G585))</f>
        <v/>
      </c>
    </row>
    <row r="586" ht="15" customHeight="1" s="78">
      <c r="A586" s="122" t="n"/>
      <c r="B586" s="122" t="n"/>
      <c r="C586" s="128" t="n"/>
      <c r="D586" s="128" t="n"/>
      <c r="E586" s="120" t="n"/>
      <c r="F586" s="129" t="n"/>
      <c r="G586" s="120" t="n"/>
      <c r="H586" s="122" t="n"/>
      <c r="I586" s="122" t="n"/>
      <c r="J586" s="127">
        <f>IF($A586="","",IFERROR($D586-$C586,0))</f>
        <v/>
      </c>
      <c r="K586" s="121">
        <f>IF($A586="","",IF($H586="Evet",0,$G586))</f>
        <v/>
      </c>
    </row>
    <row r="587" ht="15" customHeight="1" s="78">
      <c r="A587" s="122" t="n"/>
      <c r="B587" s="122" t="n"/>
      <c r="C587" s="128" t="n"/>
      <c r="D587" s="128" t="n"/>
      <c r="E587" s="120" t="n"/>
      <c r="F587" s="129" t="n"/>
      <c r="G587" s="120" t="n"/>
      <c r="H587" s="122" t="n"/>
      <c r="I587" s="122" t="n"/>
      <c r="J587" s="127">
        <f>IF($A587="","",IFERROR($D587-$C587,0))</f>
        <v/>
      </c>
      <c r="K587" s="121">
        <f>IF($A587="","",IF($H587="Evet",0,$G587))</f>
        <v/>
      </c>
    </row>
    <row r="588" ht="15" customHeight="1" s="78">
      <c r="A588" s="122" t="n"/>
      <c r="B588" s="122" t="n"/>
      <c r="C588" s="128" t="n"/>
      <c r="D588" s="128" t="n"/>
      <c r="E588" s="120" t="n"/>
      <c r="F588" s="129" t="n"/>
      <c r="G588" s="120" t="n"/>
      <c r="H588" s="122" t="n"/>
      <c r="I588" s="122" t="n"/>
      <c r="J588" s="127">
        <f>IF($A588="","",IFERROR($D588-$C588,0))</f>
        <v/>
      </c>
      <c r="K588" s="121">
        <f>IF($A588="","",IF($H588="Evet",0,$G588))</f>
        <v/>
      </c>
    </row>
    <row r="589" ht="15" customHeight="1" s="78">
      <c r="A589" s="122" t="n"/>
      <c r="B589" s="122" t="n"/>
      <c r="C589" s="128" t="n"/>
      <c r="D589" s="128" t="n"/>
      <c r="E589" s="120" t="n"/>
      <c r="F589" s="129" t="n"/>
      <c r="G589" s="120" t="n"/>
      <c r="H589" s="122" t="n"/>
      <c r="I589" s="122" t="n"/>
      <c r="J589" s="127">
        <f>IF($A589="","",IFERROR($D589-$C589,0))</f>
        <v/>
      </c>
      <c r="K589" s="121">
        <f>IF($A589="","",IF($H589="Evet",0,$G589))</f>
        <v/>
      </c>
    </row>
    <row r="590" ht="15" customHeight="1" s="78">
      <c r="A590" s="122" t="n"/>
      <c r="B590" s="122" t="n"/>
      <c r="C590" s="128" t="n"/>
      <c r="D590" s="128" t="n"/>
      <c r="E590" s="120" t="n"/>
      <c r="F590" s="129" t="n"/>
      <c r="G590" s="120" t="n"/>
      <c r="H590" s="122" t="n"/>
      <c r="I590" s="122" t="n"/>
      <c r="J590" s="127">
        <f>IF($A590="","",IFERROR($D590-$C590,0))</f>
        <v/>
      </c>
      <c r="K590" s="121">
        <f>IF($A590="","",IF($H590="Evet",0,$G590))</f>
        <v/>
      </c>
    </row>
    <row r="591" ht="15" customHeight="1" s="78">
      <c r="A591" s="122" t="n"/>
      <c r="B591" s="122" t="n"/>
      <c r="C591" s="128" t="n"/>
      <c r="D591" s="128" t="n"/>
      <c r="E591" s="120" t="n"/>
      <c r="F591" s="129" t="n"/>
      <c r="G591" s="120" t="n"/>
      <c r="H591" s="122" t="n"/>
      <c r="I591" s="122" t="n"/>
      <c r="J591" s="127">
        <f>IF($A591="","",IFERROR($D591-$C591,0))</f>
        <v/>
      </c>
      <c r="K591" s="121">
        <f>IF($A591="","",IF($H591="Evet",0,$G591))</f>
        <v/>
      </c>
    </row>
    <row r="592" ht="15" customHeight="1" s="78">
      <c r="A592" s="122" t="n"/>
      <c r="B592" s="122" t="n"/>
      <c r="C592" s="128" t="n"/>
      <c r="D592" s="128" t="n"/>
      <c r="E592" s="120" t="n"/>
      <c r="F592" s="129" t="n"/>
      <c r="G592" s="120" t="n"/>
      <c r="H592" s="122" t="n"/>
      <c r="I592" s="122" t="n"/>
      <c r="J592" s="127">
        <f>IF($A592="","",IFERROR($D592-$C592,0))</f>
        <v/>
      </c>
      <c r="K592" s="121">
        <f>IF($A592="","",IF($H592="Evet",0,$G592))</f>
        <v/>
      </c>
    </row>
    <row r="593" ht="15" customHeight="1" s="78">
      <c r="A593" s="122" t="n"/>
      <c r="B593" s="122" t="n"/>
      <c r="C593" s="128" t="n"/>
      <c r="D593" s="128" t="n"/>
      <c r="E593" s="120" t="n"/>
      <c r="F593" s="129" t="n"/>
      <c r="G593" s="120" t="n"/>
      <c r="H593" s="122" t="n"/>
      <c r="I593" s="122" t="n"/>
      <c r="J593" s="127">
        <f>IF($A593="","",IFERROR($D593-$C593,0))</f>
        <v/>
      </c>
      <c r="K593" s="121">
        <f>IF($A593="","",IF($H593="Evet",0,$G593))</f>
        <v/>
      </c>
    </row>
    <row r="594" ht="15" customHeight="1" s="78">
      <c r="A594" s="122" t="n"/>
      <c r="B594" s="122" t="n"/>
      <c r="C594" s="128" t="n"/>
      <c r="D594" s="128" t="n"/>
      <c r="E594" s="120" t="n"/>
      <c r="F594" s="129" t="n"/>
      <c r="G594" s="120" t="n"/>
      <c r="H594" s="122" t="n"/>
      <c r="I594" s="122" t="n"/>
      <c r="J594" s="127">
        <f>IF($A594="","",IFERROR($D594-$C594,0))</f>
        <v/>
      </c>
      <c r="K594" s="121">
        <f>IF($A594="","",IF($H594="Evet",0,$G594))</f>
        <v/>
      </c>
    </row>
    <row r="595" ht="15" customHeight="1" s="78">
      <c r="A595" s="122" t="n"/>
      <c r="B595" s="122" t="n"/>
      <c r="C595" s="128" t="n"/>
      <c r="D595" s="128" t="n"/>
      <c r="E595" s="120" t="n"/>
      <c r="F595" s="129" t="n"/>
      <c r="G595" s="120" t="n"/>
      <c r="H595" s="122" t="n"/>
      <c r="I595" s="122" t="n"/>
      <c r="J595" s="127">
        <f>IF($A595="","",IFERROR($D595-$C595,0))</f>
        <v/>
      </c>
      <c r="K595" s="121">
        <f>IF($A595="","",IF($H595="Evet",0,$G595))</f>
        <v/>
      </c>
    </row>
    <row r="596" ht="15" customHeight="1" s="78">
      <c r="A596" s="122" t="n"/>
      <c r="B596" s="122" t="n"/>
      <c r="C596" s="128" t="n"/>
      <c r="D596" s="128" t="n"/>
      <c r="E596" s="120" t="n"/>
      <c r="F596" s="129" t="n"/>
      <c r="G596" s="120" t="n"/>
      <c r="H596" s="122" t="n"/>
      <c r="I596" s="122" t="n"/>
      <c r="J596" s="127">
        <f>IF($A596="","",IFERROR($D596-$C596,0))</f>
        <v/>
      </c>
      <c r="K596" s="121">
        <f>IF($A596="","",IF($H596="Evet",0,$G596))</f>
        <v/>
      </c>
    </row>
    <row r="597" ht="15" customHeight="1" s="78">
      <c r="A597" s="122" t="n"/>
      <c r="B597" s="122" t="n"/>
      <c r="C597" s="128" t="n"/>
      <c r="D597" s="128" t="n"/>
      <c r="E597" s="120" t="n"/>
      <c r="F597" s="129" t="n"/>
      <c r="G597" s="120" t="n"/>
      <c r="H597" s="122" t="n"/>
      <c r="I597" s="122" t="n"/>
      <c r="J597" s="127">
        <f>IF($A597="","",IFERROR($D597-$C597,0))</f>
        <v/>
      </c>
      <c r="K597" s="121">
        <f>IF($A597="","",IF($H597="Evet",0,$G597))</f>
        <v/>
      </c>
    </row>
    <row r="598" ht="15" customHeight="1" s="78">
      <c r="A598" s="122" t="n"/>
      <c r="B598" s="122" t="n"/>
      <c r="C598" s="128" t="n"/>
      <c r="D598" s="128" t="n"/>
      <c r="E598" s="120" t="n"/>
      <c r="F598" s="129" t="n"/>
      <c r="G598" s="120" t="n"/>
      <c r="H598" s="122" t="n"/>
      <c r="I598" s="122" t="n"/>
      <c r="J598" s="127">
        <f>IF($A598="","",IFERROR($D598-$C598,0))</f>
        <v/>
      </c>
      <c r="K598" s="121">
        <f>IF($A598="","",IF($H598="Evet",0,$G598))</f>
        <v/>
      </c>
    </row>
    <row r="599" ht="15" customHeight="1" s="78">
      <c r="A599" s="122" t="n"/>
      <c r="B599" s="122" t="n"/>
      <c r="C599" s="128" t="n"/>
      <c r="D599" s="128" t="n"/>
      <c r="E599" s="120" t="n"/>
      <c r="F599" s="129" t="n"/>
      <c r="G599" s="120" t="n"/>
      <c r="H599" s="122" t="n"/>
      <c r="I599" s="122" t="n"/>
      <c r="J599" s="127">
        <f>IF($A599="","",IFERROR($D599-$C599,0))</f>
        <v/>
      </c>
      <c r="K599" s="121">
        <f>IF($A599="","",IF($H599="Evet",0,$G599))</f>
        <v/>
      </c>
    </row>
    <row r="600" ht="15" customHeight="1" s="78">
      <c r="A600" s="122" t="n"/>
      <c r="B600" s="122" t="n"/>
      <c r="C600" s="128" t="n"/>
      <c r="D600" s="128" t="n"/>
      <c r="E600" s="120" t="n"/>
      <c r="F600" s="129" t="n"/>
      <c r="G600" s="120" t="n"/>
      <c r="H600" s="122" t="n"/>
      <c r="I600" s="122" t="n"/>
      <c r="J600" s="127">
        <f>IF($A600="","",IFERROR($D600-$C600,0))</f>
        <v/>
      </c>
      <c r="K600" s="121">
        <f>IF($A600="","",IF($H600="Evet",0,$G600))</f>
        <v/>
      </c>
    </row>
    <row r="601" ht="15" customHeight="1" s="78">
      <c r="A601" s="122" t="n"/>
      <c r="B601" s="122" t="n"/>
      <c r="C601" s="128" t="n"/>
      <c r="D601" s="128" t="n"/>
      <c r="E601" s="120" t="n"/>
      <c r="F601" s="129" t="n"/>
      <c r="G601" s="120" t="n"/>
      <c r="H601" s="122" t="n"/>
      <c r="I601" s="122" t="n"/>
      <c r="J601" s="127">
        <f>IF($A601="","",IFERROR($D601-$C601,0))</f>
        <v/>
      </c>
      <c r="K601" s="121">
        <f>IF($A601="","",IF($H601="Evet",0,$G601))</f>
        <v/>
      </c>
    </row>
    <row r="602" ht="15" customHeight="1" s="78">
      <c r="A602" s="122" t="n"/>
      <c r="B602" s="122" t="n"/>
      <c r="C602" s="128" t="n"/>
      <c r="D602" s="128" t="n"/>
      <c r="E602" s="120" t="n"/>
      <c r="F602" s="129" t="n"/>
      <c r="G602" s="120" t="n"/>
      <c r="H602" s="122" t="n"/>
      <c r="I602" s="122" t="n"/>
      <c r="J602" s="127">
        <f>IF($A602="","",IFERROR($D602-$C602,0))</f>
        <v/>
      </c>
      <c r="K602" s="121">
        <f>IF($A602="","",IF($H602="Evet",0,$G602))</f>
        <v/>
      </c>
    </row>
    <row r="603" ht="15" customHeight="1" s="78">
      <c r="A603" s="122" t="n"/>
      <c r="B603" s="122" t="n"/>
      <c r="C603" s="128" t="n"/>
      <c r="D603" s="128" t="n"/>
      <c r="E603" s="120" t="n"/>
      <c r="F603" s="129" t="n"/>
      <c r="G603" s="120" t="n"/>
      <c r="H603" s="122" t="n"/>
      <c r="I603" s="122" t="n"/>
      <c r="J603" s="127">
        <f>IF($A603="","",IFERROR($D603-$C603,0))</f>
        <v/>
      </c>
      <c r="K603" s="121">
        <f>IF($A603="","",IF($H603="Evet",0,$G603))</f>
        <v/>
      </c>
    </row>
    <row r="604" ht="15" customHeight="1" s="78">
      <c r="A604" s="122" t="n"/>
      <c r="B604" s="122" t="n"/>
      <c r="C604" s="128" t="n"/>
      <c r="D604" s="128" t="n"/>
      <c r="E604" s="120" t="n"/>
      <c r="F604" s="129" t="n"/>
      <c r="G604" s="120" t="n"/>
      <c r="H604" s="122" t="n"/>
      <c r="I604" s="122" t="n"/>
      <c r="J604" s="127">
        <f>IF($A604="","",IFERROR($D604-$C604,0))</f>
        <v/>
      </c>
      <c r="K604" s="121">
        <f>IF($A604="","",IF($H604="Evet",0,$G604))</f>
        <v/>
      </c>
    </row>
    <row r="605" ht="15" customHeight="1" s="78">
      <c r="A605" s="122" t="n"/>
      <c r="B605" s="122" t="n"/>
      <c r="C605" s="128" t="n"/>
      <c r="D605" s="128" t="n"/>
      <c r="E605" s="120" t="n"/>
      <c r="F605" s="129" t="n"/>
      <c r="G605" s="120" t="n"/>
      <c r="H605" s="122" t="n"/>
      <c r="I605" s="122" t="n"/>
      <c r="J605" s="127">
        <f>IF($A605="","",IFERROR($D605-$C605,0))</f>
        <v/>
      </c>
      <c r="K605" s="121">
        <f>IF($A605="","",IF($H605="Evet",0,$G605))</f>
        <v/>
      </c>
    </row>
    <row r="606" ht="15" customHeight="1" s="78">
      <c r="A606" s="122" t="n"/>
      <c r="B606" s="122" t="n"/>
      <c r="C606" s="128" t="n"/>
      <c r="D606" s="128" t="n"/>
      <c r="E606" s="120" t="n"/>
      <c r="F606" s="129" t="n"/>
      <c r="G606" s="120" t="n"/>
      <c r="H606" s="122" t="n"/>
      <c r="I606" s="122" t="n"/>
      <c r="J606" s="127">
        <f>IF($A606="","",IFERROR($D606-$C606,0))</f>
        <v/>
      </c>
      <c r="K606" s="121">
        <f>IF($A606="","",IF($H606="Evet",0,$G606))</f>
        <v/>
      </c>
    </row>
    <row r="607" ht="15" customHeight="1" s="78">
      <c r="A607" s="122" t="n"/>
      <c r="B607" s="122" t="n"/>
      <c r="C607" s="128" t="n"/>
      <c r="D607" s="128" t="n"/>
      <c r="E607" s="120" t="n"/>
      <c r="F607" s="129" t="n"/>
      <c r="G607" s="120" t="n"/>
      <c r="H607" s="122" t="n"/>
      <c r="I607" s="122" t="n"/>
      <c r="J607" s="127">
        <f>IF($A607="","",IFERROR($D607-$C607,0))</f>
        <v/>
      </c>
      <c r="K607" s="121">
        <f>IF($A607="","",IF($H607="Evet",0,$G607))</f>
        <v/>
      </c>
    </row>
    <row r="608" ht="15" customHeight="1" s="78">
      <c r="A608" s="122" t="n"/>
      <c r="B608" s="122" t="n"/>
      <c r="C608" s="128" t="n"/>
      <c r="D608" s="128" t="n"/>
      <c r="E608" s="120" t="n"/>
      <c r="F608" s="129" t="n"/>
      <c r="G608" s="120" t="n"/>
      <c r="H608" s="122" t="n"/>
      <c r="I608" s="122" t="n"/>
      <c r="J608" s="127">
        <f>IF($A608="","",IFERROR($D608-$C608,0))</f>
        <v/>
      </c>
      <c r="K608" s="121">
        <f>IF($A608="","",IF($H608="Evet",0,$G608))</f>
        <v/>
      </c>
    </row>
    <row r="609" ht="15" customHeight="1" s="78">
      <c r="A609" s="122" t="n"/>
      <c r="B609" s="122" t="n"/>
      <c r="C609" s="128" t="n"/>
      <c r="D609" s="128" t="n"/>
      <c r="E609" s="120" t="n"/>
      <c r="F609" s="129" t="n"/>
      <c r="G609" s="120" t="n"/>
      <c r="H609" s="122" t="n"/>
      <c r="I609" s="122" t="n"/>
      <c r="J609" s="127">
        <f>IF($A609="","",IFERROR($D609-$C609,0))</f>
        <v/>
      </c>
      <c r="K609" s="121">
        <f>IF($A609="","",IF($H609="Evet",0,$G609))</f>
        <v/>
      </c>
    </row>
    <row r="610" ht="15" customHeight="1" s="78">
      <c r="A610" s="122" t="n"/>
      <c r="B610" s="122" t="n"/>
      <c r="C610" s="128" t="n"/>
      <c r="D610" s="128" t="n"/>
      <c r="E610" s="120" t="n"/>
      <c r="F610" s="129" t="n"/>
      <c r="G610" s="120" t="n"/>
      <c r="H610" s="122" t="n"/>
      <c r="I610" s="122" t="n"/>
      <c r="J610" s="127">
        <f>IF($A610="","",IFERROR($D610-$C610,0))</f>
        <v/>
      </c>
      <c r="K610" s="121">
        <f>IF($A610="","",IF($H610="Evet",0,$G610))</f>
        <v/>
      </c>
    </row>
    <row r="611" ht="15" customHeight="1" s="78">
      <c r="A611" s="122" t="n"/>
      <c r="B611" s="122" t="n"/>
      <c r="C611" s="128" t="n"/>
      <c r="D611" s="128" t="n"/>
      <c r="E611" s="120" t="n"/>
      <c r="F611" s="129" t="n"/>
      <c r="G611" s="120" t="n"/>
      <c r="H611" s="122" t="n"/>
      <c r="I611" s="122" t="n"/>
      <c r="J611" s="127">
        <f>IF($A611="","",IFERROR($D611-$C611,0))</f>
        <v/>
      </c>
      <c r="K611" s="121">
        <f>IF($A611="","",IF($H611="Evet",0,$G611))</f>
        <v/>
      </c>
    </row>
    <row r="612" ht="15" customHeight="1" s="78">
      <c r="A612" s="122" t="n"/>
      <c r="B612" s="122" t="n"/>
      <c r="C612" s="128" t="n"/>
      <c r="D612" s="128" t="n"/>
      <c r="E612" s="120" t="n"/>
      <c r="F612" s="129" t="n"/>
      <c r="G612" s="120" t="n"/>
      <c r="H612" s="122" t="n"/>
      <c r="I612" s="122" t="n"/>
      <c r="J612" s="127">
        <f>IF($A612="","",IFERROR($D612-$C612,0))</f>
        <v/>
      </c>
      <c r="K612" s="121">
        <f>IF($A612="","",IF($H612="Evet",0,$G612))</f>
        <v/>
      </c>
    </row>
    <row r="613" ht="15" customHeight="1" s="78">
      <c r="A613" s="122" t="n"/>
      <c r="B613" s="122" t="n"/>
      <c r="C613" s="128" t="n"/>
      <c r="D613" s="128" t="n"/>
      <c r="E613" s="120" t="n"/>
      <c r="F613" s="129" t="n"/>
      <c r="G613" s="120" t="n"/>
      <c r="H613" s="122" t="n"/>
      <c r="I613" s="122" t="n"/>
      <c r="J613" s="127">
        <f>IF($A613="","",IFERROR($D613-$C613,0))</f>
        <v/>
      </c>
      <c r="K613" s="121">
        <f>IF($A613="","",IF($H613="Evet",0,$G613))</f>
        <v/>
      </c>
    </row>
    <row r="614" ht="15" customHeight="1" s="78">
      <c r="A614" s="122" t="n"/>
      <c r="B614" s="122" t="n"/>
      <c r="C614" s="128" t="n"/>
      <c r="D614" s="128" t="n"/>
      <c r="E614" s="120" t="n"/>
      <c r="F614" s="129" t="n"/>
      <c r="G614" s="120" t="n"/>
      <c r="H614" s="122" t="n"/>
      <c r="I614" s="122" t="n"/>
      <c r="J614" s="127">
        <f>IF($A614="","",IFERROR($D614-$C614,0))</f>
        <v/>
      </c>
      <c r="K614" s="121">
        <f>IF($A614="","",IF($H614="Evet",0,$G614))</f>
        <v/>
      </c>
    </row>
    <row r="615" ht="15" customHeight="1" s="78">
      <c r="A615" s="122" t="n"/>
      <c r="B615" s="122" t="n"/>
      <c r="C615" s="128" t="n"/>
      <c r="D615" s="128" t="n"/>
      <c r="E615" s="120" t="n"/>
      <c r="F615" s="129" t="n"/>
      <c r="G615" s="120" t="n"/>
      <c r="H615" s="122" t="n"/>
      <c r="I615" s="122" t="n"/>
      <c r="J615" s="127">
        <f>IF($A615="","",IFERROR($D615-$C615,0))</f>
        <v/>
      </c>
      <c r="K615" s="121">
        <f>IF($A615="","",IF($H615="Evet",0,$G615))</f>
        <v/>
      </c>
    </row>
    <row r="616" ht="15" customHeight="1" s="78">
      <c r="A616" s="122" t="n"/>
      <c r="B616" s="122" t="n"/>
      <c r="C616" s="128" t="n"/>
      <c r="D616" s="128" t="n"/>
      <c r="E616" s="120" t="n"/>
      <c r="F616" s="129" t="n"/>
      <c r="G616" s="120" t="n"/>
      <c r="H616" s="122" t="n"/>
      <c r="I616" s="122" t="n"/>
      <c r="J616" s="127">
        <f>IF($A616="","",IFERROR($D616-$C616,0))</f>
        <v/>
      </c>
      <c r="K616" s="121">
        <f>IF($A616="","",IF($H616="Evet",0,$G616))</f>
        <v/>
      </c>
    </row>
    <row r="617" ht="15" customHeight="1" s="78">
      <c r="A617" s="122" t="n"/>
      <c r="B617" s="122" t="n"/>
      <c r="C617" s="128" t="n"/>
      <c r="D617" s="128" t="n"/>
      <c r="E617" s="120" t="n"/>
      <c r="F617" s="129" t="n"/>
      <c r="G617" s="120" t="n"/>
      <c r="H617" s="122" t="n"/>
      <c r="I617" s="122" t="n"/>
      <c r="J617" s="127">
        <f>IF($A617="","",IFERROR($D617-$C617,0))</f>
        <v/>
      </c>
      <c r="K617" s="121">
        <f>IF($A617="","",IF($H617="Evet",0,$G617))</f>
        <v/>
      </c>
    </row>
    <row r="618" ht="15" customHeight="1" s="78">
      <c r="A618" s="122" t="n"/>
      <c r="B618" s="122" t="n"/>
      <c r="C618" s="128" t="n"/>
      <c r="D618" s="128" t="n"/>
      <c r="E618" s="120" t="n"/>
      <c r="F618" s="129" t="n"/>
      <c r="G618" s="120" t="n"/>
      <c r="H618" s="122" t="n"/>
      <c r="I618" s="122" t="n"/>
      <c r="J618" s="127">
        <f>IF($A618="","",IFERROR($D618-$C618,0))</f>
        <v/>
      </c>
      <c r="K618" s="121">
        <f>IF($A618="","",IF($H618="Evet",0,$G618))</f>
        <v/>
      </c>
    </row>
    <row r="619" ht="15" customHeight="1" s="78">
      <c r="A619" s="122" t="n"/>
      <c r="B619" s="122" t="n"/>
      <c r="C619" s="128" t="n"/>
      <c r="D619" s="128" t="n"/>
      <c r="E619" s="120" t="n"/>
      <c r="F619" s="129" t="n"/>
      <c r="G619" s="120" t="n"/>
      <c r="H619" s="122" t="n"/>
      <c r="I619" s="122" t="n"/>
      <c r="J619" s="127">
        <f>IF($A619="","",IFERROR($D619-$C619,0))</f>
        <v/>
      </c>
      <c r="K619" s="121">
        <f>IF($A619="","",IF($H619="Evet",0,$G619))</f>
        <v/>
      </c>
    </row>
    <row r="620" ht="15" customHeight="1" s="78">
      <c r="A620" s="122" t="n"/>
      <c r="B620" s="122" t="n"/>
      <c r="C620" s="128" t="n"/>
      <c r="D620" s="128" t="n"/>
      <c r="E620" s="120" t="n"/>
      <c r="F620" s="129" t="n"/>
      <c r="G620" s="120" t="n"/>
      <c r="H620" s="122" t="n"/>
      <c r="I620" s="122" t="n"/>
      <c r="J620" s="127">
        <f>IF($A620="","",IFERROR($D620-$C620,0))</f>
        <v/>
      </c>
      <c r="K620" s="121">
        <f>IF($A620="","",IF($H620="Evet",0,$G620))</f>
        <v/>
      </c>
    </row>
    <row r="621" ht="15" customHeight="1" s="78">
      <c r="A621" s="122" t="n"/>
      <c r="B621" s="122" t="n"/>
      <c r="C621" s="128" t="n"/>
      <c r="D621" s="128" t="n"/>
      <c r="E621" s="120" t="n"/>
      <c r="F621" s="129" t="n"/>
      <c r="G621" s="120" t="n"/>
      <c r="H621" s="122" t="n"/>
      <c r="I621" s="122" t="n"/>
      <c r="J621" s="127">
        <f>IF($A621="","",IFERROR($D621-$C621,0))</f>
        <v/>
      </c>
      <c r="K621" s="121">
        <f>IF($A621="","",IF($H621="Evet",0,$G621))</f>
        <v/>
      </c>
    </row>
    <row r="622" ht="15" customHeight="1" s="78">
      <c r="A622" s="122" t="n"/>
      <c r="B622" s="122" t="n"/>
      <c r="C622" s="128" t="n"/>
      <c r="D622" s="128" t="n"/>
      <c r="E622" s="120" t="n"/>
      <c r="F622" s="129" t="n"/>
      <c r="G622" s="120" t="n"/>
      <c r="H622" s="122" t="n"/>
      <c r="I622" s="122" t="n"/>
      <c r="J622" s="127">
        <f>IF($A622="","",IFERROR($D622-$C622,0))</f>
        <v/>
      </c>
      <c r="K622" s="121">
        <f>IF($A622="","",IF($H622="Evet",0,$G622))</f>
        <v/>
      </c>
    </row>
    <row r="623" ht="15" customHeight="1" s="78">
      <c r="A623" s="122" t="n"/>
      <c r="B623" s="122" t="n"/>
      <c r="C623" s="128" t="n"/>
      <c r="D623" s="128" t="n"/>
      <c r="E623" s="120" t="n"/>
      <c r="F623" s="129" t="n"/>
      <c r="G623" s="120" t="n"/>
      <c r="H623" s="122" t="n"/>
      <c r="I623" s="122" t="n"/>
      <c r="J623" s="127">
        <f>IF($A623="","",IFERROR($D623-$C623,0))</f>
        <v/>
      </c>
      <c r="K623" s="121">
        <f>IF($A623="","",IF($H623="Evet",0,$G623))</f>
        <v/>
      </c>
    </row>
    <row r="624" ht="15" customHeight="1" s="78">
      <c r="A624" s="122" t="n"/>
      <c r="B624" s="122" t="n"/>
      <c r="C624" s="128" t="n"/>
      <c r="D624" s="128" t="n"/>
      <c r="E624" s="120" t="n"/>
      <c r="F624" s="129" t="n"/>
      <c r="G624" s="120" t="n"/>
      <c r="H624" s="122" t="n"/>
      <c r="I624" s="122" t="n"/>
      <c r="J624" s="127">
        <f>IF($A624="","",IFERROR($D624-$C624,0))</f>
        <v/>
      </c>
      <c r="K624" s="121">
        <f>IF($A624="","",IF($H624="Evet",0,$G624))</f>
        <v/>
      </c>
    </row>
    <row r="625" ht="15" customHeight="1" s="78">
      <c r="A625" s="122" t="n"/>
      <c r="B625" s="122" t="n"/>
      <c r="C625" s="128" t="n"/>
      <c r="D625" s="128" t="n"/>
      <c r="E625" s="120" t="n"/>
      <c r="F625" s="129" t="n"/>
      <c r="G625" s="120" t="n"/>
      <c r="H625" s="122" t="n"/>
      <c r="I625" s="122" t="n"/>
      <c r="J625" s="127">
        <f>IF($A625="","",IFERROR($D625-$C625,0))</f>
        <v/>
      </c>
      <c r="K625" s="121">
        <f>IF($A625="","",IF($H625="Evet",0,$G625))</f>
        <v/>
      </c>
    </row>
    <row r="626" ht="15" customHeight="1" s="78">
      <c r="A626" s="122" t="n"/>
      <c r="B626" s="122" t="n"/>
      <c r="C626" s="128" t="n"/>
      <c r="D626" s="128" t="n"/>
      <c r="E626" s="120" t="n"/>
      <c r="F626" s="129" t="n"/>
      <c r="G626" s="120" t="n"/>
      <c r="H626" s="122" t="n"/>
      <c r="I626" s="122" t="n"/>
      <c r="J626" s="127">
        <f>IF($A626="","",IFERROR($D626-$C626,0))</f>
        <v/>
      </c>
      <c r="K626" s="121">
        <f>IF($A626="","",IF($H626="Evet",0,$G626))</f>
        <v/>
      </c>
    </row>
    <row r="627" ht="15" customHeight="1" s="78">
      <c r="A627" s="122" t="n"/>
      <c r="B627" s="122" t="n"/>
      <c r="C627" s="128" t="n"/>
      <c r="D627" s="128" t="n"/>
      <c r="E627" s="120" t="n"/>
      <c r="F627" s="129" t="n"/>
      <c r="G627" s="120" t="n"/>
      <c r="H627" s="122" t="n"/>
      <c r="I627" s="122" t="n"/>
      <c r="J627" s="127">
        <f>IF($A627="","",IFERROR($D627-$C627,0))</f>
        <v/>
      </c>
      <c r="K627" s="121">
        <f>IF($A627="","",IF($H627="Evet",0,$G627))</f>
        <v/>
      </c>
    </row>
    <row r="628" ht="15" customHeight="1" s="78">
      <c r="A628" s="122" t="n"/>
      <c r="B628" s="122" t="n"/>
      <c r="C628" s="128" t="n"/>
      <c r="D628" s="128" t="n"/>
      <c r="E628" s="120" t="n"/>
      <c r="F628" s="129" t="n"/>
      <c r="G628" s="120" t="n"/>
      <c r="H628" s="122" t="n"/>
      <c r="I628" s="122" t="n"/>
      <c r="J628" s="127">
        <f>IF($A628="","",IFERROR($D628-$C628,0))</f>
        <v/>
      </c>
      <c r="K628" s="121">
        <f>IF($A628="","",IF($H628="Evet",0,$G628))</f>
        <v/>
      </c>
    </row>
    <row r="629" ht="15" customHeight="1" s="78">
      <c r="A629" s="122" t="n"/>
      <c r="B629" s="122" t="n"/>
      <c r="C629" s="128" t="n"/>
      <c r="D629" s="128" t="n"/>
      <c r="E629" s="120" t="n"/>
      <c r="F629" s="129" t="n"/>
      <c r="G629" s="120" t="n"/>
      <c r="H629" s="122" t="n"/>
      <c r="I629" s="122" t="n"/>
      <c r="J629" s="127">
        <f>IF($A629="","",IFERROR($D629-$C629,0))</f>
        <v/>
      </c>
      <c r="K629" s="121">
        <f>IF($A629="","",IF($H629="Evet",0,$G629))</f>
        <v/>
      </c>
    </row>
    <row r="630" ht="15" customHeight="1" s="78">
      <c r="A630" s="122" t="n"/>
      <c r="B630" s="122" t="n"/>
      <c r="C630" s="128" t="n"/>
      <c r="D630" s="128" t="n"/>
      <c r="E630" s="120" t="n"/>
      <c r="F630" s="129" t="n"/>
      <c r="G630" s="120" t="n"/>
      <c r="H630" s="122" t="n"/>
      <c r="I630" s="122" t="n"/>
      <c r="J630" s="127">
        <f>IF($A630="","",IFERROR($D630-$C630,0))</f>
        <v/>
      </c>
      <c r="K630" s="121">
        <f>IF($A630="","",IF($H630="Evet",0,$G630))</f>
        <v/>
      </c>
    </row>
    <row r="631" ht="15" customHeight="1" s="78">
      <c r="A631" s="122" t="n"/>
      <c r="B631" s="122" t="n"/>
      <c r="C631" s="128" t="n"/>
      <c r="D631" s="128" t="n"/>
      <c r="E631" s="120" t="n"/>
      <c r="F631" s="129" t="n"/>
      <c r="G631" s="120" t="n"/>
      <c r="H631" s="122" t="n"/>
      <c r="I631" s="122" t="n"/>
      <c r="J631" s="127">
        <f>IF($A631="","",IFERROR($D631-$C631,0))</f>
        <v/>
      </c>
      <c r="K631" s="121">
        <f>IF($A631="","",IF($H631="Evet",0,$G631))</f>
        <v/>
      </c>
    </row>
    <row r="632" ht="15" customHeight="1" s="78">
      <c r="A632" s="122" t="n"/>
      <c r="B632" s="122" t="n"/>
      <c r="C632" s="128" t="n"/>
      <c r="D632" s="128" t="n"/>
      <c r="E632" s="120" t="n"/>
      <c r="F632" s="129" t="n"/>
      <c r="G632" s="120" t="n"/>
      <c r="H632" s="122" t="n"/>
      <c r="I632" s="122" t="n"/>
      <c r="J632" s="127">
        <f>IF($A632="","",IFERROR($D632-$C632,0))</f>
        <v/>
      </c>
      <c r="K632" s="121">
        <f>IF($A632="","",IF($H632="Evet",0,$G632))</f>
        <v/>
      </c>
    </row>
    <row r="633" ht="15" customHeight="1" s="78">
      <c r="A633" s="122" t="n"/>
      <c r="B633" s="122" t="n"/>
      <c r="C633" s="128" t="n"/>
      <c r="D633" s="128" t="n"/>
      <c r="E633" s="120" t="n"/>
      <c r="F633" s="129" t="n"/>
      <c r="G633" s="120" t="n"/>
      <c r="H633" s="122" t="n"/>
      <c r="I633" s="122" t="n"/>
      <c r="J633" s="127">
        <f>IF($A633="","",IFERROR($D633-$C633,0))</f>
        <v/>
      </c>
      <c r="K633" s="121">
        <f>IF($A633="","",IF($H633="Evet",0,$G633))</f>
        <v/>
      </c>
    </row>
    <row r="634" ht="15" customHeight="1" s="78">
      <c r="A634" s="122" t="n"/>
      <c r="B634" s="122" t="n"/>
      <c r="C634" s="128" t="n"/>
      <c r="D634" s="128" t="n"/>
      <c r="E634" s="120" t="n"/>
      <c r="F634" s="129" t="n"/>
      <c r="G634" s="120" t="n"/>
      <c r="H634" s="122" t="n"/>
      <c r="I634" s="122" t="n"/>
      <c r="J634" s="127">
        <f>IF($A634="","",IFERROR($D634-$C634,0))</f>
        <v/>
      </c>
      <c r="K634" s="121">
        <f>IF($A634="","",IF($H634="Evet",0,$G634))</f>
        <v/>
      </c>
    </row>
    <row r="635" ht="15" customHeight="1" s="78">
      <c r="A635" s="122" t="n"/>
      <c r="B635" s="122" t="n"/>
      <c r="C635" s="128" t="n"/>
      <c r="D635" s="128" t="n"/>
      <c r="E635" s="120" t="n"/>
      <c r="F635" s="129" t="n"/>
      <c r="G635" s="120" t="n"/>
      <c r="H635" s="122" t="n"/>
      <c r="I635" s="122" t="n"/>
      <c r="J635" s="127">
        <f>IF($A635="","",IFERROR($D635-$C635,0))</f>
        <v/>
      </c>
      <c r="K635" s="121">
        <f>IF($A635="","",IF($H635="Evet",0,$G635))</f>
        <v/>
      </c>
    </row>
    <row r="636" ht="15" customHeight="1" s="78">
      <c r="A636" s="122" t="n"/>
      <c r="B636" s="122" t="n"/>
      <c r="C636" s="128" t="n"/>
      <c r="D636" s="128" t="n"/>
      <c r="E636" s="120" t="n"/>
      <c r="F636" s="129" t="n"/>
      <c r="G636" s="120" t="n"/>
      <c r="H636" s="122" t="n"/>
      <c r="I636" s="122" t="n"/>
      <c r="J636" s="127">
        <f>IF($A636="","",IFERROR($D636-$C636,0))</f>
        <v/>
      </c>
      <c r="K636" s="121">
        <f>IF($A636="","",IF($H636="Evet",0,$G636))</f>
        <v/>
      </c>
    </row>
    <row r="637" ht="15" customHeight="1" s="78">
      <c r="A637" s="122" t="n"/>
      <c r="B637" s="122" t="n"/>
      <c r="C637" s="128" t="n"/>
      <c r="D637" s="128" t="n"/>
      <c r="E637" s="120" t="n"/>
      <c r="F637" s="129" t="n"/>
      <c r="G637" s="120" t="n"/>
      <c r="H637" s="122" t="n"/>
      <c r="I637" s="122" t="n"/>
      <c r="J637" s="127">
        <f>IF($A637="","",IFERROR($D637-$C637,0))</f>
        <v/>
      </c>
      <c r="K637" s="121">
        <f>IF($A637="","",IF($H637="Evet",0,$G637))</f>
        <v/>
      </c>
    </row>
    <row r="638" ht="15" customHeight="1" s="78">
      <c r="A638" s="122" t="n"/>
      <c r="B638" s="122" t="n"/>
      <c r="C638" s="128" t="n"/>
      <c r="D638" s="128" t="n"/>
      <c r="E638" s="120" t="n"/>
      <c r="F638" s="129" t="n"/>
      <c r="G638" s="120" t="n"/>
      <c r="H638" s="122" t="n"/>
      <c r="I638" s="122" t="n"/>
      <c r="J638" s="127">
        <f>IF($A638="","",IFERROR($D638-$C638,0))</f>
        <v/>
      </c>
      <c r="K638" s="121">
        <f>IF($A638="","",IF($H638="Evet",0,$G638))</f>
        <v/>
      </c>
    </row>
    <row r="639" ht="15" customHeight="1" s="78">
      <c r="A639" s="122" t="n"/>
      <c r="B639" s="122" t="n"/>
      <c r="C639" s="128" t="n"/>
      <c r="D639" s="128" t="n"/>
      <c r="E639" s="120" t="n"/>
      <c r="F639" s="129" t="n"/>
      <c r="G639" s="120" t="n"/>
      <c r="H639" s="122" t="n"/>
      <c r="I639" s="122" t="n"/>
      <c r="J639" s="127">
        <f>IF($A639="","",IFERROR($D639-$C639,0))</f>
        <v/>
      </c>
      <c r="K639" s="121">
        <f>IF($A639="","",IF($H639="Evet",0,$G639))</f>
        <v/>
      </c>
    </row>
    <row r="640" ht="15" customHeight="1" s="78">
      <c r="A640" s="122" t="n"/>
      <c r="B640" s="122" t="n"/>
      <c r="C640" s="128" t="n"/>
      <c r="D640" s="128" t="n"/>
      <c r="E640" s="120" t="n"/>
      <c r="F640" s="129" t="n"/>
      <c r="G640" s="120" t="n"/>
      <c r="H640" s="122" t="n"/>
      <c r="I640" s="122" t="n"/>
      <c r="J640" s="127">
        <f>IF($A640="","",IFERROR($D640-$C640,0))</f>
        <v/>
      </c>
      <c r="K640" s="121">
        <f>IF($A640="","",IF($H640="Evet",0,$G640))</f>
        <v/>
      </c>
    </row>
    <row r="641" ht="15" customHeight="1" s="78">
      <c r="A641" s="122" t="n"/>
      <c r="B641" s="122" t="n"/>
      <c r="C641" s="128" t="n"/>
      <c r="D641" s="128" t="n"/>
      <c r="E641" s="120" t="n"/>
      <c r="F641" s="129" t="n"/>
      <c r="G641" s="120" t="n"/>
      <c r="H641" s="122" t="n"/>
      <c r="I641" s="122" t="n"/>
      <c r="J641" s="127">
        <f>IF($A641="","",IFERROR($D641-$C641,0))</f>
        <v/>
      </c>
      <c r="K641" s="121">
        <f>IF($A641="","",IF($H641="Evet",0,$G641))</f>
        <v/>
      </c>
    </row>
    <row r="642" ht="15" customHeight="1" s="78">
      <c r="A642" s="122" t="n"/>
      <c r="B642" s="122" t="n"/>
      <c r="C642" s="128" t="n"/>
      <c r="D642" s="128" t="n"/>
      <c r="E642" s="120" t="n"/>
      <c r="F642" s="129" t="n"/>
      <c r="G642" s="120" t="n"/>
      <c r="H642" s="122" t="n"/>
      <c r="I642" s="122" t="n"/>
      <c r="J642" s="127">
        <f>IF($A642="","",IFERROR($D642-$C642,0))</f>
        <v/>
      </c>
      <c r="K642" s="121">
        <f>IF($A642="","",IF($H642="Evet",0,$G642))</f>
        <v/>
      </c>
    </row>
    <row r="643" ht="15" customHeight="1" s="78">
      <c r="A643" s="122" t="n"/>
      <c r="B643" s="122" t="n"/>
      <c r="C643" s="128" t="n"/>
      <c r="D643" s="128" t="n"/>
      <c r="E643" s="120" t="n"/>
      <c r="F643" s="129" t="n"/>
      <c r="G643" s="120" t="n"/>
      <c r="H643" s="122" t="n"/>
      <c r="I643" s="122" t="n"/>
      <c r="J643" s="127">
        <f>IF($A643="","",IFERROR($D643-$C643,0))</f>
        <v/>
      </c>
      <c r="K643" s="121">
        <f>IF($A643="","",IF($H643="Evet",0,$G643))</f>
        <v/>
      </c>
    </row>
    <row r="644" ht="15" customHeight="1" s="78">
      <c r="A644" s="122" t="n"/>
      <c r="B644" s="122" t="n"/>
      <c r="C644" s="128" t="n"/>
      <c r="D644" s="128" t="n"/>
      <c r="E644" s="120" t="n"/>
      <c r="F644" s="129" t="n"/>
      <c r="G644" s="120" t="n"/>
      <c r="H644" s="122" t="n"/>
      <c r="I644" s="122" t="n"/>
      <c r="J644" s="127">
        <f>IF($A644="","",IFERROR($D644-$C644,0))</f>
        <v/>
      </c>
      <c r="K644" s="121">
        <f>IF($A644="","",IF($H644="Evet",0,$G644))</f>
        <v/>
      </c>
    </row>
    <row r="645" ht="15" customHeight="1" s="78">
      <c r="A645" s="122" t="n"/>
      <c r="B645" s="122" t="n"/>
      <c r="C645" s="128" t="n"/>
      <c r="D645" s="128" t="n"/>
      <c r="E645" s="120" t="n"/>
      <c r="F645" s="129" t="n"/>
      <c r="G645" s="120" t="n"/>
      <c r="H645" s="122" t="n"/>
      <c r="I645" s="122" t="n"/>
      <c r="J645" s="127">
        <f>IF($A645="","",IFERROR($D645-$C645,0))</f>
        <v/>
      </c>
      <c r="K645" s="121">
        <f>IF($A645="","",IF($H645="Evet",0,$G645))</f>
        <v/>
      </c>
    </row>
    <row r="646" ht="15" customHeight="1" s="78">
      <c r="A646" s="122" t="n"/>
      <c r="B646" s="122" t="n"/>
      <c r="C646" s="128" t="n"/>
      <c r="D646" s="128" t="n"/>
      <c r="E646" s="120" t="n"/>
      <c r="F646" s="129" t="n"/>
      <c r="G646" s="120" t="n"/>
      <c r="H646" s="122" t="n"/>
      <c r="I646" s="122" t="n"/>
      <c r="J646" s="127">
        <f>IF($A646="","",IFERROR($D646-$C646,0))</f>
        <v/>
      </c>
      <c r="K646" s="121">
        <f>IF($A646="","",IF($H646="Evet",0,$G646))</f>
        <v/>
      </c>
    </row>
    <row r="647" ht="15" customHeight="1" s="78">
      <c r="A647" s="122" t="n"/>
      <c r="B647" s="122" t="n"/>
      <c r="C647" s="128" t="n"/>
      <c r="D647" s="128" t="n"/>
      <c r="E647" s="120" t="n"/>
      <c r="F647" s="129" t="n"/>
      <c r="G647" s="120" t="n"/>
      <c r="H647" s="122" t="n"/>
      <c r="I647" s="122" t="n"/>
      <c r="J647" s="127">
        <f>IF($A647="","",IFERROR($D647-$C647,0))</f>
        <v/>
      </c>
      <c r="K647" s="121">
        <f>IF($A647="","",IF($H647="Evet",0,$G647))</f>
        <v/>
      </c>
    </row>
    <row r="648" ht="15" customHeight="1" s="78">
      <c r="A648" s="122" t="n"/>
      <c r="B648" s="122" t="n"/>
      <c r="C648" s="128" t="n"/>
      <c r="D648" s="128" t="n"/>
      <c r="E648" s="120" t="n"/>
      <c r="F648" s="129" t="n"/>
      <c r="G648" s="120" t="n"/>
      <c r="H648" s="122" t="n"/>
      <c r="I648" s="122" t="n"/>
      <c r="J648" s="127">
        <f>IF($A648="","",IFERROR($D648-$C648,0))</f>
        <v/>
      </c>
      <c r="K648" s="121">
        <f>IF($A648="","",IF($H648="Evet",0,$G648))</f>
        <v/>
      </c>
    </row>
    <row r="649" ht="15" customHeight="1" s="78">
      <c r="A649" s="122" t="n"/>
      <c r="B649" s="122" t="n"/>
      <c r="C649" s="128" t="n"/>
      <c r="D649" s="128" t="n"/>
      <c r="E649" s="120" t="n"/>
      <c r="F649" s="129" t="n"/>
      <c r="G649" s="120" t="n"/>
      <c r="H649" s="122" t="n"/>
      <c r="I649" s="122" t="n"/>
      <c r="J649" s="127">
        <f>IF($A649="","",IFERROR($D649-$C649,0))</f>
        <v/>
      </c>
      <c r="K649" s="121">
        <f>IF($A649="","",IF($H649="Evet",0,$G649))</f>
        <v/>
      </c>
    </row>
    <row r="650" ht="15" customHeight="1" s="78">
      <c r="A650" s="122" t="n"/>
      <c r="B650" s="122" t="n"/>
      <c r="C650" s="128" t="n"/>
      <c r="D650" s="128" t="n"/>
      <c r="E650" s="120" t="n"/>
      <c r="F650" s="129" t="n"/>
      <c r="G650" s="120" t="n"/>
      <c r="H650" s="122" t="n"/>
      <c r="I650" s="122" t="n"/>
      <c r="J650" s="127">
        <f>IF($A650="","",IFERROR($D650-$C650,0))</f>
        <v/>
      </c>
      <c r="K650" s="121">
        <f>IF($A650="","",IF($H650="Evet",0,$G650))</f>
        <v/>
      </c>
    </row>
    <row r="651" ht="15" customHeight="1" s="78">
      <c r="A651" s="122" t="n"/>
      <c r="B651" s="122" t="n"/>
      <c r="C651" s="128" t="n"/>
      <c r="D651" s="128" t="n"/>
      <c r="E651" s="120" t="n"/>
      <c r="F651" s="129" t="n"/>
      <c r="G651" s="120" t="n"/>
      <c r="H651" s="122" t="n"/>
      <c r="I651" s="122" t="n"/>
      <c r="J651" s="127">
        <f>IF($A651="","",IFERROR($D651-$C651,0))</f>
        <v/>
      </c>
      <c r="K651" s="121">
        <f>IF($A651="","",IF($H651="Evet",0,$G651))</f>
        <v/>
      </c>
    </row>
    <row r="652" ht="15" customHeight="1" s="78">
      <c r="A652" s="122" t="n"/>
      <c r="B652" s="122" t="n"/>
      <c r="C652" s="128" t="n"/>
      <c r="D652" s="128" t="n"/>
      <c r="E652" s="120" t="n"/>
      <c r="F652" s="129" t="n"/>
      <c r="G652" s="120" t="n"/>
      <c r="H652" s="122" t="n"/>
      <c r="I652" s="122" t="n"/>
      <c r="J652" s="127">
        <f>IF($A652="","",IFERROR($D652-$C652,0))</f>
        <v/>
      </c>
      <c r="K652" s="121">
        <f>IF($A652="","",IF($H652="Evet",0,$G652))</f>
        <v/>
      </c>
    </row>
    <row r="653" ht="15" customHeight="1" s="78">
      <c r="A653" s="122" t="n"/>
      <c r="B653" s="122" t="n"/>
      <c r="C653" s="128" t="n"/>
      <c r="D653" s="128" t="n"/>
      <c r="E653" s="120" t="n"/>
      <c r="F653" s="129" t="n"/>
      <c r="G653" s="120" t="n"/>
      <c r="H653" s="122" t="n"/>
      <c r="I653" s="122" t="n"/>
      <c r="J653" s="127">
        <f>IF($A653="","",IFERROR($D653-$C653,0))</f>
        <v/>
      </c>
      <c r="K653" s="121">
        <f>IF($A653="","",IF($H653="Evet",0,$G653))</f>
        <v/>
      </c>
    </row>
    <row r="654" ht="15" customHeight="1" s="78">
      <c r="A654" s="122" t="n"/>
      <c r="B654" s="122" t="n"/>
      <c r="C654" s="128" t="n"/>
      <c r="D654" s="128" t="n"/>
      <c r="E654" s="120" t="n"/>
      <c r="F654" s="129" t="n"/>
      <c r="G654" s="120" t="n"/>
      <c r="H654" s="122" t="n"/>
      <c r="I654" s="122" t="n"/>
      <c r="J654" s="127">
        <f>IF($A654="","",IFERROR($D654-$C654,0))</f>
        <v/>
      </c>
      <c r="K654" s="121">
        <f>IF($A654="","",IF($H654="Evet",0,$G654))</f>
        <v/>
      </c>
    </row>
    <row r="655" ht="15" customHeight="1" s="78">
      <c r="A655" s="122" t="n"/>
      <c r="B655" s="122" t="n"/>
      <c r="C655" s="128" t="n"/>
      <c r="D655" s="128" t="n"/>
      <c r="E655" s="120" t="n"/>
      <c r="F655" s="129" t="n"/>
      <c r="G655" s="120" t="n"/>
      <c r="H655" s="122" t="n"/>
      <c r="I655" s="122" t="n"/>
      <c r="J655" s="127">
        <f>IF($A655="","",IFERROR($D655-$C655,0))</f>
        <v/>
      </c>
      <c r="K655" s="121">
        <f>IF($A655="","",IF($H655="Evet",0,$G655))</f>
        <v/>
      </c>
    </row>
    <row r="656" ht="15" customHeight="1" s="78">
      <c r="A656" s="122" t="n"/>
      <c r="B656" s="122" t="n"/>
      <c r="C656" s="128" t="n"/>
      <c r="D656" s="128" t="n"/>
      <c r="E656" s="120" t="n"/>
      <c r="F656" s="129" t="n"/>
      <c r="G656" s="120" t="n"/>
      <c r="H656" s="122" t="n"/>
      <c r="I656" s="122" t="n"/>
      <c r="J656" s="127">
        <f>IF($A656="","",IFERROR($D656-$C656,0))</f>
        <v/>
      </c>
      <c r="K656" s="121">
        <f>IF($A656="","",IF($H656="Evet",0,$G656))</f>
        <v/>
      </c>
    </row>
    <row r="657" ht="15" customHeight="1" s="78">
      <c r="A657" s="122" t="n"/>
      <c r="B657" s="122" t="n"/>
      <c r="C657" s="128" t="n"/>
      <c r="D657" s="128" t="n"/>
      <c r="E657" s="120" t="n"/>
      <c r="F657" s="129" t="n"/>
      <c r="G657" s="120" t="n"/>
      <c r="H657" s="122" t="n"/>
      <c r="I657" s="122" t="n"/>
      <c r="J657" s="127">
        <f>IF($A657="","",IFERROR($D657-$C657,0))</f>
        <v/>
      </c>
      <c r="K657" s="121">
        <f>IF($A657="","",IF($H657="Evet",0,$G657))</f>
        <v/>
      </c>
    </row>
    <row r="658" ht="15" customHeight="1" s="78">
      <c r="A658" s="122" t="n"/>
      <c r="B658" s="122" t="n"/>
      <c r="C658" s="128" t="n"/>
      <c r="D658" s="128" t="n"/>
      <c r="E658" s="120" t="n"/>
      <c r="F658" s="129" t="n"/>
      <c r="G658" s="120" t="n"/>
      <c r="H658" s="122" t="n"/>
      <c r="I658" s="122" t="n"/>
      <c r="J658" s="127">
        <f>IF($A658="","",IFERROR($D658-$C658,0))</f>
        <v/>
      </c>
      <c r="K658" s="121">
        <f>IF($A658="","",IF($H658="Evet",0,$G658))</f>
        <v/>
      </c>
    </row>
    <row r="659" ht="15" customHeight="1" s="78">
      <c r="A659" s="122" t="n"/>
      <c r="B659" s="122" t="n"/>
      <c r="C659" s="128" t="n"/>
      <c r="D659" s="128" t="n"/>
      <c r="E659" s="120" t="n"/>
      <c r="F659" s="129" t="n"/>
      <c r="G659" s="120" t="n"/>
      <c r="H659" s="122" t="n"/>
      <c r="I659" s="122" t="n"/>
      <c r="J659" s="127">
        <f>IF($A659="","",IFERROR($D659-$C659,0))</f>
        <v/>
      </c>
      <c r="K659" s="121">
        <f>IF($A659="","",IF($H659="Evet",0,$G659))</f>
        <v/>
      </c>
    </row>
    <row r="660" ht="15" customHeight="1" s="78">
      <c r="A660" s="122" t="n"/>
      <c r="B660" s="122" t="n"/>
      <c r="C660" s="128" t="n"/>
      <c r="D660" s="128" t="n"/>
      <c r="E660" s="120" t="n"/>
      <c r="F660" s="129" t="n"/>
      <c r="G660" s="120" t="n"/>
      <c r="H660" s="122" t="n"/>
      <c r="I660" s="122" t="n"/>
      <c r="J660" s="127">
        <f>IF($A660="","",IFERROR($D660-$C660,0))</f>
        <v/>
      </c>
      <c r="K660" s="121">
        <f>IF($A660="","",IF($H660="Evet",0,$G660))</f>
        <v/>
      </c>
    </row>
    <row r="661" ht="15" customHeight="1" s="78">
      <c r="A661" s="122" t="n"/>
      <c r="B661" s="122" t="n"/>
      <c r="C661" s="128" t="n"/>
      <c r="D661" s="128" t="n"/>
      <c r="E661" s="120" t="n"/>
      <c r="F661" s="129" t="n"/>
      <c r="G661" s="120" t="n"/>
      <c r="H661" s="122" t="n"/>
      <c r="I661" s="122" t="n"/>
      <c r="J661" s="127">
        <f>IF($A661="","",IFERROR($D661-$C661,0))</f>
        <v/>
      </c>
      <c r="K661" s="121">
        <f>IF($A661="","",IF($H661="Evet",0,$G661))</f>
        <v/>
      </c>
    </row>
    <row r="662" ht="15" customHeight="1" s="78">
      <c r="A662" s="122" t="n"/>
      <c r="B662" s="122" t="n"/>
      <c r="C662" s="128" t="n"/>
      <c r="D662" s="128" t="n"/>
      <c r="E662" s="120" t="n"/>
      <c r="F662" s="129" t="n"/>
      <c r="G662" s="120" t="n"/>
      <c r="H662" s="122" t="n"/>
      <c r="I662" s="122" t="n"/>
      <c r="J662" s="127">
        <f>IF($A662="","",IFERROR($D662-$C662,0))</f>
        <v/>
      </c>
      <c r="K662" s="121">
        <f>IF($A662="","",IF($H662="Evet",0,$G662))</f>
        <v/>
      </c>
    </row>
    <row r="663" ht="15" customHeight="1" s="78">
      <c r="A663" s="122" t="n"/>
      <c r="B663" s="122" t="n"/>
      <c r="C663" s="128" t="n"/>
      <c r="D663" s="128" t="n"/>
      <c r="E663" s="120" t="n"/>
      <c r="F663" s="129" t="n"/>
      <c r="G663" s="120" t="n"/>
      <c r="H663" s="122" t="n"/>
      <c r="I663" s="122" t="n"/>
      <c r="J663" s="127">
        <f>IF($A663="","",IFERROR($D663-$C663,0))</f>
        <v/>
      </c>
      <c r="K663" s="121">
        <f>IF($A663="","",IF($H663="Evet",0,$G663))</f>
        <v/>
      </c>
    </row>
    <row r="664" ht="15" customHeight="1" s="78">
      <c r="A664" s="122" t="n"/>
      <c r="B664" s="122" t="n"/>
      <c r="C664" s="128" t="n"/>
      <c r="D664" s="128" t="n"/>
      <c r="E664" s="120" t="n"/>
      <c r="F664" s="129" t="n"/>
      <c r="G664" s="120" t="n"/>
      <c r="H664" s="122" t="n"/>
      <c r="I664" s="122" t="n"/>
      <c r="J664" s="127">
        <f>IF($A664="","",IFERROR($D664-$C664,0))</f>
        <v/>
      </c>
      <c r="K664" s="121">
        <f>IF($A664="","",IF($H664="Evet",0,$G664))</f>
        <v/>
      </c>
    </row>
    <row r="665" ht="15" customHeight="1" s="78">
      <c r="A665" s="122" t="n"/>
      <c r="B665" s="122" t="n"/>
      <c r="C665" s="128" t="n"/>
      <c r="D665" s="128" t="n"/>
      <c r="E665" s="120" t="n"/>
      <c r="F665" s="129" t="n"/>
      <c r="G665" s="120" t="n"/>
      <c r="H665" s="122" t="n"/>
      <c r="I665" s="122" t="n"/>
      <c r="J665" s="127">
        <f>IF($A665="","",IFERROR($D665-$C665,0))</f>
        <v/>
      </c>
      <c r="K665" s="121">
        <f>IF($A665="","",IF($H665="Evet",0,$G665))</f>
        <v/>
      </c>
    </row>
    <row r="666" ht="15" customHeight="1" s="78">
      <c r="A666" s="122" t="n"/>
      <c r="B666" s="122" t="n"/>
      <c r="C666" s="128" t="n"/>
      <c r="D666" s="128" t="n"/>
      <c r="E666" s="120" t="n"/>
      <c r="F666" s="129" t="n"/>
      <c r="G666" s="120" t="n"/>
      <c r="H666" s="122" t="n"/>
      <c r="I666" s="122" t="n"/>
      <c r="J666" s="127">
        <f>IF($A666="","",IFERROR($D666-$C666,0))</f>
        <v/>
      </c>
      <c r="K666" s="121">
        <f>IF($A666="","",IF($H666="Evet",0,$G666))</f>
        <v/>
      </c>
    </row>
    <row r="667" ht="15" customHeight="1" s="78">
      <c r="A667" s="122" t="n"/>
      <c r="B667" s="122" t="n"/>
      <c r="C667" s="128" t="n"/>
      <c r="D667" s="128" t="n"/>
      <c r="E667" s="120" t="n"/>
      <c r="F667" s="129" t="n"/>
      <c r="G667" s="120" t="n"/>
      <c r="H667" s="122" t="n"/>
      <c r="I667" s="122" t="n"/>
      <c r="J667" s="127">
        <f>IF($A667="","",IFERROR($D667-$C667,0))</f>
        <v/>
      </c>
      <c r="K667" s="121">
        <f>IF($A667="","",IF($H667="Evet",0,$G667))</f>
        <v/>
      </c>
    </row>
    <row r="668" ht="15" customHeight="1" s="78">
      <c r="A668" s="122" t="n"/>
      <c r="B668" s="122" t="n"/>
      <c r="C668" s="128" t="n"/>
      <c r="D668" s="128" t="n"/>
      <c r="E668" s="120" t="n"/>
      <c r="F668" s="129" t="n"/>
      <c r="G668" s="120" t="n"/>
      <c r="H668" s="122" t="n"/>
      <c r="I668" s="122" t="n"/>
      <c r="J668" s="127">
        <f>IF($A668="","",IFERROR($D668-$C668,0))</f>
        <v/>
      </c>
      <c r="K668" s="121">
        <f>IF($A668="","",IF($H668="Evet",0,$G668))</f>
        <v/>
      </c>
    </row>
    <row r="669" ht="15" customHeight="1" s="78">
      <c r="A669" s="122" t="n"/>
      <c r="B669" s="122" t="n"/>
      <c r="C669" s="128" t="n"/>
      <c r="D669" s="128" t="n"/>
      <c r="E669" s="120" t="n"/>
      <c r="F669" s="129" t="n"/>
      <c r="G669" s="120" t="n"/>
      <c r="H669" s="122" t="n"/>
      <c r="I669" s="122" t="n"/>
      <c r="J669" s="127">
        <f>IF($A669="","",IFERROR($D669-$C669,0))</f>
        <v/>
      </c>
      <c r="K669" s="121">
        <f>IF($A669="","",IF($H669="Evet",0,$G669))</f>
        <v/>
      </c>
    </row>
    <row r="670" ht="15" customHeight="1" s="78">
      <c r="A670" s="122" t="n"/>
      <c r="B670" s="122" t="n"/>
      <c r="C670" s="128" t="n"/>
      <c r="D670" s="128" t="n"/>
      <c r="E670" s="120" t="n"/>
      <c r="F670" s="129" t="n"/>
      <c r="G670" s="120" t="n"/>
      <c r="H670" s="122" t="n"/>
      <c r="I670" s="122" t="n"/>
      <c r="J670" s="127">
        <f>IF($A670="","",IFERROR($D670-$C670,0))</f>
        <v/>
      </c>
      <c r="K670" s="121">
        <f>IF($A670="","",IF($H670="Evet",0,$G670))</f>
        <v/>
      </c>
    </row>
    <row r="671" ht="15" customHeight="1" s="78">
      <c r="A671" s="122" t="n"/>
      <c r="B671" s="122" t="n"/>
      <c r="C671" s="128" t="n"/>
      <c r="D671" s="128" t="n"/>
      <c r="E671" s="120" t="n"/>
      <c r="F671" s="129" t="n"/>
      <c r="G671" s="120" t="n"/>
      <c r="H671" s="122" t="n"/>
      <c r="I671" s="122" t="n"/>
      <c r="J671" s="127">
        <f>IF($A671="","",IFERROR($D671-$C671,0))</f>
        <v/>
      </c>
      <c r="K671" s="121">
        <f>IF($A671="","",IF($H671="Evet",0,$G671))</f>
        <v/>
      </c>
    </row>
    <row r="672" ht="15" customHeight="1" s="78">
      <c r="A672" s="122" t="n"/>
      <c r="B672" s="122" t="n"/>
      <c r="C672" s="128" t="n"/>
      <c r="D672" s="128" t="n"/>
      <c r="E672" s="120" t="n"/>
      <c r="F672" s="129" t="n"/>
      <c r="G672" s="120" t="n"/>
      <c r="H672" s="122" t="n"/>
      <c r="I672" s="122" t="n"/>
      <c r="J672" s="127">
        <f>IF($A672="","",IFERROR($D672-$C672,0))</f>
        <v/>
      </c>
      <c r="K672" s="121">
        <f>IF($A672="","",IF($H672="Evet",0,$G672))</f>
        <v/>
      </c>
    </row>
    <row r="673" ht="15" customHeight="1" s="78">
      <c r="A673" s="122" t="n"/>
      <c r="B673" s="122" t="n"/>
      <c r="C673" s="128" t="n"/>
      <c r="D673" s="128" t="n"/>
      <c r="E673" s="120" t="n"/>
      <c r="F673" s="129" t="n"/>
      <c r="G673" s="120" t="n"/>
      <c r="H673" s="122" t="n"/>
      <c r="I673" s="122" t="n"/>
      <c r="J673" s="127">
        <f>IF($A673="","",IFERROR($D673-$C673,0))</f>
        <v/>
      </c>
      <c r="K673" s="121">
        <f>IF($A673="","",IF($H673="Evet",0,$G673))</f>
        <v/>
      </c>
    </row>
    <row r="674" ht="15" customHeight="1" s="78">
      <c r="A674" s="122" t="n"/>
      <c r="B674" s="122" t="n"/>
      <c r="C674" s="128" t="n"/>
      <c r="D674" s="128" t="n"/>
      <c r="E674" s="120" t="n"/>
      <c r="F674" s="129" t="n"/>
      <c r="G674" s="120" t="n"/>
      <c r="H674" s="122" t="n"/>
      <c r="I674" s="122" t="n"/>
      <c r="J674" s="127">
        <f>IF($A674="","",IFERROR($D674-$C674,0))</f>
        <v/>
      </c>
      <c r="K674" s="121">
        <f>IF($A674="","",IF($H674="Evet",0,$G674))</f>
        <v/>
      </c>
    </row>
    <row r="675" ht="15" customHeight="1" s="78">
      <c r="A675" s="122" t="n"/>
      <c r="B675" s="122" t="n"/>
      <c r="C675" s="128" t="n"/>
      <c r="D675" s="128" t="n"/>
      <c r="E675" s="120" t="n"/>
      <c r="F675" s="129" t="n"/>
      <c r="G675" s="120" t="n"/>
      <c r="H675" s="122" t="n"/>
      <c r="I675" s="122" t="n"/>
      <c r="J675" s="127">
        <f>IF($A675="","",IFERROR($D675-$C675,0))</f>
        <v/>
      </c>
      <c r="K675" s="121">
        <f>IF($A675="","",IF($H675="Evet",0,$G675))</f>
        <v/>
      </c>
    </row>
    <row r="676" ht="15" customHeight="1" s="78">
      <c r="A676" s="122" t="n"/>
      <c r="B676" s="122" t="n"/>
      <c r="C676" s="128" t="n"/>
      <c r="D676" s="128" t="n"/>
      <c r="E676" s="120" t="n"/>
      <c r="F676" s="129" t="n"/>
      <c r="G676" s="120" t="n"/>
      <c r="H676" s="122" t="n"/>
      <c r="I676" s="122" t="n"/>
      <c r="J676" s="127">
        <f>IF($A676="","",IFERROR($D676-$C676,0))</f>
        <v/>
      </c>
      <c r="K676" s="121">
        <f>IF($A676="","",IF($H676="Evet",0,$G676))</f>
        <v/>
      </c>
    </row>
    <row r="677" ht="15" customHeight="1" s="78">
      <c r="A677" s="122" t="n"/>
      <c r="B677" s="122" t="n"/>
      <c r="C677" s="128" t="n"/>
      <c r="D677" s="128" t="n"/>
      <c r="E677" s="120" t="n"/>
      <c r="F677" s="129" t="n"/>
      <c r="G677" s="120" t="n"/>
      <c r="H677" s="122" t="n"/>
      <c r="I677" s="122" t="n"/>
      <c r="J677" s="127">
        <f>IF($A677="","",IFERROR($D677-$C677,0))</f>
        <v/>
      </c>
      <c r="K677" s="121">
        <f>IF($A677="","",IF($H677="Evet",0,$G677))</f>
        <v/>
      </c>
    </row>
    <row r="678" ht="15" customHeight="1" s="78">
      <c r="A678" s="122" t="n"/>
      <c r="B678" s="122" t="n"/>
      <c r="C678" s="128" t="n"/>
      <c r="D678" s="128" t="n"/>
      <c r="E678" s="120" t="n"/>
      <c r="F678" s="129" t="n"/>
      <c r="G678" s="120" t="n"/>
      <c r="H678" s="122" t="n"/>
      <c r="I678" s="122" t="n"/>
      <c r="J678" s="127">
        <f>IF($A678="","",IFERROR($D678-$C678,0))</f>
        <v/>
      </c>
      <c r="K678" s="121">
        <f>IF($A678="","",IF($H678="Evet",0,$G678))</f>
        <v/>
      </c>
    </row>
    <row r="679" ht="15" customHeight="1" s="78">
      <c r="A679" s="122" t="n"/>
      <c r="B679" s="122" t="n"/>
      <c r="C679" s="128" t="n"/>
      <c r="D679" s="128" t="n"/>
      <c r="E679" s="120" t="n"/>
      <c r="F679" s="129" t="n"/>
      <c r="G679" s="120" t="n"/>
      <c r="H679" s="122" t="n"/>
      <c r="I679" s="122" t="n"/>
      <c r="J679" s="127">
        <f>IF($A679="","",IFERROR($D679-$C679,0))</f>
        <v/>
      </c>
      <c r="K679" s="121">
        <f>IF($A679="","",IF($H679="Evet",0,$G679))</f>
        <v/>
      </c>
    </row>
    <row r="680" ht="15" customHeight="1" s="78">
      <c r="A680" s="122" t="n"/>
      <c r="B680" s="122" t="n"/>
      <c r="C680" s="128" t="n"/>
      <c r="D680" s="128" t="n"/>
      <c r="E680" s="120" t="n"/>
      <c r="F680" s="129" t="n"/>
      <c r="G680" s="120" t="n"/>
      <c r="H680" s="122" t="n"/>
      <c r="I680" s="122" t="n"/>
      <c r="J680" s="127">
        <f>IF($A680="","",IFERROR($D680-$C680,0))</f>
        <v/>
      </c>
      <c r="K680" s="121">
        <f>IF($A680="","",IF($H680="Evet",0,$G680))</f>
        <v/>
      </c>
    </row>
    <row r="681" ht="15" customHeight="1" s="78">
      <c r="A681" s="122" t="n"/>
      <c r="B681" s="122" t="n"/>
      <c r="C681" s="128" t="n"/>
      <c r="D681" s="128" t="n"/>
      <c r="E681" s="120" t="n"/>
      <c r="F681" s="129" t="n"/>
      <c r="G681" s="120" t="n"/>
      <c r="H681" s="122" t="n"/>
      <c r="I681" s="122" t="n"/>
      <c r="J681" s="127">
        <f>IF($A681="","",IFERROR($D681-$C681,0))</f>
        <v/>
      </c>
      <c r="K681" s="121">
        <f>IF($A681="","",IF($H681="Evet",0,$G681))</f>
        <v/>
      </c>
    </row>
    <row r="682" ht="15" customHeight="1" s="78">
      <c r="A682" s="122" t="n"/>
      <c r="B682" s="122" t="n"/>
      <c r="C682" s="128" t="n"/>
      <c r="D682" s="128" t="n"/>
      <c r="E682" s="120" t="n"/>
      <c r="F682" s="129" t="n"/>
      <c r="G682" s="120" t="n"/>
      <c r="H682" s="122" t="n"/>
      <c r="I682" s="122" t="n"/>
      <c r="J682" s="127">
        <f>IF($A682="","",IFERROR($D682-$C682,0))</f>
        <v/>
      </c>
      <c r="K682" s="121">
        <f>IF($A682="","",IF($H682="Evet",0,$G682))</f>
        <v/>
      </c>
    </row>
    <row r="683" ht="15" customHeight="1" s="78">
      <c r="A683" s="122" t="n"/>
      <c r="B683" s="122" t="n"/>
      <c r="C683" s="128" t="n"/>
      <c r="D683" s="128" t="n"/>
      <c r="E683" s="120" t="n"/>
      <c r="F683" s="129" t="n"/>
      <c r="G683" s="120" t="n"/>
      <c r="H683" s="122" t="n"/>
      <c r="I683" s="122" t="n"/>
      <c r="J683" s="127">
        <f>IF($A683="","",IFERROR($D683-$C683,0))</f>
        <v/>
      </c>
      <c r="K683" s="121">
        <f>IF($A683="","",IF($H683="Evet",0,$G683))</f>
        <v/>
      </c>
    </row>
    <row r="684" ht="15" customHeight="1" s="78">
      <c r="A684" s="122" t="n"/>
      <c r="B684" s="122" t="n"/>
      <c r="C684" s="128" t="n"/>
      <c r="D684" s="128" t="n"/>
      <c r="E684" s="120" t="n"/>
      <c r="F684" s="129" t="n"/>
      <c r="G684" s="120" t="n"/>
      <c r="H684" s="122" t="n"/>
      <c r="I684" s="122" t="n"/>
      <c r="J684" s="127">
        <f>IF($A684="","",IFERROR($D684-$C684,0))</f>
        <v/>
      </c>
      <c r="K684" s="121">
        <f>IF($A684="","",IF($H684="Evet",0,$G684))</f>
        <v/>
      </c>
    </row>
    <row r="685" ht="15" customHeight="1" s="78">
      <c r="A685" s="122" t="n"/>
      <c r="B685" s="122" t="n"/>
      <c r="C685" s="128" t="n"/>
      <c r="D685" s="128" t="n"/>
      <c r="E685" s="120" t="n"/>
      <c r="F685" s="129" t="n"/>
      <c r="G685" s="120" t="n"/>
      <c r="H685" s="122" t="n"/>
      <c r="I685" s="122" t="n"/>
      <c r="J685" s="127">
        <f>IF($A685="","",IFERROR($D685-$C685,0))</f>
        <v/>
      </c>
      <c r="K685" s="121">
        <f>IF($A685="","",IF($H685="Evet",0,$G685))</f>
        <v/>
      </c>
    </row>
    <row r="686" ht="15" customHeight="1" s="78">
      <c r="A686" s="122" t="n"/>
      <c r="B686" s="122" t="n"/>
      <c r="C686" s="128" t="n"/>
      <c r="D686" s="128" t="n"/>
      <c r="E686" s="120" t="n"/>
      <c r="F686" s="129" t="n"/>
      <c r="G686" s="120" t="n"/>
      <c r="H686" s="122" t="n"/>
      <c r="I686" s="122" t="n"/>
      <c r="J686" s="127">
        <f>IF($A686="","",IFERROR($D686-$C686,0))</f>
        <v/>
      </c>
      <c r="K686" s="121">
        <f>IF($A686="","",IF($H686="Evet",0,$G686))</f>
        <v/>
      </c>
    </row>
    <row r="687" ht="15" customHeight="1" s="78">
      <c r="A687" s="122" t="n"/>
      <c r="B687" s="122" t="n"/>
      <c r="C687" s="128" t="n"/>
      <c r="D687" s="128" t="n"/>
      <c r="E687" s="120" t="n"/>
      <c r="F687" s="129" t="n"/>
      <c r="G687" s="120" t="n"/>
      <c r="H687" s="122" t="n"/>
      <c r="I687" s="122" t="n"/>
      <c r="J687" s="127">
        <f>IF($A687="","",IFERROR($D687-$C687,0))</f>
        <v/>
      </c>
      <c r="K687" s="121">
        <f>IF($A687="","",IF($H687="Evet",0,$G687))</f>
        <v/>
      </c>
    </row>
    <row r="688" ht="15" customHeight="1" s="78">
      <c r="A688" s="122" t="n"/>
      <c r="B688" s="122" t="n"/>
      <c r="C688" s="128" t="n"/>
      <c r="D688" s="128" t="n"/>
      <c r="E688" s="120" t="n"/>
      <c r="F688" s="129" t="n"/>
      <c r="G688" s="120" t="n"/>
      <c r="H688" s="122" t="n"/>
      <c r="I688" s="122" t="n"/>
      <c r="J688" s="127">
        <f>IF($A688="","",IFERROR($D688-$C688,0))</f>
        <v/>
      </c>
      <c r="K688" s="121">
        <f>IF($A688="","",IF($H688="Evet",0,$G688))</f>
        <v/>
      </c>
    </row>
    <row r="689" ht="15" customHeight="1" s="78">
      <c r="A689" s="122" t="n"/>
      <c r="B689" s="122" t="n"/>
      <c r="C689" s="128" t="n"/>
      <c r="D689" s="128" t="n"/>
      <c r="E689" s="120" t="n"/>
      <c r="F689" s="129" t="n"/>
      <c r="G689" s="120" t="n"/>
      <c r="H689" s="122" t="n"/>
      <c r="I689" s="122" t="n"/>
      <c r="J689" s="127">
        <f>IF($A689="","",IFERROR($D689-$C689,0))</f>
        <v/>
      </c>
      <c r="K689" s="121">
        <f>IF($A689="","",IF($H689="Evet",0,$G689))</f>
        <v/>
      </c>
    </row>
    <row r="690" ht="15" customHeight="1" s="78">
      <c r="A690" s="122" t="n"/>
      <c r="B690" s="122" t="n"/>
      <c r="C690" s="128" t="n"/>
      <c r="D690" s="128" t="n"/>
      <c r="E690" s="120" t="n"/>
      <c r="F690" s="129" t="n"/>
      <c r="G690" s="120" t="n"/>
      <c r="H690" s="122" t="n"/>
      <c r="I690" s="122" t="n"/>
      <c r="J690" s="127">
        <f>IF($A690="","",IFERROR($D690-$C690,0))</f>
        <v/>
      </c>
      <c r="K690" s="121">
        <f>IF($A690="","",IF($H690="Evet",0,$G690))</f>
        <v/>
      </c>
    </row>
    <row r="691" ht="15" customHeight="1" s="78">
      <c r="A691" s="122" t="n"/>
      <c r="B691" s="122" t="n"/>
      <c r="C691" s="128" t="n"/>
      <c r="D691" s="128" t="n"/>
      <c r="E691" s="120" t="n"/>
      <c r="F691" s="129" t="n"/>
      <c r="G691" s="120" t="n"/>
      <c r="H691" s="122" t="n"/>
      <c r="I691" s="122" t="n"/>
      <c r="J691" s="127">
        <f>IF($A691="","",IFERROR($D691-$C691,0))</f>
        <v/>
      </c>
      <c r="K691" s="121">
        <f>IF($A691="","",IF($H691="Evet",0,$G691))</f>
        <v/>
      </c>
    </row>
    <row r="692" ht="15" customHeight="1" s="78">
      <c r="A692" s="122" t="n"/>
      <c r="B692" s="122" t="n"/>
      <c r="C692" s="128" t="n"/>
      <c r="D692" s="128" t="n"/>
      <c r="E692" s="120" t="n"/>
      <c r="F692" s="129" t="n"/>
      <c r="G692" s="120" t="n"/>
      <c r="H692" s="122" t="n"/>
      <c r="I692" s="122" t="n"/>
      <c r="J692" s="127">
        <f>IF($A692="","",IFERROR($D692-$C692,0))</f>
        <v/>
      </c>
      <c r="K692" s="121">
        <f>IF($A692="","",IF($H692="Evet",0,$G692))</f>
        <v/>
      </c>
    </row>
    <row r="693" ht="15" customHeight="1" s="78">
      <c r="A693" s="122" t="n"/>
      <c r="B693" s="122" t="n"/>
      <c r="C693" s="128" t="n"/>
      <c r="D693" s="128" t="n"/>
      <c r="E693" s="120" t="n"/>
      <c r="F693" s="129" t="n"/>
      <c r="G693" s="120" t="n"/>
      <c r="H693" s="122" t="n"/>
      <c r="I693" s="122" t="n"/>
      <c r="J693" s="127">
        <f>IF($A693="","",IFERROR($D693-$C693,0))</f>
        <v/>
      </c>
      <c r="K693" s="121">
        <f>IF($A693="","",IF($H693="Evet",0,$G693))</f>
        <v/>
      </c>
    </row>
    <row r="694" ht="15" customHeight="1" s="78">
      <c r="A694" s="122" t="n"/>
      <c r="B694" s="122" t="n"/>
      <c r="C694" s="128" t="n"/>
      <c r="D694" s="128" t="n"/>
      <c r="E694" s="120" t="n"/>
      <c r="F694" s="129" t="n"/>
      <c r="G694" s="120" t="n"/>
      <c r="H694" s="122" t="n"/>
      <c r="I694" s="122" t="n"/>
      <c r="J694" s="127">
        <f>IF($A694="","",IFERROR($D694-$C694,0))</f>
        <v/>
      </c>
      <c r="K694" s="121">
        <f>IF($A694="","",IF($H694="Evet",0,$G694))</f>
        <v/>
      </c>
    </row>
    <row r="695" ht="15" customHeight="1" s="78">
      <c r="A695" s="122" t="n"/>
      <c r="B695" s="122" t="n"/>
      <c r="C695" s="128" t="n"/>
      <c r="D695" s="128" t="n"/>
      <c r="E695" s="120" t="n"/>
      <c r="F695" s="129" t="n"/>
      <c r="G695" s="120" t="n"/>
      <c r="H695" s="122" t="n"/>
      <c r="I695" s="122" t="n"/>
      <c r="J695" s="127">
        <f>IF($A695="","",IFERROR($D695-$C695,0))</f>
        <v/>
      </c>
      <c r="K695" s="121">
        <f>IF($A695="","",IF($H695="Evet",0,$G695))</f>
        <v/>
      </c>
    </row>
    <row r="696" ht="15" customHeight="1" s="78">
      <c r="A696" s="122" t="n"/>
      <c r="B696" s="122" t="n"/>
      <c r="C696" s="128" t="n"/>
      <c r="D696" s="128" t="n"/>
      <c r="E696" s="120" t="n"/>
      <c r="F696" s="129" t="n"/>
      <c r="G696" s="120" t="n"/>
      <c r="H696" s="122" t="n"/>
      <c r="I696" s="122" t="n"/>
      <c r="J696" s="127">
        <f>IF($A696="","",IFERROR($D696-$C696,0))</f>
        <v/>
      </c>
      <c r="K696" s="121">
        <f>IF($A696="","",IF($H696="Evet",0,$G696))</f>
        <v/>
      </c>
    </row>
    <row r="697" ht="15" customHeight="1" s="78">
      <c r="A697" s="122" t="n"/>
      <c r="B697" s="122" t="n"/>
      <c r="C697" s="128" t="n"/>
      <c r="D697" s="128" t="n"/>
      <c r="E697" s="120" t="n"/>
      <c r="F697" s="129" t="n"/>
      <c r="G697" s="120" t="n"/>
      <c r="H697" s="122" t="n"/>
      <c r="I697" s="122" t="n"/>
      <c r="J697" s="127">
        <f>IF($A697="","",IFERROR($D697-$C697,0))</f>
        <v/>
      </c>
      <c r="K697" s="121">
        <f>IF($A697="","",IF($H697="Evet",0,$G697))</f>
        <v/>
      </c>
    </row>
    <row r="698" ht="15" customHeight="1" s="78">
      <c r="A698" s="122" t="n"/>
      <c r="B698" s="122" t="n"/>
      <c r="C698" s="128" t="n"/>
      <c r="D698" s="128" t="n"/>
      <c r="E698" s="120" t="n"/>
      <c r="F698" s="129" t="n"/>
      <c r="G698" s="120" t="n"/>
      <c r="H698" s="122" t="n"/>
      <c r="I698" s="122" t="n"/>
      <c r="J698" s="127">
        <f>IF($A698="","",IFERROR($D698-$C698,0))</f>
        <v/>
      </c>
      <c r="K698" s="121">
        <f>IF($A698="","",IF($H698="Evet",0,$G698))</f>
        <v/>
      </c>
    </row>
    <row r="699" ht="15" customHeight="1" s="78">
      <c r="A699" s="122" t="n"/>
      <c r="B699" s="122" t="n"/>
      <c r="C699" s="128" t="n"/>
      <c r="D699" s="128" t="n"/>
      <c r="E699" s="120" t="n"/>
      <c r="F699" s="129" t="n"/>
      <c r="G699" s="120" t="n"/>
      <c r="H699" s="122" t="n"/>
      <c r="I699" s="122" t="n"/>
      <c r="J699" s="127">
        <f>IF($A699="","",IFERROR($D699-$C699,0))</f>
        <v/>
      </c>
      <c r="K699" s="121">
        <f>IF($A699="","",IF($H699="Evet",0,$G699))</f>
        <v/>
      </c>
    </row>
    <row r="700" ht="15" customHeight="1" s="78">
      <c r="A700" s="122" t="n"/>
      <c r="B700" s="122" t="n"/>
      <c r="C700" s="128" t="n"/>
      <c r="D700" s="128" t="n"/>
      <c r="E700" s="120" t="n"/>
      <c r="F700" s="129" t="n"/>
      <c r="G700" s="120" t="n"/>
      <c r="H700" s="122" t="n"/>
      <c r="I700" s="122" t="n"/>
      <c r="J700" s="127">
        <f>IF($A700="","",IFERROR($D700-$C700,0))</f>
        <v/>
      </c>
      <c r="K700" s="121">
        <f>IF($A700="","",IF($H700="Evet",0,$G700))</f>
        <v/>
      </c>
    </row>
    <row r="701" ht="15" customHeight="1" s="78">
      <c r="A701" s="122" t="n"/>
      <c r="B701" s="122" t="n"/>
      <c r="C701" s="128" t="n"/>
      <c r="D701" s="128" t="n"/>
      <c r="E701" s="120" t="n"/>
      <c r="F701" s="129" t="n"/>
      <c r="G701" s="120" t="n"/>
      <c r="H701" s="122" t="n"/>
      <c r="I701" s="122" t="n"/>
      <c r="J701" s="127">
        <f>IF($A701="","",IFERROR($D701-$C701,0))</f>
        <v/>
      </c>
      <c r="K701" s="121">
        <f>IF($A701="","",IF($H701="Evet",0,$G701))</f>
        <v/>
      </c>
    </row>
    <row r="702" ht="15" customHeight="1" s="78">
      <c r="A702" s="122" t="n"/>
      <c r="B702" s="122" t="n"/>
      <c r="C702" s="128" t="n"/>
      <c r="D702" s="128" t="n"/>
      <c r="E702" s="120" t="n"/>
      <c r="F702" s="129" t="n"/>
      <c r="G702" s="120" t="n"/>
      <c r="H702" s="122" t="n"/>
      <c r="I702" s="122" t="n"/>
      <c r="J702" s="127">
        <f>IF($A702="","",IFERROR($D702-$C702,0))</f>
        <v/>
      </c>
      <c r="K702" s="121">
        <f>IF($A702="","",IF($H702="Evet",0,$G702))</f>
        <v/>
      </c>
    </row>
    <row r="703" ht="15" customHeight="1" s="78">
      <c r="A703" s="122" t="n"/>
      <c r="B703" s="122" t="n"/>
      <c r="C703" s="128" t="n"/>
      <c r="D703" s="128" t="n"/>
      <c r="E703" s="120" t="n"/>
      <c r="F703" s="129" t="n"/>
      <c r="G703" s="120" t="n"/>
      <c r="H703" s="122" t="n"/>
      <c r="I703" s="122" t="n"/>
      <c r="J703" s="127">
        <f>IF($A703="","",IFERROR($D703-$C703,0))</f>
        <v/>
      </c>
      <c r="K703" s="121">
        <f>IF($A703="","",IF($H703="Evet",0,$G703))</f>
        <v/>
      </c>
    </row>
    <row r="704" ht="15" customHeight="1" s="78">
      <c r="A704" s="122" t="n"/>
      <c r="B704" s="122" t="n"/>
      <c r="C704" s="128" t="n"/>
      <c r="D704" s="128" t="n"/>
      <c r="E704" s="120" t="n"/>
      <c r="F704" s="129" t="n"/>
      <c r="G704" s="120" t="n"/>
      <c r="H704" s="122" t="n"/>
      <c r="I704" s="122" t="n"/>
      <c r="J704" s="127">
        <f>IF($A704="","",IFERROR($D704-$C704,0))</f>
        <v/>
      </c>
      <c r="K704" s="121">
        <f>IF($A704="","",IF($H704="Evet",0,$G704))</f>
        <v/>
      </c>
    </row>
    <row r="705" ht="15" customHeight="1" s="78">
      <c r="A705" s="122" t="n"/>
      <c r="B705" s="122" t="n"/>
      <c r="C705" s="128" t="n"/>
      <c r="D705" s="128" t="n"/>
      <c r="E705" s="120" t="n"/>
      <c r="F705" s="129" t="n"/>
      <c r="G705" s="120" t="n"/>
      <c r="H705" s="122" t="n"/>
      <c r="I705" s="122" t="n"/>
      <c r="J705" s="127">
        <f>IF($A705="","",IFERROR($D705-$C705,0))</f>
        <v/>
      </c>
      <c r="K705" s="121">
        <f>IF($A705="","",IF($H705="Evet",0,$G705))</f>
        <v/>
      </c>
    </row>
    <row r="706" ht="15" customHeight="1" s="78">
      <c r="A706" s="122" t="n"/>
      <c r="B706" s="122" t="n"/>
      <c r="C706" s="128" t="n"/>
      <c r="D706" s="128" t="n"/>
      <c r="E706" s="120" t="n"/>
      <c r="F706" s="129" t="n"/>
      <c r="G706" s="120" t="n"/>
      <c r="H706" s="122" t="n"/>
      <c r="I706" s="122" t="n"/>
      <c r="J706" s="127">
        <f>IF($A706="","",IFERROR($D706-$C706,0))</f>
        <v/>
      </c>
      <c r="K706" s="121">
        <f>IF($A706="","",IF($H706="Evet",0,$G706))</f>
        <v/>
      </c>
    </row>
    <row r="707" ht="15" customHeight="1" s="78">
      <c r="A707" s="122" t="n"/>
      <c r="B707" s="122" t="n"/>
      <c r="C707" s="128" t="n"/>
      <c r="D707" s="128" t="n"/>
      <c r="E707" s="120" t="n"/>
      <c r="F707" s="129" t="n"/>
      <c r="G707" s="120" t="n"/>
      <c r="H707" s="122" t="n"/>
      <c r="I707" s="122" t="n"/>
      <c r="J707" s="127">
        <f>IF($A707="","",IFERROR($D707-$C707,0))</f>
        <v/>
      </c>
      <c r="K707" s="121">
        <f>IF($A707="","",IF($H707="Evet",0,$G707))</f>
        <v/>
      </c>
    </row>
    <row r="708" ht="15" customHeight="1" s="78">
      <c r="A708" s="122" t="n"/>
      <c r="B708" s="122" t="n"/>
      <c r="C708" s="128" t="n"/>
      <c r="D708" s="128" t="n"/>
      <c r="E708" s="120" t="n"/>
      <c r="F708" s="129" t="n"/>
      <c r="G708" s="120" t="n"/>
      <c r="H708" s="122" t="n"/>
      <c r="I708" s="122" t="n"/>
      <c r="J708" s="127">
        <f>IF($A708="","",IFERROR($D708-$C708,0))</f>
        <v/>
      </c>
      <c r="K708" s="121">
        <f>IF($A708="","",IF($H708="Evet",0,$G708))</f>
        <v/>
      </c>
    </row>
    <row r="709" ht="15" customHeight="1" s="78">
      <c r="A709" s="122" t="n"/>
      <c r="B709" s="122" t="n"/>
      <c r="C709" s="128" t="n"/>
      <c r="D709" s="128" t="n"/>
      <c r="E709" s="120" t="n"/>
      <c r="F709" s="129" t="n"/>
      <c r="G709" s="120" t="n"/>
      <c r="H709" s="122" t="n"/>
      <c r="I709" s="122" t="n"/>
      <c r="J709" s="127">
        <f>IF($A709="","",IFERROR($D709-$C709,0))</f>
        <v/>
      </c>
      <c r="K709" s="121">
        <f>IF($A709="","",IF($H709="Evet",0,$G709))</f>
        <v/>
      </c>
    </row>
    <row r="710" ht="15" customHeight="1" s="78">
      <c r="A710" s="122" t="n"/>
      <c r="B710" s="122" t="n"/>
      <c r="C710" s="128" t="n"/>
      <c r="D710" s="128" t="n"/>
      <c r="E710" s="120" t="n"/>
      <c r="F710" s="129" t="n"/>
      <c r="G710" s="120" t="n"/>
      <c r="H710" s="122" t="n"/>
      <c r="I710" s="122" t="n"/>
      <c r="J710" s="127">
        <f>IF($A710="","",IFERROR($D710-$C710,0))</f>
        <v/>
      </c>
      <c r="K710" s="121">
        <f>IF($A710="","",IF($H710="Evet",0,$G710))</f>
        <v/>
      </c>
    </row>
    <row r="711" ht="15" customHeight="1" s="78">
      <c r="A711" s="122" t="n"/>
      <c r="B711" s="122" t="n"/>
      <c r="C711" s="128" t="n"/>
      <c r="D711" s="128" t="n"/>
      <c r="E711" s="120" t="n"/>
      <c r="F711" s="129" t="n"/>
      <c r="G711" s="120" t="n"/>
      <c r="H711" s="122" t="n"/>
      <c r="I711" s="122" t="n"/>
      <c r="J711" s="127">
        <f>IF($A711="","",IFERROR($D711-$C711,0))</f>
        <v/>
      </c>
      <c r="K711" s="121">
        <f>IF($A711="","",IF($H711="Evet",0,$G711))</f>
        <v/>
      </c>
    </row>
    <row r="712" ht="15" customHeight="1" s="78">
      <c r="A712" s="122" t="n"/>
      <c r="B712" s="122" t="n"/>
      <c r="C712" s="128" t="n"/>
      <c r="D712" s="128" t="n"/>
      <c r="E712" s="120" t="n"/>
      <c r="F712" s="129" t="n"/>
      <c r="G712" s="120" t="n"/>
      <c r="H712" s="122" t="n"/>
      <c r="I712" s="122" t="n"/>
      <c r="J712" s="127">
        <f>IF($A712="","",IFERROR($D712-$C712,0))</f>
        <v/>
      </c>
      <c r="K712" s="121">
        <f>IF($A712="","",IF($H712="Evet",0,$G712))</f>
        <v/>
      </c>
    </row>
    <row r="713" ht="15" customHeight="1" s="78">
      <c r="A713" s="122" t="n"/>
      <c r="B713" s="122" t="n"/>
      <c r="C713" s="128" t="n"/>
      <c r="D713" s="128" t="n"/>
      <c r="E713" s="120" t="n"/>
      <c r="F713" s="129" t="n"/>
      <c r="G713" s="120" t="n"/>
      <c r="H713" s="122" t="n"/>
      <c r="I713" s="122" t="n"/>
      <c r="J713" s="127">
        <f>IF($A713="","",IFERROR($D713-$C713,0))</f>
        <v/>
      </c>
      <c r="K713" s="121">
        <f>IF($A713="","",IF($H713="Evet",0,$G713))</f>
        <v/>
      </c>
    </row>
    <row r="714" ht="15" customHeight="1" s="78">
      <c r="A714" s="122" t="n"/>
      <c r="B714" s="122" t="n"/>
      <c r="C714" s="128" t="n"/>
      <c r="D714" s="128" t="n"/>
      <c r="E714" s="120" t="n"/>
      <c r="F714" s="129" t="n"/>
      <c r="G714" s="120" t="n"/>
      <c r="H714" s="122" t="n"/>
      <c r="I714" s="122" t="n"/>
      <c r="J714" s="127">
        <f>IF($A714="","",IFERROR($D714-$C714,0))</f>
        <v/>
      </c>
      <c r="K714" s="121">
        <f>IF($A714="","",IF($H714="Evet",0,$G714))</f>
        <v/>
      </c>
    </row>
    <row r="715" ht="15" customHeight="1" s="78">
      <c r="A715" s="122" t="n"/>
      <c r="B715" s="122" t="n"/>
      <c r="C715" s="128" t="n"/>
      <c r="D715" s="128" t="n"/>
      <c r="E715" s="120" t="n"/>
      <c r="F715" s="129" t="n"/>
      <c r="G715" s="120" t="n"/>
      <c r="H715" s="122" t="n"/>
      <c r="I715" s="122" t="n"/>
      <c r="J715" s="127">
        <f>IF($A715="","",IFERROR($D715-$C715,0))</f>
        <v/>
      </c>
      <c r="K715" s="121">
        <f>IF($A715="","",IF($H715="Evet",0,$G715))</f>
        <v/>
      </c>
    </row>
    <row r="716" ht="15" customHeight="1" s="78">
      <c r="A716" s="122" t="n"/>
      <c r="B716" s="122" t="n"/>
      <c r="C716" s="128" t="n"/>
      <c r="D716" s="128" t="n"/>
      <c r="E716" s="120" t="n"/>
      <c r="F716" s="129" t="n"/>
      <c r="G716" s="120" t="n"/>
      <c r="H716" s="122" t="n"/>
      <c r="I716" s="122" t="n"/>
      <c r="J716" s="127">
        <f>IF($A716="","",IFERROR($D716-$C716,0))</f>
        <v/>
      </c>
      <c r="K716" s="121">
        <f>IF($A716="","",IF($H716="Evet",0,$G716))</f>
        <v/>
      </c>
    </row>
    <row r="717" ht="15" customHeight="1" s="78">
      <c r="A717" s="122" t="n"/>
      <c r="B717" s="122" t="n"/>
      <c r="C717" s="128" t="n"/>
      <c r="D717" s="128" t="n"/>
      <c r="E717" s="120" t="n"/>
      <c r="F717" s="129" t="n"/>
      <c r="G717" s="120" t="n"/>
      <c r="H717" s="122" t="n"/>
      <c r="I717" s="122" t="n"/>
      <c r="J717" s="127">
        <f>IF($A717="","",IFERROR($D717-$C717,0))</f>
        <v/>
      </c>
      <c r="K717" s="121">
        <f>IF($A717="","",IF($H717="Evet",0,$G717))</f>
        <v/>
      </c>
    </row>
    <row r="718" ht="15" customHeight="1" s="78">
      <c r="A718" s="122" t="n"/>
      <c r="B718" s="122" t="n"/>
      <c r="C718" s="128" t="n"/>
      <c r="D718" s="128" t="n"/>
      <c r="E718" s="120" t="n"/>
      <c r="F718" s="129" t="n"/>
      <c r="G718" s="120" t="n"/>
      <c r="H718" s="122" t="n"/>
      <c r="I718" s="122" t="n"/>
      <c r="J718" s="127">
        <f>IF($A718="","",IFERROR($D718-$C718,0))</f>
        <v/>
      </c>
      <c r="K718" s="121">
        <f>IF($A718="","",IF($H718="Evet",0,$G718))</f>
        <v/>
      </c>
    </row>
    <row r="719" ht="15" customHeight="1" s="78">
      <c r="A719" s="122" t="n"/>
      <c r="B719" s="122" t="n"/>
      <c r="C719" s="128" t="n"/>
      <c r="D719" s="128" t="n"/>
      <c r="E719" s="120" t="n"/>
      <c r="F719" s="129" t="n"/>
      <c r="G719" s="120" t="n"/>
      <c r="H719" s="122" t="n"/>
      <c r="I719" s="122" t="n"/>
      <c r="J719" s="127">
        <f>IF($A719="","",IFERROR($D719-$C719,0))</f>
        <v/>
      </c>
      <c r="K719" s="121">
        <f>IF($A719="","",IF($H719="Evet",0,$G719))</f>
        <v/>
      </c>
    </row>
    <row r="720" ht="15" customHeight="1" s="78">
      <c r="A720" s="122" t="n"/>
      <c r="B720" s="122" t="n"/>
      <c r="C720" s="128" t="n"/>
      <c r="D720" s="128" t="n"/>
      <c r="E720" s="120" t="n"/>
      <c r="F720" s="129" t="n"/>
      <c r="G720" s="120" t="n"/>
      <c r="H720" s="122" t="n"/>
      <c r="I720" s="122" t="n"/>
      <c r="J720" s="127">
        <f>IF($A720="","",IFERROR($D720-$C720,0))</f>
        <v/>
      </c>
      <c r="K720" s="121">
        <f>IF($A720="","",IF($H720="Evet",0,$G720))</f>
        <v/>
      </c>
    </row>
    <row r="721" ht="15" customHeight="1" s="78">
      <c r="A721" s="122" t="n"/>
      <c r="B721" s="122" t="n"/>
      <c r="C721" s="128" t="n"/>
      <c r="D721" s="128" t="n"/>
      <c r="E721" s="120" t="n"/>
      <c r="F721" s="129" t="n"/>
      <c r="G721" s="120" t="n"/>
      <c r="H721" s="122" t="n"/>
      <c r="I721" s="122" t="n"/>
      <c r="J721" s="127">
        <f>IF($A721="","",IFERROR($D721-$C721,0))</f>
        <v/>
      </c>
      <c r="K721" s="121">
        <f>IF($A721="","",IF($H721="Evet",0,$G721))</f>
        <v/>
      </c>
    </row>
    <row r="722" ht="15" customHeight="1" s="78">
      <c r="A722" s="122" t="n"/>
      <c r="B722" s="122" t="n"/>
      <c r="C722" s="128" t="n"/>
      <c r="D722" s="128" t="n"/>
      <c r="E722" s="120" t="n"/>
      <c r="F722" s="129" t="n"/>
      <c r="G722" s="120" t="n"/>
      <c r="H722" s="122" t="n"/>
      <c r="I722" s="122" t="n"/>
      <c r="J722" s="127">
        <f>IF($A722="","",IFERROR($D722-$C722,0))</f>
        <v/>
      </c>
      <c r="K722" s="121">
        <f>IF($A722="","",IF($H722="Evet",0,$G722))</f>
        <v/>
      </c>
    </row>
    <row r="723" ht="15" customHeight="1" s="78">
      <c r="A723" s="122" t="n"/>
      <c r="B723" s="122" t="n"/>
      <c r="C723" s="128" t="n"/>
      <c r="D723" s="128" t="n"/>
      <c r="E723" s="120" t="n"/>
      <c r="F723" s="129" t="n"/>
      <c r="G723" s="120" t="n"/>
      <c r="H723" s="122" t="n"/>
      <c r="I723" s="122" t="n"/>
      <c r="J723" s="127">
        <f>IF($A723="","",IFERROR($D723-$C723,0))</f>
        <v/>
      </c>
      <c r="K723" s="121">
        <f>IF($A723="","",IF($H723="Evet",0,$G723))</f>
        <v/>
      </c>
    </row>
    <row r="724" ht="15" customHeight="1" s="78">
      <c r="A724" s="122" t="n"/>
      <c r="B724" s="122" t="n"/>
      <c r="C724" s="128" t="n"/>
      <c r="D724" s="128" t="n"/>
      <c r="E724" s="120" t="n"/>
      <c r="F724" s="129" t="n"/>
      <c r="G724" s="120" t="n"/>
      <c r="H724" s="122" t="n"/>
      <c r="I724" s="122" t="n"/>
      <c r="J724" s="127">
        <f>IF($A724="","",IFERROR($D724-$C724,0))</f>
        <v/>
      </c>
      <c r="K724" s="121">
        <f>IF($A724="","",IF($H724="Evet",0,$G724))</f>
        <v/>
      </c>
    </row>
    <row r="725" ht="15" customHeight="1" s="78">
      <c r="A725" s="122" t="n"/>
      <c r="B725" s="122" t="n"/>
      <c r="C725" s="128" t="n"/>
      <c r="D725" s="128" t="n"/>
      <c r="E725" s="120" t="n"/>
      <c r="F725" s="129" t="n"/>
      <c r="G725" s="120" t="n"/>
      <c r="H725" s="122" t="n"/>
      <c r="I725" s="122" t="n"/>
      <c r="J725" s="127">
        <f>IF($A725="","",IFERROR($D725-$C725,0))</f>
        <v/>
      </c>
      <c r="K725" s="121">
        <f>IF($A725="","",IF($H725="Evet",0,$G725))</f>
        <v/>
      </c>
    </row>
    <row r="726" ht="15" customHeight="1" s="78">
      <c r="A726" s="122" t="n"/>
      <c r="B726" s="122" t="n"/>
      <c r="C726" s="128" t="n"/>
      <c r="D726" s="128" t="n"/>
      <c r="E726" s="120" t="n"/>
      <c r="F726" s="129" t="n"/>
      <c r="G726" s="120" t="n"/>
      <c r="H726" s="122" t="n"/>
      <c r="I726" s="122" t="n"/>
      <c r="J726" s="127">
        <f>IF($A726="","",IFERROR($D726-$C726,0))</f>
        <v/>
      </c>
      <c r="K726" s="121">
        <f>IF($A726="","",IF($H726="Evet",0,$G726))</f>
        <v/>
      </c>
    </row>
    <row r="727" ht="15" customHeight="1" s="78">
      <c r="A727" s="122" t="n"/>
      <c r="B727" s="122" t="n"/>
      <c r="C727" s="128" t="n"/>
      <c r="D727" s="128" t="n"/>
      <c r="E727" s="120" t="n"/>
      <c r="F727" s="129" t="n"/>
      <c r="G727" s="120" t="n"/>
      <c r="H727" s="122" t="n"/>
      <c r="I727" s="122" t="n"/>
      <c r="J727" s="127">
        <f>IF($A727="","",IFERROR($D727-$C727,0))</f>
        <v/>
      </c>
      <c r="K727" s="121">
        <f>IF($A727="","",IF($H727="Evet",0,$G727))</f>
        <v/>
      </c>
    </row>
    <row r="728" ht="15" customHeight="1" s="78">
      <c r="A728" s="122" t="n"/>
      <c r="B728" s="122" t="n"/>
      <c r="C728" s="128" t="n"/>
      <c r="D728" s="128" t="n"/>
      <c r="E728" s="120" t="n"/>
      <c r="F728" s="129" t="n"/>
      <c r="G728" s="120" t="n"/>
      <c r="H728" s="122" t="n"/>
      <c r="I728" s="122" t="n"/>
      <c r="J728" s="127">
        <f>IF($A728="","",IFERROR($D728-$C728,0))</f>
        <v/>
      </c>
      <c r="K728" s="121">
        <f>IF($A728="","",IF($H728="Evet",0,$G728))</f>
        <v/>
      </c>
    </row>
    <row r="729" ht="15" customHeight="1" s="78">
      <c r="A729" s="122" t="n"/>
      <c r="B729" s="122" t="n"/>
      <c r="C729" s="128" t="n"/>
      <c r="D729" s="128" t="n"/>
      <c r="E729" s="120" t="n"/>
      <c r="F729" s="129" t="n"/>
      <c r="G729" s="120" t="n"/>
      <c r="H729" s="122" t="n"/>
      <c r="I729" s="122" t="n"/>
      <c r="J729" s="127">
        <f>IF($A729="","",IFERROR($D729-$C729,0))</f>
        <v/>
      </c>
      <c r="K729" s="121">
        <f>IF($A729="","",IF($H729="Evet",0,$G729))</f>
        <v/>
      </c>
    </row>
    <row r="730" ht="15" customHeight="1" s="78">
      <c r="A730" s="122" t="n"/>
      <c r="B730" s="122" t="n"/>
      <c r="C730" s="128" t="n"/>
      <c r="D730" s="128" t="n"/>
      <c r="E730" s="120" t="n"/>
      <c r="F730" s="129" t="n"/>
      <c r="G730" s="120" t="n"/>
      <c r="H730" s="122" t="n"/>
      <c r="I730" s="122" t="n"/>
      <c r="J730" s="127">
        <f>IF($A730="","",IFERROR($D730-$C730,0))</f>
        <v/>
      </c>
      <c r="K730" s="121">
        <f>IF($A730="","",IF($H730="Evet",0,$G730))</f>
        <v/>
      </c>
    </row>
    <row r="731" ht="15" customHeight="1" s="78">
      <c r="A731" s="122" t="n"/>
      <c r="B731" s="122" t="n"/>
      <c r="C731" s="128" t="n"/>
      <c r="D731" s="128" t="n"/>
      <c r="E731" s="120" t="n"/>
      <c r="F731" s="129" t="n"/>
      <c r="G731" s="120" t="n"/>
      <c r="H731" s="122" t="n"/>
      <c r="I731" s="122" t="n"/>
      <c r="J731" s="127">
        <f>IF($A731="","",IFERROR($D731-$C731,0))</f>
        <v/>
      </c>
      <c r="K731" s="121">
        <f>IF($A731="","",IF($H731="Evet",0,$G731))</f>
        <v/>
      </c>
    </row>
    <row r="732" ht="15" customHeight="1" s="78">
      <c r="A732" s="122" t="n"/>
      <c r="B732" s="122" t="n"/>
      <c r="C732" s="128" t="n"/>
      <c r="D732" s="128" t="n"/>
      <c r="E732" s="120" t="n"/>
      <c r="F732" s="129" t="n"/>
      <c r="G732" s="120" t="n"/>
      <c r="H732" s="122" t="n"/>
      <c r="I732" s="122" t="n"/>
      <c r="J732" s="127">
        <f>IF($A732="","",IFERROR($D732-$C732,0))</f>
        <v/>
      </c>
      <c r="K732" s="121">
        <f>IF($A732="","",IF($H732="Evet",0,$G732))</f>
        <v/>
      </c>
    </row>
    <row r="733" ht="15" customHeight="1" s="78">
      <c r="A733" s="122" t="n"/>
      <c r="B733" s="122" t="n"/>
      <c r="C733" s="128" t="n"/>
      <c r="D733" s="128" t="n"/>
      <c r="E733" s="120" t="n"/>
      <c r="F733" s="129" t="n"/>
      <c r="G733" s="120" t="n"/>
      <c r="H733" s="122" t="n"/>
      <c r="I733" s="122" t="n"/>
      <c r="J733" s="127">
        <f>IF($A733="","",IFERROR($D733-$C733,0))</f>
        <v/>
      </c>
      <c r="K733" s="121">
        <f>IF($A733="","",IF($H733="Evet",0,$G733))</f>
        <v/>
      </c>
    </row>
    <row r="734" ht="15" customHeight="1" s="78">
      <c r="A734" s="122" t="n"/>
      <c r="B734" s="122" t="n"/>
      <c r="C734" s="128" t="n"/>
      <c r="D734" s="128" t="n"/>
      <c r="E734" s="120" t="n"/>
      <c r="F734" s="129" t="n"/>
      <c r="G734" s="120" t="n"/>
      <c r="H734" s="122" t="n"/>
      <c r="I734" s="122" t="n"/>
      <c r="J734" s="127">
        <f>IF($A734="","",IFERROR($D734-$C734,0))</f>
        <v/>
      </c>
      <c r="K734" s="121">
        <f>IF($A734="","",IF($H734="Evet",0,$G734))</f>
        <v/>
      </c>
    </row>
    <row r="735" ht="15" customHeight="1" s="78">
      <c r="A735" s="122" t="n"/>
      <c r="B735" s="122" t="n"/>
      <c r="C735" s="128" t="n"/>
      <c r="D735" s="128" t="n"/>
      <c r="E735" s="120" t="n"/>
      <c r="F735" s="129" t="n"/>
      <c r="G735" s="120" t="n"/>
      <c r="H735" s="122" t="n"/>
      <c r="I735" s="122" t="n"/>
      <c r="J735" s="127">
        <f>IF($A735="","",IFERROR($D735-$C735,0))</f>
        <v/>
      </c>
      <c r="K735" s="121">
        <f>IF($A735="","",IF($H735="Evet",0,$G735))</f>
        <v/>
      </c>
    </row>
    <row r="736" ht="15" customHeight="1" s="78">
      <c r="A736" s="122" t="n"/>
      <c r="B736" s="122" t="n"/>
      <c r="C736" s="128" t="n"/>
      <c r="D736" s="128" t="n"/>
      <c r="E736" s="120" t="n"/>
      <c r="F736" s="129" t="n"/>
      <c r="G736" s="120" t="n"/>
      <c r="H736" s="122" t="n"/>
      <c r="I736" s="122" t="n"/>
      <c r="J736" s="127">
        <f>IF($A736="","",IFERROR($D736-$C736,0))</f>
        <v/>
      </c>
      <c r="K736" s="121">
        <f>IF($A736="","",IF($H736="Evet",0,$G736))</f>
        <v/>
      </c>
    </row>
    <row r="737" ht="15" customHeight="1" s="78">
      <c r="A737" s="122" t="n"/>
      <c r="B737" s="122" t="n"/>
      <c r="C737" s="128" t="n"/>
      <c r="D737" s="128" t="n"/>
      <c r="E737" s="120" t="n"/>
      <c r="F737" s="129" t="n"/>
      <c r="G737" s="120" t="n"/>
      <c r="H737" s="122" t="n"/>
      <c r="I737" s="122" t="n"/>
      <c r="J737" s="127">
        <f>IF($A737="","",IFERROR($D737-$C737,0))</f>
        <v/>
      </c>
      <c r="K737" s="121">
        <f>IF($A737="","",IF($H737="Evet",0,$G737))</f>
        <v/>
      </c>
    </row>
    <row r="738" ht="15" customHeight="1" s="78">
      <c r="A738" s="122" t="n"/>
      <c r="B738" s="122" t="n"/>
      <c r="C738" s="128" t="n"/>
      <c r="D738" s="128" t="n"/>
      <c r="E738" s="120" t="n"/>
      <c r="F738" s="129" t="n"/>
      <c r="G738" s="120" t="n"/>
      <c r="H738" s="122" t="n"/>
      <c r="I738" s="122" t="n"/>
      <c r="J738" s="127">
        <f>IF($A738="","",IFERROR($D738-$C738,0))</f>
        <v/>
      </c>
      <c r="K738" s="121">
        <f>IF($A738="","",IF($H738="Evet",0,$G738))</f>
        <v/>
      </c>
    </row>
    <row r="739" ht="15" customHeight="1" s="78">
      <c r="A739" s="122" t="n"/>
      <c r="B739" s="122" t="n"/>
      <c r="C739" s="128" t="n"/>
      <c r="D739" s="128" t="n"/>
      <c r="E739" s="120" t="n"/>
      <c r="F739" s="129" t="n"/>
      <c r="G739" s="120" t="n"/>
      <c r="H739" s="122" t="n"/>
      <c r="I739" s="122" t="n"/>
      <c r="J739" s="127">
        <f>IF($A739="","",IFERROR($D739-$C739,0))</f>
        <v/>
      </c>
      <c r="K739" s="121">
        <f>IF($A739="","",IF($H739="Evet",0,$G739))</f>
        <v/>
      </c>
    </row>
    <row r="740" ht="15" customHeight="1" s="78">
      <c r="A740" s="122" t="n"/>
      <c r="B740" s="122" t="n"/>
      <c r="C740" s="128" t="n"/>
      <c r="D740" s="128" t="n"/>
      <c r="E740" s="120" t="n"/>
      <c r="F740" s="129" t="n"/>
      <c r="G740" s="120" t="n"/>
      <c r="H740" s="122" t="n"/>
      <c r="I740" s="122" t="n"/>
      <c r="J740" s="127">
        <f>IF($A740="","",IFERROR($D740-$C740,0))</f>
        <v/>
      </c>
      <c r="K740" s="121">
        <f>IF($A740="","",IF($H740="Evet",0,$G740))</f>
        <v/>
      </c>
    </row>
    <row r="741" ht="15" customHeight="1" s="78">
      <c r="A741" s="122" t="n"/>
      <c r="B741" s="122" t="n"/>
      <c r="C741" s="128" t="n"/>
      <c r="D741" s="128" t="n"/>
      <c r="E741" s="120" t="n"/>
      <c r="F741" s="129" t="n"/>
      <c r="G741" s="120" t="n"/>
      <c r="H741" s="122" t="n"/>
      <c r="I741" s="122" t="n"/>
      <c r="J741" s="127">
        <f>IF($A741="","",IFERROR($D741-$C741,0))</f>
        <v/>
      </c>
      <c r="K741" s="121">
        <f>IF($A741="","",IF($H741="Evet",0,$G741))</f>
        <v/>
      </c>
    </row>
    <row r="742" ht="15" customHeight="1" s="78">
      <c r="A742" s="122" t="n"/>
      <c r="B742" s="122" t="n"/>
      <c r="C742" s="128" t="n"/>
      <c r="D742" s="128" t="n"/>
      <c r="E742" s="120" t="n"/>
      <c r="F742" s="129" t="n"/>
      <c r="G742" s="120" t="n"/>
      <c r="H742" s="122" t="n"/>
      <c r="I742" s="122" t="n"/>
      <c r="J742" s="127">
        <f>IF($A742="","",IFERROR($D742-$C742,0))</f>
        <v/>
      </c>
      <c r="K742" s="121">
        <f>IF($A742="","",IF($H742="Evet",0,$G742))</f>
        <v/>
      </c>
    </row>
    <row r="743" ht="15" customHeight="1" s="78">
      <c r="A743" s="122" t="n"/>
      <c r="B743" s="122" t="n"/>
      <c r="C743" s="128" t="n"/>
      <c r="D743" s="128" t="n"/>
      <c r="E743" s="120" t="n"/>
      <c r="F743" s="129" t="n"/>
      <c r="G743" s="120" t="n"/>
      <c r="H743" s="122" t="n"/>
      <c r="I743" s="122" t="n"/>
      <c r="J743" s="127">
        <f>IF($A743="","",IFERROR($D743-$C743,0))</f>
        <v/>
      </c>
      <c r="K743" s="121">
        <f>IF($A743="","",IF($H743="Evet",0,$G743))</f>
        <v/>
      </c>
    </row>
    <row r="744" ht="15" customHeight="1" s="78">
      <c r="A744" s="122" t="n"/>
      <c r="B744" s="122" t="n"/>
      <c r="C744" s="128" t="n"/>
      <c r="D744" s="128" t="n"/>
      <c r="E744" s="120" t="n"/>
      <c r="F744" s="129" t="n"/>
      <c r="G744" s="120" t="n"/>
      <c r="H744" s="122" t="n"/>
      <c r="I744" s="122" t="n"/>
      <c r="J744" s="127">
        <f>IF($A744="","",IFERROR($D744-$C744,0))</f>
        <v/>
      </c>
      <c r="K744" s="121">
        <f>IF($A744="","",IF($H744="Evet",0,$G744))</f>
        <v/>
      </c>
    </row>
    <row r="745" ht="15" customHeight="1" s="78">
      <c r="A745" s="122" t="n"/>
      <c r="B745" s="122" t="n"/>
      <c r="C745" s="128" t="n"/>
      <c r="D745" s="128" t="n"/>
      <c r="E745" s="120" t="n"/>
      <c r="F745" s="129" t="n"/>
      <c r="G745" s="120" t="n"/>
      <c r="H745" s="122" t="n"/>
      <c r="I745" s="122" t="n"/>
      <c r="J745" s="127">
        <f>IF($A745="","",IFERROR($D745-$C745,0))</f>
        <v/>
      </c>
      <c r="K745" s="121">
        <f>IF($A745="","",IF($H745="Evet",0,$G745))</f>
        <v/>
      </c>
    </row>
    <row r="746" ht="15" customHeight="1" s="78">
      <c r="A746" s="122" t="n"/>
      <c r="B746" s="122" t="n"/>
      <c r="C746" s="128" t="n"/>
      <c r="D746" s="128" t="n"/>
      <c r="E746" s="120" t="n"/>
      <c r="F746" s="129" t="n"/>
      <c r="G746" s="120" t="n"/>
      <c r="H746" s="122" t="n"/>
      <c r="I746" s="122" t="n"/>
      <c r="J746" s="127">
        <f>IF($A746="","",IFERROR($D746-$C746,0))</f>
        <v/>
      </c>
      <c r="K746" s="121">
        <f>IF($A746="","",IF($H746="Evet",0,$G746))</f>
        <v/>
      </c>
    </row>
    <row r="747" ht="15" customHeight="1" s="78">
      <c r="A747" s="122" t="n"/>
      <c r="B747" s="122" t="n"/>
      <c r="C747" s="128" t="n"/>
      <c r="D747" s="128" t="n"/>
      <c r="E747" s="120" t="n"/>
      <c r="F747" s="129" t="n"/>
      <c r="G747" s="120" t="n"/>
      <c r="H747" s="122" t="n"/>
      <c r="I747" s="122" t="n"/>
      <c r="J747" s="127">
        <f>IF($A747="","",IFERROR($D747-$C747,0))</f>
        <v/>
      </c>
      <c r="K747" s="121">
        <f>IF($A747="","",IF($H747="Evet",0,$G747))</f>
        <v/>
      </c>
    </row>
    <row r="748" ht="15" customHeight="1" s="78">
      <c r="A748" s="122" t="n"/>
      <c r="B748" s="122" t="n"/>
      <c r="C748" s="128" t="n"/>
      <c r="D748" s="128" t="n"/>
      <c r="E748" s="120" t="n"/>
      <c r="F748" s="129" t="n"/>
      <c r="G748" s="120" t="n"/>
      <c r="H748" s="122" t="n"/>
      <c r="I748" s="122" t="n"/>
      <c r="J748" s="127">
        <f>IF($A748="","",IFERROR($D748-$C748,0))</f>
        <v/>
      </c>
      <c r="K748" s="121">
        <f>IF($A748="","",IF($H748="Evet",0,$G748))</f>
        <v/>
      </c>
    </row>
    <row r="749" ht="15" customHeight="1" s="78">
      <c r="A749" s="122" t="n"/>
      <c r="B749" s="122" t="n"/>
      <c r="C749" s="128" t="n"/>
      <c r="D749" s="128" t="n"/>
      <c r="E749" s="120" t="n"/>
      <c r="F749" s="129" t="n"/>
      <c r="G749" s="120" t="n"/>
      <c r="H749" s="122" t="n"/>
      <c r="I749" s="122" t="n"/>
      <c r="J749" s="127">
        <f>IF($A749="","",IFERROR($D749-$C749,0))</f>
        <v/>
      </c>
      <c r="K749" s="121">
        <f>IF($A749="","",IF($H749="Evet",0,$G749))</f>
        <v/>
      </c>
    </row>
    <row r="750" ht="15" customHeight="1" s="78">
      <c r="A750" s="122" t="n"/>
      <c r="B750" s="122" t="n"/>
      <c r="C750" s="128" t="n"/>
      <c r="D750" s="128" t="n"/>
      <c r="E750" s="120" t="n"/>
      <c r="F750" s="129" t="n"/>
      <c r="G750" s="120" t="n"/>
      <c r="H750" s="122" t="n"/>
      <c r="I750" s="122" t="n"/>
      <c r="J750" s="127">
        <f>IF($A750="","",IFERROR($D750-$C750,0))</f>
        <v/>
      </c>
      <c r="K750" s="121">
        <f>IF($A750="","",IF($H750="Evet",0,$G750))</f>
        <v/>
      </c>
    </row>
    <row r="751" ht="15" customHeight="1" s="78">
      <c r="A751" s="122" t="n"/>
      <c r="B751" s="122" t="n"/>
      <c r="C751" s="128" t="n"/>
      <c r="D751" s="128" t="n"/>
      <c r="E751" s="120" t="n"/>
      <c r="F751" s="129" t="n"/>
      <c r="G751" s="120" t="n"/>
      <c r="H751" s="122" t="n"/>
      <c r="I751" s="122" t="n"/>
      <c r="J751" s="127">
        <f>IF($A751="","",IFERROR($D751-$C751,0))</f>
        <v/>
      </c>
      <c r="K751" s="121">
        <f>IF($A751="","",IF($H751="Evet",0,$G751))</f>
        <v/>
      </c>
    </row>
    <row r="752" ht="15" customHeight="1" s="78">
      <c r="A752" s="122" t="n"/>
      <c r="B752" s="122" t="n"/>
      <c r="C752" s="128" t="n"/>
      <c r="D752" s="128" t="n"/>
      <c r="E752" s="120" t="n"/>
      <c r="F752" s="129" t="n"/>
      <c r="G752" s="120" t="n"/>
      <c r="H752" s="122" t="n"/>
      <c r="I752" s="122" t="n"/>
      <c r="J752" s="127">
        <f>IF($A752="","",IFERROR($D752-$C752,0))</f>
        <v/>
      </c>
      <c r="K752" s="121">
        <f>IF($A752="","",IF($H752="Evet",0,$G752))</f>
        <v/>
      </c>
    </row>
    <row r="753" ht="15" customHeight="1" s="78">
      <c r="A753" s="122" t="n"/>
      <c r="B753" s="122" t="n"/>
      <c r="C753" s="128" t="n"/>
      <c r="D753" s="128" t="n"/>
      <c r="E753" s="120" t="n"/>
      <c r="F753" s="129" t="n"/>
      <c r="G753" s="120" t="n"/>
      <c r="H753" s="122" t="n"/>
      <c r="I753" s="122" t="n"/>
      <c r="J753" s="127">
        <f>IF($A753="","",IFERROR($D753-$C753,0))</f>
        <v/>
      </c>
      <c r="K753" s="121">
        <f>IF($A753="","",IF($H753="Evet",0,$G753))</f>
        <v/>
      </c>
    </row>
    <row r="754" ht="15" customHeight="1" s="78">
      <c r="A754" s="122" t="n"/>
      <c r="B754" s="122" t="n"/>
      <c r="C754" s="128" t="n"/>
      <c r="D754" s="128" t="n"/>
      <c r="E754" s="120" t="n"/>
      <c r="F754" s="129" t="n"/>
      <c r="G754" s="120" t="n"/>
      <c r="H754" s="122" t="n"/>
      <c r="I754" s="122" t="n"/>
      <c r="J754" s="127">
        <f>IF($A754="","",IFERROR($D754-$C754,0))</f>
        <v/>
      </c>
      <c r="K754" s="121">
        <f>IF($A754="","",IF($H754="Evet",0,$G754))</f>
        <v/>
      </c>
    </row>
    <row r="755" ht="15" customHeight="1" s="78">
      <c r="A755" s="122" t="n"/>
      <c r="B755" s="122" t="n"/>
      <c r="C755" s="128" t="n"/>
      <c r="D755" s="128" t="n"/>
      <c r="E755" s="120" t="n"/>
      <c r="F755" s="129" t="n"/>
      <c r="G755" s="120" t="n"/>
      <c r="H755" s="122" t="n"/>
      <c r="I755" s="122" t="n"/>
      <c r="J755" s="127">
        <f>IF($A755="","",IFERROR($D755-$C755,0))</f>
        <v/>
      </c>
      <c r="K755" s="121">
        <f>IF($A755="","",IF($H755="Evet",0,$G755))</f>
        <v/>
      </c>
    </row>
    <row r="756" ht="15" customHeight="1" s="78">
      <c r="A756" s="122" t="n"/>
      <c r="B756" s="122" t="n"/>
      <c r="C756" s="128" t="n"/>
      <c r="D756" s="128" t="n"/>
      <c r="E756" s="120" t="n"/>
      <c r="F756" s="129" t="n"/>
      <c r="G756" s="120" t="n"/>
      <c r="H756" s="122" t="n"/>
      <c r="I756" s="122" t="n"/>
      <c r="J756" s="127">
        <f>IF($A756="","",IFERROR($D756-$C756,0))</f>
        <v/>
      </c>
      <c r="K756" s="121">
        <f>IF($A756="","",IF($H756="Evet",0,$G756))</f>
        <v/>
      </c>
    </row>
    <row r="757" ht="15" customHeight="1" s="78">
      <c r="A757" s="122" t="n"/>
      <c r="B757" s="122" t="n"/>
      <c r="C757" s="128" t="n"/>
      <c r="D757" s="128" t="n"/>
      <c r="E757" s="120" t="n"/>
      <c r="F757" s="129" t="n"/>
      <c r="G757" s="120" t="n"/>
      <c r="H757" s="122" t="n"/>
      <c r="I757" s="122" t="n"/>
      <c r="J757" s="127">
        <f>IF($A757="","",IFERROR($D757-$C757,0))</f>
        <v/>
      </c>
      <c r="K757" s="121">
        <f>IF($A757="","",IF($H757="Evet",0,$G757))</f>
        <v/>
      </c>
    </row>
    <row r="758" ht="15" customHeight="1" s="78">
      <c r="A758" s="122" t="n"/>
      <c r="B758" s="122" t="n"/>
      <c r="C758" s="128" t="n"/>
      <c r="D758" s="128" t="n"/>
      <c r="E758" s="120" t="n"/>
      <c r="F758" s="129" t="n"/>
      <c r="G758" s="120" t="n"/>
      <c r="H758" s="122" t="n"/>
      <c r="I758" s="122" t="n"/>
      <c r="J758" s="127">
        <f>IF($A758="","",IFERROR($D758-$C758,0))</f>
        <v/>
      </c>
      <c r="K758" s="121">
        <f>IF($A758="","",IF($H758="Evet",0,$G758))</f>
        <v/>
      </c>
    </row>
    <row r="759" ht="15" customHeight="1" s="78">
      <c r="A759" s="122" t="n"/>
      <c r="B759" s="122" t="n"/>
      <c r="C759" s="128" t="n"/>
      <c r="D759" s="128" t="n"/>
      <c r="E759" s="120" t="n"/>
      <c r="F759" s="129" t="n"/>
      <c r="G759" s="120" t="n"/>
      <c r="H759" s="122" t="n"/>
      <c r="I759" s="122" t="n"/>
      <c r="J759" s="127">
        <f>IF($A759="","",IFERROR($D759-$C759,0))</f>
        <v/>
      </c>
      <c r="K759" s="121">
        <f>IF($A759="","",IF($H759="Evet",0,$G759))</f>
        <v/>
      </c>
    </row>
    <row r="760" ht="15" customHeight="1" s="78">
      <c r="A760" s="122" t="n"/>
      <c r="B760" s="122" t="n"/>
      <c r="C760" s="128" t="n"/>
      <c r="D760" s="128" t="n"/>
      <c r="E760" s="120" t="n"/>
      <c r="F760" s="129" t="n"/>
      <c r="G760" s="120" t="n"/>
      <c r="H760" s="122" t="n"/>
      <c r="I760" s="122" t="n"/>
      <c r="J760" s="127">
        <f>IF($A760="","",IFERROR($D760-$C760,0))</f>
        <v/>
      </c>
      <c r="K760" s="121">
        <f>IF($A760="","",IF($H760="Evet",0,$G760))</f>
        <v/>
      </c>
    </row>
    <row r="761" ht="15" customHeight="1" s="78">
      <c r="A761" s="122" t="n"/>
      <c r="B761" s="122" t="n"/>
      <c r="C761" s="128" t="n"/>
      <c r="D761" s="128" t="n"/>
      <c r="E761" s="120" t="n"/>
      <c r="F761" s="129" t="n"/>
      <c r="G761" s="120" t="n"/>
      <c r="H761" s="122" t="n"/>
      <c r="I761" s="122" t="n"/>
      <c r="J761" s="127">
        <f>IF($A761="","",IFERROR($D761-$C761,0))</f>
        <v/>
      </c>
      <c r="K761" s="121">
        <f>IF($A761="","",IF($H761="Evet",0,$G761))</f>
        <v/>
      </c>
    </row>
    <row r="762" ht="15" customHeight="1" s="78">
      <c r="A762" s="122" t="n"/>
      <c r="B762" s="122" t="n"/>
      <c r="C762" s="128" t="n"/>
      <c r="D762" s="128" t="n"/>
      <c r="E762" s="120" t="n"/>
      <c r="F762" s="129" t="n"/>
      <c r="G762" s="120" t="n"/>
      <c r="H762" s="122" t="n"/>
      <c r="I762" s="122" t="n"/>
      <c r="J762" s="127">
        <f>IF($A762="","",IFERROR($D762-$C762,0))</f>
        <v/>
      </c>
      <c r="K762" s="121">
        <f>IF($A762="","",IF($H762="Evet",0,$G762))</f>
        <v/>
      </c>
    </row>
    <row r="763" ht="15" customHeight="1" s="78">
      <c r="A763" s="122" t="n"/>
      <c r="B763" s="122" t="n"/>
      <c r="C763" s="128" t="n"/>
      <c r="D763" s="128" t="n"/>
      <c r="E763" s="120" t="n"/>
      <c r="F763" s="129" t="n"/>
      <c r="G763" s="120" t="n"/>
      <c r="H763" s="122" t="n"/>
      <c r="I763" s="122" t="n"/>
      <c r="J763" s="127">
        <f>IF($A763="","",IFERROR($D763-$C763,0))</f>
        <v/>
      </c>
      <c r="K763" s="121">
        <f>IF($A763="","",IF($H763="Evet",0,$G763))</f>
        <v/>
      </c>
    </row>
    <row r="764" ht="15" customHeight="1" s="78">
      <c r="A764" s="122" t="n"/>
      <c r="B764" s="122" t="n"/>
      <c r="C764" s="128" t="n"/>
      <c r="D764" s="128" t="n"/>
      <c r="E764" s="120" t="n"/>
      <c r="F764" s="129" t="n"/>
      <c r="G764" s="120" t="n"/>
      <c r="H764" s="122" t="n"/>
      <c r="I764" s="122" t="n"/>
      <c r="J764" s="127">
        <f>IF($A764="","",IFERROR($D764-$C764,0))</f>
        <v/>
      </c>
      <c r="K764" s="121">
        <f>IF($A764="","",IF($H764="Evet",0,$G764))</f>
        <v/>
      </c>
    </row>
    <row r="765" ht="15" customHeight="1" s="78">
      <c r="A765" s="122" t="n"/>
      <c r="B765" s="122" t="n"/>
      <c r="C765" s="128" t="n"/>
      <c r="D765" s="128" t="n"/>
      <c r="E765" s="120" t="n"/>
      <c r="F765" s="129" t="n"/>
      <c r="G765" s="120" t="n"/>
      <c r="H765" s="122" t="n"/>
      <c r="I765" s="122" t="n"/>
      <c r="J765" s="127">
        <f>IF($A765="","",IFERROR($D765-$C765,0))</f>
        <v/>
      </c>
      <c r="K765" s="121">
        <f>IF($A765="","",IF($H765="Evet",0,$G765))</f>
        <v/>
      </c>
    </row>
    <row r="766" ht="15" customHeight="1" s="78">
      <c r="A766" s="122" t="n"/>
      <c r="B766" s="122" t="n"/>
      <c r="C766" s="128" t="n"/>
      <c r="D766" s="128" t="n"/>
      <c r="E766" s="120" t="n"/>
      <c r="F766" s="129" t="n"/>
      <c r="G766" s="120" t="n"/>
      <c r="H766" s="122" t="n"/>
      <c r="I766" s="122" t="n"/>
      <c r="J766" s="127">
        <f>IF($A766="","",IFERROR($D766-$C766,0))</f>
        <v/>
      </c>
      <c r="K766" s="121">
        <f>IF($A766="","",IF($H766="Evet",0,$G766))</f>
        <v/>
      </c>
    </row>
    <row r="767" ht="15" customHeight="1" s="78">
      <c r="A767" s="122" t="n"/>
      <c r="B767" s="122" t="n"/>
      <c r="C767" s="128" t="n"/>
      <c r="D767" s="128" t="n"/>
      <c r="E767" s="120" t="n"/>
      <c r="F767" s="129" t="n"/>
      <c r="G767" s="120" t="n"/>
      <c r="H767" s="122" t="n"/>
      <c r="I767" s="122" t="n"/>
      <c r="J767" s="127">
        <f>IF($A767="","",IFERROR($D767-$C767,0))</f>
        <v/>
      </c>
      <c r="K767" s="121">
        <f>IF($A767="","",IF($H767="Evet",0,$G767))</f>
        <v/>
      </c>
    </row>
    <row r="768" ht="15" customHeight="1" s="78">
      <c r="A768" s="122" t="n"/>
      <c r="B768" s="122" t="n"/>
      <c r="C768" s="128" t="n"/>
      <c r="D768" s="128" t="n"/>
      <c r="E768" s="120" t="n"/>
      <c r="F768" s="129" t="n"/>
      <c r="G768" s="120" t="n"/>
      <c r="H768" s="122" t="n"/>
      <c r="I768" s="122" t="n"/>
      <c r="J768" s="127">
        <f>IF($A768="","",IFERROR($D768-$C768,0))</f>
        <v/>
      </c>
      <c r="K768" s="121">
        <f>IF($A768="","",IF($H768="Evet",0,$G768))</f>
        <v/>
      </c>
    </row>
    <row r="769" ht="15" customHeight="1" s="78">
      <c r="A769" s="122" t="n"/>
      <c r="B769" s="122" t="n"/>
      <c r="C769" s="128" t="n"/>
      <c r="D769" s="128" t="n"/>
      <c r="E769" s="120" t="n"/>
      <c r="F769" s="129" t="n"/>
      <c r="G769" s="120" t="n"/>
      <c r="H769" s="122" t="n"/>
      <c r="I769" s="122" t="n"/>
      <c r="J769" s="127">
        <f>IF($A769="","",IFERROR($D769-$C769,0))</f>
        <v/>
      </c>
      <c r="K769" s="121">
        <f>IF($A769="","",IF($H769="Evet",0,$G769))</f>
        <v/>
      </c>
    </row>
    <row r="770" ht="15" customHeight="1" s="78">
      <c r="A770" s="122" t="n"/>
      <c r="B770" s="122" t="n"/>
      <c r="C770" s="128" t="n"/>
      <c r="D770" s="128" t="n"/>
      <c r="E770" s="120" t="n"/>
      <c r="F770" s="129" t="n"/>
      <c r="G770" s="120" t="n"/>
      <c r="H770" s="122" t="n"/>
      <c r="I770" s="122" t="n"/>
      <c r="J770" s="127">
        <f>IF($A770="","",IFERROR($D770-$C770,0))</f>
        <v/>
      </c>
      <c r="K770" s="121">
        <f>IF($A770="","",IF($H770="Evet",0,$G770))</f>
        <v/>
      </c>
    </row>
    <row r="771" ht="15" customHeight="1" s="78">
      <c r="A771" s="122" t="n"/>
      <c r="B771" s="122" t="n"/>
      <c r="C771" s="128" t="n"/>
      <c r="D771" s="128" t="n"/>
      <c r="E771" s="120" t="n"/>
      <c r="F771" s="129" t="n"/>
      <c r="G771" s="120" t="n"/>
      <c r="H771" s="122" t="n"/>
      <c r="I771" s="122" t="n"/>
      <c r="J771" s="127">
        <f>IF($A771="","",IFERROR($D771-$C771,0))</f>
        <v/>
      </c>
      <c r="K771" s="121">
        <f>IF($A771="","",IF($H771="Evet",0,$G771))</f>
        <v/>
      </c>
    </row>
    <row r="772" ht="15" customHeight="1" s="78">
      <c r="A772" s="122" t="n"/>
      <c r="B772" s="122" t="n"/>
      <c r="C772" s="128" t="n"/>
      <c r="D772" s="128" t="n"/>
      <c r="E772" s="120" t="n"/>
      <c r="F772" s="129" t="n"/>
      <c r="G772" s="120" t="n"/>
      <c r="H772" s="122" t="n"/>
      <c r="I772" s="122" t="n"/>
      <c r="J772" s="127">
        <f>IF($A772="","",IFERROR($D772-$C772,0))</f>
        <v/>
      </c>
      <c r="K772" s="121">
        <f>IF($A772="","",IF($H772="Evet",0,$G772))</f>
        <v/>
      </c>
    </row>
    <row r="773" ht="15" customHeight="1" s="78">
      <c r="A773" s="122" t="n"/>
      <c r="B773" s="122" t="n"/>
      <c r="C773" s="128" t="n"/>
      <c r="D773" s="128" t="n"/>
      <c r="E773" s="120" t="n"/>
      <c r="F773" s="129" t="n"/>
      <c r="G773" s="120" t="n"/>
      <c r="H773" s="122" t="n"/>
      <c r="I773" s="122" t="n"/>
      <c r="J773" s="127">
        <f>IF($A773="","",IFERROR($D773-$C773,0))</f>
        <v/>
      </c>
      <c r="K773" s="121">
        <f>IF($A773="","",IF($H773="Evet",0,$G773))</f>
        <v/>
      </c>
    </row>
    <row r="774" ht="15" customHeight="1" s="78">
      <c r="A774" s="122" t="n"/>
      <c r="B774" s="122" t="n"/>
      <c r="C774" s="128" t="n"/>
      <c r="D774" s="128" t="n"/>
      <c r="E774" s="120" t="n"/>
      <c r="F774" s="129" t="n"/>
      <c r="G774" s="120" t="n"/>
      <c r="H774" s="122" t="n"/>
      <c r="I774" s="122" t="n"/>
      <c r="J774" s="127">
        <f>IF($A774="","",IFERROR($D774-$C774,0))</f>
        <v/>
      </c>
      <c r="K774" s="121">
        <f>IF($A774="","",IF($H774="Evet",0,$G774))</f>
        <v/>
      </c>
    </row>
    <row r="775" ht="15" customHeight="1" s="78">
      <c r="A775" s="122" t="n"/>
      <c r="B775" s="122" t="n"/>
      <c r="C775" s="128" t="n"/>
      <c r="D775" s="128" t="n"/>
      <c r="E775" s="120" t="n"/>
      <c r="F775" s="129" t="n"/>
      <c r="G775" s="120" t="n"/>
      <c r="H775" s="122" t="n"/>
      <c r="I775" s="122" t="n"/>
      <c r="J775" s="127">
        <f>IF($A775="","",IFERROR($D775-$C775,0))</f>
        <v/>
      </c>
      <c r="K775" s="121">
        <f>IF($A775="","",IF($H775="Evet",0,$G775))</f>
        <v/>
      </c>
    </row>
    <row r="776" ht="15" customHeight="1" s="78">
      <c r="A776" s="122" t="n"/>
      <c r="B776" s="122" t="n"/>
      <c r="C776" s="128" t="n"/>
      <c r="D776" s="128" t="n"/>
      <c r="E776" s="120" t="n"/>
      <c r="F776" s="129" t="n"/>
      <c r="G776" s="120" t="n"/>
      <c r="H776" s="122" t="n"/>
      <c r="I776" s="122" t="n"/>
      <c r="J776" s="127">
        <f>IF($A776="","",IFERROR($D776-$C776,0))</f>
        <v/>
      </c>
      <c r="K776" s="121">
        <f>IF($A776="","",IF($H776="Evet",0,$G776))</f>
        <v/>
      </c>
    </row>
    <row r="777" ht="15" customHeight="1" s="78">
      <c r="A777" s="122" t="n"/>
      <c r="B777" s="122" t="n"/>
      <c r="C777" s="128" t="n"/>
      <c r="D777" s="128" t="n"/>
      <c r="E777" s="120" t="n"/>
      <c r="F777" s="129" t="n"/>
      <c r="G777" s="120" t="n"/>
      <c r="H777" s="122" t="n"/>
      <c r="I777" s="122" t="n"/>
      <c r="J777" s="127">
        <f>IF($A777="","",IFERROR($D777-$C777,0))</f>
        <v/>
      </c>
      <c r="K777" s="121">
        <f>IF($A777="","",IF($H777="Evet",0,$G777))</f>
        <v/>
      </c>
    </row>
    <row r="778" ht="15" customHeight="1" s="78">
      <c r="A778" s="122" t="n"/>
      <c r="B778" s="122" t="n"/>
      <c r="C778" s="128" t="n"/>
      <c r="D778" s="128" t="n"/>
      <c r="E778" s="120" t="n"/>
      <c r="F778" s="129" t="n"/>
      <c r="G778" s="120" t="n"/>
      <c r="H778" s="122" t="n"/>
      <c r="I778" s="122" t="n"/>
      <c r="J778" s="127">
        <f>IF($A778="","",IFERROR($D778-$C778,0))</f>
        <v/>
      </c>
      <c r="K778" s="121">
        <f>IF($A778="","",IF($H778="Evet",0,$G778))</f>
        <v/>
      </c>
    </row>
    <row r="779" ht="15" customHeight="1" s="78">
      <c r="A779" s="122" t="n"/>
      <c r="B779" s="122" t="n"/>
      <c r="C779" s="128" t="n"/>
      <c r="D779" s="128" t="n"/>
      <c r="E779" s="120" t="n"/>
      <c r="F779" s="129" t="n"/>
      <c r="G779" s="120" t="n"/>
      <c r="H779" s="122" t="n"/>
      <c r="I779" s="122" t="n"/>
      <c r="J779" s="127">
        <f>IF($A779="","",IFERROR($D779-$C779,0))</f>
        <v/>
      </c>
      <c r="K779" s="121">
        <f>IF($A779="","",IF($H779="Evet",0,$G779))</f>
        <v/>
      </c>
    </row>
    <row r="780" ht="15" customHeight="1" s="78">
      <c r="A780" s="122" t="n"/>
      <c r="B780" s="122" t="n"/>
      <c r="C780" s="128" t="n"/>
      <c r="D780" s="128" t="n"/>
      <c r="E780" s="120" t="n"/>
      <c r="F780" s="129" t="n"/>
      <c r="G780" s="120" t="n"/>
      <c r="H780" s="122" t="n"/>
      <c r="I780" s="122" t="n"/>
      <c r="J780" s="127">
        <f>IF($A780="","",IFERROR($D780-$C780,0))</f>
        <v/>
      </c>
      <c r="K780" s="121">
        <f>IF($A780="","",IF($H780="Evet",0,$G780))</f>
        <v/>
      </c>
    </row>
    <row r="781" ht="15" customHeight="1" s="78">
      <c r="A781" s="122" t="n"/>
      <c r="B781" s="122" t="n"/>
      <c r="C781" s="128" t="n"/>
      <c r="D781" s="128" t="n"/>
      <c r="E781" s="120" t="n"/>
      <c r="F781" s="129" t="n"/>
      <c r="G781" s="120" t="n"/>
      <c r="H781" s="122" t="n"/>
      <c r="I781" s="122" t="n"/>
      <c r="J781" s="127">
        <f>IF($A781="","",IFERROR($D781-$C781,0))</f>
        <v/>
      </c>
      <c r="K781" s="121">
        <f>IF($A781="","",IF($H781="Evet",0,$G781))</f>
        <v/>
      </c>
    </row>
    <row r="782" ht="15" customHeight="1" s="78">
      <c r="A782" s="122" t="n"/>
      <c r="B782" s="122" t="n"/>
      <c r="C782" s="128" t="n"/>
      <c r="D782" s="128" t="n"/>
      <c r="E782" s="120" t="n"/>
      <c r="F782" s="129" t="n"/>
      <c r="G782" s="120" t="n"/>
      <c r="H782" s="122" t="n"/>
      <c r="I782" s="122" t="n"/>
      <c r="J782" s="127">
        <f>IF($A782="","",IFERROR($D782-$C782,0))</f>
        <v/>
      </c>
      <c r="K782" s="121">
        <f>IF($A782="","",IF($H782="Evet",0,$G782))</f>
        <v/>
      </c>
    </row>
    <row r="783" ht="15" customHeight="1" s="78">
      <c r="A783" s="122" t="n"/>
      <c r="B783" s="122" t="n"/>
      <c r="C783" s="128" t="n"/>
      <c r="D783" s="128" t="n"/>
      <c r="E783" s="120" t="n"/>
      <c r="F783" s="129" t="n"/>
      <c r="G783" s="120" t="n"/>
      <c r="H783" s="122" t="n"/>
      <c r="I783" s="122" t="n"/>
      <c r="J783" s="127">
        <f>IF($A783="","",IFERROR($D783-$C783,0))</f>
        <v/>
      </c>
      <c r="K783" s="121">
        <f>IF($A783="","",IF($H783="Evet",0,$G783))</f>
        <v/>
      </c>
    </row>
    <row r="784" ht="15" customHeight="1" s="78">
      <c r="A784" s="122" t="n"/>
      <c r="B784" s="122" t="n"/>
      <c r="C784" s="128" t="n"/>
      <c r="D784" s="128" t="n"/>
      <c r="E784" s="120" t="n"/>
      <c r="F784" s="129" t="n"/>
      <c r="G784" s="120" t="n"/>
      <c r="H784" s="122" t="n"/>
      <c r="I784" s="122" t="n"/>
      <c r="J784" s="127">
        <f>IF($A784="","",IFERROR($D784-$C784,0))</f>
        <v/>
      </c>
      <c r="K784" s="121">
        <f>IF($A784="","",IF($H784="Evet",0,$G784))</f>
        <v/>
      </c>
    </row>
    <row r="785" ht="15" customHeight="1" s="78">
      <c r="A785" s="122" t="n"/>
      <c r="B785" s="122" t="n"/>
      <c r="C785" s="128" t="n"/>
      <c r="D785" s="128" t="n"/>
      <c r="E785" s="120" t="n"/>
      <c r="F785" s="129" t="n"/>
      <c r="G785" s="120" t="n"/>
      <c r="H785" s="122" t="n"/>
      <c r="I785" s="122" t="n"/>
      <c r="J785" s="127">
        <f>IF($A785="","",IFERROR($D785-$C785,0))</f>
        <v/>
      </c>
      <c r="K785" s="121">
        <f>IF($A785="","",IF($H785="Evet",0,$G785))</f>
        <v/>
      </c>
    </row>
    <row r="786" ht="15" customHeight="1" s="78">
      <c r="A786" s="122" t="n"/>
      <c r="B786" s="122" t="n"/>
      <c r="C786" s="128" t="n"/>
      <c r="D786" s="128" t="n"/>
      <c r="E786" s="120" t="n"/>
      <c r="F786" s="129" t="n"/>
      <c r="G786" s="120" t="n"/>
      <c r="H786" s="122" t="n"/>
      <c r="I786" s="122" t="n"/>
      <c r="J786" s="127">
        <f>IF($A786="","",IFERROR($D786-$C786,0))</f>
        <v/>
      </c>
      <c r="K786" s="121">
        <f>IF($A786="","",IF($H786="Evet",0,$G786))</f>
        <v/>
      </c>
    </row>
    <row r="787" ht="15" customHeight="1" s="78">
      <c r="A787" s="122" t="n"/>
      <c r="B787" s="122" t="n"/>
      <c r="C787" s="128" t="n"/>
      <c r="D787" s="128" t="n"/>
      <c r="E787" s="120" t="n"/>
      <c r="F787" s="129" t="n"/>
      <c r="G787" s="120" t="n"/>
      <c r="H787" s="122" t="n"/>
      <c r="I787" s="122" t="n"/>
      <c r="J787" s="127">
        <f>IF($A787="","",IFERROR($D787-$C787,0))</f>
        <v/>
      </c>
      <c r="K787" s="121">
        <f>IF($A787="","",IF($H787="Evet",0,$G787))</f>
        <v/>
      </c>
    </row>
    <row r="788" ht="15" customHeight="1" s="78">
      <c r="A788" s="122" t="n"/>
      <c r="B788" s="122" t="n"/>
      <c r="C788" s="128" t="n"/>
      <c r="D788" s="128" t="n"/>
      <c r="E788" s="120" t="n"/>
      <c r="F788" s="129" t="n"/>
      <c r="G788" s="120" t="n"/>
      <c r="H788" s="122" t="n"/>
      <c r="I788" s="122" t="n"/>
      <c r="J788" s="127">
        <f>IF($A788="","",IFERROR($D788-$C788,0))</f>
        <v/>
      </c>
      <c r="K788" s="121">
        <f>IF($A788="","",IF($H788="Evet",0,$G788))</f>
        <v/>
      </c>
    </row>
    <row r="789" ht="15" customHeight="1" s="78">
      <c r="A789" s="122" t="n"/>
      <c r="B789" s="122" t="n"/>
      <c r="C789" s="128" t="n"/>
      <c r="D789" s="128" t="n"/>
      <c r="E789" s="120" t="n"/>
      <c r="F789" s="129" t="n"/>
      <c r="G789" s="120" t="n"/>
      <c r="H789" s="122" t="n"/>
      <c r="I789" s="122" t="n"/>
      <c r="J789" s="127">
        <f>IF($A789="","",IFERROR($D789-$C789,0))</f>
        <v/>
      </c>
      <c r="K789" s="121">
        <f>IF($A789="","",IF($H789="Evet",0,$G789))</f>
        <v/>
      </c>
    </row>
    <row r="790" ht="15" customHeight="1" s="78">
      <c r="A790" s="122" t="n"/>
      <c r="B790" s="122" t="n"/>
      <c r="C790" s="128" t="n"/>
      <c r="D790" s="128" t="n"/>
      <c r="E790" s="120" t="n"/>
      <c r="F790" s="129" t="n"/>
      <c r="G790" s="120" t="n"/>
      <c r="H790" s="122" t="n"/>
      <c r="I790" s="122" t="n"/>
      <c r="J790" s="127">
        <f>IF($A790="","",IFERROR($D790-$C790,0))</f>
        <v/>
      </c>
      <c r="K790" s="121">
        <f>IF($A790="","",IF($H790="Evet",0,$G790))</f>
        <v/>
      </c>
    </row>
    <row r="791" ht="15" customHeight="1" s="78">
      <c r="A791" s="122" t="n"/>
      <c r="B791" s="122" t="n"/>
      <c r="C791" s="128" t="n"/>
      <c r="D791" s="128" t="n"/>
      <c r="E791" s="120" t="n"/>
      <c r="F791" s="129" t="n"/>
      <c r="G791" s="120" t="n"/>
      <c r="H791" s="122" t="n"/>
      <c r="I791" s="122" t="n"/>
      <c r="J791" s="127">
        <f>IF($A791="","",IFERROR($D791-$C791,0))</f>
        <v/>
      </c>
      <c r="K791" s="121">
        <f>IF($A791="","",IF($H791="Evet",0,$G791))</f>
        <v/>
      </c>
    </row>
    <row r="792" ht="15" customHeight="1" s="78">
      <c r="A792" s="122" t="n"/>
      <c r="B792" s="122" t="n"/>
      <c r="C792" s="128" t="n"/>
      <c r="D792" s="128" t="n"/>
      <c r="E792" s="120" t="n"/>
      <c r="F792" s="129" t="n"/>
      <c r="G792" s="120" t="n"/>
      <c r="H792" s="122" t="n"/>
      <c r="I792" s="122" t="n"/>
      <c r="J792" s="127">
        <f>IF($A792="","",IFERROR($D792-$C792,0))</f>
        <v/>
      </c>
      <c r="K792" s="121">
        <f>IF($A792="","",IF($H792="Evet",0,$G792))</f>
        <v/>
      </c>
    </row>
    <row r="793" ht="15" customHeight="1" s="78">
      <c r="A793" s="122" t="n"/>
      <c r="B793" s="122" t="n"/>
      <c r="C793" s="128" t="n"/>
      <c r="D793" s="128" t="n"/>
      <c r="E793" s="120" t="n"/>
      <c r="F793" s="129" t="n"/>
      <c r="G793" s="120" t="n"/>
      <c r="H793" s="122" t="n"/>
      <c r="I793" s="122" t="n"/>
      <c r="J793" s="127">
        <f>IF($A793="","",IFERROR($D793-$C793,0))</f>
        <v/>
      </c>
      <c r="K793" s="121">
        <f>IF($A793="","",IF($H793="Evet",0,$G793))</f>
        <v/>
      </c>
    </row>
    <row r="794" ht="15" customHeight="1" s="78">
      <c r="A794" s="122" t="n"/>
      <c r="B794" s="122" t="n"/>
      <c r="C794" s="128" t="n"/>
      <c r="D794" s="128" t="n"/>
      <c r="E794" s="120" t="n"/>
      <c r="F794" s="129" t="n"/>
      <c r="G794" s="120" t="n"/>
      <c r="H794" s="122" t="n"/>
      <c r="I794" s="122" t="n"/>
      <c r="J794" s="127">
        <f>IF($A794="","",IFERROR($D794-$C794,0))</f>
        <v/>
      </c>
      <c r="K794" s="121">
        <f>IF($A794="","",IF($H794="Evet",0,$G794))</f>
        <v/>
      </c>
    </row>
    <row r="795" ht="15" customHeight="1" s="78">
      <c r="A795" s="122" t="n"/>
      <c r="B795" s="122" t="n"/>
      <c r="C795" s="128" t="n"/>
      <c r="D795" s="128" t="n"/>
      <c r="E795" s="120" t="n"/>
      <c r="F795" s="129" t="n"/>
      <c r="G795" s="120" t="n"/>
      <c r="H795" s="122" t="n"/>
      <c r="I795" s="122" t="n"/>
      <c r="J795" s="127">
        <f>IF($A795="","",IFERROR($D795-$C795,0))</f>
        <v/>
      </c>
      <c r="K795" s="121">
        <f>IF($A795="","",IF($H795="Evet",0,$G795))</f>
        <v/>
      </c>
    </row>
    <row r="796" ht="15" customHeight="1" s="78">
      <c r="A796" s="122" t="n"/>
      <c r="B796" s="122" t="n"/>
      <c r="C796" s="128" t="n"/>
      <c r="D796" s="128" t="n"/>
      <c r="E796" s="120" t="n"/>
      <c r="F796" s="129" t="n"/>
      <c r="G796" s="120" t="n"/>
      <c r="H796" s="122" t="n"/>
      <c r="I796" s="122" t="n"/>
      <c r="J796" s="127">
        <f>IF($A796="","",IFERROR($D796-$C796,0))</f>
        <v/>
      </c>
      <c r="K796" s="121">
        <f>IF($A796="","",IF($H796="Evet",0,$G796))</f>
        <v/>
      </c>
    </row>
    <row r="797" ht="15" customHeight="1" s="78">
      <c r="A797" s="122" t="n"/>
      <c r="B797" s="122" t="n"/>
      <c r="C797" s="128" t="n"/>
      <c r="D797" s="128" t="n"/>
      <c r="E797" s="120" t="n"/>
      <c r="F797" s="129" t="n"/>
      <c r="G797" s="120" t="n"/>
      <c r="H797" s="122" t="n"/>
      <c r="I797" s="122" t="n"/>
      <c r="J797" s="127">
        <f>IF($A797="","",IFERROR($D797-$C797,0))</f>
        <v/>
      </c>
      <c r="K797" s="121">
        <f>IF($A797="","",IF($H797="Evet",0,$G797))</f>
        <v/>
      </c>
    </row>
    <row r="798" ht="15" customHeight="1" s="78">
      <c r="A798" s="122" t="n"/>
      <c r="B798" s="122" t="n"/>
      <c r="C798" s="128" t="n"/>
      <c r="D798" s="128" t="n"/>
      <c r="E798" s="120" t="n"/>
      <c r="F798" s="129" t="n"/>
      <c r="G798" s="120" t="n"/>
      <c r="H798" s="122" t="n"/>
      <c r="I798" s="122" t="n"/>
      <c r="J798" s="127">
        <f>IF($A798="","",IFERROR($D798-$C798,0))</f>
        <v/>
      </c>
      <c r="K798" s="121">
        <f>IF($A798="","",IF($H798="Evet",0,$G798))</f>
        <v/>
      </c>
    </row>
    <row r="799" ht="15" customHeight="1" s="78">
      <c r="A799" s="122" t="n"/>
      <c r="B799" s="122" t="n"/>
      <c r="C799" s="128" t="n"/>
      <c r="D799" s="128" t="n"/>
      <c r="E799" s="120" t="n"/>
      <c r="F799" s="129" t="n"/>
      <c r="G799" s="120" t="n"/>
      <c r="H799" s="122" t="n"/>
      <c r="I799" s="122" t="n"/>
      <c r="J799" s="127">
        <f>IF($A799="","",IFERROR($D799-$C799,0))</f>
        <v/>
      </c>
      <c r="K799" s="121">
        <f>IF($A799="","",IF($H799="Evet",0,$G799))</f>
        <v/>
      </c>
    </row>
    <row r="800" ht="15" customHeight="1" s="78">
      <c r="A800" s="122" t="n"/>
      <c r="B800" s="122" t="n"/>
      <c r="C800" s="128" t="n"/>
      <c r="D800" s="128" t="n"/>
      <c r="E800" s="120" t="n"/>
      <c r="F800" s="129" t="n"/>
      <c r="G800" s="120" t="n"/>
      <c r="H800" s="122" t="n"/>
      <c r="I800" s="122" t="n"/>
      <c r="J800" s="127">
        <f>IF($A800="","",IFERROR($D800-$C800,0))</f>
        <v/>
      </c>
      <c r="K800" s="121">
        <f>IF($A800="","",IF($H800="Evet",0,$G800))</f>
        <v/>
      </c>
    </row>
    <row r="801" ht="15" customHeight="1" s="78">
      <c r="A801" s="122" t="n"/>
      <c r="B801" s="122" t="n"/>
      <c r="C801" s="128" t="n"/>
      <c r="D801" s="128" t="n"/>
      <c r="E801" s="120" t="n"/>
      <c r="F801" s="129" t="n"/>
      <c r="G801" s="120" t="n"/>
      <c r="H801" s="122" t="n"/>
      <c r="I801" s="122" t="n"/>
      <c r="J801" s="127">
        <f>IF($A801="","",IFERROR($D801-$C801,0))</f>
        <v/>
      </c>
      <c r="K801" s="121">
        <f>IF($A801="","",IF($H801="Evet",0,$G801))</f>
        <v/>
      </c>
    </row>
    <row r="802" ht="15" customHeight="1" s="78">
      <c r="A802" s="122" t="n"/>
      <c r="B802" s="122" t="n"/>
      <c r="C802" s="128" t="n"/>
      <c r="D802" s="128" t="n"/>
      <c r="E802" s="120" t="n"/>
      <c r="F802" s="129" t="n"/>
      <c r="G802" s="120" t="n"/>
      <c r="H802" s="122" t="n"/>
      <c r="I802" s="122" t="n"/>
      <c r="J802" s="127">
        <f>IF($A802="","",IFERROR($D802-$C802,0))</f>
        <v/>
      </c>
      <c r="K802" s="121">
        <f>IF($A802="","",IF($H802="Evet",0,$G802))</f>
        <v/>
      </c>
    </row>
    <row r="803" ht="15" customHeight="1" s="78">
      <c r="A803" s="122" t="n"/>
      <c r="B803" s="122" t="n"/>
      <c r="C803" s="128" t="n"/>
      <c r="D803" s="128" t="n"/>
      <c r="E803" s="120" t="n"/>
      <c r="F803" s="129" t="n"/>
      <c r="G803" s="120" t="n"/>
      <c r="H803" s="122" t="n"/>
      <c r="I803" s="122" t="n"/>
      <c r="J803" s="127">
        <f>IF($A803="","",IFERROR($D803-$C803,0))</f>
        <v/>
      </c>
      <c r="K803" s="121">
        <f>IF($A803="","",IF($H803="Evet",0,$G803))</f>
        <v/>
      </c>
    </row>
    <row r="804" ht="15" customHeight="1" s="78">
      <c r="A804" s="122" t="n"/>
      <c r="B804" s="122" t="n"/>
      <c r="C804" s="128" t="n"/>
      <c r="D804" s="128" t="n"/>
      <c r="E804" s="120" t="n"/>
      <c r="F804" s="129" t="n"/>
      <c r="G804" s="120" t="n"/>
      <c r="H804" s="122" t="n"/>
      <c r="I804" s="122" t="n"/>
      <c r="J804" s="127">
        <f>IF($A804="","",IFERROR($D804-$C804,0))</f>
        <v/>
      </c>
      <c r="K804" s="121">
        <f>IF($A804="","",IF($H804="Evet",0,$G804))</f>
        <v/>
      </c>
    </row>
    <row r="805" ht="15" customHeight="1" s="78">
      <c r="A805" s="122" t="n"/>
      <c r="B805" s="122" t="n"/>
      <c r="C805" s="128" t="n"/>
      <c r="D805" s="128" t="n"/>
      <c r="E805" s="120" t="n"/>
      <c r="F805" s="129" t="n"/>
      <c r="G805" s="120" t="n"/>
      <c r="H805" s="122" t="n"/>
      <c r="I805" s="122" t="n"/>
      <c r="J805" s="127">
        <f>IF($A805="","",IFERROR($D805-$C805,0))</f>
        <v/>
      </c>
      <c r="K805" s="121">
        <f>IF($A805="","",IF($H805="Evet",0,$G805))</f>
        <v/>
      </c>
    </row>
    <row r="806" ht="15" customHeight="1" s="78">
      <c r="A806" s="122" t="n"/>
      <c r="B806" s="122" t="n"/>
      <c r="C806" s="128" t="n"/>
      <c r="D806" s="128" t="n"/>
      <c r="E806" s="120" t="n"/>
      <c r="F806" s="129" t="n"/>
      <c r="G806" s="120" t="n"/>
      <c r="H806" s="122" t="n"/>
      <c r="I806" s="122" t="n"/>
      <c r="J806" s="127">
        <f>IF($A806="","",IFERROR($D806-$C806,0))</f>
        <v/>
      </c>
      <c r="K806" s="121">
        <f>IF($A806="","",IF($H806="Evet",0,$G806))</f>
        <v/>
      </c>
    </row>
    <row r="807" ht="15" customHeight="1" s="78">
      <c r="A807" s="122" t="n"/>
      <c r="B807" s="122" t="n"/>
      <c r="C807" s="128" t="n"/>
      <c r="D807" s="128" t="n"/>
      <c r="E807" s="120" t="n"/>
      <c r="F807" s="129" t="n"/>
      <c r="G807" s="120" t="n"/>
      <c r="H807" s="122" t="n"/>
      <c r="I807" s="122" t="n"/>
      <c r="J807" s="127">
        <f>IF($A807="","",IFERROR($D807-$C807,0))</f>
        <v/>
      </c>
      <c r="K807" s="121">
        <f>IF($A807="","",IF($H807="Evet",0,$G807))</f>
        <v/>
      </c>
    </row>
    <row r="808" ht="15" customHeight="1" s="78">
      <c r="A808" s="122" t="n"/>
      <c r="B808" s="122" t="n"/>
      <c r="C808" s="128" t="n"/>
      <c r="D808" s="128" t="n"/>
      <c r="E808" s="120" t="n"/>
      <c r="F808" s="129" t="n"/>
      <c r="G808" s="120" t="n"/>
      <c r="H808" s="122" t="n"/>
      <c r="I808" s="122" t="n"/>
      <c r="J808" s="127">
        <f>IF($A808="","",IFERROR($D808-$C808,0))</f>
        <v/>
      </c>
      <c r="K808" s="121">
        <f>IF($A808="","",IF($H808="Evet",0,$G808))</f>
        <v/>
      </c>
    </row>
    <row r="809" ht="15" customHeight="1" s="78">
      <c r="A809" s="122" t="n"/>
      <c r="B809" s="122" t="n"/>
      <c r="C809" s="128" t="n"/>
      <c r="D809" s="128" t="n"/>
      <c r="E809" s="120" t="n"/>
      <c r="F809" s="129" t="n"/>
      <c r="G809" s="120" t="n"/>
      <c r="H809" s="122" t="n"/>
      <c r="I809" s="122" t="n"/>
      <c r="J809" s="127">
        <f>IF($A809="","",IFERROR($D809-$C809,0))</f>
        <v/>
      </c>
      <c r="K809" s="121">
        <f>IF($A809="","",IF($H809="Evet",0,$G809))</f>
        <v/>
      </c>
    </row>
    <row r="810" ht="15" customHeight="1" s="78">
      <c r="A810" s="122" t="n"/>
      <c r="B810" s="122" t="n"/>
      <c r="C810" s="128" t="n"/>
      <c r="D810" s="128" t="n"/>
      <c r="E810" s="120" t="n"/>
      <c r="F810" s="129" t="n"/>
      <c r="G810" s="120" t="n"/>
      <c r="H810" s="122" t="n"/>
      <c r="I810" s="122" t="n"/>
      <c r="J810" s="127">
        <f>IF($A810="","",IFERROR($D810-$C810,0))</f>
        <v/>
      </c>
      <c r="K810" s="121">
        <f>IF($A810="","",IF($H810="Evet",0,$G810))</f>
        <v/>
      </c>
    </row>
    <row r="811" ht="15" customHeight="1" s="78">
      <c r="A811" s="122" t="n"/>
      <c r="B811" s="122" t="n"/>
      <c r="C811" s="128" t="n"/>
      <c r="D811" s="128" t="n"/>
      <c r="E811" s="120" t="n"/>
      <c r="F811" s="129" t="n"/>
      <c r="G811" s="120" t="n"/>
      <c r="H811" s="122" t="n"/>
      <c r="I811" s="122" t="n"/>
      <c r="J811" s="127">
        <f>IF($A811="","",IFERROR($D811-$C811,0))</f>
        <v/>
      </c>
      <c r="K811" s="121">
        <f>IF($A811="","",IF($H811="Evet",0,$G811))</f>
        <v/>
      </c>
    </row>
    <row r="812" ht="15" customHeight="1" s="78">
      <c r="A812" s="122" t="n"/>
      <c r="B812" s="122" t="n"/>
      <c r="C812" s="128" t="n"/>
      <c r="D812" s="128" t="n"/>
      <c r="E812" s="120" t="n"/>
      <c r="F812" s="129" t="n"/>
      <c r="G812" s="120" t="n"/>
      <c r="H812" s="122" t="n"/>
      <c r="I812" s="122" t="n"/>
      <c r="J812" s="127">
        <f>IF($A812="","",IFERROR($D812-$C812,0))</f>
        <v/>
      </c>
      <c r="K812" s="121">
        <f>IF($A812="","",IF($H812="Evet",0,$G812))</f>
        <v/>
      </c>
    </row>
    <row r="813" ht="15" customHeight="1" s="78">
      <c r="A813" s="122" t="n"/>
      <c r="B813" s="122" t="n"/>
      <c r="C813" s="128" t="n"/>
      <c r="D813" s="128" t="n"/>
      <c r="E813" s="120" t="n"/>
      <c r="F813" s="129" t="n"/>
      <c r="G813" s="120" t="n"/>
      <c r="H813" s="122" t="n"/>
      <c r="I813" s="122" t="n"/>
      <c r="J813" s="127">
        <f>IF($A813="","",IFERROR($D813-$C813,0))</f>
        <v/>
      </c>
      <c r="K813" s="121">
        <f>IF($A813="","",IF($H813="Evet",0,$G813))</f>
        <v/>
      </c>
    </row>
    <row r="814" ht="15" customHeight="1" s="78">
      <c r="A814" s="122" t="n"/>
      <c r="B814" s="122" t="n"/>
      <c r="C814" s="128" t="n"/>
      <c r="D814" s="128" t="n"/>
      <c r="E814" s="120" t="n"/>
      <c r="F814" s="129" t="n"/>
      <c r="G814" s="120" t="n"/>
      <c r="H814" s="122" t="n"/>
      <c r="I814" s="122" t="n"/>
      <c r="J814" s="127">
        <f>IF($A814="","",IFERROR($D814-$C814,0))</f>
        <v/>
      </c>
      <c r="K814" s="121">
        <f>IF($A814="","",IF($H814="Evet",0,$G814))</f>
        <v/>
      </c>
    </row>
    <row r="815" ht="15" customHeight="1" s="78">
      <c r="A815" s="122" t="n"/>
      <c r="B815" s="122" t="n"/>
      <c r="C815" s="128" t="n"/>
      <c r="D815" s="128" t="n"/>
      <c r="E815" s="120" t="n"/>
      <c r="F815" s="129" t="n"/>
      <c r="G815" s="120" t="n"/>
      <c r="H815" s="122" t="n"/>
      <c r="I815" s="122" t="n"/>
      <c r="J815" s="127">
        <f>IF($A815="","",IFERROR($D815-$C815,0))</f>
        <v/>
      </c>
      <c r="K815" s="121">
        <f>IF($A815="","",IF($H815="Evet",0,$G815))</f>
        <v/>
      </c>
    </row>
    <row r="816" ht="15" customHeight="1" s="78">
      <c r="A816" s="122" t="n"/>
      <c r="B816" s="122" t="n"/>
      <c r="C816" s="128" t="n"/>
      <c r="D816" s="128" t="n"/>
      <c r="E816" s="120" t="n"/>
      <c r="F816" s="129" t="n"/>
      <c r="G816" s="120" t="n"/>
      <c r="H816" s="122" t="n"/>
      <c r="I816" s="122" t="n"/>
      <c r="J816" s="127">
        <f>IF($A816="","",IFERROR($D816-$C816,0))</f>
        <v/>
      </c>
      <c r="K816" s="121">
        <f>IF($A816="","",IF($H816="Evet",0,$G816))</f>
        <v/>
      </c>
    </row>
    <row r="817" ht="15" customHeight="1" s="78">
      <c r="A817" s="122" t="n"/>
      <c r="B817" s="122" t="n"/>
      <c r="C817" s="128" t="n"/>
      <c r="D817" s="128" t="n"/>
      <c r="E817" s="120" t="n"/>
      <c r="F817" s="129" t="n"/>
      <c r="G817" s="120" t="n"/>
      <c r="H817" s="122" t="n"/>
      <c r="I817" s="122" t="n"/>
      <c r="J817" s="127">
        <f>IF($A817="","",IFERROR($D817-$C817,0))</f>
        <v/>
      </c>
      <c r="K817" s="121">
        <f>IF($A817="","",IF($H817="Evet",0,$G817))</f>
        <v/>
      </c>
    </row>
    <row r="818" ht="15" customHeight="1" s="78">
      <c r="A818" s="122" t="n"/>
      <c r="B818" s="122" t="n"/>
      <c r="C818" s="128" t="n"/>
      <c r="D818" s="128" t="n"/>
      <c r="E818" s="120" t="n"/>
      <c r="F818" s="129" t="n"/>
      <c r="G818" s="120" t="n"/>
      <c r="H818" s="122" t="n"/>
      <c r="I818" s="122" t="n"/>
      <c r="J818" s="127">
        <f>IF($A818="","",IFERROR($D818-$C818,0))</f>
        <v/>
      </c>
      <c r="K818" s="121">
        <f>IF($A818="","",IF($H818="Evet",0,$G818))</f>
        <v/>
      </c>
    </row>
    <row r="819" ht="15" customHeight="1" s="78">
      <c r="A819" s="122" t="n"/>
      <c r="B819" s="122" t="n"/>
      <c r="C819" s="128" t="n"/>
      <c r="D819" s="128" t="n"/>
      <c r="E819" s="120" t="n"/>
      <c r="F819" s="129" t="n"/>
      <c r="G819" s="120" t="n"/>
      <c r="H819" s="122" t="n"/>
      <c r="I819" s="122" t="n"/>
      <c r="J819" s="127">
        <f>IF($A819="","",IFERROR($D819-$C819,0))</f>
        <v/>
      </c>
      <c r="K819" s="121">
        <f>IF($A819="","",IF($H819="Evet",0,$G819))</f>
        <v/>
      </c>
    </row>
    <row r="820" ht="15" customHeight="1" s="78">
      <c r="A820" s="122" t="n"/>
      <c r="B820" s="122" t="n"/>
      <c r="C820" s="128" t="n"/>
      <c r="D820" s="128" t="n"/>
      <c r="E820" s="120" t="n"/>
      <c r="F820" s="129" t="n"/>
      <c r="G820" s="120" t="n"/>
      <c r="H820" s="122" t="n"/>
      <c r="I820" s="122" t="n"/>
      <c r="J820" s="127">
        <f>IF($A820="","",IFERROR($D820-$C820,0))</f>
        <v/>
      </c>
      <c r="K820" s="121">
        <f>IF($A820="","",IF($H820="Evet",0,$G820))</f>
        <v/>
      </c>
    </row>
    <row r="821" ht="15" customHeight="1" s="78">
      <c r="A821" s="122" t="n"/>
      <c r="B821" s="122" t="n"/>
      <c r="C821" s="128" t="n"/>
      <c r="D821" s="128" t="n"/>
      <c r="E821" s="120" t="n"/>
      <c r="F821" s="129" t="n"/>
      <c r="G821" s="120" t="n"/>
      <c r="H821" s="122" t="n"/>
      <c r="I821" s="122" t="n"/>
      <c r="J821" s="127">
        <f>IF($A821="","",IFERROR($D821-$C821,0))</f>
        <v/>
      </c>
      <c r="K821" s="121">
        <f>IF($A821="","",IF($H821="Evet",0,$G821))</f>
        <v/>
      </c>
    </row>
    <row r="822" ht="15" customHeight="1" s="78">
      <c r="A822" s="122" t="n"/>
      <c r="B822" s="122" t="n"/>
      <c r="C822" s="128" t="n"/>
      <c r="D822" s="128" t="n"/>
      <c r="E822" s="120" t="n"/>
      <c r="F822" s="129" t="n"/>
      <c r="G822" s="120" t="n"/>
      <c r="H822" s="122" t="n"/>
      <c r="I822" s="122" t="n"/>
      <c r="J822" s="127">
        <f>IF($A822="","",IFERROR($D822-$C822,0))</f>
        <v/>
      </c>
      <c r="K822" s="121">
        <f>IF($A822="","",IF($H822="Evet",0,$G822))</f>
        <v/>
      </c>
    </row>
    <row r="823" ht="15" customHeight="1" s="78">
      <c r="A823" s="122" t="n"/>
      <c r="B823" s="122" t="n"/>
      <c r="C823" s="128" t="n"/>
      <c r="D823" s="128" t="n"/>
      <c r="E823" s="120" t="n"/>
      <c r="F823" s="129" t="n"/>
      <c r="G823" s="120" t="n"/>
      <c r="H823" s="122" t="n"/>
      <c r="I823" s="122" t="n"/>
      <c r="J823" s="127">
        <f>IF($A823="","",IFERROR($D823-$C823,0))</f>
        <v/>
      </c>
      <c r="K823" s="121">
        <f>IF($A823="","",IF($H823="Evet",0,$G823))</f>
        <v/>
      </c>
    </row>
    <row r="824" ht="15" customHeight="1" s="78">
      <c r="A824" s="122" t="n"/>
      <c r="B824" s="122" t="n"/>
      <c r="C824" s="128" t="n"/>
      <c r="D824" s="128" t="n"/>
      <c r="E824" s="120" t="n"/>
      <c r="F824" s="129" t="n"/>
      <c r="G824" s="120" t="n"/>
      <c r="H824" s="122" t="n"/>
      <c r="I824" s="122" t="n"/>
      <c r="J824" s="127">
        <f>IF($A824="","",IFERROR($D824-$C824,0))</f>
        <v/>
      </c>
      <c r="K824" s="121">
        <f>IF($A824="","",IF($H824="Evet",0,$G824))</f>
        <v/>
      </c>
    </row>
    <row r="825" ht="15" customHeight="1" s="78">
      <c r="A825" s="122" t="n"/>
      <c r="B825" s="122" t="n"/>
      <c r="C825" s="128" t="n"/>
      <c r="D825" s="128" t="n"/>
      <c r="E825" s="120" t="n"/>
      <c r="F825" s="129" t="n"/>
      <c r="G825" s="120" t="n"/>
      <c r="H825" s="122" t="n"/>
      <c r="I825" s="122" t="n"/>
      <c r="J825" s="127">
        <f>IF($A825="","",IFERROR($D825-$C825,0))</f>
        <v/>
      </c>
      <c r="K825" s="121">
        <f>IF($A825="","",IF($H825="Evet",0,$G825))</f>
        <v/>
      </c>
    </row>
    <row r="826" ht="15" customHeight="1" s="78">
      <c r="A826" s="122" t="n"/>
      <c r="B826" s="122" t="n"/>
      <c r="C826" s="128" t="n"/>
      <c r="D826" s="128" t="n"/>
      <c r="E826" s="120" t="n"/>
      <c r="F826" s="129" t="n"/>
      <c r="G826" s="120" t="n"/>
      <c r="H826" s="122" t="n"/>
      <c r="I826" s="122" t="n"/>
      <c r="J826" s="127">
        <f>IF($A826="","",IFERROR($D826-$C826,0))</f>
        <v/>
      </c>
      <c r="K826" s="121">
        <f>IF($A826="","",IF($H826="Evet",0,$G826))</f>
        <v/>
      </c>
    </row>
    <row r="827" ht="15" customHeight="1" s="78">
      <c r="A827" s="122" t="n"/>
      <c r="B827" s="122" t="n"/>
      <c r="C827" s="128" t="n"/>
      <c r="D827" s="128" t="n"/>
      <c r="E827" s="120" t="n"/>
      <c r="F827" s="129" t="n"/>
      <c r="G827" s="120" t="n"/>
      <c r="H827" s="122" t="n"/>
      <c r="I827" s="122" t="n"/>
      <c r="J827" s="127">
        <f>IF($A827="","",IFERROR($D827-$C827,0))</f>
        <v/>
      </c>
      <c r="K827" s="121">
        <f>IF($A827="","",IF($H827="Evet",0,$G827))</f>
        <v/>
      </c>
    </row>
    <row r="828" ht="15" customHeight="1" s="78">
      <c r="A828" s="122" t="n"/>
      <c r="B828" s="122" t="n"/>
      <c r="C828" s="128" t="n"/>
      <c r="D828" s="128" t="n"/>
      <c r="E828" s="120" t="n"/>
      <c r="F828" s="129" t="n"/>
      <c r="G828" s="120" t="n"/>
      <c r="H828" s="122" t="n"/>
      <c r="I828" s="122" t="n"/>
      <c r="J828" s="127">
        <f>IF($A828="","",IFERROR($D828-$C828,0))</f>
        <v/>
      </c>
      <c r="K828" s="121">
        <f>IF($A828="","",IF($H828="Evet",0,$G828))</f>
        <v/>
      </c>
    </row>
    <row r="829" ht="15" customHeight="1" s="78">
      <c r="A829" s="122" t="n"/>
      <c r="B829" s="122" t="n"/>
      <c r="C829" s="128" t="n"/>
      <c r="D829" s="128" t="n"/>
      <c r="E829" s="120" t="n"/>
      <c r="F829" s="129" t="n"/>
      <c r="G829" s="120" t="n"/>
      <c r="H829" s="122" t="n"/>
      <c r="I829" s="122" t="n"/>
      <c r="J829" s="127">
        <f>IF($A829="","",IFERROR($D829-$C829,0))</f>
        <v/>
      </c>
      <c r="K829" s="121">
        <f>IF($A829="","",IF($H829="Evet",0,$G829))</f>
        <v/>
      </c>
    </row>
    <row r="830" ht="15" customHeight="1" s="78">
      <c r="A830" s="122" t="n"/>
      <c r="B830" s="122" t="n"/>
      <c r="C830" s="128" t="n"/>
      <c r="D830" s="128" t="n"/>
      <c r="E830" s="120" t="n"/>
      <c r="F830" s="129" t="n"/>
      <c r="G830" s="120" t="n"/>
      <c r="H830" s="122" t="n"/>
      <c r="I830" s="122" t="n"/>
      <c r="J830" s="127">
        <f>IF($A830="","",IFERROR($D830-$C830,0))</f>
        <v/>
      </c>
      <c r="K830" s="121">
        <f>IF($A830="","",IF($H830="Evet",0,$G830))</f>
        <v/>
      </c>
    </row>
    <row r="831" ht="15" customHeight="1" s="78">
      <c r="A831" s="122" t="n"/>
      <c r="B831" s="122" t="n"/>
      <c r="C831" s="128" t="n"/>
      <c r="D831" s="128" t="n"/>
      <c r="E831" s="120" t="n"/>
      <c r="F831" s="129" t="n"/>
      <c r="G831" s="120" t="n"/>
      <c r="H831" s="122" t="n"/>
      <c r="I831" s="122" t="n"/>
      <c r="J831" s="127">
        <f>IF($A831="","",IFERROR($D831-$C831,0))</f>
        <v/>
      </c>
      <c r="K831" s="121">
        <f>IF($A831="","",IF($H831="Evet",0,$G831))</f>
        <v/>
      </c>
    </row>
    <row r="832" ht="15" customHeight="1" s="78">
      <c r="A832" s="122" t="n"/>
      <c r="B832" s="122" t="n"/>
      <c r="C832" s="128" t="n"/>
      <c r="D832" s="128" t="n"/>
      <c r="E832" s="120" t="n"/>
      <c r="F832" s="129" t="n"/>
      <c r="G832" s="120" t="n"/>
      <c r="H832" s="122" t="n"/>
      <c r="I832" s="122" t="n"/>
      <c r="J832" s="127">
        <f>IF($A832="","",IFERROR($D832-$C832,0))</f>
        <v/>
      </c>
      <c r="K832" s="121">
        <f>IF($A832="","",IF($H832="Evet",0,$G832))</f>
        <v/>
      </c>
    </row>
    <row r="833" ht="15" customHeight="1" s="78">
      <c r="A833" s="122" t="n"/>
      <c r="B833" s="122" t="n"/>
      <c r="C833" s="128" t="n"/>
      <c r="D833" s="128" t="n"/>
      <c r="E833" s="120" t="n"/>
      <c r="F833" s="129" t="n"/>
      <c r="G833" s="120" t="n"/>
      <c r="H833" s="122" t="n"/>
      <c r="I833" s="122" t="n"/>
      <c r="J833" s="127">
        <f>IF($A833="","",IFERROR($D833-$C833,0))</f>
        <v/>
      </c>
      <c r="K833" s="121">
        <f>IF($A833="","",IF($H833="Evet",0,$G833))</f>
        <v/>
      </c>
    </row>
    <row r="834" ht="15" customHeight="1" s="78">
      <c r="A834" s="122" t="n"/>
      <c r="B834" s="122" t="n"/>
      <c r="C834" s="128" t="n"/>
      <c r="D834" s="128" t="n"/>
      <c r="E834" s="120" t="n"/>
      <c r="F834" s="129" t="n"/>
      <c r="G834" s="120" t="n"/>
      <c r="H834" s="122" t="n"/>
      <c r="I834" s="122" t="n"/>
      <c r="J834" s="127">
        <f>IF($A834="","",IFERROR($D834-$C834,0))</f>
        <v/>
      </c>
      <c r="K834" s="121">
        <f>IF($A834="","",IF($H834="Evet",0,$G834))</f>
        <v/>
      </c>
    </row>
    <row r="835" ht="15" customHeight="1" s="78">
      <c r="A835" s="122" t="n"/>
      <c r="B835" s="122" t="n"/>
      <c r="C835" s="128" t="n"/>
      <c r="D835" s="128" t="n"/>
      <c r="E835" s="120" t="n"/>
      <c r="F835" s="129" t="n"/>
      <c r="G835" s="120" t="n"/>
      <c r="H835" s="122" t="n"/>
      <c r="I835" s="122" t="n"/>
      <c r="J835" s="127">
        <f>IF($A835="","",IFERROR($D835-$C835,0))</f>
        <v/>
      </c>
      <c r="K835" s="121">
        <f>IF($A835="","",IF($H835="Evet",0,$G835))</f>
        <v/>
      </c>
    </row>
    <row r="836" ht="15" customHeight="1" s="78">
      <c r="A836" s="122" t="n"/>
      <c r="B836" s="122" t="n"/>
      <c r="C836" s="128" t="n"/>
      <c r="D836" s="128" t="n"/>
      <c r="E836" s="120" t="n"/>
      <c r="F836" s="129" t="n"/>
      <c r="G836" s="120" t="n"/>
      <c r="H836" s="122" t="n"/>
      <c r="I836" s="122" t="n"/>
      <c r="J836" s="127">
        <f>IF($A836="","",IFERROR($D836-$C836,0))</f>
        <v/>
      </c>
      <c r="K836" s="121">
        <f>IF($A836="","",IF($H836="Evet",0,$G836))</f>
        <v/>
      </c>
    </row>
    <row r="837" ht="15" customHeight="1" s="78">
      <c r="A837" s="122" t="n"/>
      <c r="B837" s="122" t="n"/>
      <c r="C837" s="128" t="n"/>
      <c r="D837" s="128" t="n"/>
      <c r="E837" s="120" t="n"/>
      <c r="F837" s="129" t="n"/>
      <c r="G837" s="120" t="n"/>
      <c r="H837" s="122" t="n"/>
      <c r="I837" s="122" t="n"/>
      <c r="J837" s="127">
        <f>IF($A837="","",IFERROR($D837-$C837,0))</f>
        <v/>
      </c>
      <c r="K837" s="121">
        <f>IF($A837="","",IF($H837="Evet",0,$G837))</f>
        <v/>
      </c>
    </row>
    <row r="838" ht="15" customHeight="1" s="78">
      <c r="A838" s="122" t="n"/>
      <c r="B838" s="122" t="n"/>
      <c r="C838" s="128" t="n"/>
      <c r="D838" s="128" t="n"/>
      <c r="E838" s="120" t="n"/>
      <c r="F838" s="129" t="n"/>
      <c r="G838" s="120" t="n"/>
      <c r="H838" s="122" t="n"/>
      <c r="I838" s="122" t="n"/>
      <c r="J838" s="127">
        <f>IF($A838="","",IFERROR($D838-$C838,0))</f>
        <v/>
      </c>
      <c r="K838" s="121">
        <f>IF($A838="","",IF($H838="Evet",0,$G838))</f>
        <v/>
      </c>
    </row>
    <row r="839" ht="15" customHeight="1" s="78">
      <c r="A839" s="122" t="n"/>
      <c r="B839" s="122" t="n"/>
      <c r="C839" s="128" t="n"/>
      <c r="D839" s="128" t="n"/>
      <c r="E839" s="120" t="n"/>
      <c r="F839" s="129" t="n"/>
      <c r="G839" s="120" t="n"/>
      <c r="H839" s="122" t="n"/>
      <c r="I839" s="122" t="n"/>
      <c r="J839" s="127">
        <f>IF($A839="","",IFERROR($D839-$C839,0))</f>
        <v/>
      </c>
      <c r="K839" s="121">
        <f>IF($A839="","",IF($H839="Evet",0,$G839))</f>
        <v/>
      </c>
    </row>
    <row r="840" ht="15" customHeight="1" s="78">
      <c r="A840" s="122" t="n"/>
      <c r="B840" s="122" t="n"/>
      <c r="C840" s="128" t="n"/>
      <c r="D840" s="128" t="n"/>
      <c r="E840" s="120" t="n"/>
      <c r="F840" s="129" t="n"/>
      <c r="G840" s="120" t="n"/>
      <c r="H840" s="122" t="n"/>
      <c r="I840" s="122" t="n"/>
      <c r="J840" s="127">
        <f>IF($A840="","",IFERROR($D840-$C840,0))</f>
        <v/>
      </c>
      <c r="K840" s="121">
        <f>IF($A840="","",IF($H840="Evet",0,$G840))</f>
        <v/>
      </c>
    </row>
    <row r="841" ht="15" customHeight="1" s="78">
      <c r="A841" s="122" t="n"/>
      <c r="B841" s="122" t="n"/>
      <c r="C841" s="128" t="n"/>
      <c r="D841" s="128" t="n"/>
      <c r="E841" s="120" t="n"/>
      <c r="F841" s="129" t="n"/>
      <c r="G841" s="120" t="n"/>
      <c r="H841" s="122" t="n"/>
      <c r="I841" s="122" t="n"/>
      <c r="J841" s="127">
        <f>IF($A841="","",IFERROR($D841-$C841,0))</f>
        <v/>
      </c>
      <c r="K841" s="121">
        <f>IF($A841="","",IF($H841="Evet",0,$G841))</f>
        <v/>
      </c>
    </row>
    <row r="842" ht="15" customHeight="1" s="78">
      <c r="A842" s="122" t="n"/>
      <c r="B842" s="122" t="n"/>
      <c r="C842" s="128" t="n"/>
      <c r="D842" s="128" t="n"/>
      <c r="E842" s="120" t="n"/>
      <c r="F842" s="129" t="n"/>
      <c r="G842" s="120" t="n"/>
      <c r="H842" s="122" t="n"/>
      <c r="I842" s="122" t="n"/>
      <c r="J842" s="127">
        <f>IF($A842="","",IFERROR($D842-$C842,0))</f>
        <v/>
      </c>
      <c r="K842" s="121">
        <f>IF($A842="","",IF($H842="Evet",0,$G842))</f>
        <v/>
      </c>
    </row>
    <row r="843" ht="15" customHeight="1" s="78">
      <c r="A843" s="122" t="n"/>
      <c r="B843" s="122" t="n"/>
      <c r="C843" s="128" t="n"/>
      <c r="D843" s="128" t="n"/>
      <c r="E843" s="120" t="n"/>
      <c r="F843" s="129" t="n"/>
      <c r="G843" s="120" t="n"/>
      <c r="H843" s="122" t="n"/>
      <c r="I843" s="122" t="n"/>
      <c r="J843" s="127">
        <f>IF($A843="","",IFERROR($D843-$C843,0))</f>
        <v/>
      </c>
      <c r="K843" s="121">
        <f>IF($A843="","",IF($H843="Evet",0,$G843))</f>
        <v/>
      </c>
    </row>
    <row r="844" ht="15" customHeight="1" s="78">
      <c r="A844" s="122" t="n"/>
      <c r="B844" s="122" t="n"/>
      <c r="C844" s="128" t="n"/>
      <c r="D844" s="128" t="n"/>
      <c r="E844" s="120" t="n"/>
      <c r="F844" s="129" t="n"/>
      <c r="G844" s="120" t="n"/>
      <c r="H844" s="122" t="n"/>
      <c r="I844" s="122" t="n"/>
      <c r="J844" s="127">
        <f>IF($A844="","",IFERROR($D844-$C844,0))</f>
        <v/>
      </c>
      <c r="K844" s="121">
        <f>IF($A844="","",IF($H844="Evet",0,$G844))</f>
        <v/>
      </c>
    </row>
    <row r="845" ht="15" customHeight="1" s="78">
      <c r="A845" s="122" t="n"/>
      <c r="B845" s="122" t="n"/>
      <c r="C845" s="128" t="n"/>
      <c r="D845" s="128" t="n"/>
      <c r="E845" s="120" t="n"/>
      <c r="F845" s="129" t="n"/>
      <c r="G845" s="120" t="n"/>
      <c r="H845" s="122" t="n"/>
      <c r="I845" s="122" t="n"/>
      <c r="J845" s="127">
        <f>IF($A845="","",IFERROR($D845-$C845,0))</f>
        <v/>
      </c>
      <c r="K845" s="121">
        <f>IF($A845="","",IF($H845="Evet",0,$G845))</f>
        <v/>
      </c>
    </row>
    <row r="846" ht="15" customHeight="1" s="78">
      <c r="A846" s="122" t="n"/>
      <c r="B846" s="122" t="n"/>
      <c r="C846" s="128" t="n"/>
      <c r="D846" s="128" t="n"/>
      <c r="E846" s="120" t="n"/>
      <c r="F846" s="129" t="n"/>
      <c r="G846" s="120" t="n"/>
      <c r="H846" s="122" t="n"/>
      <c r="I846" s="122" t="n"/>
      <c r="J846" s="127">
        <f>IF($A846="","",IFERROR($D846-$C846,0))</f>
        <v/>
      </c>
      <c r="K846" s="121">
        <f>IF($A846="","",IF($H846="Evet",0,$G846))</f>
        <v/>
      </c>
    </row>
    <row r="847" ht="15" customHeight="1" s="78">
      <c r="A847" s="122" t="n"/>
      <c r="B847" s="122" t="n"/>
      <c r="C847" s="128" t="n"/>
      <c r="D847" s="128" t="n"/>
      <c r="E847" s="120" t="n"/>
      <c r="F847" s="129" t="n"/>
      <c r="G847" s="120" t="n"/>
      <c r="H847" s="122" t="n"/>
      <c r="I847" s="122" t="n"/>
      <c r="J847" s="127">
        <f>IF($A847="","",IFERROR($D847-$C847,0))</f>
        <v/>
      </c>
      <c r="K847" s="121">
        <f>IF($A847="","",IF($H847="Evet",0,$G847))</f>
        <v/>
      </c>
    </row>
    <row r="848" ht="15" customHeight="1" s="78">
      <c r="A848" s="122" t="n"/>
      <c r="B848" s="122" t="n"/>
      <c r="C848" s="128" t="n"/>
      <c r="D848" s="128" t="n"/>
      <c r="E848" s="120" t="n"/>
      <c r="F848" s="129" t="n"/>
      <c r="G848" s="120" t="n"/>
      <c r="H848" s="122" t="n"/>
      <c r="I848" s="122" t="n"/>
      <c r="J848" s="127">
        <f>IF($A848="","",IFERROR($D848-$C848,0))</f>
        <v/>
      </c>
      <c r="K848" s="121">
        <f>IF($A848="","",IF($H848="Evet",0,$G848))</f>
        <v/>
      </c>
    </row>
    <row r="849" ht="15" customHeight="1" s="78">
      <c r="A849" s="122" t="n"/>
      <c r="B849" s="122" t="n"/>
      <c r="C849" s="128" t="n"/>
      <c r="D849" s="128" t="n"/>
      <c r="E849" s="120" t="n"/>
      <c r="F849" s="129" t="n"/>
      <c r="G849" s="120" t="n"/>
      <c r="H849" s="122" t="n"/>
      <c r="I849" s="122" t="n"/>
      <c r="J849" s="127">
        <f>IF($A849="","",IFERROR($D849-$C849,0))</f>
        <v/>
      </c>
      <c r="K849" s="121">
        <f>IF($A849="","",IF($H849="Evet",0,$G849))</f>
        <v/>
      </c>
    </row>
    <row r="850" ht="15" customHeight="1" s="78">
      <c r="A850" s="122" t="n"/>
      <c r="B850" s="122" t="n"/>
      <c r="C850" s="128" t="n"/>
      <c r="D850" s="128" t="n"/>
      <c r="E850" s="120" t="n"/>
      <c r="F850" s="129" t="n"/>
      <c r="G850" s="120" t="n"/>
      <c r="H850" s="122" t="n"/>
      <c r="I850" s="122" t="n"/>
      <c r="J850" s="127">
        <f>IF($A850="","",IFERROR($D850-$C850,0))</f>
        <v/>
      </c>
      <c r="K850" s="121">
        <f>IF($A850="","",IF($H850="Evet",0,$G850))</f>
        <v/>
      </c>
    </row>
    <row r="851" ht="15" customHeight="1" s="78">
      <c r="A851" s="122" t="n"/>
      <c r="B851" s="122" t="n"/>
      <c r="C851" s="128" t="n"/>
      <c r="D851" s="128" t="n"/>
      <c r="E851" s="120" t="n"/>
      <c r="F851" s="129" t="n"/>
      <c r="G851" s="120" t="n"/>
      <c r="H851" s="122" t="n"/>
      <c r="I851" s="122" t="n"/>
      <c r="J851" s="127">
        <f>IF($A851="","",IFERROR($D851-$C851,0))</f>
        <v/>
      </c>
      <c r="K851" s="121">
        <f>IF($A851="","",IF($H851="Evet",0,$G851))</f>
        <v/>
      </c>
    </row>
    <row r="852" ht="15" customHeight="1" s="78">
      <c r="A852" s="122" t="n"/>
      <c r="B852" s="122" t="n"/>
      <c r="C852" s="128" t="n"/>
      <c r="D852" s="128" t="n"/>
      <c r="E852" s="120" t="n"/>
      <c r="F852" s="129" t="n"/>
      <c r="G852" s="120" t="n"/>
      <c r="H852" s="122" t="n"/>
      <c r="I852" s="122" t="n"/>
      <c r="J852" s="127">
        <f>IF($A852="","",IFERROR($D852-$C852,0))</f>
        <v/>
      </c>
      <c r="K852" s="121">
        <f>IF($A852="","",IF($H852="Evet",0,$G852))</f>
        <v/>
      </c>
    </row>
    <row r="853" ht="15" customHeight="1" s="78">
      <c r="A853" s="122" t="n"/>
      <c r="B853" s="122" t="n"/>
      <c r="C853" s="128" t="n"/>
      <c r="D853" s="128" t="n"/>
      <c r="E853" s="120" t="n"/>
      <c r="F853" s="129" t="n"/>
      <c r="G853" s="120" t="n"/>
      <c r="H853" s="122" t="n"/>
      <c r="I853" s="122" t="n"/>
      <c r="J853" s="127">
        <f>IF($A853="","",IFERROR($D853-$C853,0))</f>
        <v/>
      </c>
      <c r="K853" s="121">
        <f>IF($A853="","",IF($H853="Evet",0,$G853))</f>
        <v/>
      </c>
    </row>
    <row r="854" ht="15" customHeight="1" s="78">
      <c r="A854" s="122" t="n"/>
      <c r="B854" s="122" t="n"/>
      <c r="C854" s="128" t="n"/>
      <c r="D854" s="128" t="n"/>
      <c r="E854" s="120" t="n"/>
      <c r="F854" s="129" t="n"/>
      <c r="G854" s="120" t="n"/>
      <c r="H854" s="122" t="n"/>
      <c r="I854" s="122" t="n"/>
      <c r="J854" s="127">
        <f>IF($A854="","",IFERROR($D854-$C854,0))</f>
        <v/>
      </c>
      <c r="K854" s="121">
        <f>IF($A854="","",IF($H854="Evet",0,$G854))</f>
        <v/>
      </c>
    </row>
    <row r="855" ht="15" customHeight="1" s="78">
      <c r="A855" s="122" t="n"/>
      <c r="B855" s="122" t="n"/>
      <c r="C855" s="128" t="n"/>
      <c r="D855" s="128" t="n"/>
      <c r="E855" s="120" t="n"/>
      <c r="F855" s="129" t="n"/>
      <c r="G855" s="120" t="n"/>
      <c r="H855" s="122" t="n"/>
      <c r="I855" s="122" t="n"/>
      <c r="J855" s="127">
        <f>IF($A855="","",IFERROR($D855-$C855,0))</f>
        <v/>
      </c>
      <c r="K855" s="121">
        <f>IF($A855="","",IF($H855="Evet",0,$G855))</f>
        <v/>
      </c>
    </row>
    <row r="856" ht="15" customHeight="1" s="78">
      <c r="A856" s="122" t="n"/>
      <c r="B856" s="122" t="n"/>
      <c r="C856" s="128" t="n"/>
      <c r="D856" s="128" t="n"/>
      <c r="E856" s="120" t="n"/>
      <c r="F856" s="129" t="n"/>
      <c r="G856" s="120" t="n"/>
      <c r="H856" s="122" t="n"/>
      <c r="I856" s="122" t="n"/>
      <c r="J856" s="127">
        <f>IF($A856="","",IFERROR($D856-$C856,0))</f>
        <v/>
      </c>
      <c r="K856" s="121">
        <f>IF($A856="","",IF($H856="Evet",0,$G856))</f>
        <v/>
      </c>
    </row>
    <row r="857" ht="15" customHeight="1" s="78">
      <c r="A857" s="122" t="n"/>
      <c r="B857" s="122" t="n"/>
      <c r="C857" s="128" t="n"/>
      <c r="D857" s="128" t="n"/>
      <c r="E857" s="120" t="n"/>
      <c r="F857" s="129" t="n"/>
      <c r="G857" s="120" t="n"/>
      <c r="H857" s="122" t="n"/>
      <c r="I857" s="122" t="n"/>
      <c r="J857" s="127">
        <f>IF($A857="","",IFERROR($D857-$C857,0))</f>
        <v/>
      </c>
      <c r="K857" s="121">
        <f>IF($A857="","",IF($H857="Evet",0,$G857))</f>
        <v/>
      </c>
    </row>
    <row r="858" ht="15" customHeight="1" s="78">
      <c r="A858" s="122" t="n"/>
      <c r="B858" s="122" t="n"/>
      <c r="C858" s="128" t="n"/>
      <c r="D858" s="128" t="n"/>
      <c r="E858" s="120" t="n"/>
      <c r="F858" s="129" t="n"/>
      <c r="G858" s="120" t="n"/>
      <c r="H858" s="122" t="n"/>
      <c r="I858" s="122" t="n"/>
      <c r="J858" s="127">
        <f>IF($A858="","",IFERROR($D858-$C858,0))</f>
        <v/>
      </c>
      <c r="K858" s="121">
        <f>IF($A858="","",IF($H858="Evet",0,$G858))</f>
        <v/>
      </c>
    </row>
    <row r="859" ht="15" customHeight="1" s="78">
      <c r="A859" s="122" t="n"/>
      <c r="B859" s="122" t="n"/>
      <c r="C859" s="128" t="n"/>
      <c r="D859" s="128" t="n"/>
      <c r="E859" s="120" t="n"/>
      <c r="F859" s="129" t="n"/>
      <c r="G859" s="120" t="n"/>
      <c r="H859" s="122" t="n"/>
      <c r="I859" s="122" t="n"/>
      <c r="J859" s="127">
        <f>IF($A859="","",IFERROR($D859-$C859,0))</f>
        <v/>
      </c>
      <c r="K859" s="121">
        <f>IF($A859="","",IF($H859="Evet",0,$G859))</f>
        <v/>
      </c>
    </row>
    <row r="860" ht="15" customHeight="1" s="78">
      <c r="A860" s="122" t="n"/>
      <c r="B860" s="122" t="n"/>
      <c r="C860" s="128" t="n"/>
      <c r="D860" s="128" t="n"/>
      <c r="E860" s="120" t="n"/>
      <c r="F860" s="129" t="n"/>
      <c r="G860" s="120" t="n"/>
      <c r="H860" s="122" t="n"/>
      <c r="I860" s="122" t="n"/>
      <c r="J860" s="127">
        <f>IF($A860="","",IFERROR($D860-$C860,0))</f>
        <v/>
      </c>
      <c r="K860" s="121">
        <f>IF($A860="","",IF($H860="Evet",0,$G860))</f>
        <v/>
      </c>
    </row>
    <row r="861" ht="15" customHeight="1" s="78">
      <c r="A861" s="122" t="n"/>
      <c r="B861" s="122" t="n"/>
      <c r="C861" s="128" t="n"/>
      <c r="D861" s="128" t="n"/>
      <c r="E861" s="120" t="n"/>
      <c r="F861" s="129" t="n"/>
      <c r="G861" s="120" t="n"/>
      <c r="H861" s="122" t="n"/>
      <c r="I861" s="122" t="n"/>
      <c r="J861" s="127">
        <f>IF($A861="","",IFERROR($D861-$C861,0))</f>
        <v/>
      </c>
      <c r="K861" s="121">
        <f>IF($A861="","",IF($H861="Evet",0,$G861))</f>
        <v/>
      </c>
    </row>
    <row r="862" ht="15" customHeight="1" s="78">
      <c r="A862" s="122" t="n"/>
      <c r="B862" s="122" t="n"/>
      <c r="C862" s="128" t="n"/>
      <c r="D862" s="128" t="n"/>
      <c r="E862" s="120" t="n"/>
      <c r="F862" s="129" t="n"/>
      <c r="G862" s="120" t="n"/>
      <c r="H862" s="122" t="n"/>
      <c r="I862" s="122" t="n"/>
      <c r="J862" s="127">
        <f>IF($A862="","",IFERROR($D862-$C862,0))</f>
        <v/>
      </c>
      <c r="K862" s="121">
        <f>IF($A862="","",IF($H862="Evet",0,$G862))</f>
        <v/>
      </c>
    </row>
    <row r="863" ht="15" customHeight="1" s="78">
      <c r="A863" s="122" t="n"/>
      <c r="B863" s="122" t="n"/>
      <c r="C863" s="128" t="n"/>
      <c r="D863" s="128" t="n"/>
      <c r="E863" s="120" t="n"/>
      <c r="F863" s="129" t="n"/>
      <c r="G863" s="120" t="n"/>
      <c r="H863" s="122" t="n"/>
      <c r="I863" s="122" t="n"/>
      <c r="J863" s="127">
        <f>IF($A863="","",IFERROR($D863-$C863,0))</f>
        <v/>
      </c>
      <c r="K863" s="121">
        <f>IF($A863="","",IF($H863="Evet",0,$G863))</f>
        <v/>
      </c>
    </row>
    <row r="864" ht="15" customHeight="1" s="78">
      <c r="A864" s="122" t="n"/>
      <c r="B864" s="122" t="n"/>
      <c r="C864" s="128" t="n"/>
      <c r="D864" s="128" t="n"/>
      <c r="E864" s="120" t="n"/>
      <c r="F864" s="129" t="n"/>
      <c r="G864" s="120" t="n"/>
      <c r="H864" s="122" t="n"/>
      <c r="I864" s="122" t="n"/>
      <c r="J864" s="127">
        <f>IF($A864="","",IFERROR($D864-$C864,0))</f>
        <v/>
      </c>
      <c r="K864" s="121">
        <f>IF($A864="","",IF($H864="Evet",0,$G864))</f>
        <v/>
      </c>
    </row>
    <row r="865" ht="15" customHeight="1" s="78">
      <c r="A865" s="122" t="n"/>
      <c r="B865" s="122" t="n"/>
      <c r="C865" s="128" t="n"/>
      <c r="D865" s="128" t="n"/>
      <c r="E865" s="120" t="n"/>
      <c r="F865" s="129" t="n"/>
      <c r="G865" s="120" t="n"/>
      <c r="H865" s="122" t="n"/>
      <c r="I865" s="122" t="n"/>
      <c r="J865" s="127">
        <f>IF($A865="","",IFERROR($D865-$C865,0))</f>
        <v/>
      </c>
      <c r="K865" s="121">
        <f>IF($A865="","",IF($H865="Evet",0,$G865))</f>
        <v/>
      </c>
    </row>
    <row r="866" ht="15" customHeight="1" s="78">
      <c r="A866" s="122" t="n"/>
      <c r="B866" s="122" t="n"/>
      <c r="C866" s="128" t="n"/>
      <c r="D866" s="128" t="n"/>
      <c r="E866" s="120" t="n"/>
      <c r="F866" s="129" t="n"/>
      <c r="G866" s="120" t="n"/>
      <c r="H866" s="122" t="n"/>
      <c r="I866" s="122" t="n"/>
      <c r="J866" s="127">
        <f>IF($A866="","",IFERROR($D866-$C866,0))</f>
        <v/>
      </c>
      <c r="K866" s="121">
        <f>IF($A866="","",IF($H866="Evet",0,$G866))</f>
        <v/>
      </c>
    </row>
    <row r="867" ht="15" customHeight="1" s="78">
      <c r="A867" s="122" t="n"/>
      <c r="B867" s="122" t="n"/>
      <c r="C867" s="128" t="n"/>
      <c r="D867" s="128" t="n"/>
      <c r="E867" s="120" t="n"/>
      <c r="F867" s="129" t="n"/>
      <c r="G867" s="120" t="n"/>
      <c r="H867" s="122" t="n"/>
      <c r="I867" s="122" t="n"/>
      <c r="J867" s="127">
        <f>IF($A867="","",IFERROR($D867-$C867,0))</f>
        <v/>
      </c>
      <c r="K867" s="121">
        <f>IF($A867="","",IF($H867="Evet",0,$G867))</f>
        <v/>
      </c>
    </row>
    <row r="868" ht="15" customHeight="1" s="78">
      <c r="A868" s="122" t="n"/>
      <c r="B868" s="122" t="n"/>
      <c r="C868" s="128" t="n"/>
      <c r="D868" s="128" t="n"/>
      <c r="E868" s="120" t="n"/>
      <c r="F868" s="129" t="n"/>
      <c r="G868" s="120" t="n"/>
      <c r="H868" s="122" t="n"/>
      <c r="I868" s="122" t="n"/>
      <c r="J868" s="127">
        <f>IF($A868="","",IFERROR($D868-$C868,0))</f>
        <v/>
      </c>
      <c r="K868" s="121">
        <f>IF($A868="","",IF($H868="Evet",0,$G868))</f>
        <v/>
      </c>
    </row>
    <row r="869" ht="15" customHeight="1" s="78">
      <c r="A869" s="122" t="n"/>
      <c r="B869" s="122" t="n"/>
      <c r="C869" s="128" t="n"/>
      <c r="D869" s="128" t="n"/>
      <c r="E869" s="120" t="n"/>
      <c r="F869" s="129" t="n"/>
      <c r="G869" s="120" t="n"/>
      <c r="H869" s="122" t="n"/>
      <c r="I869" s="122" t="n"/>
      <c r="J869" s="127">
        <f>IF($A869="","",IFERROR($D869-$C869,0))</f>
        <v/>
      </c>
      <c r="K869" s="121">
        <f>IF($A869="","",IF($H869="Evet",0,$G869))</f>
        <v/>
      </c>
    </row>
    <row r="870" ht="15" customHeight="1" s="78">
      <c r="A870" s="122" t="n"/>
      <c r="B870" s="122" t="n"/>
      <c r="C870" s="128" t="n"/>
      <c r="D870" s="128" t="n"/>
      <c r="E870" s="120" t="n"/>
      <c r="F870" s="129" t="n"/>
      <c r="G870" s="120" t="n"/>
      <c r="H870" s="122" t="n"/>
      <c r="I870" s="122" t="n"/>
      <c r="J870" s="127">
        <f>IF($A870="","",IFERROR($D870-$C870,0))</f>
        <v/>
      </c>
      <c r="K870" s="121">
        <f>IF($A870="","",IF($H870="Evet",0,$G870))</f>
        <v/>
      </c>
    </row>
    <row r="871" ht="15" customHeight="1" s="78">
      <c r="A871" s="122" t="n"/>
      <c r="B871" s="122" t="n"/>
      <c r="C871" s="128" t="n"/>
      <c r="D871" s="128" t="n"/>
      <c r="E871" s="120" t="n"/>
      <c r="F871" s="129" t="n"/>
      <c r="G871" s="120" t="n"/>
      <c r="H871" s="122" t="n"/>
      <c r="I871" s="122" t="n"/>
      <c r="J871" s="127">
        <f>IF($A871="","",IFERROR($D871-$C871,0))</f>
        <v/>
      </c>
      <c r="K871" s="121">
        <f>IF($A871="","",IF($H871="Evet",0,$G871))</f>
        <v/>
      </c>
    </row>
    <row r="872" ht="15" customHeight="1" s="78">
      <c r="A872" s="122" t="n"/>
      <c r="B872" s="122" t="n"/>
      <c r="C872" s="128" t="n"/>
      <c r="D872" s="128" t="n"/>
      <c r="E872" s="120" t="n"/>
      <c r="F872" s="129" t="n"/>
      <c r="G872" s="120" t="n"/>
      <c r="H872" s="122" t="n"/>
      <c r="I872" s="122" t="n"/>
      <c r="J872" s="127">
        <f>IF($A872="","",IFERROR($D872-$C872,0))</f>
        <v/>
      </c>
      <c r="K872" s="121">
        <f>IF($A872="","",IF($H872="Evet",0,$G872))</f>
        <v/>
      </c>
    </row>
    <row r="873" ht="15" customHeight="1" s="78">
      <c r="A873" s="122" t="n"/>
      <c r="B873" s="122" t="n"/>
      <c r="C873" s="128" t="n"/>
      <c r="D873" s="128" t="n"/>
      <c r="E873" s="120" t="n"/>
      <c r="F873" s="129" t="n"/>
      <c r="G873" s="120" t="n"/>
      <c r="H873" s="122" t="n"/>
      <c r="I873" s="122" t="n"/>
      <c r="J873" s="127">
        <f>IF($A873="","",IFERROR($D873-$C873,0))</f>
        <v/>
      </c>
      <c r="K873" s="121">
        <f>IF($A873="","",IF($H873="Evet",0,$G873))</f>
        <v/>
      </c>
    </row>
    <row r="874" ht="15" customHeight="1" s="78">
      <c r="A874" s="122" t="n"/>
      <c r="B874" s="122" t="n"/>
      <c r="C874" s="128" t="n"/>
      <c r="D874" s="128" t="n"/>
      <c r="E874" s="120" t="n"/>
      <c r="F874" s="129" t="n"/>
      <c r="G874" s="120" t="n"/>
      <c r="H874" s="122" t="n"/>
      <c r="I874" s="122" t="n"/>
      <c r="J874" s="127">
        <f>IF($A874="","",IFERROR($D874-$C874,0))</f>
        <v/>
      </c>
      <c r="K874" s="121">
        <f>IF($A874="","",IF($H874="Evet",0,$G874))</f>
        <v/>
      </c>
    </row>
    <row r="875" ht="15" customHeight="1" s="78">
      <c r="A875" s="122" t="n"/>
      <c r="B875" s="122" t="n"/>
      <c r="C875" s="128" t="n"/>
      <c r="D875" s="128" t="n"/>
      <c r="E875" s="120" t="n"/>
      <c r="F875" s="129" t="n"/>
      <c r="G875" s="120" t="n"/>
      <c r="H875" s="122" t="n"/>
      <c r="I875" s="122" t="n"/>
      <c r="J875" s="127">
        <f>IF($A875="","",IFERROR($D875-$C875,0))</f>
        <v/>
      </c>
      <c r="K875" s="121">
        <f>IF($A875="","",IF($H875="Evet",0,$G875))</f>
        <v/>
      </c>
    </row>
    <row r="876" ht="15" customHeight="1" s="78">
      <c r="A876" s="122" t="n"/>
      <c r="B876" s="122" t="n"/>
      <c r="C876" s="128" t="n"/>
      <c r="D876" s="128" t="n"/>
      <c r="E876" s="120" t="n"/>
      <c r="F876" s="129" t="n"/>
      <c r="G876" s="120" t="n"/>
      <c r="H876" s="122" t="n"/>
      <c r="I876" s="122" t="n"/>
      <c r="J876" s="127">
        <f>IF($A876="","",IFERROR($D876-$C876,0))</f>
        <v/>
      </c>
      <c r="K876" s="121">
        <f>IF($A876="","",IF($H876="Evet",0,$G876))</f>
        <v/>
      </c>
    </row>
    <row r="877" ht="15" customHeight="1" s="78">
      <c r="A877" s="122" t="n"/>
      <c r="B877" s="122" t="n"/>
      <c r="C877" s="128" t="n"/>
      <c r="D877" s="128" t="n"/>
      <c r="E877" s="120" t="n"/>
      <c r="F877" s="129" t="n"/>
      <c r="G877" s="120" t="n"/>
      <c r="H877" s="122" t="n"/>
      <c r="I877" s="122" t="n"/>
      <c r="J877" s="127">
        <f>IF($A877="","",IFERROR($D877-$C877,0))</f>
        <v/>
      </c>
      <c r="K877" s="121">
        <f>IF($A877="","",IF($H877="Evet",0,$G877))</f>
        <v/>
      </c>
    </row>
    <row r="878" ht="15" customHeight="1" s="78">
      <c r="A878" s="122" t="n"/>
      <c r="B878" s="122" t="n"/>
      <c r="C878" s="128" t="n"/>
      <c r="D878" s="128" t="n"/>
      <c r="E878" s="120" t="n"/>
      <c r="F878" s="129" t="n"/>
      <c r="G878" s="120" t="n"/>
      <c r="H878" s="122" t="n"/>
      <c r="I878" s="122" t="n"/>
      <c r="J878" s="127">
        <f>IF($A878="","",IFERROR($D878-$C878,0))</f>
        <v/>
      </c>
      <c r="K878" s="121">
        <f>IF($A878="","",IF($H878="Evet",0,$G878))</f>
        <v/>
      </c>
    </row>
    <row r="879" ht="15" customHeight="1" s="78">
      <c r="A879" s="122" t="n"/>
      <c r="B879" s="122" t="n"/>
      <c r="C879" s="128" t="n"/>
      <c r="D879" s="128" t="n"/>
      <c r="E879" s="120" t="n"/>
      <c r="F879" s="129" t="n"/>
      <c r="G879" s="120" t="n"/>
      <c r="H879" s="122" t="n"/>
      <c r="I879" s="122" t="n"/>
      <c r="J879" s="127">
        <f>IF($A879="","",IFERROR($D879-$C879,0))</f>
        <v/>
      </c>
      <c r="K879" s="121">
        <f>IF($A879="","",IF($H879="Evet",0,$G879))</f>
        <v/>
      </c>
    </row>
    <row r="880" ht="15" customHeight="1" s="78">
      <c r="A880" s="122" t="n"/>
      <c r="B880" s="122" t="n"/>
      <c r="C880" s="128" t="n"/>
      <c r="D880" s="128" t="n"/>
      <c r="E880" s="120" t="n"/>
      <c r="F880" s="129" t="n"/>
      <c r="G880" s="120" t="n"/>
      <c r="H880" s="122" t="n"/>
      <c r="I880" s="122" t="n"/>
      <c r="J880" s="127">
        <f>IF($A880="","",IFERROR($D880-$C880,0))</f>
        <v/>
      </c>
      <c r="K880" s="121">
        <f>IF($A880="","",IF($H880="Evet",0,$G880))</f>
        <v/>
      </c>
    </row>
    <row r="881" ht="15" customHeight="1" s="78">
      <c r="A881" s="122" t="n"/>
      <c r="B881" s="122" t="n"/>
      <c r="C881" s="128" t="n"/>
      <c r="D881" s="128" t="n"/>
      <c r="E881" s="120" t="n"/>
      <c r="F881" s="129" t="n"/>
      <c r="G881" s="120" t="n"/>
      <c r="H881" s="122" t="n"/>
      <c r="I881" s="122" t="n"/>
      <c r="J881" s="127">
        <f>IF($A881="","",IFERROR($D881-$C881,0))</f>
        <v/>
      </c>
      <c r="K881" s="121">
        <f>IF($A881="","",IF($H881="Evet",0,$G881))</f>
        <v/>
      </c>
    </row>
    <row r="882" ht="15" customHeight="1" s="78">
      <c r="A882" s="122" t="n"/>
      <c r="B882" s="122" t="n"/>
      <c r="C882" s="128" t="n"/>
      <c r="D882" s="128" t="n"/>
      <c r="E882" s="120" t="n"/>
      <c r="F882" s="129" t="n"/>
      <c r="G882" s="120" t="n"/>
      <c r="H882" s="122" t="n"/>
      <c r="I882" s="122" t="n"/>
      <c r="J882" s="127">
        <f>IF($A882="","",IFERROR($D882-$C882,0))</f>
        <v/>
      </c>
      <c r="K882" s="121">
        <f>IF($A882="","",IF($H882="Evet",0,$G882))</f>
        <v/>
      </c>
    </row>
    <row r="883" ht="15" customHeight="1" s="78">
      <c r="A883" s="122" t="n"/>
      <c r="B883" s="122" t="n"/>
      <c r="C883" s="128" t="n"/>
      <c r="D883" s="128" t="n"/>
      <c r="E883" s="120" t="n"/>
      <c r="F883" s="129" t="n"/>
      <c r="G883" s="120" t="n"/>
      <c r="H883" s="122" t="n"/>
      <c r="I883" s="122" t="n"/>
      <c r="J883" s="127">
        <f>IF($A883="","",IFERROR($D883-$C883,0))</f>
        <v/>
      </c>
      <c r="K883" s="121">
        <f>IF($A883="","",IF($H883="Evet",0,$G883))</f>
        <v/>
      </c>
    </row>
    <row r="884" ht="15" customHeight="1" s="78">
      <c r="A884" s="122" t="n"/>
      <c r="B884" s="122" t="n"/>
      <c r="C884" s="128" t="n"/>
      <c r="D884" s="128" t="n"/>
      <c r="E884" s="120" t="n"/>
      <c r="F884" s="129" t="n"/>
      <c r="G884" s="120" t="n"/>
      <c r="H884" s="122" t="n"/>
      <c r="I884" s="122" t="n"/>
      <c r="J884" s="127">
        <f>IF($A884="","",IFERROR($D884-$C884,0))</f>
        <v/>
      </c>
      <c r="K884" s="121">
        <f>IF($A884="","",IF($H884="Evet",0,$G884))</f>
        <v/>
      </c>
    </row>
    <row r="885" ht="15" customHeight="1" s="78">
      <c r="A885" s="122" t="n"/>
      <c r="B885" s="122" t="n"/>
      <c r="C885" s="128" t="n"/>
      <c r="D885" s="128" t="n"/>
      <c r="E885" s="120" t="n"/>
      <c r="F885" s="129" t="n"/>
      <c r="G885" s="120" t="n"/>
      <c r="H885" s="122" t="n"/>
      <c r="I885" s="122" t="n"/>
      <c r="J885" s="127">
        <f>IF($A885="","",IFERROR($D885-$C885,0))</f>
        <v/>
      </c>
      <c r="K885" s="121">
        <f>IF($A885="","",IF($H885="Evet",0,$G885))</f>
        <v/>
      </c>
    </row>
    <row r="886" ht="15" customHeight="1" s="78">
      <c r="A886" s="122" t="n"/>
      <c r="B886" s="122" t="n"/>
      <c r="C886" s="128" t="n"/>
      <c r="D886" s="128" t="n"/>
      <c r="E886" s="120" t="n"/>
      <c r="F886" s="129" t="n"/>
      <c r="G886" s="120" t="n"/>
      <c r="H886" s="122" t="n"/>
      <c r="I886" s="122" t="n"/>
      <c r="J886" s="127">
        <f>IF($A886="","",IFERROR($D886-$C886,0))</f>
        <v/>
      </c>
      <c r="K886" s="121">
        <f>IF($A886="","",IF($H886="Evet",0,$G886))</f>
        <v/>
      </c>
    </row>
    <row r="887" ht="15" customHeight="1" s="78">
      <c r="A887" s="122" t="n"/>
      <c r="B887" s="122" t="n"/>
      <c r="C887" s="128" t="n"/>
      <c r="D887" s="128" t="n"/>
      <c r="E887" s="120" t="n"/>
      <c r="F887" s="129" t="n"/>
      <c r="G887" s="120" t="n"/>
      <c r="H887" s="122" t="n"/>
      <c r="I887" s="122" t="n"/>
      <c r="J887" s="127">
        <f>IF($A887="","",IFERROR($D887-$C887,0))</f>
        <v/>
      </c>
      <c r="K887" s="121">
        <f>IF($A887="","",IF($H887="Evet",0,$G887))</f>
        <v/>
      </c>
    </row>
    <row r="888" ht="15" customHeight="1" s="78">
      <c r="A888" s="122" t="n"/>
      <c r="B888" s="122" t="n"/>
      <c r="C888" s="128" t="n"/>
      <c r="D888" s="128" t="n"/>
      <c r="E888" s="120" t="n"/>
      <c r="F888" s="129" t="n"/>
      <c r="G888" s="120" t="n"/>
      <c r="H888" s="122" t="n"/>
      <c r="I888" s="122" t="n"/>
      <c r="J888" s="127">
        <f>IF($A888="","",IFERROR($D888-$C888,0))</f>
        <v/>
      </c>
      <c r="K888" s="121">
        <f>IF($A888="","",IF($H888="Evet",0,$G888))</f>
        <v/>
      </c>
    </row>
    <row r="889" ht="15" customHeight="1" s="78">
      <c r="A889" s="122" t="n"/>
      <c r="B889" s="122" t="n"/>
      <c r="C889" s="128" t="n"/>
      <c r="D889" s="128" t="n"/>
      <c r="E889" s="120" t="n"/>
      <c r="F889" s="129" t="n"/>
      <c r="G889" s="120" t="n"/>
      <c r="H889" s="122" t="n"/>
      <c r="I889" s="122" t="n"/>
      <c r="J889" s="127">
        <f>IF($A889="","",IFERROR($D889-$C889,0))</f>
        <v/>
      </c>
      <c r="K889" s="121">
        <f>IF($A889="","",IF($H889="Evet",0,$G889))</f>
        <v/>
      </c>
    </row>
    <row r="890" ht="15" customHeight="1" s="78">
      <c r="A890" s="122" t="n"/>
      <c r="B890" s="122" t="n"/>
      <c r="C890" s="128" t="n"/>
      <c r="D890" s="128" t="n"/>
      <c r="E890" s="120" t="n"/>
      <c r="F890" s="129" t="n"/>
      <c r="G890" s="120" t="n"/>
      <c r="H890" s="122" t="n"/>
      <c r="I890" s="122" t="n"/>
      <c r="J890" s="127">
        <f>IF($A890="","",IFERROR($D890-$C890,0))</f>
        <v/>
      </c>
      <c r="K890" s="121">
        <f>IF($A890="","",IF($H890="Evet",0,$G890))</f>
        <v/>
      </c>
    </row>
    <row r="891" ht="15" customHeight="1" s="78">
      <c r="A891" s="122" t="n"/>
      <c r="B891" s="122" t="n"/>
      <c r="C891" s="128" t="n"/>
      <c r="D891" s="128" t="n"/>
      <c r="E891" s="120" t="n"/>
      <c r="F891" s="129" t="n"/>
      <c r="G891" s="120" t="n"/>
      <c r="H891" s="122" t="n"/>
      <c r="I891" s="122" t="n"/>
      <c r="J891" s="127">
        <f>IF($A891="","",IFERROR($D891-$C891,0))</f>
        <v/>
      </c>
      <c r="K891" s="121">
        <f>IF($A891="","",IF($H891="Evet",0,$G891))</f>
        <v/>
      </c>
    </row>
    <row r="892" ht="15" customHeight="1" s="78">
      <c r="A892" s="122" t="n"/>
      <c r="B892" s="122" t="n"/>
      <c r="C892" s="128" t="n"/>
      <c r="D892" s="128" t="n"/>
      <c r="E892" s="120" t="n"/>
      <c r="F892" s="129" t="n"/>
      <c r="G892" s="120" t="n"/>
      <c r="H892" s="122" t="n"/>
      <c r="I892" s="122" t="n"/>
      <c r="J892" s="127">
        <f>IF($A892="","",IFERROR($D892-$C892,0))</f>
        <v/>
      </c>
      <c r="K892" s="121">
        <f>IF($A892="","",IF($H892="Evet",0,$G892))</f>
        <v/>
      </c>
    </row>
    <row r="893" ht="15" customHeight="1" s="78">
      <c r="A893" s="122" t="n"/>
      <c r="B893" s="122" t="n"/>
      <c r="C893" s="128" t="n"/>
      <c r="D893" s="128" t="n"/>
      <c r="E893" s="120" t="n"/>
      <c r="F893" s="129" t="n"/>
      <c r="G893" s="120" t="n"/>
      <c r="H893" s="122" t="n"/>
      <c r="I893" s="122" t="n"/>
      <c r="J893" s="127">
        <f>IF($A893="","",IFERROR($D893-$C893,0))</f>
        <v/>
      </c>
      <c r="K893" s="121">
        <f>IF($A893="","",IF($H893="Evet",0,$G893))</f>
        <v/>
      </c>
    </row>
    <row r="894" ht="15" customHeight="1" s="78">
      <c r="A894" s="122" t="n"/>
      <c r="B894" s="122" t="n"/>
      <c r="C894" s="128" t="n"/>
      <c r="D894" s="128" t="n"/>
      <c r="E894" s="120" t="n"/>
      <c r="F894" s="129" t="n"/>
      <c r="G894" s="120" t="n"/>
      <c r="H894" s="122" t="n"/>
      <c r="I894" s="122" t="n"/>
      <c r="J894" s="127">
        <f>IF($A894="","",IFERROR($D894-$C894,0))</f>
        <v/>
      </c>
      <c r="K894" s="121">
        <f>IF($A894="","",IF($H894="Evet",0,$G894))</f>
        <v/>
      </c>
    </row>
    <row r="895" ht="15" customHeight="1" s="78">
      <c r="A895" s="122" t="n"/>
      <c r="B895" s="122" t="n"/>
      <c r="C895" s="128" t="n"/>
      <c r="D895" s="128" t="n"/>
      <c r="E895" s="120" t="n"/>
      <c r="F895" s="129" t="n"/>
      <c r="G895" s="120" t="n"/>
      <c r="H895" s="122" t="n"/>
      <c r="I895" s="122" t="n"/>
      <c r="J895" s="127">
        <f>IF($A895="","",IFERROR($D895-$C895,0))</f>
        <v/>
      </c>
      <c r="K895" s="121">
        <f>IF($A895="","",IF($H895="Evet",0,$G895))</f>
        <v/>
      </c>
    </row>
    <row r="896" ht="15" customHeight="1" s="78">
      <c r="A896" s="122" t="n"/>
      <c r="B896" s="122" t="n"/>
      <c r="C896" s="128" t="n"/>
      <c r="D896" s="128" t="n"/>
      <c r="E896" s="120" t="n"/>
      <c r="F896" s="129" t="n"/>
      <c r="G896" s="120" t="n"/>
      <c r="H896" s="122" t="n"/>
      <c r="I896" s="122" t="n"/>
      <c r="J896" s="127">
        <f>IF($A896="","",IFERROR($D896-$C896,0))</f>
        <v/>
      </c>
      <c r="K896" s="121">
        <f>IF($A896="","",IF($H896="Evet",0,$G896))</f>
        <v/>
      </c>
    </row>
    <row r="897" ht="15" customHeight="1" s="78">
      <c r="A897" s="122" t="n"/>
      <c r="B897" s="122" t="n"/>
      <c r="C897" s="128" t="n"/>
      <c r="D897" s="128" t="n"/>
      <c r="E897" s="120" t="n"/>
      <c r="F897" s="129" t="n"/>
      <c r="G897" s="120" t="n"/>
      <c r="H897" s="122" t="n"/>
      <c r="I897" s="122" t="n"/>
      <c r="J897" s="127">
        <f>IF($A897="","",IFERROR($D897-$C897,0))</f>
        <v/>
      </c>
      <c r="K897" s="121">
        <f>IF($A897="","",IF($H897="Evet",0,$G897))</f>
        <v/>
      </c>
    </row>
    <row r="898" ht="15" customHeight="1" s="78">
      <c r="A898" s="122" t="n"/>
      <c r="B898" s="122" t="n"/>
      <c r="C898" s="128" t="n"/>
      <c r="D898" s="128" t="n"/>
      <c r="E898" s="120" t="n"/>
      <c r="F898" s="129" t="n"/>
      <c r="G898" s="120" t="n"/>
      <c r="H898" s="122" t="n"/>
      <c r="I898" s="122" t="n"/>
      <c r="J898" s="127">
        <f>IF($A898="","",IFERROR($D898-$C898,0))</f>
        <v/>
      </c>
      <c r="K898" s="121">
        <f>IF($A898="","",IF($H898="Evet",0,$G898))</f>
        <v/>
      </c>
    </row>
    <row r="899" ht="15" customHeight="1" s="78">
      <c r="A899" s="122" t="n"/>
      <c r="B899" s="122" t="n"/>
      <c r="C899" s="128" t="n"/>
      <c r="D899" s="128" t="n"/>
      <c r="E899" s="120" t="n"/>
      <c r="F899" s="129" t="n"/>
      <c r="G899" s="120" t="n"/>
      <c r="H899" s="122" t="n"/>
      <c r="I899" s="122" t="n"/>
      <c r="J899" s="127">
        <f>IF($A899="","",IFERROR($D899-$C899,0))</f>
        <v/>
      </c>
      <c r="K899" s="121">
        <f>IF($A899="","",IF($H899="Evet",0,$G899))</f>
        <v/>
      </c>
    </row>
    <row r="900" ht="15" customHeight="1" s="78">
      <c r="A900" s="122" t="n"/>
      <c r="B900" s="122" t="n"/>
      <c r="C900" s="128" t="n"/>
      <c r="D900" s="128" t="n"/>
      <c r="E900" s="120" t="n"/>
      <c r="F900" s="129" t="n"/>
      <c r="G900" s="120" t="n"/>
      <c r="H900" s="122" t="n"/>
      <c r="I900" s="122" t="n"/>
      <c r="J900" s="127">
        <f>IF($A900="","",IFERROR($D900-$C900,0))</f>
        <v/>
      </c>
      <c r="K900" s="121">
        <f>IF($A900="","",IF($H900="Evet",0,$G900))</f>
        <v/>
      </c>
    </row>
    <row r="901" ht="15" customHeight="1" s="78">
      <c r="A901" s="122" t="n"/>
      <c r="B901" s="122" t="n"/>
      <c r="C901" s="128" t="n"/>
      <c r="D901" s="128" t="n"/>
      <c r="E901" s="120" t="n"/>
      <c r="F901" s="129" t="n"/>
      <c r="G901" s="120" t="n"/>
      <c r="H901" s="122" t="n"/>
      <c r="I901" s="122" t="n"/>
      <c r="J901" s="127">
        <f>IF($A901="","",IFERROR($D901-$C901,0))</f>
        <v/>
      </c>
      <c r="K901" s="121">
        <f>IF($A901="","",IF($H901="Evet",0,$G901))</f>
        <v/>
      </c>
    </row>
    <row r="902" ht="15" customHeight="1" s="78">
      <c r="A902" s="122" t="n"/>
      <c r="B902" s="122" t="n"/>
      <c r="C902" s="128" t="n"/>
      <c r="D902" s="128" t="n"/>
      <c r="E902" s="120" t="n"/>
      <c r="F902" s="129" t="n"/>
      <c r="G902" s="120" t="n"/>
      <c r="H902" s="122" t="n"/>
      <c r="I902" s="122" t="n"/>
      <c r="J902" s="127">
        <f>IF($A902="","",IFERROR($D902-$C902,0))</f>
        <v/>
      </c>
      <c r="K902" s="121">
        <f>IF($A902="","",IF($H902="Evet",0,$G902))</f>
        <v/>
      </c>
    </row>
    <row r="903" ht="15" customHeight="1" s="78">
      <c r="A903" s="122" t="n"/>
      <c r="B903" s="122" t="n"/>
      <c r="C903" s="128" t="n"/>
      <c r="D903" s="128" t="n"/>
      <c r="E903" s="120" t="n"/>
      <c r="F903" s="129" t="n"/>
      <c r="G903" s="120" t="n"/>
      <c r="H903" s="122" t="n"/>
      <c r="I903" s="122" t="n"/>
      <c r="J903" s="127">
        <f>IF($A903="","",IFERROR($D903-$C903,0))</f>
        <v/>
      </c>
      <c r="K903" s="121">
        <f>IF($A903="","",IF($H903="Evet",0,$G903))</f>
        <v/>
      </c>
    </row>
    <row r="904" ht="15" customHeight="1" s="78">
      <c r="A904" s="122" t="n"/>
      <c r="B904" s="122" t="n"/>
      <c r="C904" s="128" t="n"/>
      <c r="D904" s="128" t="n"/>
      <c r="E904" s="120" t="n"/>
      <c r="F904" s="129" t="n"/>
      <c r="G904" s="120" t="n"/>
      <c r="H904" s="122" t="n"/>
      <c r="I904" s="122" t="n"/>
      <c r="J904" s="127">
        <f>IF($A904="","",IFERROR($D904-$C904,0))</f>
        <v/>
      </c>
      <c r="K904" s="121">
        <f>IF($A904="","",IF($H904="Evet",0,$G904))</f>
        <v/>
      </c>
    </row>
    <row r="905" ht="15" customHeight="1" s="78">
      <c r="A905" s="122" t="n"/>
      <c r="B905" s="122" t="n"/>
      <c r="C905" s="128" t="n"/>
      <c r="D905" s="128" t="n"/>
      <c r="E905" s="120" t="n"/>
      <c r="F905" s="129" t="n"/>
      <c r="G905" s="120" t="n"/>
      <c r="H905" s="122" t="n"/>
      <c r="I905" s="122" t="n"/>
      <c r="J905" s="127">
        <f>IF($A905="","",IFERROR($D905-$C905,0))</f>
        <v/>
      </c>
      <c r="K905" s="121">
        <f>IF($A905="","",IF($H905="Evet",0,$G905))</f>
        <v/>
      </c>
    </row>
    <row r="906" ht="15" customHeight="1" s="78">
      <c r="A906" s="122" t="n"/>
      <c r="B906" s="122" t="n"/>
      <c r="C906" s="128" t="n"/>
      <c r="D906" s="128" t="n"/>
      <c r="E906" s="120" t="n"/>
      <c r="F906" s="129" t="n"/>
      <c r="G906" s="120" t="n"/>
      <c r="H906" s="122" t="n"/>
      <c r="I906" s="122" t="n"/>
      <c r="J906" s="127">
        <f>IF($A906="","",IFERROR($D906-$C906,0))</f>
        <v/>
      </c>
      <c r="K906" s="121">
        <f>IF($A906="","",IF($H906="Evet",0,$G906))</f>
        <v/>
      </c>
    </row>
    <row r="907" ht="15" customHeight="1" s="78">
      <c r="A907" s="122" t="n"/>
      <c r="B907" s="122" t="n"/>
      <c r="C907" s="128" t="n"/>
      <c r="D907" s="128" t="n"/>
      <c r="E907" s="120" t="n"/>
      <c r="F907" s="129" t="n"/>
      <c r="G907" s="120" t="n"/>
      <c r="H907" s="122" t="n"/>
      <c r="I907" s="122" t="n"/>
      <c r="J907" s="127">
        <f>IF($A907="","",IFERROR($D907-$C907,0))</f>
        <v/>
      </c>
      <c r="K907" s="121">
        <f>IF($A907="","",IF($H907="Evet",0,$G907))</f>
        <v/>
      </c>
    </row>
    <row r="908" ht="15" customHeight="1" s="78">
      <c r="A908" s="122" t="n"/>
      <c r="B908" s="122" t="n"/>
      <c r="C908" s="128" t="n"/>
      <c r="D908" s="128" t="n"/>
      <c r="E908" s="120" t="n"/>
      <c r="F908" s="129" t="n"/>
      <c r="G908" s="120" t="n"/>
      <c r="H908" s="122" t="n"/>
      <c r="I908" s="122" t="n"/>
      <c r="J908" s="127">
        <f>IF($A908="","",IFERROR($D908-$C908,0))</f>
        <v/>
      </c>
      <c r="K908" s="121">
        <f>IF($A908="","",IF($H908="Evet",0,$G908))</f>
        <v/>
      </c>
    </row>
    <row r="909" ht="15" customHeight="1" s="78">
      <c r="A909" s="122" t="n"/>
      <c r="B909" s="122" t="n"/>
      <c r="C909" s="128" t="n"/>
      <c r="D909" s="128" t="n"/>
      <c r="E909" s="120" t="n"/>
      <c r="F909" s="129" t="n"/>
      <c r="G909" s="120" t="n"/>
      <c r="H909" s="122" t="n"/>
      <c r="I909" s="122" t="n"/>
      <c r="J909" s="127">
        <f>IF($A909="","",IFERROR($D909-$C909,0))</f>
        <v/>
      </c>
      <c r="K909" s="121">
        <f>IF($A909="","",IF($H909="Evet",0,$G909))</f>
        <v/>
      </c>
    </row>
    <row r="910" ht="15" customHeight="1" s="78">
      <c r="A910" s="122" t="n"/>
      <c r="B910" s="122" t="n"/>
      <c r="C910" s="128" t="n"/>
      <c r="D910" s="128" t="n"/>
      <c r="E910" s="120" t="n"/>
      <c r="F910" s="129" t="n"/>
      <c r="G910" s="120" t="n"/>
      <c r="H910" s="122" t="n"/>
      <c r="I910" s="122" t="n"/>
      <c r="J910" s="127">
        <f>IF($A910="","",IFERROR($D910-$C910,0))</f>
        <v/>
      </c>
      <c r="K910" s="121">
        <f>IF($A910="","",IF($H910="Evet",0,$G910))</f>
        <v/>
      </c>
    </row>
    <row r="911" ht="15" customHeight="1" s="78">
      <c r="A911" s="122" t="n"/>
      <c r="B911" s="122" t="n"/>
      <c r="C911" s="128" t="n"/>
      <c r="D911" s="128" t="n"/>
      <c r="E911" s="120" t="n"/>
      <c r="F911" s="129" t="n"/>
      <c r="G911" s="120" t="n"/>
      <c r="H911" s="122" t="n"/>
      <c r="I911" s="122" t="n"/>
      <c r="J911" s="127">
        <f>IF($A911="","",IFERROR($D911-$C911,0))</f>
        <v/>
      </c>
      <c r="K911" s="121">
        <f>IF($A911="","",IF($H911="Evet",0,$G911))</f>
        <v/>
      </c>
    </row>
    <row r="912" ht="15" customHeight="1" s="78">
      <c r="A912" s="122" t="n"/>
      <c r="B912" s="122" t="n"/>
      <c r="C912" s="128" t="n"/>
      <c r="D912" s="128" t="n"/>
      <c r="E912" s="120" t="n"/>
      <c r="F912" s="129" t="n"/>
      <c r="G912" s="120" t="n"/>
      <c r="H912" s="122" t="n"/>
      <c r="I912" s="122" t="n"/>
      <c r="J912" s="127">
        <f>IF($A912="","",IFERROR($D912-$C912,0))</f>
        <v/>
      </c>
      <c r="K912" s="121">
        <f>IF($A912="","",IF($H912="Evet",0,$G912))</f>
        <v/>
      </c>
    </row>
    <row r="913" ht="15" customHeight="1" s="78">
      <c r="A913" s="122" t="n"/>
      <c r="B913" s="122" t="n"/>
      <c r="C913" s="128" t="n"/>
      <c r="D913" s="128" t="n"/>
      <c r="E913" s="120" t="n"/>
      <c r="F913" s="129" t="n"/>
      <c r="G913" s="120" t="n"/>
      <c r="H913" s="122" t="n"/>
      <c r="I913" s="122" t="n"/>
      <c r="J913" s="127">
        <f>IF($A913="","",IFERROR($D913-$C913,0))</f>
        <v/>
      </c>
      <c r="K913" s="121">
        <f>IF($A913="","",IF($H913="Evet",0,$G913))</f>
        <v/>
      </c>
    </row>
    <row r="914" ht="15" customHeight="1" s="78">
      <c r="A914" s="122" t="n"/>
      <c r="B914" s="122" t="n"/>
      <c r="C914" s="128" t="n"/>
      <c r="D914" s="128" t="n"/>
      <c r="E914" s="120" t="n"/>
      <c r="F914" s="129" t="n"/>
      <c r="G914" s="120" t="n"/>
      <c r="H914" s="122" t="n"/>
      <c r="I914" s="122" t="n"/>
      <c r="J914" s="127">
        <f>IF($A914="","",IFERROR($D914-$C914,0))</f>
        <v/>
      </c>
      <c r="K914" s="121">
        <f>IF($A914="","",IF($H914="Evet",0,$G914))</f>
        <v/>
      </c>
    </row>
    <row r="915" ht="15" customHeight="1" s="78">
      <c r="A915" s="122" t="n"/>
      <c r="B915" s="122" t="n"/>
      <c r="C915" s="128" t="n"/>
      <c r="D915" s="128" t="n"/>
      <c r="E915" s="120" t="n"/>
      <c r="F915" s="129" t="n"/>
      <c r="G915" s="120" t="n"/>
      <c r="H915" s="122" t="n"/>
      <c r="I915" s="122" t="n"/>
      <c r="J915" s="127">
        <f>IF($A915="","",IFERROR($D915-$C915,0))</f>
        <v/>
      </c>
      <c r="K915" s="121">
        <f>IF($A915="","",IF($H915="Evet",0,$G915))</f>
        <v/>
      </c>
    </row>
    <row r="916" ht="15" customHeight="1" s="78">
      <c r="A916" s="122" t="n"/>
      <c r="B916" s="122" t="n"/>
      <c r="C916" s="128" t="n"/>
      <c r="D916" s="128" t="n"/>
      <c r="E916" s="120" t="n"/>
      <c r="F916" s="129" t="n"/>
      <c r="G916" s="120" t="n"/>
      <c r="H916" s="122" t="n"/>
      <c r="I916" s="122" t="n"/>
      <c r="J916" s="127">
        <f>IF($A916="","",IFERROR($D916-$C916,0))</f>
        <v/>
      </c>
      <c r="K916" s="121">
        <f>IF($A916="","",IF($H916="Evet",0,$G916))</f>
        <v/>
      </c>
    </row>
    <row r="917" ht="15" customHeight="1" s="78">
      <c r="A917" s="122" t="n"/>
      <c r="B917" s="122" t="n"/>
      <c r="C917" s="128" t="n"/>
      <c r="D917" s="128" t="n"/>
      <c r="E917" s="120" t="n"/>
      <c r="F917" s="129" t="n"/>
      <c r="G917" s="120" t="n"/>
      <c r="H917" s="122" t="n"/>
      <c r="I917" s="122" t="n"/>
      <c r="J917" s="127">
        <f>IF($A917="","",IFERROR($D917-$C917,0))</f>
        <v/>
      </c>
      <c r="K917" s="121">
        <f>IF($A917="","",IF($H917="Evet",0,$G917))</f>
        <v/>
      </c>
    </row>
    <row r="918" ht="15" customHeight="1" s="78">
      <c r="A918" s="122" t="n"/>
      <c r="B918" s="122" t="n"/>
      <c r="C918" s="128" t="n"/>
      <c r="D918" s="128" t="n"/>
      <c r="E918" s="120" t="n"/>
      <c r="F918" s="129" t="n"/>
      <c r="G918" s="120" t="n"/>
      <c r="H918" s="122" t="n"/>
      <c r="I918" s="122" t="n"/>
      <c r="J918" s="127">
        <f>IF($A918="","",IFERROR($D918-$C918,0))</f>
        <v/>
      </c>
      <c r="K918" s="121">
        <f>IF($A918="","",IF($H918="Evet",0,$G918))</f>
        <v/>
      </c>
    </row>
    <row r="919" ht="15" customHeight="1" s="78">
      <c r="A919" s="122" t="n"/>
      <c r="B919" s="122" t="n"/>
      <c r="C919" s="128" t="n"/>
      <c r="D919" s="128" t="n"/>
      <c r="E919" s="120" t="n"/>
      <c r="F919" s="129" t="n"/>
      <c r="G919" s="120" t="n"/>
      <c r="H919" s="122" t="n"/>
      <c r="I919" s="122" t="n"/>
      <c r="J919" s="127">
        <f>IF($A919="","",IFERROR($D919-$C919,0))</f>
        <v/>
      </c>
      <c r="K919" s="121">
        <f>IF($A919="","",IF($H919="Evet",0,$G919))</f>
        <v/>
      </c>
    </row>
    <row r="920" ht="15" customHeight="1" s="78">
      <c r="A920" s="122" t="n"/>
      <c r="B920" s="122" t="n"/>
      <c r="C920" s="128" t="n"/>
      <c r="D920" s="128" t="n"/>
      <c r="E920" s="120" t="n"/>
      <c r="F920" s="129" t="n"/>
      <c r="G920" s="120" t="n"/>
      <c r="H920" s="122" t="n"/>
      <c r="I920" s="122" t="n"/>
      <c r="J920" s="127">
        <f>IF($A920="","",IFERROR($D920-$C920,0))</f>
        <v/>
      </c>
      <c r="K920" s="121">
        <f>IF($A920="","",IF($H920="Evet",0,$G920))</f>
        <v/>
      </c>
    </row>
    <row r="921" ht="15" customHeight="1" s="78">
      <c r="A921" s="122" t="n"/>
      <c r="B921" s="122" t="n"/>
      <c r="C921" s="128" t="n"/>
      <c r="D921" s="128" t="n"/>
      <c r="E921" s="120" t="n"/>
      <c r="F921" s="129" t="n"/>
      <c r="G921" s="120" t="n"/>
      <c r="H921" s="122" t="n"/>
      <c r="I921" s="122" t="n"/>
      <c r="J921" s="127">
        <f>IF($A921="","",IFERROR($D921-$C921,0))</f>
        <v/>
      </c>
      <c r="K921" s="121">
        <f>IF($A921="","",IF($H921="Evet",0,$G921))</f>
        <v/>
      </c>
    </row>
    <row r="922" ht="15" customHeight="1" s="78">
      <c r="A922" s="122" t="n"/>
      <c r="B922" s="122" t="n"/>
      <c r="C922" s="128" t="n"/>
      <c r="D922" s="128" t="n"/>
      <c r="E922" s="120" t="n"/>
      <c r="F922" s="129" t="n"/>
      <c r="G922" s="120" t="n"/>
      <c r="H922" s="122" t="n"/>
      <c r="I922" s="122" t="n"/>
      <c r="J922" s="127">
        <f>IF($A922="","",IFERROR($D922-$C922,0))</f>
        <v/>
      </c>
      <c r="K922" s="121">
        <f>IF($A922="","",IF($H922="Evet",0,$G922))</f>
        <v/>
      </c>
    </row>
    <row r="923" ht="15" customHeight="1" s="78">
      <c r="A923" s="122" t="n"/>
      <c r="B923" s="122" t="n"/>
      <c r="C923" s="128" t="n"/>
      <c r="D923" s="128" t="n"/>
      <c r="E923" s="120" t="n"/>
      <c r="F923" s="129" t="n"/>
      <c r="G923" s="120" t="n"/>
      <c r="H923" s="122" t="n"/>
      <c r="I923" s="122" t="n"/>
      <c r="J923" s="127">
        <f>IF($A923="","",IFERROR($D923-$C923,0))</f>
        <v/>
      </c>
      <c r="K923" s="121">
        <f>IF($A923="","",IF($H923="Evet",0,$G923))</f>
        <v/>
      </c>
    </row>
    <row r="924" ht="15" customHeight="1" s="78">
      <c r="A924" s="122" t="n"/>
      <c r="B924" s="122" t="n"/>
      <c r="C924" s="128" t="n"/>
      <c r="D924" s="128" t="n"/>
      <c r="E924" s="120" t="n"/>
      <c r="F924" s="129" t="n"/>
      <c r="G924" s="120" t="n"/>
      <c r="H924" s="122" t="n"/>
      <c r="I924" s="122" t="n"/>
      <c r="J924" s="127">
        <f>IF($A924="","",IFERROR($D924-$C924,0))</f>
        <v/>
      </c>
      <c r="K924" s="121">
        <f>IF($A924="","",IF($H924="Evet",0,$G924))</f>
        <v/>
      </c>
    </row>
    <row r="925" ht="15" customHeight="1" s="78">
      <c r="A925" s="122" t="n"/>
      <c r="B925" s="122" t="n"/>
      <c r="C925" s="128" t="n"/>
      <c r="D925" s="128" t="n"/>
      <c r="E925" s="120" t="n"/>
      <c r="F925" s="129" t="n"/>
      <c r="G925" s="120" t="n"/>
      <c r="H925" s="122" t="n"/>
      <c r="I925" s="122" t="n"/>
      <c r="J925" s="127">
        <f>IF($A925="","",IFERROR($D925-$C925,0))</f>
        <v/>
      </c>
      <c r="K925" s="121">
        <f>IF($A925="","",IF($H925="Evet",0,$G925))</f>
        <v/>
      </c>
    </row>
    <row r="926" ht="15" customHeight="1" s="78">
      <c r="A926" s="122" t="n"/>
      <c r="B926" s="122" t="n"/>
      <c r="C926" s="128" t="n"/>
      <c r="D926" s="128" t="n"/>
      <c r="E926" s="120" t="n"/>
      <c r="F926" s="129" t="n"/>
      <c r="G926" s="120" t="n"/>
      <c r="H926" s="122" t="n"/>
      <c r="I926" s="122" t="n"/>
      <c r="J926" s="127">
        <f>IF($A926="","",IFERROR($D926-$C926,0))</f>
        <v/>
      </c>
      <c r="K926" s="121">
        <f>IF($A926="","",IF($H926="Evet",0,$G926))</f>
        <v/>
      </c>
    </row>
    <row r="927" ht="15" customHeight="1" s="78">
      <c r="A927" s="122" t="n"/>
      <c r="B927" s="122" t="n"/>
      <c r="C927" s="128" t="n"/>
      <c r="D927" s="128" t="n"/>
      <c r="E927" s="120" t="n"/>
      <c r="F927" s="129" t="n"/>
      <c r="G927" s="120" t="n"/>
      <c r="H927" s="122" t="n"/>
      <c r="I927" s="122" t="n"/>
      <c r="J927" s="127">
        <f>IF($A927="","",IFERROR($D927-$C927,0))</f>
        <v/>
      </c>
      <c r="K927" s="121">
        <f>IF($A927="","",IF($H927="Evet",0,$G927))</f>
        <v/>
      </c>
    </row>
    <row r="928" ht="15" customHeight="1" s="78">
      <c r="A928" s="122" t="n"/>
      <c r="B928" s="122" t="n"/>
      <c r="C928" s="128" t="n"/>
      <c r="D928" s="128" t="n"/>
      <c r="E928" s="120" t="n"/>
      <c r="F928" s="129" t="n"/>
      <c r="G928" s="120" t="n"/>
      <c r="H928" s="122" t="n"/>
      <c r="I928" s="122" t="n"/>
      <c r="J928" s="127">
        <f>IF($A928="","",IFERROR($D928-$C928,0))</f>
        <v/>
      </c>
      <c r="K928" s="121">
        <f>IF($A928="","",IF($H928="Evet",0,$G928))</f>
        <v/>
      </c>
    </row>
    <row r="929" ht="15" customHeight="1" s="78">
      <c r="A929" s="122" t="n"/>
      <c r="B929" s="122" t="n"/>
      <c r="C929" s="128" t="n"/>
      <c r="D929" s="128" t="n"/>
      <c r="E929" s="120" t="n"/>
      <c r="F929" s="129" t="n"/>
      <c r="G929" s="120" t="n"/>
      <c r="H929" s="122" t="n"/>
      <c r="I929" s="122" t="n"/>
      <c r="J929" s="127">
        <f>IF($A929="","",IFERROR($D929-$C929,0))</f>
        <v/>
      </c>
      <c r="K929" s="121">
        <f>IF($A929="","",IF($H929="Evet",0,$G929))</f>
        <v/>
      </c>
    </row>
    <row r="930" ht="15" customHeight="1" s="78">
      <c r="A930" s="122" t="n"/>
      <c r="B930" s="122" t="n"/>
      <c r="C930" s="128" t="n"/>
      <c r="D930" s="128" t="n"/>
      <c r="E930" s="120" t="n"/>
      <c r="F930" s="129" t="n"/>
      <c r="G930" s="120" t="n"/>
      <c r="H930" s="122" t="n"/>
      <c r="I930" s="122" t="n"/>
      <c r="J930" s="127">
        <f>IF($A930="","",IFERROR($D930-$C930,0))</f>
        <v/>
      </c>
      <c r="K930" s="121">
        <f>IF($A930="","",IF($H930="Evet",0,$G930))</f>
        <v/>
      </c>
    </row>
    <row r="931" ht="15" customHeight="1" s="78">
      <c r="A931" s="122" t="n"/>
      <c r="B931" s="122" t="n"/>
      <c r="C931" s="128" t="n"/>
      <c r="D931" s="128" t="n"/>
      <c r="E931" s="120" t="n"/>
      <c r="F931" s="129" t="n"/>
      <c r="G931" s="120" t="n"/>
      <c r="H931" s="122" t="n"/>
      <c r="I931" s="122" t="n"/>
      <c r="J931" s="127">
        <f>IF($A931="","",IFERROR($D931-$C931,0))</f>
        <v/>
      </c>
      <c r="K931" s="121">
        <f>IF($A931="","",IF($H931="Evet",0,$G931))</f>
        <v/>
      </c>
    </row>
    <row r="932" ht="15" customHeight="1" s="78">
      <c r="A932" s="122" t="n"/>
      <c r="B932" s="122" t="n"/>
      <c r="C932" s="128" t="n"/>
      <c r="D932" s="128" t="n"/>
      <c r="E932" s="120" t="n"/>
      <c r="F932" s="129" t="n"/>
      <c r="G932" s="120" t="n"/>
      <c r="H932" s="122" t="n"/>
      <c r="I932" s="122" t="n"/>
      <c r="J932" s="127">
        <f>IF($A932="","",IFERROR($D932-$C932,0))</f>
        <v/>
      </c>
      <c r="K932" s="121">
        <f>IF($A932="","",IF($H932="Evet",0,$G932))</f>
        <v/>
      </c>
    </row>
    <row r="933" ht="15" customHeight="1" s="78">
      <c r="A933" s="122" t="n"/>
      <c r="B933" s="122" t="n"/>
      <c r="C933" s="128" t="n"/>
      <c r="D933" s="128" t="n"/>
      <c r="E933" s="120" t="n"/>
      <c r="F933" s="129" t="n"/>
      <c r="G933" s="120" t="n"/>
      <c r="H933" s="122" t="n"/>
      <c r="I933" s="122" t="n"/>
      <c r="J933" s="127">
        <f>IF($A933="","",IFERROR($D933-$C933,0))</f>
        <v/>
      </c>
      <c r="K933" s="121">
        <f>IF($A933="","",IF($H933="Evet",0,$G933))</f>
        <v/>
      </c>
    </row>
    <row r="934" ht="15" customHeight="1" s="78">
      <c r="A934" s="122" t="n"/>
      <c r="B934" s="122" t="n"/>
      <c r="C934" s="128" t="n"/>
      <c r="D934" s="128" t="n"/>
      <c r="E934" s="120" t="n"/>
      <c r="F934" s="129" t="n"/>
      <c r="G934" s="120" t="n"/>
      <c r="H934" s="122" t="n"/>
      <c r="I934" s="122" t="n"/>
      <c r="J934" s="127">
        <f>IF($A934="","",IFERROR($D934-$C934,0))</f>
        <v/>
      </c>
      <c r="K934" s="121">
        <f>IF($A934="","",IF($H934="Evet",0,$G934))</f>
        <v/>
      </c>
    </row>
    <row r="935" ht="15" customHeight="1" s="78">
      <c r="A935" s="122" t="n"/>
      <c r="B935" s="122" t="n"/>
      <c r="C935" s="128" t="n"/>
      <c r="D935" s="128" t="n"/>
      <c r="E935" s="120" t="n"/>
      <c r="F935" s="129" t="n"/>
      <c r="G935" s="120" t="n"/>
      <c r="H935" s="122" t="n"/>
      <c r="I935" s="122" t="n"/>
      <c r="J935" s="127">
        <f>IF($A935="","",IFERROR($D935-$C935,0))</f>
        <v/>
      </c>
      <c r="K935" s="121">
        <f>IF($A935="","",IF($H935="Evet",0,$G935))</f>
        <v/>
      </c>
    </row>
    <row r="936" ht="15" customHeight="1" s="78">
      <c r="A936" s="122" t="n"/>
      <c r="B936" s="122" t="n"/>
      <c r="C936" s="128" t="n"/>
      <c r="D936" s="128" t="n"/>
      <c r="E936" s="120" t="n"/>
      <c r="F936" s="129" t="n"/>
      <c r="G936" s="120" t="n"/>
      <c r="H936" s="122" t="n"/>
      <c r="I936" s="122" t="n"/>
      <c r="J936" s="127">
        <f>IF($A936="","",IFERROR($D936-$C936,0))</f>
        <v/>
      </c>
      <c r="K936" s="121">
        <f>IF($A936="","",IF($H936="Evet",0,$G936))</f>
        <v/>
      </c>
    </row>
    <row r="937" ht="15" customHeight="1" s="78">
      <c r="A937" s="122" t="n"/>
      <c r="B937" s="122" t="n"/>
      <c r="C937" s="128" t="n"/>
      <c r="D937" s="128" t="n"/>
      <c r="E937" s="120" t="n"/>
      <c r="F937" s="129" t="n"/>
      <c r="G937" s="120" t="n"/>
      <c r="H937" s="122" t="n"/>
      <c r="I937" s="122" t="n"/>
      <c r="J937" s="127">
        <f>IF($A937="","",IFERROR($D937-$C937,0))</f>
        <v/>
      </c>
      <c r="K937" s="121">
        <f>IF($A937="","",IF($H937="Evet",0,$G937))</f>
        <v/>
      </c>
    </row>
    <row r="938" ht="15" customHeight="1" s="78">
      <c r="A938" s="122" t="n"/>
      <c r="B938" s="122" t="n"/>
      <c r="C938" s="128" t="n"/>
      <c r="D938" s="128" t="n"/>
      <c r="E938" s="120" t="n"/>
      <c r="F938" s="129" t="n"/>
      <c r="G938" s="120" t="n"/>
      <c r="H938" s="122" t="n"/>
      <c r="I938" s="122" t="n"/>
      <c r="J938" s="127">
        <f>IF($A938="","",IFERROR($D938-$C938,0))</f>
        <v/>
      </c>
      <c r="K938" s="121">
        <f>IF($A938="","",IF($H938="Evet",0,$G938))</f>
        <v/>
      </c>
    </row>
    <row r="939" ht="15" customHeight="1" s="78">
      <c r="A939" s="122" t="n"/>
      <c r="B939" s="122" t="n"/>
      <c r="C939" s="128" t="n"/>
      <c r="D939" s="128" t="n"/>
      <c r="E939" s="120" t="n"/>
      <c r="F939" s="129" t="n"/>
      <c r="G939" s="120" t="n"/>
      <c r="H939" s="122" t="n"/>
      <c r="I939" s="122" t="n"/>
      <c r="J939" s="127">
        <f>IF($A939="","",IFERROR($D939-$C939,0))</f>
        <v/>
      </c>
      <c r="K939" s="121">
        <f>IF($A939="","",IF($H939="Evet",0,$G939))</f>
        <v/>
      </c>
    </row>
    <row r="940" ht="15" customHeight="1" s="78">
      <c r="A940" s="122" t="n"/>
      <c r="B940" s="122" t="n"/>
      <c r="C940" s="128" t="n"/>
      <c r="D940" s="128" t="n"/>
      <c r="E940" s="120" t="n"/>
      <c r="F940" s="129" t="n"/>
      <c r="G940" s="120" t="n"/>
      <c r="H940" s="122" t="n"/>
      <c r="I940" s="122" t="n"/>
      <c r="J940" s="127">
        <f>IF($A940="","",IFERROR($D940-$C940,0))</f>
        <v/>
      </c>
      <c r="K940" s="121">
        <f>IF($A940="","",IF($H940="Evet",0,$G940))</f>
        <v/>
      </c>
    </row>
    <row r="941" ht="15" customHeight="1" s="78">
      <c r="A941" s="122" t="n"/>
      <c r="B941" s="122" t="n"/>
      <c r="C941" s="128" t="n"/>
      <c r="D941" s="128" t="n"/>
      <c r="E941" s="120" t="n"/>
      <c r="F941" s="129" t="n"/>
      <c r="G941" s="120" t="n"/>
      <c r="H941" s="122" t="n"/>
      <c r="I941" s="122" t="n"/>
      <c r="J941" s="127">
        <f>IF($A941="","",IFERROR($D941-$C941,0))</f>
        <v/>
      </c>
      <c r="K941" s="121">
        <f>IF($A941="","",IF($H941="Evet",0,$G941))</f>
        <v/>
      </c>
    </row>
    <row r="942" ht="15" customHeight="1" s="78">
      <c r="A942" s="122" t="n"/>
      <c r="B942" s="122" t="n"/>
      <c r="C942" s="128" t="n"/>
      <c r="D942" s="128" t="n"/>
      <c r="E942" s="120" t="n"/>
      <c r="F942" s="129" t="n"/>
      <c r="G942" s="120" t="n"/>
      <c r="H942" s="122" t="n"/>
      <c r="I942" s="122" t="n"/>
      <c r="J942" s="127">
        <f>IF($A942="","",IFERROR($D942-$C942,0))</f>
        <v/>
      </c>
      <c r="K942" s="121">
        <f>IF($A942="","",IF($H942="Evet",0,$G942))</f>
        <v/>
      </c>
    </row>
    <row r="943" ht="15" customHeight="1" s="78">
      <c r="A943" s="122" t="n"/>
      <c r="B943" s="122" t="n"/>
      <c r="C943" s="128" t="n"/>
      <c r="D943" s="128" t="n"/>
      <c r="E943" s="120" t="n"/>
      <c r="F943" s="129" t="n"/>
      <c r="G943" s="120" t="n"/>
      <c r="H943" s="122" t="n"/>
      <c r="I943" s="122" t="n"/>
      <c r="J943" s="127">
        <f>IF($A943="","",IFERROR($D943-$C943,0))</f>
        <v/>
      </c>
      <c r="K943" s="121">
        <f>IF($A943="","",IF($H943="Evet",0,$G943))</f>
        <v/>
      </c>
    </row>
    <row r="944" ht="15" customHeight="1" s="78">
      <c r="A944" s="122" t="n"/>
      <c r="B944" s="122" t="n"/>
      <c r="C944" s="128" t="n"/>
      <c r="D944" s="128" t="n"/>
      <c r="E944" s="120" t="n"/>
      <c r="F944" s="129" t="n"/>
      <c r="G944" s="120" t="n"/>
      <c r="H944" s="122" t="n"/>
      <c r="I944" s="122" t="n"/>
      <c r="J944" s="127">
        <f>IF($A944="","",IFERROR($D944-$C944,0))</f>
        <v/>
      </c>
      <c r="K944" s="121">
        <f>IF($A944="","",IF($H944="Evet",0,$G944))</f>
        <v/>
      </c>
    </row>
    <row r="945" ht="15" customHeight="1" s="78">
      <c r="A945" s="122" t="n"/>
      <c r="B945" s="122" t="n"/>
      <c r="C945" s="128" t="n"/>
      <c r="D945" s="128" t="n"/>
      <c r="E945" s="120" t="n"/>
      <c r="F945" s="129" t="n"/>
      <c r="G945" s="120" t="n"/>
      <c r="H945" s="122" t="n"/>
      <c r="I945" s="122" t="n"/>
      <c r="J945" s="127">
        <f>IF($A945="","",IFERROR($D945-$C945,0))</f>
        <v/>
      </c>
      <c r="K945" s="121">
        <f>IF($A945="","",IF($H945="Evet",0,$G945))</f>
        <v/>
      </c>
    </row>
    <row r="946" ht="15" customHeight="1" s="78">
      <c r="A946" s="122" t="n"/>
      <c r="B946" s="122" t="n"/>
      <c r="C946" s="128" t="n"/>
      <c r="D946" s="128" t="n"/>
      <c r="E946" s="120" t="n"/>
      <c r="F946" s="129" t="n"/>
      <c r="G946" s="120" t="n"/>
      <c r="H946" s="122" t="n"/>
      <c r="I946" s="122" t="n"/>
      <c r="J946" s="127">
        <f>IF($A946="","",IFERROR($D946-$C946,0))</f>
        <v/>
      </c>
      <c r="K946" s="121">
        <f>IF($A946="","",IF($H946="Evet",0,$G946))</f>
        <v/>
      </c>
    </row>
    <row r="947" ht="15" customHeight="1" s="78">
      <c r="A947" s="122" t="n"/>
      <c r="B947" s="122" t="n"/>
      <c r="C947" s="128" t="n"/>
      <c r="D947" s="128" t="n"/>
      <c r="E947" s="120" t="n"/>
      <c r="F947" s="129" t="n"/>
      <c r="G947" s="120" t="n"/>
      <c r="H947" s="122" t="n"/>
      <c r="I947" s="122" t="n"/>
      <c r="J947" s="127">
        <f>IF($A947="","",IFERROR($D947-$C947,0))</f>
        <v/>
      </c>
      <c r="K947" s="121">
        <f>IF($A947="","",IF($H947="Evet",0,$G947))</f>
        <v/>
      </c>
    </row>
    <row r="948" ht="15" customHeight="1" s="78">
      <c r="A948" s="122" t="n"/>
      <c r="B948" s="122" t="n"/>
      <c r="C948" s="128" t="n"/>
      <c r="D948" s="128" t="n"/>
      <c r="E948" s="120" t="n"/>
      <c r="F948" s="129" t="n"/>
      <c r="G948" s="120" t="n"/>
      <c r="H948" s="122" t="n"/>
      <c r="I948" s="122" t="n"/>
      <c r="J948" s="127">
        <f>IF($A948="","",IFERROR($D948-$C948,0))</f>
        <v/>
      </c>
      <c r="K948" s="121">
        <f>IF($A948="","",IF($H948="Evet",0,$G948))</f>
        <v/>
      </c>
    </row>
    <row r="949" ht="15" customHeight="1" s="78">
      <c r="A949" s="122" t="n"/>
      <c r="B949" s="122" t="n"/>
      <c r="C949" s="128" t="n"/>
      <c r="D949" s="128" t="n"/>
      <c r="E949" s="120" t="n"/>
      <c r="F949" s="129" t="n"/>
      <c r="G949" s="120" t="n"/>
      <c r="H949" s="122" t="n"/>
      <c r="I949" s="122" t="n"/>
      <c r="J949" s="127">
        <f>IF($A949="","",IFERROR($D949-$C949,0))</f>
        <v/>
      </c>
      <c r="K949" s="121">
        <f>IF($A949="","",IF($H949="Evet",0,$G949))</f>
        <v/>
      </c>
    </row>
    <row r="950" ht="15" customHeight="1" s="78">
      <c r="A950" s="122" t="n"/>
      <c r="B950" s="122" t="n"/>
      <c r="C950" s="128" t="n"/>
      <c r="D950" s="128" t="n"/>
      <c r="E950" s="120" t="n"/>
      <c r="F950" s="129" t="n"/>
      <c r="G950" s="120" t="n"/>
      <c r="H950" s="122" t="n"/>
      <c r="I950" s="122" t="n"/>
      <c r="J950" s="127">
        <f>IF($A950="","",IFERROR($D950-$C950,0))</f>
        <v/>
      </c>
      <c r="K950" s="121">
        <f>IF($A950="","",IF($H950="Evet",0,$G950))</f>
        <v/>
      </c>
    </row>
    <row r="951" ht="15" customHeight="1" s="78">
      <c r="A951" s="122" t="n"/>
      <c r="B951" s="122" t="n"/>
      <c r="C951" s="128" t="n"/>
      <c r="D951" s="128" t="n"/>
      <c r="E951" s="120" t="n"/>
      <c r="F951" s="129" t="n"/>
      <c r="G951" s="120" t="n"/>
      <c r="H951" s="122" t="n"/>
      <c r="I951" s="122" t="n"/>
      <c r="J951" s="127">
        <f>IF($A951="","",IFERROR($D951-$C951,0))</f>
        <v/>
      </c>
      <c r="K951" s="121">
        <f>IF($A951="","",IF($H951="Evet",0,$G951))</f>
        <v/>
      </c>
    </row>
    <row r="952" ht="15" customHeight="1" s="78">
      <c r="A952" s="122" t="n"/>
      <c r="B952" s="122" t="n"/>
      <c r="C952" s="128" t="n"/>
      <c r="D952" s="128" t="n"/>
      <c r="E952" s="120" t="n"/>
      <c r="F952" s="129" t="n"/>
      <c r="G952" s="120" t="n"/>
      <c r="H952" s="122" t="n"/>
      <c r="I952" s="122" t="n"/>
      <c r="J952" s="127">
        <f>IF($A952="","",IFERROR($D952-$C952,0))</f>
        <v/>
      </c>
      <c r="K952" s="121">
        <f>IF($A952="","",IF($H952="Evet",0,$G952))</f>
        <v/>
      </c>
    </row>
    <row r="953" ht="15" customHeight="1" s="78">
      <c r="A953" s="122" t="n"/>
      <c r="B953" s="122" t="n"/>
      <c r="C953" s="128" t="n"/>
      <c r="D953" s="128" t="n"/>
      <c r="E953" s="120" t="n"/>
      <c r="F953" s="129" t="n"/>
      <c r="G953" s="120" t="n"/>
      <c r="H953" s="122" t="n"/>
      <c r="I953" s="122" t="n"/>
      <c r="J953" s="127">
        <f>IF($A953="","",IFERROR($D953-$C953,0))</f>
        <v/>
      </c>
      <c r="K953" s="121">
        <f>IF($A953="","",IF($H953="Evet",0,$G953))</f>
        <v/>
      </c>
    </row>
    <row r="954" ht="15" customHeight="1" s="78">
      <c r="A954" s="122" t="n"/>
      <c r="B954" s="122" t="n"/>
      <c r="C954" s="128" t="n"/>
      <c r="D954" s="128" t="n"/>
      <c r="E954" s="120" t="n"/>
      <c r="F954" s="129" t="n"/>
      <c r="G954" s="120" t="n"/>
      <c r="H954" s="122" t="n"/>
      <c r="I954" s="122" t="n"/>
      <c r="J954" s="127">
        <f>IF($A954="","",IFERROR($D954-$C954,0))</f>
        <v/>
      </c>
      <c r="K954" s="121">
        <f>IF($A954="","",IF($H954="Evet",0,$G954))</f>
        <v/>
      </c>
    </row>
    <row r="955" ht="15" customHeight="1" s="78">
      <c r="A955" s="122" t="n"/>
      <c r="B955" s="122" t="n"/>
      <c r="C955" s="128" t="n"/>
      <c r="D955" s="128" t="n"/>
      <c r="E955" s="120" t="n"/>
      <c r="F955" s="129" t="n"/>
      <c r="G955" s="120" t="n"/>
      <c r="H955" s="122" t="n"/>
      <c r="I955" s="122" t="n"/>
      <c r="J955" s="127">
        <f>IF($A955="","",IFERROR($D955-$C955,0))</f>
        <v/>
      </c>
      <c r="K955" s="121">
        <f>IF($A955="","",IF($H955="Evet",0,$G955))</f>
        <v/>
      </c>
    </row>
    <row r="956" ht="15" customHeight="1" s="78">
      <c r="A956" s="122" t="n"/>
      <c r="B956" s="122" t="n"/>
      <c r="C956" s="128" t="n"/>
      <c r="D956" s="128" t="n"/>
      <c r="E956" s="120" t="n"/>
      <c r="F956" s="129" t="n"/>
      <c r="G956" s="120" t="n"/>
      <c r="H956" s="122" t="n"/>
      <c r="I956" s="122" t="n"/>
      <c r="J956" s="127">
        <f>IF($A956="","",IFERROR($D956-$C956,0))</f>
        <v/>
      </c>
      <c r="K956" s="121">
        <f>IF($A956="","",IF($H956="Evet",0,$G956))</f>
        <v/>
      </c>
    </row>
    <row r="957" ht="15" customHeight="1" s="78">
      <c r="A957" s="122" t="n"/>
      <c r="B957" s="122" t="n"/>
      <c r="C957" s="128" t="n"/>
      <c r="D957" s="128" t="n"/>
      <c r="E957" s="120" t="n"/>
      <c r="F957" s="129" t="n"/>
      <c r="G957" s="120" t="n"/>
      <c r="H957" s="122" t="n"/>
      <c r="I957" s="122" t="n"/>
      <c r="J957" s="127">
        <f>IF($A957="","",IFERROR($D957-$C957,0))</f>
        <v/>
      </c>
      <c r="K957" s="121">
        <f>IF($A957="","",IF($H957="Evet",0,$G957))</f>
        <v/>
      </c>
    </row>
    <row r="958" ht="15" customHeight="1" s="78">
      <c r="A958" s="122" t="n"/>
      <c r="B958" s="122" t="n"/>
      <c r="C958" s="128" t="n"/>
      <c r="D958" s="128" t="n"/>
      <c r="E958" s="120" t="n"/>
      <c r="F958" s="129" t="n"/>
      <c r="G958" s="120" t="n"/>
      <c r="H958" s="122" t="n"/>
      <c r="I958" s="122" t="n"/>
      <c r="J958" s="127">
        <f>IF($A958="","",IFERROR($D958-$C958,0))</f>
        <v/>
      </c>
      <c r="K958" s="121">
        <f>IF($A958="","",IF($H958="Evet",0,$G958))</f>
        <v/>
      </c>
    </row>
    <row r="959" ht="15" customHeight="1" s="78">
      <c r="A959" s="122" t="n"/>
      <c r="B959" s="122" t="n"/>
      <c r="C959" s="128" t="n"/>
      <c r="D959" s="128" t="n"/>
      <c r="E959" s="120" t="n"/>
      <c r="F959" s="129" t="n"/>
      <c r="G959" s="120" t="n"/>
      <c r="H959" s="122" t="n"/>
      <c r="I959" s="122" t="n"/>
      <c r="J959" s="127">
        <f>IF($A959="","",IFERROR($D959-$C959,0))</f>
        <v/>
      </c>
      <c r="K959" s="121">
        <f>IF($A959="","",IF($H959="Evet",0,$G959))</f>
        <v/>
      </c>
    </row>
    <row r="960" ht="15" customHeight="1" s="78">
      <c r="A960" s="122" t="n"/>
      <c r="B960" s="122" t="n"/>
      <c r="C960" s="128" t="n"/>
      <c r="D960" s="128" t="n"/>
      <c r="E960" s="120" t="n"/>
      <c r="F960" s="129" t="n"/>
      <c r="G960" s="120" t="n"/>
      <c r="H960" s="122" t="n"/>
      <c r="I960" s="122" t="n"/>
      <c r="J960" s="127">
        <f>IF($A960="","",IFERROR($D960-$C960,0))</f>
        <v/>
      </c>
      <c r="K960" s="121">
        <f>IF($A960="","",IF($H960="Evet",0,$G960))</f>
        <v/>
      </c>
    </row>
    <row r="961" ht="15" customHeight="1" s="78">
      <c r="A961" s="122" t="n"/>
      <c r="B961" s="122" t="n"/>
      <c r="C961" s="128" t="n"/>
      <c r="D961" s="128" t="n"/>
      <c r="E961" s="120" t="n"/>
      <c r="F961" s="129" t="n"/>
      <c r="G961" s="120" t="n"/>
      <c r="H961" s="122" t="n"/>
      <c r="I961" s="122" t="n"/>
      <c r="J961" s="127">
        <f>IF($A961="","",IFERROR($D961-$C961,0))</f>
        <v/>
      </c>
      <c r="K961" s="121">
        <f>IF($A961="","",IF($H961="Evet",0,$G961))</f>
        <v/>
      </c>
    </row>
    <row r="962" ht="15" customHeight="1" s="78">
      <c r="A962" s="122" t="n"/>
      <c r="B962" s="122" t="n"/>
      <c r="C962" s="128" t="n"/>
      <c r="D962" s="128" t="n"/>
      <c r="E962" s="120" t="n"/>
      <c r="F962" s="129" t="n"/>
      <c r="G962" s="120" t="n"/>
      <c r="H962" s="122" t="n"/>
      <c r="I962" s="122" t="n"/>
      <c r="J962" s="127">
        <f>IF($A962="","",IFERROR($D962-$C962,0))</f>
        <v/>
      </c>
      <c r="K962" s="121">
        <f>IF($A962="","",IF($H962="Evet",0,$G962))</f>
        <v/>
      </c>
    </row>
    <row r="963" ht="15" customHeight="1" s="78">
      <c r="A963" s="122" t="n"/>
      <c r="B963" s="122" t="n"/>
      <c r="C963" s="128" t="n"/>
      <c r="D963" s="128" t="n"/>
      <c r="E963" s="120" t="n"/>
      <c r="F963" s="129" t="n"/>
      <c r="G963" s="120" t="n"/>
      <c r="H963" s="122" t="n"/>
      <c r="I963" s="122" t="n"/>
      <c r="J963" s="127">
        <f>IF($A963="","",IFERROR($D963-$C963,0))</f>
        <v/>
      </c>
      <c r="K963" s="121">
        <f>IF($A963="","",IF($H963="Evet",0,$G963))</f>
        <v/>
      </c>
    </row>
    <row r="964" ht="15" customHeight="1" s="78">
      <c r="A964" s="122" t="n"/>
      <c r="B964" s="122" t="n"/>
      <c r="C964" s="128" t="n"/>
      <c r="D964" s="128" t="n"/>
      <c r="E964" s="120" t="n"/>
      <c r="F964" s="129" t="n"/>
      <c r="G964" s="120" t="n"/>
      <c r="H964" s="122" t="n"/>
      <c r="I964" s="122" t="n"/>
      <c r="J964" s="127">
        <f>IF($A964="","",IFERROR($D964-$C964,0))</f>
        <v/>
      </c>
      <c r="K964" s="121">
        <f>IF($A964="","",IF($H964="Evet",0,$G964))</f>
        <v/>
      </c>
    </row>
    <row r="965" ht="15" customHeight="1" s="78">
      <c r="A965" s="122" t="n"/>
      <c r="B965" s="122" t="n"/>
      <c r="C965" s="128" t="n"/>
      <c r="D965" s="128" t="n"/>
      <c r="E965" s="120" t="n"/>
      <c r="F965" s="129" t="n"/>
      <c r="G965" s="120" t="n"/>
      <c r="H965" s="122" t="n"/>
      <c r="I965" s="122" t="n"/>
      <c r="J965" s="127">
        <f>IF($A965="","",IFERROR($D965-$C965,0))</f>
        <v/>
      </c>
      <c r="K965" s="121">
        <f>IF($A965="","",IF($H965="Evet",0,$G965))</f>
        <v/>
      </c>
    </row>
    <row r="966" ht="15" customHeight="1" s="78">
      <c r="A966" s="122" t="n"/>
      <c r="B966" s="122" t="n"/>
      <c r="C966" s="128" t="n"/>
      <c r="D966" s="128" t="n"/>
      <c r="E966" s="120" t="n"/>
      <c r="F966" s="129" t="n"/>
      <c r="G966" s="120" t="n"/>
      <c r="H966" s="122" t="n"/>
      <c r="I966" s="122" t="n"/>
      <c r="J966" s="127">
        <f>IF($A966="","",IFERROR($D966-$C966,0))</f>
        <v/>
      </c>
      <c r="K966" s="121">
        <f>IF($A966="","",IF($H966="Evet",0,$G966))</f>
        <v/>
      </c>
    </row>
    <row r="967" ht="15" customHeight="1" s="78">
      <c r="A967" s="122" t="n"/>
      <c r="B967" s="122" t="n"/>
      <c r="C967" s="128" t="n"/>
      <c r="D967" s="128" t="n"/>
      <c r="E967" s="120" t="n"/>
      <c r="F967" s="129" t="n"/>
      <c r="G967" s="120" t="n"/>
      <c r="H967" s="122" t="n"/>
      <c r="I967" s="122" t="n"/>
      <c r="J967" s="127">
        <f>IF($A967="","",IFERROR($D967-$C967,0))</f>
        <v/>
      </c>
      <c r="K967" s="121">
        <f>IF($A967="","",IF($H967="Evet",0,$G967))</f>
        <v/>
      </c>
    </row>
    <row r="968" ht="15" customHeight="1" s="78">
      <c r="A968" s="122" t="n"/>
      <c r="B968" s="122" t="n"/>
      <c r="C968" s="128" t="n"/>
      <c r="D968" s="128" t="n"/>
      <c r="E968" s="120" t="n"/>
      <c r="F968" s="129" t="n"/>
      <c r="G968" s="120" t="n"/>
      <c r="H968" s="122" t="n"/>
      <c r="I968" s="122" t="n"/>
      <c r="J968" s="127">
        <f>IF($A968="","",IFERROR($D968-$C968,0))</f>
        <v/>
      </c>
      <c r="K968" s="121">
        <f>IF($A968="","",IF($H968="Evet",0,$G968))</f>
        <v/>
      </c>
    </row>
    <row r="969" ht="15" customHeight="1" s="78">
      <c r="A969" s="122" t="n"/>
      <c r="B969" s="122" t="n"/>
      <c r="C969" s="128" t="n"/>
      <c r="D969" s="128" t="n"/>
      <c r="E969" s="120" t="n"/>
      <c r="F969" s="129" t="n"/>
      <c r="G969" s="120" t="n"/>
      <c r="H969" s="122" t="n"/>
      <c r="I969" s="122" t="n"/>
      <c r="J969" s="127">
        <f>IF($A969="","",IFERROR($D969-$C969,0))</f>
        <v/>
      </c>
      <c r="K969" s="121">
        <f>IF($A969="","",IF($H969="Evet",0,$G969))</f>
        <v/>
      </c>
    </row>
    <row r="970" ht="15" customHeight="1" s="78">
      <c r="A970" s="122" t="n"/>
      <c r="B970" s="122" t="n"/>
      <c r="C970" s="128" t="n"/>
      <c r="D970" s="128" t="n"/>
      <c r="E970" s="120" t="n"/>
      <c r="F970" s="129" t="n"/>
      <c r="G970" s="120" t="n"/>
      <c r="H970" s="122" t="n"/>
      <c r="I970" s="122" t="n"/>
      <c r="J970" s="127">
        <f>IF($A970="","",IFERROR($D970-$C970,0))</f>
        <v/>
      </c>
      <c r="K970" s="121">
        <f>IF($A970="","",IF($H970="Evet",0,$G970))</f>
        <v/>
      </c>
    </row>
    <row r="971" ht="15" customHeight="1" s="78">
      <c r="A971" s="122" t="n"/>
      <c r="B971" s="122" t="n"/>
      <c r="C971" s="128" t="n"/>
      <c r="D971" s="128" t="n"/>
      <c r="E971" s="120" t="n"/>
      <c r="F971" s="129" t="n"/>
      <c r="G971" s="120" t="n"/>
      <c r="H971" s="122" t="n"/>
      <c r="I971" s="122" t="n"/>
      <c r="J971" s="127">
        <f>IF($A971="","",IFERROR($D971-$C971,0))</f>
        <v/>
      </c>
      <c r="K971" s="121">
        <f>IF($A971="","",IF($H971="Evet",0,$G971))</f>
        <v/>
      </c>
    </row>
    <row r="972" ht="15" customHeight="1" s="78">
      <c r="A972" s="122" t="n"/>
      <c r="B972" s="122" t="n"/>
      <c r="C972" s="128" t="n"/>
      <c r="D972" s="128" t="n"/>
      <c r="E972" s="120" t="n"/>
      <c r="F972" s="129" t="n"/>
      <c r="G972" s="120" t="n"/>
      <c r="H972" s="122" t="n"/>
      <c r="I972" s="122" t="n"/>
      <c r="J972" s="127">
        <f>IF($A972="","",IFERROR($D972-$C972,0))</f>
        <v/>
      </c>
      <c r="K972" s="121">
        <f>IF($A972="","",IF($H972="Evet",0,$G972))</f>
        <v/>
      </c>
    </row>
    <row r="973" ht="15" customHeight="1" s="78">
      <c r="A973" s="122" t="n"/>
      <c r="B973" s="122" t="n"/>
      <c r="C973" s="128" t="n"/>
      <c r="D973" s="128" t="n"/>
      <c r="E973" s="120" t="n"/>
      <c r="F973" s="129" t="n"/>
      <c r="G973" s="120" t="n"/>
      <c r="H973" s="122" t="n"/>
      <c r="I973" s="122" t="n"/>
      <c r="J973" s="127">
        <f>IF($A973="","",IFERROR($D973-$C973,0))</f>
        <v/>
      </c>
      <c r="K973" s="121">
        <f>IF($A973="","",IF($H973="Evet",0,$G973))</f>
        <v/>
      </c>
    </row>
    <row r="974" ht="15" customHeight="1" s="78">
      <c r="A974" s="122" t="n"/>
      <c r="B974" s="122" t="n"/>
      <c r="C974" s="128" t="n"/>
      <c r="D974" s="128" t="n"/>
      <c r="E974" s="120" t="n"/>
      <c r="F974" s="129" t="n"/>
      <c r="G974" s="120" t="n"/>
      <c r="H974" s="122" t="n"/>
      <c r="I974" s="122" t="n"/>
      <c r="J974" s="127">
        <f>IF($A974="","",IFERROR($D974-$C974,0))</f>
        <v/>
      </c>
      <c r="K974" s="121">
        <f>IF($A974="","",IF($H974="Evet",0,$G974))</f>
        <v/>
      </c>
    </row>
    <row r="975" ht="15" customHeight="1" s="78">
      <c r="A975" s="122" t="n"/>
      <c r="B975" s="122" t="n"/>
      <c r="C975" s="128" t="n"/>
      <c r="D975" s="128" t="n"/>
      <c r="E975" s="120" t="n"/>
      <c r="F975" s="129" t="n"/>
      <c r="G975" s="120" t="n"/>
      <c r="H975" s="122" t="n"/>
      <c r="I975" s="122" t="n"/>
      <c r="J975" s="127">
        <f>IF($A975="","",IFERROR($D975-$C975,0))</f>
        <v/>
      </c>
      <c r="K975" s="121">
        <f>IF($A975="","",IF($H975="Evet",0,$G975))</f>
        <v/>
      </c>
    </row>
    <row r="976" ht="15" customHeight="1" s="78">
      <c r="A976" s="122" t="n"/>
      <c r="B976" s="122" t="n"/>
      <c r="C976" s="128" t="n"/>
      <c r="D976" s="128" t="n"/>
      <c r="E976" s="120" t="n"/>
      <c r="F976" s="129" t="n"/>
      <c r="G976" s="120" t="n"/>
      <c r="H976" s="122" t="n"/>
      <c r="I976" s="122" t="n"/>
      <c r="J976" s="127">
        <f>IF($A976="","",IFERROR($D976-$C976,0))</f>
        <v/>
      </c>
      <c r="K976" s="121">
        <f>IF($A976="","",IF($H976="Evet",0,$G976))</f>
        <v/>
      </c>
    </row>
    <row r="977" ht="15" customHeight="1" s="78">
      <c r="A977" s="122" t="n"/>
      <c r="B977" s="122" t="n"/>
      <c r="C977" s="128" t="n"/>
      <c r="D977" s="128" t="n"/>
      <c r="E977" s="120" t="n"/>
      <c r="F977" s="129" t="n"/>
      <c r="G977" s="120" t="n"/>
      <c r="H977" s="122" t="n"/>
      <c r="I977" s="122" t="n"/>
      <c r="J977" s="127">
        <f>IF($A977="","",IFERROR($D977-$C977,0))</f>
        <v/>
      </c>
      <c r="K977" s="121">
        <f>IF($A977="","",IF($H977="Evet",0,$G977))</f>
        <v/>
      </c>
    </row>
    <row r="978" ht="15" customHeight="1" s="78">
      <c r="A978" s="122" t="n"/>
      <c r="B978" s="122" t="n"/>
      <c r="C978" s="128" t="n"/>
      <c r="D978" s="128" t="n"/>
      <c r="E978" s="120" t="n"/>
      <c r="F978" s="129" t="n"/>
      <c r="G978" s="120" t="n"/>
      <c r="H978" s="122" t="n"/>
      <c r="I978" s="122" t="n"/>
      <c r="J978" s="127">
        <f>IF($A978="","",IFERROR($D978-$C978,0))</f>
        <v/>
      </c>
      <c r="K978" s="121">
        <f>IF($A978="","",IF($H978="Evet",0,$G978))</f>
        <v/>
      </c>
    </row>
    <row r="979" ht="15" customHeight="1" s="78">
      <c r="A979" s="122" t="n"/>
      <c r="B979" s="122" t="n"/>
      <c r="C979" s="128" t="n"/>
      <c r="D979" s="128" t="n"/>
      <c r="E979" s="120" t="n"/>
      <c r="F979" s="129" t="n"/>
      <c r="G979" s="120" t="n"/>
      <c r="H979" s="122" t="n"/>
      <c r="I979" s="122" t="n"/>
      <c r="J979" s="127">
        <f>IF($A979="","",IFERROR($D979-$C979,0))</f>
        <v/>
      </c>
      <c r="K979" s="121">
        <f>IF($A979="","",IF($H979="Evet",0,$G979))</f>
        <v/>
      </c>
    </row>
    <row r="980" ht="15" customHeight="1" s="78">
      <c r="A980" s="122" t="n"/>
      <c r="B980" s="122" t="n"/>
      <c r="C980" s="128" t="n"/>
      <c r="D980" s="128" t="n"/>
      <c r="E980" s="120" t="n"/>
      <c r="F980" s="129" t="n"/>
      <c r="G980" s="120" t="n"/>
      <c r="H980" s="122" t="n"/>
      <c r="I980" s="122" t="n"/>
      <c r="J980" s="127">
        <f>IF($A980="","",IFERROR($D980-$C980,0))</f>
        <v/>
      </c>
      <c r="K980" s="121">
        <f>IF($A980="","",IF($H980="Evet",0,$G980))</f>
        <v/>
      </c>
    </row>
    <row r="981" ht="15" customHeight="1" s="78">
      <c r="A981" s="122" t="n"/>
      <c r="B981" s="122" t="n"/>
      <c r="C981" s="128" t="n"/>
      <c r="D981" s="128" t="n"/>
      <c r="E981" s="120" t="n"/>
      <c r="F981" s="129" t="n"/>
      <c r="G981" s="120" t="n"/>
      <c r="H981" s="122" t="n"/>
      <c r="I981" s="122" t="n"/>
      <c r="J981" s="127">
        <f>IF($A981="","",IFERROR($D981-$C981,0))</f>
        <v/>
      </c>
      <c r="K981" s="121">
        <f>IF($A981="","",IF($H981="Evet",0,$G981))</f>
        <v/>
      </c>
    </row>
    <row r="982" ht="15" customHeight="1" s="78">
      <c r="A982" s="122" t="n"/>
      <c r="B982" s="122" t="n"/>
      <c r="C982" s="128" t="n"/>
      <c r="D982" s="128" t="n"/>
      <c r="E982" s="120" t="n"/>
      <c r="F982" s="129" t="n"/>
      <c r="G982" s="120" t="n"/>
      <c r="H982" s="122" t="n"/>
      <c r="I982" s="122" t="n"/>
      <c r="J982" s="127">
        <f>IF($A982="","",IFERROR($D982-$C982,0))</f>
        <v/>
      </c>
      <c r="K982" s="121">
        <f>IF($A982="","",IF($H982="Evet",0,$G982))</f>
        <v/>
      </c>
    </row>
    <row r="983" ht="15" customHeight="1" s="78">
      <c r="A983" s="122" t="n"/>
      <c r="B983" s="122" t="n"/>
      <c r="C983" s="128" t="n"/>
      <c r="D983" s="128" t="n"/>
      <c r="E983" s="120" t="n"/>
      <c r="F983" s="129" t="n"/>
      <c r="G983" s="120" t="n"/>
      <c r="H983" s="122" t="n"/>
      <c r="I983" s="122" t="n"/>
      <c r="J983" s="127">
        <f>IF($A983="","",IFERROR($D983-$C983,0))</f>
        <v/>
      </c>
      <c r="K983" s="121">
        <f>IF($A983="","",IF($H983="Evet",0,$G983))</f>
        <v/>
      </c>
    </row>
    <row r="984" ht="15" customHeight="1" s="78">
      <c r="A984" s="122" t="n"/>
      <c r="B984" s="122" t="n"/>
      <c r="C984" s="128" t="n"/>
      <c r="D984" s="128" t="n"/>
      <c r="E984" s="120" t="n"/>
      <c r="F984" s="129" t="n"/>
      <c r="G984" s="120" t="n"/>
      <c r="H984" s="122" t="n"/>
      <c r="I984" s="122" t="n"/>
      <c r="J984" s="127">
        <f>IF($A984="","",IFERROR($D984-$C984,0))</f>
        <v/>
      </c>
      <c r="K984" s="121">
        <f>IF($A984="","",IF($H984="Evet",0,$G984))</f>
        <v/>
      </c>
    </row>
    <row r="985" ht="15" customHeight="1" s="78">
      <c r="A985" s="122" t="n"/>
      <c r="B985" s="122" t="n"/>
      <c r="C985" s="128" t="n"/>
      <c r="D985" s="128" t="n"/>
      <c r="E985" s="120" t="n"/>
      <c r="F985" s="129" t="n"/>
      <c r="G985" s="120" t="n"/>
      <c r="H985" s="122" t="n"/>
      <c r="I985" s="122" t="n"/>
      <c r="J985" s="127">
        <f>IF($A985="","",IFERROR($D985-$C985,0))</f>
        <v/>
      </c>
      <c r="K985" s="121">
        <f>IF($A985="","",IF($H985="Evet",0,$G985))</f>
        <v/>
      </c>
    </row>
    <row r="986" ht="15" customHeight="1" s="78">
      <c r="A986" s="122" t="n"/>
      <c r="B986" s="122" t="n"/>
      <c r="C986" s="128" t="n"/>
      <c r="D986" s="128" t="n"/>
      <c r="E986" s="120" t="n"/>
      <c r="F986" s="129" t="n"/>
      <c r="G986" s="120" t="n"/>
      <c r="H986" s="122" t="n"/>
      <c r="I986" s="122" t="n"/>
      <c r="J986" s="127">
        <f>IF($A986="","",IFERROR($D986-$C986,0))</f>
        <v/>
      </c>
      <c r="K986" s="121">
        <f>IF($A986="","",IF($H986="Evet",0,$G986))</f>
        <v/>
      </c>
    </row>
    <row r="987" ht="15" customHeight="1" s="78">
      <c r="A987" s="122" t="n"/>
      <c r="B987" s="122" t="n"/>
      <c r="C987" s="128" t="n"/>
      <c r="D987" s="128" t="n"/>
      <c r="E987" s="120" t="n"/>
      <c r="F987" s="129" t="n"/>
      <c r="G987" s="120" t="n"/>
      <c r="H987" s="122" t="n"/>
      <c r="I987" s="122" t="n"/>
      <c r="J987" s="127">
        <f>IF($A987="","",IFERROR($D987-$C987,0))</f>
        <v/>
      </c>
      <c r="K987" s="121">
        <f>IF($A987="","",IF($H987="Evet",0,$G987))</f>
        <v/>
      </c>
    </row>
    <row r="988" ht="15" customHeight="1" s="78">
      <c r="A988" s="122" t="n"/>
      <c r="B988" s="122" t="n"/>
      <c r="C988" s="128" t="n"/>
      <c r="D988" s="128" t="n"/>
      <c r="E988" s="120" t="n"/>
      <c r="F988" s="129" t="n"/>
      <c r="G988" s="120" t="n"/>
      <c r="H988" s="122" t="n"/>
      <c r="I988" s="122" t="n"/>
      <c r="J988" s="127">
        <f>IF($A988="","",IFERROR($D988-$C988,0))</f>
        <v/>
      </c>
      <c r="K988" s="121">
        <f>IF($A988="","",IF($H988="Evet",0,$G988))</f>
        <v/>
      </c>
    </row>
    <row r="989" ht="15" customHeight="1" s="78">
      <c r="A989" s="122" t="n"/>
      <c r="B989" s="122" t="n"/>
      <c r="C989" s="128" t="n"/>
      <c r="D989" s="128" t="n"/>
      <c r="E989" s="120" t="n"/>
      <c r="F989" s="129" t="n"/>
      <c r="G989" s="120" t="n"/>
      <c r="H989" s="122" t="n"/>
      <c r="I989" s="122" t="n"/>
      <c r="J989" s="127">
        <f>IF($A989="","",IFERROR($D989-$C989,0))</f>
        <v/>
      </c>
      <c r="K989" s="121">
        <f>IF($A989="","",IF($H989="Evet",0,$G989))</f>
        <v/>
      </c>
    </row>
    <row r="990" ht="15" customHeight="1" s="78">
      <c r="A990" s="122" t="n"/>
      <c r="B990" s="122" t="n"/>
      <c r="C990" s="128" t="n"/>
      <c r="D990" s="128" t="n"/>
      <c r="E990" s="120" t="n"/>
      <c r="F990" s="129" t="n"/>
      <c r="G990" s="120" t="n"/>
      <c r="H990" s="122" t="n"/>
      <c r="I990" s="122" t="n"/>
      <c r="J990" s="127">
        <f>IF($A990="","",IFERROR($D990-$C990,0))</f>
        <v/>
      </c>
      <c r="K990" s="121">
        <f>IF($A990="","",IF($H990="Evet",0,$G990))</f>
        <v/>
      </c>
    </row>
    <row r="991" ht="15" customHeight="1" s="78">
      <c r="A991" s="122" t="n"/>
      <c r="B991" s="122" t="n"/>
      <c r="C991" s="128" t="n"/>
      <c r="D991" s="128" t="n"/>
      <c r="E991" s="120" t="n"/>
      <c r="F991" s="129" t="n"/>
      <c r="G991" s="120" t="n"/>
      <c r="H991" s="122" t="n"/>
      <c r="I991" s="122" t="n"/>
      <c r="J991" s="127">
        <f>IF($A991="","",IFERROR($D991-$C991,0))</f>
        <v/>
      </c>
      <c r="K991" s="121">
        <f>IF($A991="","",IF($H991="Evet",0,$G991))</f>
        <v/>
      </c>
    </row>
    <row r="992" ht="15" customHeight="1" s="78">
      <c r="A992" s="122" t="n"/>
      <c r="B992" s="122" t="n"/>
      <c r="C992" s="128" t="n"/>
      <c r="D992" s="128" t="n"/>
      <c r="E992" s="120" t="n"/>
      <c r="F992" s="129" t="n"/>
      <c r="G992" s="120" t="n"/>
      <c r="H992" s="122" t="n"/>
      <c r="I992" s="122" t="n"/>
      <c r="J992" s="127">
        <f>IF($A992="","",IFERROR($D992-$C992,0))</f>
        <v/>
      </c>
      <c r="K992" s="121">
        <f>IF($A992="","",IF($H992="Evet",0,$G992))</f>
        <v/>
      </c>
    </row>
    <row r="993" ht="15" customHeight="1" s="78">
      <c r="A993" s="122" t="n"/>
      <c r="B993" s="122" t="n"/>
      <c r="C993" s="128" t="n"/>
      <c r="D993" s="128" t="n"/>
      <c r="E993" s="120" t="n"/>
      <c r="F993" s="129" t="n"/>
      <c r="G993" s="120" t="n"/>
      <c r="H993" s="122" t="n"/>
      <c r="I993" s="122" t="n"/>
      <c r="J993" s="127">
        <f>IF($A993="","",IFERROR($D993-$C993,0))</f>
        <v/>
      </c>
      <c r="K993" s="121">
        <f>IF($A993="","",IF($H993="Evet",0,$G993))</f>
        <v/>
      </c>
    </row>
    <row r="994" ht="15" customHeight="1" s="78">
      <c r="A994" s="122" t="n"/>
      <c r="B994" s="122" t="n"/>
      <c r="C994" s="128" t="n"/>
      <c r="D994" s="128" t="n"/>
      <c r="E994" s="120" t="n"/>
      <c r="F994" s="129" t="n"/>
      <c r="G994" s="120" t="n"/>
      <c r="H994" s="122" t="n"/>
      <c r="I994" s="122" t="n"/>
      <c r="J994" s="127">
        <f>IF($A994="","",IFERROR($D994-$C994,0))</f>
        <v/>
      </c>
      <c r="K994" s="121">
        <f>IF($A994="","",IF($H994="Evet",0,$G994))</f>
        <v/>
      </c>
    </row>
    <row r="995" ht="15" customHeight="1" s="78">
      <c r="A995" s="122" t="n"/>
      <c r="B995" s="122" t="n"/>
      <c r="C995" s="128" t="n"/>
      <c r="D995" s="128" t="n"/>
      <c r="E995" s="120" t="n"/>
      <c r="F995" s="129" t="n"/>
      <c r="G995" s="120" t="n"/>
      <c r="H995" s="122" t="n"/>
      <c r="I995" s="122" t="n"/>
      <c r="J995" s="127">
        <f>IF($A995="","",IFERROR($D995-$C995,0))</f>
        <v/>
      </c>
      <c r="K995" s="121">
        <f>IF($A995="","",IF($H995="Evet",0,$G995))</f>
        <v/>
      </c>
    </row>
    <row r="996" ht="15" customHeight="1" s="78">
      <c r="A996" s="122" t="n"/>
      <c r="B996" s="122" t="n"/>
      <c r="C996" s="128" t="n"/>
      <c r="D996" s="128" t="n"/>
      <c r="E996" s="120" t="n"/>
      <c r="F996" s="129" t="n"/>
      <c r="G996" s="120" t="n"/>
      <c r="H996" s="122" t="n"/>
      <c r="I996" s="122" t="n"/>
      <c r="J996" s="127">
        <f>IF($A996="","",IFERROR($D996-$C996,0))</f>
        <v/>
      </c>
      <c r="K996" s="121">
        <f>IF($A996="","",IF($H996="Evet",0,$G996))</f>
        <v/>
      </c>
    </row>
    <row r="997" ht="15" customHeight="1" s="78">
      <c r="A997" s="122" t="n"/>
      <c r="B997" s="122" t="n"/>
      <c r="C997" s="128" t="n"/>
      <c r="D997" s="128" t="n"/>
      <c r="E997" s="120" t="n"/>
      <c r="F997" s="129" t="n"/>
      <c r="G997" s="120" t="n"/>
      <c r="H997" s="122" t="n"/>
      <c r="I997" s="122" t="n"/>
      <c r="J997" s="127">
        <f>IF($A997="","",IFERROR($D997-$C997,0))</f>
        <v/>
      </c>
      <c r="K997" s="121">
        <f>IF($A997="","",IF($H997="Evet",0,$G997))</f>
        <v/>
      </c>
    </row>
    <row r="998" ht="15" customHeight="1" s="78">
      <c r="A998" s="122" t="n"/>
      <c r="B998" s="122" t="n"/>
      <c r="C998" s="128" t="n"/>
      <c r="D998" s="128" t="n"/>
      <c r="E998" s="120" t="n"/>
      <c r="F998" s="129" t="n"/>
      <c r="G998" s="120" t="n"/>
      <c r="H998" s="122" t="n"/>
      <c r="I998" s="122" t="n"/>
      <c r="J998" s="127">
        <f>IF($A998="","",IFERROR($D998-$C998,0))</f>
        <v/>
      </c>
      <c r="K998" s="121">
        <f>IF($A998="","",IF($H998="Evet",0,$G998))</f>
        <v/>
      </c>
    </row>
    <row r="999" ht="15" customHeight="1" s="78">
      <c r="A999" s="122" t="n"/>
      <c r="B999" s="122" t="n"/>
      <c r="C999" s="128" t="n"/>
      <c r="D999" s="128" t="n"/>
      <c r="E999" s="120" t="n"/>
      <c r="F999" s="129" t="n"/>
      <c r="G999" s="120" t="n"/>
      <c r="H999" s="122" t="n"/>
      <c r="I999" s="122" t="n"/>
      <c r="J999" s="127">
        <f>IF($A999="","",IFERROR($D999-$C999,0))</f>
        <v/>
      </c>
      <c r="K999" s="121">
        <f>IF($A999="","",IF($H999="Evet",0,$G999))</f>
        <v/>
      </c>
    </row>
    <row r="1000" ht="15" customHeight="1" s="78">
      <c r="A1000" s="122" t="n"/>
      <c r="B1000" s="122" t="n"/>
      <c r="C1000" s="128" t="n"/>
      <c r="D1000" s="128" t="n"/>
      <c r="E1000" s="120" t="n"/>
      <c r="F1000" s="129" t="n"/>
      <c r="G1000" s="120" t="n"/>
      <c r="H1000" s="122" t="n"/>
      <c r="I1000" s="122" t="n"/>
      <c r="J1000" s="127">
        <f>IF($A1000="","",IFERROR($D1000-$C1000,0))</f>
        <v/>
      </c>
      <c r="K1000" s="121">
        <f>IF($A1000="","",IF($H1000="Evet",0,$G1000))</f>
        <v/>
      </c>
    </row>
    <row r="1001" ht="15" customHeight="1" s="78">
      <c r="A1001" s="122" t="n"/>
      <c r="B1001" s="122" t="n"/>
      <c r="C1001" s="128" t="n"/>
      <c r="D1001" s="128" t="n"/>
      <c r="E1001" s="120" t="n"/>
      <c r="F1001" s="129" t="n"/>
      <c r="G1001" s="120" t="n"/>
      <c r="H1001" s="122" t="n"/>
      <c r="I1001" s="122" t="n"/>
      <c r="J1001" s="127">
        <f>IF($A1001="","",IFERROR($D1001-$C1001,0))</f>
        <v/>
      </c>
      <c r="K1001" s="121">
        <f>IF($A1001="","",IF($H1001="Evet",0,$G1001))</f>
        <v/>
      </c>
    </row>
    <row r="1002" ht="15" customHeight="1" s="78">
      <c r="A1002" s="122" t="n"/>
      <c r="B1002" s="122" t="n"/>
      <c r="C1002" s="128" t="n"/>
      <c r="D1002" s="128" t="n"/>
      <c r="E1002" s="120" t="n"/>
      <c r="F1002" s="129" t="n"/>
      <c r="G1002" s="120" t="n"/>
      <c r="H1002" s="122" t="n"/>
      <c r="I1002" s="122" t="n"/>
      <c r="J1002" s="127">
        <f>IF($A1002="","",IFERROR($D1002-$C1002,0))</f>
        <v/>
      </c>
      <c r="K1002" s="121">
        <f>IF($A1002="","",IF($H1002="Evet",0,$G1002))</f>
        <v/>
      </c>
    </row>
    <row r="1003" ht="15" customHeight="1" s="78">
      <c r="A1003" s="122" t="n"/>
      <c r="B1003" s="122" t="n"/>
      <c r="C1003" s="128" t="n"/>
      <c r="D1003" s="128" t="n"/>
      <c r="E1003" s="120" t="n"/>
      <c r="F1003" s="129" t="n"/>
      <c r="G1003" s="120" t="n"/>
      <c r="H1003" s="122" t="n"/>
      <c r="I1003" s="122" t="n"/>
      <c r="J1003" s="127">
        <f>IF($A1003="","",IFERROR($D1003-$C1003,0))</f>
        <v/>
      </c>
      <c r="K1003" s="121">
        <f>IF($A1003="","",IF($H1003="Evet",0,$G1003))</f>
        <v/>
      </c>
    </row>
    <row r="1004" ht="15" customHeight="1" s="78">
      <c r="A1004" s="122" t="n"/>
      <c r="B1004" s="122" t="n"/>
      <c r="C1004" s="122" t="n"/>
      <c r="D1004" s="122" t="n"/>
      <c r="E1004" s="122" t="n"/>
      <c r="F1004" s="122" t="n"/>
      <c r="G1004" s="122" t="n"/>
      <c r="H1004" s="122" t="n"/>
      <c r="I1004" s="122" t="n"/>
      <c r="J1004" s="123">
        <f>IF($A1004="","",IFERROR($D1004-$C1004,0))</f>
        <v/>
      </c>
      <c r="K1004" s="123">
        <f>IF($A1004="","",IF($H1004="Evet",0,$G1004))</f>
        <v/>
      </c>
    </row>
    <row r="1006" ht="19.5" customHeight="1" s="78">
      <c r="A1006" s="124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E6:E1004">
    <cfRule type="cellIs" rank="0" priority="2" equalAverage="0" operator="lessThan" aboveAverage="0" dxfId="8" text="" percent="0" bottom="0">
      <formula>0</formula>
    </cfRule>
  </conditionalFormatting>
  <conditionalFormatting sqref="F6:F1004">
    <cfRule type="cellIs" rank="0" priority="3" equalAverage="0" operator="lessThan" aboveAverage="0" dxfId="8" text="" percent="0" bottom="0">
      <formula>0</formula>
    </cfRule>
  </conditionalFormatting>
  <conditionalFormatting sqref="G6:G1004">
    <cfRule type="cellIs" rank="0" priority="4" equalAverage="0" operator="lessThan" aboveAverage="0" dxfId="8" text="" percent="0" bottom="0">
      <formula>0</formula>
    </cfRule>
    <cfRule type="cellIs" rank="0" priority="5" equalAverage="0" operator="greaterThan" aboveAverage="0" dxfId="9" text="" percent="0" bottom="0">
      <formula>0</formula>
    </cfRule>
  </conditionalFormatting>
  <conditionalFormatting sqref="H6:H1004">
    <cfRule type="cellIs" rank="0" priority="6" equalAverage="0" operator="equal" aboveAverage="0" dxfId="11" text="" percent="0" bottom="0">
      <formula>"Evet"</formula>
    </cfRule>
  </conditionalFormatting>
  <conditionalFormatting sqref="K6:K1004">
    <cfRule type="cellIs" rank="0" priority="7" equalAverage="0" operator="lessThan" aboveAverage="0" dxfId="8" text="" percent="0" bottom="0">
      <formula>0</formula>
    </cfRule>
    <cfRule type="cellIs" rank="0" priority="8" equalAverage="0" operator="greaterThan" aboveAverage="0" dxfId="9" text="" percent="0" bottom="0">
      <formula>0</formula>
    </cfRule>
  </conditionalFormatting>
  <dataValidations count="7">
    <dataValidation sqref="B6:B1004" showDropDown="0" showInputMessage="1" showErrorMessage="1" allowBlank="1" errorTitle="Geçersiz tür" error="Listede olmayan tür giremezsiniz." promptTitle="Kaynak Türü" prompt="Listeden kaynak türünü seçin." type="list" errorStyle="stop" operator="between">
      <formula1>ListeKaynakTurleri</formula1>
      <formula2>0</formula2>
    </dataValidation>
    <dataValidation sqref="H6:H1004" showDropDown="0" showInputMessage="1" showErrorMessage="1" allowBlank="1" errorTitle="Geçersiz seçim" error="Evet veya Hayır girin." promptTitle="Kapsam Dışı mı?" prompt="Evet seçerseniz bu kredinin gideri KKEG kapsamına girmez." type="list" errorStyle="stop" operator="between">
      <formula1>ListeEvetHayir</formula1>
      <formula2>0</formula2>
    </dataValidation>
    <dataValidation sqref="C6:C1004" showDropDown="0" showInputMessage="1" showErrorMessage="1" allowBlank="1" errorTitle="Geçersiz tarih" error="Tarih 01.01.2024 - 31.12.2027 aralığında olmalı." promptTitle="Kullanım Tarihi" prompt="GG.AA.YYYY biçiminde kredi kullanım tarihi girin." type="date" errorStyle="stop" operator="between">
      <formula1>01.01.2024</formula1>
      <formula2>31.12.2027</formula2>
    </dataValidation>
    <dataValidation sqref="D6:D1004" showDropDown="0" showInputMessage="1" showErrorMessage="1" allowBlank="1" errorTitle="Geçersiz tarih" error="Tarih 01.01.2024 - 31.12.2030 aralığında olmalı." promptTitle="Vade Tarihi" prompt="GG.AA.YYYY biçiminde kredi vade tarihi girin." type="date" errorStyle="stop" operator="between">
      <formula1>01.01.2024</formula1>
      <formula2>31.12.2030</formula2>
    </dataValidation>
    <dataValidation sqref="E6:E1004" showDropDown="0" showInputMessage="1" showErrorMessage="1" allowBlank="1" errorTitle="Geçersiz tutar" error="0 ile 100.000.000.000 arasında olmalı." promptTitle="Kredi Tutarı" prompt="Kredi tutarını TL olarak girin." type="decimal" errorStyle="stop" operator="between">
      <formula1>0</formula1>
      <formula2>100000000000</formula2>
    </dataValidation>
    <dataValidation sqref="F6:F1004" showDropDown="0" showInputMessage="1" showErrorMessage="1" allowBlank="1" errorTitle="Geçersiz oran" error="0 ile 2 arasında olmalı." promptTitle="Faiz Oranı" prompt="Yıllık faiz oranını ondalık girin (ör. %25 için 0,25)." type="decimal" errorStyle="stop" operator="between">
      <formula1>0</formula1>
      <formula2>2</formula2>
    </dataValidation>
    <dataValidation sqref="G6:G1004" showDropDown="0" showInputMessage="1" showErrorMessage="1" allowBlank="1" errorTitle="Geçersiz değer" error="0 ile 100.000.000.000 arasında olmalı." promptTitle="Dönem Gideri" prompt="Bu krediye ait dönem finansman giderini TL girin." type="decimal" errorStyle="stop" operator="between">
      <formula1>0</formula1>
      <formula2>100000000000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104" min="1" max="1"/>
    <col width="20" customWidth="1" style="104" min="2" max="2"/>
    <col width="18" customWidth="1" style="104" min="3" max="5"/>
    <col width="12" customWidth="1" style="104" min="6" max="6"/>
  </cols>
  <sheetData>
    <row r="1" ht="25.5" customHeight="1" s="78">
      <c r="A1" s="105" t="inlineStr">
        <is>
          <t>HESAP — KKEG ve Finansman Gider Kısıtlaması Vergi Savunma Seti</t>
        </is>
      </c>
    </row>
    <row r="3" ht="15.75" customHeight="1" s="78">
      <c r="A3" s="112" t="inlineStr">
        <is>
          <t>KKEG ve Finansman Gider Kısıtlaması Hesabı</t>
        </is>
      </c>
    </row>
    <row r="4" ht="41.25" customHeight="1" s="78">
      <c r="A4" s="107" t="inlineStr">
        <is>
          <t>Aşağıdaki özet, dönem kaynak ve kredi tablolarından otomatik beslenir; elle değiştirilmez.</t>
        </is>
      </c>
    </row>
    <row r="5" ht="30" customHeight="1" s="78">
      <c r="A5" s="117" t="inlineStr">
        <is>
          <t>Kaynak Türü</t>
        </is>
      </c>
      <c r="B5" s="117" t="inlineStr">
        <is>
          <t>Kredi Adedi</t>
        </is>
      </c>
      <c r="C5" s="117" t="inlineStr">
        <is>
          <t>Toplam Kredi (₺)</t>
        </is>
      </c>
      <c r="D5" s="117" t="inlineStr">
        <is>
          <t>Toplam Gider (₺)</t>
        </is>
      </c>
      <c r="E5" s="117" t="inlineStr">
        <is>
          <t>Kapsamdaki Gider (₺)</t>
        </is>
      </c>
      <c r="F5" s="117" t="inlineStr">
        <is>
          <t>Gider Payı</t>
        </is>
      </c>
    </row>
    <row r="6" ht="15" customHeight="1" s="78">
      <c r="A6" s="130" t="inlineStr">
        <is>
          <t>Banka Kredisi</t>
        </is>
      </c>
      <c r="B6" s="131">
        <f>COUNTIFS(tblKredi[Kaynak Türü],$A6)</f>
        <v/>
      </c>
      <c r="C6" s="132">
        <f>SUMIFS(tblKredi[Kredi Tutarı (₺)],tblKredi[Kaynak Türü],$A6)</f>
        <v/>
      </c>
      <c r="D6" s="132">
        <f>SUMIFS(tblKredi[Dönem Finansman Gideri (₺)],tblKredi[Kaynak Türü],$A6)</f>
        <v/>
      </c>
      <c r="E6" s="132">
        <f>SUMIFS(tblKredi[Kapsamdaki Gider (₺)],tblKredi[Kaynak Türü],$A6)</f>
        <v/>
      </c>
      <c r="F6" s="133">
        <f>IF($E$11=0,0,E6/$E$11)</f>
        <v/>
      </c>
    </row>
    <row r="7" ht="15" customHeight="1" s="78">
      <c r="A7" s="130" t="inlineStr">
        <is>
          <t>Ortak Borcu</t>
        </is>
      </c>
      <c r="B7" s="131">
        <f>COUNTIFS(tblKredi[Kaynak Türü],$A7)</f>
        <v/>
      </c>
      <c r="C7" s="132">
        <f>SUMIFS(tblKredi[Kredi Tutarı (₺)],tblKredi[Kaynak Türü],$A7)</f>
        <v/>
      </c>
      <c r="D7" s="132">
        <f>SUMIFS(tblKredi[Dönem Finansman Gideri (₺)],tblKredi[Kaynak Türü],$A7)</f>
        <v/>
      </c>
      <c r="E7" s="132">
        <f>SUMIFS(tblKredi[Kapsamdaki Gider (₺)],tblKredi[Kaynak Türü],$A7)</f>
        <v/>
      </c>
      <c r="F7" s="133">
        <f>IF($E$11=0,0,E7/$E$11)</f>
        <v/>
      </c>
    </row>
    <row r="8" ht="15" customHeight="1" s="78">
      <c r="A8" s="130" t="inlineStr">
        <is>
          <t>Tahvil</t>
        </is>
      </c>
      <c r="B8" s="131">
        <f>COUNTIFS(tblKredi[Kaynak Türü],$A8)</f>
        <v/>
      </c>
      <c r="C8" s="132">
        <f>SUMIFS(tblKredi[Kredi Tutarı (₺)],tblKredi[Kaynak Türü],$A8)</f>
        <v/>
      </c>
      <c r="D8" s="132">
        <f>SUMIFS(tblKredi[Dönem Finansman Gideri (₺)],tblKredi[Kaynak Türü],$A8)</f>
        <v/>
      </c>
      <c r="E8" s="132">
        <f>SUMIFS(tblKredi[Kapsamdaki Gider (₺)],tblKredi[Kaynak Türü],$A8)</f>
        <v/>
      </c>
      <c r="F8" s="133">
        <f>IF($E$11=0,0,E8/$E$11)</f>
        <v/>
      </c>
    </row>
    <row r="9" ht="15" customHeight="1" s="78">
      <c r="A9" s="130" t="inlineStr">
        <is>
          <t>Finansal Kiralama</t>
        </is>
      </c>
      <c r="B9" s="131">
        <f>COUNTIFS(tblKredi[Kaynak Türü],$A9)</f>
        <v/>
      </c>
      <c r="C9" s="132">
        <f>SUMIFS(tblKredi[Kredi Tutarı (₺)],tblKredi[Kaynak Türü],$A9)</f>
        <v/>
      </c>
      <c r="D9" s="132">
        <f>SUMIFS(tblKredi[Dönem Finansman Gideri (₺)],tblKredi[Kaynak Türü],$A9)</f>
        <v/>
      </c>
      <c r="E9" s="132">
        <f>SUMIFS(tblKredi[Kapsamdaki Gider (₺)],tblKredi[Kaynak Türü],$A9)</f>
        <v/>
      </c>
      <c r="F9" s="133">
        <f>IF($E$11=0,0,E9/$E$11)</f>
        <v/>
      </c>
    </row>
    <row r="10" ht="15" customHeight="1" s="78">
      <c r="A10" s="130" t="inlineStr">
        <is>
          <t>Tedarikçi Borcu</t>
        </is>
      </c>
      <c r="B10" s="131">
        <f>COUNTIFS(tblKredi[Kaynak Türü],$A10)</f>
        <v/>
      </c>
      <c r="C10" s="132">
        <f>SUMIFS(tblKredi[Kredi Tutarı (₺)],tblKredi[Kaynak Türü],$A10)</f>
        <v/>
      </c>
      <c r="D10" s="132">
        <f>SUMIFS(tblKredi[Dönem Finansman Gideri (₺)],tblKredi[Kaynak Türü],$A10)</f>
        <v/>
      </c>
      <c r="E10" s="132">
        <f>SUMIFS(tblKredi[Kapsamdaki Gider (₺)],tblKredi[Kaynak Türü],$A10)</f>
        <v/>
      </c>
      <c r="F10" s="133">
        <f>IF($E$11=0,0,E10/$E$11)</f>
        <v/>
      </c>
    </row>
    <row r="11" ht="15" customHeight="1" s="78">
      <c r="A11" s="134" t="inlineStr">
        <is>
          <t>TOPLAM</t>
        </is>
      </c>
      <c r="B11" s="135">
        <f>SUM(B6:B10)</f>
        <v/>
      </c>
      <c r="C11" s="136">
        <f>SUM(C6:C10)</f>
        <v/>
      </c>
      <c r="D11" s="136">
        <f>SUM(D6:D10)</f>
        <v/>
      </c>
      <c r="E11" s="136">
        <f>SUM(E6:E10)</f>
        <v/>
      </c>
      <c r="F11" s="137">
        <f>SUM(F6:F10)</f>
        <v/>
      </c>
    </row>
    <row r="12" ht="15" customHeight="1" s="78">
      <c r="A12" s="134" t="inlineStr">
        <is>
          <t>Yıllık Ortalama Öz Kaynak</t>
        </is>
      </c>
      <c r="B12" s="136">
        <f>IFERROR(AVERAGE(tblDonem[Öz Kaynak (₺)]),0)</f>
        <v/>
      </c>
    </row>
    <row r="13" ht="15" customHeight="1" s="78">
      <c r="A13" s="134" t="inlineStr">
        <is>
          <t>Yıllık Ortalama Yabancı Kaynak</t>
        </is>
      </c>
      <c r="B13" s="136">
        <f>IFERROR(AVERAGE(tblDonem[Yabancı Kaynak (₺)]),0)</f>
        <v/>
      </c>
    </row>
    <row r="14" ht="15" customHeight="1" s="78">
      <c r="A14" s="134" t="inlineStr">
        <is>
          <t>Yabancı-Öz Kaynak Farkı (Aşan Kısım)</t>
        </is>
      </c>
      <c r="B14" s="136">
        <f>MAX(0,B13-B12)</f>
        <v/>
      </c>
    </row>
    <row r="15" ht="15" customHeight="1" s="78">
      <c r="A15" s="134" t="inlineStr">
        <is>
          <t>Fark Oranı (Aşan Kısım / Yabancı Kaynak)</t>
        </is>
      </c>
      <c r="B15" s="137">
        <f>IF(B13=0,0,B14/B13)</f>
        <v/>
      </c>
    </row>
    <row r="16" ht="15" customHeight="1" s="78">
      <c r="A16" s="134" t="inlineStr">
        <is>
          <t>Toplam Kapsamdaki Gider</t>
        </is>
      </c>
      <c r="B16" s="136">
        <f>SUM(tblDonem[Kapsamdaki Gider (₺)])</f>
        <v/>
      </c>
    </row>
    <row r="17" ht="15" customHeight="1" s="78">
      <c r="A17" s="134" t="inlineStr">
        <is>
          <t>Muafiyet Sonrası Kapsamdaki Gider</t>
        </is>
      </c>
      <c r="B17" s="136">
        <f>MAX(0,B16-KkegMuafiyetEsik)</f>
        <v/>
      </c>
    </row>
    <row r="18" ht="15" customHeight="1" s="78">
      <c r="A18" s="134" t="inlineStr">
        <is>
          <t>Aşan Kısma İsabet Eden Gider</t>
        </is>
      </c>
      <c r="B18" s="136">
        <f>IF(B16=0,0,ROUND(B17*B15,2))</f>
        <v/>
      </c>
    </row>
    <row r="19" ht="15" customHeight="1" s="78">
      <c r="A19" s="134" t="inlineStr">
        <is>
          <t>KKEG Tutarı</t>
        </is>
      </c>
      <c r="B19" s="136">
        <f>ROUND(B18*KkegOran,2)</f>
        <v/>
      </c>
    </row>
    <row r="20" ht="15" customHeight="1" s="78">
      <c r="A20" s="134" t="inlineStr">
        <is>
          <t>Kurumlar Vergisi Etkisi (Ek Vergi Yükü)</t>
        </is>
      </c>
      <c r="B20" s="136">
        <f>ROUND(B19*KkegKvOran,2)</f>
        <v/>
      </c>
    </row>
    <row r="21" ht="15" customHeight="1" s="78">
      <c r="A21" s="134" t="inlineStr">
        <is>
          <t>KKEG'nin Toplam Gidere Oranı</t>
        </is>
      </c>
      <c r="B21" s="137">
        <f>IF(B16=0,0,B19/B16)</f>
        <v/>
      </c>
    </row>
    <row r="23" ht="19.5" customHeight="1" s="78">
      <c r="A23" s="124" t="inlineStr">
        <is>
          <t>Hesap satırları yalnızca dönem kaynak ve kredi tablolarından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23:AN23"/>
  </mergeCells>
  <conditionalFormatting sqref="C6:C11">
    <cfRule type="cellIs" rank="0" priority="2" equalAverage="0" operator="lessThan" aboveAverage="0" dxfId="8" text="" percent="0" bottom="0">
      <formula>0</formula>
    </cfRule>
  </conditionalFormatting>
  <conditionalFormatting sqref="D6:D11">
    <cfRule type="cellIs" rank="0" priority="3" equalAverage="0" operator="lessThan" aboveAverage="0" dxfId="8" text="" percent="0" bottom="0">
      <formula>0</formula>
    </cfRule>
  </conditionalFormatting>
  <conditionalFormatting sqref="E6:E11">
    <cfRule type="cellIs" rank="0" priority="4" equalAverage="0" operator="lessThan" aboveAverage="0" dxfId="8" text="" percent="0" bottom="0">
      <formula>0</formula>
    </cfRule>
  </conditionalFormatting>
  <conditionalFormatting sqref="F6:F11">
    <cfRule type="cellIs" rank="0" priority="5" equalAverage="0" operator="lessThan" aboveAverage="0" dxfId="8" text="" percent="0" bottom="0">
      <formula>0</formula>
    </cfRule>
  </conditionalFormatting>
  <conditionalFormatting sqref="B14">
    <cfRule type="cellIs" rank="0" priority="6" equalAverage="0" operator="lessThan" aboveAverage="0" dxfId="8" text="" percent="0" bottom="0">
      <formula>0</formula>
    </cfRule>
  </conditionalFormatting>
  <conditionalFormatting sqref="B15">
    <cfRule type="cellIs" rank="0" priority="7" equalAverage="0" operator="greaterThan" aboveAverage="0" dxfId="10" text="" percent="0" bottom="0">
      <formula>0.3</formula>
    </cfRule>
  </conditionalFormatting>
  <conditionalFormatting sqref="B19">
    <cfRule type="cellIs" rank="0" priority="8" equalAverage="0" operator="greaterThan" aboveAverage="0" dxfId="10" text="" percent="0" bottom="0">
      <formula>500000</formula>
    </cfRule>
  </conditionalFormatting>
  <conditionalFormatting sqref="B20">
    <cfRule type="cellIs" rank="0" priority="9" equalAverage="0" operator="greaterThan" aboveAverage="0" dxfId="1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04" min="1" max="1"/>
    <col width="32" customWidth="1" style="104" min="2" max="2"/>
    <col width="52" customWidth="1" style="104" min="3" max="3"/>
    <col width="72" customWidth="1" style="104" min="4" max="4"/>
  </cols>
  <sheetData>
    <row r="1" ht="25.5" customHeight="1" s="78">
      <c r="A1" s="105" t="inlineStr">
        <is>
          <t>ANALITIK MOTOR — KKEG ve Finansman Gider Kısıtlaması Vergi Savunma Seti</t>
        </is>
      </c>
    </row>
    <row r="3" ht="15" customHeight="1" s="78">
      <c r="A3" s="108" t="inlineStr">
        <is>
          <t>ANALİTİK MOTOR — DERİNLİK KATMANI</t>
        </is>
      </c>
    </row>
    <row r="5" ht="30" customHeight="1" s="78">
      <c r="A5" s="117" t="inlineStr">
        <is>
          <t>Kod</t>
        </is>
      </c>
      <c r="B5" s="117" t="inlineStr">
        <is>
          <t>Gösterge</t>
        </is>
      </c>
      <c r="C5" s="117" t="inlineStr">
        <is>
          <t>Değer</t>
        </is>
      </c>
      <c r="D5" s="117" t="inlineStr">
        <is>
          <t>Makine Yorumu</t>
        </is>
      </c>
    </row>
    <row r="6" ht="30" customHeight="1" s="78">
      <c r="A6" s="138" t="inlineStr">
        <is>
          <t>T1</t>
        </is>
      </c>
      <c r="B6" s="139" t="inlineStr">
        <is>
          <t>Yabancı Kaynak Payı</t>
        </is>
      </c>
      <c r="C6" s="140">
        <f>IFERROR(IF(HESAP!B12+HESAP!B13=0,0,HESAP!B13/(HESAP!B12+HESAP!B13)),0)</f>
        <v/>
      </c>
      <c r="D6" s="141">
        <f>_xlfn.TEXTJOIN("; ",TRUE(),"Yabancı kaynağın toplam kaynağa payı ",TEXT(C6,"0.0%")," — pay yüksekse finansman gider kısıtlaması riski belirginleşir")</f>
        <v/>
      </c>
    </row>
    <row r="7" ht="30" customHeight="1" s="78">
      <c r="A7" s="138" t="inlineStr">
        <is>
          <t>T4</t>
        </is>
      </c>
      <c r="B7" s="139" t="inlineStr">
        <is>
          <t>İlk-Son Ay Öz Kaynak Farkı</t>
        </is>
      </c>
      <c r="C7" s="140">
        <f>IFERROR(INDEX(tblDonem[Öz Kaynak (₺)],COUNTA(tblDonem[Ay]))-INDEX(tblDonem[Öz Kaynak (₺)],1),0)</f>
        <v/>
      </c>
      <c r="D7" s="141">
        <f>_xlfn.TEXTJOIN("; ",TRUE(),"İlk ile son ay öz kaynak farkı ",TEXT(C7,"₺ #,##0")," TL — fark öz kaynak güçlenme eğilimini gösterir")</f>
        <v/>
      </c>
    </row>
    <row r="8" ht="30" customHeight="1" s="78">
      <c r="A8" s="138" t="inlineStr">
        <is>
          <t>O1</t>
        </is>
      </c>
      <c r="B8" s="139" t="inlineStr">
        <is>
          <t>Aylık Gider Sapması (STDEV)</t>
        </is>
      </c>
      <c r="C8" s="140">
        <f>IFERROR(stdev.p(tblDonem[Kapsamdaki Gider (₺)]),0)</f>
        <v/>
      </c>
      <c r="D8" s="141">
        <f>_xlfn.TEXTJOIN("; ",TRUE(),"Aylık kapsamdaki giderlerin standart sapması ",TEXT(C8,"₺ #,##0")," TL — sapma yüksekse gider yapısı dengesizdir")</f>
        <v/>
      </c>
    </row>
    <row r="9" ht="30" customHeight="1" s="78">
      <c r="A9" s="138" t="inlineStr">
        <is>
          <t>O2</t>
        </is>
      </c>
      <c r="B9" s="139" t="inlineStr">
        <is>
          <t>Tornado: En Büyük Etki</t>
        </is>
      </c>
      <c r="C9" s="140">
        <f>MAX(SENARYO_DUYARLILIK!B12:B13)</f>
        <v/>
      </c>
      <c r="D9" s="141">
        <f>_xlfn.TEXTJOIN("; ",TRUE(),"KKEG tutarını en çok etkileyen değişkenin etkisi ",TEXT(C9,"₺ #,##0")," TL — öncelik bu değişkenin izlenmesinde")</f>
        <v/>
      </c>
    </row>
    <row r="10" ht="30" customHeight="1" s="78">
      <c r="A10" s="138" t="inlineStr">
        <is>
          <t>O3</t>
        </is>
      </c>
      <c r="B10" s="139" t="inlineStr">
        <is>
          <t>Senaryo Bant Genişliği</t>
        </is>
      </c>
      <c r="C10" s="140">
        <f>SENARYO_DUYARLILIK!C7-SENARYO_DUYARLILIK!C9</f>
        <v/>
      </c>
      <c r="D10" s="141">
        <f>_xlfn.TEXTJOIN("; ",TRUE(),"İyimser ile kötümser senaryo KKEG farkı ",TEXT(C10,"₺ #,##0")," TL — belirsizlik aralığını gösterir")</f>
        <v/>
      </c>
    </row>
    <row r="11" ht="30" customHeight="1" s="78">
      <c r="A11" s="138" t="inlineStr">
        <is>
          <t>O6</t>
        </is>
      </c>
      <c r="B11" s="139" t="inlineStr">
        <is>
          <t>Kaynak Türü Yoğunlaşması (HHI)</t>
        </is>
      </c>
      <c r="C11" s="140">
        <f>IFERROR(SUMPRODUCT((HESAP!$C$6:$C$10/SUM(HESAP!$C$6:$C$10))^2),0)</f>
        <v/>
      </c>
      <c r="D11" s="141">
        <f>_xlfn.TEXTJOIN("; ",TRUE(),"Kredi yoğunlaşma endeksi ",TEXT(C11,"0.000")," — 1 e yaklaştıkça kredi tek kaynak türünde toplanır")</f>
        <v/>
      </c>
    </row>
    <row r="12" ht="30" customHeight="1" s="78">
      <c r="A12" s="138" t="inlineStr">
        <is>
          <t>O8</t>
        </is>
      </c>
      <c r="B12" s="139" t="inlineStr">
        <is>
          <t>Veri Kalite Skoru</t>
        </is>
      </c>
      <c r="C12" s="131">
        <f>KONTROLLER!B19</f>
        <v/>
      </c>
      <c r="D12" s="141">
        <f>_xlfn.TEXTJOIN("; ",TRUE(),"Veri kalite skoru ",TEXT(C12,"0")," puan — ",IF(C12&gt;=KkegKaliteIyi,"yüksek güven","veri girişi tamamlanmalı"))</f>
        <v/>
      </c>
    </row>
    <row r="13" ht="30" customHeight="1" s="78">
      <c r="A13" s="138" t="inlineStr">
        <is>
          <t>I1</t>
        </is>
      </c>
      <c r="B13" s="139" t="inlineStr">
        <is>
          <t>Gelecek Dönem Kapsamdaki Gider Tahmini</t>
        </is>
      </c>
      <c r="C13" s="132">
        <f>PANO!B24</f>
        <v/>
      </c>
      <c r="D13" s="141">
        <f>_xlfn.TEXTJOIN("; ",TRUE(),"Gelecek dönem kapsamdaki gider tahmini ",TEXT(C13,"₺ #,##0")," TL — güven bandı için alt/üst sınır PANO sayfasındadır")</f>
        <v/>
      </c>
    </row>
    <row r="14" ht="30" customHeight="1" s="78">
      <c r="A14" s="138" t="inlineStr">
        <is>
          <t>I2</t>
        </is>
      </c>
      <c r="B14" s="139" t="inlineStr">
        <is>
          <t>Kredi Tutarı Yüzdelik P90</t>
        </is>
      </c>
      <c r="C14" s="140">
        <f>IFERROR(_xlfn.PERCENTILE.INC(tblKredi[Kredi Tutarı (₺)],KkegP90Oran),0)</f>
        <v/>
      </c>
      <c r="D14" s="141">
        <f>_xlfn.TEXTJOIN("; ",TRUE(),"Kredi tutarlarının %90 ı ",TEXT(C14,"₺ #,##0")," TL altında gerçekleşir — üst sınır nakit planı için kullanılabilir")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D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4" min="1" max="1"/>
    <col width="55" customWidth="1" style="104" min="2" max="2"/>
  </cols>
  <sheetData>
    <row r="1" ht="25.5" customHeight="1" s="78">
      <c r="A1" s="105" t="inlineStr">
        <is>
          <t>KONTROLLER — KKEG ve Finansman Gider Kısıtlaması Vergi Savunma Seti</t>
        </is>
      </c>
    </row>
    <row r="3" ht="15.75" customHeight="1" s="78">
      <c r="A3" s="112" t="inlineStr">
        <is>
          <t>Giriş Kalite Kontrolleri</t>
        </is>
      </c>
    </row>
    <row r="4" ht="27.75" customHeight="1" s="78">
      <c r="A4" s="107" t="inlineStr">
        <is>
          <t>Aşağıdaki kontroller canlı formüllerle çalışır; sorun varsa uyarı üretir.</t>
        </is>
      </c>
    </row>
    <row r="6" ht="15" customHeight="1" s="78">
      <c r="A6" s="110" t="inlineStr">
        <is>
          <t>Boş ay satırı var mı?</t>
        </is>
      </c>
      <c r="B6" s="140">
        <f>IF(COUNTBLANK(tblDonem[Ay])=0,"TEMİZ","BOŞ VAR")</f>
        <v/>
      </c>
    </row>
    <row r="7" ht="15" customHeight="1" s="78">
      <c r="A7" s="110" t="inlineStr">
        <is>
          <t>Boş öz kaynak var mı?</t>
        </is>
      </c>
      <c r="B7" s="140">
        <f>IF(COUNTBLANK(tblDonem[Öz Kaynak (₺)])=0,"TEMİZ","BOŞ VAR")</f>
        <v/>
      </c>
    </row>
    <row r="8" ht="15" customHeight="1" s="78">
      <c r="A8" s="110" t="inlineStr">
        <is>
          <t>Negatif değer var mı?</t>
        </is>
      </c>
      <c r="B8" s="140">
        <f>IF(COUNTIF(tblDonem[Öz Kaynak (₺)],"&lt;0")=0,"TEMİZ","NEGATİF VAR")</f>
        <v/>
      </c>
    </row>
    <row r="9" ht="15" customHeight="1" s="78">
      <c r="A9" s="110" t="inlineStr">
        <is>
          <t>Yabancı kaynak sıfır mı?</t>
        </is>
      </c>
      <c r="B9" s="140">
        <f>IF(COUNTIF(tblDonem[Yabancı Kaynak (₺)],"=0")&gt;0,"SIFIR VAR","NORMAL")</f>
        <v/>
      </c>
    </row>
    <row r="10" ht="15" customHeight="1" s="78">
      <c r="A10" s="110" t="inlineStr">
        <is>
          <t>Kapsam dışı boş mu?</t>
        </is>
      </c>
      <c r="B10" s="140">
        <f>IF(COUNTIF(tblKredi[Kapsam Dışı mı?],"")&gt;0,"BOŞ VAR","TEMİZ")</f>
        <v/>
      </c>
    </row>
    <row r="11" ht="15" customHeight="1" s="78">
      <c r="A11" s="110" t="inlineStr">
        <is>
          <t>Fark oranı eşikte mi?</t>
        </is>
      </c>
      <c r="B11" s="140">
        <f>IF(HESAP!B15&gt;KkegFarkEsik,"AŞIYOR","NORMAL")</f>
        <v/>
      </c>
    </row>
    <row r="12" ht="15" customHeight="1" s="78">
      <c r="A12" s="110" t="inlineStr">
        <is>
          <t>KKEG eşiği aşılıyor mu?</t>
        </is>
      </c>
      <c r="B12" s="140">
        <f>IF(HESAP!B19&gt;KkegEsik,"AŞIYOR","NORMAL")</f>
        <v/>
      </c>
    </row>
    <row r="13" ht="15" customHeight="1" s="78">
      <c r="A13" s="110" t="inlineStr">
        <is>
          <t>Kapsamdaki gider eşikte mi?</t>
        </is>
      </c>
      <c r="B13" s="140">
        <f>IF(HESAP!B16&gt;KkegGiderEsik,"AŞIYOR","NORMAL")</f>
        <v/>
      </c>
    </row>
    <row r="15" ht="15" customHeight="1" s="78">
      <c r="A15" s="108" t="inlineStr">
        <is>
          <t>Veri Kalitesi Skoru (0-100)</t>
        </is>
      </c>
    </row>
    <row r="16" ht="27.75" customHeight="1" s="78">
      <c r="A16" s="107" t="inlineStr">
        <is>
          <t>Boş ve negatif girişlerin oranına göre üretilen kalite skoru.</t>
        </is>
      </c>
    </row>
    <row r="17" ht="15" customHeight="1" s="78">
      <c r="A17" s="110" t="inlineStr">
        <is>
          <t>Toplam Giriş Hücresi</t>
        </is>
      </c>
      <c r="B17" s="131">
        <f>COUNTA(tblDonem[Ay])*KkegDonemGirisKolon+COUNTA(tblKredi[Kredi Numarası])*KkegKrediGirisKolon</f>
        <v/>
      </c>
    </row>
    <row r="18" ht="15" customHeight="1" s="78">
      <c r="A18" s="110" t="inlineStr">
        <is>
          <t>Dolu Giriş Hücresi</t>
        </is>
      </c>
      <c r="B18" s="131">
        <f>COUNTA(tblDonem[Ay])+COUNTA(tblDonem[Öz Kaynak (₺)])+COUNTA(tblDonem[Yabancı Kaynak (₺)])+COUNTA(tblDonem[Finansman Gideri (₺)])+COUNTA(tblDonem[Kur Farkı Gideri (₺)])+COUNTA(tblDonem[Kapsam Dışı Gider (₺)])+COUNTA(tblKredi[Kredi Numarası])+COUNTA(tblKredi[Kaynak Türü])+COUNTA(tblKredi[Kredi Tutarı (₺)])+COUNTA(tblKredi[Yıllık Faiz Oranı])+COUNTA(tblKredi[Dönem Finansman Gideri (₺)])+COUNTA(tblKredi[Kapsam Dışı mı?])+COUNTA(tblKredi[Açıklama])</f>
        <v/>
      </c>
    </row>
    <row r="19" ht="15" customHeight="1" s="78">
      <c r="A19" s="130" t="inlineStr">
        <is>
          <t>Kalite Skoru</t>
        </is>
      </c>
      <c r="B19" s="135">
        <f>ROUND(IF(KkegToplamGiris=0,0,KkegDoluGiris/KkegToplamGiris*100),0)</f>
        <v/>
      </c>
    </row>
    <row r="20" ht="15" customHeight="1" s="78">
      <c r="A20" s="110" t="inlineStr">
        <is>
          <t>Kalite Seviyesi</t>
        </is>
      </c>
      <c r="B20" s="140">
        <f>IF(B19&gt;=KkegKaliteIyi,"YÜKSEK",IF(B19&gt;=KkegKaliteOrta,"ORTA","DÜŞÜK"))</f>
        <v/>
      </c>
    </row>
    <row r="22" ht="19.5" customHeight="1" s="78">
      <c r="A22" s="124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rank="0" priority="2" equalAverage="0" operator="equal" aboveAverage="0" dxfId="12" text="" percent="0" bottom="0">
      <formula>"BOŞ VAR"</formula>
    </cfRule>
    <cfRule type="cellIs" rank="0" priority="3" equalAverage="0" operator="equal" aboveAverage="0" dxfId="12" text="" percent="0" bottom="0">
      <formula>"NEGATİF VAR"</formula>
    </cfRule>
    <cfRule type="cellIs" rank="0" priority="4" equalAverage="0" operator="equal" aboveAverage="0" dxfId="12" text="" percent="0" bottom="0">
      <formula>"SIFIR VAR"</formula>
    </cfRule>
    <cfRule type="cellIs" rank="0" priority="5" equalAverage="0" operator="equal" aboveAverage="0" dxfId="12" text="" percent="0" bottom="0">
      <formula>"EKSİK VAR"</formula>
    </cfRule>
    <cfRule type="cellIs" rank="0" priority="6" equalAverage="0" operator="equal" aboveAverage="0" dxfId="12" text="" percent="0" bottom="0">
      <formula>"AŞIYOR"</formula>
    </cfRule>
    <cfRule type="cellIs" rank="0" priority="7" equalAverage="0" operator="equal" aboveAverage="0" dxfId="12" text="" percent="0" bottom="0">
      <formula>"YÜKSEK"</formula>
    </cfRule>
    <cfRule type="cellIs" rank="0" priority="8" equalAverage="0" operator="equal" aboveAverage="0" dxfId="9" text="" percent="0" bottom="0">
      <formula>"TEMİZ"</formula>
    </cfRule>
    <cfRule type="cellIs" rank="0" priority="9" equalAverage="0" operator="equal" aboveAverage="0" dxfId="9" text="" percent="0" bottom="0">
      <formula>"NORMAL"</formula>
    </cfRule>
  </conditionalFormatting>
  <conditionalFormatting sqref="B19">
    <cfRule type="cellIs" rank="0" priority="10" equalAverage="0" operator="lessThan" aboveAverage="0" dxfId="8" text="" percent="0" bottom="0">
      <formula>70</formula>
    </cfRule>
    <cfRule type="cellIs" rank="0" priority="11" equalAverage="0" operator="between" aboveAverage="0" dxfId="10" text="" percent="0" bottom="0">
      <formula>70</formula>
      <formula>90</formula>
    </cfRule>
    <cfRule type="cellIs" rank="0" priority="12" equalAverage="0" operator="greaterThanOrEqual" aboveAverage="0" dxfId="9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4" min="1" max="1"/>
    <col width="60" customWidth="1" style="104" min="2" max="2"/>
  </cols>
  <sheetData>
    <row r="1" ht="25.5" customHeight="1" s="78">
      <c r="A1" s="105" t="inlineStr">
        <is>
          <t>KARAR — KKEG ve Finansman Gider Kısıtlaması Vergi Savunma Seti</t>
        </is>
      </c>
    </row>
    <row r="3" ht="15.75" customHeight="1" s="78">
      <c r="A3" s="112" t="inlineStr">
        <is>
          <t>Karar Kapısı — KKEG ve Finansman Gider Kısıtlaması</t>
        </is>
      </c>
    </row>
    <row r="4" ht="27.75" customHeight="1" s="78">
      <c r="A4" s="107" t="inlineStr">
        <is>
          <t>Fark oranı, KKEG tutarı ve kapsamdaki gider eşiklerine göre üretilen karar.</t>
        </is>
      </c>
    </row>
    <row r="6" ht="15" customHeight="1" s="78">
      <c r="A6" s="110" t="inlineStr">
        <is>
          <t>KKEG Tutarı</t>
        </is>
      </c>
      <c r="B6" s="136">
        <f>HESAP!B19</f>
        <v/>
      </c>
    </row>
    <row r="7" ht="15" customHeight="1" s="78">
      <c r="A7" s="110" t="inlineStr">
        <is>
          <t>Yıllık Ortalama Yabancı Kaynak</t>
        </is>
      </c>
      <c r="B7" s="132">
        <f>HESAP!B13</f>
        <v/>
      </c>
    </row>
    <row r="8" ht="15" customHeight="1" s="78">
      <c r="A8" s="110" t="inlineStr">
        <is>
          <t>Kapsamdaki Gider</t>
        </is>
      </c>
      <c r="B8" s="132">
        <f>HESAP!B16</f>
        <v/>
      </c>
    </row>
    <row r="9" ht="15" customHeight="1" s="78">
      <c r="A9" s="110" t="inlineStr">
        <is>
          <t>Fark Oranı</t>
        </is>
      </c>
      <c r="B9" s="133">
        <f>HESAP!B15</f>
        <v/>
      </c>
    </row>
    <row r="11" ht="21" customHeight="1" s="78">
      <c r="A11" s="142" t="inlineStr">
        <is>
          <t>KARAR</t>
        </is>
      </c>
      <c r="B11" s="143">
        <f>IF(COUNTA(tblDonem[Ay])=0,"VERİ YOK",IF(COUNTIF(tblDonem[Öz Kaynak (₺)],"&lt;0")&gt;0,"DURDUR",IF(AND(COUNTA(tblDonem[Ay])&gt;0,HESAP!B12=0),"DURDUR",IF(HESAP!B15&gt;KkegFarkEsik,"İNCELE",IF(HESAP!B19&gt;KkegEsik,"İNCELE",IF(HESAP!B16&gt;KkegGiderEsik,"İNCELE","UYGUN"))))))</f>
        <v/>
      </c>
    </row>
    <row r="12" ht="15" customHeight="1" s="78">
      <c r="A12" s="130" t="inlineStr">
        <is>
          <t>Gerekçe</t>
        </is>
      </c>
      <c r="B12" s="141">
        <f>IF(COUNTIF(tblDonem[Öz Kaynak (₺)],"&lt;0")&gt;0,"Negatif öz kaynak girişi tespit edildi; veriler mutlaka düzeltilmeli.",IF(AND(COUNTA(tblDonem[Ay])&gt;0,HESAP!B12=0),"Öz kaynak ortalaması sıfır; kısıtlama hesabı yapılamaz, veri girişi düzeltilmeli.",IF(HESAP!B15&gt;KkegFarkEsik,"Yabancı kaynak öz kaynağı belirgin aşıyor; finansman gider kısıtlaması riski yüksek.",IF(HESAP!B19&gt;KkegEsik,"KKEG tutarı eşiğin üzerinde; vergi yükü ve savunma dosyası kapsamlı inceleme gerektirir.",IF(HESAP!B16&gt;KkegGiderEsik,"Kapsamdaki gider eşiğin üzerinde; gider ayrıştırması ve belgeleme kontrol edilmeli.","Karar kapısı uygun: finansman gider kısıtlaması riski düşük, KKEG tutarı kabul edilebilir.")))))</f>
        <v/>
      </c>
    </row>
    <row r="14" ht="15" customHeight="1" s="78">
      <c r="A14" s="108" t="inlineStr">
        <is>
          <t>Önerilen Aksiyonlar</t>
        </is>
      </c>
    </row>
    <row r="15" ht="15" customHeight="1" s="78">
      <c r="A15" s="110" t="inlineStr">
        <is>
          <t>Aksiyon 1</t>
        </is>
      </c>
      <c r="B15" s="141">
        <f>KkegAksiyon1_ACIKLAMA</f>
        <v/>
      </c>
    </row>
    <row r="16" ht="15" customHeight="1" s="78">
      <c r="A16" s="110" t="inlineStr">
        <is>
          <t>Aksiyon 2</t>
        </is>
      </c>
      <c r="B16" s="141">
        <f>KkegAksiyon2_ACIKLAMA</f>
        <v/>
      </c>
    </row>
    <row r="17" ht="15" customHeight="1" s="78">
      <c r="A17" s="110" t="inlineStr">
        <is>
          <t>Aksiyon 3</t>
        </is>
      </c>
      <c r="B17" s="141">
        <f>KkegAksiyon3_ACIKLAMA</f>
        <v/>
      </c>
    </row>
    <row r="19" ht="19.5" customHeight="1" s="78">
      <c r="A19" s="124" t="inlineStr">
        <is>
          <t>Karar yalnızca giriş verisi ve AYARLAR'daki eşiklerden türetilir; kesin vergi incelemesi sonucu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6:J16"/>
    <mergeCell ref="B17:J17"/>
    <mergeCell ref="A19:AN19"/>
    <mergeCell ref="B12:J12"/>
    <mergeCell ref="A1:AD1"/>
  </mergeCells>
  <conditionalFormatting sqref="B11">
    <cfRule type="cellIs" rank="0" priority="2" equalAverage="0" operator="equal" aboveAverage="0" dxfId="13" text="" percent="0" bottom="0">
      <formula>"UYGUN"</formula>
    </cfRule>
    <cfRule type="cellIs" rank="0" priority="3" equalAverage="0" operator="equal" aboveAverage="0" dxfId="11" text="" percent="0" bottom="0">
      <formula>"İNCELE"</formula>
    </cfRule>
    <cfRule type="cellIs" rank="0" priority="4" equalAverage="0" operator="equal" aboveAverage="0" dxfId="12" text="" percent="0" bottom="0">
      <formula>"DURDUR"</formula>
    </cfRule>
    <cfRule type="cellIs" rank="0" priority="5" equalAverage="0" operator="equal" aboveAverage="0" dxfId="12" text="" percent="0" bottom="0">
      <formula>"VERİ YOK"</formula>
    </cfRule>
  </conditionalFormatting>
  <conditionalFormatting sqref="B6">
    <cfRule type="cellIs" rank="0" priority="6" equalAverage="0" operator="lessThan" aboveAverage="0" dxfId="8" text="" percent="0" bottom="0">
      <formula>0</formula>
    </cfRule>
  </conditionalFormatting>
  <conditionalFormatting sqref="B8">
    <cfRule type="cellIs" rank="0" priority="7" equalAverage="0" operator="greaterThan" aboveAverage="0" dxfId="10" text="" percent="0" bottom="0">
      <formula>10000000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4" min="1" max="1"/>
    <col width="30" customWidth="1" style="104" min="2" max="2"/>
    <col width="20" customWidth="1" style="104" min="3" max="3"/>
    <col width="18" customWidth="1" style="104" min="4" max="4"/>
  </cols>
  <sheetData>
    <row r="1" ht="25.5" customHeight="1" s="78">
      <c r="A1" s="105" t="inlineStr">
        <is>
          <t>SENARYO DUYARLILIK — KKEG ve Finansman Gider Kısıtlaması Vergi Savunma Seti</t>
        </is>
      </c>
    </row>
    <row r="3" ht="15.75" customHeight="1" s="78">
      <c r="A3" s="112" t="inlineStr">
        <is>
          <t>Senaryo ve Duyarlılık Analizi</t>
        </is>
      </c>
    </row>
    <row r="4" ht="41.25" customHeight="1" s="78">
      <c r="A4" s="107" t="inlineStr">
        <is>
          <t>İyimser, baz ve kötümser senaryolarda KKEG tutarı; ardından hangi değişkenin sonucu en çok etkilediğini gösteren tornado analizi.</t>
        </is>
      </c>
    </row>
    <row r="6" ht="15" customHeight="1" s="78">
      <c r="A6" s="152" t="inlineStr">
        <is>
          <t>Senaryo</t>
        </is>
      </c>
      <c r="B6" s="152" t="inlineStr">
        <is>
          <t>Kapsamdaki Gider Çarpanı</t>
        </is>
      </c>
      <c r="C6" s="152" t="inlineStr">
        <is>
          <t>KKEG Tutarı</t>
        </is>
      </c>
      <c r="D6" s="152" t="inlineStr">
        <is>
          <t>KKEG Gider Oranı</t>
        </is>
      </c>
    </row>
    <row r="7" ht="15" customHeight="1" s="78">
      <c r="A7" s="130" t="inlineStr">
        <is>
          <t>İYİMSER</t>
        </is>
      </c>
      <c r="B7" s="133">
        <f>IF(SUM(tblDonem[Kapsamdaki Gider (₺)])=0,0,KkegIyiSenaryo)</f>
        <v/>
      </c>
      <c r="C7" s="132">
        <f>ROUND(HESAP!B19*KkegIyiSenaryo,0)</f>
        <v/>
      </c>
      <c r="D7" s="133">
        <f>IF(HESAP!B19=0,0,C7/HESAP!B19)</f>
        <v/>
      </c>
    </row>
    <row r="8" ht="15" customHeight="1" s="78">
      <c r="A8" s="130" t="inlineStr">
        <is>
          <t>BAZ</t>
        </is>
      </c>
      <c r="B8" s="133">
        <f>IF(SUM(tblDonem[Kapsamdaki Gider (₺)])=0,0,KkegBazSenaryo)</f>
        <v/>
      </c>
      <c r="C8" s="132">
        <f>ROUND(HESAP!B19*KkegBazSenaryo,0)</f>
        <v/>
      </c>
      <c r="D8" s="133">
        <f>IF(HESAP!B19=0,0,C8/HESAP!B19)</f>
        <v/>
      </c>
    </row>
    <row r="9" ht="15" customHeight="1" s="78">
      <c r="A9" s="130" t="inlineStr">
        <is>
          <t>KÖTÜMSER</t>
        </is>
      </c>
      <c r="B9" s="133">
        <f>IF(SUM(tblDonem[Kapsamdaki Gider (₺)])=0,0,KkegKotuSenaryo)</f>
        <v/>
      </c>
      <c r="C9" s="132">
        <f>ROUND(HESAP!B19*KkegKotuSenaryo,0)</f>
        <v/>
      </c>
      <c r="D9" s="133">
        <f>IF(HESAP!B19=0,0,C9/HESAP!B19)</f>
        <v/>
      </c>
    </row>
    <row r="11" ht="15" customHeight="1" s="78">
      <c r="A11" s="108" t="inlineStr">
        <is>
          <t>Tornado: KKEG Tutarına Etki</t>
        </is>
      </c>
    </row>
    <row r="12" ht="15" customHeight="1" s="78">
      <c r="A12" s="110" t="inlineStr">
        <is>
          <t>Yabancı Kaynak +%1</t>
        </is>
      </c>
      <c r="B12" s="132">
        <f>ROUND(HESAP!B19*KkegTornadoYabanci,0)</f>
        <v/>
      </c>
    </row>
    <row r="13" ht="15" customHeight="1" s="78">
      <c r="A13" s="110" t="inlineStr">
        <is>
          <t>Kısıtlama Oranı +%1</t>
        </is>
      </c>
      <c r="B13" s="132">
        <f>ROUND(HESAP!B19*KkegTornadoOran,0)</f>
        <v/>
      </c>
    </row>
    <row r="15" ht="15" customHeight="1" s="78">
      <c r="A15" s="134" t="inlineStr">
        <is>
          <t>En Etkili Değişken</t>
        </is>
      </c>
      <c r="B15" s="153">
        <f>IF(B12&gt;=B13,"Yabancı Kaynak","Kısıtlama Oranı")</f>
        <v/>
      </c>
    </row>
    <row r="17" ht="19.5" customHeight="1" s="78">
      <c r="A17" s="124" t="inlineStr">
        <is>
          <t>Senaryo çarpanları AYARLAR'daki parametrelerden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7:AN17"/>
    <mergeCell ref="A1:AD1"/>
  </mergeCells>
  <conditionalFormatting sqref="C7:C9">
    <cfRule type="cellIs" rank="0" priority="2" equalAverage="0" operator="lessThan" aboveAverage="0" dxfId="8" text="" percent="0" bottom="0">
      <formula>0</formula>
    </cfRule>
  </conditionalFormatting>
  <conditionalFormatting sqref="D7:D9">
    <cfRule type="cellIs" rank="0" priority="3" equalAverage="0" operator="lessThan" aboveAverage="0" dxfId="8" text="" percent="0" bottom="0">
      <formula>1</formula>
    </cfRule>
    <cfRule type="cellIs" rank="0" priority="4" equalAverage="0" operator="greaterThan" aboveAverage="0" dxfId="10" text="" percent="0" bottom="0">
      <formula>1.5</formula>
    </cfRule>
  </conditionalFormatting>
  <conditionalFormatting sqref="B12:B13">
    <cfRule type="cellIs" rank="0" priority="5" equalAverage="0" operator="less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N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4" min="1" max="1"/>
    <col width="40" customWidth="1" style="104" min="2" max="2"/>
  </cols>
  <sheetData>
    <row r="1" ht="25.5" customHeight="1" s="78">
      <c r="A1" s="154" t="inlineStr">
        <is>
          <t>KKEG VE FİNANSMAN GİDER KISITLAMASI — YÖNETİCİ ÖZETİ</t>
        </is>
      </c>
    </row>
    <row r="2" ht="15" customHeight="1" s="78">
      <c r="A2" s="155">
        <f>_xlfn.CONCAT("Rapor Tarihi: ",TEXT(RaporTarihi,"dd.mm.yyyy")," | Hazırlayan: ",RaporHazirlayan," | Sürüm: ",DosyaSurumu)</f>
        <v/>
      </c>
    </row>
    <row r="4" ht="17.25" customHeight="1" s="78">
      <c r="A4" s="108" t="inlineStr">
        <is>
          <t>Karar</t>
        </is>
      </c>
      <c r="B4" s="143">
        <f>KARAR!B11</f>
        <v/>
      </c>
    </row>
    <row r="6" ht="15" customHeight="1" s="78">
      <c r="A6" s="110" t="inlineStr">
        <is>
          <t>Yıllık Ortalama Öz Kaynak</t>
        </is>
      </c>
      <c r="B6" s="132">
        <f>HESAP!B12</f>
        <v/>
      </c>
    </row>
    <row r="7" ht="15" customHeight="1" s="78">
      <c r="A7" s="110" t="inlineStr">
        <is>
          <t>Yıllık Ortalama Yabancı Kaynak</t>
        </is>
      </c>
      <c r="B7" s="132">
        <f>HESAP!B13</f>
        <v/>
      </c>
    </row>
    <row r="8" ht="15" customHeight="1" s="78">
      <c r="A8" s="110" t="inlineStr">
        <is>
          <t>Yabancı-Öz Kaynak Farkı</t>
        </is>
      </c>
      <c r="B8" s="132">
        <f>HESAP!B14</f>
        <v/>
      </c>
    </row>
    <row r="9" ht="15" customHeight="1" s="78">
      <c r="A9" s="110" t="inlineStr">
        <is>
          <t>Toplam Kapsamdaki Gider</t>
        </is>
      </c>
      <c r="B9" s="132">
        <f>HESAP!B16</f>
        <v/>
      </c>
    </row>
    <row r="10" ht="15" customHeight="1" s="78">
      <c r="A10" s="110" t="inlineStr">
        <is>
          <t>KKEG Tutarı</t>
        </is>
      </c>
      <c r="B10" s="132">
        <f>HESAP!B19</f>
        <v/>
      </c>
    </row>
    <row r="11" ht="15" customHeight="1" s="78">
      <c r="A11" s="110" t="inlineStr">
        <is>
          <t>Kurumlar Vergisi Etkisi</t>
        </is>
      </c>
      <c r="B11" s="132">
        <f>HESAP!B20</f>
        <v/>
      </c>
    </row>
    <row r="12" ht="15" customHeight="1" s="78">
      <c r="A12" s="110" t="inlineStr">
        <is>
          <t>Fark Oranı</t>
        </is>
      </c>
      <c r="B12" s="133">
        <f>HESAP!B15</f>
        <v/>
      </c>
    </row>
    <row r="13" ht="15" customHeight="1" s="78">
      <c r="A13" s="110" t="inlineStr">
        <is>
          <t>Kaynak Yoğunlaşması (HHI)</t>
        </is>
      </c>
      <c r="B13" s="156">
        <f>ANALITIK_MOTOR!C11</f>
        <v/>
      </c>
    </row>
    <row r="14" ht="15" customHeight="1" s="78">
      <c r="A14" s="110" t="inlineStr">
        <is>
          <t>Kalite Skoru</t>
        </is>
      </c>
      <c r="B14" s="131">
        <f>KONTROLLER!B19</f>
        <v/>
      </c>
    </row>
    <row r="16" ht="15" customHeight="1" s="78">
      <c r="A16" s="148" t="inlineStr">
        <is>
          <t>Varsayımlar ve Önemli Notlar</t>
        </is>
      </c>
    </row>
    <row r="17" ht="15" customHeight="1" s="78">
      <c r="A17" s="109" t="inlineStr">
        <is>
          <t>• KKEG tutarı, yabancı kaynak öz kaynağı aştığında aşan kısma isabet eden finansman giderinin kısıtlama oranıyla çarpımıdır; kesin sonuç vergi incelemesine bağlıdır.</t>
        </is>
      </c>
    </row>
    <row r="18" ht="15" customHeight="1" s="78">
      <c r="A18" s="109" t="inlineStr">
        <is>
          <t>• Kısıtlama oranı, kurumlar vergisi oranı ve muafiyet eşiği AYARLAR sayfasından alınır; mevzuat değişikliklerinde güncellenmelidir.</t>
        </is>
      </c>
    </row>
    <row r="19" ht="15" customHeight="1" s="78">
      <c r="A19" s="109" t="inlineStr">
        <is>
          <t>• Kapsam dışı giderler, kredi listesindeki kapsam dışı işaretleriyle ayrıştırılır; kur farkı giderleri dönem kaynak tablosundan gelir.</t>
        </is>
      </c>
    </row>
    <row r="20" ht="15" customHeight="1" s="78">
      <c r="A20" s="109" t="inlineStr">
        <is>
          <t>• Bu dosya kurumlar vergisi beyannamesi yerine geçmez; mali müşavir görüşü gerektirir.</t>
        </is>
      </c>
    </row>
    <row r="21" ht="15" customHeight="1" s="78">
      <c r="A21" s="109" t="inlineStr">
        <is>
          <t>• Demo veriler gerçek müşteri verisi değildir; kullanımdan önce temizlenmelidir.</t>
        </is>
      </c>
    </row>
    <row r="23" ht="15" customHeight="1" s="78">
      <c r="A23" s="148" t="inlineStr">
        <is>
          <t>Önerilen Aksiyonlar</t>
        </is>
      </c>
    </row>
    <row r="24" ht="15" customHeight="1" s="78">
      <c r="A24" s="109">
        <f>KkegAksiyon1_ACIKLAMA</f>
        <v/>
      </c>
    </row>
    <row r="25" ht="15" customHeight="1" s="78">
      <c r="A25" s="109">
        <f>KkegAksiyon2_ACIKLAMA</f>
        <v/>
      </c>
    </row>
    <row r="26" ht="15" customHeight="1" s="78">
      <c r="A26" s="109">
        <f>KkegAksiyon3_ACIKLAMA</f>
        <v/>
      </c>
    </row>
    <row r="28" ht="21.75" customHeight="1" s="78">
      <c r="A28" s="157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4:L24"/>
    <mergeCell ref="A2:L2"/>
    <mergeCell ref="A26:L26"/>
    <mergeCell ref="A25:L25"/>
    <mergeCell ref="A19:L19"/>
    <mergeCell ref="A17:L17"/>
    <mergeCell ref="A18:L18"/>
    <mergeCell ref="A21:L21"/>
    <mergeCell ref="A1:AN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&amp;LKKEG ve Finansman Gider Kısıtlaması Vergi Savunma Seti&amp;CExcelArşiv&amp;RSayfa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04" min="1" max="1"/>
    <col width="18" customWidth="1" style="104" min="2" max="2"/>
    <col width="20" customWidth="1" style="104" min="3" max="7"/>
    <col width="22" customWidth="1" style="104" min="8" max="8"/>
    <col width="24" customWidth="1" style="104" min="10" max="10"/>
    <col width="18" customWidth="1" style="104" min="11" max="12"/>
    <col width="14" customWidth="1" style="104" min="13" max="13"/>
    <col width="18" customWidth="1" style="104" min="14" max="14"/>
    <col width="16" customWidth="1" style="104" min="15" max="15"/>
    <col width="10" customWidth="1" style="104" min="16" max="16"/>
    <col width="20" customWidth="1" style="104" min="17" max="17"/>
    <col width="22" customWidth="1" style="104" min="18" max="18"/>
  </cols>
  <sheetData>
    <row r="1" ht="25.5" customHeight="1" s="78">
      <c r="A1" s="105" t="inlineStr">
        <is>
          <t>ORNEK VERI — KKEG ve Finansman Gider Kısıtlaması Vergi Savunma Seti</t>
        </is>
      </c>
    </row>
    <row r="3" ht="15" customHeight="1" s="78">
      <c r="A3" s="108" t="inlineStr">
        <is>
          <t>Örnek Veri (Demo)</t>
        </is>
      </c>
      <c r="J3" s="108" t="inlineStr">
        <is>
          <t>Kredi Listesi (Demo)</t>
        </is>
      </c>
    </row>
    <row r="4" ht="149.25" customHeight="1" s="78">
      <c r="A4" s="107" t="inlineStr">
        <is>
          <t>Gerçek girişlere başlamadan önce demo veri ile ürünü deneyin. Bu satırlar örnektir; gerçek verilerle değiştirin.</t>
        </is>
      </c>
    </row>
    <row r="5" ht="30" customHeight="1" s="78">
      <c r="A5" s="117" t="inlineStr">
        <is>
          <t>Ay</t>
        </is>
      </c>
      <c r="B5" s="117" t="inlineStr">
        <is>
          <t>Öz Kaynak (₺)</t>
        </is>
      </c>
      <c r="C5" s="117" t="inlineStr">
        <is>
          <t>Yabancı Kaynak (₺)</t>
        </is>
      </c>
      <c r="D5" s="117" t="inlineStr">
        <is>
          <t>Finansman Gideri (₺)</t>
        </is>
      </c>
      <c r="E5" s="117" t="inlineStr">
        <is>
          <t>Kur Farkı Gideri (₺)</t>
        </is>
      </c>
      <c r="F5" s="117" t="inlineStr">
        <is>
          <t>Kapsam Dışı Gider (₺)</t>
        </is>
      </c>
      <c r="G5" s="117" t="inlineStr">
        <is>
          <t>Kapsamdaki Gider (₺)</t>
        </is>
      </c>
      <c r="H5" s="117" t="inlineStr">
        <is>
          <t>Yabancı-Öz Kaynak Farkı (₺)</t>
        </is>
      </c>
      <c r="J5" s="117" t="inlineStr">
        <is>
          <t>Kredi Numarası</t>
        </is>
      </c>
      <c r="K5" s="117" t="inlineStr">
        <is>
          <t>Kaynak Türü</t>
        </is>
      </c>
      <c r="L5" s="117" t="inlineStr">
        <is>
          <t>Kredi Tutarı (₺)</t>
        </is>
      </c>
      <c r="M5" s="117" t="inlineStr">
        <is>
          <t>Yıllık Faiz Oranı</t>
        </is>
      </c>
      <c r="N5" s="117" t="inlineStr">
        <is>
          <t>Dönem Gideri (₺)</t>
        </is>
      </c>
      <c r="O5" s="117" t="inlineStr">
        <is>
          <t>Kapsam Dışı mı?</t>
        </is>
      </c>
      <c r="P5" s="117" t="inlineStr">
        <is>
          <t>Vade Günü</t>
        </is>
      </c>
      <c r="Q5" s="117" t="inlineStr">
        <is>
          <t>Kapsamdaki Gider (₺)</t>
        </is>
      </c>
      <c r="R5" s="117" t="inlineStr">
        <is>
          <t>Açıklama</t>
        </is>
      </c>
    </row>
    <row r="6" ht="15.75" customHeight="1" s="78">
      <c r="A6" s="158" t="inlineStr">
        <is>
          <t>2026-01</t>
        </is>
      </c>
      <c r="B6" s="159" t="n">
        <v>45000000</v>
      </c>
      <c r="C6" s="159" t="n">
        <v>42000000</v>
      </c>
      <c r="D6" s="159" t="n">
        <v>350000</v>
      </c>
      <c r="E6" s="159" t="n">
        <v>12000</v>
      </c>
      <c r="F6" s="159" t="n">
        <v>0</v>
      </c>
      <c r="G6" s="121">
        <f>IF($A6="","",MAX(0,$D6+$E6-$F6))</f>
        <v/>
      </c>
      <c r="H6" s="121">
        <f>IF($A6="","",MAX(0,$C6-$B6))</f>
        <v/>
      </c>
      <c r="J6" s="158" t="inlineStr">
        <is>
          <t>K-1001</t>
        </is>
      </c>
      <c r="K6" s="158" t="inlineStr">
        <is>
          <t>Banka Kredisi</t>
        </is>
      </c>
      <c r="L6" s="159" t="n">
        <v>10000000</v>
      </c>
      <c r="M6" s="160" t="n">
        <v>0.3</v>
      </c>
      <c r="N6" s="159" t="n">
        <v>250000</v>
      </c>
      <c r="O6" s="158" t="inlineStr">
        <is>
          <t>Hayır</t>
        </is>
      </c>
      <c r="P6" s="123">
        <f>IF($J6="","",365)</f>
        <v/>
      </c>
      <c r="Q6" s="121">
        <f>IF($J6="","",IF($O6="Evet",0,$N6))</f>
        <v/>
      </c>
      <c r="R6" s="158" t="inlineStr">
        <is>
          <t>İşletme kredisi</t>
        </is>
      </c>
    </row>
    <row r="7" ht="15.75" customHeight="1" s="78">
      <c r="A7" s="158" t="inlineStr">
        <is>
          <t>2026-02</t>
        </is>
      </c>
      <c r="B7" s="159" t="n">
        <v>45200000</v>
      </c>
      <c r="C7" s="159" t="n">
        <v>43500000</v>
      </c>
      <c r="D7" s="159" t="n">
        <v>380000</v>
      </c>
      <c r="E7" s="159" t="n">
        <v>15000</v>
      </c>
      <c r="F7" s="159" t="n">
        <v>0</v>
      </c>
      <c r="G7" s="121">
        <f>IF($A7="","",MAX(0,$D7+$E7-$F7))</f>
        <v/>
      </c>
      <c r="H7" s="121">
        <f>IF($A7="","",MAX(0,$C7-$B7))</f>
        <v/>
      </c>
      <c r="J7" s="158" t="inlineStr">
        <is>
          <t>K-1002</t>
        </is>
      </c>
      <c r="K7" s="158" t="inlineStr">
        <is>
          <t>Ortak Borcu</t>
        </is>
      </c>
      <c r="L7" s="159" t="n">
        <v>5000000</v>
      </c>
      <c r="M7" s="160" t="n">
        <v>0.25</v>
      </c>
      <c r="N7" s="159" t="n">
        <v>125000</v>
      </c>
      <c r="O7" s="158" t="inlineStr">
        <is>
          <t>Hayır</t>
        </is>
      </c>
      <c r="P7" s="123">
        <f>IF($J7="","",365)</f>
        <v/>
      </c>
      <c r="Q7" s="121">
        <f>IF($J7="","",IF($O7="Evet",0,$N7))</f>
        <v/>
      </c>
      <c r="R7" s="158" t="inlineStr">
        <is>
          <t>Ortak avansı</t>
        </is>
      </c>
    </row>
    <row r="8" ht="15.75" customHeight="1" s="78">
      <c r="A8" s="158" t="inlineStr">
        <is>
          <t>2026-03</t>
        </is>
      </c>
      <c r="B8" s="159" t="n">
        <v>45600000</v>
      </c>
      <c r="C8" s="159" t="n">
        <v>45100000</v>
      </c>
      <c r="D8" s="159" t="n">
        <v>410000</v>
      </c>
      <c r="E8" s="159" t="n">
        <v>18000</v>
      </c>
      <c r="F8" s="159" t="n">
        <v>0</v>
      </c>
      <c r="G8" s="121">
        <f>IF($A8="","",MAX(0,$D8+$E8-$F8))</f>
        <v/>
      </c>
      <c r="H8" s="121">
        <f>IF($A8="","",MAX(0,$C8-$B8))</f>
        <v/>
      </c>
      <c r="J8" s="158" t="inlineStr">
        <is>
          <t>K-1003</t>
        </is>
      </c>
      <c r="K8" s="158" t="inlineStr">
        <is>
          <t>Tahvil</t>
        </is>
      </c>
      <c r="L8" s="159" t="n">
        <v>8000000</v>
      </c>
      <c r="M8" s="160" t="n">
        <v>0.28</v>
      </c>
      <c r="N8" s="159" t="n">
        <v>186667</v>
      </c>
      <c r="O8" s="158" t="inlineStr">
        <is>
          <t>Hayır</t>
        </is>
      </c>
      <c r="P8" s="123">
        <f>IF($J8="","",365)</f>
        <v/>
      </c>
      <c r="Q8" s="121">
        <f>IF($J8="","",IF($O8="Evet",0,$N8))</f>
        <v/>
      </c>
      <c r="R8" s="158" t="inlineStr">
        <is>
          <t>Kurumsal tahvil</t>
        </is>
      </c>
    </row>
    <row r="9" ht="15.75" customHeight="1" s="78">
      <c r="A9" s="158" t="inlineStr">
        <is>
          <t>2026-04</t>
        </is>
      </c>
      <c r="B9" s="159" t="n">
        <v>46000000</v>
      </c>
      <c r="C9" s="159" t="n">
        <v>46800000</v>
      </c>
      <c r="D9" s="159" t="n">
        <v>445000</v>
      </c>
      <c r="E9" s="159" t="n">
        <v>21000</v>
      </c>
      <c r="F9" s="159" t="n">
        <v>0</v>
      </c>
      <c r="G9" s="121">
        <f>IF($A9="","",MAX(0,$D9+$E9-$F9))</f>
        <v/>
      </c>
      <c r="H9" s="121">
        <f>IF($A9="","",MAX(0,$C9-$B9))</f>
        <v/>
      </c>
      <c r="J9" s="158" t="inlineStr">
        <is>
          <t>K-1004</t>
        </is>
      </c>
      <c r="K9" s="158" t="inlineStr">
        <is>
          <t>Banka Kredisi</t>
        </is>
      </c>
      <c r="L9" s="159" t="n">
        <v>6000000</v>
      </c>
      <c r="M9" s="160" t="n">
        <v>0.32</v>
      </c>
      <c r="N9" s="159" t="n">
        <v>160000</v>
      </c>
      <c r="O9" s="158" t="inlineStr">
        <is>
          <t>Hayır</t>
        </is>
      </c>
      <c r="P9" s="123">
        <f>IF($J9="","",365)</f>
        <v/>
      </c>
      <c r="Q9" s="121">
        <f>IF($J9="","",IF($O9="Evet",0,$N9))</f>
        <v/>
      </c>
      <c r="R9" s="158" t="inlineStr">
        <is>
          <t>Yatırım kredisi</t>
        </is>
      </c>
    </row>
    <row r="10" ht="15.75" customHeight="1" s="78">
      <c r="A10" s="158" t="inlineStr">
        <is>
          <t>2026-05</t>
        </is>
      </c>
      <c r="B10" s="159" t="n">
        <v>46200000</v>
      </c>
      <c r="C10" s="159" t="n">
        <v>48500000</v>
      </c>
      <c r="D10" s="159" t="n">
        <v>480000</v>
      </c>
      <c r="E10" s="159" t="n">
        <v>25000</v>
      </c>
      <c r="F10" s="159" t="n">
        <v>0</v>
      </c>
      <c r="G10" s="121">
        <f>IF($A10="","",MAX(0,$D10+$E10-$F10))</f>
        <v/>
      </c>
      <c r="H10" s="121">
        <f>IF($A10="","",MAX(0,$C10-$B10))</f>
        <v/>
      </c>
      <c r="J10" s="158" t="inlineStr">
        <is>
          <t>K-1005</t>
        </is>
      </c>
      <c r="K10" s="158" t="inlineStr">
        <is>
          <t>Finansal Kiralama</t>
        </is>
      </c>
      <c r="L10" s="159" t="n">
        <v>3000000</v>
      </c>
      <c r="M10" s="160" t="n">
        <v>0.24</v>
      </c>
      <c r="N10" s="159" t="n">
        <v>60000</v>
      </c>
      <c r="O10" s="158" t="inlineStr">
        <is>
          <t>Evet</t>
        </is>
      </c>
      <c r="P10" s="123">
        <f>IF($J10="","",365)</f>
        <v/>
      </c>
      <c r="Q10" s="121">
        <f>IF($J10="","",IF($O10="Evet",0,$N10))</f>
        <v/>
      </c>
      <c r="R10" s="158" t="inlineStr">
        <is>
          <t>Kiralama kapsam dışı</t>
        </is>
      </c>
    </row>
    <row r="11" ht="15.75" customHeight="1" s="78">
      <c r="A11" s="158" t="inlineStr">
        <is>
          <t>2026-06</t>
        </is>
      </c>
      <c r="B11" s="159" t="n">
        <v>46500000</v>
      </c>
      <c r="C11" s="159" t="n">
        <v>50200000</v>
      </c>
      <c r="D11" s="159" t="n">
        <v>515000</v>
      </c>
      <c r="E11" s="159" t="n">
        <v>28000</v>
      </c>
      <c r="F11" s="159" t="n">
        <v>0</v>
      </c>
      <c r="G11" s="121">
        <f>IF($A11="","",MAX(0,$D11+$E11-$F11))</f>
        <v/>
      </c>
      <c r="H11" s="121">
        <f>IF($A11="","",MAX(0,$C11-$B11))</f>
        <v/>
      </c>
      <c r="J11" s="158" t="inlineStr">
        <is>
          <t>K-1006</t>
        </is>
      </c>
      <c r="K11" s="158" t="inlineStr">
        <is>
          <t>Ortak Borcu</t>
        </is>
      </c>
      <c r="L11" s="159" t="n">
        <v>4000000</v>
      </c>
      <c r="M11" s="160" t="n">
        <v>0.22</v>
      </c>
      <c r="N11" s="159" t="n">
        <v>73333</v>
      </c>
      <c r="O11" s="158" t="inlineStr">
        <is>
          <t>Hayır</t>
        </is>
      </c>
      <c r="P11" s="123">
        <f>IF($J11="","",365)</f>
        <v/>
      </c>
      <c r="Q11" s="121">
        <f>IF($J11="","",IF($O11="Evet",0,$N11))</f>
        <v/>
      </c>
      <c r="R11" s="158" t="inlineStr">
        <is>
          <t>Ortak katkısı</t>
        </is>
      </c>
    </row>
    <row r="12" ht="15" customHeight="1" s="78">
      <c r="G12" s="123">
        <f>IF($A12="","",MAX(0,$D12+$E12-$F12))</f>
        <v/>
      </c>
      <c r="H12" s="123">
        <f>IF($A12="","",MAX(0,$C12-$B12))</f>
        <v/>
      </c>
      <c r="P12" s="123">
        <f>IF($J12="","",365)</f>
        <v/>
      </c>
      <c r="Q12" s="123">
        <f>IF($J12="","",IF($O12="Evet",0,$N12))</f>
        <v/>
      </c>
    </row>
    <row r="13" ht="15" customHeight="1" s="78">
      <c r="G13" s="123">
        <f>IF($A13="","",MAX(0,$D13+$E13-$F13))</f>
        <v/>
      </c>
      <c r="H13" s="123">
        <f>IF($A13="","",MAX(0,$C13-$B13))</f>
        <v/>
      </c>
      <c r="P13" s="123">
        <f>IF($J13="","",365)</f>
        <v/>
      </c>
      <c r="Q13" s="123">
        <f>IF($J13="","",IF($O13="Evet",0,$N13))</f>
        <v/>
      </c>
    </row>
    <row r="14" ht="15" customHeight="1" s="78">
      <c r="G14" s="123">
        <f>IF($A14="","",MAX(0,$D14+$E14-$F14))</f>
        <v/>
      </c>
      <c r="H14" s="123">
        <f>IF($A14="","",MAX(0,$C14-$B14))</f>
        <v/>
      </c>
      <c r="P14" s="123">
        <f>IF($J14="","",365)</f>
        <v/>
      </c>
      <c r="Q14" s="123">
        <f>IF($J14="","",IF($O14="Evet",0,$N14))</f>
        <v/>
      </c>
    </row>
    <row r="15" ht="15" customHeight="1" s="78">
      <c r="G15" s="123">
        <f>IF($A15="","",MAX(0,$D15+$E15-$F15))</f>
        <v/>
      </c>
      <c r="H15" s="123">
        <f>IF($A15="","",MAX(0,$C15-$B15))</f>
        <v/>
      </c>
      <c r="P15" s="123">
        <f>IF($J15="","",365)</f>
        <v/>
      </c>
      <c r="Q15" s="123">
        <f>IF($J15="","",IF($O15="Evet",0,$N15))</f>
        <v/>
      </c>
    </row>
    <row r="16" ht="15" customHeight="1" s="78">
      <c r="G16" s="123">
        <f>IF($A16="","",MAX(0,$D16+$E16-$F16))</f>
        <v/>
      </c>
      <c r="H16" s="123">
        <f>IF($A16="","",MAX(0,$C16-$B16))</f>
        <v/>
      </c>
      <c r="P16" s="123">
        <f>IF($J16="","",365)</f>
        <v/>
      </c>
      <c r="Q16" s="123">
        <f>IF($J16="","",IF($O16="Evet",0,$N16))</f>
        <v/>
      </c>
    </row>
    <row r="17" ht="15" customHeight="1" s="78">
      <c r="G17" s="123">
        <f>IF($A17="","",MAX(0,$D17+$E17-$F17))</f>
        <v/>
      </c>
      <c r="H17" s="123">
        <f>IF($A17="","",MAX(0,$C17-$B17))</f>
        <v/>
      </c>
      <c r="P17" s="123">
        <f>IF($J17="","",365)</f>
        <v/>
      </c>
      <c r="Q17" s="123">
        <f>IF($J17="","",IF($O17="Evet",0,$N17))</f>
        <v/>
      </c>
    </row>
    <row r="18" ht="15" customHeight="1" s="78">
      <c r="G18" s="123">
        <f>IF($A18="","",MAX(0,$D18+$E18-$F18))</f>
        <v/>
      </c>
      <c r="H18" s="123">
        <f>IF($A18="","",MAX(0,$C18-$B18))</f>
        <v/>
      </c>
      <c r="P18" s="123">
        <f>IF($J18="","",365)</f>
        <v/>
      </c>
      <c r="Q18" s="123">
        <f>IF($J18="","",IF($O18="Evet",0,$N18))</f>
        <v/>
      </c>
    </row>
    <row r="19" ht="15" customHeight="1" s="78">
      <c r="G19" s="123">
        <f>IF($A19="","",MAX(0,$D19+$E19-$F19))</f>
        <v/>
      </c>
      <c r="H19" s="123">
        <f>IF($A19="","",MAX(0,$C19-$B19))</f>
        <v/>
      </c>
      <c r="P19" s="123">
        <f>IF($J19="","",365)</f>
        <v/>
      </c>
      <c r="Q19" s="123">
        <f>IF($J19="","",IF($O19="Evet",0,$N19))</f>
        <v/>
      </c>
    </row>
    <row r="20" ht="15" customHeight="1" s="78">
      <c r="G20" s="123">
        <f>IF($A20="","",MAX(0,$D20+$E20-$F20))</f>
        <v/>
      </c>
      <c r="H20" s="123">
        <f>IF($A20="","",MAX(0,$C20-$B20))</f>
        <v/>
      </c>
      <c r="P20" s="123">
        <f>IF($J20="","",365)</f>
        <v/>
      </c>
      <c r="Q20" s="123">
        <f>IF($J20="","",IF($O20="Evet",0,$N20))</f>
        <v/>
      </c>
    </row>
    <row r="21" ht="15" customHeight="1" s="78">
      <c r="G21" s="123">
        <f>IF($A21="","",MAX(0,$D21+$E21-$F21))</f>
        <v/>
      </c>
      <c r="H21" s="123">
        <f>IF($A21="","",MAX(0,$C21-$B21))</f>
        <v/>
      </c>
      <c r="P21" s="123">
        <f>IF($J21="","",365)</f>
        <v/>
      </c>
      <c r="Q21" s="123">
        <f>IF($J21="","",IF($O21="Evet",0,$N21))</f>
        <v/>
      </c>
    </row>
    <row r="22" ht="15" customHeight="1" s="78">
      <c r="G22" s="123">
        <f>IF($A22="","",MAX(0,$D22+$E22-$F22))</f>
        <v/>
      </c>
      <c r="H22" s="123">
        <f>IF($A22="","",MAX(0,$C22-$B22))</f>
        <v/>
      </c>
      <c r="P22" s="123">
        <f>IF($J22="","",365)</f>
        <v/>
      </c>
      <c r="Q22" s="123">
        <f>IF($J22="","",IF($O22="Evet",0,$N22))</f>
        <v/>
      </c>
    </row>
    <row r="23" ht="15" customHeight="1" s="78">
      <c r="G23" s="123">
        <f>IF($A23="","",MAX(0,$D23+$E23-$F23))</f>
        <v/>
      </c>
      <c r="H23" s="123">
        <f>IF($A23="","",MAX(0,$C23-$B23))</f>
        <v/>
      </c>
      <c r="P23" s="123">
        <f>IF($J23="","",365)</f>
        <v/>
      </c>
      <c r="Q23" s="123">
        <f>IF($J23="","",IF($O23="Evet",0,$N23))</f>
        <v/>
      </c>
    </row>
    <row r="24" ht="15" customHeight="1" s="78">
      <c r="G24" s="123">
        <f>IF($A24="","",MAX(0,$D24+$E24-$F24))</f>
        <v/>
      </c>
      <c r="H24" s="123">
        <f>IF($A24="","",MAX(0,$C24-$B24))</f>
        <v/>
      </c>
      <c r="P24" s="123">
        <f>IF($J24="","",365)</f>
        <v/>
      </c>
      <c r="Q24" s="123">
        <f>IF($J24="","",IF($O24="Evet",0,$N24))</f>
        <v/>
      </c>
    </row>
    <row r="25" ht="15" customHeight="1" s="78">
      <c r="G25" s="123">
        <f>IF($A25="","",MAX(0,$D25+$E25-$F25))</f>
        <v/>
      </c>
      <c r="H25" s="123">
        <f>IF($A25="","",MAX(0,$C25-$B25))</f>
        <v/>
      </c>
      <c r="P25" s="123">
        <f>IF($J25="","",365)</f>
        <v/>
      </c>
      <c r="Q25" s="123">
        <f>IF($J25="","",IF($O25="Evet",0,$N25))</f>
        <v/>
      </c>
    </row>
    <row r="26" ht="15" customHeight="1" s="78">
      <c r="G26" s="123">
        <f>IF($A26="","",MAX(0,$D26+$E26-$F26))</f>
        <v/>
      </c>
      <c r="H26" s="123">
        <f>IF($A26="","",MAX(0,$C26-$B26))</f>
        <v/>
      </c>
      <c r="P26" s="123">
        <f>IF($J26="","",365)</f>
        <v/>
      </c>
      <c r="Q26" s="123">
        <f>IF($J26="","",IF($O26="Evet",0,$N26))</f>
        <v/>
      </c>
    </row>
    <row r="27" ht="15" customHeight="1" s="78">
      <c r="G27" s="123">
        <f>IF($A27="","",MAX(0,$D27+$E27-$F27))</f>
        <v/>
      </c>
      <c r="H27" s="123">
        <f>IF($A27="","",MAX(0,$C27-$B27))</f>
        <v/>
      </c>
      <c r="P27" s="123">
        <f>IF($J27="","",365)</f>
        <v/>
      </c>
      <c r="Q27" s="123">
        <f>IF($J27="","",IF($O27="Evet",0,$N27))</f>
        <v/>
      </c>
    </row>
    <row r="28" ht="15" customHeight="1" s="78">
      <c r="G28" s="123">
        <f>IF($A28="","",MAX(0,$D28+$E28-$F28))</f>
        <v/>
      </c>
      <c r="H28" s="123">
        <f>IF($A28="","",MAX(0,$C28-$B28))</f>
        <v/>
      </c>
      <c r="P28" s="123">
        <f>IF($J28="","",365)</f>
        <v/>
      </c>
      <c r="Q28" s="123">
        <f>IF($J28="","",IF($O28="Evet",0,$N28))</f>
        <v/>
      </c>
    </row>
    <row r="29" ht="15" customHeight="1" s="78">
      <c r="G29" s="123">
        <f>IF($A29="","",MAX(0,$D29+$E29-$F29))</f>
        <v/>
      </c>
      <c r="H29" s="123">
        <f>IF($A29="","",MAX(0,$C29-$B29))</f>
        <v/>
      </c>
      <c r="P29" s="123">
        <f>IF($J29="","",365)</f>
        <v/>
      </c>
      <c r="Q29" s="123">
        <f>IF($J29="","",IF($O29="Evet",0,$N29))</f>
        <v/>
      </c>
    </row>
    <row r="30" ht="15" customHeight="1" s="78">
      <c r="G30" s="123">
        <f>IF($A30="","",MAX(0,$D30+$E30-$F30))</f>
        <v/>
      </c>
      <c r="H30" s="123">
        <f>IF($A30="","",MAX(0,$C30-$B30))</f>
        <v/>
      </c>
      <c r="P30" s="123">
        <f>IF($J30="","",365)</f>
        <v/>
      </c>
      <c r="Q30" s="123">
        <f>IF($J30="","",IF($O30="Evet",0,$N30))</f>
        <v/>
      </c>
    </row>
    <row r="31" ht="15" customHeight="1" s="78">
      <c r="G31" s="123">
        <f>IF($A31="","",MAX(0,$D31+$E31-$F31))</f>
        <v/>
      </c>
      <c r="H31" s="123">
        <f>IF($A31="","",MAX(0,$C31-$B31))</f>
        <v/>
      </c>
      <c r="P31" s="123">
        <f>IF($J31="","",365)</f>
        <v/>
      </c>
      <c r="Q31" s="123">
        <f>IF($J31="","",IF($O31="Evet",0,$N31))</f>
        <v/>
      </c>
    </row>
    <row r="32" ht="15" customHeight="1" s="78">
      <c r="G32" s="123">
        <f>IF($A32="","",MAX(0,$D32+$E32-$F32))</f>
        <v/>
      </c>
      <c r="H32" s="123">
        <f>IF($A32="","",MAX(0,$C32-$B32))</f>
        <v/>
      </c>
      <c r="P32" s="123">
        <f>IF($J32="","",365)</f>
        <v/>
      </c>
      <c r="Q32" s="123">
        <f>IF($J32="","",IF($O32="Evet",0,$N32))</f>
        <v/>
      </c>
    </row>
    <row r="33" ht="15" customHeight="1" s="78">
      <c r="G33" s="123">
        <f>IF($A33="","",MAX(0,$D33+$E33-$F33))</f>
        <v/>
      </c>
      <c r="H33" s="123">
        <f>IF($A33="","",MAX(0,$C33-$B33))</f>
        <v/>
      </c>
      <c r="P33" s="123">
        <f>IF($J33="","",365)</f>
        <v/>
      </c>
      <c r="Q33" s="123">
        <f>IF($J33="","",IF($O33="Evet",0,$N33))</f>
        <v/>
      </c>
    </row>
    <row r="34" ht="15" customHeight="1" s="78">
      <c r="G34" s="123">
        <f>IF($A34="","",MAX(0,$D34+$E34-$F34))</f>
        <v/>
      </c>
      <c r="H34" s="123">
        <f>IF($A34="","",MAX(0,$C34-$B34))</f>
        <v/>
      </c>
      <c r="P34" s="123">
        <f>IF($J34="","",365)</f>
        <v/>
      </c>
      <c r="Q34" s="123">
        <f>IF($J34="","",IF($O34="Evet",0,$N34))</f>
        <v/>
      </c>
    </row>
    <row r="35" ht="15" customHeight="1" s="78">
      <c r="G35" s="123">
        <f>IF($A35="","",MAX(0,$D35+$E35-$F35))</f>
        <v/>
      </c>
      <c r="H35" s="123">
        <f>IF($A35="","",MAX(0,$C35-$B35))</f>
        <v/>
      </c>
      <c r="P35" s="123">
        <f>IF($J35="","",365)</f>
        <v/>
      </c>
      <c r="Q35" s="123">
        <f>IF($J35="","",IF($O35="Evet",0,$N35))</f>
        <v/>
      </c>
    </row>
    <row r="36" ht="15" customHeight="1" s="78">
      <c r="G36" s="123">
        <f>IF($A36="","",MAX(0,$D36+$E36-$F36))</f>
        <v/>
      </c>
      <c r="H36" s="123">
        <f>IF($A36="","",MAX(0,$C36-$B36))</f>
        <v/>
      </c>
      <c r="P36" s="123">
        <f>IF($J36="","",365)</f>
        <v/>
      </c>
      <c r="Q36" s="123">
        <f>IF($J36="","",IF($O36="Evet",0,$N36))</f>
        <v/>
      </c>
    </row>
    <row r="37" ht="15" customHeight="1" s="78">
      <c r="G37" s="123">
        <f>IF($A37="","",MAX(0,$D37+$E37-$F37))</f>
        <v/>
      </c>
      <c r="H37" s="123">
        <f>IF($A37="","",MAX(0,$C37-$B37))</f>
        <v/>
      </c>
      <c r="P37" s="123">
        <f>IF($J37="","",365)</f>
        <v/>
      </c>
      <c r="Q37" s="123">
        <f>IF($J37="","",IF($O37="Evet",0,$N37))</f>
        <v/>
      </c>
    </row>
    <row r="38" ht="15" customHeight="1" s="78">
      <c r="G38" s="123">
        <f>IF($A38="","",MAX(0,$D38+$E38-$F38))</f>
        <v/>
      </c>
      <c r="H38" s="123">
        <f>IF($A38="","",MAX(0,$C38-$B38))</f>
        <v/>
      </c>
      <c r="P38" s="123">
        <f>IF($J38="","",365)</f>
        <v/>
      </c>
      <c r="Q38" s="123">
        <f>IF($J38="","",IF($O38="Evet",0,$N38))</f>
        <v/>
      </c>
    </row>
    <row r="39" ht="15" customHeight="1" s="78">
      <c r="G39" s="123">
        <f>IF($A39="","",MAX(0,$D39+$E39-$F39))</f>
        <v/>
      </c>
      <c r="H39" s="123">
        <f>IF($A39="","",MAX(0,$C39-$B39))</f>
        <v/>
      </c>
      <c r="P39" s="123">
        <f>IF($J39="","",365)</f>
        <v/>
      </c>
      <c r="Q39" s="123">
        <f>IF($J39="","",IF($O39="Evet",0,$N39))</f>
        <v/>
      </c>
    </row>
    <row r="40" ht="15" customHeight="1" s="78">
      <c r="G40" s="123">
        <f>IF($A40="","",MAX(0,$D40+$E40-$F40))</f>
        <v/>
      </c>
      <c r="H40" s="123">
        <f>IF($A40="","",MAX(0,$C40-$B40))</f>
        <v/>
      </c>
      <c r="P40" s="123">
        <f>IF($J40="","",365)</f>
        <v/>
      </c>
      <c r="Q40" s="123">
        <f>IF($J40="","",IF($O40="Evet",0,$N40))</f>
        <v/>
      </c>
    </row>
    <row r="41" ht="15" customHeight="1" s="78">
      <c r="G41" s="123">
        <f>IF($A41="","",MAX(0,$D41+$E41-$F41))</f>
        <v/>
      </c>
      <c r="H41" s="123">
        <f>IF($A41="","",MAX(0,$C41-$B41))</f>
        <v/>
      </c>
      <c r="P41" s="123">
        <f>IF($J41="","",365)</f>
        <v/>
      </c>
      <c r="Q41" s="123">
        <f>IF($J41="","",IF($O41="Evet",0,$N41))</f>
        <v/>
      </c>
    </row>
    <row r="42" ht="15" customHeight="1" s="78">
      <c r="G42" s="123">
        <f>IF($A42="","",MAX(0,$D42+$E42-$F42))</f>
        <v/>
      </c>
      <c r="H42" s="123">
        <f>IF($A42="","",MAX(0,$C42-$B42))</f>
        <v/>
      </c>
      <c r="P42" s="123">
        <f>IF($J42="","",365)</f>
        <v/>
      </c>
      <c r="Q42" s="123">
        <f>IF($J42="","",IF($O42="Evet",0,$N42))</f>
        <v/>
      </c>
    </row>
    <row r="43" ht="15" customHeight="1" s="78">
      <c r="G43" s="123">
        <f>IF($A43="","",MAX(0,$D43+$E43-$F43))</f>
        <v/>
      </c>
      <c r="H43" s="123">
        <f>IF($A43="","",MAX(0,$C43-$B43))</f>
        <v/>
      </c>
      <c r="P43" s="123">
        <f>IF($J43="","",365)</f>
        <v/>
      </c>
      <c r="Q43" s="123">
        <f>IF($J43="","",IF($O43="Evet",0,$N43))</f>
        <v/>
      </c>
    </row>
    <row r="44" ht="15" customHeight="1" s="78">
      <c r="G44" s="123">
        <f>IF($A44="","",MAX(0,$D44+$E44-$F44))</f>
        <v/>
      </c>
      <c r="H44" s="123">
        <f>IF($A44="","",MAX(0,$C44-$B44))</f>
        <v/>
      </c>
      <c r="P44" s="123">
        <f>IF($J44="","",365)</f>
        <v/>
      </c>
      <c r="Q44" s="123">
        <f>IF($J44="","",IF($O44="Evet",0,$N44))</f>
        <v/>
      </c>
    </row>
    <row r="45" ht="15" customHeight="1" s="78">
      <c r="G45" s="123">
        <f>IF($A45="","",MAX(0,$D45+$E45-$F45))</f>
        <v/>
      </c>
      <c r="H45" s="123">
        <f>IF($A45="","",MAX(0,$C45-$B45))</f>
        <v/>
      </c>
      <c r="P45" s="123">
        <f>IF($J45="","",365)</f>
        <v/>
      </c>
      <c r="Q45" s="123">
        <f>IF($J45="","",IF($O45="Evet",0,$N45))</f>
        <v/>
      </c>
    </row>
    <row r="46" ht="15" customHeight="1" s="78">
      <c r="G46" s="123">
        <f>IF($A46="","",MAX(0,$D46+$E46-$F46))</f>
        <v/>
      </c>
      <c r="H46" s="123">
        <f>IF($A46="","",MAX(0,$C46-$B46))</f>
        <v/>
      </c>
      <c r="P46" s="123">
        <f>IF($J46="","",365)</f>
        <v/>
      </c>
      <c r="Q46" s="123">
        <f>IF($J46="","",IF($O46="Evet",0,$N46))</f>
        <v/>
      </c>
    </row>
    <row r="47" ht="15" customHeight="1" s="78">
      <c r="G47" s="123">
        <f>IF($A47="","",MAX(0,$D47+$E47-$F47))</f>
        <v/>
      </c>
      <c r="H47" s="123">
        <f>IF($A47="","",MAX(0,$C47-$B47))</f>
        <v/>
      </c>
      <c r="P47" s="123">
        <f>IF($J47="","",365)</f>
        <v/>
      </c>
      <c r="Q47" s="123">
        <f>IF($J47="","",IF($O47="Evet",0,$N47))</f>
        <v/>
      </c>
    </row>
    <row r="48" ht="15" customHeight="1" s="78">
      <c r="G48" s="123">
        <f>IF($A48="","",MAX(0,$D48+$E48-$F48))</f>
        <v/>
      </c>
      <c r="H48" s="123">
        <f>IF($A48="","",MAX(0,$C48-$B48))</f>
        <v/>
      </c>
      <c r="P48" s="123">
        <f>IF($J48="","",365)</f>
        <v/>
      </c>
      <c r="Q48" s="123">
        <f>IF($J48="","",IF($O48="Evet",0,$N48))</f>
        <v/>
      </c>
    </row>
    <row r="49" ht="15" customHeight="1" s="78">
      <c r="G49" s="123">
        <f>IF($A49="","",MAX(0,$D49+$E49-$F49))</f>
        <v/>
      </c>
      <c r="H49" s="123">
        <f>IF($A49="","",MAX(0,$C49-$B49))</f>
        <v/>
      </c>
      <c r="P49" s="123">
        <f>IF($J49="","",365)</f>
        <v/>
      </c>
      <c r="Q49" s="123">
        <f>IF($J49="","",IF($O49="Evet",0,$N49))</f>
        <v/>
      </c>
    </row>
    <row r="50" ht="15" customHeight="1" s="78">
      <c r="G50" s="123">
        <f>IF($A50="","",MAX(0,$D50+$E50-$F50))</f>
        <v/>
      </c>
      <c r="H50" s="123">
        <f>IF($A50="","",MAX(0,$C50-$B50))</f>
        <v/>
      </c>
      <c r="P50" s="123">
        <f>IF($J50="","",365)</f>
        <v/>
      </c>
      <c r="Q50" s="123">
        <f>IF($J50="","",IF($O50="Evet",0,$N50))</f>
        <v/>
      </c>
    </row>
    <row r="51" ht="15" customHeight="1" s="78">
      <c r="G51" s="123">
        <f>IF($A51="","",MAX(0,$D51+$E51-$F51))</f>
        <v/>
      </c>
      <c r="H51" s="123">
        <f>IF($A51="","",MAX(0,$C51-$B51))</f>
        <v/>
      </c>
      <c r="P51" s="123">
        <f>IF($J51="","",365)</f>
        <v/>
      </c>
      <c r="Q51" s="123">
        <f>IF($J51="","",IF($O51="Evet",0,$N51))</f>
        <v/>
      </c>
    </row>
    <row r="52" ht="15" customHeight="1" s="78">
      <c r="G52" s="123">
        <f>IF($A52="","",MAX(0,$D52+$E52-$F52))</f>
        <v/>
      </c>
      <c r="H52" s="123">
        <f>IF($A52="","",MAX(0,$C52-$B52))</f>
        <v/>
      </c>
      <c r="P52" s="123">
        <f>IF($J52="","",365)</f>
        <v/>
      </c>
      <c r="Q52" s="123">
        <f>IF($J52="","",IF($O52="Evet",0,$N52))</f>
        <v/>
      </c>
    </row>
    <row r="53" ht="15" customHeight="1" s="78">
      <c r="G53" s="123">
        <f>IF($A53="","",MAX(0,$D53+$E53-$F53))</f>
        <v/>
      </c>
      <c r="H53" s="123">
        <f>IF($A53="","",MAX(0,$C53-$B53))</f>
        <v/>
      </c>
      <c r="P53" s="123">
        <f>IF($J53="","",365)</f>
        <v/>
      </c>
      <c r="Q53" s="123">
        <f>IF($J53="","",IF($O53="Evet",0,$N53))</f>
        <v/>
      </c>
    </row>
    <row r="54" ht="15" customHeight="1" s="78">
      <c r="G54" s="123">
        <f>IF($A54="","",MAX(0,$D54+$E54-$F54))</f>
        <v/>
      </c>
      <c r="H54" s="123">
        <f>IF($A54="","",MAX(0,$C54-$B54))</f>
        <v/>
      </c>
      <c r="P54" s="123">
        <f>IF($J54="","",365)</f>
        <v/>
      </c>
      <c r="Q54" s="123">
        <f>IF($J54="","",IF($O54="Evet",0,$N54))</f>
        <v/>
      </c>
    </row>
    <row r="55" ht="15" customHeight="1" s="78">
      <c r="G55" s="123">
        <f>IF($A55="","",MAX(0,$D55+$E55-$F55))</f>
        <v/>
      </c>
      <c r="H55" s="123">
        <f>IF($A55="","",MAX(0,$C55-$B55))</f>
        <v/>
      </c>
      <c r="P55" s="123">
        <f>IF($J55="","",365)</f>
        <v/>
      </c>
      <c r="Q55" s="123">
        <f>IF($J55="","",IF($O55="Evet",0,$N55))</f>
        <v/>
      </c>
    </row>
    <row r="56" ht="15" customHeight="1" s="78">
      <c r="G56" s="123">
        <f>IF($A56="","",MAX(0,$D56+$E56-$F56))</f>
        <v/>
      </c>
      <c r="H56" s="123">
        <f>IF($A56="","",MAX(0,$C56-$B56))</f>
        <v/>
      </c>
      <c r="P56" s="123">
        <f>IF($J56="","",365)</f>
        <v/>
      </c>
      <c r="Q56" s="123">
        <f>IF($J56="","",IF($O56="Evet",0,$N56))</f>
        <v/>
      </c>
    </row>
    <row r="57" ht="15" customHeight="1" s="78">
      <c r="G57" s="123">
        <f>IF($A57="","",MAX(0,$D57+$E57-$F57))</f>
        <v/>
      </c>
      <c r="H57" s="123">
        <f>IF($A57="","",MAX(0,$C57-$B57))</f>
        <v/>
      </c>
      <c r="P57" s="123">
        <f>IF($J57="","",365)</f>
        <v/>
      </c>
      <c r="Q57" s="123">
        <f>IF($J57="","",IF($O57="Evet",0,$N57))</f>
        <v/>
      </c>
    </row>
    <row r="58" ht="15" customHeight="1" s="78">
      <c r="G58" s="123">
        <f>IF($A58="","",MAX(0,$D58+$E58-$F58))</f>
        <v/>
      </c>
      <c r="H58" s="123">
        <f>IF($A58="","",MAX(0,$C58-$B58))</f>
        <v/>
      </c>
      <c r="P58" s="123">
        <f>IF($J58="","",365)</f>
        <v/>
      </c>
      <c r="Q58" s="123">
        <f>IF($J58="","",IF($O58="Evet",0,$N58))</f>
        <v/>
      </c>
    </row>
    <row r="59" ht="15" customHeight="1" s="78">
      <c r="G59" s="123">
        <f>IF($A59="","",MAX(0,$D59+$E59-$F59))</f>
        <v/>
      </c>
      <c r="H59" s="123">
        <f>IF($A59="","",MAX(0,$C59-$B59))</f>
        <v/>
      </c>
      <c r="P59" s="123">
        <f>IF($J59="","",365)</f>
        <v/>
      </c>
      <c r="Q59" s="123">
        <f>IF($J59="","",IF($O59="Evet",0,$N59))</f>
        <v/>
      </c>
    </row>
    <row r="60" ht="15" customHeight="1" s="78">
      <c r="G60" s="123">
        <f>IF($A60="","",MAX(0,$D60+$E60-$F60))</f>
        <v/>
      </c>
      <c r="H60" s="123">
        <f>IF($A60="","",MAX(0,$C60-$B60))</f>
        <v/>
      </c>
      <c r="P60" s="123">
        <f>IF($J60="","",365)</f>
        <v/>
      </c>
      <c r="Q60" s="123">
        <f>IF($J60="","",IF($O60="Evet",0,$N60))</f>
        <v/>
      </c>
    </row>
    <row r="61" ht="15" customHeight="1" s="78">
      <c r="G61" s="123">
        <f>IF($A61="","",MAX(0,$D61+$E61-$F61))</f>
        <v/>
      </c>
      <c r="H61" s="123">
        <f>IF($A61="","",MAX(0,$C61-$B61))</f>
        <v/>
      </c>
      <c r="P61" s="123">
        <f>IF($J61="","",365)</f>
        <v/>
      </c>
      <c r="Q61" s="123">
        <f>IF($J61="","",IF($O61="Evet",0,$N61))</f>
        <v/>
      </c>
    </row>
    <row r="62" ht="15" customHeight="1" s="78">
      <c r="G62" s="123">
        <f>IF($A62="","",MAX(0,$D62+$E62-$F62))</f>
        <v/>
      </c>
      <c r="H62" s="123">
        <f>IF($A62="","",MAX(0,$C62-$B62))</f>
        <v/>
      </c>
      <c r="P62" s="123">
        <f>IF($J62="","",365)</f>
        <v/>
      </c>
      <c r="Q62" s="123">
        <f>IF($J62="","",IF($O62="Evet",0,$N62))</f>
        <v/>
      </c>
    </row>
    <row r="63" ht="15" customHeight="1" s="78">
      <c r="G63" s="123">
        <f>IF($A63="","",MAX(0,$D63+$E63-$F63))</f>
        <v/>
      </c>
      <c r="H63" s="123">
        <f>IF($A63="","",MAX(0,$C63-$B63))</f>
        <v/>
      </c>
      <c r="P63" s="123">
        <f>IF($J63="","",365)</f>
        <v/>
      </c>
      <c r="Q63" s="123">
        <f>IF($J63="","",IF($O63="Evet",0,$N63))</f>
        <v/>
      </c>
    </row>
    <row r="64" ht="15" customHeight="1" s="78">
      <c r="G64" s="123">
        <f>IF($A64="","",MAX(0,$D64+$E64-$F64))</f>
        <v/>
      </c>
      <c r="H64" s="123">
        <f>IF($A64="","",MAX(0,$C64-$B64))</f>
        <v/>
      </c>
      <c r="P64" s="123">
        <f>IF($J64="","",365)</f>
        <v/>
      </c>
      <c r="Q64" s="123">
        <f>IF($J64="","",IF($O64="Evet",0,$N64))</f>
        <v/>
      </c>
    </row>
    <row r="65" ht="15" customHeight="1" s="78">
      <c r="G65" s="123">
        <f>IF($A65="","",MAX(0,$D65+$E65-$F65))</f>
        <v/>
      </c>
      <c r="H65" s="123">
        <f>IF($A65="","",MAX(0,$C65-$B65))</f>
        <v/>
      </c>
      <c r="P65" s="123">
        <f>IF($J65="","",365)</f>
        <v/>
      </c>
      <c r="Q65" s="123">
        <f>IF($J65="","",IF($O65="Evet",0,$N65))</f>
        <v/>
      </c>
    </row>
    <row r="66" ht="15" customHeight="1" s="78">
      <c r="G66" s="123">
        <f>IF($A66="","",MAX(0,$D66+$E66-$F66))</f>
        <v/>
      </c>
      <c r="H66" s="123">
        <f>IF($A66="","",MAX(0,$C66-$B66))</f>
        <v/>
      </c>
      <c r="P66" s="123">
        <f>IF($J66="","",365)</f>
        <v/>
      </c>
      <c r="Q66" s="123">
        <f>IF($J66="","",IF($O66="Evet",0,$N66))</f>
        <v/>
      </c>
    </row>
    <row r="67" ht="15" customHeight="1" s="78">
      <c r="G67" s="123">
        <f>IF($A67="","",MAX(0,$D67+$E67-$F67))</f>
        <v/>
      </c>
      <c r="H67" s="123">
        <f>IF($A67="","",MAX(0,$C67-$B67))</f>
        <v/>
      </c>
      <c r="P67" s="123">
        <f>IF($J67="","",365)</f>
        <v/>
      </c>
      <c r="Q67" s="123">
        <f>IF($J67="","",IF($O67="Evet",0,$N67))</f>
        <v/>
      </c>
    </row>
    <row r="68" ht="15" customHeight="1" s="78">
      <c r="G68" s="123">
        <f>IF($A68="","",MAX(0,$D68+$E68-$F68))</f>
        <v/>
      </c>
      <c r="H68" s="123">
        <f>IF($A68="","",MAX(0,$C68-$B68))</f>
        <v/>
      </c>
      <c r="P68" s="123">
        <f>IF($J68="","",365)</f>
        <v/>
      </c>
      <c r="Q68" s="123">
        <f>IF($J68="","",IF($O68="Evet",0,$N68))</f>
        <v/>
      </c>
    </row>
    <row r="69" ht="15" customHeight="1" s="78">
      <c r="G69" s="123">
        <f>IF($A69="","",MAX(0,$D69+$E69-$F69))</f>
        <v/>
      </c>
      <c r="H69" s="123">
        <f>IF($A69="","",MAX(0,$C69-$B69))</f>
        <v/>
      </c>
      <c r="P69" s="123">
        <f>IF($J69="","",365)</f>
        <v/>
      </c>
      <c r="Q69" s="123">
        <f>IF($J69="","",IF($O69="Evet",0,$N69))</f>
        <v/>
      </c>
    </row>
    <row r="70" ht="15" customHeight="1" s="78">
      <c r="G70" s="123">
        <f>IF($A70="","",MAX(0,$D70+$E70-$F70))</f>
        <v/>
      </c>
      <c r="H70" s="123">
        <f>IF($A70="","",MAX(0,$C70-$B70))</f>
        <v/>
      </c>
      <c r="P70" s="123">
        <f>IF($J70="","",365)</f>
        <v/>
      </c>
      <c r="Q70" s="123">
        <f>IF($J70="","",IF($O70="Evet",0,$N70))</f>
        <v/>
      </c>
    </row>
    <row r="71" ht="15" customHeight="1" s="78">
      <c r="G71" s="123">
        <f>IF($A71="","",MAX(0,$D71+$E71-$F71))</f>
        <v/>
      </c>
      <c r="H71" s="123">
        <f>IF($A71="","",MAX(0,$C71-$B71))</f>
        <v/>
      </c>
      <c r="P71" s="123">
        <f>IF($J71="","",365)</f>
        <v/>
      </c>
      <c r="Q71" s="123">
        <f>IF($J71="","",IF($O71="Evet",0,$N71))</f>
        <v/>
      </c>
    </row>
    <row r="72" ht="15" customHeight="1" s="78">
      <c r="G72" s="123">
        <f>IF($A72="","",MAX(0,$D72+$E72-$F72))</f>
        <v/>
      </c>
      <c r="H72" s="123">
        <f>IF($A72="","",MAX(0,$C72-$B72))</f>
        <v/>
      </c>
      <c r="P72" s="123">
        <f>IF($J72="","",365)</f>
        <v/>
      </c>
      <c r="Q72" s="123">
        <f>IF($J72="","",IF($O72="Evet",0,$N72))</f>
        <v/>
      </c>
    </row>
    <row r="73" ht="15" customHeight="1" s="78">
      <c r="G73" s="123">
        <f>IF($A73="","",MAX(0,$D73+$E73-$F73))</f>
        <v/>
      </c>
      <c r="H73" s="123">
        <f>IF($A73="","",MAX(0,$C73-$B73))</f>
        <v/>
      </c>
      <c r="P73" s="123">
        <f>IF($J73="","",365)</f>
        <v/>
      </c>
      <c r="Q73" s="123">
        <f>IF($J73="","",IF($O73="Evet",0,$N73))</f>
        <v/>
      </c>
    </row>
    <row r="74" ht="15" customHeight="1" s="78">
      <c r="G74" s="123">
        <f>IF($A74="","",MAX(0,$D74+$E74-$F74))</f>
        <v/>
      </c>
      <c r="H74" s="123">
        <f>IF($A74="","",MAX(0,$C74-$B74))</f>
        <v/>
      </c>
      <c r="P74" s="123">
        <f>IF($J74="","",365)</f>
        <v/>
      </c>
      <c r="Q74" s="123">
        <f>IF($J74="","",IF($O74="Evet",0,$N74))</f>
        <v/>
      </c>
    </row>
    <row r="75" ht="15" customHeight="1" s="78">
      <c r="G75" s="123">
        <f>IF($A75="","",MAX(0,$D75+$E75-$F75))</f>
        <v/>
      </c>
      <c r="H75" s="123">
        <f>IF($A75="","",MAX(0,$C75-$B75))</f>
        <v/>
      </c>
      <c r="P75" s="123">
        <f>IF($J75="","",365)</f>
        <v/>
      </c>
      <c r="Q75" s="123">
        <f>IF($J75="","",IF($O75="Evet",0,$N75))</f>
        <v/>
      </c>
    </row>
    <row r="76" ht="15" customHeight="1" s="78">
      <c r="G76" s="123">
        <f>IF($A76="","",MAX(0,$D76+$E76-$F76))</f>
        <v/>
      </c>
      <c r="H76" s="123">
        <f>IF($A76="","",MAX(0,$C76-$B76))</f>
        <v/>
      </c>
      <c r="P76" s="123">
        <f>IF($J76="","",365)</f>
        <v/>
      </c>
      <c r="Q76" s="123">
        <f>IF($J76="","",IF($O76="Evet",0,$N76))</f>
        <v/>
      </c>
    </row>
    <row r="77" ht="15" customHeight="1" s="78">
      <c r="G77" s="123">
        <f>IF($A77="","",MAX(0,$D77+$E77-$F77))</f>
        <v/>
      </c>
      <c r="H77" s="123">
        <f>IF($A77="","",MAX(0,$C77-$B77))</f>
        <v/>
      </c>
      <c r="P77" s="123">
        <f>IF($J77="","",365)</f>
        <v/>
      </c>
      <c r="Q77" s="123">
        <f>IF($J77="","",IF($O77="Evet",0,$N77))</f>
        <v/>
      </c>
    </row>
    <row r="78" ht="15" customHeight="1" s="78">
      <c r="G78" s="123">
        <f>IF($A78="","",MAX(0,$D78+$E78-$F78))</f>
        <v/>
      </c>
      <c r="H78" s="123">
        <f>IF($A78="","",MAX(0,$C78-$B78))</f>
        <v/>
      </c>
      <c r="P78" s="123">
        <f>IF($J78="","",365)</f>
        <v/>
      </c>
      <c r="Q78" s="123">
        <f>IF($J78="","",IF($O78="Evet",0,$N78))</f>
        <v/>
      </c>
    </row>
    <row r="79" ht="15" customHeight="1" s="78">
      <c r="G79" s="123">
        <f>IF($A79="","",MAX(0,$D79+$E79-$F79))</f>
        <v/>
      </c>
      <c r="H79" s="123">
        <f>IF($A79="","",MAX(0,$C79-$B79))</f>
        <v/>
      </c>
      <c r="P79" s="123">
        <f>IF($J79="","",365)</f>
        <v/>
      </c>
      <c r="Q79" s="123">
        <f>IF($J79="","",IF($O79="Evet",0,$N79))</f>
        <v/>
      </c>
    </row>
    <row r="80" ht="15" customHeight="1" s="78">
      <c r="G80" s="123">
        <f>IF($A80="","",MAX(0,$D80+$E80-$F80))</f>
        <v/>
      </c>
      <c r="H80" s="123">
        <f>IF($A80="","",MAX(0,$C80-$B80))</f>
        <v/>
      </c>
      <c r="P80" s="123">
        <f>IF($J80="","",365)</f>
        <v/>
      </c>
      <c r="Q80" s="123">
        <f>IF($J80="","",IF($O80="Evet",0,$N80))</f>
        <v/>
      </c>
    </row>
    <row r="81" ht="15" customHeight="1" s="78">
      <c r="G81" s="123">
        <f>IF($A81="","",MAX(0,$D81+$E81-$F81))</f>
        <v/>
      </c>
      <c r="H81" s="123">
        <f>IF($A81="","",MAX(0,$C81-$B81))</f>
        <v/>
      </c>
      <c r="P81" s="123">
        <f>IF($J81="","",365)</f>
        <v/>
      </c>
      <c r="Q81" s="123">
        <f>IF($J81="","",IF($O81="Evet",0,$N81))</f>
        <v/>
      </c>
    </row>
    <row r="82" ht="15" customHeight="1" s="78">
      <c r="G82" s="123">
        <f>IF($A82="","",MAX(0,$D82+$E82-$F82))</f>
        <v/>
      </c>
      <c r="H82" s="123">
        <f>IF($A82="","",MAX(0,$C82-$B82))</f>
        <v/>
      </c>
      <c r="P82" s="123">
        <f>IF($J82="","",365)</f>
        <v/>
      </c>
      <c r="Q82" s="123">
        <f>IF($J82="","",IF($O82="Evet",0,$N82))</f>
        <v/>
      </c>
    </row>
    <row r="83" ht="15" customHeight="1" s="78">
      <c r="G83" s="123">
        <f>IF($A83="","",MAX(0,$D83+$E83-$F83))</f>
        <v/>
      </c>
      <c r="H83" s="123">
        <f>IF($A83="","",MAX(0,$C83-$B83))</f>
        <v/>
      </c>
      <c r="P83" s="123">
        <f>IF($J83="","",365)</f>
        <v/>
      </c>
      <c r="Q83" s="123">
        <f>IF($J83="","",IF($O83="Evet",0,$N83))</f>
        <v/>
      </c>
    </row>
    <row r="84" ht="15" customHeight="1" s="78">
      <c r="G84" s="123">
        <f>IF($A84="","",MAX(0,$D84+$E84-$F84))</f>
        <v/>
      </c>
      <c r="H84" s="123">
        <f>IF($A84="","",MAX(0,$C84-$B84))</f>
        <v/>
      </c>
      <c r="P84" s="123">
        <f>IF($J84="","",365)</f>
        <v/>
      </c>
      <c r="Q84" s="123">
        <f>IF($J84="","",IF($O84="Evet",0,$N84))</f>
        <v/>
      </c>
    </row>
    <row r="85" ht="15" customHeight="1" s="78">
      <c r="G85" s="123">
        <f>IF($A85="","",MAX(0,$D85+$E85-$F85))</f>
        <v/>
      </c>
      <c r="H85" s="123">
        <f>IF($A85="","",MAX(0,$C85-$B85))</f>
        <v/>
      </c>
      <c r="P85" s="123">
        <f>IF($J85="","",365)</f>
        <v/>
      </c>
      <c r="Q85" s="123">
        <f>IF($J85="","",IF($O85="Evet",0,$N85))</f>
        <v/>
      </c>
    </row>
    <row r="86" ht="15" customHeight="1" s="78">
      <c r="G86" s="123">
        <f>IF($A86="","",MAX(0,$D86+$E86-$F86))</f>
        <v/>
      </c>
      <c r="H86" s="123">
        <f>IF($A86="","",MAX(0,$C86-$B86))</f>
        <v/>
      </c>
      <c r="P86" s="123">
        <f>IF($J86="","",365)</f>
        <v/>
      </c>
      <c r="Q86" s="123">
        <f>IF($J86="","",IF($O86="Evet",0,$N86))</f>
        <v/>
      </c>
    </row>
    <row r="87" ht="15" customHeight="1" s="78">
      <c r="G87" s="123">
        <f>IF($A87="","",MAX(0,$D87+$E87-$F87))</f>
        <v/>
      </c>
      <c r="H87" s="123">
        <f>IF($A87="","",MAX(0,$C87-$B87))</f>
        <v/>
      </c>
      <c r="P87" s="123">
        <f>IF($J87="","",365)</f>
        <v/>
      </c>
      <c r="Q87" s="123">
        <f>IF($J87="","",IF($O87="Evet",0,$N87))</f>
        <v/>
      </c>
    </row>
    <row r="88" ht="15" customHeight="1" s="78">
      <c r="G88" s="123">
        <f>IF($A88="","",MAX(0,$D88+$E88-$F88))</f>
        <v/>
      </c>
      <c r="H88" s="123">
        <f>IF($A88="","",MAX(0,$C88-$B88))</f>
        <v/>
      </c>
      <c r="P88" s="123">
        <f>IF($J88="","",365)</f>
        <v/>
      </c>
      <c r="Q88" s="123">
        <f>IF($J88="","",IF($O88="Evet",0,$N88))</f>
        <v/>
      </c>
    </row>
    <row r="89" ht="15" customHeight="1" s="78">
      <c r="G89" s="123">
        <f>IF($A89="","",MAX(0,$D89+$E89-$F89))</f>
        <v/>
      </c>
      <c r="H89" s="123">
        <f>IF($A89="","",MAX(0,$C89-$B89))</f>
        <v/>
      </c>
      <c r="P89" s="123">
        <f>IF($J89="","",365)</f>
        <v/>
      </c>
      <c r="Q89" s="123">
        <f>IF($J89="","",IF($O89="Evet",0,$N89))</f>
        <v/>
      </c>
    </row>
    <row r="90" ht="15" customHeight="1" s="78">
      <c r="G90" s="123">
        <f>IF($A90="","",MAX(0,$D90+$E90-$F90))</f>
        <v/>
      </c>
      <c r="H90" s="123">
        <f>IF($A90="","",MAX(0,$C90-$B90))</f>
        <v/>
      </c>
      <c r="P90" s="123">
        <f>IF($J90="","",365)</f>
        <v/>
      </c>
      <c r="Q90" s="123">
        <f>IF($J90="","",IF($O90="Evet",0,$N90))</f>
        <v/>
      </c>
    </row>
    <row r="91" ht="15" customHeight="1" s="78">
      <c r="G91" s="123">
        <f>IF($A91="","",MAX(0,$D91+$E91-$F91))</f>
        <v/>
      </c>
      <c r="H91" s="123">
        <f>IF($A91="","",MAX(0,$C91-$B91))</f>
        <v/>
      </c>
      <c r="P91" s="123">
        <f>IF($J91="","",365)</f>
        <v/>
      </c>
      <c r="Q91" s="123">
        <f>IF($J91="","",IF($O91="Evet",0,$N91))</f>
        <v/>
      </c>
    </row>
    <row r="92" ht="15" customHeight="1" s="78">
      <c r="G92" s="123">
        <f>IF($A92="","",MAX(0,$D92+$E92-$F92))</f>
        <v/>
      </c>
      <c r="H92" s="123">
        <f>IF($A92="","",MAX(0,$C92-$B92))</f>
        <v/>
      </c>
      <c r="P92" s="123">
        <f>IF($J92="","",365)</f>
        <v/>
      </c>
      <c r="Q92" s="123">
        <f>IF($J92="","",IF($O92="Evet",0,$N92))</f>
        <v/>
      </c>
    </row>
    <row r="93" ht="15" customHeight="1" s="78">
      <c r="G93" s="123">
        <f>IF($A93="","",MAX(0,$D93+$E93-$F93))</f>
        <v/>
      </c>
      <c r="H93" s="123">
        <f>IF($A93="","",MAX(0,$C93-$B93))</f>
        <v/>
      </c>
      <c r="P93" s="123">
        <f>IF($J93="","",365)</f>
        <v/>
      </c>
      <c r="Q93" s="123">
        <f>IF($J93="","",IF($O93="Evet",0,$N93))</f>
        <v/>
      </c>
    </row>
    <row r="94" ht="15" customHeight="1" s="78">
      <c r="G94" s="123">
        <f>IF($A94="","",MAX(0,$D94+$E94-$F94))</f>
        <v/>
      </c>
      <c r="H94" s="123">
        <f>IF($A94="","",MAX(0,$C94-$B94))</f>
        <v/>
      </c>
      <c r="P94" s="123">
        <f>IF($J94="","",365)</f>
        <v/>
      </c>
      <c r="Q94" s="123">
        <f>IF($J94="","",IF($O94="Evet",0,$N94))</f>
        <v/>
      </c>
    </row>
    <row r="95" ht="15" customHeight="1" s="78">
      <c r="G95" s="123">
        <f>IF($A95="","",MAX(0,$D95+$E95-$F95))</f>
        <v/>
      </c>
      <c r="H95" s="123">
        <f>IF($A95="","",MAX(0,$C95-$B95))</f>
        <v/>
      </c>
      <c r="P95" s="123">
        <f>IF($J95="","",365)</f>
        <v/>
      </c>
      <c r="Q95" s="123">
        <f>IF($J95="","",IF($O95="Evet",0,$N95))</f>
        <v/>
      </c>
    </row>
    <row r="96" ht="15" customHeight="1" s="78">
      <c r="G96" s="123">
        <f>IF($A96="","",MAX(0,$D96+$E96-$F96))</f>
        <v/>
      </c>
      <c r="H96" s="123">
        <f>IF($A96="","",MAX(0,$C96-$B96))</f>
        <v/>
      </c>
      <c r="P96" s="123">
        <f>IF($J96="","",365)</f>
        <v/>
      </c>
      <c r="Q96" s="123">
        <f>IF($J96="","",IF($O96="Evet",0,$N96))</f>
        <v/>
      </c>
    </row>
    <row r="97" ht="15" customHeight="1" s="78">
      <c r="G97" s="123">
        <f>IF($A97="","",MAX(0,$D97+$E97-$F97))</f>
        <v/>
      </c>
      <c r="H97" s="123">
        <f>IF($A97="","",MAX(0,$C97-$B97))</f>
        <v/>
      </c>
      <c r="P97" s="123">
        <f>IF($J97="","",365)</f>
        <v/>
      </c>
      <c r="Q97" s="123">
        <f>IF($J97="","",IF($O97="Evet",0,$N97))</f>
        <v/>
      </c>
    </row>
    <row r="98" ht="15" customHeight="1" s="78">
      <c r="G98" s="123">
        <f>IF($A98="","",MAX(0,$D98+$E98-$F98))</f>
        <v/>
      </c>
      <c r="H98" s="123">
        <f>IF($A98="","",MAX(0,$C98-$B98))</f>
        <v/>
      </c>
      <c r="P98" s="123">
        <f>IF($J98="","",365)</f>
        <v/>
      </c>
      <c r="Q98" s="123">
        <f>IF($J98="","",IF($O98="Evet",0,$N98))</f>
        <v/>
      </c>
    </row>
    <row r="99" ht="15" customHeight="1" s="78">
      <c r="G99" s="123">
        <f>IF($A99="","",MAX(0,$D99+$E99-$F99))</f>
        <v/>
      </c>
      <c r="H99" s="123">
        <f>IF($A99="","",MAX(0,$C99-$B99))</f>
        <v/>
      </c>
      <c r="P99" s="123">
        <f>IF($J99="","",365)</f>
        <v/>
      </c>
      <c r="Q99" s="123">
        <f>IF($J99="","",IF($O99="Evet",0,$N99))</f>
        <v/>
      </c>
    </row>
    <row r="100" ht="15" customHeight="1" s="78">
      <c r="G100" s="123">
        <f>IF($A100="","",MAX(0,$D100+$E100-$F100))</f>
        <v/>
      </c>
      <c r="H100" s="123">
        <f>IF($A100="","",MAX(0,$C100-$B100))</f>
        <v/>
      </c>
      <c r="P100" s="123">
        <f>IF($J100="","",365)</f>
        <v/>
      </c>
      <c r="Q100" s="123">
        <f>IF($J100="","",IF($O100="Evet",0,$N100))</f>
        <v/>
      </c>
    </row>
    <row r="101" ht="15" customHeight="1" s="78">
      <c r="G101" s="123">
        <f>IF($A101="","",MAX(0,$D101+$E101-$F101))</f>
        <v/>
      </c>
      <c r="H101" s="123">
        <f>IF($A101="","",MAX(0,$C101-$B101))</f>
        <v/>
      </c>
      <c r="P101" s="123">
        <f>IF($J101="","",365)</f>
        <v/>
      </c>
      <c r="Q101" s="123">
        <f>IF($J101="","",IF($O101="Evet",0,$N101))</f>
        <v/>
      </c>
    </row>
    <row r="102" ht="15" customHeight="1" s="78">
      <c r="G102" s="123">
        <f>IF($A102="","",MAX(0,$D102+$E102-$F102))</f>
        <v/>
      </c>
      <c r="H102" s="123">
        <f>IF($A102="","",MAX(0,$C102-$B102))</f>
        <v/>
      </c>
      <c r="P102" s="123">
        <f>IF($J102="","",365)</f>
        <v/>
      </c>
      <c r="Q102" s="123">
        <f>IF($J102="","",IF($O102="Evet",0,$N102))</f>
        <v/>
      </c>
    </row>
    <row r="103" ht="15" customHeight="1" s="78">
      <c r="G103" s="123">
        <f>IF($A103="","",MAX(0,$D103+$E103-$F103))</f>
        <v/>
      </c>
      <c r="H103" s="123">
        <f>IF($A103="","",MAX(0,$C103-$B103))</f>
        <v/>
      </c>
      <c r="P103" s="123">
        <f>IF($J103="","",365)</f>
        <v/>
      </c>
      <c r="Q103" s="123">
        <f>IF($J103="","",IF($O103="Evet",0,$N103))</f>
        <v/>
      </c>
    </row>
    <row r="104" ht="15" customHeight="1" s="78">
      <c r="G104" s="123">
        <f>IF($A104="","",MAX(0,$D104+$E104-$F104))</f>
        <v/>
      </c>
      <c r="H104" s="123">
        <f>IF($A104="","",MAX(0,$C104-$B104))</f>
        <v/>
      </c>
      <c r="P104" s="123">
        <f>IF($J104="","",365)</f>
        <v/>
      </c>
      <c r="Q104" s="123">
        <f>IF($J104="","",IF($O104="Evet",0,$N104))</f>
        <v/>
      </c>
    </row>
    <row r="105" ht="15" customHeight="1" s="78">
      <c r="G105" s="123">
        <f>IF($A105="","",MAX(0,$D105+$E105-$F105))</f>
        <v/>
      </c>
      <c r="H105" s="123">
        <f>IF($A105="","",MAX(0,$C105-$B105))</f>
        <v/>
      </c>
      <c r="P105" s="123">
        <f>IF($J105="","",365)</f>
        <v/>
      </c>
      <c r="Q105" s="123">
        <f>IF($J105="","",IF($O105="Evet",0,$N105))</f>
        <v/>
      </c>
    </row>
    <row r="106" ht="15" customHeight="1" s="78">
      <c r="G106" s="123">
        <f>IF($A106="","",MAX(0,$D106+$E106-$F106))</f>
        <v/>
      </c>
      <c r="H106" s="123">
        <f>IF($A106="","",MAX(0,$C106-$B106))</f>
        <v/>
      </c>
      <c r="P106" s="123">
        <f>IF($J106="","",365)</f>
        <v/>
      </c>
      <c r="Q106" s="123">
        <f>IF($J106="","",IF($O106="Evet",0,$N106))</f>
        <v/>
      </c>
    </row>
    <row r="107" ht="15" customHeight="1" s="78">
      <c r="G107" s="123">
        <f>IF($A107="","",MAX(0,$D107+$E107-$F107))</f>
        <v/>
      </c>
      <c r="H107" s="123">
        <f>IF($A107="","",MAX(0,$C107-$B107))</f>
        <v/>
      </c>
      <c r="P107" s="123">
        <f>IF($J107="","",365)</f>
        <v/>
      </c>
      <c r="Q107" s="123">
        <f>IF($J107="","",IF($O107="Evet",0,$N107))</f>
        <v/>
      </c>
    </row>
    <row r="108" ht="15" customHeight="1" s="78">
      <c r="G108" s="123">
        <f>IF($A108="","",MAX(0,$D108+$E108-$F108))</f>
        <v/>
      </c>
      <c r="H108" s="123">
        <f>IF($A108="","",MAX(0,$C108-$B108))</f>
        <v/>
      </c>
      <c r="P108" s="123">
        <f>IF($J108="","",365)</f>
        <v/>
      </c>
      <c r="Q108" s="123">
        <f>IF($J108="","",IF($O108="Evet",0,$N108))</f>
        <v/>
      </c>
    </row>
    <row r="109" ht="15" customHeight="1" s="78">
      <c r="G109" s="123">
        <f>IF($A109="","",MAX(0,$D109+$E109-$F109))</f>
        <v/>
      </c>
      <c r="H109" s="123">
        <f>IF($A109="","",MAX(0,$C109-$B109))</f>
        <v/>
      </c>
      <c r="P109" s="123">
        <f>IF($J109="","",365)</f>
        <v/>
      </c>
      <c r="Q109" s="123">
        <f>IF($J109="","",IF($O109="Evet",0,$N109))</f>
        <v/>
      </c>
    </row>
    <row r="110" ht="15" customHeight="1" s="78">
      <c r="G110" s="123">
        <f>IF($A110="","",MAX(0,$D110+$E110-$F110))</f>
        <v/>
      </c>
      <c r="H110" s="123">
        <f>IF($A110="","",MAX(0,$C110-$B110))</f>
        <v/>
      </c>
      <c r="P110" s="123">
        <f>IF($J110="","",365)</f>
        <v/>
      </c>
      <c r="Q110" s="123">
        <f>IF($J110="","",IF($O110="Evet",0,$N110))</f>
        <v/>
      </c>
    </row>
    <row r="111" ht="15" customHeight="1" s="78">
      <c r="G111" s="123">
        <f>IF($A111="","",MAX(0,$D111+$E111-$F111))</f>
        <v/>
      </c>
      <c r="H111" s="123">
        <f>IF($A111="","",MAX(0,$C111-$B111))</f>
        <v/>
      </c>
      <c r="P111" s="123">
        <f>IF($J111="","",365)</f>
        <v/>
      </c>
      <c r="Q111" s="123">
        <f>IF($J111="","",IF($O111="Evet",0,$N111))</f>
        <v/>
      </c>
    </row>
    <row r="112" ht="15" customHeight="1" s="78">
      <c r="G112" s="123">
        <f>IF($A112="","",MAX(0,$D112+$E112-$F112))</f>
        <v/>
      </c>
      <c r="H112" s="123">
        <f>IF($A112="","",MAX(0,$C112-$B112))</f>
        <v/>
      </c>
      <c r="P112" s="123">
        <f>IF($J112="","",365)</f>
        <v/>
      </c>
      <c r="Q112" s="123">
        <f>IF($J112="","",IF($O112="Evet",0,$N112))</f>
        <v/>
      </c>
    </row>
    <row r="113" ht="15" customHeight="1" s="78">
      <c r="G113" s="123">
        <f>IF($A113="","",MAX(0,$D113+$E113-$F113))</f>
        <v/>
      </c>
      <c r="H113" s="123">
        <f>IF($A113="","",MAX(0,$C113-$B113))</f>
        <v/>
      </c>
      <c r="P113" s="123">
        <f>IF($J113="","",365)</f>
        <v/>
      </c>
      <c r="Q113" s="123">
        <f>IF($J113="","",IF($O113="Evet",0,$N113))</f>
        <v/>
      </c>
    </row>
    <row r="114" ht="15" customHeight="1" s="78">
      <c r="G114" s="123">
        <f>IF($A114="","",MAX(0,$D114+$E114-$F114))</f>
        <v/>
      </c>
      <c r="H114" s="123">
        <f>IF($A114="","",MAX(0,$C114-$B114))</f>
        <v/>
      </c>
      <c r="P114" s="123">
        <f>IF($J114="","",365)</f>
        <v/>
      </c>
      <c r="Q114" s="123">
        <f>IF($J114="","",IF($O114="Evet",0,$N114))</f>
        <v/>
      </c>
    </row>
    <row r="115" ht="15" customHeight="1" s="78">
      <c r="G115" s="123">
        <f>IF($A115="","",MAX(0,$D115+$E115-$F115))</f>
        <v/>
      </c>
      <c r="H115" s="123">
        <f>IF($A115="","",MAX(0,$C115-$B115))</f>
        <v/>
      </c>
      <c r="P115" s="123">
        <f>IF($J115="","",365)</f>
        <v/>
      </c>
      <c r="Q115" s="123">
        <f>IF($J115="","",IF($O115="Evet",0,$N115))</f>
        <v/>
      </c>
    </row>
    <row r="116" ht="15" customHeight="1" s="78">
      <c r="G116" s="123">
        <f>IF($A116="","",MAX(0,$D116+$E116-$F116))</f>
        <v/>
      </c>
      <c r="H116" s="123">
        <f>IF($A116="","",MAX(0,$C116-$B116))</f>
        <v/>
      </c>
      <c r="P116" s="123">
        <f>IF($J116="","",365)</f>
        <v/>
      </c>
      <c r="Q116" s="123">
        <f>IF($J116="","",IF($O116="Evet",0,$N116))</f>
        <v/>
      </c>
    </row>
    <row r="117" ht="15" customHeight="1" s="78">
      <c r="G117" s="123">
        <f>IF($A117="","",MAX(0,$D117+$E117-$F117))</f>
        <v/>
      </c>
      <c r="H117" s="123">
        <f>IF($A117="","",MAX(0,$C117-$B117))</f>
        <v/>
      </c>
      <c r="P117" s="123">
        <f>IF($J117="","",365)</f>
        <v/>
      </c>
      <c r="Q117" s="123">
        <f>IF($J117="","",IF($O117="Evet",0,$N117))</f>
        <v/>
      </c>
    </row>
    <row r="118" ht="15" customHeight="1" s="78">
      <c r="G118" s="123">
        <f>IF($A118="","",MAX(0,$D118+$E118-$F118))</f>
        <v/>
      </c>
      <c r="H118" s="123">
        <f>IF($A118="","",MAX(0,$C118-$B118))</f>
        <v/>
      </c>
      <c r="P118" s="123">
        <f>IF($J118="","",365)</f>
        <v/>
      </c>
      <c r="Q118" s="123">
        <f>IF($J118="","",IF($O118="Evet",0,$N118))</f>
        <v/>
      </c>
    </row>
    <row r="119" ht="15" customHeight="1" s="78">
      <c r="G119" s="123">
        <f>IF($A119="","",MAX(0,$D119+$E119-$F119))</f>
        <v/>
      </c>
      <c r="H119" s="123">
        <f>IF($A119="","",MAX(0,$C119-$B119))</f>
        <v/>
      </c>
      <c r="P119" s="123">
        <f>IF($J119="","",365)</f>
        <v/>
      </c>
      <c r="Q119" s="123">
        <f>IF($J119="","",IF($O119="Evet",0,$N119))</f>
        <v/>
      </c>
    </row>
    <row r="120" ht="15" customHeight="1" s="78">
      <c r="G120" s="123">
        <f>IF($A120="","",MAX(0,$D120+$E120-$F120))</f>
        <v/>
      </c>
      <c r="H120" s="123">
        <f>IF($A120="","",MAX(0,$C120-$B120))</f>
        <v/>
      </c>
      <c r="P120" s="123">
        <f>IF($J120="","",365)</f>
        <v/>
      </c>
      <c r="Q120" s="123">
        <f>IF($J120="","",IF($O120="Evet",0,$N120))</f>
        <v/>
      </c>
    </row>
    <row r="121" ht="15" customHeight="1" s="78">
      <c r="G121" s="123">
        <f>IF($A121="","",MAX(0,$D121+$E121-$F121))</f>
        <v/>
      </c>
      <c r="H121" s="123">
        <f>IF($A121="","",MAX(0,$C121-$B121))</f>
        <v/>
      </c>
      <c r="P121" s="123">
        <f>IF($J121="","",365)</f>
        <v/>
      </c>
      <c r="Q121" s="123">
        <f>IF($J121="","",IF($O121="Evet",0,$N121))</f>
        <v/>
      </c>
    </row>
    <row r="122" ht="15" customHeight="1" s="78">
      <c r="G122" s="123">
        <f>IF($A122="","",MAX(0,$D122+$E122-$F122))</f>
        <v/>
      </c>
      <c r="H122" s="123">
        <f>IF($A122="","",MAX(0,$C122-$B122))</f>
        <v/>
      </c>
      <c r="P122" s="123">
        <f>IF($J122="","",365)</f>
        <v/>
      </c>
      <c r="Q122" s="123">
        <f>IF($J122="","",IF($O122="Evet",0,$N122))</f>
        <v/>
      </c>
    </row>
    <row r="123" ht="15" customHeight="1" s="78">
      <c r="G123" s="123">
        <f>IF($A123="","",MAX(0,$D123+$E123-$F123))</f>
        <v/>
      </c>
      <c r="H123" s="123">
        <f>IF($A123="","",MAX(0,$C123-$B123))</f>
        <v/>
      </c>
      <c r="P123" s="123">
        <f>IF($J123="","",365)</f>
        <v/>
      </c>
      <c r="Q123" s="123">
        <f>IF($J123="","",IF($O123="Evet",0,$N123))</f>
        <v/>
      </c>
    </row>
    <row r="124" ht="15" customHeight="1" s="78">
      <c r="G124" s="123">
        <f>IF($A124="","",MAX(0,$D124+$E124-$F124))</f>
        <v/>
      </c>
      <c r="H124" s="123">
        <f>IF($A124="","",MAX(0,$C124-$B124))</f>
        <v/>
      </c>
      <c r="P124" s="123">
        <f>IF($J124="","",365)</f>
        <v/>
      </c>
      <c r="Q124" s="123">
        <f>IF($J124="","",IF($O124="Evet",0,$N124))</f>
        <v/>
      </c>
    </row>
    <row r="125" ht="15" customHeight="1" s="78">
      <c r="G125" s="123">
        <f>IF($A125="","",MAX(0,$D125+$E125-$F125))</f>
        <v/>
      </c>
      <c r="H125" s="123">
        <f>IF($A125="","",MAX(0,$C125-$B125))</f>
        <v/>
      </c>
      <c r="P125" s="123">
        <f>IF($J125="","",365)</f>
        <v/>
      </c>
      <c r="Q125" s="123">
        <f>IF($J125="","",IF($O125="Evet",0,$N125))</f>
        <v/>
      </c>
    </row>
    <row r="126" ht="15" customHeight="1" s="78">
      <c r="G126" s="123">
        <f>IF($A126="","",MAX(0,$D126+$E126-$F126))</f>
        <v/>
      </c>
      <c r="H126" s="123">
        <f>IF($A126="","",MAX(0,$C126-$B126))</f>
        <v/>
      </c>
      <c r="P126" s="123">
        <f>IF($J126="","",365)</f>
        <v/>
      </c>
      <c r="Q126" s="123">
        <f>IF($J126="","",IF($O126="Evet",0,$N126))</f>
        <v/>
      </c>
    </row>
    <row r="127" ht="15" customHeight="1" s="78">
      <c r="G127" s="123">
        <f>IF($A127="","",MAX(0,$D127+$E127-$F127))</f>
        <v/>
      </c>
      <c r="H127" s="123">
        <f>IF($A127="","",MAX(0,$C127-$B127))</f>
        <v/>
      </c>
      <c r="P127" s="123">
        <f>IF($J127="","",365)</f>
        <v/>
      </c>
      <c r="Q127" s="123">
        <f>IF($J127="","",IF($O127="Evet",0,$N127))</f>
        <v/>
      </c>
    </row>
    <row r="128" ht="15" customHeight="1" s="78">
      <c r="G128" s="123">
        <f>IF($A128="","",MAX(0,$D128+$E128-$F128))</f>
        <v/>
      </c>
      <c r="H128" s="123">
        <f>IF($A128="","",MAX(0,$C128-$B128))</f>
        <v/>
      </c>
      <c r="P128" s="123">
        <f>IF($J128="","",365)</f>
        <v/>
      </c>
      <c r="Q128" s="123">
        <f>IF($J128="","",IF($O128="Evet",0,$N128))</f>
        <v/>
      </c>
    </row>
    <row r="129" ht="15" customHeight="1" s="78">
      <c r="G129" s="123">
        <f>IF($A129="","",MAX(0,$D129+$E129-$F129))</f>
        <v/>
      </c>
      <c r="H129" s="123">
        <f>IF($A129="","",MAX(0,$C129-$B129))</f>
        <v/>
      </c>
      <c r="P129" s="123">
        <f>IF($J129="","",365)</f>
        <v/>
      </c>
      <c r="Q129" s="123">
        <f>IF($J129="","",IF($O129="Evet",0,$N129))</f>
        <v/>
      </c>
    </row>
    <row r="130" ht="15" customHeight="1" s="78">
      <c r="G130" s="123">
        <f>IF($A130="","",MAX(0,$D130+$E130-$F130))</f>
        <v/>
      </c>
      <c r="H130" s="123">
        <f>IF($A130="","",MAX(0,$C130-$B130))</f>
        <v/>
      </c>
      <c r="P130" s="123">
        <f>IF($J130="","",365)</f>
        <v/>
      </c>
      <c r="Q130" s="123">
        <f>IF($J130="","",IF($O130="Evet",0,$N130))</f>
        <v/>
      </c>
    </row>
    <row r="131" ht="15" customHeight="1" s="78">
      <c r="G131" s="123">
        <f>IF($A131="","",MAX(0,$D131+$E131-$F131))</f>
        <v/>
      </c>
      <c r="H131" s="123">
        <f>IF($A131="","",MAX(0,$C131-$B131))</f>
        <v/>
      </c>
      <c r="P131" s="123">
        <f>IF($J131="","",365)</f>
        <v/>
      </c>
      <c r="Q131" s="123">
        <f>IF($J131="","",IF($O131="Evet",0,$N131))</f>
        <v/>
      </c>
    </row>
    <row r="132" ht="15" customHeight="1" s="78">
      <c r="G132" s="123">
        <f>IF($A132="","",MAX(0,$D132+$E132-$F132))</f>
        <v/>
      </c>
      <c r="H132" s="123">
        <f>IF($A132="","",MAX(0,$C132-$B132))</f>
        <v/>
      </c>
      <c r="P132" s="123">
        <f>IF($J132="","",365)</f>
        <v/>
      </c>
      <c r="Q132" s="123">
        <f>IF($J132="","",IF($O132="Evet",0,$N132))</f>
        <v/>
      </c>
    </row>
    <row r="133" ht="15" customHeight="1" s="78">
      <c r="G133" s="123">
        <f>IF($A133="","",MAX(0,$D133+$E133-$F133))</f>
        <v/>
      </c>
      <c r="H133" s="123">
        <f>IF($A133="","",MAX(0,$C133-$B133))</f>
        <v/>
      </c>
      <c r="P133" s="123">
        <f>IF($J133="","",365)</f>
        <v/>
      </c>
      <c r="Q133" s="123">
        <f>IF($J133="","",IF($O133="Evet",0,$N133))</f>
        <v/>
      </c>
    </row>
    <row r="134" ht="15" customHeight="1" s="78">
      <c r="G134" s="123">
        <f>IF($A134="","",MAX(0,$D134+$E134-$F134))</f>
        <v/>
      </c>
      <c r="H134" s="123">
        <f>IF($A134="","",MAX(0,$C134-$B134))</f>
        <v/>
      </c>
      <c r="P134" s="123">
        <f>IF($J134="","",365)</f>
        <v/>
      </c>
      <c r="Q134" s="123">
        <f>IF($J134="","",IF($O134="Evet",0,$N134))</f>
        <v/>
      </c>
    </row>
    <row r="135" ht="15" customHeight="1" s="78">
      <c r="G135" s="123">
        <f>IF($A135="","",MAX(0,$D135+$E135-$F135))</f>
        <v/>
      </c>
      <c r="H135" s="123">
        <f>IF($A135="","",MAX(0,$C135-$B135))</f>
        <v/>
      </c>
      <c r="P135" s="123">
        <f>IF($J135="","",365)</f>
        <v/>
      </c>
      <c r="Q135" s="123">
        <f>IF($J135="","",IF($O135="Evet",0,$N135))</f>
        <v/>
      </c>
    </row>
    <row r="136" ht="15" customHeight="1" s="78">
      <c r="G136" s="123">
        <f>IF($A136="","",MAX(0,$D136+$E136-$F136))</f>
        <v/>
      </c>
      <c r="H136" s="123">
        <f>IF($A136="","",MAX(0,$C136-$B136))</f>
        <v/>
      </c>
      <c r="P136" s="123">
        <f>IF($J136="","",365)</f>
        <v/>
      </c>
      <c r="Q136" s="123">
        <f>IF($J136="","",IF($O136="Evet",0,$N136))</f>
        <v/>
      </c>
    </row>
    <row r="137" ht="15" customHeight="1" s="78">
      <c r="G137" s="123">
        <f>IF($A137="","",MAX(0,$D137+$E137-$F137))</f>
        <v/>
      </c>
      <c r="H137" s="123">
        <f>IF($A137="","",MAX(0,$C137-$B137))</f>
        <v/>
      </c>
      <c r="P137" s="123">
        <f>IF($J137="","",365)</f>
        <v/>
      </c>
      <c r="Q137" s="123">
        <f>IF($J137="","",IF($O137="Evet",0,$N137))</f>
        <v/>
      </c>
    </row>
    <row r="138" ht="15" customHeight="1" s="78">
      <c r="G138" s="123">
        <f>IF($A138="","",MAX(0,$D138+$E138-$F138))</f>
        <v/>
      </c>
      <c r="H138" s="123">
        <f>IF($A138="","",MAX(0,$C138-$B138))</f>
        <v/>
      </c>
      <c r="P138" s="123">
        <f>IF($J138="","",365)</f>
        <v/>
      </c>
      <c r="Q138" s="123">
        <f>IF($J138="","",IF($O138="Evet",0,$N138))</f>
        <v/>
      </c>
    </row>
    <row r="139" ht="15" customHeight="1" s="78">
      <c r="G139" s="123">
        <f>IF($A139="","",MAX(0,$D139+$E139-$F139))</f>
        <v/>
      </c>
      <c r="H139" s="123">
        <f>IF($A139="","",MAX(0,$C139-$B139))</f>
        <v/>
      </c>
      <c r="P139" s="123">
        <f>IF($J139="","",365)</f>
        <v/>
      </c>
      <c r="Q139" s="123">
        <f>IF($J139="","",IF($O139="Evet",0,$N139))</f>
        <v/>
      </c>
    </row>
    <row r="140" ht="15" customHeight="1" s="78">
      <c r="G140" s="123">
        <f>IF($A140="","",MAX(0,$D140+$E140-$F140))</f>
        <v/>
      </c>
      <c r="H140" s="123">
        <f>IF($A140="","",MAX(0,$C140-$B140))</f>
        <v/>
      </c>
      <c r="P140" s="123">
        <f>IF($J140="","",365)</f>
        <v/>
      </c>
      <c r="Q140" s="123">
        <f>IF($J140="","",IF($O140="Evet",0,$N140))</f>
        <v/>
      </c>
    </row>
    <row r="141" ht="15" customHeight="1" s="78">
      <c r="G141" s="123">
        <f>IF($A141="","",MAX(0,$D141+$E141-$F141))</f>
        <v/>
      </c>
      <c r="H141" s="123">
        <f>IF($A141="","",MAX(0,$C141-$B141))</f>
        <v/>
      </c>
      <c r="P141" s="123">
        <f>IF($J141="","",365)</f>
        <v/>
      </c>
      <c r="Q141" s="123">
        <f>IF($J141="","",IF($O141="Evet",0,$N141))</f>
        <v/>
      </c>
    </row>
    <row r="142" ht="15" customHeight="1" s="78">
      <c r="G142" s="123">
        <f>IF($A142="","",MAX(0,$D142+$E142-$F142))</f>
        <v/>
      </c>
      <c r="H142" s="123">
        <f>IF($A142="","",MAX(0,$C142-$B142))</f>
        <v/>
      </c>
      <c r="P142" s="123">
        <f>IF($J142="","",365)</f>
        <v/>
      </c>
      <c r="Q142" s="123">
        <f>IF($J142="","",IF($O142="Evet",0,$N142))</f>
        <v/>
      </c>
    </row>
    <row r="143" ht="15" customHeight="1" s="78">
      <c r="G143" s="123">
        <f>IF($A143="","",MAX(0,$D143+$E143-$F143))</f>
        <v/>
      </c>
      <c r="H143" s="123">
        <f>IF($A143="","",MAX(0,$C143-$B143))</f>
        <v/>
      </c>
      <c r="P143" s="123">
        <f>IF($J143="","",365)</f>
        <v/>
      </c>
      <c r="Q143" s="123">
        <f>IF($J143="","",IF($O143="Evet",0,$N143))</f>
        <v/>
      </c>
    </row>
    <row r="144" ht="15" customHeight="1" s="78">
      <c r="G144" s="123">
        <f>IF($A144="","",MAX(0,$D144+$E144-$F144))</f>
        <v/>
      </c>
      <c r="H144" s="123">
        <f>IF($A144="","",MAX(0,$C144-$B144))</f>
        <v/>
      </c>
      <c r="P144" s="123">
        <f>IF($J144="","",365)</f>
        <v/>
      </c>
      <c r="Q144" s="123">
        <f>IF($J144="","",IF($O144="Evet",0,$N144))</f>
        <v/>
      </c>
    </row>
    <row r="145" ht="15" customHeight="1" s="78">
      <c r="G145" s="123">
        <f>IF($A145="","",MAX(0,$D145+$E145-$F145))</f>
        <v/>
      </c>
      <c r="H145" s="123">
        <f>IF($A145="","",MAX(0,$C145-$B145))</f>
        <v/>
      </c>
      <c r="P145" s="123">
        <f>IF($J145="","",365)</f>
        <v/>
      </c>
      <c r="Q145" s="123">
        <f>IF($J145="","",IF($O145="Evet",0,$N145))</f>
        <v/>
      </c>
    </row>
    <row r="146" ht="15" customHeight="1" s="78">
      <c r="G146" s="123">
        <f>IF($A146="","",MAX(0,$D146+$E146-$F146))</f>
        <v/>
      </c>
      <c r="H146" s="123">
        <f>IF($A146="","",MAX(0,$C146-$B146))</f>
        <v/>
      </c>
      <c r="P146" s="123">
        <f>IF($J146="","",365)</f>
        <v/>
      </c>
      <c r="Q146" s="123">
        <f>IF($J146="","",IF($O146="Evet",0,$N146))</f>
        <v/>
      </c>
    </row>
    <row r="147" ht="15" customHeight="1" s="78">
      <c r="G147" s="123">
        <f>IF($A147="","",MAX(0,$D147+$E147-$F147))</f>
        <v/>
      </c>
      <c r="H147" s="123">
        <f>IF($A147="","",MAX(0,$C147-$B147))</f>
        <v/>
      </c>
      <c r="P147" s="123">
        <f>IF($J147="","",365)</f>
        <v/>
      </c>
      <c r="Q147" s="123">
        <f>IF($J147="","",IF($O147="Evet",0,$N147))</f>
        <v/>
      </c>
    </row>
    <row r="148" ht="15" customHeight="1" s="78">
      <c r="G148" s="123">
        <f>IF($A148="","",MAX(0,$D148+$E148-$F148))</f>
        <v/>
      </c>
      <c r="H148" s="123">
        <f>IF($A148="","",MAX(0,$C148-$B148))</f>
        <v/>
      </c>
      <c r="P148" s="123">
        <f>IF($J148="","",365)</f>
        <v/>
      </c>
      <c r="Q148" s="123">
        <f>IF($J148="","",IF($O148="Evet",0,$N148))</f>
        <v/>
      </c>
    </row>
    <row r="149" ht="15" customHeight="1" s="78">
      <c r="G149" s="123">
        <f>IF($A149="","",MAX(0,$D149+$E149-$F149))</f>
        <v/>
      </c>
      <c r="H149" s="123">
        <f>IF($A149="","",MAX(0,$C149-$B149))</f>
        <v/>
      </c>
      <c r="P149" s="123">
        <f>IF($J149="","",365)</f>
        <v/>
      </c>
      <c r="Q149" s="123">
        <f>IF($J149="","",IF($O149="Evet",0,$N149))</f>
        <v/>
      </c>
    </row>
    <row r="150" ht="15" customHeight="1" s="78">
      <c r="G150" s="123">
        <f>IF($A150="","",MAX(0,$D150+$E150-$F150))</f>
        <v/>
      </c>
      <c r="H150" s="123">
        <f>IF($A150="","",MAX(0,$C150-$B150))</f>
        <v/>
      </c>
      <c r="P150" s="123">
        <f>IF($J150="","",365)</f>
        <v/>
      </c>
      <c r="Q150" s="123">
        <f>IF($J150="","",IF($O150="Evet",0,$N150))</f>
        <v/>
      </c>
    </row>
    <row r="151" ht="15" customHeight="1" s="78">
      <c r="G151" s="123">
        <f>IF($A151="","",MAX(0,$D151+$E151-$F151))</f>
        <v/>
      </c>
      <c r="H151" s="123">
        <f>IF($A151="","",MAX(0,$C151-$B151))</f>
        <v/>
      </c>
      <c r="P151" s="123">
        <f>IF($J151="","",365)</f>
        <v/>
      </c>
      <c r="Q151" s="123">
        <f>IF($J151="","",IF($O151="Evet",0,$N151))</f>
        <v/>
      </c>
    </row>
    <row r="152" ht="15" customHeight="1" s="78">
      <c r="G152" s="123">
        <f>IF($A152="","",MAX(0,$D152+$E152-$F152))</f>
        <v/>
      </c>
      <c r="H152" s="123">
        <f>IF($A152="","",MAX(0,$C152-$B152))</f>
        <v/>
      </c>
      <c r="P152" s="123">
        <f>IF($J152="","",365)</f>
        <v/>
      </c>
      <c r="Q152" s="123">
        <f>IF($J152="","",IF($O152="Evet",0,$N152))</f>
        <v/>
      </c>
    </row>
    <row r="153" ht="15" customHeight="1" s="78">
      <c r="G153" s="123">
        <f>IF($A153="","",MAX(0,$D153+$E153-$F153))</f>
        <v/>
      </c>
      <c r="H153" s="123">
        <f>IF($A153="","",MAX(0,$C153-$B153))</f>
        <v/>
      </c>
      <c r="P153" s="123">
        <f>IF($J153="","",365)</f>
        <v/>
      </c>
      <c r="Q153" s="123">
        <f>IF($J153="","",IF($O153="Evet",0,$N153))</f>
        <v/>
      </c>
    </row>
    <row r="154" ht="15" customHeight="1" s="78">
      <c r="G154" s="123">
        <f>IF($A154="","",MAX(0,$D154+$E154-$F154))</f>
        <v/>
      </c>
      <c r="H154" s="123">
        <f>IF($A154="","",MAX(0,$C154-$B154))</f>
        <v/>
      </c>
      <c r="P154" s="123">
        <f>IF($J154="","",365)</f>
        <v/>
      </c>
      <c r="Q154" s="123">
        <f>IF($J154="","",IF($O154="Evet",0,$N154))</f>
        <v/>
      </c>
    </row>
    <row r="155" ht="15" customHeight="1" s="78">
      <c r="G155" s="123">
        <f>IF($A155="","",MAX(0,$D155+$E155-$F155))</f>
        <v/>
      </c>
      <c r="H155" s="123">
        <f>IF($A155="","",MAX(0,$C155-$B155))</f>
        <v/>
      </c>
      <c r="P155" s="123">
        <f>IF($J155="","",365)</f>
        <v/>
      </c>
      <c r="Q155" s="123">
        <f>IF($J155="","",IF($O155="Evet",0,$N155))</f>
        <v/>
      </c>
    </row>
    <row r="156" ht="15" customHeight="1" s="78">
      <c r="G156" s="123">
        <f>IF($A156="","",MAX(0,$D156+$E156-$F156))</f>
        <v/>
      </c>
      <c r="H156" s="123">
        <f>IF($A156="","",MAX(0,$C156-$B156))</f>
        <v/>
      </c>
      <c r="P156" s="123">
        <f>IF($J156="","",365)</f>
        <v/>
      </c>
      <c r="Q156" s="123">
        <f>IF($J156="","",IF($O156="Evet",0,$N156))</f>
        <v/>
      </c>
    </row>
    <row r="157" ht="15" customHeight="1" s="78">
      <c r="G157" s="123">
        <f>IF($A157="","",MAX(0,$D157+$E157-$F157))</f>
        <v/>
      </c>
      <c r="H157" s="123">
        <f>IF($A157="","",MAX(0,$C157-$B157))</f>
        <v/>
      </c>
      <c r="P157" s="123">
        <f>IF($J157="","",365)</f>
        <v/>
      </c>
      <c r="Q157" s="123">
        <f>IF($J157="","",IF($O157="Evet",0,$N157))</f>
        <v/>
      </c>
    </row>
    <row r="158" ht="15" customHeight="1" s="78">
      <c r="G158" s="123">
        <f>IF($A158="","",MAX(0,$D158+$E158-$F158))</f>
        <v/>
      </c>
      <c r="H158" s="123">
        <f>IF($A158="","",MAX(0,$C158-$B158))</f>
        <v/>
      </c>
      <c r="P158" s="123">
        <f>IF($J158="","",365)</f>
        <v/>
      </c>
      <c r="Q158" s="123">
        <f>IF($J158="","",IF($O158="Evet",0,$N158))</f>
        <v/>
      </c>
    </row>
    <row r="159" ht="15" customHeight="1" s="78">
      <c r="G159" s="123">
        <f>IF($A159="","",MAX(0,$D159+$E159-$F159))</f>
        <v/>
      </c>
      <c r="H159" s="123">
        <f>IF($A159="","",MAX(0,$C159-$B159))</f>
        <v/>
      </c>
      <c r="P159" s="123">
        <f>IF($J159="","",365)</f>
        <v/>
      </c>
      <c r="Q159" s="123">
        <f>IF($J159="","",IF($O159="Evet",0,$N159))</f>
        <v/>
      </c>
    </row>
    <row r="160" ht="15" customHeight="1" s="78">
      <c r="G160" s="123">
        <f>IF($A160="","",MAX(0,$D160+$E160-$F160))</f>
        <v/>
      </c>
      <c r="H160" s="123">
        <f>IF($A160="","",MAX(0,$C160-$B160))</f>
        <v/>
      </c>
      <c r="P160" s="123">
        <f>IF($J160="","",365)</f>
        <v/>
      </c>
      <c r="Q160" s="123">
        <f>IF($J160="","",IF($O160="Evet",0,$N160))</f>
        <v/>
      </c>
    </row>
    <row r="161" ht="15" customHeight="1" s="78">
      <c r="G161" s="123">
        <f>IF($A161="","",MAX(0,$D161+$E161-$F161))</f>
        <v/>
      </c>
      <c r="H161" s="123">
        <f>IF($A161="","",MAX(0,$C161-$B161))</f>
        <v/>
      </c>
      <c r="P161" s="123">
        <f>IF($J161="","",365)</f>
        <v/>
      </c>
      <c r="Q161" s="123">
        <f>IF($J161="","",IF($O161="Evet",0,$N161))</f>
        <v/>
      </c>
    </row>
    <row r="162" ht="15" customHeight="1" s="78">
      <c r="G162" s="123">
        <f>IF($A162="","",MAX(0,$D162+$E162-$F162))</f>
        <v/>
      </c>
      <c r="H162" s="123">
        <f>IF($A162="","",MAX(0,$C162-$B162))</f>
        <v/>
      </c>
      <c r="P162" s="123">
        <f>IF($J162="","",365)</f>
        <v/>
      </c>
      <c r="Q162" s="123">
        <f>IF($J162="","",IF($O162="Evet",0,$N162))</f>
        <v/>
      </c>
    </row>
    <row r="163" ht="15" customHeight="1" s="78">
      <c r="G163" s="123">
        <f>IF($A163="","",MAX(0,$D163+$E163-$F163))</f>
        <v/>
      </c>
      <c r="H163" s="123">
        <f>IF($A163="","",MAX(0,$C163-$B163))</f>
        <v/>
      </c>
      <c r="P163" s="123">
        <f>IF($J163="","",365)</f>
        <v/>
      </c>
      <c r="Q163" s="123">
        <f>IF($J163="","",IF($O163="Evet",0,$N163))</f>
        <v/>
      </c>
    </row>
    <row r="164" ht="15" customHeight="1" s="78">
      <c r="G164" s="123">
        <f>IF($A164="","",MAX(0,$D164+$E164-$F164))</f>
        <v/>
      </c>
      <c r="H164" s="123">
        <f>IF($A164="","",MAX(0,$C164-$B164))</f>
        <v/>
      </c>
      <c r="P164" s="123">
        <f>IF($J164="","",365)</f>
        <v/>
      </c>
      <c r="Q164" s="123">
        <f>IF($J164="","",IF($O164="Evet",0,$N164))</f>
        <v/>
      </c>
    </row>
    <row r="165" ht="15" customHeight="1" s="78">
      <c r="G165" s="123">
        <f>IF($A165="","",MAX(0,$D165+$E165-$F165))</f>
        <v/>
      </c>
      <c r="H165" s="123">
        <f>IF($A165="","",MAX(0,$C165-$B165))</f>
        <v/>
      </c>
      <c r="P165" s="123">
        <f>IF($J165="","",365)</f>
        <v/>
      </c>
      <c r="Q165" s="123">
        <f>IF($J165="","",IF($O165="Evet",0,$N165))</f>
        <v/>
      </c>
    </row>
    <row r="166" ht="15" customHeight="1" s="78">
      <c r="G166" s="123">
        <f>IF($A166="","",MAX(0,$D166+$E166-$F166))</f>
        <v/>
      </c>
      <c r="H166" s="123">
        <f>IF($A166="","",MAX(0,$C166-$B166))</f>
        <v/>
      </c>
      <c r="P166" s="123">
        <f>IF($J166="","",365)</f>
        <v/>
      </c>
      <c r="Q166" s="123">
        <f>IF($J166="","",IF($O166="Evet",0,$N166))</f>
        <v/>
      </c>
    </row>
    <row r="167" ht="15" customHeight="1" s="78">
      <c r="G167" s="123">
        <f>IF($A167="","",MAX(0,$D167+$E167-$F167))</f>
        <v/>
      </c>
      <c r="H167" s="123">
        <f>IF($A167="","",MAX(0,$C167-$B167))</f>
        <v/>
      </c>
      <c r="P167" s="123">
        <f>IF($J167="","",365)</f>
        <v/>
      </c>
      <c r="Q167" s="123">
        <f>IF($J167="","",IF($O167="Evet",0,$N167))</f>
        <v/>
      </c>
    </row>
    <row r="168" ht="15" customHeight="1" s="78">
      <c r="G168" s="123">
        <f>IF($A168="","",MAX(0,$D168+$E168-$F168))</f>
        <v/>
      </c>
      <c r="H168" s="123">
        <f>IF($A168="","",MAX(0,$C168-$B168))</f>
        <v/>
      </c>
      <c r="P168" s="123">
        <f>IF($J168="","",365)</f>
        <v/>
      </c>
      <c r="Q168" s="123">
        <f>IF($J168="","",IF($O168="Evet",0,$N168))</f>
        <v/>
      </c>
    </row>
    <row r="169" ht="15" customHeight="1" s="78">
      <c r="G169" s="123">
        <f>IF($A169="","",MAX(0,$D169+$E169-$F169))</f>
        <v/>
      </c>
      <c r="H169" s="123">
        <f>IF($A169="","",MAX(0,$C169-$B169))</f>
        <v/>
      </c>
      <c r="P169" s="123">
        <f>IF($J169="","",365)</f>
        <v/>
      </c>
      <c r="Q169" s="123">
        <f>IF($J169="","",IF($O169="Evet",0,$N169))</f>
        <v/>
      </c>
    </row>
    <row r="170" ht="15" customHeight="1" s="78">
      <c r="G170" s="123">
        <f>IF($A170="","",MAX(0,$D170+$E170-$F170))</f>
        <v/>
      </c>
      <c r="H170" s="123">
        <f>IF($A170="","",MAX(0,$C170-$B170))</f>
        <v/>
      </c>
      <c r="P170" s="123">
        <f>IF($J170="","",365)</f>
        <v/>
      </c>
      <c r="Q170" s="123">
        <f>IF($J170="","",IF($O170="Evet",0,$N170))</f>
        <v/>
      </c>
    </row>
    <row r="171" ht="15" customHeight="1" s="78">
      <c r="G171" s="123">
        <f>IF($A171="","",MAX(0,$D171+$E171-$F171))</f>
        <v/>
      </c>
      <c r="H171" s="123">
        <f>IF($A171="","",MAX(0,$C171-$B171))</f>
        <v/>
      </c>
      <c r="P171" s="123">
        <f>IF($J171="","",365)</f>
        <v/>
      </c>
      <c r="Q171" s="123">
        <f>IF($J171="","",IF($O171="Evet",0,$N171))</f>
        <v/>
      </c>
    </row>
    <row r="172" ht="15" customHeight="1" s="78">
      <c r="G172" s="123">
        <f>IF($A172="","",MAX(0,$D172+$E172-$F172))</f>
        <v/>
      </c>
      <c r="H172" s="123">
        <f>IF($A172="","",MAX(0,$C172-$B172))</f>
        <v/>
      </c>
      <c r="P172" s="123">
        <f>IF($J172="","",365)</f>
        <v/>
      </c>
      <c r="Q172" s="123">
        <f>IF($J172="","",IF($O172="Evet",0,$N172))</f>
        <v/>
      </c>
    </row>
    <row r="173" ht="15" customHeight="1" s="78">
      <c r="G173" s="123">
        <f>IF($A173="","",MAX(0,$D173+$E173-$F173))</f>
        <v/>
      </c>
      <c r="H173" s="123">
        <f>IF($A173="","",MAX(0,$C173-$B173))</f>
        <v/>
      </c>
      <c r="P173" s="123">
        <f>IF($J173="","",365)</f>
        <v/>
      </c>
      <c r="Q173" s="123">
        <f>IF($J173="","",IF($O173="Evet",0,$N173))</f>
        <v/>
      </c>
    </row>
    <row r="174" ht="15" customHeight="1" s="78">
      <c r="G174" s="123">
        <f>IF($A174="","",MAX(0,$D174+$E174-$F174))</f>
        <v/>
      </c>
      <c r="H174" s="123">
        <f>IF($A174="","",MAX(0,$C174-$B174))</f>
        <v/>
      </c>
      <c r="P174" s="123">
        <f>IF($J174="","",365)</f>
        <v/>
      </c>
      <c r="Q174" s="123">
        <f>IF($J174="","",IF($O174="Evet",0,$N174))</f>
        <v/>
      </c>
    </row>
    <row r="175" ht="15" customHeight="1" s="78">
      <c r="G175" s="123">
        <f>IF($A175="","",MAX(0,$D175+$E175-$F175))</f>
        <v/>
      </c>
      <c r="H175" s="123">
        <f>IF($A175="","",MAX(0,$C175-$B175))</f>
        <v/>
      </c>
      <c r="P175" s="123">
        <f>IF($J175="","",365)</f>
        <v/>
      </c>
      <c r="Q175" s="123">
        <f>IF($J175="","",IF($O175="Evet",0,$N175))</f>
        <v/>
      </c>
    </row>
    <row r="176" ht="15" customHeight="1" s="78">
      <c r="G176" s="123">
        <f>IF($A176="","",MAX(0,$D176+$E176-$F176))</f>
        <v/>
      </c>
      <c r="H176" s="123">
        <f>IF($A176="","",MAX(0,$C176-$B176))</f>
        <v/>
      </c>
      <c r="P176" s="123">
        <f>IF($J176="","",365)</f>
        <v/>
      </c>
      <c r="Q176" s="123">
        <f>IF($J176="","",IF($O176="Evet",0,$N176))</f>
        <v/>
      </c>
    </row>
    <row r="177" ht="15" customHeight="1" s="78">
      <c r="G177" s="123">
        <f>IF($A177="","",MAX(0,$D177+$E177-$F177))</f>
        <v/>
      </c>
      <c r="H177" s="123">
        <f>IF($A177="","",MAX(0,$C177-$B177))</f>
        <v/>
      </c>
      <c r="P177" s="123">
        <f>IF($J177="","",365)</f>
        <v/>
      </c>
      <c r="Q177" s="123">
        <f>IF($J177="","",IF($O177="Evet",0,$N177))</f>
        <v/>
      </c>
    </row>
    <row r="178" ht="15" customHeight="1" s="78">
      <c r="G178" s="123">
        <f>IF($A178="","",MAX(0,$D178+$E178-$F178))</f>
        <v/>
      </c>
      <c r="H178" s="123">
        <f>IF($A178="","",MAX(0,$C178-$B178))</f>
        <v/>
      </c>
      <c r="P178" s="123">
        <f>IF($J178="","",365)</f>
        <v/>
      </c>
      <c r="Q178" s="123">
        <f>IF($J178="","",IF($O178="Evet",0,$N178))</f>
        <v/>
      </c>
    </row>
    <row r="179" ht="15" customHeight="1" s="78">
      <c r="G179" s="123">
        <f>IF($A179="","",MAX(0,$D179+$E179-$F179))</f>
        <v/>
      </c>
      <c r="H179" s="123">
        <f>IF($A179="","",MAX(0,$C179-$B179))</f>
        <v/>
      </c>
      <c r="P179" s="123">
        <f>IF($J179="","",365)</f>
        <v/>
      </c>
      <c r="Q179" s="123">
        <f>IF($J179="","",IF($O179="Evet",0,$N179))</f>
        <v/>
      </c>
    </row>
    <row r="180" ht="15" customHeight="1" s="78">
      <c r="G180" s="123">
        <f>IF($A180="","",MAX(0,$D180+$E180-$F180))</f>
        <v/>
      </c>
      <c r="H180" s="123">
        <f>IF($A180="","",MAX(0,$C180-$B180))</f>
        <v/>
      </c>
      <c r="P180" s="123">
        <f>IF($J180="","",365)</f>
        <v/>
      </c>
      <c r="Q180" s="123">
        <f>IF($J180="","",IF($O180="Evet",0,$N180))</f>
        <v/>
      </c>
    </row>
    <row r="181" ht="15" customHeight="1" s="78">
      <c r="G181" s="123">
        <f>IF($A181="","",MAX(0,$D181+$E181-$F181))</f>
        <v/>
      </c>
      <c r="H181" s="123">
        <f>IF($A181="","",MAX(0,$C181-$B181))</f>
        <v/>
      </c>
      <c r="P181" s="123">
        <f>IF($J181="","",365)</f>
        <v/>
      </c>
      <c r="Q181" s="123">
        <f>IF($J181="","",IF($O181="Evet",0,$N181))</f>
        <v/>
      </c>
    </row>
    <row r="182" ht="15" customHeight="1" s="78">
      <c r="G182" s="123">
        <f>IF($A182="","",MAX(0,$D182+$E182-$F182))</f>
        <v/>
      </c>
      <c r="H182" s="123">
        <f>IF($A182="","",MAX(0,$C182-$B182))</f>
        <v/>
      </c>
      <c r="P182" s="123">
        <f>IF($J182="","",365)</f>
        <v/>
      </c>
      <c r="Q182" s="123">
        <f>IF($J182="","",IF($O182="Evet",0,$N182))</f>
        <v/>
      </c>
    </row>
    <row r="183" ht="15" customHeight="1" s="78">
      <c r="G183" s="123">
        <f>IF($A183="","",MAX(0,$D183+$E183-$F183))</f>
        <v/>
      </c>
      <c r="H183" s="123">
        <f>IF($A183="","",MAX(0,$C183-$B183))</f>
        <v/>
      </c>
      <c r="P183" s="123">
        <f>IF($J183="","",365)</f>
        <v/>
      </c>
      <c r="Q183" s="123">
        <f>IF($J183="","",IF($O183="Evet",0,$N183))</f>
        <v/>
      </c>
    </row>
    <row r="184" ht="15" customHeight="1" s="78">
      <c r="G184" s="123">
        <f>IF($A184="","",MAX(0,$D184+$E184-$F184))</f>
        <v/>
      </c>
      <c r="H184" s="123">
        <f>IF($A184="","",MAX(0,$C184-$B184))</f>
        <v/>
      </c>
      <c r="P184" s="123">
        <f>IF($J184="","",365)</f>
        <v/>
      </c>
      <c r="Q184" s="123">
        <f>IF($J184="","",IF($O184="Evet",0,$N184))</f>
        <v/>
      </c>
    </row>
    <row r="185" ht="15" customHeight="1" s="78">
      <c r="G185" s="123">
        <f>IF($A185="","",MAX(0,$D185+$E185-$F185))</f>
        <v/>
      </c>
      <c r="H185" s="123">
        <f>IF($A185="","",MAX(0,$C185-$B185))</f>
        <v/>
      </c>
      <c r="P185" s="123">
        <f>IF($J185="","",365)</f>
        <v/>
      </c>
      <c r="Q185" s="123">
        <f>IF($J185="","",IF($O185="Evet",0,$N185))</f>
        <v/>
      </c>
    </row>
    <row r="186" ht="15" customHeight="1" s="78">
      <c r="G186" s="123">
        <f>IF($A186="","",MAX(0,$D186+$E186-$F186))</f>
        <v/>
      </c>
      <c r="H186" s="123">
        <f>IF($A186="","",MAX(0,$C186-$B186))</f>
        <v/>
      </c>
      <c r="P186" s="123">
        <f>IF($J186="","",365)</f>
        <v/>
      </c>
      <c r="Q186" s="123">
        <f>IF($J186="","",IF($O186="Evet",0,$N186))</f>
        <v/>
      </c>
    </row>
    <row r="187" ht="15" customHeight="1" s="78">
      <c r="G187" s="123">
        <f>IF($A187="","",MAX(0,$D187+$E187-$F187))</f>
        <v/>
      </c>
      <c r="H187" s="123">
        <f>IF($A187="","",MAX(0,$C187-$B187))</f>
        <v/>
      </c>
      <c r="P187" s="123">
        <f>IF($J187="","",365)</f>
        <v/>
      </c>
      <c r="Q187" s="123">
        <f>IF($J187="","",IF($O187="Evet",0,$N187))</f>
        <v/>
      </c>
    </row>
    <row r="188" ht="15" customHeight="1" s="78">
      <c r="G188" s="123">
        <f>IF($A188="","",MAX(0,$D188+$E188-$F188))</f>
        <v/>
      </c>
      <c r="H188" s="123">
        <f>IF($A188="","",MAX(0,$C188-$B188))</f>
        <v/>
      </c>
      <c r="P188" s="123">
        <f>IF($J188="","",365)</f>
        <v/>
      </c>
      <c r="Q188" s="123">
        <f>IF($J188="","",IF($O188="Evet",0,$N188))</f>
        <v/>
      </c>
    </row>
    <row r="189" ht="15" customHeight="1" s="78">
      <c r="G189" s="123">
        <f>IF($A189="","",MAX(0,$D189+$E189-$F189))</f>
        <v/>
      </c>
      <c r="H189" s="123">
        <f>IF($A189="","",MAX(0,$C189-$B189))</f>
        <v/>
      </c>
      <c r="P189" s="123">
        <f>IF($J189="","",365)</f>
        <v/>
      </c>
      <c r="Q189" s="123">
        <f>IF($J189="","",IF($O189="Evet",0,$N189))</f>
        <v/>
      </c>
    </row>
    <row r="190" ht="15" customHeight="1" s="78">
      <c r="G190" s="123">
        <f>IF($A190="","",MAX(0,$D190+$E190-$F190))</f>
        <v/>
      </c>
      <c r="H190" s="123">
        <f>IF($A190="","",MAX(0,$C190-$B190))</f>
        <v/>
      </c>
      <c r="P190" s="123">
        <f>IF($J190="","",365)</f>
        <v/>
      </c>
      <c r="Q190" s="123">
        <f>IF($J190="","",IF($O190="Evet",0,$N190))</f>
        <v/>
      </c>
    </row>
    <row r="191" ht="15" customHeight="1" s="78">
      <c r="G191" s="123">
        <f>IF($A191="","",MAX(0,$D191+$E191-$F191))</f>
        <v/>
      </c>
      <c r="H191" s="123">
        <f>IF($A191="","",MAX(0,$C191-$B191))</f>
        <v/>
      </c>
      <c r="P191" s="123">
        <f>IF($J191="","",365)</f>
        <v/>
      </c>
      <c r="Q191" s="123">
        <f>IF($J191="","",IF($O191="Evet",0,$N191))</f>
        <v/>
      </c>
    </row>
    <row r="192" ht="15" customHeight="1" s="78">
      <c r="G192" s="123">
        <f>IF($A192="","",MAX(0,$D192+$E192-$F192))</f>
        <v/>
      </c>
      <c r="H192" s="123">
        <f>IF($A192="","",MAX(0,$C192-$B192))</f>
        <v/>
      </c>
      <c r="P192" s="123">
        <f>IF($J192="","",365)</f>
        <v/>
      </c>
      <c r="Q192" s="123">
        <f>IF($J192="","",IF($O192="Evet",0,$N192))</f>
        <v/>
      </c>
    </row>
    <row r="193" ht="15" customHeight="1" s="78">
      <c r="G193" s="123">
        <f>IF($A193="","",MAX(0,$D193+$E193-$F193))</f>
        <v/>
      </c>
      <c r="H193" s="123">
        <f>IF($A193="","",MAX(0,$C193-$B193))</f>
        <v/>
      </c>
      <c r="P193" s="123">
        <f>IF($J193="","",365)</f>
        <v/>
      </c>
      <c r="Q193" s="123">
        <f>IF($J193="","",IF($O193="Evet",0,$N193))</f>
        <v/>
      </c>
    </row>
    <row r="194" ht="15" customHeight="1" s="78">
      <c r="G194" s="123">
        <f>IF($A194="","",MAX(0,$D194+$E194-$F194))</f>
        <v/>
      </c>
      <c r="H194" s="123">
        <f>IF($A194="","",MAX(0,$C194-$B194))</f>
        <v/>
      </c>
      <c r="P194" s="123">
        <f>IF($J194="","",365)</f>
        <v/>
      </c>
      <c r="Q194" s="123">
        <f>IF($J194="","",IF($O194="Evet",0,$N194))</f>
        <v/>
      </c>
    </row>
    <row r="195" ht="15" customHeight="1" s="78">
      <c r="G195" s="123">
        <f>IF($A195="","",MAX(0,$D195+$E195-$F195))</f>
        <v/>
      </c>
      <c r="H195" s="123">
        <f>IF($A195="","",MAX(0,$C195-$B195))</f>
        <v/>
      </c>
      <c r="P195" s="123">
        <f>IF($J195="","",365)</f>
        <v/>
      </c>
      <c r="Q195" s="123">
        <f>IF($J195="","",IF($O195="Evet",0,$N195))</f>
        <v/>
      </c>
    </row>
    <row r="196" ht="15" customHeight="1" s="78">
      <c r="G196" s="123">
        <f>IF($A196="","",MAX(0,$D196+$E196-$F196))</f>
        <v/>
      </c>
      <c r="H196" s="123">
        <f>IF($A196="","",MAX(0,$C196-$B196))</f>
        <v/>
      </c>
      <c r="P196" s="123">
        <f>IF($J196="","",365)</f>
        <v/>
      </c>
      <c r="Q196" s="123">
        <f>IF($J196="","",IF($O196="Evet",0,$N196))</f>
        <v/>
      </c>
    </row>
    <row r="197" ht="15" customHeight="1" s="78">
      <c r="G197" s="123">
        <f>IF($A197="","",MAX(0,$D197+$E197-$F197))</f>
        <v/>
      </c>
      <c r="H197" s="123">
        <f>IF($A197="","",MAX(0,$C197-$B197))</f>
        <v/>
      </c>
      <c r="P197" s="123">
        <f>IF($J197="","",365)</f>
        <v/>
      </c>
      <c r="Q197" s="123">
        <f>IF($J197="","",IF($O197="Evet",0,$N197))</f>
        <v/>
      </c>
    </row>
    <row r="198" ht="15" customHeight="1" s="78">
      <c r="G198" s="123">
        <f>IF($A198="","",MAX(0,$D198+$E198-$F198))</f>
        <v/>
      </c>
      <c r="H198" s="123">
        <f>IF($A198="","",MAX(0,$C198-$B198))</f>
        <v/>
      </c>
      <c r="P198" s="123">
        <f>IF($J198="","",365)</f>
        <v/>
      </c>
      <c r="Q198" s="123">
        <f>IF($J198="","",IF($O198="Evet",0,$N198))</f>
        <v/>
      </c>
    </row>
    <row r="199" ht="15" customHeight="1" s="78">
      <c r="G199" s="123">
        <f>IF($A199="","",MAX(0,$D199+$E199-$F199))</f>
        <v/>
      </c>
      <c r="H199" s="123">
        <f>IF($A199="","",MAX(0,$C199-$B199))</f>
        <v/>
      </c>
      <c r="P199" s="123">
        <f>IF($J199="","",365)</f>
        <v/>
      </c>
      <c r="Q199" s="123">
        <f>IF($J199="","",IF($O199="Evet",0,$N199))</f>
        <v/>
      </c>
    </row>
    <row r="200" ht="15" customHeight="1" s="78">
      <c r="G200" s="123">
        <f>IF($A200="","",MAX(0,$D200+$E200-$F200))</f>
        <v/>
      </c>
      <c r="H200" s="123">
        <f>IF($A200="","",MAX(0,$C200-$B200))</f>
        <v/>
      </c>
      <c r="P200" s="123">
        <f>IF($J200="","",365)</f>
        <v/>
      </c>
      <c r="Q200" s="123">
        <f>IF($J200="","",IF($O200="Evet",0,$N200))</f>
        <v/>
      </c>
    </row>
    <row r="201" ht="15" customHeight="1" s="78">
      <c r="G201" s="123">
        <f>IF($A201="","",MAX(0,$D201+$E201-$F201))</f>
        <v/>
      </c>
      <c r="H201" s="123">
        <f>IF($A201="","",MAX(0,$C201-$B201))</f>
        <v/>
      </c>
      <c r="P201" s="123">
        <f>IF($J201="","",365)</f>
        <v/>
      </c>
      <c r="Q201" s="123">
        <f>IF($J201="","",IF($O201="Evet",0,$N201))</f>
        <v/>
      </c>
    </row>
    <row r="202" ht="15" customHeight="1" s="78">
      <c r="G202" s="123">
        <f>IF($A202="","",MAX(0,$D202+$E202-$F202))</f>
        <v/>
      </c>
      <c r="H202" s="123">
        <f>IF($A202="","",MAX(0,$C202-$B202))</f>
        <v/>
      </c>
      <c r="P202" s="123">
        <f>IF($J202="","",365)</f>
        <v/>
      </c>
      <c r="Q202" s="123">
        <f>IF($J202="","",IF($O202="Evet",0,$N202))</f>
        <v/>
      </c>
    </row>
    <row r="203" ht="15" customHeight="1" s="78">
      <c r="G203" s="123">
        <f>IF($A203="","",MAX(0,$D203+$E203-$F203))</f>
        <v/>
      </c>
      <c r="H203" s="123">
        <f>IF($A203="","",MAX(0,$C203-$B203))</f>
        <v/>
      </c>
      <c r="P203" s="123">
        <f>IF($J203="","",365)</f>
        <v/>
      </c>
      <c r="Q203" s="123">
        <f>IF($J203="","",IF($O203="Evet",0,$N203))</f>
        <v/>
      </c>
    </row>
    <row r="204" ht="15" customHeight="1" s="78">
      <c r="G204" s="123">
        <f>IF($A204="","",MAX(0,$D204+$E204-$F204))</f>
        <v/>
      </c>
      <c r="H204" s="123">
        <f>IF($A204="","",MAX(0,$C204-$B204))</f>
        <v/>
      </c>
      <c r="P204" s="123">
        <f>IF($J204="","",365)</f>
        <v/>
      </c>
      <c r="Q204" s="123">
        <f>IF($J204="","",IF($O204="Evet",0,$N204))</f>
        <v/>
      </c>
    </row>
    <row r="205" ht="15" customHeight="1" s="78">
      <c r="G205" s="123">
        <f>IF($A205="","",MAX(0,$D205+$E205-$F205))</f>
        <v/>
      </c>
      <c r="H205" s="123">
        <f>IF($A205="","",MAX(0,$C205-$B205))</f>
        <v/>
      </c>
      <c r="P205" s="123">
        <f>IF($J205="","",365)</f>
        <v/>
      </c>
      <c r="Q205" s="123">
        <f>IF($J205="","",IF($O205="Evet",0,$N205))</f>
        <v/>
      </c>
    </row>
    <row r="206" ht="15" customHeight="1" s="78">
      <c r="G206" s="123">
        <f>IF($A206="","",MAX(0,$D206+$E206-$F206))</f>
        <v/>
      </c>
      <c r="H206" s="123">
        <f>IF($A206="","",MAX(0,$C206-$B206))</f>
        <v/>
      </c>
      <c r="P206" s="123">
        <f>IF($J206="","",365)</f>
        <v/>
      </c>
      <c r="Q206" s="123">
        <f>IF($J206="","",IF($O206="Evet",0,$N206))</f>
        <v/>
      </c>
    </row>
    <row r="207" ht="15" customHeight="1" s="78">
      <c r="G207" s="123">
        <f>IF($A207="","",MAX(0,$D207+$E207-$F207))</f>
        <v/>
      </c>
      <c r="H207" s="123">
        <f>IF($A207="","",MAX(0,$C207-$B207))</f>
        <v/>
      </c>
      <c r="P207" s="123">
        <f>IF($J207="","",365)</f>
        <v/>
      </c>
      <c r="Q207" s="123">
        <f>IF($J207="","",IF($O207="Evet",0,$N207))</f>
        <v/>
      </c>
    </row>
    <row r="208" ht="15" customHeight="1" s="78">
      <c r="G208" s="123">
        <f>IF($A208="","",MAX(0,$D208+$E208-$F208))</f>
        <v/>
      </c>
      <c r="H208" s="123">
        <f>IF($A208="","",MAX(0,$C208-$B208))</f>
        <v/>
      </c>
      <c r="P208" s="123">
        <f>IF($J208="","",365)</f>
        <v/>
      </c>
      <c r="Q208" s="123">
        <f>IF($J208="","",IF($O208="Evet",0,$N208))</f>
        <v/>
      </c>
    </row>
    <row r="209" ht="15" customHeight="1" s="78">
      <c r="G209" s="123">
        <f>IF($A209="","",MAX(0,$D209+$E209-$F209))</f>
        <v/>
      </c>
      <c r="H209" s="123">
        <f>IF($A209="","",MAX(0,$C209-$B209))</f>
        <v/>
      </c>
      <c r="P209" s="123">
        <f>IF($J209="","",365)</f>
        <v/>
      </c>
      <c r="Q209" s="123">
        <f>IF($J209="","",IF($O209="Evet",0,$N209))</f>
        <v/>
      </c>
    </row>
    <row r="210" ht="15" customHeight="1" s="78">
      <c r="G210" s="123">
        <f>IF($A210="","",MAX(0,$D210+$E210-$F210))</f>
        <v/>
      </c>
      <c r="H210" s="123">
        <f>IF($A210="","",MAX(0,$C210-$B210))</f>
        <v/>
      </c>
      <c r="P210" s="123">
        <f>IF($J210="","",365)</f>
        <v/>
      </c>
      <c r="Q210" s="123">
        <f>IF($J210="","",IF($O210="Evet",0,$N210))</f>
        <v/>
      </c>
    </row>
    <row r="211" ht="15" customHeight="1" s="78">
      <c r="G211" s="123">
        <f>IF($A211="","",MAX(0,$D211+$E211-$F211))</f>
        <v/>
      </c>
      <c r="H211" s="123">
        <f>IF($A211="","",MAX(0,$C211-$B211))</f>
        <v/>
      </c>
      <c r="P211" s="123">
        <f>IF($J211="","",365)</f>
        <v/>
      </c>
      <c r="Q211" s="123">
        <f>IF($J211="","",IF($O211="Evet",0,$N211))</f>
        <v/>
      </c>
    </row>
    <row r="212" ht="15" customHeight="1" s="78">
      <c r="G212" s="123">
        <f>IF($A212="","",MAX(0,$D212+$E212-$F212))</f>
        <v/>
      </c>
      <c r="H212" s="123">
        <f>IF($A212="","",MAX(0,$C212-$B212))</f>
        <v/>
      </c>
      <c r="P212" s="123">
        <f>IF($J212="","",365)</f>
        <v/>
      </c>
      <c r="Q212" s="123">
        <f>IF($J212="","",IF($O212="Evet",0,$N212))</f>
        <v/>
      </c>
    </row>
    <row r="213" ht="15" customHeight="1" s="78">
      <c r="G213" s="123">
        <f>IF($A213="","",MAX(0,$D213+$E213-$F213))</f>
        <v/>
      </c>
      <c r="H213" s="123">
        <f>IF($A213="","",MAX(0,$C213-$B213))</f>
        <v/>
      </c>
      <c r="P213" s="123">
        <f>IF($J213="","",365)</f>
        <v/>
      </c>
      <c r="Q213" s="123">
        <f>IF($J213="","",IF($O213="Evet",0,$N213))</f>
        <v/>
      </c>
    </row>
    <row r="214" ht="15" customHeight="1" s="78">
      <c r="G214" s="123">
        <f>IF($A214="","",MAX(0,$D214+$E214-$F214))</f>
        <v/>
      </c>
      <c r="H214" s="123">
        <f>IF($A214="","",MAX(0,$C214-$B214))</f>
        <v/>
      </c>
      <c r="P214" s="123">
        <f>IF($J214="","",365)</f>
        <v/>
      </c>
      <c r="Q214" s="123">
        <f>IF($J214="","",IF($O214="Evet",0,$N214))</f>
        <v/>
      </c>
    </row>
    <row r="215" ht="15" customHeight="1" s="78">
      <c r="G215" s="123">
        <f>IF($A215="","",MAX(0,$D215+$E215-$F215))</f>
        <v/>
      </c>
      <c r="H215" s="123">
        <f>IF($A215="","",MAX(0,$C215-$B215))</f>
        <v/>
      </c>
      <c r="P215" s="123">
        <f>IF($J215="","",365)</f>
        <v/>
      </c>
      <c r="Q215" s="123">
        <f>IF($J215="","",IF($O215="Evet",0,$N215))</f>
        <v/>
      </c>
    </row>
    <row r="216" ht="15" customHeight="1" s="78">
      <c r="G216" s="123">
        <f>IF($A216="","",MAX(0,$D216+$E216-$F216))</f>
        <v/>
      </c>
      <c r="H216" s="123">
        <f>IF($A216="","",MAX(0,$C216-$B216))</f>
        <v/>
      </c>
      <c r="P216" s="123">
        <f>IF($J216="","",365)</f>
        <v/>
      </c>
      <c r="Q216" s="123">
        <f>IF($J216="","",IF($O216="Evet",0,$N216))</f>
        <v/>
      </c>
    </row>
    <row r="217" ht="15" customHeight="1" s="78">
      <c r="G217" s="123">
        <f>IF($A217="","",MAX(0,$D217+$E217-$F217))</f>
        <v/>
      </c>
      <c r="H217" s="123">
        <f>IF($A217="","",MAX(0,$C217-$B217))</f>
        <v/>
      </c>
      <c r="P217" s="123">
        <f>IF($J217="","",365)</f>
        <v/>
      </c>
      <c r="Q217" s="123">
        <f>IF($J217="","",IF($O217="Evet",0,$N217))</f>
        <v/>
      </c>
    </row>
    <row r="218" ht="15" customHeight="1" s="78">
      <c r="G218" s="123">
        <f>IF($A218="","",MAX(0,$D218+$E218-$F218))</f>
        <v/>
      </c>
      <c r="H218" s="123">
        <f>IF($A218="","",MAX(0,$C218-$B218))</f>
        <v/>
      </c>
      <c r="P218" s="123">
        <f>IF($J218="","",365)</f>
        <v/>
      </c>
      <c r="Q218" s="123">
        <f>IF($J218="","",IF($O218="Evet",0,$N218))</f>
        <v/>
      </c>
    </row>
    <row r="219" ht="15" customHeight="1" s="78">
      <c r="G219" s="123">
        <f>IF($A219="","",MAX(0,$D219+$E219-$F219))</f>
        <v/>
      </c>
      <c r="H219" s="123">
        <f>IF($A219="","",MAX(0,$C219-$B219))</f>
        <v/>
      </c>
      <c r="P219" s="123">
        <f>IF($J219="","",365)</f>
        <v/>
      </c>
      <c r="Q219" s="123">
        <f>IF($J219="","",IF($O219="Evet",0,$N219))</f>
        <v/>
      </c>
    </row>
    <row r="220" ht="15" customHeight="1" s="78">
      <c r="G220" s="123">
        <f>IF($A220="","",MAX(0,$D220+$E220-$F220))</f>
        <v/>
      </c>
      <c r="H220" s="123">
        <f>IF($A220="","",MAX(0,$C220-$B220))</f>
        <v/>
      </c>
      <c r="P220" s="123">
        <f>IF($J220="","",365)</f>
        <v/>
      </c>
      <c r="Q220" s="123">
        <f>IF($J220="","",IF($O220="Evet",0,$N220))</f>
        <v/>
      </c>
    </row>
    <row r="221" ht="15" customHeight="1" s="78">
      <c r="G221" s="123">
        <f>IF($A221="","",MAX(0,$D221+$E221-$F221))</f>
        <v/>
      </c>
      <c r="H221" s="123">
        <f>IF($A221="","",MAX(0,$C221-$B221))</f>
        <v/>
      </c>
      <c r="P221" s="123">
        <f>IF($J221="","",365)</f>
        <v/>
      </c>
      <c r="Q221" s="123">
        <f>IF($J221="","",IF($O221="Evet",0,$N221))</f>
        <v/>
      </c>
    </row>
    <row r="222" ht="15" customHeight="1" s="78">
      <c r="G222" s="123">
        <f>IF($A222="","",MAX(0,$D222+$E222-$F222))</f>
        <v/>
      </c>
      <c r="H222" s="123">
        <f>IF($A222="","",MAX(0,$C222-$B222))</f>
        <v/>
      </c>
      <c r="P222" s="123">
        <f>IF($J222="","",365)</f>
        <v/>
      </c>
      <c r="Q222" s="123">
        <f>IF($J222="","",IF($O222="Evet",0,$N222))</f>
        <v/>
      </c>
    </row>
    <row r="223" ht="15" customHeight="1" s="78">
      <c r="G223" s="123">
        <f>IF($A223="","",MAX(0,$D223+$E223-$F223))</f>
        <v/>
      </c>
      <c r="H223" s="123">
        <f>IF($A223="","",MAX(0,$C223-$B223))</f>
        <v/>
      </c>
      <c r="P223" s="123">
        <f>IF($J223="","",365)</f>
        <v/>
      </c>
      <c r="Q223" s="123">
        <f>IF($J223="","",IF($O223="Evet",0,$N223))</f>
        <v/>
      </c>
    </row>
    <row r="224" ht="15" customHeight="1" s="78">
      <c r="G224" s="123">
        <f>IF($A224="","",MAX(0,$D224+$E224-$F224))</f>
        <v/>
      </c>
      <c r="H224" s="123">
        <f>IF($A224="","",MAX(0,$C224-$B224))</f>
        <v/>
      </c>
      <c r="P224" s="123">
        <f>IF($J224="","",365)</f>
        <v/>
      </c>
      <c r="Q224" s="123">
        <f>IF($J224="","",IF($O224="Evet",0,$N224))</f>
        <v/>
      </c>
    </row>
    <row r="225" ht="15" customHeight="1" s="78">
      <c r="G225" s="123">
        <f>IF($A225="","",MAX(0,$D225+$E225-$F225))</f>
        <v/>
      </c>
      <c r="H225" s="123">
        <f>IF($A225="","",MAX(0,$C225-$B225))</f>
        <v/>
      </c>
      <c r="P225" s="123">
        <f>IF($J225="","",365)</f>
        <v/>
      </c>
      <c r="Q225" s="123">
        <f>IF($J225="","",IF($O225="Evet",0,$N225))</f>
        <v/>
      </c>
    </row>
    <row r="226" ht="15" customHeight="1" s="78">
      <c r="G226" s="123">
        <f>IF($A226="","",MAX(0,$D226+$E226-$F226))</f>
        <v/>
      </c>
      <c r="H226" s="123">
        <f>IF($A226="","",MAX(0,$C226-$B226))</f>
        <v/>
      </c>
      <c r="P226" s="123">
        <f>IF($J226="","",365)</f>
        <v/>
      </c>
      <c r="Q226" s="123">
        <f>IF($J226="","",IF($O226="Evet",0,$N226))</f>
        <v/>
      </c>
    </row>
    <row r="227" ht="15" customHeight="1" s="78">
      <c r="G227" s="123">
        <f>IF($A227="","",MAX(0,$D227+$E227-$F227))</f>
        <v/>
      </c>
      <c r="H227" s="123">
        <f>IF($A227="","",MAX(0,$C227-$B227))</f>
        <v/>
      </c>
      <c r="P227" s="123">
        <f>IF($J227="","",365)</f>
        <v/>
      </c>
      <c r="Q227" s="123">
        <f>IF($J227="","",IF($O227="Evet",0,$N227))</f>
        <v/>
      </c>
    </row>
    <row r="228" ht="15" customHeight="1" s="78">
      <c r="G228" s="123">
        <f>IF($A228="","",MAX(0,$D228+$E228-$F228))</f>
        <v/>
      </c>
      <c r="H228" s="123">
        <f>IF($A228="","",MAX(0,$C228-$B228))</f>
        <v/>
      </c>
      <c r="P228" s="123">
        <f>IF($J228="","",365)</f>
        <v/>
      </c>
      <c r="Q228" s="123">
        <f>IF($J228="","",IF($O228="Evet",0,$N228))</f>
        <v/>
      </c>
    </row>
    <row r="229" ht="15" customHeight="1" s="78">
      <c r="G229" s="123">
        <f>IF($A229="","",MAX(0,$D229+$E229-$F229))</f>
        <v/>
      </c>
      <c r="H229" s="123">
        <f>IF($A229="","",MAX(0,$C229-$B229))</f>
        <v/>
      </c>
      <c r="P229" s="123">
        <f>IF($J229="","",365)</f>
        <v/>
      </c>
      <c r="Q229" s="123">
        <f>IF($J229="","",IF($O229="Evet",0,$N229))</f>
        <v/>
      </c>
    </row>
    <row r="230" ht="15" customHeight="1" s="78">
      <c r="G230" s="123">
        <f>IF($A230="","",MAX(0,$D230+$E230-$F230))</f>
        <v/>
      </c>
      <c r="H230" s="123">
        <f>IF($A230="","",MAX(0,$C230-$B230))</f>
        <v/>
      </c>
      <c r="P230" s="123">
        <f>IF($J230="","",365)</f>
        <v/>
      </c>
      <c r="Q230" s="123">
        <f>IF($J230="","",IF($O230="Evet",0,$N230))</f>
        <v/>
      </c>
    </row>
    <row r="231" ht="15" customHeight="1" s="78">
      <c r="G231" s="123">
        <f>IF($A231="","",MAX(0,$D231+$E231-$F231))</f>
        <v/>
      </c>
      <c r="H231" s="123">
        <f>IF($A231="","",MAX(0,$C231-$B231))</f>
        <v/>
      </c>
      <c r="P231" s="123">
        <f>IF($J231="","",365)</f>
        <v/>
      </c>
      <c r="Q231" s="123">
        <f>IF($J231="","",IF($O231="Evet",0,$N231))</f>
        <v/>
      </c>
    </row>
    <row r="232" ht="15" customHeight="1" s="78">
      <c r="G232" s="123">
        <f>IF($A232="","",MAX(0,$D232+$E232-$F232))</f>
        <v/>
      </c>
      <c r="H232" s="123">
        <f>IF($A232="","",MAX(0,$C232-$B232))</f>
        <v/>
      </c>
      <c r="P232" s="123">
        <f>IF($J232="","",365)</f>
        <v/>
      </c>
      <c r="Q232" s="123">
        <f>IF($J232="","",IF($O232="Evet",0,$N232))</f>
        <v/>
      </c>
    </row>
    <row r="233" ht="15" customHeight="1" s="78">
      <c r="G233" s="123">
        <f>IF($A233="","",MAX(0,$D233+$E233-$F233))</f>
        <v/>
      </c>
      <c r="H233" s="123">
        <f>IF($A233="","",MAX(0,$C233-$B233))</f>
        <v/>
      </c>
      <c r="P233" s="123">
        <f>IF($J233="","",365)</f>
        <v/>
      </c>
      <c r="Q233" s="123">
        <f>IF($J233="","",IF($O233="Evet",0,$N233))</f>
        <v/>
      </c>
    </row>
    <row r="234" ht="15" customHeight="1" s="78">
      <c r="G234" s="123">
        <f>IF($A234="","",MAX(0,$D234+$E234-$F234))</f>
        <v/>
      </c>
      <c r="H234" s="123">
        <f>IF($A234="","",MAX(0,$C234-$B234))</f>
        <v/>
      </c>
      <c r="P234" s="123">
        <f>IF($J234="","",365)</f>
        <v/>
      </c>
      <c r="Q234" s="123">
        <f>IF($J234="","",IF($O234="Evet",0,$N234))</f>
        <v/>
      </c>
    </row>
    <row r="235" ht="15" customHeight="1" s="78">
      <c r="G235" s="123">
        <f>IF($A235="","",MAX(0,$D235+$E235-$F235))</f>
        <v/>
      </c>
      <c r="H235" s="123">
        <f>IF($A235="","",MAX(0,$C235-$B235))</f>
        <v/>
      </c>
      <c r="P235" s="123">
        <f>IF($J235="","",365)</f>
        <v/>
      </c>
      <c r="Q235" s="123">
        <f>IF($J235="","",IF($O235="Evet",0,$N235))</f>
        <v/>
      </c>
    </row>
    <row r="236" ht="15" customHeight="1" s="78">
      <c r="G236" s="123">
        <f>IF($A236="","",MAX(0,$D236+$E236-$F236))</f>
        <v/>
      </c>
      <c r="H236" s="123">
        <f>IF($A236="","",MAX(0,$C236-$B236))</f>
        <v/>
      </c>
      <c r="P236" s="123">
        <f>IF($J236="","",365)</f>
        <v/>
      </c>
      <c r="Q236" s="123">
        <f>IF($J236="","",IF($O236="Evet",0,$N236))</f>
        <v/>
      </c>
    </row>
    <row r="237" ht="15" customHeight="1" s="78">
      <c r="G237" s="123">
        <f>IF($A237="","",MAX(0,$D237+$E237-$F237))</f>
        <v/>
      </c>
      <c r="H237" s="123">
        <f>IF($A237="","",MAX(0,$C237-$B237))</f>
        <v/>
      </c>
      <c r="P237" s="123">
        <f>IF($J237="","",365)</f>
        <v/>
      </c>
      <c r="Q237" s="123">
        <f>IF($J237="","",IF($O237="Evet",0,$N237))</f>
        <v/>
      </c>
    </row>
    <row r="238" ht="15" customHeight="1" s="78">
      <c r="G238" s="123">
        <f>IF($A238="","",MAX(0,$D238+$E238-$F238))</f>
        <v/>
      </c>
      <c r="H238" s="123">
        <f>IF($A238="","",MAX(0,$C238-$B238))</f>
        <v/>
      </c>
      <c r="P238" s="123">
        <f>IF($J238="","",365)</f>
        <v/>
      </c>
      <c r="Q238" s="123">
        <f>IF($J238="","",IF($O238="Evet",0,$N238))</f>
        <v/>
      </c>
    </row>
    <row r="239" ht="15" customHeight="1" s="78">
      <c r="G239" s="123">
        <f>IF($A239="","",MAX(0,$D239+$E239-$F239))</f>
        <v/>
      </c>
      <c r="H239" s="123">
        <f>IF($A239="","",MAX(0,$C239-$B239))</f>
        <v/>
      </c>
      <c r="P239" s="123">
        <f>IF($J239="","",365)</f>
        <v/>
      </c>
      <c r="Q239" s="123">
        <f>IF($J239="","",IF($O239="Evet",0,$N239))</f>
        <v/>
      </c>
    </row>
    <row r="240" ht="15" customHeight="1" s="78">
      <c r="G240" s="123">
        <f>IF($A240="","",MAX(0,$D240+$E240-$F240))</f>
        <v/>
      </c>
      <c r="H240" s="123">
        <f>IF($A240="","",MAX(0,$C240-$B240))</f>
        <v/>
      </c>
      <c r="P240" s="123">
        <f>IF($J240="","",365)</f>
        <v/>
      </c>
      <c r="Q240" s="123">
        <f>IF($J240="","",IF($O240="Evet",0,$N240))</f>
        <v/>
      </c>
    </row>
    <row r="241" ht="15" customHeight="1" s="78">
      <c r="G241" s="123">
        <f>IF($A241="","",MAX(0,$D241+$E241-$F241))</f>
        <v/>
      </c>
      <c r="H241" s="123">
        <f>IF($A241="","",MAX(0,$C241-$B241))</f>
        <v/>
      </c>
      <c r="P241" s="123">
        <f>IF($J241="","",365)</f>
        <v/>
      </c>
      <c r="Q241" s="123">
        <f>IF($J241="","",IF($O241="Evet",0,$N241))</f>
        <v/>
      </c>
    </row>
    <row r="242" ht="15" customHeight="1" s="78">
      <c r="G242" s="123">
        <f>IF($A242="","",MAX(0,$D242+$E242-$F242))</f>
        <v/>
      </c>
      <c r="H242" s="123">
        <f>IF($A242="","",MAX(0,$C242-$B242))</f>
        <v/>
      </c>
      <c r="P242" s="123">
        <f>IF($J242="","",365)</f>
        <v/>
      </c>
      <c r="Q242" s="123">
        <f>IF($J242="","",IF($O242="Evet",0,$N242))</f>
        <v/>
      </c>
    </row>
    <row r="243" ht="15" customHeight="1" s="78">
      <c r="G243" s="123">
        <f>IF($A243="","",MAX(0,$D243+$E243-$F243))</f>
        <v/>
      </c>
      <c r="H243" s="123">
        <f>IF($A243="","",MAX(0,$C243-$B243))</f>
        <v/>
      </c>
      <c r="P243" s="123">
        <f>IF($J243="","",365)</f>
        <v/>
      </c>
      <c r="Q243" s="123">
        <f>IF($J243="","",IF($O243="Evet",0,$N243))</f>
        <v/>
      </c>
    </row>
    <row r="244" ht="15" customHeight="1" s="78">
      <c r="G244" s="123">
        <f>IF($A244="","",MAX(0,$D244+$E244-$F244))</f>
        <v/>
      </c>
      <c r="H244" s="123">
        <f>IF($A244="","",MAX(0,$C244-$B244))</f>
        <v/>
      </c>
      <c r="P244" s="123">
        <f>IF($J244="","",365)</f>
        <v/>
      </c>
      <c r="Q244" s="123">
        <f>IF($J244="","",IF($O244="Evet",0,$N244))</f>
        <v/>
      </c>
    </row>
    <row r="245" ht="15" customHeight="1" s="78">
      <c r="G245" s="123">
        <f>IF($A245="","",MAX(0,$D245+$E245-$F245))</f>
        <v/>
      </c>
      <c r="H245" s="123">
        <f>IF($A245="","",MAX(0,$C245-$B245))</f>
        <v/>
      </c>
      <c r="P245" s="123">
        <f>IF($J245="","",365)</f>
        <v/>
      </c>
      <c r="Q245" s="123">
        <f>IF($J245="","",IF($O245="Evet",0,$N245))</f>
        <v/>
      </c>
    </row>
    <row r="246" ht="15" customHeight="1" s="78">
      <c r="G246" s="123">
        <f>IF($A246="","",MAX(0,$D246+$E246-$F246))</f>
        <v/>
      </c>
      <c r="H246" s="123">
        <f>IF($A246="","",MAX(0,$C246-$B246))</f>
        <v/>
      </c>
      <c r="P246" s="123">
        <f>IF($J246="","",365)</f>
        <v/>
      </c>
      <c r="Q246" s="123">
        <f>IF($J246="","",IF($O246="Evet",0,$N246))</f>
        <v/>
      </c>
    </row>
    <row r="247" ht="15" customHeight="1" s="78">
      <c r="G247" s="123">
        <f>IF($A247="","",MAX(0,$D247+$E247-$F247))</f>
        <v/>
      </c>
      <c r="H247" s="123">
        <f>IF($A247="","",MAX(0,$C247-$B247))</f>
        <v/>
      </c>
      <c r="P247" s="123">
        <f>IF($J247="","",365)</f>
        <v/>
      </c>
      <c r="Q247" s="123">
        <f>IF($J247="","",IF($O247="Evet",0,$N247))</f>
        <v/>
      </c>
    </row>
    <row r="248" ht="15" customHeight="1" s="78">
      <c r="G248" s="123">
        <f>IF($A248="","",MAX(0,$D248+$E248-$F248))</f>
        <v/>
      </c>
      <c r="H248" s="123">
        <f>IF($A248="","",MAX(0,$C248-$B248))</f>
        <v/>
      </c>
      <c r="P248" s="123">
        <f>IF($J248="","",365)</f>
        <v/>
      </c>
      <c r="Q248" s="123">
        <f>IF($J248="","",IF($O248="Evet",0,$N248))</f>
        <v/>
      </c>
    </row>
    <row r="249" ht="15" customHeight="1" s="78">
      <c r="G249" s="123">
        <f>IF($A249="","",MAX(0,$D249+$E249-$F249))</f>
        <v/>
      </c>
      <c r="H249" s="123">
        <f>IF($A249="","",MAX(0,$C249-$B249))</f>
        <v/>
      </c>
      <c r="P249" s="123">
        <f>IF($J249="","",365)</f>
        <v/>
      </c>
      <c r="Q249" s="123">
        <f>IF($J249="","",IF($O249="Evet",0,$N249))</f>
        <v/>
      </c>
    </row>
    <row r="250" ht="15" customHeight="1" s="78">
      <c r="G250" s="123">
        <f>IF($A250="","",MAX(0,$D250+$E250-$F250))</f>
        <v/>
      </c>
      <c r="H250" s="123">
        <f>IF($A250="","",MAX(0,$C250-$B250))</f>
        <v/>
      </c>
      <c r="P250" s="123">
        <f>IF($J250="","",365)</f>
        <v/>
      </c>
      <c r="Q250" s="123">
        <f>IF($J250="","",IF($O250="Evet",0,$N250))</f>
        <v/>
      </c>
    </row>
    <row r="251" ht="15" customHeight="1" s="78">
      <c r="G251" s="123">
        <f>IF($A251="","",MAX(0,$D251+$E251-$F251))</f>
        <v/>
      </c>
      <c r="H251" s="123">
        <f>IF($A251="","",MAX(0,$C251-$B251))</f>
        <v/>
      </c>
      <c r="P251" s="123">
        <f>IF($J251="","",365)</f>
        <v/>
      </c>
      <c r="Q251" s="123">
        <f>IF($J251="","",IF($O251="Evet",0,$N251))</f>
        <v/>
      </c>
    </row>
    <row r="252" ht="15" customHeight="1" s="78">
      <c r="G252" s="123">
        <f>IF($A252="","",MAX(0,$D252+$E252-$F252))</f>
        <v/>
      </c>
      <c r="H252" s="123">
        <f>IF($A252="","",MAX(0,$C252-$B252))</f>
        <v/>
      </c>
      <c r="P252" s="123">
        <f>IF($J252="","",365)</f>
        <v/>
      </c>
      <c r="Q252" s="123">
        <f>IF($J252="","",IF($O252="Evet",0,$N252))</f>
        <v/>
      </c>
    </row>
    <row r="253" ht="15" customHeight="1" s="78">
      <c r="G253" s="123">
        <f>IF($A253="","",MAX(0,$D253+$E253-$F253))</f>
        <v/>
      </c>
      <c r="H253" s="123">
        <f>IF($A253="","",MAX(0,$C253-$B253))</f>
        <v/>
      </c>
      <c r="P253" s="123">
        <f>IF($J253="","",365)</f>
        <v/>
      </c>
      <c r="Q253" s="123">
        <f>IF($J253="","",IF($O253="Evet",0,$N253))</f>
        <v/>
      </c>
    </row>
    <row r="254" ht="15" customHeight="1" s="78">
      <c r="G254" s="123">
        <f>IF($A254="","",MAX(0,$D254+$E254-$F254))</f>
        <v/>
      </c>
      <c r="H254" s="123">
        <f>IF($A254="","",MAX(0,$C254-$B254))</f>
        <v/>
      </c>
      <c r="P254" s="123">
        <f>IF($J254="","",365)</f>
        <v/>
      </c>
      <c r="Q254" s="123">
        <f>IF($J254="","",IF($O254="Evet",0,$N254))</f>
        <v/>
      </c>
    </row>
    <row r="255" ht="15" customHeight="1" s="78">
      <c r="G255" s="123">
        <f>IF($A255="","",MAX(0,$D255+$E255-$F255))</f>
        <v/>
      </c>
      <c r="H255" s="123">
        <f>IF($A255="","",MAX(0,$C255-$B255))</f>
        <v/>
      </c>
      <c r="P255" s="123">
        <f>IF($J255="","",365)</f>
        <v/>
      </c>
      <c r="Q255" s="123">
        <f>IF($J255="","",IF($O255="Evet",0,$N255))</f>
        <v/>
      </c>
    </row>
    <row r="256" ht="15" customHeight="1" s="78">
      <c r="G256" s="123">
        <f>IF($A256="","",MAX(0,$D256+$E256-$F256))</f>
        <v/>
      </c>
      <c r="H256" s="123">
        <f>IF($A256="","",MAX(0,$C256-$B256))</f>
        <v/>
      </c>
      <c r="P256" s="123">
        <f>IF($J256="","",365)</f>
        <v/>
      </c>
      <c r="Q256" s="123">
        <f>IF($J256="","",IF($O256="Evet",0,$N256))</f>
        <v/>
      </c>
    </row>
    <row r="257" ht="15" customHeight="1" s="78">
      <c r="G257" s="123">
        <f>IF($A257="","",MAX(0,$D257+$E257-$F257))</f>
        <v/>
      </c>
      <c r="H257" s="123">
        <f>IF($A257="","",MAX(0,$C257-$B257))</f>
        <v/>
      </c>
      <c r="P257" s="123">
        <f>IF($J257="","",365)</f>
        <v/>
      </c>
      <c r="Q257" s="123">
        <f>IF($J257="","",IF($O257="Evet",0,$N257))</f>
        <v/>
      </c>
    </row>
    <row r="258" ht="15" customHeight="1" s="78">
      <c r="G258" s="123">
        <f>IF($A258="","",MAX(0,$D258+$E258-$F258))</f>
        <v/>
      </c>
      <c r="H258" s="123">
        <f>IF($A258="","",MAX(0,$C258-$B258))</f>
        <v/>
      </c>
      <c r="P258" s="123">
        <f>IF($J258="","",365)</f>
        <v/>
      </c>
      <c r="Q258" s="123">
        <f>IF($J258="","",IF($O258="Evet",0,$N258))</f>
        <v/>
      </c>
    </row>
    <row r="259" ht="15" customHeight="1" s="78">
      <c r="G259" s="123">
        <f>IF($A259="","",MAX(0,$D259+$E259-$F259))</f>
        <v/>
      </c>
      <c r="H259" s="123">
        <f>IF($A259="","",MAX(0,$C259-$B259))</f>
        <v/>
      </c>
      <c r="P259" s="123">
        <f>IF($J259="","",365)</f>
        <v/>
      </c>
      <c r="Q259" s="123">
        <f>IF($J259="","",IF($O259="Evet",0,$N259))</f>
        <v/>
      </c>
    </row>
    <row r="260" ht="15" customHeight="1" s="78">
      <c r="G260" s="123">
        <f>IF($A260="","",MAX(0,$D260+$E260-$F260))</f>
        <v/>
      </c>
      <c r="H260" s="123">
        <f>IF($A260="","",MAX(0,$C260-$B260))</f>
        <v/>
      </c>
      <c r="P260" s="123">
        <f>IF($J260="","",365)</f>
        <v/>
      </c>
      <c r="Q260" s="123">
        <f>IF($J260="","",IF($O260="Evet",0,$N260))</f>
        <v/>
      </c>
    </row>
    <row r="261" ht="15" customHeight="1" s="78">
      <c r="G261" s="123">
        <f>IF($A261="","",MAX(0,$D261+$E261-$F261))</f>
        <v/>
      </c>
      <c r="H261" s="123">
        <f>IF($A261="","",MAX(0,$C261-$B261))</f>
        <v/>
      </c>
      <c r="P261" s="123">
        <f>IF($J261="","",365)</f>
        <v/>
      </c>
      <c r="Q261" s="123">
        <f>IF($J261="","",IF($O261="Evet",0,$N261))</f>
        <v/>
      </c>
    </row>
    <row r="262" ht="15" customHeight="1" s="78">
      <c r="G262" s="123">
        <f>IF($A262="","",MAX(0,$D262+$E262-$F262))</f>
        <v/>
      </c>
      <c r="H262" s="123">
        <f>IF($A262="","",MAX(0,$C262-$B262))</f>
        <v/>
      </c>
      <c r="P262" s="123">
        <f>IF($J262="","",365)</f>
        <v/>
      </c>
      <c r="Q262" s="123">
        <f>IF($J262="","",IF($O262="Evet",0,$N262))</f>
        <v/>
      </c>
    </row>
    <row r="263" ht="15" customHeight="1" s="78">
      <c r="G263" s="123">
        <f>IF($A263="","",MAX(0,$D263+$E263-$F263))</f>
        <v/>
      </c>
      <c r="H263" s="123">
        <f>IF($A263="","",MAX(0,$C263-$B263))</f>
        <v/>
      </c>
      <c r="P263" s="123">
        <f>IF($J263="","",365)</f>
        <v/>
      </c>
      <c r="Q263" s="123">
        <f>IF($J263="","",IF($O263="Evet",0,$N263))</f>
        <v/>
      </c>
    </row>
    <row r="264" ht="15" customHeight="1" s="78">
      <c r="G264" s="123">
        <f>IF($A264="","",MAX(0,$D264+$E264-$F264))</f>
        <v/>
      </c>
      <c r="H264" s="123">
        <f>IF($A264="","",MAX(0,$C264-$B264))</f>
        <v/>
      </c>
      <c r="P264" s="123">
        <f>IF($J264="","",365)</f>
        <v/>
      </c>
      <c r="Q264" s="123">
        <f>IF($J264="","",IF($O264="Evet",0,$N264))</f>
        <v/>
      </c>
    </row>
    <row r="265" ht="15" customHeight="1" s="78">
      <c r="G265" s="123">
        <f>IF($A265="","",MAX(0,$D265+$E265-$F265))</f>
        <v/>
      </c>
      <c r="H265" s="123">
        <f>IF($A265="","",MAX(0,$C265-$B265))</f>
        <v/>
      </c>
      <c r="P265" s="123">
        <f>IF($J265="","",365)</f>
        <v/>
      </c>
      <c r="Q265" s="123">
        <f>IF($J265="","",IF($O265="Evet",0,$N265))</f>
        <v/>
      </c>
    </row>
    <row r="266" ht="15" customHeight="1" s="78">
      <c r="G266" s="123">
        <f>IF($A266="","",MAX(0,$D266+$E266-$F266))</f>
        <v/>
      </c>
      <c r="H266" s="123">
        <f>IF($A266="","",MAX(0,$C266-$B266))</f>
        <v/>
      </c>
      <c r="P266" s="123">
        <f>IF($J266="","",365)</f>
        <v/>
      </c>
      <c r="Q266" s="123">
        <f>IF($J266="","",IF($O266="Evet",0,$N266))</f>
        <v/>
      </c>
    </row>
    <row r="267" ht="15" customHeight="1" s="78">
      <c r="G267" s="123">
        <f>IF($A267="","",MAX(0,$D267+$E267-$F267))</f>
        <v/>
      </c>
      <c r="H267" s="123">
        <f>IF($A267="","",MAX(0,$C267-$B267))</f>
        <v/>
      </c>
      <c r="P267" s="123">
        <f>IF($J267="","",365)</f>
        <v/>
      </c>
      <c r="Q267" s="123">
        <f>IF($J267="","",IF($O267="Evet",0,$N267))</f>
        <v/>
      </c>
    </row>
    <row r="268" ht="15" customHeight="1" s="78">
      <c r="G268" s="123">
        <f>IF($A268="","",MAX(0,$D268+$E268-$F268))</f>
        <v/>
      </c>
      <c r="H268" s="123">
        <f>IF($A268="","",MAX(0,$C268-$B268))</f>
        <v/>
      </c>
      <c r="P268" s="123">
        <f>IF($J268="","",365)</f>
        <v/>
      </c>
      <c r="Q268" s="123">
        <f>IF($J268="","",IF($O268="Evet",0,$N268))</f>
        <v/>
      </c>
    </row>
    <row r="269" ht="15" customHeight="1" s="78">
      <c r="G269" s="123">
        <f>IF($A269="","",MAX(0,$D269+$E269-$F269))</f>
        <v/>
      </c>
      <c r="H269" s="123">
        <f>IF($A269="","",MAX(0,$C269-$B269))</f>
        <v/>
      </c>
      <c r="P269" s="123">
        <f>IF($J269="","",365)</f>
        <v/>
      </c>
      <c r="Q269" s="123">
        <f>IF($J269="","",IF($O269="Evet",0,$N269))</f>
        <v/>
      </c>
    </row>
    <row r="270" ht="15" customHeight="1" s="78">
      <c r="G270" s="123">
        <f>IF($A270="","",MAX(0,$D270+$E270-$F270))</f>
        <v/>
      </c>
      <c r="H270" s="123">
        <f>IF($A270="","",MAX(0,$C270-$B270))</f>
        <v/>
      </c>
      <c r="P270" s="123">
        <f>IF($J270="","",365)</f>
        <v/>
      </c>
      <c r="Q270" s="123">
        <f>IF($J270="","",IF($O270="Evet",0,$N270))</f>
        <v/>
      </c>
    </row>
    <row r="271" ht="15" customHeight="1" s="78">
      <c r="G271" s="123">
        <f>IF($A271="","",MAX(0,$D271+$E271-$F271))</f>
        <v/>
      </c>
      <c r="H271" s="123">
        <f>IF($A271="","",MAX(0,$C271-$B271))</f>
        <v/>
      </c>
      <c r="P271" s="123">
        <f>IF($J271="","",365)</f>
        <v/>
      </c>
      <c r="Q271" s="123">
        <f>IF($J271="","",IF($O271="Evet",0,$N271))</f>
        <v/>
      </c>
    </row>
    <row r="272" ht="15" customHeight="1" s="78">
      <c r="G272" s="123">
        <f>IF($A272="","",MAX(0,$D272+$E272-$F272))</f>
        <v/>
      </c>
      <c r="H272" s="123">
        <f>IF($A272="","",MAX(0,$C272-$B272))</f>
        <v/>
      </c>
      <c r="P272" s="123">
        <f>IF($J272="","",365)</f>
        <v/>
      </c>
      <c r="Q272" s="123">
        <f>IF($J272="","",IF($O272="Evet",0,$N272))</f>
        <v/>
      </c>
    </row>
    <row r="273" ht="15" customHeight="1" s="78">
      <c r="G273" s="123">
        <f>IF($A273="","",MAX(0,$D273+$E273-$F273))</f>
        <v/>
      </c>
      <c r="H273" s="123">
        <f>IF($A273="","",MAX(0,$C273-$B273))</f>
        <v/>
      </c>
      <c r="P273" s="123">
        <f>IF($J273="","",365)</f>
        <v/>
      </c>
      <c r="Q273" s="123">
        <f>IF($J273="","",IF($O273="Evet",0,$N273))</f>
        <v/>
      </c>
    </row>
    <row r="274" ht="15" customHeight="1" s="78">
      <c r="G274" s="123">
        <f>IF($A274="","",MAX(0,$D274+$E274-$F274))</f>
        <v/>
      </c>
      <c r="H274" s="123">
        <f>IF($A274="","",MAX(0,$C274-$B274))</f>
        <v/>
      </c>
      <c r="P274" s="123">
        <f>IF($J274="","",365)</f>
        <v/>
      </c>
      <c r="Q274" s="123">
        <f>IF($J274="","",IF($O274="Evet",0,$N274))</f>
        <v/>
      </c>
    </row>
    <row r="275" ht="15" customHeight="1" s="78">
      <c r="G275" s="123">
        <f>IF($A275="","",MAX(0,$D275+$E275-$F275))</f>
        <v/>
      </c>
      <c r="H275" s="123">
        <f>IF($A275="","",MAX(0,$C275-$B275))</f>
        <v/>
      </c>
      <c r="P275" s="123">
        <f>IF($J275="","",365)</f>
        <v/>
      </c>
      <c r="Q275" s="123">
        <f>IF($J275="","",IF($O275="Evet",0,$N275))</f>
        <v/>
      </c>
    </row>
    <row r="276" ht="15" customHeight="1" s="78">
      <c r="G276" s="123">
        <f>IF($A276="","",MAX(0,$D276+$E276-$F276))</f>
        <v/>
      </c>
      <c r="H276" s="123">
        <f>IF($A276="","",MAX(0,$C276-$B276))</f>
        <v/>
      </c>
      <c r="P276" s="123">
        <f>IF($J276="","",365)</f>
        <v/>
      </c>
      <c r="Q276" s="123">
        <f>IF($J276="","",IF($O276="Evet",0,$N276))</f>
        <v/>
      </c>
    </row>
    <row r="277" ht="15" customHeight="1" s="78">
      <c r="G277" s="123">
        <f>IF($A277="","",MAX(0,$D277+$E277-$F277))</f>
        <v/>
      </c>
      <c r="H277" s="123">
        <f>IF($A277="","",MAX(0,$C277-$B277))</f>
        <v/>
      </c>
      <c r="P277" s="123">
        <f>IF($J277="","",365)</f>
        <v/>
      </c>
      <c r="Q277" s="123">
        <f>IF($J277="","",IF($O277="Evet",0,$N277))</f>
        <v/>
      </c>
    </row>
    <row r="278" ht="15" customHeight="1" s="78">
      <c r="G278" s="123">
        <f>IF($A278="","",MAX(0,$D278+$E278-$F278))</f>
        <v/>
      </c>
      <c r="H278" s="123">
        <f>IF($A278="","",MAX(0,$C278-$B278))</f>
        <v/>
      </c>
      <c r="P278" s="123">
        <f>IF($J278="","",365)</f>
        <v/>
      </c>
      <c r="Q278" s="123">
        <f>IF($J278="","",IF($O278="Evet",0,$N278))</f>
        <v/>
      </c>
    </row>
    <row r="279" ht="15" customHeight="1" s="78">
      <c r="G279" s="123">
        <f>IF($A279="","",MAX(0,$D279+$E279-$F279))</f>
        <v/>
      </c>
      <c r="H279" s="123">
        <f>IF($A279="","",MAX(0,$C279-$B279))</f>
        <v/>
      </c>
      <c r="P279" s="123">
        <f>IF($J279="","",365)</f>
        <v/>
      </c>
      <c r="Q279" s="123">
        <f>IF($J279="","",IF($O279="Evet",0,$N279))</f>
        <v/>
      </c>
    </row>
    <row r="280" ht="15" customHeight="1" s="78">
      <c r="G280" s="123">
        <f>IF($A280="","",MAX(0,$D280+$E280-$F280))</f>
        <v/>
      </c>
      <c r="H280" s="123">
        <f>IF($A280="","",MAX(0,$C280-$B280))</f>
        <v/>
      </c>
      <c r="P280" s="123">
        <f>IF($J280="","",365)</f>
        <v/>
      </c>
      <c r="Q280" s="123">
        <f>IF($J280="","",IF($O280="Evet",0,$N280))</f>
        <v/>
      </c>
    </row>
    <row r="281" ht="15" customHeight="1" s="78">
      <c r="G281" s="123">
        <f>IF($A281="","",MAX(0,$D281+$E281-$F281))</f>
        <v/>
      </c>
      <c r="H281" s="123">
        <f>IF($A281="","",MAX(0,$C281-$B281))</f>
        <v/>
      </c>
      <c r="P281" s="123">
        <f>IF($J281="","",365)</f>
        <v/>
      </c>
      <c r="Q281" s="123">
        <f>IF($J281="","",IF($O281="Evet",0,$N281))</f>
        <v/>
      </c>
    </row>
    <row r="282" ht="15" customHeight="1" s="78">
      <c r="G282" s="123">
        <f>IF($A282="","",MAX(0,$D282+$E282-$F282))</f>
        <v/>
      </c>
      <c r="H282" s="123">
        <f>IF($A282="","",MAX(0,$C282-$B282))</f>
        <v/>
      </c>
      <c r="P282" s="123">
        <f>IF($J282="","",365)</f>
        <v/>
      </c>
      <c r="Q282" s="123">
        <f>IF($J282="","",IF($O282="Evet",0,$N282))</f>
        <v/>
      </c>
    </row>
    <row r="283" ht="15" customHeight="1" s="78">
      <c r="G283" s="123">
        <f>IF($A283="","",MAX(0,$D283+$E283-$F283))</f>
        <v/>
      </c>
      <c r="H283" s="123">
        <f>IF($A283="","",MAX(0,$C283-$B283))</f>
        <v/>
      </c>
      <c r="P283" s="123">
        <f>IF($J283="","",365)</f>
        <v/>
      </c>
      <c r="Q283" s="123">
        <f>IF($J283="","",IF($O283="Evet",0,$N283))</f>
        <v/>
      </c>
    </row>
    <row r="284" ht="15" customHeight="1" s="78">
      <c r="G284" s="123">
        <f>IF($A284="","",MAX(0,$D284+$E284-$F284))</f>
        <v/>
      </c>
      <c r="H284" s="123">
        <f>IF($A284="","",MAX(0,$C284-$B284))</f>
        <v/>
      </c>
      <c r="P284" s="123">
        <f>IF($J284="","",365)</f>
        <v/>
      </c>
      <c r="Q284" s="123">
        <f>IF($J284="","",IF($O284="Evet",0,$N284))</f>
        <v/>
      </c>
    </row>
    <row r="285" ht="15" customHeight="1" s="78">
      <c r="G285" s="123">
        <f>IF($A285="","",MAX(0,$D285+$E285-$F285))</f>
        <v/>
      </c>
      <c r="H285" s="123">
        <f>IF($A285="","",MAX(0,$C285-$B285))</f>
        <v/>
      </c>
      <c r="P285" s="123">
        <f>IF($J285="","",365)</f>
        <v/>
      </c>
      <c r="Q285" s="123">
        <f>IF($J285="","",IF($O285="Evet",0,$N285))</f>
        <v/>
      </c>
    </row>
    <row r="286" ht="15" customHeight="1" s="78">
      <c r="G286" s="123">
        <f>IF($A286="","",MAX(0,$D286+$E286-$F286))</f>
        <v/>
      </c>
      <c r="H286" s="123">
        <f>IF($A286="","",MAX(0,$C286-$B286))</f>
        <v/>
      </c>
      <c r="P286" s="123">
        <f>IF($J286="","",365)</f>
        <v/>
      </c>
      <c r="Q286" s="123">
        <f>IF($J286="","",IF($O286="Evet",0,$N286))</f>
        <v/>
      </c>
    </row>
    <row r="287" ht="15" customHeight="1" s="78">
      <c r="G287" s="123">
        <f>IF($A287="","",MAX(0,$D287+$E287-$F287))</f>
        <v/>
      </c>
      <c r="H287" s="123">
        <f>IF($A287="","",MAX(0,$C287-$B287))</f>
        <v/>
      </c>
      <c r="P287" s="123">
        <f>IF($J287="","",365)</f>
        <v/>
      </c>
      <c r="Q287" s="123">
        <f>IF($J287="","",IF($O287="Evet",0,$N287))</f>
        <v/>
      </c>
    </row>
    <row r="288" ht="15" customHeight="1" s="78">
      <c r="G288" s="123">
        <f>IF($A288="","",MAX(0,$D288+$E288-$F288))</f>
        <v/>
      </c>
      <c r="H288" s="123">
        <f>IF($A288="","",MAX(0,$C288-$B288))</f>
        <v/>
      </c>
      <c r="P288" s="123">
        <f>IF($J288="","",365)</f>
        <v/>
      </c>
      <c r="Q288" s="123">
        <f>IF($J288="","",IF($O288="Evet",0,$N288))</f>
        <v/>
      </c>
    </row>
    <row r="289" ht="15" customHeight="1" s="78">
      <c r="G289" s="123">
        <f>IF($A289="","",MAX(0,$D289+$E289-$F289))</f>
        <v/>
      </c>
      <c r="H289" s="123">
        <f>IF($A289="","",MAX(0,$C289-$B289))</f>
        <v/>
      </c>
      <c r="P289" s="123">
        <f>IF($J289="","",365)</f>
        <v/>
      </c>
      <c r="Q289" s="123">
        <f>IF($J289="","",IF($O289="Evet",0,$N289))</f>
        <v/>
      </c>
    </row>
    <row r="290" ht="15" customHeight="1" s="78">
      <c r="G290" s="123">
        <f>IF($A290="","",MAX(0,$D290+$E290-$F290))</f>
        <v/>
      </c>
      <c r="H290" s="123">
        <f>IF($A290="","",MAX(0,$C290-$B290))</f>
        <v/>
      </c>
      <c r="P290" s="123">
        <f>IF($J290="","",365)</f>
        <v/>
      </c>
      <c r="Q290" s="123">
        <f>IF($J290="","",IF($O290="Evet",0,$N290))</f>
        <v/>
      </c>
    </row>
    <row r="291" ht="15" customHeight="1" s="78">
      <c r="G291" s="123">
        <f>IF($A291="","",MAX(0,$D291+$E291-$F291))</f>
        <v/>
      </c>
      <c r="H291" s="123">
        <f>IF($A291="","",MAX(0,$C291-$B291))</f>
        <v/>
      </c>
      <c r="P291" s="123">
        <f>IF($J291="","",365)</f>
        <v/>
      </c>
      <c r="Q291" s="123">
        <f>IF($J291="","",IF($O291="Evet",0,$N291))</f>
        <v/>
      </c>
    </row>
    <row r="292" ht="15" customHeight="1" s="78">
      <c r="G292" s="123">
        <f>IF($A292="","",MAX(0,$D292+$E292-$F292))</f>
        <v/>
      </c>
      <c r="H292" s="123">
        <f>IF($A292="","",MAX(0,$C292-$B292))</f>
        <v/>
      </c>
      <c r="P292" s="123">
        <f>IF($J292="","",365)</f>
        <v/>
      </c>
      <c r="Q292" s="123">
        <f>IF($J292="","",IF($O292="Evet",0,$N292))</f>
        <v/>
      </c>
    </row>
    <row r="293" ht="15" customHeight="1" s="78">
      <c r="G293" s="123">
        <f>IF($A293="","",MAX(0,$D293+$E293-$F293))</f>
        <v/>
      </c>
      <c r="H293" s="123">
        <f>IF($A293="","",MAX(0,$C293-$B293))</f>
        <v/>
      </c>
      <c r="P293" s="123">
        <f>IF($J293="","",365)</f>
        <v/>
      </c>
      <c r="Q293" s="123">
        <f>IF($J293="","",IF($O293="Evet",0,$N293))</f>
        <v/>
      </c>
    </row>
    <row r="294" ht="15" customHeight="1" s="78">
      <c r="G294" s="123">
        <f>IF($A294="","",MAX(0,$D294+$E294-$F294))</f>
        <v/>
      </c>
      <c r="H294" s="123">
        <f>IF($A294="","",MAX(0,$C294-$B294))</f>
        <v/>
      </c>
      <c r="P294" s="123">
        <f>IF($J294="","",365)</f>
        <v/>
      </c>
      <c r="Q294" s="123">
        <f>IF($J294="","",IF($O294="Evet",0,$N294))</f>
        <v/>
      </c>
    </row>
    <row r="295" ht="15" customHeight="1" s="78">
      <c r="G295" s="123">
        <f>IF($A295="","",MAX(0,$D295+$E295-$F295))</f>
        <v/>
      </c>
      <c r="H295" s="123">
        <f>IF($A295="","",MAX(0,$C295-$B295))</f>
        <v/>
      </c>
      <c r="P295" s="123">
        <f>IF($J295="","",365)</f>
        <v/>
      </c>
      <c r="Q295" s="123">
        <f>IF($J295="","",IF($O295="Evet",0,$N295))</f>
        <v/>
      </c>
    </row>
    <row r="296" ht="15" customHeight="1" s="78">
      <c r="G296" s="123">
        <f>IF($A296="","",MAX(0,$D296+$E296-$F296))</f>
        <v/>
      </c>
      <c r="H296" s="123">
        <f>IF($A296="","",MAX(0,$C296-$B296))</f>
        <v/>
      </c>
      <c r="P296" s="123">
        <f>IF($J296="","",365)</f>
        <v/>
      </c>
      <c r="Q296" s="123">
        <f>IF($J296="","",IF($O296="Evet",0,$N296))</f>
        <v/>
      </c>
    </row>
    <row r="297" ht="15" customHeight="1" s="78">
      <c r="G297" s="123">
        <f>IF($A297="","",MAX(0,$D297+$E297-$F297))</f>
        <v/>
      </c>
      <c r="H297" s="123">
        <f>IF($A297="","",MAX(0,$C297-$B297))</f>
        <v/>
      </c>
      <c r="P297" s="123">
        <f>IF($J297="","",365)</f>
        <v/>
      </c>
      <c r="Q297" s="123">
        <f>IF($J297="","",IF($O297="Evet",0,$N297))</f>
        <v/>
      </c>
    </row>
    <row r="298" ht="15" customHeight="1" s="78">
      <c r="G298" s="123">
        <f>IF($A298="","",MAX(0,$D298+$E298-$F298))</f>
        <v/>
      </c>
      <c r="H298" s="123">
        <f>IF($A298="","",MAX(0,$C298-$B298))</f>
        <v/>
      </c>
      <c r="P298" s="123">
        <f>IF($J298="","",365)</f>
        <v/>
      </c>
      <c r="Q298" s="123">
        <f>IF($J298="","",IF($O298="Evet",0,$N298))</f>
        <v/>
      </c>
    </row>
    <row r="299" ht="15" customHeight="1" s="78">
      <c r="G299" s="123">
        <f>IF($A299="","",MAX(0,$D299+$E299-$F299))</f>
        <v/>
      </c>
      <c r="H299" s="123">
        <f>IF($A299="","",MAX(0,$C299-$B299))</f>
        <v/>
      </c>
      <c r="P299" s="123">
        <f>IF($J299="","",365)</f>
        <v/>
      </c>
      <c r="Q299" s="123">
        <f>IF($J299="","",IF($O299="Evet",0,$N299))</f>
        <v/>
      </c>
    </row>
    <row r="300" ht="15" customHeight="1" s="78">
      <c r="G300" s="123">
        <f>IF($A300="","",MAX(0,$D300+$E300-$F300))</f>
        <v/>
      </c>
      <c r="H300" s="123">
        <f>IF($A300="","",MAX(0,$C300-$B300))</f>
        <v/>
      </c>
      <c r="P300" s="123">
        <f>IF($J300="","",365)</f>
        <v/>
      </c>
      <c r="Q300" s="123">
        <f>IF($J300="","",IF($O300="Evet",0,$N300))</f>
        <v/>
      </c>
    </row>
    <row r="301" ht="15" customHeight="1" s="78">
      <c r="G301" s="123">
        <f>IF($A301="","",MAX(0,$D301+$E301-$F301))</f>
        <v/>
      </c>
      <c r="H301" s="123">
        <f>IF($A301="","",MAX(0,$C301-$B301))</f>
        <v/>
      </c>
      <c r="P301" s="123">
        <f>IF($J301="","",365)</f>
        <v/>
      </c>
      <c r="Q301" s="123">
        <f>IF($J301="","",IF($O301="Evet",0,$N301))</f>
        <v/>
      </c>
    </row>
    <row r="302" ht="15" customHeight="1" s="78">
      <c r="G302" s="123">
        <f>IF($A302="","",MAX(0,$D302+$E302-$F302))</f>
        <v/>
      </c>
      <c r="H302" s="123">
        <f>IF($A302="","",MAX(0,$C302-$B302))</f>
        <v/>
      </c>
      <c r="P302" s="123">
        <f>IF($J302="","",365)</f>
        <v/>
      </c>
      <c r="Q302" s="123">
        <f>IF($J302="","",IF($O302="Evet",0,$N302))</f>
        <v/>
      </c>
    </row>
    <row r="303" ht="15" customHeight="1" s="78">
      <c r="G303" s="123">
        <f>IF($A303="","",MAX(0,$D303+$E303-$F303))</f>
        <v/>
      </c>
      <c r="H303" s="123">
        <f>IF($A303="","",MAX(0,$C303-$B303))</f>
        <v/>
      </c>
      <c r="P303" s="123">
        <f>IF($J303="","",365)</f>
        <v/>
      </c>
      <c r="Q303" s="123">
        <f>IF($J303="","",IF($O303="Evet",0,$N303))</f>
        <v/>
      </c>
    </row>
    <row r="304" ht="15" customHeight="1" s="78">
      <c r="G304" s="123">
        <f>IF($A304="","",MAX(0,$D304+$E304-$F304))</f>
        <v/>
      </c>
      <c r="H304" s="123">
        <f>IF($A304="","",MAX(0,$C304-$B304))</f>
        <v/>
      </c>
      <c r="P304" s="123">
        <f>IF($J304="","",365)</f>
        <v/>
      </c>
      <c r="Q304" s="123">
        <f>IF($J304="","",IF($O304="Evet",0,$N304))</f>
        <v/>
      </c>
    </row>
    <row r="305" ht="15" customHeight="1" s="78">
      <c r="G305" s="123">
        <f>IF($A305="","",MAX(0,$D305+$E305-$F305))</f>
        <v/>
      </c>
      <c r="H305" s="123">
        <f>IF($A305="","",MAX(0,$C305-$B305))</f>
        <v/>
      </c>
      <c r="P305" s="123">
        <f>IF($J305="","",365)</f>
        <v/>
      </c>
      <c r="Q305" s="123">
        <f>IF($J305="","",IF($O305="Evet",0,$N305))</f>
        <v/>
      </c>
    </row>
    <row r="306" ht="15" customHeight="1" s="78">
      <c r="G306" s="123">
        <f>IF($A306="","",MAX(0,$D306+$E306-$F306))</f>
        <v/>
      </c>
      <c r="H306" s="123">
        <f>IF($A306="","",MAX(0,$C306-$B306))</f>
        <v/>
      </c>
      <c r="P306" s="123">
        <f>IF($J306="","",365)</f>
        <v/>
      </c>
      <c r="Q306" s="123">
        <f>IF($J306="","",IF($O306="Evet",0,$N306))</f>
        <v/>
      </c>
    </row>
    <row r="307" ht="15" customHeight="1" s="78">
      <c r="G307" s="123">
        <f>IF($A307="","",MAX(0,$D307+$E307-$F307))</f>
        <v/>
      </c>
      <c r="H307" s="123">
        <f>IF($A307="","",MAX(0,$C307-$B307))</f>
        <v/>
      </c>
      <c r="P307" s="123">
        <f>IF($J307="","",365)</f>
        <v/>
      </c>
      <c r="Q307" s="123">
        <f>IF($J307="","",IF($O307="Evet",0,$N307))</f>
        <v/>
      </c>
    </row>
    <row r="308" ht="15" customHeight="1" s="78">
      <c r="G308" s="123">
        <f>IF($A308="","",MAX(0,$D308+$E308-$F308))</f>
        <v/>
      </c>
      <c r="H308" s="123">
        <f>IF($A308="","",MAX(0,$C308-$B308))</f>
        <v/>
      </c>
      <c r="P308" s="123">
        <f>IF($J308="","",365)</f>
        <v/>
      </c>
      <c r="Q308" s="123">
        <f>IF($J308="","",IF($O308="Evet",0,$N308))</f>
        <v/>
      </c>
    </row>
    <row r="309" ht="15" customHeight="1" s="78">
      <c r="G309" s="123">
        <f>IF($A309="","",MAX(0,$D309+$E309-$F309))</f>
        <v/>
      </c>
      <c r="H309" s="123">
        <f>IF($A309="","",MAX(0,$C309-$B309))</f>
        <v/>
      </c>
      <c r="P309" s="123">
        <f>IF($J309="","",365)</f>
        <v/>
      </c>
      <c r="Q309" s="123">
        <f>IF($J309="","",IF($O309="Evet",0,$N309))</f>
        <v/>
      </c>
    </row>
    <row r="310" ht="15" customHeight="1" s="78">
      <c r="G310" s="123">
        <f>IF($A310="","",MAX(0,$D310+$E310-$F310))</f>
        <v/>
      </c>
      <c r="H310" s="123">
        <f>IF($A310="","",MAX(0,$C310-$B310))</f>
        <v/>
      </c>
      <c r="P310" s="123">
        <f>IF($J310="","",365)</f>
        <v/>
      </c>
      <c r="Q310" s="123">
        <f>IF($J310="","",IF($O310="Evet",0,$N310))</f>
        <v/>
      </c>
    </row>
    <row r="311" ht="15" customHeight="1" s="78">
      <c r="G311" s="123">
        <f>IF($A311="","",MAX(0,$D311+$E311-$F311))</f>
        <v/>
      </c>
      <c r="H311" s="123">
        <f>IF($A311="","",MAX(0,$C311-$B311))</f>
        <v/>
      </c>
      <c r="P311" s="123">
        <f>IF($J311="","",365)</f>
        <v/>
      </c>
      <c r="Q311" s="123">
        <f>IF($J311="","",IF($O311="Evet",0,$N311))</f>
        <v/>
      </c>
    </row>
    <row r="312" ht="15" customHeight="1" s="78">
      <c r="G312" s="123">
        <f>IF($A312="","",MAX(0,$D312+$E312-$F312))</f>
        <v/>
      </c>
      <c r="H312" s="123">
        <f>IF($A312="","",MAX(0,$C312-$B312))</f>
        <v/>
      </c>
      <c r="P312" s="123">
        <f>IF($J312="","",365)</f>
        <v/>
      </c>
      <c r="Q312" s="123">
        <f>IF($J312="","",IF($O312="Evet",0,$N312))</f>
        <v/>
      </c>
    </row>
    <row r="313" ht="15" customHeight="1" s="78">
      <c r="G313" s="123">
        <f>IF($A313="","",MAX(0,$D313+$E313-$F313))</f>
        <v/>
      </c>
      <c r="H313" s="123">
        <f>IF($A313="","",MAX(0,$C313-$B313))</f>
        <v/>
      </c>
      <c r="P313" s="123">
        <f>IF($J313="","",365)</f>
        <v/>
      </c>
      <c r="Q313" s="123">
        <f>IF($J313="","",IF($O313="Evet",0,$N313))</f>
        <v/>
      </c>
    </row>
    <row r="314" ht="15" customHeight="1" s="78">
      <c r="G314" s="123">
        <f>IF($A314="","",MAX(0,$D314+$E314-$F314))</f>
        <v/>
      </c>
      <c r="H314" s="123">
        <f>IF($A314="","",MAX(0,$C314-$B314))</f>
        <v/>
      </c>
      <c r="P314" s="123">
        <f>IF($J314="","",365)</f>
        <v/>
      </c>
      <c r="Q314" s="123">
        <f>IF($J314="","",IF($O314="Evet",0,$N314))</f>
        <v/>
      </c>
    </row>
    <row r="315" ht="15" customHeight="1" s="78">
      <c r="G315" s="123">
        <f>IF($A315="","",MAX(0,$D315+$E315-$F315))</f>
        <v/>
      </c>
      <c r="H315" s="123">
        <f>IF($A315="","",MAX(0,$C315-$B315))</f>
        <v/>
      </c>
      <c r="P315" s="123">
        <f>IF($J315="","",365)</f>
        <v/>
      </c>
      <c r="Q315" s="123">
        <f>IF($J315="","",IF($O315="Evet",0,$N315))</f>
        <v/>
      </c>
    </row>
    <row r="316" ht="15" customHeight="1" s="78">
      <c r="G316" s="123">
        <f>IF($A316="","",MAX(0,$D316+$E316-$F316))</f>
        <v/>
      </c>
      <c r="H316" s="123">
        <f>IF($A316="","",MAX(0,$C316-$B316))</f>
        <v/>
      </c>
      <c r="P316" s="123">
        <f>IF($J316="","",365)</f>
        <v/>
      </c>
      <c r="Q316" s="123">
        <f>IF($J316="","",IF($O316="Evet",0,$N316))</f>
        <v/>
      </c>
    </row>
    <row r="317" ht="15" customHeight="1" s="78">
      <c r="G317" s="123">
        <f>IF($A317="","",MAX(0,$D317+$E317-$F317))</f>
        <v/>
      </c>
      <c r="H317" s="123">
        <f>IF($A317="","",MAX(0,$C317-$B317))</f>
        <v/>
      </c>
      <c r="P317" s="123">
        <f>IF($J317="","",365)</f>
        <v/>
      </c>
      <c r="Q317" s="123">
        <f>IF($J317="","",IF($O317="Evet",0,$N317))</f>
        <v/>
      </c>
    </row>
    <row r="318" ht="15" customHeight="1" s="78">
      <c r="G318" s="123">
        <f>IF($A318="","",MAX(0,$D318+$E318-$F318))</f>
        <v/>
      </c>
      <c r="H318" s="123">
        <f>IF($A318="","",MAX(0,$C318-$B318))</f>
        <v/>
      </c>
      <c r="P318" s="123">
        <f>IF($J318="","",365)</f>
        <v/>
      </c>
      <c r="Q318" s="123">
        <f>IF($J318="","",IF($O318="Evet",0,$N318))</f>
        <v/>
      </c>
    </row>
    <row r="319" ht="15" customHeight="1" s="78">
      <c r="G319" s="123">
        <f>IF($A319="","",MAX(0,$D319+$E319-$F319))</f>
        <v/>
      </c>
      <c r="H319" s="123">
        <f>IF($A319="","",MAX(0,$C319-$B319))</f>
        <v/>
      </c>
      <c r="P319" s="123">
        <f>IF($J319="","",365)</f>
        <v/>
      </c>
      <c r="Q319" s="123">
        <f>IF($J319="","",IF($O319="Evet",0,$N319))</f>
        <v/>
      </c>
    </row>
    <row r="320" ht="15" customHeight="1" s="78">
      <c r="G320" s="123">
        <f>IF($A320="","",MAX(0,$D320+$E320-$F320))</f>
        <v/>
      </c>
      <c r="H320" s="123">
        <f>IF($A320="","",MAX(0,$C320-$B320))</f>
        <v/>
      </c>
      <c r="P320" s="123">
        <f>IF($J320="","",365)</f>
        <v/>
      </c>
      <c r="Q320" s="123">
        <f>IF($J320="","",IF($O320="Evet",0,$N320))</f>
        <v/>
      </c>
    </row>
    <row r="321" ht="15" customHeight="1" s="78">
      <c r="G321" s="123">
        <f>IF($A321="","",MAX(0,$D321+$E321-$F321))</f>
        <v/>
      </c>
      <c r="H321" s="123">
        <f>IF($A321="","",MAX(0,$C321-$B321))</f>
        <v/>
      </c>
      <c r="P321" s="123">
        <f>IF($J321="","",365)</f>
        <v/>
      </c>
      <c r="Q321" s="123">
        <f>IF($J321="","",IF($O321="Evet",0,$N321))</f>
        <v/>
      </c>
    </row>
    <row r="322" ht="15" customHeight="1" s="78">
      <c r="G322" s="123">
        <f>IF($A322="","",MAX(0,$D322+$E322-$F322))</f>
        <v/>
      </c>
      <c r="H322" s="123">
        <f>IF($A322="","",MAX(0,$C322-$B322))</f>
        <v/>
      </c>
      <c r="P322" s="123">
        <f>IF($J322="","",365)</f>
        <v/>
      </c>
      <c r="Q322" s="123">
        <f>IF($J322="","",IF($O322="Evet",0,$N322))</f>
        <v/>
      </c>
    </row>
    <row r="323" ht="15" customHeight="1" s="78">
      <c r="G323" s="123">
        <f>IF($A323="","",MAX(0,$D323+$E323-$F323))</f>
        <v/>
      </c>
      <c r="H323" s="123">
        <f>IF($A323="","",MAX(0,$C323-$B323))</f>
        <v/>
      </c>
      <c r="P323" s="123">
        <f>IF($J323="","",365)</f>
        <v/>
      </c>
      <c r="Q323" s="123">
        <f>IF($J323="","",IF($O323="Evet",0,$N323))</f>
        <v/>
      </c>
    </row>
    <row r="324" ht="15" customHeight="1" s="78">
      <c r="G324" s="123">
        <f>IF($A324="","",MAX(0,$D324+$E324-$F324))</f>
        <v/>
      </c>
      <c r="H324" s="123">
        <f>IF($A324="","",MAX(0,$C324-$B324))</f>
        <v/>
      </c>
      <c r="P324" s="123">
        <f>IF($J324="","",365)</f>
        <v/>
      </c>
      <c r="Q324" s="123">
        <f>IF($J324="","",IF($O324="Evet",0,$N324))</f>
        <v/>
      </c>
    </row>
    <row r="325" ht="15" customHeight="1" s="78">
      <c r="G325" s="123">
        <f>IF($A325="","",MAX(0,$D325+$E325-$F325))</f>
        <v/>
      </c>
      <c r="H325" s="123">
        <f>IF($A325="","",MAX(0,$C325-$B325))</f>
        <v/>
      </c>
      <c r="P325" s="123">
        <f>IF($J325="","",365)</f>
        <v/>
      </c>
      <c r="Q325" s="123">
        <f>IF($J325="","",IF($O325="Evet",0,$N325))</f>
        <v/>
      </c>
    </row>
    <row r="326" ht="15" customHeight="1" s="78">
      <c r="G326" s="123">
        <f>IF($A326="","",MAX(0,$D326+$E326-$F326))</f>
        <v/>
      </c>
      <c r="H326" s="123">
        <f>IF($A326="","",MAX(0,$C326-$B326))</f>
        <v/>
      </c>
      <c r="P326" s="123">
        <f>IF($J326="","",365)</f>
        <v/>
      </c>
      <c r="Q326" s="123">
        <f>IF($J326="","",IF($O326="Evet",0,$N326))</f>
        <v/>
      </c>
    </row>
    <row r="327" ht="15" customHeight="1" s="78">
      <c r="G327" s="123">
        <f>IF($A327="","",MAX(0,$D327+$E327-$F327))</f>
        <v/>
      </c>
      <c r="H327" s="123">
        <f>IF($A327="","",MAX(0,$C327-$B327))</f>
        <v/>
      </c>
      <c r="P327" s="123">
        <f>IF($J327="","",365)</f>
        <v/>
      </c>
      <c r="Q327" s="123">
        <f>IF($J327="","",IF($O327="Evet",0,$N327))</f>
        <v/>
      </c>
    </row>
    <row r="328" ht="15" customHeight="1" s="78">
      <c r="G328" s="123">
        <f>IF($A328="","",MAX(0,$D328+$E328-$F328))</f>
        <v/>
      </c>
      <c r="H328" s="123">
        <f>IF($A328="","",MAX(0,$C328-$B328))</f>
        <v/>
      </c>
      <c r="P328" s="123">
        <f>IF($J328="","",365)</f>
        <v/>
      </c>
      <c r="Q328" s="123">
        <f>IF($J328="","",IF($O328="Evet",0,$N328))</f>
        <v/>
      </c>
    </row>
    <row r="329" ht="15" customHeight="1" s="78">
      <c r="G329" s="123">
        <f>IF($A329="","",MAX(0,$D329+$E329-$F329))</f>
        <v/>
      </c>
      <c r="H329" s="123">
        <f>IF($A329="","",MAX(0,$C329-$B329))</f>
        <v/>
      </c>
      <c r="P329" s="123">
        <f>IF($J329="","",365)</f>
        <v/>
      </c>
      <c r="Q329" s="123">
        <f>IF($J329="","",IF($O329="Evet",0,$N329))</f>
        <v/>
      </c>
    </row>
    <row r="330" ht="15" customHeight="1" s="78">
      <c r="G330" s="123">
        <f>IF($A330="","",MAX(0,$D330+$E330-$F330))</f>
        <v/>
      </c>
      <c r="H330" s="123">
        <f>IF($A330="","",MAX(0,$C330-$B330))</f>
        <v/>
      </c>
      <c r="P330" s="123">
        <f>IF($J330="","",365)</f>
        <v/>
      </c>
      <c r="Q330" s="123">
        <f>IF($J330="","",IF($O330="Evet",0,$N330))</f>
        <v/>
      </c>
    </row>
    <row r="331" ht="15" customHeight="1" s="78">
      <c r="G331" s="123">
        <f>IF($A331="","",MAX(0,$D331+$E331-$F331))</f>
        <v/>
      </c>
      <c r="H331" s="123">
        <f>IF($A331="","",MAX(0,$C331-$B331))</f>
        <v/>
      </c>
      <c r="P331" s="123">
        <f>IF($J331="","",365)</f>
        <v/>
      </c>
      <c r="Q331" s="123">
        <f>IF($J331="","",IF($O331="Evet",0,$N331))</f>
        <v/>
      </c>
    </row>
    <row r="332" ht="15" customHeight="1" s="78">
      <c r="G332" s="123">
        <f>IF($A332="","",MAX(0,$D332+$E332-$F332))</f>
        <v/>
      </c>
      <c r="H332" s="123">
        <f>IF($A332="","",MAX(0,$C332-$B332))</f>
        <v/>
      </c>
      <c r="P332" s="123">
        <f>IF($J332="","",365)</f>
        <v/>
      </c>
      <c r="Q332" s="123">
        <f>IF($J332="","",IF($O332="Evet",0,$N332))</f>
        <v/>
      </c>
    </row>
    <row r="333" ht="15" customHeight="1" s="78">
      <c r="G333" s="123">
        <f>IF($A333="","",MAX(0,$D333+$E333-$F333))</f>
        <v/>
      </c>
      <c r="H333" s="123">
        <f>IF($A333="","",MAX(0,$C333-$B333))</f>
        <v/>
      </c>
      <c r="P333" s="123">
        <f>IF($J333="","",365)</f>
        <v/>
      </c>
      <c r="Q333" s="123">
        <f>IF($J333="","",IF($O333="Evet",0,$N333))</f>
        <v/>
      </c>
    </row>
    <row r="334" ht="15" customHeight="1" s="78">
      <c r="G334" s="123">
        <f>IF($A334="","",MAX(0,$D334+$E334-$F334))</f>
        <v/>
      </c>
      <c r="H334" s="123">
        <f>IF($A334="","",MAX(0,$C334-$B334))</f>
        <v/>
      </c>
      <c r="P334" s="123">
        <f>IF($J334="","",365)</f>
        <v/>
      </c>
      <c r="Q334" s="123">
        <f>IF($J334="","",IF($O334="Evet",0,$N334))</f>
        <v/>
      </c>
    </row>
    <row r="335" ht="15" customHeight="1" s="78">
      <c r="G335" s="123">
        <f>IF($A335="","",MAX(0,$D335+$E335-$F335))</f>
        <v/>
      </c>
      <c r="H335" s="123">
        <f>IF($A335="","",MAX(0,$C335-$B335))</f>
        <v/>
      </c>
      <c r="P335" s="123">
        <f>IF($J335="","",365)</f>
        <v/>
      </c>
      <c r="Q335" s="123">
        <f>IF($J335="","",IF($O335="Evet",0,$N335))</f>
        <v/>
      </c>
    </row>
    <row r="336" ht="15" customHeight="1" s="78">
      <c r="G336" s="123">
        <f>IF($A336="","",MAX(0,$D336+$E336-$F336))</f>
        <v/>
      </c>
      <c r="H336" s="123">
        <f>IF($A336="","",MAX(0,$C336-$B336))</f>
        <v/>
      </c>
      <c r="P336" s="123">
        <f>IF($J336="","",365)</f>
        <v/>
      </c>
      <c r="Q336" s="123">
        <f>IF($J336="","",IF($O336="Evet",0,$N336))</f>
        <v/>
      </c>
    </row>
    <row r="337" ht="15" customHeight="1" s="78">
      <c r="G337" s="123">
        <f>IF($A337="","",MAX(0,$D337+$E337-$F337))</f>
        <v/>
      </c>
      <c r="H337" s="123">
        <f>IF($A337="","",MAX(0,$C337-$B337))</f>
        <v/>
      </c>
      <c r="P337" s="123">
        <f>IF($J337="","",365)</f>
        <v/>
      </c>
      <c r="Q337" s="123">
        <f>IF($J337="","",IF($O337="Evet",0,$N337))</f>
        <v/>
      </c>
    </row>
    <row r="338" ht="15" customHeight="1" s="78">
      <c r="G338" s="123">
        <f>IF($A338="","",MAX(0,$D338+$E338-$F338))</f>
        <v/>
      </c>
      <c r="H338" s="123">
        <f>IF($A338="","",MAX(0,$C338-$B338))</f>
        <v/>
      </c>
      <c r="P338" s="123">
        <f>IF($J338="","",365)</f>
        <v/>
      </c>
      <c r="Q338" s="123">
        <f>IF($J338="","",IF($O338="Evet",0,$N338))</f>
        <v/>
      </c>
    </row>
    <row r="339" ht="15" customHeight="1" s="78">
      <c r="G339" s="123">
        <f>IF($A339="","",MAX(0,$D339+$E339-$F339))</f>
        <v/>
      </c>
      <c r="H339" s="123">
        <f>IF($A339="","",MAX(0,$C339-$B339))</f>
        <v/>
      </c>
      <c r="P339" s="123">
        <f>IF($J339="","",365)</f>
        <v/>
      </c>
      <c r="Q339" s="123">
        <f>IF($J339="","",IF($O339="Evet",0,$N339))</f>
        <v/>
      </c>
    </row>
    <row r="340" ht="15" customHeight="1" s="78">
      <c r="G340" s="123">
        <f>IF($A340="","",MAX(0,$D340+$E340-$F340))</f>
        <v/>
      </c>
      <c r="H340" s="123">
        <f>IF($A340="","",MAX(0,$C340-$B340))</f>
        <v/>
      </c>
      <c r="P340" s="123">
        <f>IF($J340="","",365)</f>
        <v/>
      </c>
      <c r="Q340" s="123">
        <f>IF($J340="","",IF($O340="Evet",0,$N340))</f>
        <v/>
      </c>
    </row>
    <row r="341" ht="15" customHeight="1" s="78">
      <c r="G341" s="123">
        <f>IF($A341="","",MAX(0,$D341+$E341-$F341))</f>
        <v/>
      </c>
      <c r="H341" s="123">
        <f>IF($A341="","",MAX(0,$C341-$B341))</f>
        <v/>
      </c>
      <c r="P341" s="123">
        <f>IF($J341="","",365)</f>
        <v/>
      </c>
      <c r="Q341" s="123">
        <f>IF($J341="","",IF($O341="Evet",0,$N341))</f>
        <v/>
      </c>
    </row>
    <row r="342" ht="15" customHeight="1" s="78">
      <c r="G342" s="123">
        <f>IF($A342="","",MAX(0,$D342+$E342-$F342))</f>
        <v/>
      </c>
      <c r="H342" s="123">
        <f>IF($A342="","",MAX(0,$C342-$B342))</f>
        <v/>
      </c>
      <c r="P342" s="123">
        <f>IF($J342="","",365)</f>
        <v/>
      </c>
      <c r="Q342" s="123">
        <f>IF($J342="","",IF($O342="Evet",0,$N342))</f>
        <v/>
      </c>
    </row>
    <row r="343" ht="15" customHeight="1" s="78">
      <c r="G343" s="123">
        <f>IF($A343="","",MAX(0,$D343+$E343-$F343))</f>
        <v/>
      </c>
      <c r="H343" s="123">
        <f>IF($A343="","",MAX(0,$C343-$B343))</f>
        <v/>
      </c>
      <c r="P343" s="123">
        <f>IF($J343="","",365)</f>
        <v/>
      </c>
      <c r="Q343" s="123">
        <f>IF($J343="","",IF($O343="Evet",0,$N343))</f>
        <v/>
      </c>
    </row>
    <row r="344" ht="15" customHeight="1" s="78">
      <c r="G344" s="123">
        <f>IF($A344="","",MAX(0,$D344+$E344-$F344))</f>
        <v/>
      </c>
      <c r="H344" s="123">
        <f>IF($A344="","",MAX(0,$C344-$B344))</f>
        <v/>
      </c>
      <c r="P344" s="123">
        <f>IF($J344="","",365)</f>
        <v/>
      </c>
      <c r="Q344" s="123">
        <f>IF($J344="","",IF($O344="Evet",0,$N344))</f>
        <v/>
      </c>
    </row>
    <row r="345" ht="15" customHeight="1" s="78">
      <c r="G345" s="123">
        <f>IF($A345="","",MAX(0,$D345+$E345-$F345))</f>
        <v/>
      </c>
      <c r="H345" s="123">
        <f>IF($A345="","",MAX(0,$C345-$B345))</f>
        <v/>
      </c>
      <c r="P345" s="123">
        <f>IF($J345="","",365)</f>
        <v/>
      </c>
      <c r="Q345" s="123">
        <f>IF($J345="","",IF($O345="Evet",0,$N345))</f>
        <v/>
      </c>
    </row>
    <row r="346" ht="15" customHeight="1" s="78">
      <c r="G346" s="123">
        <f>IF($A346="","",MAX(0,$D346+$E346-$F346))</f>
        <v/>
      </c>
      <c r="H346" s="123">
        <f>IF($A346="","",MAX(0,$C346-$B346))</f>
        <v/>
      </c>
      <c r="P346" s="123">
        <f>IF($J346="","",365)</f>
        <v/>
      </c>
      <c r="Q346" s="123">
        <f>IF($J346="","",IF($O346="Evet",0,$N346))</f>
        <v/>
      </c>
    </row>
    <row r="347" ht="15" customHeight="1" s="78">
      <c r="G347" s="123">
        <f>IF($A347="","",MAX(0,$D347+$E347-$F347))</f>
        <v/>
      </c>
      <c r="H347" s="123">
        <f>IF($A347="","",MAX(0,$C347-$B347))</f>
        <v/>
      </c>
      <c r="P347" s="123">
        <f>IF($J347="","",365)</f>
        <v/>
      </c>
      <c r="Q347" s="123">
        <f>IF($J347="","",IF($O347="Evet",0,$N347))</f>
        <v/>
      </c>
    </row>
    <row r="348" ht="15" customHeight="1" s="78">
      <c r="G348" s="123">
        <f>IF($A348="","",MAX(0,$D348+$E348-$F348))</f>
        <v/>
      </c>
      <c r="H348" s="123">
        <f>IF($A348="","",MAX(0,$C348-$B348))</f>
        <v/>
      </c>
      <c r="P348" s="123">
        <f>IF($J348="","",365)</f>
        <v/>
      </c>
      <c r="Q348" s="123">
        <f>IF($J348="","",IF($O348="Evet",0,$N348))</f>
        <v/>
      </c>
    </row>
    <row r="349" ht="15" customHeight="1" s="78">
      <c r="G349" s="123">
        <f>IF($A349="","",MAX(0,$D349+$E349-$F349))</f>
        <v/>
      </c>
      <c r="H349" s="123">
        <f>IF($A349="","",MAX(0,$C349-$B349))</f>
        <v/>
      </c>
      <c r="P349" s="123">
        <f>IF($J349="","",365)</f>
        <v/>
      </c>
      <c r="Q349" s="123">
        <f>IF($J349="","",IF($O349="Evet",0,$N349))</f>
        <v/>
      </c>
    </row>
    <row r="350" ht="15" customHeight="1" s="78">
      <c r="G350" s="123">
        <f>IF($A350="","",MAX(0,$D350+$E350-$F350))</f>
        <v/>
      </c>
      <c r="H350" s="123">
        <f>IF($A350="","",MAX(0,$C350-$B350))</f>
        <v/>
      </c>
      <c r="P350" s="123">
        <f>IF($J350="","",365)</f>
        <v/>
      </c>
      <c r="Q350" s="123">
        <f>IF($J350="","",IF($O350="Evet",0,$N350))</f>
        <v/>
      </c>
    </row>
    <row r="351" ht="15" customHeight="1" s="78">
      <c r="G351" s="123">
        <f>IF($A351="","",MAX(0,$D351+$E351-$F351))</f>
        <v/>
      </c>
      <c r="H351" s="123">
        <f>IF($A351="","",MAX(0,$C351-$B351))</f>
        <v/>
      </c>
      <c r="P351" s="123">
        <f>IF($J351="","",365)</f>
        <v/>
      </c>
      <c r="Q351" s="123">
        <f>IF($J351="","",IF($O351="Evet",0,$N351))</f>
        <v/>
      </c>
    </row>
    <row r="352" ht="15" customHeight="1" s="78">
      <c r="G352" s="123">
        <f>IF($A352="","",MAX(0,$D352+$E352-$F352))</f>
        <v/>
      </c>
      <c r="H352" s="123">
        <f>IF($A352="","",MAX(0,$C352-$B352))</f>
        <v/>
      </c>
      <c r="P352" s="123">
        <f>IF($J352="","",365)</f>
        <v/>
      </c>
      <c r="Q352" s="123">
        <f>IF($J352="","",IF($O352="Evet",0,$N352))</f>
        <v/>
      </c>
    </row>
    <row r="353" ht="15" customHeight="1" s="78">
      <c r="G353" s="123">
        <f>IF($A353="","",MAX(0,$D353+$E353-$F353))</f>
        <v/>
      </c>
      <c r="H353" s="123">
        <f>IF($A353="","",MAX(0,$C353-$B353))</f>
        <v/>
      </c>
      <c r="P353" s="123">
        <f>IF($J353="","",365)</f>
        <v/>
      </c>
      <c r="Q353" s="123">
        <f>IF($J353="","",IF($O353="Evet",0,$N353))</f>
        <v/>
      </c>
    </row>
    <row r="354" ht="15" customHeight="1" s="78">
      <c r="G354" s="123">
        <f>IF($A354="","",MAX(0,$D354+$E354-$F354))</f>
        <v/>
      </c>
      <c r="H354" s="123">
        <f>IF($A354="","",MAX(0,$C354-$B354))</f>
        <v/>
      </c>
      <c r="P354" s="123">
        <f>IF($J354="","",365)</f>
        <v/>
      </c>
      <c r="Q354" s="123">
        <f>IF($J354="","",IF($O354="Evet",0,$N354))</f>
        <v/>
      </c>
    </row>
    <row r="355" ht="15" customHeight="1" s="78">
      <c r="G355" s="123">
        <f>IF($A355="","",MAX(0,$D355+$E355-$F355))</f>
        <v/>
      </c>
      <c r="H355" s="123">
        <f>IF($A355="","",MAX(0,$C355-$B355))</f>
        <v/>
      </c>
      <c r="P355" s="123">
        <f>IF($J355="","",365)</f>
        <v/>
      </c>
      <c r="Q355" s="123">
        <f>IF($J355="","",IF($O355="Evet",0,$N355))</f>
        <v/>
      </c>
    </row>
    <row r="356" ht="15" customHeight="1" s="78">
      <c r="G356" s="123">
        <f>IF($A356="","",MAX(0,$D356+$E356-$F356))</f>
        <v/>
      </c>
      <c r="H356" s="123">
        <f>IF($A356="","",MAX(0,$C356-$B356))</f>
        <v/>
      </c>
      <c r="P356" s="123">
        <f>IF($J356="","",365)</f>
        <v/>
      </c>
      <c r="Q356" s="123">
        <f>IF($J356="","",IF($O356="Evet",0,$N356))</f>
        <v/>
      </c>
    </row>
    <row r="357" ht="15" customHeight="1" s="78">
      <c r="G357" s="123">
        <f>IF($A357="","",MAX(0,$D357+$E357-$F357))</f>
        <v/>
      </c>
      <c r="H357" s="123">
        <f>IF($A357="","",MAX(0,$C357-$B357))</f>
        <v/>
      </c>
      <c r="P357" s="123">
        <f>IF($J357="","",365)</f>
        <v/>
      </c>
      <c r="Q357" s="123">
        <f>IF($J357="","",IF($O357="Evet",0,$N357))</f>
        <v/>
      </c>
    </row>
    <row r="358" ht="15" customHeight="1" s="78">
      <c r="G358" s="123">
        <f>IF($A358="","",MAX(0,$D358+$E358-$F358))</f>
        <v/>
      </c>
      <c r="H358" s="123">
        <f>IF($A358="","",MAX(0,$C358-$B358))</f>
        <v/>
      </c>
      <c r="P358" s="123">
        <f>IF($J358="","",365)</f>
        <v/>
      </c>
      <c r="Q358" s="123">
        <f>IF($J358="","",IF($O358="Evet",0,$N358))</f>
        <v/>
      </c>
    </row>
    <row r="359" ht="15" customHeight="1" s="78">
      <c r="G359" s="123">
        <f>IF($A359="","",MAX(0,$D359+$E359-$F359))</f>
        <v/>
      </c>
      <c r="H359" s="123">
        <f>IF($A359="","",MAX(0,$C359-$B359))</f>
        <v/>
      </c>
      <c r="P359" s="123">
        <f>IF($J359="","",365)</f>
        <v/>
      </c>
      <c r="Q359" s="123">
        <f>IF($J359="","",IF($O359="Evet",0,$N359))</f>
        <v/>
      </c>
    </row>
    <row r="360" ht="15" customHeight="1" s="78">
      <c r="G360" s="123">
        <f>IF($A360="","",MAX(0,$D360+$E360-$F360))</f>
        <v/>
      </c>
      <c r="H360" s="123">
        <f>IF($A360="","",MAX(0,$C360-$B360))</f>
        <v/>
      </c>
      <c r="P360" s="123">
        <f>IF($J360="","",365)</f>
        <v/>
      </c>
      <c r="Q360" s="123">
        <f>IF($J360="","",IF($O360="Evet",0,$N360))</f>
        <v/>
      </c>
    </row>
    <row r="361" ht="15" customHeight="1" s="78">
      <c r="G361" s="123">
        <f>IF($A361="","",MAX(0,$D361+$E361-$F361))</f>
        <v/>
      </c>
      <c r="H361" s="123">
        <f>IF($A361="","",MAX(0,$C361-$B361))</f>
        <v/>
      </c>
      <c r="P361" s="123">
        <f>IF($J361="","",365)</f>
        <v/>
      </c>
      <c r="Q361" s="123">
        <f>IF($J361="","",IF($O361="Evet",0,$N361))</f>
        <v/>
      </c>
    </row>
    <row r="362" ht="15" customHeight="1" s="78">
      <c r="G362" s="123">
        <f>IF($A362="","",MAX(0,$D362+$E362-$F362))</f>
        <v/>
      </c>
      <c r="H362" s="123">
        <f>IF($A362="","",MAX(0,$C362-$B362))</f>
        <v/>
      </c>
      <c r="P362" s="123">
        <f>IF($J362="","",365)</f>
        <v/>
      </c>
      <c r="Q362" s="123">
        <f>IF($J362="","",IF($O362="Evet",0,$N362))</f>
        <v/>
      </c>
    </row>
    <row r="363" ht="15" customHeight="1" s="78">
      <c r="G363" s="123">
        <f>IF($A363="","",MAX(0,$D363+$E363-$F363))</f>
        <v/>
      </c>
      <c r="H363" s="123">
        <f>IF($A363="","",MAX(0,$C363-$B363))</f>
        <v/>
      </c>
      <c r="P363" s="123">
        <f>IF($J363="","",365)</f>
        <v/>
      </c>
      <c r="Q363" s="123">
        <f>IF($J363="","",IF($O363="Evet",0,$N363))</f>
        <v/>
      </c>
    </row>
    <row r="364" ht="15" customHeight="1" s="78">
      <c r="G364" s="123">
        <f>IF($A364="","",MAX(0,$D364+$E364-$F364))</f>
        <v/>
      </c>
      <c r="H364" s="123">
        <f>IF($A364="","",MAX(0,$C364-$B364))</f>
        <v/>
      </c>
      <c r="P364" s="123">
        <f>IF($J364="","",365)</f>
        <v/>
      </c>
      <c r="Q364" s="123">
        <f>IF($J364="","",IF($O364="Evet",0,$N364))</f>
        <v/>
      </c>
    </row>
    <row r="365" ht="15" customHeight="1" s="78">
      <c r="G365" s="123">
        <f>IF($A365="","",MAX(0,$D365+$E365-$F365))</f>
        <v/>
      </c>
      <c r="H365" s="123">
        <f>IF($A365="","",MAX(0,$C365-$B365))</f>
        <v/>
      </c>
      <c r="P365" s="123">
        <f>IF($J365="","",365)</f>
        <v/>
      </c>
      <c r="Q365" s="123">
        <f>IF($J365="","",IF($O365="Evet",0,$N365))</f>
        <v/>
      </c>
    </row>
    <row r="366" ht="15" customHeight="1" s="78">
      <c r="G366" s="123">
        <f>IF($A366="","",MAX(0,$D366+$E366-$F366))</f>
        <v/>
      </c>
      <c r="H366" s="123">
        <f>IF($A366="","",MAX(0,$C366-$B366))</f>
        <v/>
      </c>
      <c r="P366" s="123">
        <f>IF($J366="","",365)</f>
        <v/>
      </c>
      <c r="Q366" s="123">
        <f>IF($J366="","",IF($O366="Evet",0,$N366))</f>
        <v/>
      </c>
    </row>
    <row r="367" ht="15" customHeight="1" s="78">
      <c r="G367" s="123">
        <f>IF($A367="","",MAX(0,$D367+$E367-$F367))</f>
        <v/>
      </c>
      <c r="H367" s="123">
        <f>IF($A367="","",MAX(0,$C367-$B367))</f>
        <v/>
      </c>
      <c r="P367" s="123">
        <f>IF($J367="","",365)</f>
        <v/>
      </c>
      <c r="Q367" s="123">
        <f>IF($J367="","",IF($O367="Evet",0,$N367))</f>
        <v/>
      </c>
    </row>
    <row r="368" ht="15" customHeight="1" s="78">
      <c r="G368" s="123">
        <f>IF($A368="","",MAX(0,$D368+$E368-$F368))</f>
        <v/>
      </c>
      <c r="H368" s="123">
        <f>IF($A368="","",MAX(0,$C368-$B368))</f>
        <v/>
      </c>
      <c r="P368" s="123">
        <f>IF($J368="","",365)</f>
        <v/>
      </c>
      <c r="Q368" s="123">
        <f>IF($J368="","",IF($O368="Evet",0,$N368))</f>
        <v/>
      </c>
    </row>
    <row r="369" ht="15" customHeight="1" s="78">
      <c r="G369" s="123">
        <f>IF($A369="","",MAX(0,$D369+$E369-$F369))</f>
        <v/>
      </c>
      <c r="H369" s="123">
        <f>IF($A369="","",MAX(0,$C369-$B369))</f>
        <v/>
      </c>
      <c r="P369" s="123">
        <f>IF($J369="","",365)</f>
        <v/>
      </c>
      <c r="Q369" s="123">
        <f>IF($J369="","",IF($O369="Evet",0,$N369))</f>
        <v/>
      </c>
    </row>
    <row r="370" ht="15" customHeight="1" s="78">
      <c r="G370" s="123">
        <f>IF($A370="","",MAX(0,$D370+$E370-$F370))</f>
        <v/>
      </c>
      <c r="H370" s="123">
        <f>IF($A370="","",MAX(0,$C370-$B370))</f>
        <v/>
      </c>
      <c r="P370" s="123">
        <f>IF($J370="","",365)</f>
        <v/>
      </c>
      <c r="Q370" s="123">
        <f>IF($J370="","",IF($O370="Evet",0,$N370))</f>
        <v/>
      </c>
    </row>
    <row r="371" ht="15" customHeight="1" s="78">
      <c r="G371" s="123">
        <f>IF($A371="","",MAX(0,$D371+$E371-$F371))</f>
        <v/>
      </c>
      <c r="H371" s="123">
        <f>IF($A371="","",MAX(0,$C371-$B371))</f>
        <v/>
      </c>
      <c r="P371" s="123">
        <f>IF($J371="","",365)</f>
        <v/>
      </c>
      <c r="Q371" s="123">
        <f>IF($J371="","",IF($O371="Evet",0,$N371))</f>
        <v/>
      </c>
    </row>
    <row r="372" ht="15" customHeight="1" s="78">
      <c r="G372" s="123">
        <f>IF($A372="","",MAX(0,$D372+$E372-$F372))</f>
        <v/>
      </c>
      <c r="H372" s="123">
        <f>IF($A372="","",MAX(0,$C372-$B372))</f>
        <v/>
      </c>
      <c r="P372" s="123">
        <f>IF($J372="","",365)</f>
        <v/>
      </c>
      <c r="Q372" s="123">
        <f>IF($J372="","",IF($O372="Evet",0,$N372))</f>
        <v/>
      </c>
    </row>
    <row r="373" ht="15" customHeight="1" s="78">
      <c r="G373" s="123">
        <f>IF($A373="","",MAX(0,$D373+$E373-$F373))</f>
        <v/>
      </c>
      <c r="H373" s="123">
        <f>IF($A373="","",MAX(0,$C373-$B373))</f>
        <v/>
      </c>
      <c r="P373" s="123">
        <f>IF($J373="","",365)</f>
        <v/>
      </c>
      <c r="Q373" s="123">
        <f>IF($J373="","",IF($O373="Evet",0,$N373))</f>
        <v/>
      </c>
    </row>
    <row r="374" ht="15" customHeight="1" s="78">
      <c r="G374" s="123">
        <f>IF($A374="","",MAX(0,$D374+$E374-$F374))</f>
        <v/>
      </c>
      <c r="H374" s="123">
        <f>IF($A374="","",MAX(0,$C374-$B374))</f>
        <v/>
      </c>
      <c r="P374" s="123">
        <f>IF($J374="","",365)</f>
        <v/>
      </c>
      <c r="Q374" s="123">
        <f>IF($J374="","",IF($O374="Evet",0,$N374))</f>
        <v/>
      </c>
    </row>
    <row r="375" ht="15" customHeight="1" s="78">
      <c r="G375" s="123">
        <f>IF($A375="","",MAX(0,$D375+$E375-$F375))</f>
        <v/>
      </c>
      <c r="H375" s="123">
        <f>IF($A375="","",MAX(0,$C375-$B375))</f>
        <v/>
      </c>
      <c r="P375" s="123">
        <f>IF($J375="","",365)</f>
        <v/>
      </c>
      <c r="Q375" s="123">
        <f>IF($J375="","",IF($O375="Evet",0,$N375))</f>
        <v/>
      </c>
    </row>
    <row r="376" ht="15" customHeight="1" s="78">
      <c r="G376" s="123">
        <f>IF($A376="","",MAX(0,$D376+$E376-$F376))</f>
        <v/>
      </c>
      <c r="H376" s="123">
        <f>IF($A376="","",MAX(0,$C376-$B376))</f>
        <v/>
      </c>
      <c r="P376" s="123">
        <f>IF($J376="","",365)</f>
        <v/>
      </c>
      <c r="Q376" s="123">
        <f>IF($J376="","",IF($O376="Evet",0,$N376))</f>
        <v/>
      </c>
    </row>
    <row r="377" ht="15" customHeight="1" s="78">
      <c r="G377" s="123">
        <f>IF($A377="","",MAX(0,$D377+$E377-$F377))</f>
        <v/>
      </c>
      <c r="H377" s="123">
        <f>IF($A377="","",MAX(0,$C377-$B377))</f>
        <v/>
      </c>
      <c r="P377" s="123">
        <f>IF($J377="","",365)</f>
        <v/>
      </c>
      <c r="Q377" s="123">
        <f>IF($J377="","",IF($O377="Evet",0,$N377))</f>
        <v/>
      </c>
    </row>
    <row r="378" ht="15" customHeight="1" s="78">
      <c r="G378" s="123">
        <f>IF($A378="","",MAX(0,$D378+$E378-$F378))</f>
        <v/>
      </c>
      <c r="H378" s="123">
        <f>IF($A378="","",MAX(0,$C378-$B378))</f>
        <v/>
      </c>
      <c r="P378" s="123">
        <f>IF($J378="","",365)</f>
        <v/>
      </c>
      <c r="Q378" s="123">
        <f>IF($J378="","",IF($O378="Evet",0,$N378))</f>
        <v/>
      </c>
    </row>
    <row r="379" ht="15" customHeight="1" s="78">
      <c r="G379" s="123">
        <f>IF($A379="","",MAX(0,$D379+$E379-$F379))</f>
        <v/>
      </c>
      <c r="H379" s="123">
        <f>IF($A379="","",MAX(0,$C379-$B379))</f>
        <v/>
      </c>
      <c r="P379" s="123">
        <f>IF($J379="","",365)</f>
        <v/>
      </c>
      <c r="Q379" s="123">
        <f>IF($J379="","",IF($O379="Evet",0,$N379))</f>
        <v/>
      </c>
    </row>
    <row r="380" ht="15" customHeight="1" s="78">
      <c r="G380" s="123">
        <f>IF($A380="","",MAX(0,$D380+$E380-$F380))</f>
        <v/>
      </c>
      <c r="H380" s="123">
        <f>IF($A380="","",MAX(0,$C380-$B380))</f>
        <v/>
      </c>
      <c r="P380" s="123">
        <f>IF($J380="","",365)</f>
        <v/>
      </c>
      <c r="Q380" s="123">
        <f>IF($J380="","",IF($O380="Evet",0,$N380))</f>
        <v/>
      </c>
    </row>
    <row r="381" ht="15" customHeight="1" s="78">
      <c r="G381" s="123">
        <f>IF($A381="","",MAX(0,$D381+$E381-$F381))</f>
        <v/>
      </c>
      <c r="H381" s="123">
        <f>IF($A381="","",MAX(0,$C381-$B381))</f>
        <v/>
      </c>
      <c r="P381" s="123">
        <f>IF($J381="","",365)</f>
        <v/>
      </c>
      <c r="Q381" s="123">
        <f>IF($J381="","",IF($O381="Evet",0,$N381))</f>
        <v/>
      </c>
    </row>
    <row r="382" ht="15" customHeight="1" s="78">
      <c r="G382" s="123">
        <f>IF($A382="","",MAX(0,$D382+$E382-$F382))</f>
        <v/>
      </c>
      <c r="H382" s="123">
        <f>IF($A382="","",MAX(0,$C382-$B382))</f>
        <v/>
      </c>
      <c r="P382" s="123">
        <f>IF($J382="","",365)</f>
        <v/>
      </c>
      <c r="Q382" s="123">
        <f>IF($J382="","",IF($O382="Evet",0,$N382))</f>
        <v/>
      </c>
    </row>
    <row r="383" ht="15" customHeight="1" s="78">
      <c r="G383" s="123">
        <f>IF($A383="","",MAX(0,$D383+$E383-$F383))</f>
        <v/>
      </c>
      <c r="H383" s="123">
        <f>IF($A383="","",MAX(0,$C383-$B383))</f>
        <v/>
      </c>
      <c r="P383" s="123">
        <f>IF($J383="","",365)</f>
        <v/>
      </c>
      <c r="Q383" s="123">
        <f>IF($J383="","",IF($O383="Evet",0,$N383))</f>
        <v/>
      </c>
    </row>
    <row r="384" ht="15" customHeight="1" s="78">
      <c r="G384" s="123">
        <f>IF($A384="","",MAX(0,$D384+$E384-$F384))</f>
        <v/>
      </c>
      <c r="H384" s="123">
        <f>IF($A384="","",MAX(0,$C384-$B384))</f>
        <v/>
      </c>
      <c r="P384" s="123">
        <f>IF($J384="","",365)</f>
        <v/>
      </c>
      <c r="Q384" s="123">
        <f>IF($J384="","",IF($O384="Evet",0,$N384))</f>
        <v/>
      </c>
    </row>
    <row r="385" ht="15" customHeight="1" s="78">
      <c r="G385" s="123">
        <f>IF($A385="","",MAX(0,$D385+$E385-$F385))</f>
        <v/>
      </c>
      <c r="H385" s="123">
        <f>IF($A385="","",MAX(0,$C385-$B385))</f>
        <v/>
      </c>
      <c r="P385" s="123">
        <f>IF($J385="","",365)</f>
        <v/>
      </c>
      <c r="Q385" s="123">
        <f>IF($J385="","",IF($O385="Evet",0,$N385))</f>
        <v/>
      </c>
    </row>
    <row r="386" ht="15" customHeight="1" s="78">
      <c r="G386" s="123">
        <f>IF($A386="","",MAX(0,$D386+$E386-$F386))</f>
        <v/>
      </c>
      <c r="H386" s="123">
        <f>IF($A386="","",MAX(0,$C386-$B386))</f>
        <v/>
      </c>
      <c r="P386" s="123">
        <f>IF($J386="","",365)</f>
        <v/>
      </c>
      <c r="Q386" s="123">
        <f>IF($J386="","",IF($O386="Evet",0,$N386))</f>
        <v/>
      </c>
    </row>
    <row r="387" ht="15" customHeight="1" s="78">
      <c r="G387" s="123">
        <f>IF($A387="","",MAX(0,$D387+$E387-$F387))</f>
        <v/>
      </c>
      <c r="H387" s="123">
        <f>IF($A387="","",MAX(0,$C387-$B387))</f>
        <v/>
      </c>
      <c r="P387" s="123">
        <f>IF($J387="","",365)</f>
        <v/>
      </c>
      <c r="Q387" s="123">
        <f>IF($J387="","",IF($O387="Evet",0,$N387))</f>
        <v/>
      </c>
    </row>
    <row r="388" ht="15" customHeight="1" s="78">
      <c r="G388" s="123">
        <f>IF($A388="","",MAX(0,$D388+$E388-$F388))</f>
        <v/>
      </c>
      <c r="H388" s="123">
        <f>IF($A388="","",MAX(0,$C388-$B388))</f>
        <v/>
      </c>
      <c r="P388" s="123">
        <f>IF($J388="","",365)</f>
        <v/>
      </c>
      <c r="Q388" s="123">
        <f>IF($J388="","",IF($O388="Evet",0,$N388))</f>
        <v/>
      </c>
    </row>
    <row r="389" ht="15" customHeight="1" s="78">
      <c r="G389" s="123">
        <f>IF($A389="","",MAX(0,$D389+$E389-$F389))</f>
        <v/>
      </c>
      <c r="H389" s="123">
        <f>IF($A389="","",MAX(0,$C389-$B389))</f>
        <v/>
      </c>
      <c r="P389" s="123">
        <f>IF($J389="","",365)</f>
        <v/>
      </c>
      <c r="Q389" s="123">
        <f>IF($J389="","",IF($O389="Evet",0,$N389))</f>
        <v/>
      </c>
    </row>
    <row r="390" ht="15" customHeight="1" s="78">
      <c r="G390" s="123">
        <f>IF($A390="","",MAX(0,$D390+$E390-$F390))</f>
        <v/>
      </c>
      <c r="H390" s="123">
        <f>IF($A390="","",MAX(0,$C390-$B390))</f>
        <v/>
      </c>
      <c r="P390" s="123">
        <f>IF($J390="","",365)</f>
        <v/>
      </c>
      <c r="Q390" s="123">
        <f>IF($J390="","",IF($O390="Evet",0,$N390))</f>
        <v/>
      </c>
    </row>
    <row r="391" ht="15" customHeight="1" s="78">
      <c r="G391" s="123">
        <f>IF($A391="","",MAX(0,$D391+$E391-$F391))</f>
        <v/>
      </c>
      <c r="H391" s="123">
        <f>IF($A391="","",MAX(0,$C391-$B391))</f>
        <v/>
      </c>
      <c r="P391" s="123">
        <f>IF($J391="","",365)</f>
        <v/>
      </c>
      <c r="Q391" s="123">
        <f>IF($J391="","",IF($O391="Evet",0,$N391))</f>
        <v/>
      </c>
    </row>
    <row r="392" ht="15" customHeight="1" s="78">
      <c r="G392" s="123">
        <f>IF($A392="","",MAX(0,$D392+$E392-$F392))</f>
        <v/>
      </c>
      <c r="H392" s="123">
        <f>IF($A392="","",MAX(0,$C392-$B392))</f>
        <v/>
      </c>
      <c r="P392" s="123">
        <f>IF($J392="","",365)</f>
        <v/>
      </c>
      <c r="Q392" s="123">
        <f>IF($J392="","",IF($O392="Evet",0,$N392))</f>
        <v/>
      </c>
    </row>
    <row r="393" ht="15" customHeight="1" s="78">
      <c r="G393" s="123">
        <f>IF($A393="","",MAX(0,$D393+$E393-$F393))</f>
        <v/>
      </c>
      <c r="H393" s="123">
        <f>IF($A393="","",MAX(0,$C393-$B393))</f>
        <v/>
      </c>
      <c r="P393" s="123">
        <f>IF($J393="","",365)</f>
        <v/>
      </c>
      <c r="Q393" s="123">
        <f>IF($J393="","",IF($O393="Evet",0,$N393))</f>
        <v/>
      </c>
    </row>
    <row r="394" ht="15" customHeight="1" s="78">
      <c r="G394" s="123">
        <f>IF($A394="","",MAX(0,$D394+$E394-$F394))</f>
        <v/>
      </c>
      <c r="H394" s="123">
        <f>IF($A394="","",MAX(0,$C394-$B394))</f>
        <v/>
      </c>
      <c r="P394" s="123">
        <f>IF($J394="","",365)</f>
        <v/>
      </c>
      <c r="Q394" s="123">
        <f>IF($J394="","",IF($O394="Evet",0,$N394))</f>
        <v/>
      </c>
    </row>
    <row r="395" ht="15" customHeight="1" s="78">
      <c r="G395" s="123">
        <f>IF($A395="","",MAX(0,$D395+$E395-$F395))</f>
        <v/>
      </c>
      <c r="H395" s="123">
        <f>IF($A395="","",MAX(0,$C395-$B395))</f>
        <v/>
      </c>
      <c r="P395" s="123">
        <f>IF($J395="","",365)</f>
        <v/>
      </c>
      <c r="Q395" s="123">
        <f>IF($J395="","",IF($O395="Evet",0,$N395))</f>
        <v/>
      </c>
    </row>
    <row r="396" ht="15" customHeight="1" s="78">
      <c r="G396" s="123">
        <f>IF($A396="","",MAX(0,$D396+$E396-$F396))</f>
        <v/>
      </c>
      <c r="H396" s="123">
        <f>IF($A396="","",MAX(0,$C396-$B396))</f>
        <v/>
      </c>
      <c r="P396" s="123">
        <f>IF($J396="","",365)</f>
        <v/>
      </c>
      <c r="Q396" s="123">
        <f>IF($J396="","",IF($O396="Evet",0,$N396))</f>
        <v/>
      </c>
    </row>
    <row r="397" ht="15" customHeight="1" s="78">
      <c r="G397" s="123">
        <f>IF($A397="","",MAX(0,$D397+$E397-$F397))</f>
        <v/>
      </c>
      <c r="H397" s="123">
        <f>IF($A397="","",MAX(0,$C397-$B397))</f>
        <v/>
      </c>
      <c r="P397" s="123">
        <f>IF($J397="","",365)</f>
        <v/>
      </c>
      <c r="Q397" s="123">
        <f>IF($J397="","",IF($O397="Evet",0,$N397))</f>
        <v/>
      </c>
    </row>
    <row r="398" ht="15" customHeight="1" s="78">
      <c r="G398" s="123">
        <f>IF($A398="","",MAX(0,$D398+$E398-$F398))</f>
        <v/>
      </c>
      <c r="H398" s="123">
        <f>IF($A398="","",MAX(0,$C398-$B398))</f>
        <v/>
      </c>
      <c r="P398" s="123">
        <f>IF($J398="","",365)</f>
        <v/>
      </c>
      <c r="Q398" s="123">
        <f>IF($J398="","",IF($O398="Evet",0,$N398))</f>
        <v/>
      </c>
    </row>
    <row r="399" ht="15" customHeight="1" s="78">
      <c r="G399" s="123">
        <f>IF($A399="","",MAX(0,$D399+$E399-$F399))</f>
        <v/>
      </c>
      <c r="H399" s="123">
        <f>IF($A399="","",MAX(0,$C399-$B399))</f>
        <v/>
      </c>
      <c r="P399" s="123">
        <f>IF($J399="","",365)</f>
        <v/>
      </c>
      <c r="Q399" s="123">
        <f>IF($J399="","",IF($O399="Evet",0,$N399))</f>
        <v/>
      </c>
    </row>
    <row r="400" ht="15" customHeight="1" s="78">
      <c r="G400" s="123">
        <f>IF($A400="","",MAX(0,$D400+$E400-$F400))</f>
        <v/>
      </c>
      <c r="H400" s="123">
        <f>IF($A400="","",MAX(0,$C400-$B400))</f>
        <v/>
      </c>
      <c r="P400" s="123">
        <f>IF($J400="","",365)</f>
        <v/>
      </c>
      <c r="Q400" s="123">
        <f>IF($J400="","",IF($O400="Evet",0,$N400))</f>
        <v/>
      </c>
    </row>
    <row r="401" ht="15" customHeight="1" s="78">
      <c r="G401" s="123">
        <f>IF($A401="","",MAX(0,$D401+$E401-$F401))</f>
        <v/>
      </c>
      <c r="H401" s="123">
        <f>IF($A401="","",MAX(0,$C401-$B401))</f>
        <v/>
      </c>
      <c r="P401" s="123">
        <f>IF($J401="","",365)</f>
        <v/>
      </c>
      <c r="Q401" s="123">
        <f>IF($J401="","",IF($O401="Evet",0,$N401))</f>
        <v/>
      </c>
    </row>
    <row r="402" ht="15" customHeight="1" s="78">
      <c r="G402" s="123">
        <f>IF($A402="","",MAX(0,$D402+$E402-$F402))</f>
        <v/>
      </c>
      <c r="H402" s="123">
        <f>IF($A402="","",MAX(0,$C402-$B402))</f>
        <v/>
      </c>
      <c r="P402" s="123">
        <f>IF($J402="","",365)</f>
        <v/>
      </c>
      <c r="Q402" s="123">
        <f>IF($J402="","",IF($O402="Evet",0,$N402))</f>
        <v/>
      </c>
    </row>
    <row r="403" ht="15" customHeight="1" s="78">
      <c r="G403" s="123">
        <f>IF($A403="","",MAX(0,$D403+$E403-$F403))</f>
        <v/>
      </c>
      <c r="H403" s="123">
        <f>IF($A403="","",MAX(0,$C403-$B403))</f>
        <v/>
      </c>
      <c r="P403" s="123">
        <f>IF($J403="","",365)</f>
        <v/>
      </c>
      <c r="Q403" s="123">
        <f>IF($J403="","",IF($O403="Evet",0,$N403))</f>
        <v/>
      </c>
    </row>
    <row r="404" ht="15" customHeight="1" s="78">
      <c r="G404" s="123">
        <f>IF($A404="","",MAX(0,$D404+$E404-$F404))</f>
        <v/>
      </c>
      <c r="H404" s="123">
        <f>IF($A404="","",MAX(0,$C404-$B404))</f>
        <v/>
      </c>
      <c r="P404" s="123">
        <f>IF($J404="","",365)</f>
        <v/>
      </c>
      <c r="Q404" s="123">
        <f>IF($J404="","",IF($O404="Evet",0,$N404))</f>
        <v/>
      </c>
    </row>
    <row r="405" ht="15" customHeight="1" s="78">
      <c r="G405" s="123">
        <f>IF($A405="","",MAX(0,$D405+$E405-$F405))</f>
        <v/>
      </c>
      <c r="H405" s="123">
        <f>IF($A405="","",MAX(0,$C405-$B405))</f>
        <v/>
      </c>
      <c r="P405" s="123">
        <f>IF($J405="","",365)</f>
        <v/>
      </c>
      <c r="Q405" s="123">
        <f>IF($J405="","",IF($O405="Evet",0,$N405))</f>
        <v/>
      </c>
    </row>
    <row r="406" ht="15" customHeight="1" s="78">
      <c r="G406" s="123">
        <f>IF($A406="","",MAX(0,$D406+$E406-$F406))</f>
        <v/>
      </c>
      <c r="H406" s="123">
        <f>IF($A406="","",MAX(0,$C406-$B406))</f>
        <v/>
      </c>
      <c r="P406" s="123">
        <f>IF($J406="","",365)</f>
        <v/>
      </c>
      <c r="Q406" s="123">
        <f>IF($J406="","",IF($O406="Evet",0,$N406))</f>
        <v/>
      </c>
    </row>
    <row r="407" ht="15" customHeight="1" s="78">
      <c r="G407" s="123">
        <f>IF($A407="","",MAX(0,$D407+$E407-$F407))</f>
        <v/>
      </c>
      <c r="H407" s="123">
        <f>IF($A407="","",MAX(0,$C407-$B407))</f>
        <v/>
      </c>
      <c r="P407" s="123">
        <f>IF($J407="","",365)</f>
        <v/>
      </c>
      <c r="Q407" s="123">
        <f>IF($J407="","",IF($O407="Evet",0,$N407))</f>
        <v/>
      </c>
    </row>
    <row r="408" ht="15" customHeight="1" s="78">
      <c r="G408" s="123">
        <f>IF($A408="","",MAX(0,$D408+$E408-$F408))</f>
        <v/>
      </c>
      <c r="H408" s="123">
        <f>IF($A408="","",MAX(0,$C408-$B408))</f>
        <v/>
      </c>
      <c r="P408" s="123">
        <f>IF($J408="","",365)</f>
        <v/>
      </c>
      <c r="Q408" s="123">
        <f>IF($J408="","",IF($O408="Evet",0,$N408))</f>
        <v/>
      </c>
    </row>
    <row r="409" ht="15" customHeight="1" s="78">
      <c r="G409" s="123">
        <f>IF($A409="","",MAX(0,$D409+$E409-$F409))</f>
        <v/>
      </c>
      <c r="H409" s="123">
        <f>IF($A409="","",MAX(0,$C409-$B409))</f>
        <v/>
      </c>
      <c r="P409" s="123">
        <f>IF($J409="","",365)</f>
        <v/>
      </c>
      <c r="Q409" s="123">
        <f>IF($J409="","",IF($O409="Evet",0,$N409))</f>
        <v/>
      </c>
    </row>
    <row r="410" ht="15" customHeight="1" s="78">
      <c r="G410" s="123">
        <f>IF($A410="","",MAX(0,$D410+$E410-$F410))</f>
        <v/>
      </c>
      <c r="H410" s="123">
        <f>IF($A410="","",MAX(0,$C410-$B410))</f>
        <v/>
      </c>
      <c r="P410" s="123">
        <f>IF($J410="","",365)</f>
        <v/>
      </c>
      <c r="Q410" s="123">
        <f>IF($J410="","",IF($O410="Evet",0,$N410))</f>
        <v/>
      </c>
    </row>
    <row r="411" ht="15" customHeight="1" s="78">
      <c r="G411" s="123">
        <f>IF($A411="","",MAX(0,$D411+$E411-$F411))</f>
        <v/>
      </c>
      <c r="H411" s="123">
        <f>IF($A411="","",MAX(0,$C411-$B411))</f>
        <v/>
      </c>
      <c r="P411" s="123">
        <f>IF($J411="","",365)</f>
        <v/>
      </c>
      <c r="Q411" s="123">
        <f>IF($J411="","",IF($O411="Evet",0,$N411))</f>
        <v/>
      </c>
    </row>
    <row r="412" ht="15" customHeight="1" s="78">
      <c r="G412" s="123">
        <f>IF($A412="","",MAX(0,$D412+$E412-$F412))</f>
        <v/>
      </c>
      <c r="H412" s="123">
        <f>IF($A412="","",MAX(0,$C412-$B412))</f>
        <v/>
      </c>
      <c r="P412" s="123">
        <f>IF($J412="","",365)</f>
        <v/>
      </c>
      <c r="Q412" s="123">
        <f>IF($J412="","",IF($O412="Evet",0,$N412))</f>
        <v/>
      </c>
    </row>
    <row r="413" ht="15" customHeight="1" s="78">
      <c r="G413" s="123">
        <f>IF($A413="","",MAX(0,$D413+$E413-$F413))</f>
        <v/>
      </c>
      <c r="H413" s="123">
        <f>IF($A413="","",MAX(0,$C413-$B413))</f>
        <v/>
      </c>
      <c r="P413" s="123">
        <f>IF($J413="","",365)</f>
        <v/>
      </c>
      <c r="Q413" s="123">
        <f>IF($J413="","",IF($O413="Evet",0,$N413))</f>
        <v/>
      </c>
    </row>
    <row r="414" ht="15" customHeight="1" s="78">
      <c r="G414" s="123">
        <f>IF($A414="","",MAX(0,$D414+$E414-$F414))</f>
        <v/>
      </c>
      <c r="H414" s="123">
        <f>IF($A414="","",MAX(0,$C414-$B414))</f>
        <v/>
      </c>
      <c r="P414" s="123">
        <f>IF($J414="","",365)</f>
        <v/>
      </c>
      <c r="Q414" s="123">
        <f>IF($J414="","",IF($O414="Evet",0,$N414))</f>
        <v/>
      </c>
    </row>
    <row r="415" ht="15" customHeight="1" s="78">
      <c r="G415" s="123">
        <f>IF($A415="","",MAX(0,$D415+$E415-$F415))</f>
        <v/>
      </c>
      <c r="H415" s="123">
        <f>IF($A415="","",MAX(0,$C415-$B415))</f>
        <v/>
      </c>
      <c r="P415" s="123">
        <f>IF($J415="","",365)</f>
        <v/>
      </c>
      <c r="Q415" s="123">
        <f>IF($J415="","",IF($O415="Evet",0,$N415))</f>
        <v/>
      </c>
    </row>
    <row r="416" ht="15" customHeight="1" s="78">
      <c r="G416" s="123">
        <f>IF($A416="","",MAX(0,$D416+$E416-$F416))</f>
        <v/>
      </c>
      <c r="H416" s="123">
        <f>IF($A416="","",MAX(0,$C416-$B416))</f>
        <v/>
      </c>
      <c r="P416" s="123">
        <f>IF($J416="","",365)</f>
        <v/>
      </c>
      <c r="Q416" s="123">
        <f>IF($J416="","",IF($O416="Evet",0,$N416))</f>
        <v/>
      </c>
    </row>
    <row r="417" ht="15" customHeight="1" s="78">
      <c r="G417" s="123">
        <f>IF($A417="","",MAX(0,$D417+$E417-$F417))</f>
        <v/>
      </c>
      <c r="H417" s="123">
        <f>IF($A417="","",MAX(0,$C417-$B417))</f>
        <v/>
      </c>
      <c r="P417" s="123">
        <f>IF($J417="","",365)</f>
        <v/>
      </c>
      <c r="Q417" s="123">
        <f>IF($J417="","",IF($O417="Evet",0,$N417))</f>
        <v/>
      </c>
    </row>
    <row r="418" ht="15" customHeight="1" s="78">
      <c r="G418" s="123">
        <f>IF($A418="","",MAX(0,$D418+$E418-$F418))</f>
        <v/>
      </c>
      <c r="H418" s="123">
        <f>IF($A418="","",MAX(0,$C418-$B418))</f>
        <v/>
      </c>
      <c r="P418" s="123">
        <f>IF($J418="","",365)</f>
        <v/>
      </c>
      <c r="Q418" s="123">
        <f>IF($J418="","",IF($O418="Evet",0,$N418))</f>
        <v/>
      </c>
    </row>
    <row r="419" ht="15" customHeight="1" s="78">
      <c r="G419" s="123">
        <f>IF($A419="","",MAX(0,$D419+$E419-$F419))</f>
        <v/>
      </c>
      <c r="H419" s="123">
        <f>IF($A419="","",MAX(0,$C419-$B419))</f>
        <v/>
      </c>
      <c r="P419" s="123">
        <f>IF($J419="","",365)</f>
        <v/>
      </c>
      <c r="Q419" s="123">
        <f>IF($J419="","",IF($O419="Evet",0,$N419))</f>
        <v/>
      </c>
    </row>
    <row r="420" ht="15" customHeight="1" s="78">
      <c r="G420" s="123">
        <f>IF($A420="","",MAX(0,$D420+$E420-$F420))</f>
        <v/>
      </c>
      <c r="H420" s="123">
        <f>IF($A420="","",MAX(0,$C420-$B420))</f>
        <v/>
      </c>
      <c r="P420" s="123">
        <f>IF($J420="","",365)</f>
        <v/>
      </c>
      <c r="Q420" s="123">
        <f>IF($J420="","",IF($O420="Evet",0,$N420))</f>
        <v/>
      </c>
    </row>
    <row r="421" ht="15" customHeight="1" s="78">
      <c r="G421" s="123">
        <f>IF($A421="","",MAX(0,$D421+$E421-$F421))</f>
        <v/>
      </c>
      <c r="H421" s="123">
        <f>IF($A421="","",MAX(0,$C421-$B421))</f>
        <v/>
      </c>
      <c r="P421" s="123">
        <f>IF($J421="","",365)</f>
        <v/>
      </c>
      <c r="Q421" s="123">
        <f>IF($J421="","",IF($O421="Evet",0,$N421))</f>
        <v/>
      </c>
    </row>
    <row r="422" ht="15" customHeight="1" s="78">
      <c r="G422" s="123">
        <f>IF($A422="","",MAX(0,$D422+$E422-$F422))</f>
        <v/>
      </c>
      <c r="H422" s="123">
        <f>IF($A422="","",MAX(0,$C422-$B422))</f>
        <v/>
      </c>
      <c r="P422" s="123">
        <f>IF($J422="","",365)</f>
        <v/>
      </c>
      <c r="Q422" s="123">
        <f>IF($J422="","",IF($O422="Evet",0,$N422))</f>
        <v/>
      </c>
    </row>
    <row r="423" ht="15" customHeight="1" s="78">
      <c r="G423" s="123">
        <f>IF($A423="","",MAX(0,$D423+$E423-$F423))</f>
        <v/>
      </c>
      <c r="H423" s="123">
        <f>IF($A423="","",MAX(0,$C423-$B423))</f>
        <v/>
      </c>
      <c r="P423" s="123">
        <f>IF($J423="","",365)</f>
        <v/>
      </c>
      <c r="Q423" s="123">
        <f>IF($J423="","",IF($O423="Evet",0,$N423))</f>
        <v/>
      </c>
    </row>
    <row r="424" ht="15" customHeight="1" s="78">
      <c r="G424" s="123">
        <f>IF($A424="","",MAX(0,$D424+$E424-$F424))</f>
        <v/>
      </c>
      <c r="H424" s="123">
        <f>IF($A424="","",MAX(0,$C424-$B424))</f>
        <v/>
      </c>
      <c r="P424" s="123">
        <f>IF($J424="","",365)</f>
        <v/>
      </c>
      <c r="Q424" s="123">
        <f>IF($J424="","",IF($O424="Evet",0,$N424))</f>
        <v/>
      </c>
    </row>
    <row r="425" ht="15" customHeight="1" s="78">
      <c r="G425" s="123">
        <f>IF($A425="","",MAX(0,$D425+$E425-$F425))</f>
        <v/>
      </c>
      <c r="H425" s="123">
        <f>IF($A425="","",MAX(0,$C425-$B425))</f>
        <v/>
      </c>
      <c r="P425" s="123">
        <f>IF($J425="","",365)</f>
        <v/>
      </c>
      <c r="Q425" s="123">
        <f>IF($J425="","",IF($O425="Evet",0,$N425))</f>
        <v/>
      </c>
    </row>
    <row r="426" ht="15" customHeight="1" s="78">
      <c r="G426" s="123">
        <f>IF($A426="","",MAX(0,$D426+$E426-$F426))</f>
        <v/>
      </c>
      <c r="H426" s="123">
        <f>IF($A426="","",MAX(0,$C426-$B426))</f>
        <v/>
      </c>
      <c r="P426" s="123">
        <f>IF($J426="","",365)</f>
        <v/>
      </c>
      <c r="Q426" s="123">
        <f>IF($J426="","",IF($O426="Evet",0,$N426))</f>
        <v/>
      </c>
    </row>
    <row r="427" ht="15" customHeight="1" s="78">
      <c r="G427" s="123">
        <f>IF($A427="","",MAX(0,$D427+$E427-$F427))</f>
        <v/>
      </c>
      <c r="H427" s="123">
        <f>IF($A427="","",MAX(0,$C427-$B427))</f>
        <v/>
      </c>
      <c r="P427" s="123">
        <f>IF($J427="","",365)</f>
        <v/>
      </c>
      <c r="Q427" s="123">
        <f>IF($J427="","",IF($O427="Evet",0,$N427))</f>
        <v/>
      </c>
    </row>
    <row r="428" ht="15" customHeight="1" s="78">
      <c r="G428" s="123">
        <f>IF($A428="","",MAX(0,$D428+$E428-$F428))</f>
        <v/>
      </c>
      <c r="H428" s="123">
        <f>IF($A428="","",MAX(0,$C428-$B428))</f>
        <v/>
      </c>
      <c r="P428" s="123">
        <f>IF($J428="","",365)</f>
        <v/>
      </c>
      <c r="Q428" s="123">
        <f>IF($J428="","",IF($O428="Evet",0,$N428))</f>
        <v/>
      </c>
    </row>
    <row r="429" ht="15" customHeight="1" s="78">
      <c r="G429" s="123">
        <f>IF($A429="","",MAX(0,$D429+$E429-$F429))</f>
        <v/>
      </c>
      <c r="H429" s="123">
        <f>IF($A429="","",MAX(0,$C429-$B429))</f>
        <v/>
      </c>
      <c r="P429" s="123">
        <f>IF($J429="","",365)</f>
        <v/>
      </c>
      <c r="Q429" s="123">
        <f>IF($J429="","",IF($O429="Evet",0,$N429))</f>
        <v/>
      </c>
    </row>
    <row r="430" ht="15" customHeight="1" s="78">
      <c r="G430" s="123">
        <f>IF($A430="","",MAX(0,$D430+$E430-$F430))</f>
        <v/>
      </c>
      <c r="H430" s="123">
        <f>IF($A430="","",MAX(0,$C430-$B430))</f>
        <v/>
      </c>
      <c r="P430" s="123">
        <f>IF($J430="","",365)</f>
        <v/>
      </c>
      <c r="Q430" s="123">
        <f>IF($J430="","",IF($O430="Evet",0,$N430))</f>
        <v/>
      </c>
    </row>
    <row r="431" ht="15" customHeight="1" s="78">
      <c r="G431" s="123">
        <f>IF($A431="","",MAX(0,$D431+$E431-$F431))</f>
        <v/>
      </c>
      <c r="H431" s="123">
        <f>IF($A431="","",MAX(0,$C431-$B431))</f>
        <v/>
      </c>
      <c r="P431" s="123">
        <f>IF($J431="","",365)</f>
        <v/>
      </c>
      <c r="Q431" s="123">
        <f>IF($J431="","",IF($O431="Evet",0,$N431))</f>
        <v/>
      </c>
    </row>
    <row r="432" ht="15" customHeight="1" s="78">
      <c r="G432" s="123">
        <f>IF($A432="","",MAX(0,$D432+$E432-$F432))</f>
        <v/>
      </c>
      <c r="H432" s="123">
        <f>IF($A432="","",MAX(0,$C432-$B432))</f>
        <v/>
      </c>
      <c r="P432" s="123">
        <f>IF($J432="","",365)</f>
        <v/>
      </c>
      <c r="Q432" s="123">
        <f>IF($J432="","",IF($O432="Evet",0,$N432))</f>
        <v/>
      </c>
    </row>
    <row r="433" ht="15" customHeight="1" s="78">
      <c r="G433" s="123">
        <f>IF($A433="","",MAX(0,$D433+$E433-$F433))</f>
        <v/>
      </c>
      <c r="H433" s="123">
        <f>IF($A433="","",MAX(0,$C433-$B433))</f>
        <v/>
      </c>
      <c r="P433" s="123">
        <f>IF($J433="","",365)</f>
        <v/>
      </c>
      <c r="Q433" s="123">
        <f>IF($J433="","",IF($O433="Evet",0,$N433))</f>
        <v/>
      </c>
    </row>
    <row r="434" ht="15" customHeight="1" s="78">
      <c r="G434" s="123">
        <f>IF($A434="","",MAX(0,$D434+$E434-$F434))</f>
        <v/>
      </c>
      <c r="H434" s="123">
        <f>IF($A434="","",MAX(0,$C434-$B434))</f>
        <v/>
      </c>
      <c r="P434" s="123">
        <f>IF($J434="","",365)</f>
        <v/>
      </c>
      <c r="Q434" s="123">
        <f>IF($J434="","",IF($O434="Evet",0,$N434))</f>
        <v/>
      </c>
    </row>
    <row r="435" ht="15" customHeight="1" s="78">
      <c r="G435" s="123">
        <f>IF($A435="","",MAX(0,$D435+$E435-$F435))</f>
        <v/>
      </c>
      <c r="H435" s="123">
        <f>IF($A435="","",MAX(0,$C435-$B435))</f>
        <v/>
      </c>
      <c r="P435" s="123">
        <f>IF($J435="","",365)</f>
        <v/>
      </c>
      <c r="Q435" s="123">
        <f>IF($J435="","",IF($O435="Evet",0,$N435))</f>
        <v/>
      </c>
    </row>
    <row r="436" ht="15" customHeight="1" s="78">
      <c r="G436" s="123">
        <f>IF($A436="","",MAX(0,$D436+$E436-$F436))</f>
        <v/>
      </c>
      <c r="H436" s="123">
        <f>IF($A436="","",MAX(0,$C436-$B436))</f>
        <v/>
      </c>
      <c r="P436" s="123">
        <f>IF($J436="","",365)</f>
        <v/>
      </c>
      <c r="Q436" s="123">
        <f>IF($J436="","",IF($O436="Evet",0,$N436))</f>
        <v/>
      </c>
    </row>
    <row r="437" ht="15" customHeight="1" s="78">
      <c r="G437" s="123">
        <f>IF($A437="","",MAX(0,$D437+$E437-$F437))</f>
        <v/>
      </c>
      <c r="H437" s="123">
        <f>IF($A437="","",MAX(0,$C437-$B437))</f>
        <v/>
      </c>
      <c r="P437" s="123">
        <f>IF($J437="","",365)</f>
        <v/>
      </c>
      <c r="Q437" s="123">
        <f>IF($J437="","",IF($O437="Evet",0,$N437))</f>
        <v/>
      </c>
    </row>
    <row r="438" ht="15" customHeight="1" s="78">
      <c r="G438" s="123">
        <f>IF($A438="","",MAX(0,$D438+$E438-$F438))</f>
        <v/>
      </c>
      <c r="H438" s="123">
        <f>IF($A438="","",MAX(0,$C438-$B438))</f>
        <v/>
      </c>
      <c r="P438" s="123">
        <f>IF($J438="","",365)</f>
        <v/>
      </c>
      <c r="Q438" s="123">
        <f>IF($J438="","",IF($O438="Evet",0,$N438))</f>
        <v/>
      </c>
    </row>
    <row r="439" ht="15" customHeight="1" s="78">
      <c r="G439" s="123">
        <f>IF($A439="","",MAX(0,$D439+$E439-$F439))</f>
        <v/>
      </c>
      <c r="H439" s="123">
        <f>IF($A439="","",MAX(0,$C439-$B439))</f>
        <v/>
      </c>
      <c r="P439" s="123">
        <f>IF($J439="","",365)</f>
        <v/>
      </c>
      <c r="Q439" s="123">
        <f>IF($J439="","",IF($O439="Evet",0,$N439))</f>
        <v/>
      </c>
    </row>
    <row r="440" ht="15" customHeight="1" s="78">
      <c r="G440" s="123">
        <f>IF($A440="","",MAX(0,$D440+$E440-$F440))</f>
        <v/>
      </c>
      <c r="H440" s="123">
        <f>IF($A440="","",MAX(0,$C440-$B440))</f>
        <v/>
      </c>
      <c r="P440" s="123">
        <f>IF($J440="","",365)</f>
        <v/>
      </c>
      <c r="Q440" s="123">
        <f>IF($J440="","",IF($O440="Evet",0,$N440))</f>
        <v/>
      </c>
    </row>
    <row r="441" ht="15" customHeight="1" s="78">
      <c r="G441" s="123">
        <f>IF($A441="","",MAX(0,$D441+$E441-$F441))</f>
        <v/>
      </c>
      <c r="H441" s="123">
        <f>IF($A441="","",MAX(0,$C441-$B441))</f>
        <v/>
      </c>
      <c r="P441" s="123">
        <f>IF($J441="","",365)</f>
        <v/>
      </c>
      <c r="Q441" s="123">
        <f>IF($J441="","",IF($O441="Evet",0,$N441))</f>
        <v/>
      </c>
    </row>
    <row r="442" ht="15" customHeight="1" s="78">
      <c r="G442" s="123">
        <f>IF($A442="","",MAX(0,$D442+$E442-$F442))</f>
        <v/>
      </c>
      <c r="H442" s="123">
        <f>IF($A442="","",MAX(0,$C442-$B442))</f>
        <v/>
      </c>
      <c r="P442" s="123">
        <f>IF($J442="","",365)</f>
        <v/>
      </c>
      <c r="Q442" s="123">
        <f>IF($J442="","",IF($O442="Evet",0,$N442))</f>
        <v/>
      </c>
    </row>
    <row r="443" ht="15" customHeight="1" s="78">
      <c r="G443" s="123">
        <f>IF($A443="","",MAX(0,$D443+$E443-$F443))</f>
        <v/>
      </c>
      <c r="H443" s="123">
        <f>IF($A443="","",MAX(0,$C443-$B443))</f>
        <v/>
      </c>
      <c r="P443" s="123">
        <f>IF($J443="","",365)</f>
        <v/>
      </c>
      <c r="Q443" s="123">
        <f>IF($J443="","",IF($O443="Evet",0,$N443))</f>
        <v/>
      </c>
    </row>
    <row r="444" ht="15" customHeight="1" s="78">
      <c r="G444" s="123">
        <f>IF($A444="","",MAX(0,$D444+$E444-$F444))</f>
        <v/>
      </c>
      <c r="H444" s="123">
        <f>IF($A444="","",MAX(0,$C444-$B444))</f>
        <v/>
      </c>
      <c r="P444" s="123">
        <f>IF($J444="","",365)</f>
        <v/>
      </c>
      <c r="Q444" s="123">
        <f>IF($J444="","",IF($O444="Evet",0,$N444))</f>
        <v/>
      </c>
    </row>
    <row r="445" ht="15" customHeight="1" s="78">
      <c r="G445" s="123">
        <f>IF($A445="","",MAX(0,$D445+$E445-$F445))</f>
        <v/>
      </c>
      <c r="H445" s="123">
        <f>IF($A445="","",MAX(0,$C445-$B445))</f>
        <v/>
      </c>
      <c r="P445" s="123">
        <f>IF($J445="","",365)</f>
        <v/>
      </c>
      <c r="Q445" s="123">
        <f>IF($J445="","",IF($O445="Evet",0,$N445))</f>
        <v/>
      </c>
    </row>
    <row r="446" ht="15" customHeight="1" s="78">
      <c r="G446" s="123">
        <f>IF($A446="","",MAX(0,$D446+$E446-$F446))</f>
        <v/>
      </c>
      <c r="H446" s="123">
        <f>IF($A446="","",MAX(0,$C446-$B446))</f>
        <v/>
      </c>
      <c r="P446" s="123">
        <f>IF($J446="","",365)</f>
        <v/>
      </c>
      <c r="Q446" s="123">
        <f>IF($J446="","",IF($O446="Evet",0,$N446))</f>
        <v/>
      </c>
    </row>
    <row r="447" ht="15" customHeight="1" s="78">
      <c r="G447" s="123">
        <f>IF($A447="","",MAX(0,$D447+$E447-$F447))</f>
        <v/>
      </c>
      <c r="H447" s="123">
        <f>IF($A447="","",MAX(0,$C447-$B447))</f>
        <v/>
      </c>
      <c r="P447" s="123">
        <f>IF($J447="","",365)</f>
        <v/>
      </c>
      <c r="Q447" s="123">
        <f>IF($J447="","",IF($O447="Evet",0,$N447))</f>
        <v/>
      </c>
    </row>
    <row r="448" ht="15" customHeight="1" s="78">
      <c r="G448" s="123">
        <f>IF($A448="","",MAX(0,$D448+$E448-$F448))</f>
        <v/>
      </c>
      <c r="H448" s="123">
        <f>IF($A448="","",MAX(0,$C448-$B448))</f>
        <v/>
      </c>
      <c r="P448" s="123">
        <f>IF($J448="","",365)</f>
        <v/>
      </c>
      <c r="Q448" s="123">
        <f>IF($J448="","",IF($O448="Evet",0,$N448))</f>
        <v/>
      </c>
    </row>
    <row r="449" ht="15" customHeight="1" s="78">
      <c r="G449" s="123">
        <f>IF($A449="","",MAX(0,$D449+$E449-$F449))</f>
        <v/>
      </c>
      <c r="H449" s="123">
        <f>IF($A449="","",MAX(0,$C449-$B449))</f>
        <v/>
      </c>
      <c r="P449" s="123">
        <f>IF($J449="","",365)</f>
        <v/>
      </c>
      <c r="Q449" s="123">
        <f>IF($J449="","",IF($O449="Evet",0,$N449))</f>
        <v/>
      </c>
    </row>
    <row r="450" ht="15" customHeight="1" s="78">
      <c r="G450" s="123">
        <f>IF($A450="","",MAX(0,$D450+$E450-$F450))</f>
        <v/>
      </c>
      <c r="H450" s="123">
        <f>IF($A450="","",MAX(0,$C450-$B450))</f>
        <v/>
      </c>
      <c r="P450" s="123">
        <f>IF($J450="","",365)</f>
        <v/>
      </c>
      <c r="Q450" s="123">
        <f>IF($J450="","",IF($O450="Evet",0,$N450))</f>
        <v/>
      </c>
    </row>
    <row r="451" ht="15" customHeight="1" s="78">
      <c r="G451" s="123">
        <f>IF($A451="","",MAX(0,$D451+$E451-$F451))</f>
        <v/>
      </c>
      <c r="H451" s="123">
        <f>IF($A451="","",MAX(0,$C451-$B451))</f>
        <v/>
      </c>
      <c r="P451" s="123">
        <f>IF($J451="","",365)</f>
        <v/>
      </c>
      <c r="Q451" s="123">
        <f>IF($J451="","",IF($O451="Evet",0,$N451))</f>
        <v/>
      </c>
    </row>
    <row r="452" ht="15" customHeight="1" s="78">
      <c r="G452" s="123">
        <f>IF($A452="","",MAX(0,$D452+$E452-$F452))</f>
        <v/>
      </c>
      <c r="H452" s="123">
        <f>IF($A452="","",MAX(0,$C452-$B452))</f>
        <v/>
      </c>
      <c r="P452" s="123">
        <f>IF($J452="","",365)</f>
        <v/>
      </c>
      <c r="Q452" s="123">
        <f>IF($J452="","",IF($O452="Evet",0,$N452))</f>
        <v/>
      </c>
    </row>
    <row r="453" ht="15" customHeight="1" s="78">
      <c r="G453" s="123">
        <f>IF($A453="","",MAX(0,$D453+$E453-$F453))</f>
        <v/>
      </c>
      <c r="H453" s="123">
        <f>IF($A453="","",MAX(0,$C453-$B453))</f>
        <v/>
      </c>
      <c r="P453" s="123">
        <f>IF($J453="","",365)</f>
        <v/>
      </c>
      <c r="Q453" s="123">
        <f>IF($J453="","",IF($O453="Evet",0,$N453))</f>
        <v/>
      </c>
    </row>
    <row r="454" ht="15" customHeight="1" s="78">
      <c r="G454" s="123">
        <f>IF($A454="","",MAX(0,$D454+$E454-$F454))</f>
        <v/>
      </c>
      <c r="H454" s="123">
        <f>IF($A454="","",MAX(0,$C454-$B454))</f>
        <v/>
      </c>
      <c r="P454" s="123">
        <f>IF($J454="","",365)</f>
        <v/>
      </c>
      <c r="Q454" s="123">
        <f>IF($J454="","",IF($O454="Evet",0,$N454))</f>
        <v/>
      </c>
    </row>
    <row r="455" ht="15" customHeight="1" s="78">
      <c r="G455" s="123">
        <f>IF($A455="","",MAX(0,$D455+$E455-$F455))</f>
        <v/>
      </c>
      <c r="H455" s="123">
        <f>IF($A455="","",MAX(0,$C455-$B455))</f>
        <v/>
      </c>
      <c r="P455" s="123">
        <f>IF($J455="","",365)</f>
        <v/>
      </c>
      <c r="Q455" s="123">
        <f>IF($J455="","",IF($O455="Evet",0,$N455))</f>
        <v/>
      </c>
    </row>
    <row r="456" ht="15" customHeight="1" s="78">
      <c r="G456" s="123">
        <f>IF($A456="","",MAX(0,$D456+$E456-$F456))</f>
        <v/>
      </c>
      <c r="H456" s="123">
        <f>IF($A456="","",MAX(0,$C456-$B456))</f>
        <v/>
      </c>
      <c r="P456" s="123">
        <f>IF($J456="","",365)</f>
        <v/>
      </c>
      <c r="Q456" s="123">
        <f>IF($J456="","",IF($O456="Evet",0,$N456))</f>
        <v/>
      </c>
    </row>
    <row r="457" ht="15" customHeight="1" s="78">
      <c r="G457" s="123">
        <f>IF($A457="","",MAX(0,$D457+$E457-$F457))</f>
        <v/>
      </c>
      <c r="H457" s="123">
        <f>IF($A457="","",MAX(0,$C457-$B457))</f>
        <v/>
      </c>
      <c r="P457" s="123">
        <f>IF($J457="","",365)</f>
        <v/>
      </c>
      <c r="Q457" s="123">
        <f>IF($J457="","",IF($O457="Evet",0,$N457))</f>
        <v/>
      </c>
    </row>
    <row r="458" ht="15" customHeight="1" s="78">
      <c r="G458" s="123">
        <f>IF($A458="","",MAX(0,$D458+$E458-$F458))</f>
        <v/>
      </c>
      <c r="H458" s="123">
        <f>IF($A458="","",MAX(0,$C458-$B458))</f>
        <v/>
      </c>
      <c r="P458" s="123">
        <f>IF($J458="","",365)</f>
        <v/>
      </c>
      <c r="Q458" s="123">
        <f>IF($J458="","",IF($O458="Evet",0,$N458))</f>
        <v/>
      </c>
    </row>
    <row r="459" ht="15" customHeight="1" s="78">
      <c r="G459" s="123">
        <f>IF($A459="","",MAX(0,$D459+$E459-$F459))</f>
        <v/>
      </c>
      <c r="H459" s="123">
        <f>IF($A459="","",MAX(0,$C459-$B459))</f>
        <v/>
      </c>
      <c r="P459" s="123">
        <f>IF($J459="","",365)</f>
        <v/>
      </c>
      <c r="Q459" s="123">
        <f>IF($J459="","",IF($O459="Evet",0,$N459))</f>
        <v/>
      </c>
    </row>
    <row r="460" ht="15" customHeight="1" s="78">
      <c r="G460" s="123">
        <f>IF($A460="","",MAX(0,$D460+$E460-$F460))</f>
        <v/>
      </c>
      <c r="H460" s="123">
        <f>IF($A460="","",MAX(0,$C460-$B460))</f>
        <v/>
      </c>
      <c r="P460" s="123">
        <f>IF($J460="","",365)</f>
        <v/>
      </c>
      <c r="Q460" s="123">
        <f>IF($J460="","",IF($O460="Evet",0,$N460))</f>
        <v/>
      </c>
    </row>
    <row r="461" ht="15" customHeight="1" s="78">
      <c r="G461" s="123">
        <f>IF($A461="","",MAX(0,$D461+$E461-$F461))</f>
        <v/>
      </c>
      <c r="H461" s="123">
        <f>IF($A461="","",MAX(0,$C461-$B461))</f>
        <v/>
      </c>
      <c r="P461" s="123">
        <f>IF($J461="","",365)</f>
        <v/>
      </c>
      <c r="Q461" s="123">
        <f>IF($J461="","",IF($O461="Evet",0,$N461))</f>
        <v/>
      </c>
    </row>
    <row r="462" ht="15" customHeight="1" s="78">
      <c r="G462" s="123">
        <f>IF($A462="","",MAX(0,$D462+$E462-$F462))</f>
        <v/>
      </c>
      <c r="H462" s="123">
        <f>IF($A462="","",MAX(0,$C462-$B462))</f>
        <v/>
      </c>
      <c r="P462" s="123">
        <f>IF($J462="","",365)</f>
        <v/>
      </c>
      <c r="Q462" s="123">
        <f>IF($J462="","",IF($O462="Evet",0,$N462))</f>
        <v/>
      </c>
    </row>
    <row r="463" ht="15" customHeight="1" s="78">
      <c r="G463" s="123">
        <f>IF($A463="","",MAX(0,$D463+$E463-$F463))</f>
        <v/>
      </c>
      <c r="H463" s="123">
        <f>IF($A463="","",MAX(0,$C463-$B463))</f>
        <v/>
      </c>
      <c r="P463" s="123">
        <f>IF($J463="","",365)</f>
        <v/>
      </c>
      <c r="Q463" s="123">
        <f>IF($J463="","",IF($O463="Evet",0,$N463))</f>
        <v/>
      </c>
    </row>
    <row r="464" ht="15" customHeight="1" s="78">
      <c r="G464" s="123">
        <f>IF($A464="","",MAX(0,$D464+$E464-$F464))</f>
        <v/>
      </c>
      <c r="H464" s="123">
        <f>IF($A464="","",MAX(0,$C464-$B464))</f>
        <v/>
      </c>
      <c r="P464" s="123">
        <f>IF($J464="","",365)</f>
        <v/>
      </c>
      <c r="Q464" s="123">
        <f>IF($J464="","",IF($O464="Evet",0,$N464))</f>
        <v/>
      </c>
    </row>
    <row r="465" ht="15" customHeight="1" s="78">
      <c r="G465" s="123">
        <f>IF($A465="","",MAX(0,$D465+$E465-$F465))</f>
        <v/>
      </c>
      <c r="H465" s="123">
        <f>IF($A465="","",MAX(0,$C465-$B465))</f>
        <v/>
      </c>
      <c r="P465" s="123">
        <f>IF($J465="","",365)</f>
        <v/>
      </c>
      <c r="Q465" s="123">
        <f>IF($J465="","",IF($O465="Evet",0,$N465))</f>
        <v/>
      </c>
    </row>
    <row r="466" ht="15" customHeight="1" s="78">
      <c r="G466" s="123">
        <f>IF($A466="","",MAX(0,$D466+$E466-$F466))</f>
        <v/>
      </c>
      <c r="H466" s="123">
        <f>IF($A466="","",MAX(0,$C466-$B466))</f>
        <v/>
      </c>
      <c r="P466" s="123">
        <f>IF($J466="","",365)</f>
        <v/>
      </c>
      <c r="Q466" s="123">
        <f>IF($J466="","",IF($O466="Evet",0,$N466))</f>
        <v/>
      </c>
    </row>
    <row r="467" ht="15" customHeight="1" s="78">
      <c r="G467" s="123">
        <f>IF($A467="","",MAX(0,$D467+$E467-$F467))</f>
        <v/>
      </c>
      <c r="H467" s="123">
        <f>IF($A467="","",MAX(0,$C467-$B467))</f>
        <v/>
      </c>
      <c r="P467" s="123">
        <f>IF($J467="","",365)</f>
        <v/>
      </c>
      <c r="Q467" s="123">
        <f>IF($J467="","",IF($O467="Evet",0,$N467))</f>
        <v/>
      </c>
    </row>
    <row r="468" ht="15" customHeight="1" s="78">
      <c r="G468" s="123">
        <f>IF($A468="","",MAX(0,$D468+$E468-$F468))</f>
        <v/>
      </c>
      <c r="H468" s="123">
        <f>IF($A468="","",MAX(0,$C468-$B468))</f>
        <v/>
      </c>
      <c r="P468" s="123">
        <f>IF($J468="","",365)</f>
        <v/>
      </c>
      <c r="Q468" s="123">
        <f>IF($J468="","",IF($O468="Evet",0,$N468))</f>
        <v/>
      </c>
    </row>
    <row r="469" ht="15" customHeight="1" s="78">
      <c r="G469" s="123">
        <f>IF($A469="","",MAX(0,$D469+$E469-$F469))</f>
        <v/>
      </c>
      <c r="H469" s="123">
        <f>IF($A469="","",MAX(0,$C469-$B469))</f>
        <v/>
      </c>
      <c r="P469" s="123">
        <f>IF($J469="","",365)</f>
        <v/>
      </c>
      <c r="Q469" s="123">
        <f>IF($J469="","",IF($O469="Evet",0,$N469))</f>
        <v/>
      </c>
    </row>
    <row r="470" ht="15" customHeight="1" s="78">
      <c r="G470" s="123">
        <f>IF($A470="","",MAX(0,$D470+$E470-$F470))</f>
        <v/>
      </c>
      <c r="H470" s="123">
        <f>IF($A470="","",MAX(0,$C470-$B470))</f>
        <v/>
      </c>
      <c r="P470" s="123">
        <f>IF($J470="","",365)</f>
        <v/>
      </c>
      <c r="Q470" s="123">
        <f>IF($J470="","",IF($O470="Evet",0,$N470))</f>
        <v/>
      </c>
    </row>
    <row r="471" ht="15" customHeight="1" s="78">
      <c r="G471" s="123">
        <f>IF($A471="","",MAX(0,$D471+$E471-$F471))</f>
        <v/>
      </c>
      <c r="H471" s="123">
        <f>IF($A471="","",MAX(0,$C471-$B471))</f>
        <v/>
      </c>
      <c r="P471" s="123">
        <f>IF($J471="","",365)</f>
        <v/>
      </c>
      <c r="Q471" s="123">
        <f>IF($J471="","",IF($O471="Evet",0,$N471))</f>
        <v/>
      </c>
    </row>
    <row r="472" ht="15" customHeight="1" s="78">
      <c r="G472" s="123">
        <f>IF($A472="","",MAX(0,$D472+$E472-$F472))</f>
        <v/>
      </c>
      <c r="H472" s="123">
        <f>IF($A472="","",MAX(0,$C472-$B472))</f>
        <v/>
      </c>
      <c r="P472" s="123">
        <f>IF($J472="","",365)</f>
        <v/>
      </c>
      <c r="Q472" s="123">
        <f>IF($J472="","",IF($O472="Evet",0,$N472))</f>
        <v/>
      </c>
    </row>
    <row r="473" ht="15" customHeight="1" s="78">
      <c r="G473" s="123">
        <f>IF($A473="","",MAX(0,$D473+$E473-$F473))</f>
        <v/>
      </c>
      <c r="H473" s="123">
        <f>IF($A473="","",MAX(0,$C473-$B473))</f>
        <v/>
      </c>
      <c r="P473" s="123">
        <f>IF($J473="","",365)</f>
        <v/>
      </c>
      <c r="Q473" s="123">
        <f>IF($J473="","",IF($O473="Evet",0,$N473))</f>
        <v/>
      </c>
    </row>
    <row r="474" ht="15" customHeight="1" s="78">
      <c r="G474" s="123">
        <f>IF($A474="","",MAX(0,$D474+$E474-$F474))</f>
        <v/>
      </c>
      <c r="H474" s="123">
        <f>IF($A474="","",MAX(0,$C474-$B474))</f>
        <v/>
      </c>
      <c r="P474" s="123">
        <f>IF($J474="","",365)</f>
        <v/>
      </c>
      <c r="Q474" s="123">
        <f>IF($J474="","",IF($O474="Evet",0,$N474))</f>
        <v/>
      </c>
    </row>
    <row r="475" ht="15" customHeight="1" s="78">
      <c r="G475" s="123">
        <f>IF($A475="","",MAX(0,$D475+$E475-$F475))</f>
        <v/>
      </c>
      <c r="H475" s="123">
        <f>IF($A475="","",MAX(0,$C475-$B475))</f>
        <v/>
      </c>
      <c r="P475" s="123">
        <f>IF($J475="","",365)</f>
        <v/>
      </c>
      <c r="Q475" s="123">
        <f>IF($J475="","",IF($O475="Evet",0,$N475))</f>
        <v/>
      </c>
    </row>
    <row r="476" ht="15" customHeight="1" s="78">
      <c r="G476" s="123">
        <f>IF($A476="","",MAX(0,$D476+$E476-$F476))</f>
        <v/>
      </c>
      <c r="H476" s="123">
        <f>IF($A476="","",MAX(0,$C476-$B476))</f>
        <v/>
      </c>
      <c r="P476" s="123">
        <f>IF($J476="","",365)</f>
        <v/>
      </c>
      <c r="Q476" s="123">
        <f>IF($J476="","",IF($O476="Evet",0,$N476))</f>
        <v/>
      </c>
    </row>
    <row r="477" ht="15" customHeight="1" s="78">
      <c r="G477" s="123">
        <f>IF($A477="","",MAX(0,$D477+$E477-$F477))</f>
        <v/>
      </c>
      <c r="H477" s="123">
        <f>IF($A477="","",MAX(0,$C477-$B477))</f>
        <v/>
      </c>
      <c r="P477" s="123">
        <f>IF($J477="","",365)</f>
        <v/>
      </c>
      <c r="Q477" s="123">
        <f>IF($J477="","",IF($O477="Evet",0,$N477))</f>
        <v/>
      </c>
    </row>
    <row r="478" ht="15" customHeight="1" s="78">
      <c r="G478" s="123">
        <f>IF($A478="","",MAX(0,$D478+$E478-$F478))</f>
        <v/>
      </c>
      <c r="H478" s="123">
        <f>IF($A478="","",MAX(0,$C478-$B478))</f>
        <v/>
      </c>
      <c r="P478" s="123">
        <f>IF($J478="","",365)</f>
        <v/>
      </c>
      <c r="Q478" s="123">
        <f>IF($J478="","",IF($O478="Evet",0,$N478))</f>
        <v/>
      </c>
    </row>
    <row r="479" ht="15" customHeight="1" s="78">
      <c r="G479" s="123">
        <f>IF($A479="","",MAX(0,$D479+$E479-$F479))</f>
        <v/>
      </c>
      <c r="H479" s="123">
        <f>IF($A479="","",MAX(0,$C479-$B479))</f>
        <v/>
      </c>
      <c r="P479" s="123">
        <f>IF($J479="","",365)</f>
        <v/>
      </c>
      <c r="Q479" s="123">
        <f>IF($J479="","",IF($O479="Evet",0,$N479))</f>
        <v/>
      </c>
    </row>
    <row r="480" ht="15" customHeight="1" s="78">
      <c r="G480" s="123">
        <f>IF($A480="","",MAX(0,$D480+$E480-$F480))</f>
        <v/>
      </c>
      <c r="H480" s="123">
        <f>IF($A480="","",MAX(0,$C480-$B480))</f>
        <v/>
      </c>
      <c r="P480" s="123">
        <f>IF($J480="","",365)</f>
        <v/>
      </c>
      <c r="Q480" s="123">
        <f>IF($J480="","",IF($O480="Evet",0,$N480))</f>
        <v/>
      </c>
    </row>
    <row r="481" ht="15" customHeight="1" s="78">
      <c r="G481" s="123">
        <f>IF($A481="","",MAX(0,$D481+$E481-$F481))</f>
        <v/>
      </c>
      <c r="H481" s="123">
        <f>IF($A481="","",MAX(0,$C481-$B481))</f>
        <v/>
      </c>
      <c r="P481" s="123">
        <f>IF($J481="","",365)</f>
        <v/>
      </c>
      <c r="Q481" s="123">
        <f>IF($J481="","",IF($O481="Evet",0,$N481))</f>
        <v/>
      </c>
    </row>
    <row r="482" ht="15" customHeight="1" s="78">
      <c r="G482" s="123">
        <f>IF($A482="","",MAX(0,$D482+$E482-$F482))</f>
        <v/>
      </c>
      <c r="H482" s="123">
        <f>IF($A482="","",MAX(0,$C482-$B482))</f>
        <v/>
      </c>
      <c r="P482" s="123">
        <f>IF($J482="","",365)</f>
        <v/>
      </c>
      <c r="Q482" s="123">
        <f>IF($J482="","",IF($O482="Evet",0,$N482))</f>
        <v/>
      </c>
    </row>
    <row r="483" ht="15" customHeight="1" s="78">
      <c r="G483" s="123">
        <f>IF($A483="","",MAX(0,$D483+$E483-$F483))</f>
        <v/>
      </c>
      <c r="H483" s="123">
        <f>IF($A483="","",MAX(0,$C483-$B483))</f>
        <v/>
      </c>
      <c r="P483" s="123">
        <f>IF($J483="","",365)</f>
        <v/>
      </c>
      <c r="Q483" s="123">
        <f>IF($J483="","",IF($O483="Evet",0,$N483))</f>
        <v/>
      </c>
    </row>
    <row r="484" ht="15" customHeight="1" s="78">
      <c r="G484" s="123">
        <f>IF($A484="","",MAX(0,$D484+$E484-$F484))</f>
        <v/>
      </c>
      <c r="H484" s="123">
        <f>IF($A484="","",MAX(0,$C484-$B484))</f>
        <v/>
      </c>
      <c r="P484" s="123">
        <f>IF($J484="","",365)</f>
        <v/>
      </c>
      <c r="Q484" s="123">
        <f>IF($J484="","",IF($O484="Evet",0,$N484))</f>
        <v/>
      </c>
    </row>
    <row r="485" ht="15" customHeight="1" s="78">
      <c r="G485" s="123">
        <f>IF($A485="","",MAX(0,$D485+$E485-$F485))</f>
        <v/>
      </c>
      <c r="H485" s="123">
        <f>IF($A485="","",MAX(0,$C485-$B485))</f>
        <v/>
      </c>
      <c r="P485" s="123">
        <f>IF($J485="","",365)</f>
        <v/>
      </c>
      <c r="Q485" s="123">
        <f>IF($J485="","",IF($O485="Evet",0,$N485))</f>
        <v/>
      </c>
    </row>
    <row r="486" ht="15" customHeight="1" s="78">
      <c r="G486" s="123">
        <f>IF($A486="","",MAX(0,$D486+$E486-$F486))</f>
        <v/>
      </c>
      <c r="H486" s="123">
        <f>IF($A486="","",MAX(0,$C486-$B486))</f>
        <v/>
      </c>
      <c r="P486" s="123">
        <f>IF($J486="","",365)</f>
        <v/>
      </c>
      <c r="Q486" s="123">
        <f>IF($J486="","",IF($O486="Evet",0,$N486))</f>
        <v/>
      </c>
    </row>
    <row r="487" ht="15" customHeight="1" s="78">
      <c r="G487" s="123">
        <f>IF($A487="","",MAX(0,$D487+$E487-$F487))</f>
        <v/>
      </c>
      <c r="H487" s="123">
        <f>IF($A487="","",MAX(0,$C487-$B487))</f>
        <v/>
      </c>
      <c r="P487" s="123">
        <f>IF($J487="","",365)</f>
        <v/>
      </c>
      <c r="Q487" s="123">
        <f>IF($J487="","",IF($O487="Evet",0,$N487))</f>
        <v/>
      </c>
    </row>
    <row r="488" ht="15" customHeight="1" s="78">
      <c r="G488" s="123">
        <f>IF($A488="","",MAX(0,$D488+$E488-$F488))</f>
        <v/>
      </c>
      <c r="H488" s="123">
        <f>IF($A488="","",MAX(0,$C488-$B488))</f>
        <v/>
      </c>
      <c r="P488" s="123">
        <f>IF($J488="","",365)</f>
        <v/>
      </c>
      <c r="Q488" s="123">
        <f>IF($J488="","",IF($O488="Evet",0,$N488))</f>
        <v/>
      </c>
    </row>
    <row r="489" ht="15" customHeight="1" s="78">
      <c r="G489" s="123">
        <f>IF($A489="","",MAX(0,$D489+$E489-$F489))</f>
        <v/>
      </c>
      <c r="H489" s="123">
        <f>IF($A489="","",MAX(0,$C489-$B489))</f>
        <v/>
      </c>
      <c r="P489" s="123">
        <f>IF($J489="","",365)</f>
        <v/>
      </c>
      <c r="Q489" s="123">
        <f>IF($J489="","",IF($O489="Evet",0,$N489))</f>
        <v/>
      </c>
    </row>
    <row r="490" ht="15" customHeight="1" s="78">
      <c r="G490" s="123">
        <f>IF($A490="","",MAX(0,$D490+$E490-$F490))</f>
        <v/>
      </c>
      <c r="H490" s="123">
        <f>IF($A490="","",MAX(0,$C490-$B490))</f>
        <v/>
      </c>
      <c r="P490" s="123">
        <f>IF($J490="","",365)</f>
        <v/>
      </c>
      <c r="Q490" s="123">
        <f>IF($J490="","",IF($O490="Evet",0,$N490))</f>
        <v/>
      </c>
    </row>
    <row r="491" ht="15" customHeight="1" s="78">
      <c r="G491" s="123">
        <f>IF($A491="","",MAX(0,$D491+$E491-$F491))</f>
        <v/>
      </c>
      <c r="H491" s="123">
        <f>IF($A491="","",MAX(0,$C491-$B491))</f>
        <v/>
      </c>
      <c r="P491" s="123">
        <f>IF($J491="","",365)</f>
        <v/>
      </c>
      <c r="Q491" s="123">
        <f>IF($J491="","",IF($O491="Evet",0,$N491))</f>
        <v/>
      </c>
    </row>
    <row r="492" ht="15" customHeight="1" s="78">
      <c r="G492" s="123">
        <f>IF($A492="","",MAX(0,$D492+$E492-$F492))</f>
        <v/>
      </c>
      <c r="H492" s="123">
        <f>IF($A492="","",MAX(0,$C492-$B492))</f>
        <v/>
      </c>
      <c r="P492" s="123">
        <f>IF($J492="","",365)</f>
        <v/>
      </c>
      <c r="Q492" s="123">
        <f>IF($J492="","",IF($O492="Evet",0,$N492))</f>
        <v/>
      </c>
    </row>
    <row r="493" ht="15" customHeight="1" s="78">
      <c r="G493" s="123">
        <f>IF($A493="","",MAX(0,$D493+$E493-$F493))</f>
        <v/>
      </c>
      <c r="H493" s="123">
        <f>IF($A493="","",MAX(0,$C493-$B493))</f>
        <v/>
      </c>
      <c r="P493" s="123">
        <f>IF($J493="","",365)</f>
        <v/>
      </c>
      <c r="Q493" s="123">
        <f>IF($J493="","",IF($O493="Evet",0,$N493))</f>
        <v/>
      </c>
    </row>
    <row r="494" ht="15" customHeight="1" s="78">
      <c r="G494" s="123">
        <f>IF($A494="","",MAX(0,$D494+$E494-$F494))</f>
        <v/>
      </c>
      <c r="H494" s="123">
        <f>IF($A494="","",MAX(0,$C494-$B494))</f>
        <v/>
      </c>
      <c r="P494" s="123">
        <f>IF($J494="","",365)</f>
        <v/>
      </c>
      <c r="Q494" s="123">
        <f>IF($J494="","",IF($O494="Evet",0,$N494))</f>
        <v/>
      </c>
    </row>
    <row r="495" ht="15" customHeight="1" s="78">
      <c r="G495" s="123">
        <f>IF($A495="","",MAX(0,$D495+$E495-$F495))</f>
        <v/>
      </c>
      <c r="H495" s="123">
        <f>IF($A495="","",MAX(0,$C495-$B495))</f>
        <v/>
      </c>
      <c r="P495" s="123">
        <f>IF($J495="","",365)</f>
        <v/>
      </c>
      <c r="Q495" s="123">
        <f>IF($J495="","",IF($O495="Evet",0,$N495))</f>
        <v/>
      </c>
    </row>
    <row r="496" ht="15" customHeight="1" s="78">
      <c r="G496" s="123">
        <f>IF($A496="","",MAX(0,$D496+$E496-$F496))</f>
        <v/>
      </c>
      <c r="H496" s="123">
        <f>IF($A496="","",MAX(0,$C496-$B496))</f>
        <v/>
      </c>
      <c r="P496" s="123">
        <f>IF($J496="","",365)</f>
        <v/>
      </c>
      <c r="Q496" s="123">
        <f>IF($J496="","",IF($O496="Evet",0,$N496))</f>
        <v/>
      </c>
    </row>
    <row r="497" ht="15" customHeight="1" s="78">
      <c r="G497" s="123">
        <f>IF($A497="","",MAX(0,$D497+$E497-$F497))</f>
        <v/>
      </c>
      <c r="H497" s="123">
        <f>IF($A497="","",MAX(0,$C497-$B497))</f>
        <v/>
      </c>
      <c r="P497" s="123">
        <f>IF($J497="","",365)</f>
        <v/>
      </c>
      <c r="Q497" s="123">
        <f>IF($J497="","",IF($O497="Evet",0,$N497))</f>
        <v/>
      </c>
    </row>
    <row r="498" ht="15" customHeight="1" s="78">
      <c r="G498" s="123">
        <f>IF($A498="","",MAX(0,$D498+$E498-$F498))</f>
        <v/>
      </c>
      <c r="H498" s="123">
        <f>IF($A498="","",MAX(0,$C498-$B498))</f>
        <v/>
      </c>
      <c r="P498" s="123">
        <f>IF($J498="","",365)</f>
        <v/>
      </c>
      <c r="Q498" s="123">
        <f>IF($J498="","",IF($O498="Evet",0,$N498))</f>
        <v/>
      </c>
    </row>
    <row r="499" ht="15" customHeight="1" s="78">
      <c r="G499" s="123">
        <f>IF($A499="","",MAX(0,$D499+$E499-$F499))</f>
        <v/>
      </c>
      <c r="H499" s="123">
        <f>IF($A499="","",MAX(0,$C499-$B499))</f>
        <v/>
      </c>
      <c r="P499" s="123">
        <f>IF($J499="","",365)</f>
        <v/>
      </c>
      <c r="Q499" s="123">
        <f>IF($J499="","",IF($O499="Evet",0,$N499))</f>
        <v/>
      </c>
    </row>
    <row r="500" ht="15" customHeight="1" s="78">
      <c r="G500" s="123">
        <f>IF($A500="","",MAX(0,$D500+$E500-$F500))</f>
        <v/>
      </c>
      <c r="H500" s="123">
        <f>IF($A500="","",MAX(0,$C500-$B500))</f>
        <v/>
      </c>
      <c r="P500" s="123">
        <f>IF($J500="","",365)</f>
        <v/>
      </c>
      <c r="Q500" s="123">
        <f>IF($J500="","",IF($O500="Evet",0,$N500))</f>
        <v/>
      </c>
    </row>
    <row r="501" ht="15" customHeight="1" s="78">
      <c r="G501" s="123">
        <f>IF($A501="","",MAX(0,$D501+$E501-$F501))</f>
        <v/>
      </c>
      <c r="H501" s="123">
        <f>IF($A501="","",MAX(0,$C501-$B501))</f>
        <v/>
      </c>
      <c r="P501" s="123">
        <f>IF($J501="","",365)</f>
        <v/>
      </c>
      <c r="Q501" s="123">
        <f>IF($J501="","",IF($O501="Evet",0,$N501))</f>
        <v/>
      </c>
    </row>
    <row r="502" ht="15" customHeight="1" s="78">
      <c r="G502" s="123">
        <f>IF($A502="","",MAX(0,$D502+$E502-$F502))</f>
        <v/>
      </c>
      <c r="H502" s="123">
        <f>IF($A502="","",MAX(0,$C502-$B502))</f>
        <v/>
      </c>
      <c r="P502" s="123">
        <f>IF($J502="","",365)</f>
        <v/>
      </c>
      <c r="Q502" s="123">
        <f>IF($J502="","",IF($O502="Evet",0,$N502))</f>
        <v/>
      </c>
    </row>
    <row r="503" ht="15" customHeight="1" s="78">
      <c r="G503" s="123">
        <f>IF($A503="","",MAX(0,$D503+$E503-$F503))</f>
        <v/>
      </c>
      <c r="H503" s="123">
        <f>IF($A503="","",MAX(0,$C503-$B503))</f>
        <v/>
      </c>
      <c r="P503" s="123">
        <f>IF($J503="","",365)</f>
        <v/>
      </c>
      <c r="Q503" s="123">
        <f>IF($J503="","",IF($O503="Evet",0,$N503))</f>
        <v/>
      </c>
    </row>
    <row r="504" ht="15" customHeight="1" s="78">
      <c r="G504" s="123">
        <f>IF($A504="","",MAX(0,$D504+$E504-$F504))</f>
        <v/>
      </c>
      <c r="H504" s="123">
        <f>IF($A504="","",MAX(0,$C504-$B504))</f>
        <v/>
      </c>
      <c r="P504" s="123">
        <f>IF($J504="","",365)</f>
        <v/>
      </c>
      <c r="Q504" s="123">
        <f>IF($J504="","",IF($O504="Evet",0,$N504))</f>
        <v/>
      </c>
    </row>
    <row r="505" ht="15" customHeight="1" s="78">
      <c r="G505" s="123">
        <f>IF($A505="","",MAX(0,$D505+$E505-$F505))</f>
        <v/>
      </c>
      <c r="H505" s="123">
        <f>IF($A505="","",MAX(0,$C505-$B505))</f>
        <v/>
      </c>
      <c r="P505" s="123">
        <f>IF($J505="","",365)</f>
        <v/>
      </c>
      <c r="Q505" s="123">
        <f>IF($J505="","",IF($O505="Evet",0,$N505))</f>
        <v/>
      </c>
    </row>
    <row r="506" ht="15" customHeight="1" s="78">
      <c r="G506" s="123">
        <f>IF($A506="","",MAX(0,$D506+$E506-$F506))</f>
        <v/>
      </c>
      <c r="H506" s="123">
        <f>IF($A506="","",MAX(0,$C506-$B506))</f>
        <v/>
      </c>
      <c r="P506" s="123">
        <f>IF($J506="","",365)</f>
        <v/>
      </c>
      <c r="Q506" s="123">
        <f>IF($J506="","",IF($O506="Evet",0,$N506))</f>
        <v/>
      </c>
    </row>
    <row r="507" ht="15" customHeight="1" s="78">
      <c r="G507" s="123">
        <f>IF($A507="","",MAX(0,$D507+$E507-$F507))</f>
        <v/>
      </c>
      <c r="H507" s="123">
        <f>IF($A507="","",MAX(0,$C507-$B507))</f>
        <v/>
      </c>
      <c r="P507" s="123">
        <f>IF($J507="","",365)</f>
        <v/>
      </c>
      <c r="Q507" s="123">
        <f>IF($J507="","",IF($O507="Evet",0,$N507))</f>
        <v/>
      </c>
    </row>
    <row r="508" ht="15" customHeight="1" s="78">
      <c r="G508" s="123">
        <f>IF($A508="","",MAX(0,$D508+$E508-$F508))</f>
        <v/>
      </c>
      <c r="H508" s="123">
        <f>IF($A508="","",MAX(0,$C508-$B508))</f>
        <v/>
      </c>
      <c r="P508" s="123">
        <f>IF($J508="","",365)</f>
        <v/>
      </c>
      <c r="Q508" s="123">
        <f>IF($J508="","",IF($O508="Evet",0,$N508))</f>
        <v/>
      </c>
    </row>
    <row r="509" ht="15" customHeight="1" s="78">
      <c r="G509" s="123">
        <f>IF($A509="","",MAX(0,$D509+$E509-$F509))</f>
        <v/>
      </c>
      <c r="H509" s="123">
        <f>IF($A509="","",MAX(0,$C509-$B509))</f>
        <v/>
      </c>
      <c r="P509" s="123">
        <f>IF($J509="","",365)</f>
        <v/>
      </c>
      <c r="Q509" s="123">
        <f>IF($J509="","",IF($O509="Evet",0,$N509))</f>
        <v/>
      </c>
    </row>
    <row r="510" ht="15" customHeight="1" s="78">
      <c r="G510" s="123">
        <f>IF($A510="","",MAX(0,$D510+$E510-$F510))</f>
        <v/>
      </c>
      <c r="H510" s="123">
        <f>IF($A510="","",MAX(0,$C510-$B510))</f>
        <v/>
      </c>
      <c r="P510" s="123">
        <f>IF($J510="","",365)</f>
        <v/>
      </c>
      <c r="Q510" s="123">
        <f>IF($J510="","",IF($O510="Evet",0,$N510))</f>
        <v/>
      </c>
    </row>
    <row r="511" ht="15" customHeight="1" s="78">
      <c r="G511" s="123">
        <f>IF($A511="","",MAX(0,$D511+$E511-$F511))</f>
        <v/>
      </c>
      <c r="H511" s="123">
        <f>IF($A511="","",MAX(0,$C511-$B511))</f>
        <v/>
      </c>
      <c r="P511" s="123">
        <f>IF($J511="","",365)</f>
        <v/>
      </c>
      <c r="Q511" s="123">
        <f>IF($J511="","",IF($O511="Evet",0,$N511))</f>
        <v/>
      </c>
    </row>
    <row r="512" ht="15" customHeight="1" s="78">
      <c r="G512" s="123">
        <f>IF($A512="","",MAX(0,$D512+$E512-$F512))</f>
        <v/>
      </c>
      <c r="H512" s="123">
        <f>IF($A512="","",MAX(0,$C512-$B512))</f>
        <v/>
      </c>
      <c r="P512" s="123">
        <f>IF($J512="","",365)</f>
        <v/>
      </c>
      <c r="Q512" s="123">
        <f>IF($J512="","",IF($O512="Evet",0,$N512))</f>
        <v/>
      </c>
    </row>
    <row r="513" ht="15" customHeight="1" s="78">
      <c r="G513" s="123">
        <f>IF($A513="","",MAX(0,$D513+$E513-$F513))</f>
        <v/>
      </c>
      <c r="H513" s="123">
        <f>IF($A513="","",MAX(0,$C513-$B513))</f>
        <v/>
      </c>
      <c r="P513" s="123">
        <f>IF($J513="","",365)</f>
        <v/>
      </c>
      <c r="Q513" s="123">
        <f>IF($J513="","",IF($O513="Evet",0,$N513))</f>
        <v/>
      </c>
    </row>
    <row r="514" ht="15" customHeight="1" s="78">
      <c r="G514" s="123">
        <f>IF($A514="","",MAX(0,$D514+$E514-$F514))</f>
        <v/>
      </c>
      <c r="H514" s="123">
        <f>IF($A514="","",MAX(0,$C514-$B514))</f>
        <v/>
      </c>
      <c r="P514" s="123">
        <f>IF($J514="","",365)</f>
        <v/>
      </c>
      <c r="Q514" s="123">
        <f>IF($J514="","",IF($O514="Evet",0,$N514))</f>
        <v/>
      </c>
    </row>
    <row r="515" ht="15" customHeight="1" s="78">
      <c r="G515" s="123">
        <f>IF($A515="","",MAX(0,$D515+$E515-$F515))</f>
        <v/>
      </c>
      <c r="H515" s="123">
        <f>IF($A515="","",MAX(0,$C515-$B515))</f>
        <v/>
      </c>
      <c r="P515" s="123">
        <f>IF($J515="","",365)</f>
        <v/>
      </c>
      <c r="Q515" s="123">
        <f>IF($J515="","",IF($O515="Evet",0,$N515))</f>
        <v/>
      </c>
    </row>
    <row r="516" ht="15" customHeight="1" s="78">
      <c r="G516" s="123">
        <f>IF($A516="","",MAX(0,$D516+$E516-$F516))</f>
        <v/>
      </c>
      <c r="H516" s="123">
        <f>IF($A516="","",MAX(0,$C516-$B516))</f>
        <v/>
      </c>
      <c r="P516" s="123">
        <f>IF($J516="","",365)</f>
        <v/>
      </c>
      <c r="Q516" s="123">
        <f>IF($J516="","",IF($O516="Evet",0,$N516))</f>
        <v/>
      </c>
    </row>
    <row r="517" ht="15" customHeight="1" s="78">
      <c r="G517" s="123">
        <f>IF($A517="","",MAX(0,$D517+$E517-$F517))</f>
        <v/>
      </c>
      <c r="H517" s="123">
        <f>IF($A517="","",MAX(0,$C517-$B517))</f>
        <v/>
      </c>
      <c r="P517" s="123">
        <f>IF($J517="","",365)</f>
        <v/>
      </c>
      <c r="Q517" s="123">
        <f>IF($J517="","",IF($O517="Evet",0,$N517))</f>
        <v/>
      </c>
    </row>
    <row r="518" ht="15" customHeight="1" s="78">
      <c r="G518" s="123">
        <f>IF($A518="","",MAX(0,$D518+$E518-$F518))</f>
        <v/>
      </c>
      <c r="H518" s="123">
        <f>IF($A518="","",MAX(0,$C518-$B518))</f>
        <v/>
      </c>
      <c r="P518" s="123">
        <f>IF($J518="","",365)</f>
        <v/>
      </c>
      <c r="Q518" s="123">
        <f>IF($J518="","",IF($O518="Evet",0,$N518))</f>
        <v/>
      </c>
    </row>
    <row r="519" ht="15" customHeight="1" s="78">
      <c r="G519" s="123">
        <f>IF($A519="","",MAX(0,$D519+$E519-$F519))</f>
        <v/>
      </c>
      <c r="H519" s="123">
        <f>IF($A519="","",MAX(0,$C519-$B519))</f>
        <v/>
      </c>
      <c r="P519" s="123">
        <f>IF($J519="","",365)</f>
        <v/>
      </c>
      <c r="Q519" s="123">
        <f>IF($J519="","",IF($O519="Evet",0,$N519))</f>
        <v/>
      </c>
    </row>
    <row r="520" ht="15" customHeight="1" s="78">
      <c r="G520" s="123">
        <f>IF($A520="","",MAX(0,$D520+$E520-$F520))</f>
        <v/>
      </c>
      <c r="H520" s="123">
        <f>IF($A520="","",MAX(0,$C520-$B520))</f>
        <v/>
      </c>
      <c r="P520" s="123">
        <f>IF($J520="","",365)</f>
        <v/>
      </c>
      <c r="Q520" s="123">
        <f>IF($J520="","",IF($O520="Evet",0,$N520))</f>
        <v/>
      </c>
    </row>
    <row r="521" ht="15" customHeight="1" s="78">
      <c r="G521" s="123">
        <f>IF($A521="","",MAX(0,$D521+$E521-$F521))</f>
        <v/>
      </c>
      <c r="H521" s="123">
        <f>IF($A521="","",MAX(0,$C521-$B521))</f>
        <v/>
      </c>
      <c r="P521" s="123">
        <f>IF($J521="","",365)</f>
        <v/>
      </c>
      <c r="Q521" s="123">
        <f>IF($J521="","",IF($O521="Evet",0,$N521))</f>
        <v/>
      </c>
    </row>
    <row r="522" ht="15" customHeight="1" s="78">
      <c r="G522" s="123">
        <f>IF($A522="","",MAX(0,$D522+$E522-$F522))</f>
        <v/>
      </c>
      <c r="H522" s="123">
        <f>IF($A522="","",MAX(0,$C522-$B522))</f>
        <v/>
      </c>
      <c r="P522" s="123">
        <f>IF($J522="","",365)</f>
        <v/>
      </c>
      <c r="Q522" s="123">
        <f>IF($J522="","",IF($O522="Evet",0,$N522))</f>
        <v/>
      </c>
    </row>
    <row r="523" ht="15" customHeight="1" s="78">
      <c r="G523" s="123">
        <f>IF($A523="","",MAX(0,$D523+$E523-$F523))</f>
        <v/>
      </c>
      <c r="H523" s="123">
        <f>IF($A523="","",MAX(0,$C523-$B523))</f>
        <v/>
      </c>
      <c r="P523" s="123">
        <f>IF($J523="","",365)</f>
        <v/>
      </c>
      <c r="Q523" s="123">
        <f>IF($J523="","",IF($O523="Evet",0,$N523))</f>
        <v/>
      </c>
    </row>
    <row r="524" ht="15" customHeight="1" s="78">
      <c r="G524" s="123">
        <f>IF($A524="","",MAX(0,$D524+$E524-$F524))</f>
        <v/>
      </c>
      <c r="H524" s="123">
        <f>IF($A524="","",MAX(0,$C524-$B524))</f>
        <v/>
      </c>
      <c r="P524" s="123">
        <f>IF($J524="","",365)</f>
        <v/>
      </c>
      <c r="Q524" s="123">
        <f>IF($J524="","",IF($O524="Evet",0,$N524))</f>
        <v/>
      </c>
    </row>
    <row r="525" ht="15" customHeight="1" s="78">
      <c r="G525" s="123">
        <f>IF($A525="","",MAX(0,$D525+$E525-$F525))</f>
        <v/>
      </c>
      <c r="H525" s="123">
        <f>IF($A525="","",MAX(0,$C525-$B525))</f>
        <v/>
      </c>
      <c r="P525" s="123">
        <f>IF($J525="","",365)</f>
        <v/>
      </c>
      <c r="Q525" s="123">
        <f>IF($J525="","",IF($O525="Evet",0,$N525))</f>
        <v/>
      </c>
    </row>
    <row r="526" ht="15" customHeight="1" s="78">
      <c r="G526" s="123">
        <f>IF($A526="","",MAX(0,$D526+$E526-$F526))</f>
        <v/>
      </c>
      <c r="H526" s="123">
        <f>IF($A526="","",MAX(0,$C526-$B526))</f>
        <v/>
      </c>
      <c r="P526" s="123">
        <f>IF($J526="","",365)</f>
        <v/>
      </c>
      <c r="Q526" s="123">
        <f>IF($J526="","",IF($O526="Evet",0,$N526))</f>
        <v/>
      </c>
    </row>
    <row r="527" ht="15" customHeight="1" s="78">
      <c r="G527" s="123">
        <f>IF($A527="","",MAX(0,$D527+$E527-$F527))</f>
        <v/>
      </c>
      <c r="H527" s="123">
        <f>IF($A527="","",MAX(0,$C527-$B527))</f>
        <v/>
      </c>
      <c r="P527" s="123">
        <f>IF($J527="","",365)</f>
        <v/>
      </c>
      <c r="Q527" s="123">
        <f>IF($J527="","",IF($O527="Evet",0,$N527))</f>
        <v/>
      </c>
    </row>
    <row r="528" ht="15" customHeight="1" s="78">
      <c r="G528" s="123">
        <f>IF($A528="","",MAX(0,$D528+$E528-$F528))</f>
        <v/>
      </c>
      <c r="H528" s="123">
        <f>IF($A528="","",MAX(0,$C528-$B528))</f>
        <v/>
      </c>
      <c r="P528" s="123">
        <f>IF($J528="","",365)</f>
        <v/>
      </c>
      <c r="Q528" s="123">
        <f>IF($J528="","",IF($O528="Evet",0,$N528))</f>
        <v/>
      </c>
    </row>
    <row r="529" ht="15" customHeight="1" s="78">
      <c r="G529" s="123">
        <f>IF($A529="","",MAX(0,$D529+$E529-$F529))</f>
        <v/>
      </c>
      <c r="H529" s="123">
        <f>IF($A529="","",MAX(0,$C529-$B529))</f>
        <v/>
      </c>
      <c r="P529" s="123">
        <f>IF($J529="","",365)</f>
        <v/>
      </c>
      <c r="Q529" s="123">
        <f>IF($J529="","",IF($O529="Evet",0,$N529))</f>
        <v/>
      </c>
    </row>
    <row r="530" ht="15" customHeight="1" s="78">
      <c r="G530" s="123">
        <f>IF($A530="","",MAX(0,$D530+$E530-$F530))</f>
        <v/>
      </c>
      <c r="H530" s="123">
        <f>IF($A530="","",MAX(0,$C530-$B530))</f>
        <v/>
      </c>
      <c r="P530" s="123">
        <f>IF($J530="","",365)</f>
        <v/>
      </c>
      <c r="Q530" s="123">
        <f>IF($J530="","",IF($O530="Evet",0,$N530))</f>
        <v/>
      </c>
    </row>
    <row r="531" ht="15" customHeight="1" s="78">
      <c r="G531" s="123">
        <f>IF($A531="","",MAX(0,$D531+$E531-$F531))</f>
        <v/>
      </c>
      <c r="H531" s="123">
        <f>IF($A531="","",MAX(0,$C531-$B531))</f>
        <v/>
      </c>
      <c r="P531" s="123">
        <f>IF($J531="","",365)</f>
        <v/>
      </c>
      <c r="Q531" s="123">
        <f>IF($J531="","",IF($O531="Evet",0,$N531))</f>
        <v/>
      </c>
    </row>
    <row r="532" ht="15" customHeight="1" s="78">
      <c r="G532" s="123">
        <f>IF($A532="","",MAX(0,$D532+$E532-$F532))</f>
        <v/>
      </c>
      <c r="H532" s="123">
        <f>IF($A532="","",MAX(0,$C532-$B532))</f>
        <v/>
      </c>
      <c r="P532" s="123">
        <f>IF($J532="","",365)</f>
        <v/>
      </c>
      <c r="Q532" s="123">
        <f>IF($J532="","",IF($O532="Evet",0,$N532))</f>
        <v/>
      </c>
    </row>
    <row r="533" ht="15" customHeight="1" s="78">
      <c r="G533" s="123">
        <f>IF($A533="","",MAX(0,$D533+$E533-$F533))</f>
        <v/>
      </c>
      <c r="H533" s="123">
        <f>IF($A533="","",MAX(0,$C533-$B533))</f>
        <v/>
      </c>
      <c r="P533" s="123">
        <f>IF($J533="","",365)</f>
        <v/>
      </c>
      <c r="Q533" s="123">
        <f>IF($J533="","",IF($O533="Evet",0,$N533))</f>
        <v/>
      </c>
    </row>
    <row r="534" ht="15" customHeight="1" s="78">
      <c r="G534" s="123">
        <f>IF($A534="","",MAX(0,$D534+$E534-$F534))</f>
        <v/>
      </c>
      <c r="H534" s="123">
        <f>IF($A534="","",MAX(0,$C534-$B534))</f>
        <v/>
      </c>
      <c r="P534" s="123">
        <f>IF($J534="","",365)</f>
        <v/>
      </c>
      <c r="Q534" s="123">
        <f>IF($J534="","",IF($O534="Evet",0,$N534))</f>
        <v/>
      </c>
    </row>
    <row r="535" ht="15" customHeight="1" s="78">
      <c r="G535" s="123">
        <f>IF($A535="","",MAX(0,$D535+$E535-$F535))</f>
        <v/>
      </c>
      <c r="H535" s="123">
        <f>IF($A535="","",MAX(0,$C535-$B535))</f>
        <v/>
      </c>
      <c r="P535" s="123">
        <f>IF($J535="","",365)</f>
        <v/>
      </c>
      <c r="Q535" s="123">
        <f>IF($J535="","",IF($O535="Evet",0,$N535))</f>
        <v/>
      </c>
    </row>
    <row r="536" ht="15" customHeight="1" s="78">
      <c r="G536" s="123">
        <f>IF($A536="","",MAX(0,$D536+$E536-$F536))</f>
        <v/>
      </c>
      <c r="H536" s="123">
        <f>IF($A536="","",MAX(0,$C536-$B536))</f>
        <v/>
      </c>
      <c r="P536" s="123">
        <f>IF($J536="","",365)</f>
        <v/>
      </c>
      <c r="Q536" s="123">
        <f>IF($J536="","",IF($O536="Evet",0,$N536))</f>
        <v/>
      </c>
    </row>
    <row r="537" ht="15" customHeight="1" s="78">
      <c r="G537" s="123">
        <f>IF($A537="","",MAX(0,$D537+$E537-$F537))</f>
        <v/>
      </c>
      <c r="H537" s="123">
        <f>IF($A537="","",MAX(0,$C537-$B537))</f>
        <v/>
      </c>
      <c r="P537" s="123">
        <f>IF($J537="","",365)</f>
        <v/>
      </c>
      <c r="Q537" s="123">
        <f>IF($J537="","",IF($O537="Evet",0,$N537))</f>
        <v/>
      </c>
    </row>
    <row r="538" ht="15" customHeight="1" s="78">
      <c r="G538" s="123">
        <f>IF($A538="","",MAX(0,$D538+$E538-$F538))</f>
        <v/>
      </c>
      <c r="H538" s="123">
        <f>IF($A538="","",MAX(0,$C538-$B538))</f>
        <v/>
      </c>
      <c r="P538" s="123">
        <f>IF($J538="","",365)</f>
        <v/>
      </c>
      <c r="Q538" s="123">
        <f>IF($J538="","",IF($O538="Evet",0,$N538))</f>
        <v/>
      </c>
    </row>
    <row r="539" ht="15" customHeight="1" s="78">
      <c r="G539" s="123">
        <f>IF($A539="","",MAX(0,$D539+$E539-$F539))</f>
        <v/>
      </c>
      <c r="H539" s="123">
        <f>IF($A539="","",MAX(0,$C539-$B539))</f>
        <v/>
      </c>
      <c r="P539" s="123">
        <f>IF($J539="","",365)</f>
        <v/>
      </c>
      <c r="Q539" s="123">
        <f>IF($J539="","",IF($O539="Evet",0,$N539))</f>
        <v/>
      </c>
    </row>
    <row r="540" ht="15" customHeight="1" s="78">
      <c r="G540" s="123">
        <f>IF($A540="","",MAX(0,$D540+$E540-$F540))</f>
        <v/>
      </c>
      <c r="H540" s="123">
        <f>IF($A540="","",MAX(0,$C540-$B540))</f>
        <v/>
      </c>
      <c r="P540" s="123">
        <f>IF($J540="","",365)</f>
        <v/>
      </c>
      <c r="Q540" s="123">
        <f>IF($J540="","",IF($O540="Evet",0,$N540))</f>
        <v/>
      </c>
    </row>
    <row r="541" ht="15" customHeight="1" s="78">
      <c r="G541" s="123">
        <f>IF($A541="","",MAX(0,$D541+$E541-$F541))</f>
        <v/>
      </c>
      <c r="H541" s="123">
        <f>IF($A541="","",MAX(0,$C541-$B541))</f>
        <v/>
      </c>
      <c r="P541" s="123">
        <f>IF($J541="","",365)</f>
        <v/>
      </c>
      <c r="Q541" s="123">
        <f>IF($J541="","",IF($O541="Evet",0,$N541))</f>
        <v/>
      </c>
    </row>
    <row r="542" ht="15" customHeight="1" s="78">
      <c r="G542" s="123">
        <f>IF($A542="","",MAX(0,$D542+$E542-$F542))</f>
        <v/>
      </c>
      <c r="H542" s="123">
        <f>IF($A542="","",MAX(0,$C542-$B542))</f>
        <v/>
      </c>
      <c r="P542" s="123">
        <f>IF($J542="","",365)</f>
        <v/>
      </c>
      <c r="Q542" s="123">
        <f>IF($J542="","",IF($O542="Evet",0,$N542))</f>
        <v/>
      </c>
    </row>
    <row r="543" ht="15" customHeight="1" s="78">
      <c r="G543" s="123">
        <f>IF($A543="","",MAX(0,$D543+$E543-$F543))</f>
        <v/>
      </c>
      <c r="H543" s="123">
        <f>IF($A543="","",MAX(0,$C543-$B543))</f>
        <v/>
      </c>
      <c r="P543" s="123">
        <f>IF($J543="","",365)</f>
        <v/>
      </c>
      <c r="Q543" s="123">
        <f>IF($J543="","",IF($O543="Evet",0,$N543))</f>
        <v/>
      </c>
    </row>
    <row r="544" ht="15" customHeight="1" s="78">
      <c r="G544" s="123">
        <f>IF($A544="","",MAX(0,$D544+$E544-$F544))</f>
        <v/>
      </c>
      <c r="H544" s="123">
        <f>IF($A544="","",MAX(0,$C544-$B544))</f>
        <v/>
      </c>
      <c r="P544" s="123">
        <f>IF($J544="","",365)</f>
        <v/>
      </c>
      <c r="Q544" s="123">
        <f>IF($J544="","",IF($O544="Evet",0,$N544))</f>
        <v/>
      </c>
    </row>
    <row r="545" ht="15" customHeight="1" s="78">
      <c r="G545" s="123">
        <f>IF($A545="","",MAX(0,$D545+$E545-$F545))</f>
        <v/>
      </c>
      <c r="H545" s="123">
        <f>IF($A545="","",MAX(0,$C545-$B545))</f>
        <v/>
      </c>
      <c r="P545" s="123">
        <f>IF($J545="","",365)</f>
        <v/>
      </c>
      <c r="Q545" s="123">
        <f>IF($J545="","",IF($O545="Evet",0,$N545))</f>
        <v/>
      </c>
    </row>
    <row r="546" ht="15" customHeight="1" s="78">
      <c r="G546" s="123">
        <f>IF($A546="","",MAX(0,$D546+$E546-$F546))</f>
        <v/>
      </c>
      <c r="H546" s="123">
        <f>IF($A546="","",MAX(0,$C546-$B546))</f>
        <v/>
      </c>
      <c r="P546" s="123">
        <f>IF($J546="","",365)</f>
        <v/>
      </c>
      <c r="Q546" s="123">
        <f>IF($J546="","",IF($O546="Evet",0,$N546))</f>
        <v/>
      </c>
    </row>
    <row r="547" ht="15" customHeight="1" s="78">
      <c r="G547" s="123">
        <f>IF($A547="","",MAX(0,$D547+$E547-$F547))</f>
        <v/>
      </c>
      <c r="H547" s="123">
        <f>IF($A547="","",MAX(0,$C547-$B547))</f>
        <v/>
      </c>
      <c r="P547" s="123">
        <f>IF($J547="","",365)</f>
        <v/>
      </c>
      <c r="Q547" s="123">
        <f>IF($J547="","",IF($O547="Evet",0,$N547))</f>
        <v/>
      </c>
    </row>
    <row r="548" ht="15" customHeight="1" s="78">
      <c r="G548" s="123">
        <f>IF($A548="","",MAX(0,$D548+$E548-$F548))</f>
        <v/>
      </c>
      <c r="H548" s="123">
        <f>IF($A548="","",MAX(0,$C548-$B548))</f>
        <v/>
      </c>
      <c r="P548" s="123">
        <f>IF($J548="","",365)</f>
        <v/>
      </c>
      <c r="Q548" s="123">
        <f>IF($J548="","",IF($O548="Evet",0,$N548))</f>
        <v/>
      </c>
    </row>
    <row r="549" ht="15" customHeight="1" s="78">
      <c r="G549" s="123">
        <f>IF($A549="","",MAX(0,$D549+$E549-$F549))</f>
        <v/>
      </c>
      <c r="H549" s="123">
        <f>IF($A549="","",MAX(0,$C549-$B549))</f>
        <v/>
      </c>
      <c r="P549" s="123">
        <f>IF($J549="","",365)</f>
        <v/>
      </c>
      <c r="Q549" s="123">
        <f>IF($J549="","",IF($O549="Evet",0,$N549))</f>
        <v/>
      </c>
    </row>
    <row r="550" ht="15" customHeight="1" s="78">
      <c r="G550" s="123">
        <f>IF($A550="","",MAX(0,$D550+$E550-$F550))</f>
        <v/>
      </c>
      <c r="H550" s="123">
        <f>IF($A550="","",MAX(0,$C550-$B550))</f>
        <v/>
      </c>
      <c r="P550" s="123">
        <f>IF($J550="","",365)</f>
        <v/>
      </c>
      <c r="Q550" s="123">
        <f>IF($J550="","",IF($O550="Evet",0,$N550))</f>
        <v/>
      </c>
    </row>
    <row r="551" ht="15" customHeight="1" s="78">
      <c r="G551" s="123">
        <f>IF($A551="","",MAX(0,$D551+$E551-$F551))</f>
        <v/>
      </c>
      <c r="H551" s="123">
        <f>IF($A551="","",MAX(0,$C551-$B551))</f>
        <v/>
      </c>
      <c r="P551" s="123">
        <f>IF($J551="","",365)</f>
        <v/>
      </c>
      <c r="Q551" s="123">
        <f>IF($J551="","",IF($O551="Evet",0,$N551))</f>
        <v/>
      </c>
    </row>
    <row r="552" ht="15" customHeight="1" s="78">
      <c r="G552" s="123">
        <f>IF($A552="","",MAX(0,$D552+$E552-$F552))</f>
        <v/>
      </c>
      <c r="H552" s="123">
        <f>IF($A552="","",MAX(0,$C552-$B552))</f>
        <v/>
      </c>
      <c r="P552" s="123">
        <f>IF($J552="","",365)</f>
        <v/>
      </c>
      <c r="Q552" s="123">
        <f>IF($J552="","",IF($O552="Evet",0,$N552))</f>
        <v/>
      </c>
    </row>
    <row r="553" ht="15" customHeight="1" s="78">
      <c r="G553" s="123">
        <f>IF($A553="","",MAX(0,$D553+$E553-$F553))</f>
        <v/>
      </c>
      <c r="H553" s="123">
        <f>IF($A553="","",MAX(0,$C553-$B553))</f>
        <v/>
      </c>
      <c r="P553" s="123">
        <f>IF($J553="","",365)</f>
        <v/>
      </c>
      <c r="Q553" s="123">
        <f>IF($J553="","",IF($O553="Evet",0,$N553))</f>
        <v/>
      </c>
    </row>
    <row r="554" ht="15" customHeight="1" s="78">
      <c r="G554" s="123">
        <f>IF($A554="","",MAX(0,$D554+$E554-$F554))</f>
        <v/>
      </c>
      <c r="H554" s="123">
        <f>IF($A554="","",MAX(0,$C554-$B554))</f>
        <v/>
      </c>
      <c r="P554" s="123">
        <f>IF($J554="","",365)</f>
        <v/>
      </c>
      <c r="Q554" s="123">
        <f>IF($J554="","",IF($O554="Evet",0,$N554))</f>
        <v/>
      </c>
    </row>
    <row r="555" ht="15" customHeight="1" s="78">
      <c r="G555" s="123">
        <f>IF($A555="","",MAX(0,$D555+$E555-$F555))</f>
        <v/>
      </c>
      <c r="H555" s="123">
        <f>IF($A555="","",MAX(0,$C555-$B555))</f>
        <v/>
      </c>
      <c r="P555" s="123">
        <f>IF($J555="","",365)</f>
        <v/>
      </c>
      <c r="Q555" s="123">
        <f>IF($J555="","",IF($O555="Evet",0,$N555))</f>
        <v/>
      </c>
    </row>
    <row r="556" ht="15" customHeight="1" s="78">
      <c r="G556" s="123">
        <f>IF($A556="","",MAX(0,$D556+$E556-$F556))</f>
        <v/>
      </c>
      <c r="H556" s="123">
        <f>IF($A556="","",MAX(0,$C556-$B556))</f>
        <v/>
      </c>
      <c r="P556" s="123">
        <f>IF($J556="","",365)</f>
        <v/>
      </c>
      <c r="Q556" s="123">
        <f>IF($J556="","",IF($O556="Evet",0,$N556))</f>
        <v/>
      </c>
    </row>
    <row r="557" ht="15" customHeight="1" s="78">
      <c r="G557" s="123">
        <f>IF($A557="","",MAX(0,$D557+$E557-$F557))</f>
        <v/>
      </c>
      <c r="H557" s="123">
        <f>IF($A557="","",MAX(0,$C557-$B557))</f>
        <v/>
      </c>
      <c r="P557" s="123">
        <f>IF($J557="","",365)</f>
        <v/>
      </c>
      <c r="Q557" s="123">
        <f>IF($J557="","",IF($O557="Evet",0,$N557))</f>
        <v/>
      </c>
    </row>
    <row r="558" ht="15" customHeight="1" s="78">
      <c r="G558" s="123">
        <f>IF($A558="","",MAX(0,$D558+$E558-$F558))</f>
        <v/>
      </c>
      <c r="H558" s="123">
        <f>IF($A558="","",MAX(0,$C558-$B558))</f>
        <v/>
      </c>
      <c r="P558" s="123">
        <f>IF($J558="","",365)</f>
        <v/>
      </c>
      <c r="Q558" s="123">
        <f>IF($J558="","",IF($O558="Evet",0,$N558))</f>
        <v/>
      </c>
    </row>
    <row r="559" ht="15" customHeight="1" s="78">
      <c r="G559" s="123">
        <f>IF($A559="","",MAX(0,$D559+$E559-$F559))</f>
        <v/>
      </c>
      <c r="H559" s="123">
        <f>IF($A559="","",MAX(0,$C559-$B559))</f>
        <v/>
      </c>
      <c r="P559" s="123">
        <f>IF($J559="","",365)</f>
        <v/>
      </c>
      <c r="Q559" s="123">
        <f>IF($J559="","",IF($O559="Evet",0,$N559))</f>
        <v/>
      </c>
    </row>
    <row r="560" ht="15" customHeight="1" s="78">
      <c r="G560" s="123">
        <f>IF($A560="","",MAX(0,$D560+$E560-$F560))</f>
        <v/>
      </c>
      <c r="H560" s="123">
        <f>IF($A560="","",MAX(0,$C560-$B560))</f>
        <v/>
      </c>
      <c r="P560" s="123">
        <f>IF($J560="","",365)</f>
        <v/>
      </c>
      <c r="Q560" s="123">
        <f>IF($J560="","",IF($O560="Evet",0,$N560))</f>
        <v/>
      </c>
    </row>
    <row r="561" ht="15" customHeight="1" s="78">
      <c r="G561" s="123">
        <f>IF($A561="","",MAX(0,$D561+$E561-$F561))</f>
        <v/>
      </c>
      <c r="H561" s="123">
        <f>IF($A561="","",MAX(0,$C561-$B561))</f>
        <v/>
      </c>
      <c r="P561" s="123">
        <f>IF($J561="","",365)</f>
        <v/>
      </c>
      <c r="Q561" s="123">
        <f>IF($J561="","",IF($O561="Evet",0,$N561))</f>
        <v/>
      </c>
    </row>
    <row r="562" ht="15" customHeight="1" s="78">
      <c r="G562" s="123">
        <f>IF($A562="","",MAX(0,$D562+$E562-$F562))</f>
        <v/>
      </c>
      <c r="H562" s="123">
        <f>IF($A562="","",MAX(0,$C562-$B562))</f>
        <v/>
      </c>
      <c r="P562" s="123">
        <f>IF($J562="","",365)</f>
        <v/>
      </c>
      <c r="Q562" s="123">
        <f>IF($J562="","",IF($O562="Evet",0,$N562))</f>
        <v/>
      </c>
    </row>
    <row r="563" ht="15" customHeight="1" s="78">
      <c r="G563" s="123">
        <f>IF($A563="","",MAX(0,$D563+$E563-$F563))</f>
        <v/>
      </c>
      <c r="H563" s="123">
        <f>IF($A563="","",MAX(0,$C563-$B563))</f>
        <v/>
      </c>
      <c r="P563" s="123">
        <f>IF($J563="","",365)</f>
        <v/>
      </c>
      <c r="Q563" s="123">
        <f>IF($J563="","",IF($O563="Evet",0,$N563))</f>
        <v/>
      </c>
    </row>
    <row r="564" ht="15" customHeight="1" s="78">
      <c r="G564" s="123">
        <f>IF($A564="","",MAX(0,$D564+$E564-$F564))</f>
        <v/>
      </c>
      <c r="H564" s="123">
        <f>IF($A564="","",MAX(0,$C564-$B564))</f>
        <v/>
      </c>
      <c r="P564" s="123">
        <f>IF($J564="","",365)</f>
        <v/>
      </c>
      <c r="Q564" s="123">
        <f>IF($J564="","",IF($O564="Evet",0,$N564))</f>
        <v/>
      </c>
    </row>
    <row r="565" ht="15" customHeight="1" s="78">
      <c r="G565" s="123">
        <f>IF($A565="","",MAX(0,$D565+$E565-$F565))</f>
        <v/>
      </c>
      <c r="H565" s="123">
        <f>IF($A565="","",MAX(0,$C565-$B565))</f>
        <v/>
      </c>
      <c r="P565" s="123">
        <f>IF($J565="","",365)</f>
        <v/>
      </c>
      <c r="Q565" s="123">
        <f>IF($J565="","",IF($O565="Evet",0,$N565))</f>
        <v/>
      </c>
    </row>
    <row r="566" ht="15" customHeight="1" s="78">
      <c r="G566" s="123">
        <f>IF($A566="","",MAX(0,$D566+$E566-$F566))</f>
        <v/>
      </c>
      <c r="H566" s="123">
        <f>IF($A566="","",MAX(0,$C566-$B566))</f>
        <v/>
      </c>
      <c r="P566" s="123">
        <f>IF($J566="","",365)</f>
        <v/>
      </c>
      <c r="Q566" s="123">
        <f>IF($J566="","",IF($O566="Evet",0,$N566))</f>
        <v/>
      </c>
    </row>
    <row r="567" ht="15" customHeight="1" s="78">
      <c r="G567" s="123">
        <f>IF($A567="","",MAX(0,$D567+$E567-$F567))</f>
        <v/>
      </c>
      <c r="H567" s="123">
        <f>IF($A567="","",MAX(0,$C567-$B567))</f>
        <v/>
      </c>
      <c r="P567" s="123">
        <f>IF($J567="","",365)</f>
        <v/>
      </c>
      <c r="Q567" s="123">
        <f>IF($J567="","",IF($O567="Evet",0,$N567))</f>
        <v/>
      </c>
    </row>
    <row r="568" ht="15" customHeight="1" s="78">
      <c r="G568" s="123">
        <f>IF($A568="","",MAX(0,$D568+$E568-$F568))</f>
        <v/>
      </c>
      <c r="H568" s="123">
        <f>IF($A568="","",MAX(0,$C568-$B568))</f>
        <v/>
      </c>
      <c r="P568" s="123">
        <f>IF($J568="","",365)</f>
        <v/>
      </c>
      <c r="Q568" s="123">
        <f>IF($J568="","",IF($O568="Evet",0,$N568))</f>
        <v/>
      </c>
    </row>
    <row r="569" ht="15" customHeight="1" s="78">
      <c r="G569" s="123">
        <f>IF($A569="","",MAX(0,$D569+$E569-$F569))</f>
        <v/>
      </c>
      <c r="H569" s="123">
        <f>IF($A569="","",MAX(0,$C569-$B569))</f>
        <v/>
      </c>
      <c r="P569" s="123">
        <f>IF($J569="","",365)</f>
        <v/>
      </c>
      <c r="Q569" s="123">
        <f>IF($J569="","",IF($O569="Evet",0,$N569))</f>
        <v/>
      </c>
    </row>
    <row r="570" ht="15" customHeight="1" s="78">
      <c r="G570" s="123">
        <f>IF($A570="","",MAX(0,$D570+$E570-$F570))</f>
        <v/>
      </c>
      <c r="H570" s="123">
        <f>IF($A570="","",MAX(0,$C570-$B570))</f>
        <v/>
      </c>
      <c r="P570" s="123">
        <f>IF($J570="","",365)</f>
        <v/>
      </c>
      <c r="Q570" s="123">
        <f>IF($J570="","",IF($O570="Evet",0,$N570))</f>
        <v/>
      </c>
    </row>
    <row r="571" ht="15" customHeight="1" s="78">
      <c r="G571" s="123">
        <f>IF($A571="","",MAX(0,$D571+$E571-$F571))</f>
        <v/>
      </c>
      <c r="H571" s="123">
        <f>IF($A571="","",MAX(0,$C571-$B571))</f>
        <v/>
      </c>
      <c r="P571" s="123">
        <f>IF($J571="","",365)</f>
        <v/>
      </c>
      <c r="Q571" s="123">
        <f>IF($J571="","",IF($O571="Evet",0,$N571))</f>
        <v/>
      </c>
    </row>
    <row r="572" ht="15" customHeight="1" s="78">
      <c r="G572" s="123">
        <f>IF($A572="","",MAX(0,$D572+$E572-$F572))</f>
        <v/>
      </c>
      <c r="H572" s="123">
        <f>IF($A572="","",MAX(0,$C572-$B572))</f>
        <v/>
      </c>
      <c r="P572" s="123">
        <f>IF($J572="","",365)</f>
        <v/>
      </c>
      <c r="Q572" s="123">
        <f>IF($J572="","",IF($O572="Evet",0,$N572))</f>
        <v/>
      </c>
    </row>
    <row r="573" ht="15" customHeight="1" s="78">
      <c r="G573" s="123">
        <f>IF($A573="","",MAX(0,$D573+$E573-$F573))</f>
        <v/>
      </c>
      <c r="H573" s="123">
        <f>IF($A573="","",MAX(0,$C573-$B573))</f>
        <v/>
      </c>
      <c r="P573" s="123">
        <f>IF($J573="","",365)</f>
        <v/>
      </c>
      <c r="Q573" s="123">
        <f>IF($J573="","",IF($O573="Evet",0,$N573))</f>
        <v/>
      </c>
    </row>
    <row r="574" ht="15" customHeight="1" s="78">
      <c r="G574" s="123">
        <f>IF($A574="","",MAX(0,$D574+$E574-$F574))</f>
        <v/>
      </c>
      <c r="H574" s="123">
        <f>IF($A574="","",MAX(0,$C574-$B574))</f>
        <v/>
      </c>
      <c r="P574" s="123">
        <f>IF($J574="","",365)</f>
        <v/>
      </c>
      <c r="Q574" s="123">
        <f>IF($J574="","",IF($O574="Evet",0,$N574))</f>
        <v/>
      </c>
    </row>
    <row r="575" ht="15" customHeight="1" s="78">
      <c r="G575" s="123">
        <f>IF($A575="","",MAX(0,$D575+$E575-$F575))</f>
        <v/>
      </c>
      <c r="H575" s="123">
        <f>IF($A575="","",MAX(0,$C575-$B575))</f>
        <v/>
      </c>
      <c r="P575" s="123">
        <f>IF($J575="","",365)</f>
        <v/>
      </c>
      <c r="Q575" s="123">
        <f>IF($J575="","",IF($O575="Evet",0,$N575))</f>
        <v/>
      </c>
    </row>
    <row r="576" ht="15" customHeight="1" s="78">
      <c r="G576" s="123">
        <f>IF($A576="","",MAX(0,$D576+$E576-$F576))</f>
        <v/>
      </c>
      <c r="H576" s="123">
        <f>IF($A576="","",MAX(0,$C576-$B576))</f>
        <v/>
      </c>
      <c r="P576" s="123">
        <f>IF($J576="","",365)</f>
        <v/>
      </c>
      <c r="Q576" s="123">
        <f>IF($J576="","",IF($O576="Evet",0,$N576))</f>
        <v/>
      </c>
    </row>
    <row r="577" ht="15" customHeight="1" s="78">
      <c r="G577" s="123">
        <f>IF($A577="","",MAX(0,$D577+$E577-$F577))</f>
        <v/>
      </c>
      <c r="H577" s="123">
        <f>IF($A577="","",MAX(0,$C577-$B577))</f>
        <v/>
      </c>
      <c r="P577" s="123">
        <f>IF($J577="","",365)</f>
        <v/>
      </c>
      <c r="Q577" s="123">
        <f>IF($J577="","",IF($O577="Evet",0,$N577))</f>
        <v/>
      </c>
    </row>
    <row r="578" ht="15" customHeight="1" s="78">
      <c r="G578" s="123">
        <f>IF($A578="","",MAX(0,$D578+$E578-$F578))</f>
        <v/>
      </c>
      <c r="H578" s="123">
        <f>IF($A578="","",MAX(0,$C578-$B578))</f>
        <v/>
      </c>
      <c r="P578" s="123">
        <f>IF($J578="","",365)</f>
        <v/>
      </c>
      <c r="Q578" s="123">
        <f>IF($J578="","",IF($O578="Evet",0,$N578))</f>
        <v/>
      </c>
    </row>
    <row r="579" ht="15" customHeight="1" s="78">
      <c r="G579" s="123">
        <f>IF($A579="","",MAX(0,$D579+$E579-$F579))</f>
        <v/>
      </c>
      <c r="H579" s="123">
        <f>IF($A579="","",MAX(0,$C579-$B579))</f>
        <v/>
      </c>
      <c r="P579" s="123">
        <f>IF($J579="","",365)</f>
        <v/>
      </c>
      <c r="Q579" s="123">
        <f>IF($J579="","",IF($O579="Evet",0,$N579))</f>
        <v/>
      </c>
    </row>
    <row r="580" ht="15" customHeight="1" s="78">
      <c r="G580" s="123">
        <f>IF($A580="","",MAX(0,$D580+$E580-$F580))</f>
        <v/>
      </c>
      <c r="H580" s="123">
        <f>IF($A580="","",MAX(0,$C580-$B580))</f>
        <v/>
      </c>
      <c r="P580" s="123">
        <f>IF($J580="","",365)</f>
        <v/>
      </c>
      <c r="Q580" s="123">
        <f>IF($J580="","",IF($O580="Evet",0,$N580))</f>
        <v/>
      </c>
    </row>
    <row r="581" ht="15" customHeight="1" s="78">
      <c r="G581" s="123">
        <f>IF($A581="","",MAX(0,$D581+$E581-$F581))</f>
        <v/>
      </c>
      <c r="H581" s="123">
        <f>IF($A581="","",MAX(0,$C581-$B581))</f>
        <v/>
      </c>
      <c r="P581" s="123">
        <f>IF($J581="","",365)</f>
        <v/>
      </c>
      <c r="Q581" s="123">
        <f>IF($J581="","",IF($O581="Evet",0,$N581))</f>
        <v/>
      </c>
    </row>
    <row r="582" ht="15" customHeight="1" s="78">
      <c r="G582" s="123">
        <f>IF($A582="","",MAX(0,$D582+$E582-$F582))</f>
        <v/>
      </c>
      <c r="H582" s="123">
        <f>IF($A582="","",MAX(0,$C582-$B582))</f>
        <v/>
      </c>
      <c r="P582" s="123">
        <f>IF($J582="","",365)</f>
        <v/>
      </c>
      <c r="Q582" s="123">
        <f>IF($J582="","",IF($O582="Evet",0,$N582))</f>
        <v/>
      </c>
    </row>
    <row r="583" ht="15" customHeight="1" s="78">
      <c r="G583" s="123">
        <f>IF($A583="","",MAX(0,$D583+$E583-$F583))</f>
        <v/>
      </c>
      <c r="H583" s="123">
        <f>IF($A583="","",MAX(0,$C583-$B583))</f>
        <v/>
      </c>
      <c r="P583" s="123">
        <f>IF($J583="","",365)</f>
        <v/>
      </c>
      <c r="Q583" s="123">
        <f>IF($J583="","",IF($O583="Evet",0,$N583))</f>
        <v/>
      </c>
    </row>
    <row r="584" ht="15" customHeight="1" s="78">
      <c r="G584" s="123">
        <f>IF($A584="","",MAX(0,$D584+$E584-$F584))</f>
        <v/>
      </c>
      <c r="H584" s="123">
        <f>IF($A584="","",MAX(0,$C584-$B584))</f>
        <v/>
      </c>
      <c r="P584" s="123">
        <f>IF($J584="","",365)</f>
        <v/>
      </c>
      <c r="Q584" s="123">
        <f>IF($J584="","",IF($O584="Evet",0,$N584))</f>
        <v/>
      </c>
    </row>
    <row r="585" ht="15" customHeight="1" s="78">
      <c r="G585" s="123">
        <f>IF($A585="","",MAX(0,$D585+$E585-$F585))</f>
        <v/>
      </c>
      <c r="H585" s="123">
        <f>IF($A585="","",MAX(0,$C585-$B585))</f>
        <v/>
      </c>
      <c r="P585" s="123">
        <f>IF($J585="","",365)</f>
        <v/>
      </c>
      <c r="Q585" s="123">
        <f>IF($J585="","",IF($O585="Evet",0,$N585))</f>
        <v/>
      </c>
    </row>
    <row r="586" ht="15" customHeight="1" s="78">
      <c r="G586" s="123">
        <f>IF($A586="","",MAX(0,$D586+$E586-$F586))</f>
        <v/>
      </c>
      <c r="H586" s="123">
        <f>IF($A586="","",MAX(0,$C586-$B586))</f>
        <v/>
      </c>
      <c r="P586" s="123">
        <f>IF($J586="","",365)</f>
        <v/>
      </c>
      <c r="Q586" s="123">
        <f>IF($J586="","",IF($O586="Evet",0,$N586))</f>
        <v/>
      </c>
    </row>
    <row r="587" ht="15" customHeight="1" s="78">
      <c r="G587" s="123">
        <f>IF($A587="","",MAX(0,$D587+$E587-$F587))</f>
        <v/>
      </c>
      <c r="H587" s="123">
        <f>IF($A587="","",MAX(0,$C587-$B587))</f>
        <v/>
      </c>
      <c r="P587" s="123">
        <f>IF($J587="","",365)</f>
        <v/>
      </c>
      <c r="Q587" s="123">
        <f>IF($J587="","",IF($O587="Evet",0,$N587))</f>
        <v/>
      </c>
    </row>
    <row r="588" ht="15" customHeight="1" s="78">
      <c r="G588" s="123">
        <f>IF($A588="","",MAX(0,$D588+$E588-$F588))</f>
        <v/>
      </c>
      <c r="H588" s="123">
        <f>IF($A588="","",MAX(0,$C588-$B588))</f>
        <v/>
      </c>
      <c r="P588" s="123">
        <f>IF($J588="","",365)</f>
        <v/>
      </c>
      <c r="Q588" s="123">
        <f>IF($J588="","",IF($O588="Evet",0,$N588))</f>
        <v/>
      </c>
    </row>
    <row r="589" ht="15" customHeight="1" s="78">
      <c r="G589" s="123">
        <f>IF($A589="","",MAX(0,$D589+$E589-$F589))</f>
        <v/>
      </c>
      <c r="H589" s="123">
        <f>IF($A589="","",MAX(0,$C589-$B589))</f>
        <v/>
      </c>
      <c r="P589" s="123">
        <f>IF($J589="","",365)</f>
        <v/>
      </c>
      <c r="Q589" s="123">
        <f>IF($J589="","",IF($O589="Evet",0,$N589))</f>
        <v/>
      </c>
    </row>
    <row r="590" ht="15" customHeight="1" s="78">
      <c r="G590" s="123">
        <f>IF($A590="","",MAX(0,$D590+$E590-$F590))</f>
        <v/>
      </c>
      <c r="H590" s="123">
        <f>IF($A590="","",MAX(0,$C590-$B590))</f>
        <v/>
      </c>
      <c r="P590" s="123">
        <f>IF($J590="","",365)</f>
        <v/>
      </c>
      <c r="Q590" s="123">
        <f>IF($J590="","",IF($O590="Evet",0,$N590))</f>
        <v/>
      </c>
    </row>
    <row r="591" ht="15" customHeight="1" s="78">
      <c r="G591" s="123">
        <f>IF($A591="","",MAX(0,$D591+$E591-$F591))</f>
        <v/>
      </c>
      <c r="H591" s="123">
        <f>IF($A591="","",MAX(0,$C591-$B591))</f>
        <v/>
      </c>
      <c r="P591" s="123">
        <f>IF($J591="","",365)</f>
        <v/>
      </c>
      <c r="Q591" s="123">
        <f>IF($J591="","",IF($O591="Evet",0,$N591))</f>
        <v/>
      </c>
    </row>
    <row r="592" ht="15" customHeight="1" s="78">
      <c r="G592" s="123">
        <f>IF($A592="","",MAX(0,$D592+$E592-$F592))</f>
        <v/>
      </c>
      <c r="H592" s="123">
        <f>IF($A592="","",MAX(0,$C592-$B592))</f>
        <v/>
      </c>
      <c r="P592" s="123">
        <f>IF($J592="","",365)</f>
        <v/>
      </c>
      <c r="Q592" s="123">
        <f>IF($J592="","",IF($O592="Evet",0,$N592))</f>
        <v/>
      </c>
    </row>
    <row r="593" ht="15" customHeight="1" s="78">
      <c r="G593" s="123">
        <f>IF($A593="","",MAX(0,$D593+$E593-$F593))</f>
        <v/>
      </c>
      <c r="H593" s="123">
        <f>IF($A593="","",MAX(0,$C593-$B593))</f>
        <v/>
      </c>
      <c r="P593" s="123">
        <f>IF($J593="","",365)</f>
        <v/>
      </c>
      <c r="Q593" s="123">
        <f>IF($J593="","",IF($O593="Evet",0,$N593))</f>
        <v/>
      </c>
    </row>
    <row r="594" ht="15" customHeight="1" s="78">
      <c r="G594" s="123">
        <f>IF($A594="","",MAX(0,$D594+$E594-$F594))</f>
        <v/>
      </c>
      <c r="H594" s="123">
        <f>IF($A594="","",MAX(0,$C594-$B594))</f>
        <v/>
      </c>
      <c r="P594" s="123">
        <f>IF($J594="","",365)</f>
        <v/>
      </c>
      <c r="Q594" s="123">
        <f>IF($J594="","",IF($O594="Evet",0,$N594))</f>
        <v/>
      </c>
    </row>
    <row r="595" ht="15" customHeight="1" s="78">
      <c r="G595" s="123">
        <f>IF($A595="","",MAX(0,$D595+$E595-$F595))</f>
        <v/>
      </c>
      <c r="H595" s="123">
        <f>IF($A595="","",MAX(0,$C595-$B595))</f>
        <v/>
      </c>
      <c r="P595" s="123">
        <f>IF($J595="","",365)</f>
        <v/>
      </c>
      <c r="Q595" s="123">
        <f>IF($J595="","",IF($O595="Evet",0,$N595))</f>
        <v/>
      </c>
    </row>
    <row r="596" ht="15" customHeight="1" s="78">
      <c r="G596" s="123">
        <f>IF($A596="","",MAX(0,$D596+$E596-$F596))</f>
        <v/>
      </c>
      <c r="H596" s="123">
        <f>IF($A596="","",MAX(0,$C596-$B596))</f>
        <v/>
      </c>
      <c r="P596" s="123">
        <f>IF($J596="","",365)</f>
        <v/>
      </c>
      <c r="Q596" s="123">
        <f>IF($J596="","",IF($O596="Evet",0,$N596))</f>
        <v/>
      </c>
    </row>
    <row r="597" ht="15" customHeight="1" s="78">
      <c r="G597" s="123">
        <f>IF($A597="","",MAX(0,$D597+$E597-$F597))</f>
        <v/>
      </c>
      <c r="H597" s="123">
        <f>IF($A597="","",MAX(0,$C597-$B597))</f>
        <v/>
      </c>
      <c r="P597" s="123">
        <f>IF($J597="","",365)</f>
        <v/>
      </c>
      <c r="Q597" s="123">
        <f>IF($J597="","",IF($O597="Evet",0,$N597))</f>
        <v/>
      </c>
    </row>
    <row r="598" ht="15" customHeight="1" s="78">
      <c r="G598" s="123">
        <f>IF($A598="","",MAX(0,$D598+$E598-$F598))</f>
        <v/>
      </c>
      <c r="H598" s="123">
        <f>IF($A598="","",MAX(0,$C598-$B598))</f>
        <v/>
      </c>
      <c r="P598" s="123">
        <f>IF($J598="","",365)</f>
        <v/>
      </c>
      <c r="Q598" s="123">
        <f>IF($J598="","",IF($O598="Evet",0,$N598))</f>
        <v/>
      </c>
    </row>
    <row r="599" ht="15" customHeight="1" s="78">
      <c r="G599" s="123">
        <f>IF($A599="","",MAX(0,$D599+$E599-$F599))</f>
        <v/>
      </c>
      <c r="H599" s="123">
        <f>IF($A599="","",MAX(0,$C599-$B599))</f>
        <v/>
      </c>
      <c r="P599" s="123">
        <f>IF($J599="","",365)</f>
        <v/>
      </c>
      <c r="Q599" s="123">
        <f>IF($J599="","",IF($O599="Evet",0,$N599))</f>
        <v/>
      </c>
    </row>
    <row r="600" ht="15" customHeight="1" s="78">
      <c r="G600" s="123">
        <f>IF($A600="","",MAX(0,$D600+$E600-$F600))</f>
        <v/>
      </c>
      <c r="H600" s="123">
        <f>IF($A600="","",MAX(0,$C600-$B600))</f>
        <v/>
      </c>
      <c r="P600" s="123">
        <f>IF($J600="","",365)</f>
        <v/>
      </c>
      <c r="Q600" s="123">
        <f>IF($J600="","",IF($O600="Evet",0,$N600))</f>
        <v/>
      </c>
    </row>
    <row r="601" ht="15" customHeight="1" s="78">
      <c r="G601" s="123">
        <f>IF($A601="","",MAX(0,$D601+$E601-$F601))</f>
        <v/>
      </c>
      <c r="H601" s="123">
        <f>IF($A601="","",MAX(0,$C601-$B601))</f>
        <v/>
      </c>
      <c r="P601" s="123">
        <f>IF($J601="","",365)</f>
        <v/>
      </c>
      <c r="Q601" s="123">
        <f>IF($J601="","",IF($O601="Evet",0,$N601))</f>
        <v/>
      </c>
    </row>
    <row r="602" ht="15" customHeight="1" s="78">
      <c r="G602" s="123">
        <f>IF($A602="","",MAX(0,$D602+$E602-$F602))</f>
        <v/>
      </c>
      <c r="H602" s="123">
        <f>IF($A602="","",MAX(0,$C602-$B602))</f>
        <v/>
      </c>
      <c r="P602" s="123">
        <f>IF($J602="","",365)</f>
        <v/>
      </c>
      <c r="Q602" s="123">
        <f>IF($J602="","",IF($O602="Evet",0,$N602))</f>
        <v/>
      </c>
    </row>
    <row r="603" ht="15" customHeight="1" s="78">
      <c r="G603" s="123">
        <f>IF($A603="","",MAX(0,$D603+$E603-$F603))</f>
        <v/>
      </c>
      <c r="H603" s="123">
        <f>IF($A603="","",MAX(0,$C603-$B603))</f>
        <v/>
      </c>
      <c r="P603" s="123">
        <f>IF($J603="","",365)</f>
        <v/>
      </c>
      <c r="Q603" s="123">
        <f>IF($J603="","",IF($O603="Evet",0,$N603))</f>
        <v/>
      </c>
    </row>
    <row r="604" ht="15" customHeight="1" s="78">
      <c r="G604" s="123">
        <f>IF($A604="","",MAX(0,$D604+$E604-$F604))</f>
        <v/>
      </c>
      <c r="H604" s="123">
        <f>IF($A604="","",MAX(0,$C604-$B604))</f>
        <v/>
      </c>
      <c r="P604" s="123">
        <f>IF($J604="","",365)</f>
        <v/>
      </c>
      <c r="Q604" s="123">
        <f>IF($J604="","",IF($O604="Evet",0,$N604))</f>
        <v/>
      </c>
    </row>
    <row r="605" ht="15" customHeight="1" s="78">
      <c r="G605" s="123">
        <f>IF($A605="","",MAX(0,$D605+$E605-$F605))</f>
        <v/>
      </c>
      <c r="H605" s="123">
        <f>IF($A605="","",MAX(0,$C605-$B605))</f>
        <v/>
      </c>
      <c r="P605" s="123">
        <f>IF($J605="","",365)</f>
        <v/>
      </c>
      <c r="Q605" s="123">
        <f>IF($J605="","",IF($O605="Evet",0,$N605))</f>
        <v/>
      </c>
    </row>
    <row r="606" ht="15" customHeight="1" s="78">
      <c r="G606" s="123">
        <f>IF($A606="","",MAX(0,$D606+$E606-$F606))</f>
        <v/>
      </c>
      <c r="H606" s="123">
        <f>IF($A606="","",MAX(0,$C606-$B606))</f>
        <v/>
      </c>
      <c r="P606" s="123">
        <f>IF($J606="","",365)</f>
        <v/>
      </c>
      <c r="Q606" s="123">
        <f>IF($J606="","",IF($O606="Evet",0,$N606))</f>
        <v/>
      </c>
    </row>
    <row r="607" ht="15" customHeight="1" s="78">
      <c r="G607" s="123">
        <f>IF($A607="","",MAX(0,$D607+$E607-$F607))</f>
        <v/>
      </c>
      <c r="H607" s="123">
        <f>IF($A607="","",MAX(0,$C607-$B607))</f>
        <v/>
      </c>
      <c r="P607" s="123">
        <f>IF($J607="","",365)</f>
        <v/>
      </c>
      <c r="Q607" s="123">
        <f>IF($J607="","",IF($O607="Evet",0,$N607))</f>
        <v/>
      </c>
    </row>
    <row r="608" ht="15" customHeight="1" s="78">
      <c r="G608" s="123">
        <f>IF($A608="","",MAX(0,$D608+$E608-$F608))</f>
        <v/>
      </c>
      <c r="H608" s="123">
        <f>IF($A608="","",MAX(0,$C608-$B608))</f>
        <v/>
      </c>
      <c r="P608" s="123">
        <f>IF($J608="","",365)</f>
        <v/>
      </c>
      <c r="Q608" s="123">
        <f>IF($J608="","",IF($O608="Evet",0,$N608))</f>
        <v/>
      </c>
    </row>
    <row r="609" ht="15" customHeight="1" s="78">
      <c r="G609" s="123">
        <f>IF($A609="","",MAX(0,$D609+$E609-$F609))</f>
        <v/>
      </c>
      <c r="H609" s="123">
        <f>IF($A609="","",MAX(0,$C609-$B609))</f>
        <v/>
      </c>
      <c r="P609" s="123">
        <f>IF($J609="","",365)</f>
        <v/>
      </c>
      <c r="Q609" s="123">
        <f>IF($J609="","",IF($O609="Evet",0,$N609))</f>
        <v/>
      </c>
    </row>
    <row r="610" ht="15" customHeight="1" s="78">
      <c r="G610" s="123">
        <f>IF($A610="","",MAX(0,$D610+$E610-$F610))</f>
        <v/>
      </c>
      <c r="H610" s="123">
        <f>IF($A610="","",MAX(0,$C610-$B610))</f>
        <v/>
      </c>
      <c r="P610" s="123">
        <f>IF($J610="","",365)</f>
        <v/>
      </c>
      <c r="Q610" s="123">
        <f>IF($J610="","",IF($O610="Evet",0,$N610))</f>
        <v/>
      </c>
    </row>
    <row r="611" ht="15" customHeight="1" s="78">
      <c r="G611" s="123">
        <f>IF($A611="","",MAX(0,$D611+$E611-$F611))</f>
        <v/>
      </c>
      <c r="H611" s="123">
        <f>IF($A611="","",MAX(0,$C611-$B611))</f>
        <v/>
      </c>
      <c r="P611" s="123">
        <f>IF($J611="","",365)</f>
        <v/>
      </c>
      <c r="Q611" s="123">
        <f>IF($J611="","",IF($O611="Evet",0,$N611))</f>
        <v/>
      </c>
    </row>
    <row r="612" ht="15" customHeight="1" s="78">
      <c r="G612" s="123">
        <f>IF($A612="","",MAX(0,$D612+$E612-$F612))</f>
        <v/>
      </c>
      <c r="H612" s="123">
        <f>IF($A612="","",MAX(0,$C612-$B612))</f>
        <v/>
      </c>
      <c r="P612" s="123">
        <f>IF($J612="","",365)</f>
        <v/>
      </c>
      <c r="Q612" s="123">
        <f>IF($J612="","",IF($O612="Evet",0,$N612))</f>
        <v/>
      </c>
    </row>
    <row r="613" ht="15" customHeight="1" s="78">
      <c r="G613" s="123">
        <f>IF($A613="","",MAX(0,$D613+$E613-$F613))</f>
        <v/>
      </c>
      <c r="H613" s="123">
        <f>IF($A613="","",MAX(0,$C613-$B613))</f>
        <v/>
      </c>
      <c r="P613" s="123">
        <f>IF($J613="","",365)</f>
        <v/>
      </c>
      <c r="Q613" s="123">
        <f>IF($J613="","",IF($O613="Evet",0,$N613))</f>
        <v/>
      </c>
    </row>
    <row r="614" ht="15" customHeight="1" s="78">
      <c r="G614" s="123">
        <f>IF($A614="","",MAX(0,$D614+$E614-$F614))</f>
        <v/>
      </c>
      <c r="H614" s="123">
        <f>IF($A614="","",MAX(0,$C614-$B614))</f>
        <v/>
      </c>
      <c r="P614" s="123">
        <f>IF($J614="","",365)</f>
        <v/>
      </c>
      <c r="Q614" s="123">
        <f>IF($J614="","",IF($O614="Evet",0,$N614))</f>
        <v/>
      </c>
    </row>
    <row r="615" ht="15" customHeight="1" s="78">
      <c r="G615" s="123">
        <f>IF($A615="","",MAX(0,$D615+$E615-$F615))</f>
        <v/>
      </c>
      <c r="H615" s="123">
        <f>IF($A615="","",MAX(0,$C615-$B615))</f>
        <v/>
      </c>
      <c r="P615" s="123">
        <f>IF($J615="","",365)</f>
        <v/>
      </c>
      <c r="Q615" s="123">
        <f>IF($J615="","",IF($O615="Evet",0,$N615))</f>
        <v/>
      </c>
    </row>
    <row r="616" ht="15" customHeight="1" s="78">
      <c r="G616" s="123">
        <f>IF($A616="","",MAX(0,$D616+$E616-$F616))</f>
        <v/>
      </c>
      <c r="H616" s="123">
        <f>IF($A616="","",MAX(0,$C616-$B616))</f>
        <v/>
      </c>
      <c r="P616" s="123">
        <f>IF($J616="","",365)</f>
        <v/>
      </c>
      <c r="Q616" s="123">
        <f>IF($J616="","",IF($O616="Evet",0,$N616))</f>
        <v/>
      </c>
    </row>
    <row r="617" ht="15" customHeight="1" s="78">
      <c r="G617" s="123">
        <f>IF($A617="","",MAX(0,$D617+$E617-$F617))</f>
        <v/>
      </c>
      <c r="H617" s="123">
        <f>IF($A617="","",MAX(0,$C617-$B617))</f>
        <v/>
      </c>
      <c r="P617" s="123">
        <f>IF($J617="","",365)</f>
        <v/>
      </c>
      <c r="Q617" s="123">
        <f>IF($J617="","",IF($O617="Evet",0,$N617))</f>
        <v/>
      </c>
    </row>
    <row r="618" ht="15" customHeight="1" s="78">
      <c r="G618" s="123">
        <f>IF($A618="","",MAX(0,$D618+$E618-$F618))</f>
        <v/>
      </c>
      <c r="H618" s="123">
        <f>IF($A618="","",MAX(0,$C618-$B618))</f>
        <v/>
      </c>
      <c r="P618" s="123">
        <f>IF($J618="","",365)</f>
        <v/>
      </c>
      <c r="Q618" s="123">
        <f>IF($J618="","",IF($O618="Evet",0,$N618))</f>
        <v/>
      </c>
    </row>
    <row r="619" ht="15" customHeight="1" s="78">
      <c r="G619" s="123">
        <f>IF($A619="","",MAX(0,$D619+$E619-$F619))</f>
        <v/>
      </c>
      <c r="H619" s="123">
        <f>IF($A619="","",MAX(0,$C619-$B619))</f>
        <v/>
      </c>
      <c r="P619" s="123">
        <f>IF($J619="","",365)</f>
        <v/>
      </c>
      <c r="Q619" s="123">
        <f>IF($J619="","",IF($O619="Evet",0,$N619))</f>
        <v/>
      </c>
    </row>
    <row r="620" ht="15" customHeight="1" s="78">
      <c r="G620" s="123">
        <f>IF($A620="","",MAX(0,$D620+$E620-$F620))</f>
        <v/>
      </c>
      <c r="H620" s="123">
        <f>IF($A620="","",MAX(0,$C620-$B620))</f>
        <v/>
      </c>
      <c r="P620" s="123">
        <f>IF($J620="","",365)</f>
        <v/>
      </c>
      <c r="Q620" s="123">
        <f>IF($J620="","",IF($O620="Evet",0,$N620))</f>
        <v/>
      </c>
    </row>
    <row r="621" ht="15" customHeight="1" s="78">
      <c r="G621" s="123">
        <f>IF($A621="","",MAX(0,$D621+$E621-$F621))</f>
        <v/>
      </c>
      <c r="H621" s="123">
        <f>IF($A621="","",MAX(0,$C621-$B621))</f>
        <v/>
      </c>
      <c r="P621" s="123">
        <f>IF($J621="","",365)</f>
        <v/>
      </c>
      <c r="Q621" s="123">
        <f>IF($J621="","",IF($O621="Evet",0,$N621))</f>
        <v/>
      </c>
    </row>
    <row r="622" ht="15" customHeight="1" s="78">
      <c r="G622" s="123">
        <f>IF($A622="","",MAX(0,$D622+$E622-$F622))</f>
        <v/>
      </c>
      <c r="H622" s="123">
        <f>IF($A622="","",MAX(0,$C622-$B622))</f>
        <v/>
      </c>
      <c r="P622" s="123">
        <f>IF($J622="","",365)</f>
        <v/>
      </c>
      <c r="Q622" s="123">
        <f>IF($J622="","",IF($O622="Evet",0,$N622))</f>
        <v/>
      </c>
    </row>
    <row r="623" ht="15" customHeight="1" s="78">
      <c r="G623" s="123">
        <f>IF($A623="","",MAX(0,$D623+$E623-$F623))</f>
        <v/>
      </c>
      <c r="H623" s="123">
        <f>IF($A623="","",MAX(0,$C623-$B623))</f>
        <v/>
      </c>
      <c r="P623" s="123">
        <f>IF($J623="","",365)</f>
        <v/>
      </c>
      <c r="Q623" s="123">
        <f>IF($J623="","",IF($O623="Evet",0,$N623))</f>
        <v/>
      </c>
    </row>
    <row r="624" ht="15" customHeight="1" s="78">
      <c r="G624" s="123">
        <f>IF($A624="","",MAX(0,$D624+$E624-$F624))</f>
        <v/>
      </c>
      <c r="H624" s="123">
        <f>IF($A624="","",MAX(0,$C624-$B624))</f>
        <v/>
      </c>
      <c r="P624" s="123">
        <f>IF($J624="","",365)</f>
        <v/>
      </c>
      <c r="Q624" s="123">
        <f>IF($J624="","",IF($O624="Evet",0,$N624))</f>
        <v/>
      </c>
    </row>
    <row r="625" ht="15" customHeight="1" s="78">
      <c r="G625" s="123">
        <f>IF($A625="","",MAX(0,$D625+$E625-$F625))</f>
        <v/>
      </c>
      <c r="H625" s="123">
        <f>IF($A625="","",MAX(0,$C625-$B625))</f>
        <v/>
      </c>
      <c r="P625" s="123">
        <f>IF($J625="","",365)</f>
        <v/>
      </c>
      <c r="Q625" s="123">
        <f>IF($J625="","",IF($O625="Evet",0,$N625))</f>
        <v/>
      </c>
    </row>
    <row r="626" ht="15" customHeight="1" s="78">
      <c r="G626" s="123">
        <f>IF($A626="","",MAX(0,$D626+$E626-$F626))</f>
        <v/>
      </c>
      <c r="H626" s="123">
        <f>IF($A626="","",MAX(0,$C626-$B626))</f>
        <v/>
      </c>
      <c r="P626" s="123">
        <f>IF($J626="","",365)</f>
        <v/>
      </c>
      <c r="Q626" s="123">
        <f>IF($J626="","",IF($O626="Evet",0,$N626))</f>
        <v/>
      </c>
    </row>
    <row r="627" ht="15" customHeight="1" s="78">
      <c r="G627" s="123">
        <f>IF($A627="","",MAX(0,$D627+$E627-$F627))</f>
        <v/>
      </c>
      <c r="H627" s="123">
        <f>IF($A627="","",MAX(0,$C627-$B627))</f>
        <v/>
      </c>
      <c r="P627" s="123">
        <f>IF($J627="","",365)</f>
        <v/>
      </c>
      <c r="Q627" s="123">
        <f>IF($J627="","",IF($O627="Evet",0,$N627))</f>
        <v/>
      </c>
    </row>
    <row r="628" ht="15" customHeight="1" s="78">
      <c r="G628" s="123">
        <f>IF($A628="","",MAX(0,$D628+$E628-$F628))</f>
        <v/>
      </c>
      <c r="H628" s="123">
        <f>IF($A628="","",MAX(0,$C628-$B628))</f>
        <v/>
      </c>
      <c r="P628" s="123">
        <f>IF($J628="","",365)</f>
        <v/>
      </c>
      <c r="Q628" s="123">
        <f>IF($J628="","",IF($O628="Evet",0,$N628))</f>
        <v/>
      </c>
    </row>
    <row r="629" ht="15" customHeight="1" s="78">
      <c r="G629" s="123">
        <f>IF($A629="","",MAX(0,$D629+$E629-$F629))</f>
        <v/>
      </c>
      <c r="H629" s="123">
        <f>IF($A629="","",MAX(0,$C629-$B629))</f>
        <v/>
      </c>
      <c r="P629" s="123">
        <f>IF($J629="","",365)</f>
        <v/>
      </c>
      <c r="Q629" s="123">
        <f>IF($J629="","",IF($O629="Evet",0,$N629))</f>
        <v/>
      </c>
    </row>
    <row r="630" ht="15" customHeight="1" s="78">
      <c r="G630" s="123">
        <f>IF($A630="","",MAX(0,$D630+$E630-$F630))</f>
        <v/>
      </c>
      <c r="H630" s="123">
        <f>IF($A630="","",MAX(0,$C630-$B630))</f>
        <v/>
      </c>
      <c r="P630" s="123">
        <f>IF($J630="","",365)</f>
        <v/>
      </c>
      <c r="Q630" s="123">
        <f>IF($J630="","",IF($O630="Evet",0,$N630))</f>
        <v/>
      </c>
    </row>
    <row r="631" ht="15" customHeight="1" s="78">
      <c r="G631" s="123">
        <f>IF($A631="","",MAX(0,$D631+$E631-$F631))</f>
        <v/>
      </c>
      <c r="H631" s="123">
        <f>IF($A631="","",MAX(0,$C631-$B631))</f>
        <v/>
      </c>
      <c r="P631" s="123">
        <f>IF($J631="","",365)</f>
        <v/>
      </c>
      <c r="Q631" s="123">
        <f>IF($J631="","",IF($O631="Evet",0,$N631))</f>
        <v/>
      </c>
    </row>
    <row r="632" ht="15" customHeight="1" s="78">
      <c r="G632" s="123">
        <f>IF($A632="","",MAX(0,$D632+$E632-$F632))</f>
        <v/>
      </c>
      <c r="H632" s="123">
        <f>IF($A632="","",MAX(0,$C632-$B632))</f>
        <v/>
      </c>
      <c r="P632" s="123">
        <f>IF($J632="","",365)</f>
        <v/>
      </c>
      <c r="Q632" s="123">
        <f>IF($J632="","",IF($O632="Evet",0,$N632))</f>
        <v/>
      </c>
    </row>
    <row r="633" ht="15" customHeight="1" s="78">
      <c r="G633" s="123">
        <f>IF($A633="","",MAX(0,$D633+$E633-$F633))</f>
        <v/>
      </c>
      <c r="H633" s="123">
        <f>IF($A633="","",MAX(0,$C633-$B633))</f>
        <v/>
      </c>
      <c r="P633" s="123">
        <f>IF($J633="","",365)</f>
        <v/>
      </c>
      <c r="Q633" s="123">
        <f>IF($J633="","",IF($O633="Evet",0,$N633))</f>
        <v/>
      </c>
    </row>
    <row r="634" ht="15" customHeight="1" s="78">
      <c r="G634" s="123">
        <f>IF($A634="","",MAX(0,$D634+$E634-$F634))</f>
        <v/>
      </c>
      <c r="H634" s="123">
        <f>IF($A634="","",MAX(0,$C634-$B634))</f>
        <v/>
      </c>
      <c r="P634" s="123">
        <f>IF($J634="","",365)</f>
        <v/>
      </c>
      <c r="Q634" s="123">
        <f>IF($J634="","",IF($O634="Evet",0,$N634))</f>
        <v/>
      </c>
    </row>
    <row r="635" ht="15" customHeight="1" s="78">
      <c r="G635" s="123">
        <f>IF($A635="","",MAX(0,$D635+$E635-$F635))</f>
        <v/>
      </c>
      <c r="H635" s="123">
        <f>IF($A635="","",MAX(0,$C635-$B635))</f>
        <v/>
      </c>
      <c r="P635" s="123">
        <f>IF($J635="","",365)</f>
        <v/>
      </c>
      <c r="Q635" s="123">
        <f>IF($J635="","",IF($O635="Evet",0,$N635))</f>
        <v/>
      </c>
    </row>
    <row r="636" ht="15" customHeight="1" s="78">
      <c r="G636" s="123">
        <f>IF($A636="","",MAX(0,$D636+$E636-$F636))</f>
        <v/>
      </c>
      <c r="H636" s="123">
        <f>IF($A636="","",MAX(0,$C636-$B636))</f>
        <v/>
      </c>
      <c r="P636" s="123">
        <f>IF($J636="","",365)</f>
        <v/>
      </c>
      <c r="Q636" s="123">
        <f>IF($J636="","",IF($O636="Evet",0,$N636))</f>
        <v/>
      </c>
    </row>
    <row r="637" ht="15" customHeight="1" s="78">
      <c r="G637" s="123">
        <f>IF($A637="","",MAX(0,$D637+$E637-$F637))</f>
        <v/>
      </c>
      <c r="H637" s="123">
        <f>IF($A637="","",MAX(0,$C637-$B637))</f>
        <v/>
      </c>
      <c r="P637" s="123">
        <f>IF($J637="","",365)</f>
        <v/>
      </c>
      <c r="Q637" s="123">
        <f>IF($J637="","",IF($O637="Evet",0,$N637))</f>
        <v/>
      </c>
    </row>
    <row r="638" ht="15" customHeight="1" s="78">
      <c r="G638" s="123">
        <f>IF($A638="","",MAX(0,$D638+$E638-$F638))</f>
        <v/>
      </c>
      <c r="H638" s="123">
        <f>IF($A638="","",MAX(0,$C638-$B638))</f>
        <v/>
      </c>
      <c r="P638" s="123">
        <f>IF($J638="","",365)</f>
        <v/>
      </c>
      <c r="Q638" s="123">
        <f>IF($J638="","",IF($O638="Evet",0,$N638))</f>
        <v/>
      </c>
    </row>
    <row r="639" ht="15" customHeight="1" s="78">
      <c r="G639" s="123">
        <f>IF($A639="","",MAX(0,$D639+$E639-$F639))</f>
        <v/>
      </c>
      <c r="H639" s="123">
        <f>IF($A639="","",MAX(0,$C639-$B639))</f>
        <v/>
      </c>
      <c r="P639" s="123">
        <f>IF($J639="","",365)</f>
        <v/>
      </c>
      <c r="Q639" s="123">
        <f>IF($J639="","",IF($O639="Evet",0,$N639))</f>
        <v/>
      </c>
    </row>
    <row r="640" ht="15" customHeight="1" s="78">
      <c r="G640" s="123">
        <f>IF($A640="","",MAX(0,$D640+$E640-$F640))</f>
        <v/>
      </c>
      <c r="H640" s="123">
        <f>IF($A640="","",MAX(0,$C640-$B640))</f>
        <v/>
      </c>
      <c r="P640" s="123">
        <f>IF($J640="","",365)</f>
        <v/>
      </c>
      <c r="Q640" s="123">
        <f>IF($J640="","",IF($O640="Evet",0,$N640))</f>
        <v/>
      </c>
    </row>
    <row r="641" ht="15" customHeight="1" s="78">
      <c r="G641" s="123">
        <f>IF($A641="","",MAX(0,$D641+$E641-$F641))</f>
        <v/>
      </c>
      <c r="H641" s="123">
        <f>IF($A641="","",MAX(0,$C641-$B641))</f>
        <v/>
      </c>
      <c r="P641" s="123">
        <f>IF($J641="","",365)</f>
        <v/>
      </c>
      <c r="Q641" s="123">
        <f>IF($J641="","",IF($O641="Evet",0,$N641))</f>
        <v/>
      </c>
    </row>
    <row r="642" ht="15" customHeight="1" s="78">
      <c r="G642" s="123">
        <f>IF($A642="","",MAX(0,$D642+$E642-$F642))</f>
        <v/>
      </c>
      <c r="H642" s="123">
        <f>IF($A642="","",MAX(0,$C642-$B642))</f>
        <v/>
      </c>
      <c r="P642" s="123">
        <f>IF($J642="","",365)</f>
        <v/>
      </c>
      <c r="Q642" s="123">
        <f>IF($J642="","",IF($O642="Evet",0,$N642))</f>
        <v/>
      </c>
    </row>
    <row r="643" ht="15" customHeight="1" s="78">
      <c r="G643" s="123">
        <f>IF($A643="","",MAX(0,$D643+$E643-$F643))</f>
        <v/>
      </c>
      <c r="H643" s="123">
        <f>IF($A643="","",MAX(0,$C643-$B643))</f>
        <v/>
      </c>
      <c r="P643" s="123">
        <f>IF($J643="","",365)</f>
        <v/>
      </c>
      <c r="Q643" s="123">
        <f>IF($J643="","",IF($O643="Evet",0,$N643))</f>
        <v/>
      </c>
    </row>
    <row r="644" ht="15" customHeight="1" s="78">
      <c r="G644" s="123">
        <f>IF($A644="","",MAX(0,$D644+$E644-$F644))</f>
        <v/>
      </c>
      <c r="H644" s="123">
        <f>IF($A644="","",MAX(0,$C644-$B644))</f>
        <v/>
      </c>
      <c r="P644" s="123">
        <f>IF($J644="","",365)</f>
        <v/>
      </c>
      <c r="Q644" s="123">
        <f>IF($J644="","",IF($O644="Evet",0,$N644))</f>
        <v/>
      </c>
    </row>
    <row r="645" ht="15" customHeight="1" s="78">
      <c r="G645" s="123">
        <f>IF($A645="","",MAX(0,$D645+$E645-$F645))</f>
        <v/>
      </c>
      <c r="H645" s="123">
        <f>IF($A645="","",MAX(0,$C645-$B645))</f>
        <v/>
      </c>
      <c r="P645" s="123">
        <f>IF($J645="","",365)</f>
        <v/>
      </c>
      <c r="Q645" s="123">
        <f>IF($J645="","",IF($O645="Evet",0,$N645))</f>
        <v/>
      </c>
    </row>
    <row r="646" ht="15" customHeight="1" s="78">
      <c r="G646" s="123">
        <f>IF($A646="","",MAX(0,$D646+$E646-$F646))</f>
        <v/>
      </c>
      <c r="H646" s="123">
        <f>IF($A646="","",MAX(0,$C646-$B646))</f>
        <v/>
      </c>
      <c r="P646" s="123">
        <f>IF($J646="","",365)</f>
        <v/>
      </c>
      <c r="Q646" s="123">
        <f>IF($J646="","",IF($O646="Evet",0,$N646))</f>
        <v/>
      </c>
    </row>
    <row r="647" ht="15" customHeight="1" s="78">
      <c r="G647" s="123">
        <f>IF($A647="","",MAX(0,$D647+$E647-$F647))</f>
        <v/>
      </c>
      <c r="H647" s="123">
        <f>IF($A647="","",MAX(0,$C647-$B647))</f>
        <v/>
      </c>
      <c r="P647" s="123">
        <f>IF($J647="","",365)</f>
        <v/>
      </c>
      <c r="Q647" s="123">
        <f>IF($J647="","",IF($O647="Evet",0,$N647))</f>
        <v/>
      </c>
    </row>
    <row r="648" ht="15" customHeight="1" s="78">
      <c r="G648" s="123">
        <f>IF($A648="","",MAX(0,$D648+$E648-$F648))</f>
        <v/>
      </c>
      <c r="H648" s="123">
        <f>IF($A648="","",MAX(0,$C648-$B648))</f>
        <v/>
      </c>
      <c r="P648" s="123">
        <f>IF($J648="","",365)</f>
        <v/>
      </c>
      <c r="Q648" s="123">
        <f>IF($J648="","",IF($O648="Evet",0,$N648))</f>
        <v/>
      </c>
    </row>
    <row r="649" ht="15" customHeight="1" s="78">
      <c r="G649" s="123">
        <f>IF($A649="","",MAX(0,$D649+$E649-$F649))</f>
        <v/>
      </c>
      <c r="H649" s="123">
        <f>IF($A649="","",MAX(0,$C649-$B649))</f>
        <v/>
      </c>
      <c r="P649" s="123">
        <f>IF($J649="","",365)</f>
        <v/>
      </c>
      <c r="Q649" s="123">
        <f>IF($J649="","",IF($O649="Evet",0,$N649))</f>
        <v/>
      </c>
    </row>
    <row r="650" ht="15" customHeight="1" s="78">
      <c r="G650" s="123">
        <f>IF($A650="","",MAX(0,$D650+$E650-$F650))</f>
        <v/>
      </c>
      <c r="H650" s="123">
        <f>IF($A650="","",MAX(0,$C650-$B650))</f>
        <v/>
      </c>
      <c r="P650" s="123">
        <f>IF($J650="","",365)</f>
        <v/>
      </c>
      <c r="Q650" s="123">
        <f>IF($J650="","",IF($O650="Evet",0,$N650))</f>
        <v/>
      </c>
    </row>
    <row r="651" ht="15" customHeight="1" s="78">
      <c r="G651" s="123">
        <f>IF($A651="","",MAX(0,$D651+$E651-$F651))</f>
        <v/>
      </c>
      <c r="H651" s="123">
        <f>IF($A651="","",MAX(0,$C651-$B651))</f>
        <v/>
      </c>
      <c r="P651" s="123">
        <f>IF($J651="","",365)</f>
        <v/>
      </c>
      <c r="Q651" s="123">
        <f>IF($J651="","",IF($O651="Evet",0,$N651))</f>
        <v/>
      </c>
    </row>
    <row r="652" ht="15" customHeight="1" s="78">
      <c r="G652" s="123">
        <f>IF($A652="","",MAX(0,$D652+$E652-$F652))</f>
        <v/>
      </c>
      <c r="H652" s="123">
        <f>IF($A652="","",MAX(0,$C652-$B652))</f>
        <v/>
      </c>
      <c r="P652" s="123">
        <f>IF($J652="","",365)</f>
        <v/>
      </c>
      <c r="Q652" s="123">
        <f>IF($J652="","",IF($O652="Evet",0,$N652))</f>
        <v/>
      </c>
    </row>
    <row r="653" ht="15" customHeight="1" s="78">
      <c r="G653" s="123">
        <f>IF($A653="","",MAX(0,$D653+$E653-$F653))</f>
        <v/>
      </c>
      <c r="H653" s="123">
        <f>IF($A653="","",MAX(0,$C653-$B653))</f>
        <v/>
      </c>
      <c r="P653" s="123">
        <f>IF($J653="","",365)</f>
        <v/>
      </c>
      <c r="Q653" s="123">
        <f>IF($J653="","",IF($O653="Evet",0,$N653))</f>
        <v/>
      </c>
    </row>
    <row r="654" ht="15" customHeight="1" s="78">
      <c r="G654" s="123">
        <f>IF($A654="","",MAX(0,$D654+$E654-$F654))</f>
        <v/>
      </c>
      <c r="H654" s="123">
        <f>IF($A654="","",MAX(0,$C654-$B654))</f>
        <v/>
      </c>
      <c r="P654" s="123">
        <f>IF($J654="","",365)</f>
        <v/>
      </c>
      <c r="Q654" s="123">
        <f>IF($J654="","",IF($O654="Evet",0,$N654))</f>
        <v/>
      </c>
    </row>
    <row r="655" ht="15" customHeight="1" s="78">
      <c r="G655" s="123">
        <f>IF($A655="","",MAX(0,$D655+$E655-$F655))</f>
        <v/>
      </c>
      <c r="H655" s="123">
        <f>IF($A655="","",MAX(0,$C655-$B655))</f>
        <v/>
      </c>
      <c r="P655" s="123">
        <f>IF($J655="","",365)</f>
        <v/>
      </c>
      <c r="Q655" s="123">
        <f>IF($J655="","",IF($O655="Evet",0,$N655))</f>
        <v/>
      </c>
    </row>
    <row r="656" ht="15" customHeight="1" s="78">
      <c r="G656" s="123">
        <f>IF($A656="","",MAX(0,$D656+$E656-$F656))</f>
        <v/>
      </c>
      <c r="H656" s="123">
        <f>IF($A656="","",MAX(0,$C656-$B656))</f>
        <v/>
      </c>
      <c r="P656" s="123">
        <f>IF($J656="","",365)</f>
        <v/>
      </c>
      <c r="Q656" s="123">
        <f>IF($J656="","",IF($O656="Evet",0,$N656))</f>
        <v/>
      </c>
    </row>
    <row r="657" ht="15" customHeight="1" s="78">
      <c r="G657" s="123">
        <f>IF($A657="","",MAX(0,$D657+$E657-$F657))</f>
        <v/>
      </c>
      <c r="H657" s="123">
        <f>IF($A657="","",MAX(0,$C657-$B657))</f>
        <v/>
      </c>
      <c r="P657" s="123">
        <f>IF($J657="","",365)</f>
        <v/>
      </c>
      <c r="Q657" s="123">
        <f>IF($J657="","",IF($O657="Evet",0,$N657))</f>
        <v/>
      </c>
    </row>
    <row r="658" ht="15" customHeight="1" s="78">
      <c r="G658" s="123">
        <f>IF($A658="","",MAX(0,$D658+$E658-$F658))</f>
        <v/>
      </c>
      <c r="H658" s="123">
        <f>IF($A658="","",MAX(0,$C658-$B658))</f>
        <v/>
      </c>
      <c r="P658" s="123">
        <f>IF($J658="","",365)</f>
        <v/>
      </c>
      <c r="Q658" s="123">
        <f>IF($J658="","",IF($O658="Evet",0,$N658))</f>
        <v/>
      </c>
    </row>
    <row r="659" ht="15" customHeight="1" s="78">
      <c r="G659" s="123">
        <f>IF($A659="","",MAX(0,$D659+$E659-$F659))</f>
        <v/>
      </c>
      <c r="H659" s="123">
        <f>IF($A659="","",MAX(0,$C659-$B659))</f>
        <v/>
      </c>
      <c r="P659" s="123">
        <f>IF($J659="","",365)</f>
        <v/>
      </c>
      <c r="Q659" s="123">
        <f>IF($J659="","",IF($O659="Evet",0,$N659))</f>
        <v/>
      </c>
    </row>
    <row r="660" ht="15" customHeight="1" s="78">
      <c r="G660" s="123">
        <f>IF($A660="","",MAX(0,$D660+$E660-$F660))</f>
        <v/>
      </c>
      <c r="H660" s="123">
        <f>IF($A660="","",MAX(0,$C660-$B660))</f>
        <v/>
      </c>
      <c r="P660" s="123">
        <f>IF($J660="","",365)</f>
        <v/>
      </c>
      <c r="Q660" s="123">
        <f>IF($J660="","",IF($O660="Evet",0,$N660))</f>
        <v/>
      </c>
    </row>
    <row r="661" ht="15" customHeight="1" s="78">
      <c r="G661" s="123">
        <f>IF($A661="","",MAX(0,$D661+$E661-$F661))</f>
        <v/>
      </c>
      <c r="H661" s="123">
        <f>IF($A661="","",MAX(0,$C661-$B661))</f>
        <v/>
      </c>
      <c r="P661" s="123">
        <f>IF($J661="","",365)</f>
        <v/>
      </c>
      <c r="Q661" s="123">
        <f>IF($J661="","",IF($O661="Evet",0,$N661))</f>
        <v/>
      </c>
    </row>
    <row r="662" ht="15" customHeight="1" s="78">
      <c r="G662" s="123">
        <f>IF($A662="","",MAX(0,$D662+$E662-$F662))</f>
        <v/>
      </c>
      <c r="H662" s="123">
        <f>IF($A662="","",MAX(0,$C662-$B662))</f>
        <v/>
      </c>
      <c r="P662" s="123">
        <f>IF($J662="","",365)</f>
        <v/>
      </c>
      <c r="Q662" s="123">
        <f>IF($J662="","",IF($O662="Evet",0,$N662))</f>
        <v/>
      </c>
    </row>
    <row r="663" ht="15" customHeight="1" s="78">
      <c r="G663" s="123">
        <f>IF($A663="","",MAX(0,$D663+$E663-$F663))</f>
        <v/>
      </c>
      <c r="H663" s="123">
        <f>IF($A663="","",MAX(0,$C663-$B663))</f>
        <v/>
      </c>
      <c r="P663" s="123">
        <f>IF($J663="","",365)</f>
        <v/>
      </c>
      <c r="Q663" s="123">
        <f>IF($J663="","",IF($O663="Evet",0,$N663))</f>
        <v/>
      </c>
    </row>
    <row r="664" ht="15" customHeight="1" s="78">
      <c r="G664" s="123">
        <f>IF($A664="","",MAX(0,$D664+$E664-$F664))</f>
        <v/>
      </c>
      <c r="H664" s="123">
        <f>IF($A664="","",MAX(0,$C664-$B664))</f>
        <v/>
      </c>
      <c r="P664" s="123">
        <f>IF($J664="","",365)</f>
        <v/>
      </c>
      <c r="Q664" s="123">
        <f>IF($J664="","",IF($O664="Evet",0,$N664))</f>
        <v/>
      </c>
    </row>
    <row r="665" ht="15" customHeight="1" s="78">
      <c r="G665" s="123">
        <f>IF($A665="","",MAX(0,$D665+$E665-$F665))</f>
        <v/>
      </c>
      <c r="H665" s="123">
        <f>IF($A665="","",MAX(0,$C665-$B665))</f>
        <v/>
      </c>
      <c r="P665" s="123">
        <f>IF($J665="","",365)</f>
        <v/>
      </c>
      <c r="Q665" s="123">
        <f>IF($J665="","",IF($O665="Evet",0,$N665))</f>
        <v/>
      </c>
    </row>
    <row r="666" ht="15" customHeight="1" s="78">
      <c r="G666" s="123">
        <f>IF($A666="","",MAX(0,$D666+$E666-$F666))</f>
        <v/>
      </c>
      <c r="H666" s="123">
        <f>IF($A666="","",MAX(0,$C666-$B666))</f>
        <v/>
      </c>
      <c r="P666" s="123">
        <f>IF($J666="","",365)</f>
        <v/>
      </c>
      <c r="Q666" s="123">
        <f>IF($J666="","",IF($O666="Evet",0,$N666))</f>
        <v/>
      </c>
    </row>
    <row r="667" ht="15" customHeight="1" s="78">
      <c r="G667" s="123">
        <f>IF($A667="","",MAX(0,$D667+$E667-$F667))</f>
        <v/>
      </c>
      <c r="H667" s="123">
        <f>IF($A667="","",MAX(0,$C667-$B667))</f>
        <v/>
      </c>
      <c r="P667" s="123">
        <f>IF($J667="","",365)</f>
        <v/>
      </c>
      <c r="Q667" s="123">
        <f>IF($J667="","",IF($O667="Evet",0,$N667))</f>
        <v/>
      </c>
    </row>
    <row r="668" ht="15" customHeight="1" s="78">
      <c r="G668" s="123">
        <f>IF($A668="","",MAX(0,$D668+$E668-$F668))</f>
        <v/>
      </c>
      <c r="H668" s="123">
        <f>IF($A668="","",MAX(0,$C668-$B668))</f>
        <v/>
      </c>
      <c r="P668" s="123">
        <f>IF($J668="","",365)</f>
        <v/>
      </c>
      <c r="Q668" s="123">
        <f>IF($J668="","",IF($O668="Evet",0,$N668))</f>
        <v/>
      </c>
    </row>
    <row r="669" ht="15" customHeight="1" s="78">
      <c r="G669" s="123">
        <f>IF($A669="","",MAX(0,$D669+$E669-$F669))</f>
        <v/>
      </c>
      <c r="H669" s="123">
        <f>IF($A669="","",MAX(0,$C669-$B669))</f>
        <v/>
      </c>
      <c r="P669" s="123">
        <f>IF($J669="","",365)</f>
        <v/>
      </c>
      <c r="Q669" s="123">
        <f>IF($J669="","",IF($O669="Evet",0,$N669))</f>
        <v/>
      </c>
    </row>
    <row r="670" ht="15" customHeight="1" s="78">
      <c r="G670" s="123">
        <f>IF($A670="","",MAX(0,$D670+$E670-$F670))</f>
        <v/>
      </c>
      <c r="H670" s="123">
        <f>IF($A670="","",MAX(0,$C670-$B670))</f>
        <v/>
      </c>
      <c r="P670" s="123">
        <f>IF($J670="","",365)</f>
        <v/>
      </c>
      <c r="Q670" s="123">
        <f>IF($J670="","",IF($O670="Evet",0,$N670))</f>
        <v/>
      </c>
    </row>
    <row r="671" ht="15" customHeight="1" s="78">
      <c r="G671" s="123">
        <f>IF($A671="","",MAX(0,$D671+$E671-$F671))</f>
        <v/>
      </c>
      <c r="H671" s="123">
        <f>IF($A671="","",MAX(0,$C671-$B671))</f>
        <v/>
      </c>
      <c r="P671" s="123">
        <f>IF($J671="","",365)</f>
        <v/>
      </c>
      <c r="Q671" s="123">
        <f>IF($J671="","",IF($O671="Evet",0,$N671))</f>
        <v/>
      </c>
    </row>
    <row r="672" ht="15" customHeight="1" s="78">
      <c r="G672" s="123">
        <f>IF($A672="","",MAX(0,$D672+$E672-$F672))</f>
        <v/>
      </c>
      <c r="H672" s="123">
        <f>IF($A672="","",MAX(0,$C672-$B672))</f>
        <v/>
      </c>
      <c r="P672" s="123">
        <f>IF($J672="","",365)</f>
        <v/>
      </c>
      <c r="Q672" s="123">
        <f>IF($J672="","",IF($O672="Evet",0,$N672))</f>
        <v/>
      </c>
    </row>
    <row r="673" ht="15" customHeight="1" s="78">
      <c r="G673" s="123">
        <f>IF($A673="","",MAX(0,$D673+$E673-$F673))</f>
        <v/>
      </c>
      <c r="H673" s="123">
        <f>IF($A673="","",MAX(0,$C673-$B673))</f>
        <v/>
      </c>
      <c r="P673" s="123">
        <f>IF($J673="","",365)</f>
        <v/>
      </c>
      <c r="Q673" s="123">
        <f>IF($J673="","",IF($O673="Evet",0,$N673))</f>
        <v/>
      </c>
    </row>
    <row r="674" ht="15" customHeight="1" s="78">
      <c r="G674" s="123">
        <f>IF($A674="","",MAX(0,$D674+$E674-$F674))</f>
        <v/>
      </c>
      <c r="H674" s="123">
        <f>IF($A674="","",MAX(0,$C674-$B674))</f>
        <v/>
      </c>
      <c r="P674" s="123">
        <f>IF($J674="","",365)</f>
        <v/>
      </c>
      <c r="Q674" s="123">
        <f>IF($J674="","",IF($O674="Evet",0,$N674))</f>
        <v/>
      </c>
    </row>
    <row r="675" ht="15" customHeight="1" s="78">
      <c r="G675" s="123">
        <f>IF($A675="","",MAX(0,$D675+$E675-$F675))</f>
        <v/>
      </c>
      <c r="H675" s="123">
        <f>IF($A675="","",MAX(0,$C675-$B675))</f>
        <v/>
      </c>
      <c r="P675" s="123">
        <f>IF($J675="","",365)</f>
        <v/>
      </c>
      <c r="Q675" s="123">
        <f>IF($J675="","",IF($O675="Evet",0,$N675))</f>
        <v/>
      </c>
    </row>
    <row r="676" ht="15" customHeight="1" s="78">
      <c r="G676" s="123">
        <f>IF($A676="","",MAX(0,$D676+$E676-$F676))</f>
        <v/>
      </c>
      <c r="H676" s="123">
        <f>IF($A676="","",MAX(0,$C676-$B676))</f>
        <v/>
      </c>
      <c r="P676" s="123">
        <f>IF($J676="","",365)</f>
        <v/>
      </c>
      <c r="Q676" s="123">
        <f>IF($J676="","",IF($O676="Evet",0,$N676))</f>
        <v/>
      </c>
    </row>
    <row r="677" ht="15" customHeight="1" s="78">
      <c r="G677" s="123">
        <f>IF($A677="","",MAX(0,$D677+$E677-$F677))</f>
        <v/>
      </c>
      <c r="H677" s="123">
        <f>IF($A677="","",MAX(0,$C677-$B677))</f>
        <v/>
      </c>
      <c r="P677" s="123">
        <f>IF($J677="","",365)</f>
        <v/>
      </c>
      <c r="Q677" s="123">
        <f>IF($J677="","",IF($O677="Evet",0,$N677))</f>
        <v/>
      </c>
    </row>
    <row r="678" ht="15" customHeight="1" s="78">
      <c r="G678" s="123">
        <f>IF($A678="","",MAX(0,$D678+$E678-$F678))</f>
        <v/>
      </c>
      <c r="H678" s="123">
        <f>IF($A678="","",MAX(0,$C678-$B678))</f>
        <v/>
      </c>
      <c r="P678" s="123">
        <f>IF($J678="","",365)</f>
        <v/>
      </c>
      <c r="Q678" s="123">
        <f>IF($J678="","",IF($O678="Evet",0,$N678))</f>
        <v/>
      </c>
    </row>
    <row r="679" ht="15" customHeight="1" s="78">
      <c r="G679" s="123">
        <f>IF($A679="","",MAX(0,$D679+$E679-$F679))</f>
        <v/>
      </c>
      <c r="H679" s="123">
        <f>IF($A679="","",MAX(0,$C679-$B679))</f>
        <v/>
      </c>
      <c r="P679" s="123">
        <f>IF($J679="","",365)</f>
        <v/>
      </c>
      <c r="Q679" s="123">
        <f>IF($J679="","",IF($O679="Evet",0,$N679))</f>
        <v/>
      </c>
    </row>
    <row r="680" ht="15" customHeight="1" s="78">
      <c r="G680" s="123">
        <f>IF($A680="","",MAX(0,$D680+$E680-$F680))</f>
        <v/>
      </c>
      <c r="H680" s="123">
        <f>IF($A680="","",MAX(0,$C680-$B680))</f>
        <v/>
      </c>
      <c r="P680" s="123">
        <f>IF($J680="","",365)</f>
        <v/>
      </c>
      <c r="Q680" s="123">
        <f>IF($J680="","",IF($O680="Evet",0,$N680))</f>
        <v/>
      </c>
    </row>
    <row r="681" ht="15" customHeight="1" s="78">
      <c r="G681" s="123">
        <f>IF($A681="","",MAX(0,$D681+$E681-$F681))</f>
        <v/>
      </c>
      <c r="H681" s="123">
        <f>IF($A681="","",MAX(0,$C681-$B681))</f>
        <v/>
      </c>
      <c r="P681" s="123">
        <f>IF($J681="","",365)</f>
        <v/>
      </c>
      <c r="Q681" s="123">
        <f>IF($J681="","",IF($O681="Evet",0,$N681))</f>
        <v/>
      </c>
    </row>
    <row r="682" ht="15" customHeight="1" s="78">
      <c r="G682" s="123">
        <f>IF($A682="","",MAX(0,$D682+$E682-$F682))</f>
        <v/>
      </c>
      <c r="H682" s="123">
        <f>IF($A682="","",MAX(0,$C682-$B682))</f>
        <v/>
      </c>
      <c r="P682" s="123">
        <f>IF($J682="","",365)</f>
        <v/>
      </c>
      <c r="Q682" s="123">
        <f>IF($J682="","",IF($O682="Evet",0,$N682))</f>
        <v/>
      </c>
    </row>
    <row r="683" ht="15" customHeight="1" s="78">
      <c r="G683" s="123">
        <f>IF($A683="","",MAX(0,$D683+$E683-$F683))</f>
        <v/>
      </c>
      <c r="H683" s="123">
        <f>IF($A683="","",MAX(0,$C683-$B683))</f>
        <v/>
      </c>
      <c r="P683" s="123">
        <f>IF($J683="","",365)</f>
        <v/>
      </c>
      <c r="Q683" s="123">
        <f>IF($J683="","",IF($O683="Evet",0,$N683))</f>
        <v/>
      </c>
    </row>
    <row r="684" ht="15" customHeight="1" s="78">
      <c r="G684" s="123">
        <f>IF($A684="","",MAX(0,$D684+$E684-$F684))</f>
        <v/>
      </c>
      <c r="H684" s="123">
        <f>IF($A684="","",MAX(0,$C684-$B684))</f>
        <v/>
      </c>
      <c r="P684" s="123">
        <f>IF($J684="","",365)</f>
        <v/>
      </c>
      <c r="Q684" s="123">
        <f>IF($J684="","",IF($O684="Evet",0,$N684))</f>
        <v/>
      </c>
    </row>
    <row r="685" ht="15" customHeight="1" s="78">
      <c r="G685" s="123">
        <f>IF($A685="","",MAX(0,$D685+$E685-$F685))</f>
        <v/>
      </c>
      <c r="H685" s="123">
        <f>IF($A685="","",MAX(0,$C685-$B685))</f>
        <v/>
      </c>
      <c r="P685" s="123">
        <f>IF($J685="","",365)</f>
        <v/>
      </c>
      <c r="Q685" s="123">
        <f>IF($J685="","",IF($O685="Evet",0,$N685))</f>
        <v/>
      </c>
    </row>
    <row r="686" ht="15" customHeight="1" s="78">
      <c r="G686" s="123">
        <f>IF($A686="","",MAX(0,$D686+$E686-$F686))</f>
        <v/>
      </c>
      <c r="H686" s="123">
        <f>IF($A686="","",MAX(0,$C686-$B686))</f>
        <v/>
      </c>
      <c r="P686" s="123">
        <f>IF($J686="","",365)</f>
        <v/>
      </c>
      <c r="Q686" s="123">
        <f>IF($J686="","",IF($O686="Evet",0,$N686))</f>
        <v/>
      </c>
    </row>
    <row r="687" ht="15" customHeight="1" s="78">
      <c r="G687" s="123">
        <f>IF($A687="","",MAX(0,$D687+$E687-$F687))</f>
        <v/>
      </c>
      <c r="H687" s="123">
        <f>IF($A687="","",MAX(0,$C687-$B687))</f>
        <v/>
      </c>
      <c r="P687" s="123">
        <f>IF($J687="","",365)</f>
        <v/>
      </c>
      <c r="Q687" s="123">
        <f>IF($J687="","",IF($O687="Evet",0,$N687))</f>
        <v/>
      </c>
    </row>
    <row r="688" ht="15" customHeight="1" s="78">
      <c r="G688" s="123">
        <f>IF($A688="","",MAX(0,$D688+$E688-$F688))</f>
        <v/>
      </c>
      <c r="H688" s="123">
        <f>IF($A688="","",MAX(0,$C688-$B688))</f>
        <v/>
      </c>
      <c r="P688" s="123">
        <f>IF($J688="","",365)</f>
        <v/>
      </c>
      <c r="Q688" s="123">
        <f>IF($J688="","",IF($O688="Evet",0,$N688))</f>
        <v/>
      </c>
    </row>
    <row r="689" ht="15" customHeight="1" s="78">
      <c r="G689" s="123">
        <f>IF($A689="","",MAX(0,$D689+$E689-$F689))</f>
        <v/>
      </c>
      <c r="H689" s="123">
        <f>IF($A689="","",MAX(0,$C689-$B689))</f>
        <v/>
      </c>
      <c r="P689" s="123">
        <f>IF($J689="","",365)</f>
        <v/>
      </c>
      <c r="Q689" s="123">
        <f>IF($J689="","",IF($O689="Evet",0,$N689))</f>
        <v/>
      </c>
    </row>
    <row r="690" ht="15" customHeight="1" s="78">
      <c r="G690" s="123">
        <f>IF($A690="","",MAX(0,$D690+$E690-$F690))</f>
        <v/>
      </c>
      <c r="H690" s="123">
        <f>IF($A690="","",MAX(0,$C690-$B690))</f>
        <v/>
      </c>
      <c r="P690" s="123">
        <f>IF($J690="","",365)</f>
        <v/>
      </c>
      <c r="Q690" s="123">
        <f>IF($J690="","",IF($O690="Evet",0,$N690))</f>
        <v/>
      </c>
    </row>
    <row r="691" ht="15" customHeight="1" s="78">
      <c r="G691" s="123">
        <f>IF($A691="","",MAX(0,$D691+$E691-$F691))</f>
        <v/>
      </c>
      <c r="H691" s="123">
        <f>IF($A691="","",MAX(0,$C691-$B691))</f>
        <v/>
      </c>
      <c r="P691" s="123">
        <f>IF($J691="","",365)</f>
        <v/>
      </c>
      <c r="Q691" s="123">
        <f>IF($J691="","",IF($O691="Evet",0,$N691))</f>
        <v/>
      </c>
    </row>
    <row r="692" ht="15" customHeight="1" s="78">
      <c r="G692" s="123">
        <f>IF($A692="","",MAX(0,$D692+$E692-$F692))</f>
        <v/>
      </c>
      <c r="H692" s="123">
        <f>IF($A692="","",MAX(0,$C692-$B692))</f>
        <v/>
      </c>
      <c r="P692" s="123">
        <f>IF($J692="","",365)</f>
        <v/>
      </c>
      <c r="Q692" s="123">
        <f>IF($J692="","",IF($O692="Evet",0,$N692))</f>
        <v/>
      </c>
    </row>
    <row r="693" ht="15" customHeight="1" s="78">
      <c r="G693" s="123">
        <f>IF($A693="","",MAX(0,$D693+$E693-$F693))</f>
        <v/>
      </c>
      <c r="H693" s="123">
        <f>IF($A693="","",MAX(0,$C693-$B693))</f>
        <v/>
      </c>
      <c r="P693" s="123">
        <f>IF($J693="","",365)</f>
        <v/>
      </c>
      <c r="Q693" s="123">
        <f>IF($J693="","",IF($O693="Evet",0,$N693))</f>
        <v/>
      </c>
    </row>
    <row r="694" ht="15" customHeight="1" s="78">
      <c r="G694" s="123">
        <f>IF($A694="","",MAX(0,$D694+$E694-$F694))</f>
        <v/>
      </c>
      <c r="H694" s="123">
        <f>IF($A694="","",MAX(0,$C694-$B694))</f>
        <v/>
      </c>
      <c r="P694" s="123">
        <f>IF($J694="","",365)</f>
        <v/>
      </c>
      <c r="Q694" s="123">
        <f>IF($J694="","",IF($O694="Evet",0,$N694))</f>
        <v/>
      </c>
    </row>
    <row r="695" ht="15" customHeight="1" s="78">
      <c r="G695" s="123">
        <f>IF($A695="","",MAX(0,$D695+$E695-$F695))</f>
        <v/>
      </c>
      <c r="H695" s="123">
        <f>IF($A695="","",MAX(0,$C695-$B695))</f>
        <v/>
      </c>
      <c r="P695" s="123">
        <f>IF($J695="","",365)</f>
        <v/>
      </c>
      <c r="Q695" s="123">
        <f>IF($J695="","",IF($O695="Evet",0,$N695))</f>
        <v/>
      </c>
    </row>
    <row r="696" ht="15" customHeight="1" s="78">
      <c r="G696" s="123">
        <f>IF($A696="","",MAX(0,$D696+$E696-$F696))</f>
        <v/>
      </c>
      <c r="H696" s="123">
        <f>IF($A696="","",MAX(0,$C696-$B696))</f>
        <v/>
      </c>
      <c r="P696" s="123">
        <f>IF($J696="","",365)</f>
        <v/>
      </c>
      <c r="Q696" s="123">
        <f>IF($J696="","",IF($O696="Evet",0,$N696))</f>
        <v/>
      </c>
    </row>
    <row r="697" ht="15" customHeight="1" s="78">
      <c r="G697" s="123">
        <f>IF($A697="","",MAX(0,$D697+$E697-$F697))</f>
        <v/>
      </c>
      <c r="H697" s="123">
        <f>IF($A697="","",MAX(0,$C697-$B697))</f>
        <v/>
      </c>
      <c r="P697" s="123">
        <f>IF($J697="","",365)</f>
        <v/>
      </c>
      <c r="Q697" s="123">
        <f>IF($J697="","",IF($O697="Evet",0,$N697))</f>
        <v/>
      </c>
    </row>
    <row r="698" ht="15" customHeight="1" s="78">
      <c r="G698" s="123">
        <f>IF($A698="","",MAX(0,$D698+$E698-$F698))</f>
        <v/>
      </c>
      <c r="H698" s="123">
        <f>IF($A698="","",MAX(0,$C698-$B698))</f>
        <v/>
      </c>
      <c r="P698" s="123">
        <f>IF($J698="","",365)</f>
        <v/>
      </c>
      <c r="Q698" s="123">
        <f>IF($J698="","",IF($O698="Evet",0,$N698))</f>
        <v/>
      </c>
    </row>
    <row r="699" ht="15" customHeight="1" s="78">
      <c r="G699" s="123">
        <f>IF($A699="","",MAX(0,$D699+$E699-$F699))</f>
        <v/>
      </c>
      <c r="H699" s="123">
        <f>IF($A699="","",MAX(0,$C699-$B699))</f>
        <v/>
      </c>
      <c r="P699" s="123">
        <f>IF($J699="","",365)</f>
        <v/>
      </c>
      <c r="Q699" s="123">
        <f>IF($J699="","",IF($O699="Evet",0,$N699))</f>
        <v/>
      </c>
    </row>
    <row r="700" ht="15" customHeight="1" s="78">
      <c r="G700" s="123">
        <f>IF($A700="","",MAX(0,$D700+$E700-$F700))</f>
        <v/>
      </c>
      <c r="H700" s="123">
        <f>IF($A700="","",MAX(0,$C700-$B700))</f>
        <v/>
      </c>
      <c r="P700" s="123">
        <f>IF($J700="","",365)</f>
        <v/>
      </c>
      <c r="Q700" s="123">
        <f>IF($J700="","",IF($O700="Evet",0,$N700))</f>
        <v/>
      </c>
    </row>
    <row r="701" ht="15" customHeight="1" s="78">
      <c r="G701" s="123">
        <f>IF($A701="","",MAX(0,$D701+$E701-$F701))</f>
        <v/>
      </c>
      <c r="H701" s="123">
        <f>IF($A701="","",MAX(0,$C701-$B701))</f>
        <v/>
      </c>
      <c r="P701" s="123">
        <f>IF($J701="","",365)</f>
        <v/>
      </c>
      <c r="Q701" s="123">
        <f>IF($J701="","",IF($O701="Evet",0,$N701))</f>
        <v/>
      </c>
    </row>
    <row r="702" ht="15" customHeight="1" s="78">
      <c r="G702" s="123">
        <f>IF($A702="","",MAX(0,$D702+$E702-$F702))</f>
        <v/>
      </c>
      <c r="H702" s="123">
        <f>IF($A702="","",MAX(0,$C702-$B702))</f>
        <v/>
      </c>
      <c r="P702" s="123">
        <f>IF($J702="","",365)</f>
        <v/>
      </c>
      <c r="Q702" s="123">
        <f>IF($J702="","",IF($O702="Evet",0,$N702))</f>
        <v/>
      </c>
    </row>
    <row r="703" ht="15" customHeight="1" s="78">
      <c r="G703" s="123">
        <f>IF($A703="","",MAX(0,$D703+$E703-$F703))</f>
        <v/>
      </c>
      <c r="H703" s="123">
        <f>IF($A703="","",MAX(0,$C703-$B703))</f>
        <v/>
      </c>
      <c r="P703" s="123">
        <f>IF($J703="","",365)</f>
        <v/>
      </c>
      <c r="Q703" s="123">
        <f>IF($J703="","",IF($O703="Evet",0,$N703))</f>
        <v/>
      </c>
    </row>
    <row r="704" ht="15" customHeight="1" s="78">
      <c r="G704" s="123">
        <f>IF($A704="","",MAX(0,$D704+$E704-$F704))</f>
        <v/>
      </c>
      <c r="H704" s="123">
        <f>IF($A704="","",MAX(0,$C704-$B704))</f>
        <v/>
      </c>
      <c r="P704" s="123">
        <f>IF($J704="","",365)</f>
        <v/>
      </c>
      <c r="Q704" s="123">
        <f>IF($J704="","",IF($O704="Evet",0,$N704))</f>
        <v/>
      </c>
    </row>
    <row r="705" ht="15" customHeight="1" s="78">
      <c r="G705" s="123">
        <f>IF($A705="","",MAX(0,$D705+$E705-$F705))</f>
        <v/>
      </c>
      <c r="H705" s="123">
        <f>IF($A705="","",MAX(0,$C705-$B705))</f>
        <v/>
      </c>
      <c r="P705" s="123">
        <f>IF($J705="","",365)</f>
        <v/>
      </c>
      <c r="Q705" s="123">
        <f>IF($J705="","",IF($O705="Evet",0,$N705))</f>
        <v/>
      </c>
    </row>
    <row r="706" ht="15" customHeight="1" s="78">
      <c r="G706" s="123">
        <f>IF($A706="","",MAX(0,$D706+$E706-$F706))</f>
        <v/>
      </c>
      <c r="H706" s="123">
        <f>IF($A706="","",MAX(0,$C706-$B706))</f>
        <v/>
      </c>
      <c r="P706" s="123">
        <f>IF($J706="","",365)</f>
        <v/>
      </c>
      <c r="Q706" s="123">
        <f>IF($J706="","",IF($O706="Evet",0,$N706))</f>
        <v/>
      </c>
    </row>
    <row r="707" ht="15" customHeight="1" s="78">
      <c r="G707" s="123">
        <f>IF($A707="","",MAX(0,$D707+$E707-$F707))</f>
        <v/>
      </c>
      <c r="H707" s="123">
        <f>IF($A707="","",MAX(0,$C707-$B707))</f>
        <v/>
      </c>
      <c r="P707" s="123">
        <f>IF($J707="","",365)</f>
        <v/>
      </c>
      <c r="Q707" s="123">
        <f>IF($J707="","",IF($O707="Evet",0,$N707))</f>
        <v/>
      </c>
    </row>
    <row r="708" ht="15" customHeight="1" s="78">
      <c r="G708" s="123">
        <f>IF($A708="","",MAX(0,$D708+$E708-$F708))</f>
        <v/>
      </c>
      <c r="H708" s="123">
        <f>IF($A708="","",MAX(0,$C708-$B708))</f>
        <v/>
      </c>
      <c r="P708" s="123">
        <f>IF($J708="","",365)</f>
        <v/>
      </c>
      <c r="Q708" s="123">
        <f>IF($J708="","",IF($O708="Evet",0,$N708))</f>
        <v/>
      </c>
    </row>
    <row r="709" ht="15" customHeight="1" s="78">
      <c r="G709" s="123">
        <f>IF($A709="","",MAX(0,$D709+$E709-$F709))</f>
        <v/>
      </c>
      <c r="H709" s="123">
        <f>IF($A709="","",MAX(0,$C709-$B709))</f>
        <v/>
      </c>
      <c r="P709" s="123">
        <f>IF($J709="","",365)</f>
        <v/>
      </c>
      <c r="Q709" s="123">
        <f>IF($J709="","",IF($O709="Evet",0,$N709))</f>
        <v/>
      </c>
    </row>
    <row r="710" ht="15" customHeight="1" s="78">
      <c r="G710" s="123">
        <f>IF($A710="","",MAX(0,$D710+$E710-$F710))</f>
        <v/>
      </c>
      <c r="H710" s="123">
        <f>IF($A710="","",MAX(0,$C710-$B710))</f>
        <v/>
      </c>
      <c r="P710" s="123">
        <f>IF($J710="","",365)</f>
        <v/>
      </c>
      <c r="Q710" s="123">
        <f>IF($J710="","",IF($O710="Evet",0,$N710))</f>
        <v/>
      </c>
    </row>
    <row r="711" ht="15" customHeight="1" s="78">
      <c r="G711" s="123">
        <f>IF($A711="","",MAX(0,$D711+$E711-$F711))</f>
        <v/>
      </c>
      <c r="H711" s="123">
        <f>IF($A711="","",MAX(0,$C711-$B711))</f>
        <v/>
      </c>
      <c r="P711" s="123">
        <f>IF($J711="","",365)</f>
        <v/>
      </c>
      <c r="Q711" s="123">
        <f>IF($J711="","",IF($O711="Evet",0,$N711))</f>
        <v/>
      </c>
    </row>
    <row r="712" ht="15" customHeight="1" s="78">
      <c r="G712" s="123">
        <f>IF($A712="","",MAX(0,$D712+$E712-$F712))</f>
        <v/>
      </c>
      <c r="H712" s="123">
        <f>IF($A712="","",MAX(0,$C712-$B712))</f>
        <v/>
      </c>
      <c r="P712" s="123">
        <f>IF($J712="","",365)</f>
        <v/>
      </c>
      <c r="Q712" s="123">
        <f>IF($J712="","",IF($O712="Evet",0,$N712))</f>
        <v/>
      </c>
    </row>
    <row r="713" ht="15" customHeight="1" s="78">
      <c r="G713" s="123">
        <f>IF($A713="","",MAX(0,$D713+$E713-$F713))</f>
        <v/>
      </c>
      <c r="H713" s="123">
        <f>IF($A713="","",MAX(0,$C713-$B713))</f>
        <v/>
      </c>
      <c r="P713" s="123">
        <f>IF($J713="","",365)</f>
        <v/>
      </c>
      <c r="Q713" s="123">
        <f>IF($J713="","",IF($O713="Evet",0,$N713))</f>
        <v/>
      </c>
    </row>
    <row r="714" ht="15" customHeight="1" s="78">
      <c r="G714" s="123">
        <f>IF($A714="","",MAX(0,$D714+$E714-$F714))</f>
        <v/>
      </c>
      <c r="H714" s="123">
        <f>IF($A714="","",MAX(0,$C714-$B714))</f>
        <v/>
      </c>
      <c r="P714" s="123">
        <f>IF($J714="","",365)</f>
        <v/>
      </c>
      <c r="Q714" s="123">
        <f>IF($J714="","",IF($O714="Evet",0,$N714))</f>
        <v/>
      </c>
    </row>
    <row r="715" ht="15" customHeight="1" s="78">
      <c r="G715" s="123">
        <f>IF($A715="","",MAX(0,$D715+$E715-$F715))</f>
        <v/>
      </c>
      <c r="H715" s="123">
        <f>IF($A715="","",MAX(0,$C715-$B715))</f>
        <v/>
      </c>
      <c r="P715" s="123">
        <f>IF($J715="","",365)</f>
        <v/>
      </c>
      <c r="Q715" s="123">
        <f>IF($J715="","",IF($O715="Evet",0,$N715))</f>
        <v/>
      </c>
    </row>
    <row r="716" ht="15" customHeight="1" s="78">
      <c r="G716" s="123">
        <f>IF($A716="","",MAX(0,$D716+$E716-$F716))</f>
        <v/>
      </c>
      <c r="H716" s="123">
        <f>IF($A716="","",MAX(0,$C716-$B716))</f>
        <v/>
      </c>
      <c r="P716" s="123">
        <f>IF($J716="","",365)</f>
        <v/>
      </c>
      <c r="Q716" s="123">
        <f>IF($J716="","",IF($O716="Evet",0,$N716))</f>
        <v/>
      </c>
    </row>
    <row r="717" ht="15" customHeight="1" s="78">
      <c r="G717" s="123">
        <f>IF($A717="","",MAX(0,$D717+$E717-$F717))</f>
        <v/>
      </c>
      <c r="H717" s="123">
        <f>IF($A717="","",MAX(0,$C717-$B717))</f>
        <v/>
      </c>
      <c r="P717" s="123">
        <f>IF($J717="","",365)</f>
        <v/>
      </c>
      <c r="Q717" s="123">
        <f>IF($J717="","",IF($O717="Evet",0,$N717))</f>
        <v/>
      </c>
    </row>
    <row r="718" ht="15" customHeight="1" s="78">
      <c r="G718" s="123">
        <f>IF($A718="","",MAX(0,$D718+$E718-$F718))</f>
        <v/>
      </c>
      <c r="H718" s="123">
        <f>IF($A718="","",MAX(0,$C718-$B718))</f>
        <v/>
      </c>
      <c r="P718" s="123">
        <f>IF($J718="","",365)</f>
        <v/>
      </c>
      <c r="Q718" s="123">
        <f>IF($J718="","",IF($O718="Evet",0,$N718))</f>
        <v/>
      </c>
    </row>
    <row r="719" ht="15" customHeight="1" s="78">
      <c r="G719" s="123">
        <f>IF($A719="","",MAX(0,$D719+$E719-$F719))</f>
        <v/>
      </c>
      <c r="H719" s="123">
        <f>IF($A719="","",MAX(0,$C719-$B719))</f>
        <v/>
      </c>
      <c r="P719" s="123">
        <f>IF($J719="","",365)</f>
        <v/>
      </c>
      <c r="Q719" s="123">
        <f>IF($J719="","",IF($O719="Evet",0,$N719))</f>
        <v/>
      </c>
    </row>
    <row r="720" ht="15" customHeight="1" s="78">
      <c r="G720" s="123">
        <f>IF($A720="","",MAX(0,$D720+$E720-$F720))</f>
        <v/>
      </c>
      <c r="H720" s="123">
        <f>IF($A720="","",MAX(0,$C720-$B720))</f>
        <v/>
      </c>
      <c r="P720" s="123">
        <f>IF($J720="","",365)</f>
        <v/>
      </c>
      <c r="Q720" s="123">
        <f>IF($J720="","",IF($O720="Evet",0,$N720))</f>
        <v/>
      </c>
    </row>
    <row r="721" ht="15" customHeight="1" s="78">
      <c r="G721" s="123">
        <f>IF($A721="","",MAX(0,$D721+$E721-$F721))</f>
        <v/>
      </c>
      <c r="H721" s="123">
        <f>IF($A721="","",MAX(0,$C721-$B721))</f>
        <v/>
      </c>
      <c r="P721" s="123">
        <f>IF($J721="","",365)</f>
        <v/>
      </c>
      <c r="Q721" s="123">
        <f>IF($J721="","",IF($O721="Evet",0,$N721))</f>
        <v/>
      </c>
    </row>
    <row r="722" ht="15" customHeight="1" s="78">
      <c r="G722" s="123">
        <f>IF($A722="","",MAX(0,$D722+$E722-$F722))</f>
        <v/>
      </c>
      <c r="H722" s="123">
        <f>IF($A722="","",MAX(0,$C722-$B722))</f>
        <v/>
      </c>
      <c r="P722" s="123">
        <f>IF($J722="","",365)</f>
        <v/>
      </c>
      <c r="Q722" s="123">
        <f>IF($J722="","",IF($O722="Evet",0,$N722))</f>
        <v/>
      </c>
    </row>
    <row r="723" ht="15" customHeight="1" s="78">
      <c r="G723" s="123">
        <f>IF($A723="","",MAX(0,$D723+$E723-$F723))</f>
        <v/>
      </c>
      <c r="H723" s="123">
        <f>IF($A723="","",MAX(0,$C723-$B723))</f>
        <v/>
      </c>
      <c r="P723" s="123">
        <f>IF($J723="","",365)</f>
        <v/>
      </c>
      <c r="Q723" s="123">
        <f>IF($J723="","",IF($O723="Evet",0,$N723))</f>
        <v/>
      </c>
    </row>
    <row r="724" ht="15" customHeight="1" s="78">
      <c r="G724" s="123">
        <f>IF($A724="","",MAX(0,$D724+$E724-$F724))</f>
        <v/>
      </c>
      <c r="H724" s="123">
        <f>IF($A724="","",MAX(0,$C724-$B724))</f>
        <v/>
      </c>
      <c r="P724" s="123">
        <f>IF($J724="","",365)</f>
        <v/>
      </c>
      <c r="Q724" s="123">
        <f>IF($J724="","",IF($O724="Evet",0,$N724))</f>
        <v/>
      </c>
    </row>
    <row r="725" ht="15" customHeight="1" s="78">
      <c r="G725" s="123">
        <f>IF($A725="","",MAX(0,$D725+$E725-$F725))</f>
        <v/>
      </c>
      <c r="H725" s="123">
        <f>IF($A725="","",MAX(0,$C725-$B725))</f>
        <v/>
      </c>
      <c r="P725" s="123">
        <f>IF($J725="","",365)</f>
        <v/>
      </c>
      <c r="Q725" s="123">
        <f>IF($J725="","",IF($O725="Evet",0,$N725))</f>
        <v/>
      </c>
    </row>
    <row r="726" ht="15" customHeight="1" s="78">
      <c r="G726" s="123">
        <f>IF($A726="","",MAX(0,$D726+$E726-$F726))</f>
        <v/>
      </c>
      <c r="H726" s="123">
        <f>IF($A726="","",MAX(0,$C726-$B726))</f>
        <v/>
      </c>
      <c r="P726" s="123">
        <f>IF($J726="","",365)</f>
        <v/>
      </c>
      <c r="Q726" s="123">
        <f>IF($J726="","",IF($O726="Evet",0,$N726))</f>
        <v/>
      </c>
    </row>
    <row r="727" ht="15" customHeight="1" s="78">
      <c r="G727" s="123">
        <f>IF($A727="","",MAX(0,$D727+$E727-$F727))</f>
        <v/>
      </c>
      <c r="H727" s="123">
        <f>IF($A727="","",MAX(0,$C727-$B727))</f>
        <v/>
      </c>
      <c r="P727" s="123">
        <f>IF($J727="","",365)</f>
        <v/>
      </c>
      <c r="Q727" s="123">
        <f>IF($J727="","",IF($O727="Evet",0,$N727))</f>
        <v/>
      </c>
    </row>
    <row r="728" ht="15" customHeight="1" s="78">
      <c r="G728" s="123">
        <f>IF($A728="","",MAX(0,$D728+$E728-$F728))</f>
        <v/>
      </c>
      <c r="H728" s="123">
        <f>IF($A728="","",MAX(0,$C728-$B728))</f>
        <v/>
      </c>
      <c r="P728" s="123">
        <f>IF($J728="","",365)</f>
        <v/>
      </c>
      <c r="Q728" s="123">
        <f>IF($J728="","",IF($O728="Evet",0,$N728))</f>
        <v/>
      </c>
    </row>
    <row r="729" ht="15" customHeight="1" s="78">
      <c r="G729" s="123">
        <f>IF($A729="","",MAX(0,$D729+$E729-$F729))</f>
        <v/>
      </c>
      <c r="H729" s="123">
        <f>IF($A729="","",MAX(0,$C729-$B729))</f>
        <v/>
      </c>
      <c r="P729" s="123">
        <f>IF($J729="","",365)</f>
        <v/>
      </c>
      <c r="Q729" s="123">
        <f>IF($J729="","",IF($O729="Evet",0,$N729))</f>
        <v/>
      </c>
    </row>
    <row r="730" ht="15" customHeight="1" s="78">
      <c r="G730" s="123">
        <f>IF($A730="","",MAX(0,$D730+$E730-$F730))</f>
        <v/>
      </c>
      <c r="H730" s="123">
        <f>IF($A730="","",MAX(0,$C730-$B730))</f>
        <v/>
      </c>
      <c r="P730" s="123">
        <f>IF($J730="","",365)</f>
        <v/>
      </c>
      <c r="Q730" s="123">
        <f>IF($J730="","",IF($O730="Evet",0,$N730))</f>
        <v/>
      </c>
    </row>
    <row r="731" ht="15" customHeight="1" s="78">
      <c r="G731" s="123">
        <f>IF($A731="","",MAX(0,$D731+$E731-$F731))</f>
        <v/>
      </c>
      <c r="H731" s="123">
        <f>IF($A731="","",MAX(0,$C731-$B731))</f>
        <v/>
      </c>
      <c r="P731" s="123">
        <f>IF($J731="","",365)</f>
        <v/>
      </c>
      <c r="Q731" s="123">
        <f>IF($J731="","",IF($O731="Evet",0,$N731))</f>
        <v/>
      </c>
    </row>
    <row r="732" ht="15" customHeight="1" s="78">
      <c r="G732" s="123">
        <f>IF($A732="","",MAX(0,$D732+$E732-$F732))</f>
        <v/>
      </c>
      <c r="H732" s="123">
        <f>IF($A732="","",MAX(0,$C732-$B732))</f>
        <v/>
      </c>
      <c r="P732" s="123">
        <f>IF($J732="","",365)</f>
        <v/>
      </c>
      <c r="Q732" s="123">
        <f>IF($J732="","",IF($O732="Evet",0,$N732))</f>
        <v/>
      </c>
    </row>
    <row r="733" ht="15" customHeight="1" s="78">
      <c r="G733" s="123">
        <f>IF($A733="","",MAX(0,$D733+$E733-$F733))</f>
        <v/>
      </c>
      <c r="H733" s="123">
        <f>IF($A733="","",MAX(0,$C733-$B733))</f>
        <v/>
      </c>
      <c r="P733" s="123">
        <f>IF($J733="","",365)</f>
        <v/>
      </c>
      <c r="Q733" s="123">
        <f>IF($J733="","",IF($O733="Evet",0,$N733))</f>
        <v/>
      </c>
    </row>
    <row r="734" ht="15" customHeight="1" s="78">
      <c r="G734" s="123">
        <f>IF($A734="","",MAX(0,$D734+$E734-$F734))</f>
        <v/>
      </c>
      <c r="H734" s="123">
        <f>IF($A734="","",MAX(0,$C734-$B734))</f>
        <v/>
      </c>
      <c r="P734" s="123">
        <f>IF($J734="","",365)</f>
        <v/>
      </c>
      <c r="Q734" s="123">
        <f>IF($J734="","",IF($O734="Evet",0,$N734))</f>
        <v/>
      </c>
    </row>
    <row r="735" ht="15" customHeight="1" s="78">
      <c r="G735" s="123">
        <f>IF($A735="","",MAX(0,$D735+$E735-$F735))</f>
        <v/>
      </c>
      <c r="H735" s="123">
        <f>IF($A735="","",MAX(0,$C735-$B735))</f>
        <v/>
      </c>
      <c r="P735" s="123">
        <f>IF($J735="","",365)</f>
        <v/>
      </c>
      <c r="Q735" s="123">
        <f>IF($J735="","",IF($O735="Evet",0,$N735))</f>
        <v/>
      </c>
    </row>
    <row r="736" ht="15" customHeight="1" s="78">
      <c r="G736" s="123">
        <f>IF($A736="","",MAX(0,$D736+$E736-$F736))</f>
        <v/>
      </c>
      <c r="H736" s="123">
        <f>IF($A736="","",MAX(0,$C736-$B736))</f>
        <v/>
      </c>
      <c r="P736" s="123">
        <f>IF($J736="","",365)</f>
        <v/>
      </c>
      <c r="Q736" s="123">
        <f>IF($J736="","",IF($O736="Evet",0,$N736))</f>
        <v/>
      </c>
    </row>
    <row r="737" ht="15" customHeight="1" s="78">
      <c r="G737" s="123">
        <f>IF($A737="","",MAX(0,$D737+$E737-$F737))</f>
        <v/>
      </c>
      <c r="H737" s="123">
        <f>IF($A737="","",MAX(0,$C737-$B737))</f>
        <v/>
      </c>
      <c r="P737" s="123">
        <f>IF($J737="","",365)</f>
        <v/>
      </c>
      <c r="Q737" s="123">
        <f>IF($J737="","",IF($O737="Evet",0,$N737))</f>
        <v/>
      </c>
    </row>
    <row r="738" ht="15" customHeight="1" s="78">
      <c r="G738" s="123">
        <f>IF($A738="","",MAX(0,$D738+$E738-$F738))</f>
        <v/>
      </c>
      <c r="H738" s="123">
        <f>IF($A738="","",MAX(0,$C738-$B738))</f>
        <v/>
      </c>
      <c r="P738" s="123">
        <f>IF($J738="","",365)</f>
        <v/>
      </c>
      <c r="Q738" s="123">
        <f>IF($J738="","",IF($O738="Evet",0,$N738))</f>
        <v/>
      </c>
    </row>
    <row r="739" ht="15" customHeight="1" s="78">
      <c r="G739" s="123">
        <f>IF($A739="","",MAX(0,$D739+$E739-$F739))</f>
        <v/>
      </c>
      <c r="H739" s="123">
        <f>IF($A739="","",MAX(0,$C739-$B739))</f>
        <v/>
      </c>
      <c r="P739" s="123">
        <f>IF($J739="","",365)</f>
        <v/>
      </c>
      <c r="Q739" s="123">
        <f>IF($J739="","",IF($O739="Evet",0,$N739))</f>
        <v/>
      </c>
    </row>
    <row r="740" ht="15" customHeight="1" s="78">
      <c r="G740" s="123">
        <f>IF($A740="","",MAX(0,$D740+$E740-$F740))</f>
        <v/>
      </c>
      <c r="H740" s="123">
        <f>IF($A740="","",MAX(0,$C740-$B740))</f>
        <v/>
      </c>
      <c r="P740" s="123">
        <f>IF($J740="","",365)</f>
        <v/>
      </c>
      <c r="Q740" s="123">
        <f>IF($J740="","",IF($O740="Evet",0,$N740))</f>
        <v/>
      </c>
    </row>
    <row r="741" ht="15" customHeight="1" s="78">
      <c r="G741" s="123">
        <f>IF($A741="","",MAX(0,$D741+$E741-$F741))</f>
        <v/>
      </c>
      <c r="H741" s="123">
        <f>IF($A741="","",MAX(0,$C741-$B741))</f>
        <v/>
      </c>
      <c r="P741" s="123">
        <f>IF($J741="","",365)</f>
        <v/>
      </c>
      <c r="Q741" s="123">
        <f>IF($J741="","",IF($O741="Evet",0,$N741))</f>
        <v/>
      </c>
    </row>
    <row r="742" ht="15" customHeight="1" s="78">
      <c r="G742" s="123">
        <f>IF($A742="","",MAX(0,$D742+$E742-$F742))</f>
        <v/>
      </c>
      <c r="H742" s="123">
        <f>IF($A742="","",MAX(0,$C742-$B742))</f>
        <v/>
      </c>
      <c r="P742" s="123">
        <f>IF($J742="","",365)</f>
        <v/>
      </c>
      <c r="Q742" s="123">
        <f>IF($J742="","",IF($O742="Evet",0,$N742))</f>
        <v/>
      </c>
    </row>
    <row r="743" ht="15" customHeight="1" s="78">
      <c r="G743" s="123">
        <f>IF($A743="","",MAX(0,$D743+$E743-$F743))</f>
        <v/>
      </c>
      <c r="H743" s="123">
        <f>IF($A743="","",MAX(0,$C743-$B743))</f>
        <v/>
      </c>
      <c r="P743" s="123">
        <f>IF($J743="","",365)</f>
        <v/>
      </c>
      <c r="Q743" s="123">
        <f>IF($J743="","",IF($O743="Evet",0,$N743))</f>
        <v/>
      </c>
    </row>
    <row r="744" ht="15" customHeight="1" s="78">
      <c r="G744" s="123">
        <f>IF($A744="","",MAX(0,$D744+$E744-$F744))</f>
        <v/>
      </c>
      <c r="H744" s="123">
        <f>IF($A744="","",MAX(0,$C744-$B744))</f>
        <v/>
      </c>
      <c r="P744" s="123">
        <f>IF($J744="","",365)</f>
        <v/>
      </c>
      <c r="Q744" s="123">
        <f>IF($J744="","",IF($O744="Evet",0,$N744))</f>
        <v/>
      </c>
    </row>
    <row r="745" ht="15" customHeight="1" s="78">
      <c r="G745" s="123">
        <f>IF($A745="","",MAX(0,$D745+$E745-$F745))</f>
        <v/>
      </c>
      <c r="H745" s="123">
        <f>IF($A745="","",MAX(0,$C745-$B745))</f>
        <v/>
      </c>
      <c r="P745" s="123">
        <f>IF($J745="","",365)</f>
        <v/>
      </c>
      <c r="Q745" s="123">
        <f>IF($J745="","",IF($O745="Evet",0,$N745))</f>
        <v/>
      </c>
    </row>
    <row r="746" ht="15" customHeight="1" s="78">
      <c r="G746" s="123">
        <f>IF($A746="","",MAX(0,$D746+$E746-$F746))</f>
        <v/>
      </c>
      <c r="H746" s="123">
        <f>IF($A746="","",MAX(0,$C746-$B746))</f>
        <v/>
      </c>
      <c r="P746" s="123">
        <f>IF($J746="","",365)</f>
        <v/>
      </c>
      <c r="Q746" s="123">
        <f>IF($J746="","",IF($O746="Evet",0,$N746))</f>
        <v/>
      </c>
    </row>
    <row r="747" ht="15" customHeight="1" s="78">
      <c r="G747" s="123">
        <f>IF($A747="","",MAX(0,$D747+$E747-$F747))</f>
        <v/>
      </c>
      <c r="H747" s="123">
        <f>IF($A747="","",MAX(0,$C747-$B747))</f>
        <v/>
      </c>
      <c r="P747" s="123">
        <f>IF($J747="","",365)</f>
        <v/>
      </c>
      <c r="Q747" s="123">
        <f>IF($J747="","",IF($O747="Evet",0,$N747))</f>
        <v/>
      </c>
    </row>
    <row r="748" ht="15" customHeight="1" s="78">
      <c r="G748" s="123">
        <f>IF($A748="","",MAX(0,$D748+$E748-$F748))</f>
        <v/>
      </c>
      <c r="H748" s="123">
        <f>IF($A748="","",MAX(0,$C748-$B748))</f>
        <v/>
      </c>
      <c r="P748" s="123">
        <f>IF($J748="","",365)</f>
        <v/>
      </c>
      <c r="Q748" s="123">
        <f>IF($J748="","",IF($O748="Evet",0,$N748))</f>
        <v/>
      </c>
    </row>
    <row r="749" ht="15" customHeight="1" s="78">
      <c r="G749" s="123">
        <f>IF($A749="","",MAX(0,$D749+$E749-$F749))</f>
        <v/>
      </c>
      <c r="H749" s="123">
        <f>IF($A749="","",MAX(0,$C749-$B749))</f>
        <v/>
      </c>
      <c r="P749" s="123">
        <f>IF($J749="","",365)</f>
        <v/>
      </c>
      <c r="Q749" s="123">
        <f>IF($J749="","",IF($O749="Evet",0,$N749))</f>
        <v/>
      </c>
    </row>
    <row r="750" ht="15" customHeight="1" s="78">
      <c r="G750" s="123">
        <f>IF($A750="","",MAX(0,$D750+$E750-$F750))</f>
        <v/>
      </c>
      <c r="H750" s="123">
        <f>IF($A750="","",MAX(0,$C750-$B750))</f>
        <v/>
      </c>
      <c r="P750" s="123">
        <f>IF($J750="","",365)</f>
        <v/>
      </c>
      <c r="Q750" s="123">
        <f>IF($J750="","",IF($O750="Evet",0,$N750))</f>
        <v/>
      </c>
    </row>
    <row r="751" ht="15" customHeight="1" s="78">
      <c r="G751" s="123">
        <f>IF($A751="","",MAX(0,$D751+$E751-$F751))</f>
        <v/>
      </c>
      <c r="H751" s="123">
        <f>IF($A751="","",MAX(0,$C751-$B751))</f>
        <v/>
      </c>
      <c r="P751" s="123">
        <f>IF($J751="","",365)</f>
        <v/>
      </c>
      <c r="Q751" s="123">
        <f>IF($J751="","",IF($O751="Evet",0,$N751))</f>
        <v/>
      </c>
    </row>
    <row r="752" ht="15" customHeight="1" s="78">
      <c r="G752" s="123">
        <f>IF($A752="","",MAX(0,$D752+$E752-$F752))</f>
        <v/>
      </c>
      <c r="H752" s="123">
        <f>IF($A752="","",MAX(0,$C752-$B752))</f>
        <v/>
      </c>
      <c r="P752" s="123">
        <f>IF($J752="","",365)</f>
        <v/>
      </c>
      <c r="Q752" s="123">
        <f>IF($J752="","",IF($O752="Evet",0,$N752))</f>
        <v/>
      </c>
    </row>
    <row r="753" ht="15" customHeight="1" s="78">
      <c r="G753" s="123">
        <f>IF($A753="","",MAX(0,$D753+$E753-$F753))</f>
        <v/>
      </c>
      <c r="H753" s="123">
        <f>IF($A753="","",MAX(0,$C753-$B753))</f>
        <v/>
      </c>
      <c r="P753" s="123">
        <f>IF($J753="","",365)</f>
        <v/>
      </c>
      <c r="Q753" s="123">
        <f>IF($J753="","",IF($O753="Evet",0,$N753))</f>
        <v/>
      </c>
    </row>
    <row r="754" ht="15" customHeight="1" s="78">
      <c r="G754" s="123">
        <f>IF($A754="","",MAX(0,$D754+$E754-$F754))</f>
        <v/>
      </c>
      <c r="H754" s="123">
        <f>IF($A754="","",MAX(0,$C754-$B754))</f>
        <v/>
      </c>
      <c r="P754" s="123">
        <f>IF($J754="","",365)</f>
        <v/>
      </c>
      <c r="Q754" s="123">
        <f>IF($J754="","",IF($O754="Evet",0,$N754))</f>
        <v/>
      </c>
    </row>
    <row r="755" ht="15" customHeight="1" s="78">
      <c r="G755" s="123">
        <f>IF($A755="","",MAX(0,$D755+$E755-$F755))</f>
        <v/>
      </c>
      <c r="H755" s="123">
        <f>IF($A755="","",MAX(0,$C755-$B755))</f>
        <v/>
      </c>
      <c r="P755" s="123">
        <f>IF($J755="","",365)</f>
        <v/>
      </c>
      <c r="Q755" s="123">
        <f>IF($J755="","",IF($O755="Evet",0,$N755))</f>
        <v/>
      </c>
    </row>
    <row r="756" ht="15" customHeight="1" s="78">
      <c r="G756" s="123">
        <f>IF($A756="","",MAX(0,$D756+$E756-$F756))</f>
        <v/>
      </c>
      <c r="H756" s="123">
        <f>IF($A756="","",MAX(0,$C756-$B756))</f>
        <v/>
      </c>
      <c r="P756" s="123">
        <f>IF($J756="","",365)</f>
        <v/>
      </c>
      <c r="Q756" s="123">
        <f>IF($J756="","",IF($O756="Evet",0,$N756))</f>
        <v/>
      </c>
    </row>
    <row r="757" ht="15" customHeight="1" s="78">
      <c r="G757" s="123">
        <f>IF($A757="","",MAX(0,$D757+$E757-$F757))</f>
        <v/>
      </c>
      <c r="H757" s="123">
        <f>IF($A757="","",MAX(0,$C757-$B757))</f>
        <v/>
      </c>
      <c r="P757" s="123">
        <f>IF($J757="","",365)</f>
        <v/>
      </c>
      <c r="Q757" s="123">
        <f>IF($J757="","",IF($O757="Evet",0,$N757))</f>
        <v/>
      </c>
    </row>
    <row r="758" ht="15" customHeight="1" s="78">
      <c r="G758" s="123">
        <f>IF($A758="","",MAX(0,$D758+$E758-$F758))</f>
        <v/>
      </c>
      <c r="H758" s="123">
        <f>IF($A758="","",MAX(0,$C758-$B758))</f>
        <v/>
      </c>
      <c r="P758" s="123">
        <f>IF($J758="","",365)</f>
        <v/>
      </c>
      <c r="Q758" s="123">
        <f>IF($J758="","",IF($O758="Evet",0,$N758))</f>
        <v/>
      </c>
    </row>
    <row r="759" ht="15" customHeight="1" s="78">
      <c r="G759" s="123">
        <f>IF($A759="","",MAX(0,$D759+$E759-$F759))</f>
        <v/>
      </c>
      <c r="H759" s="123">
        <f>IF($A759="","",MAX(0,$C759-$B759))</f>
        <v/>
      </c>
      <c r="P759" s="123">
        <f>IF($J759="","",365)</f>
        <v/>
      </c>
      <c r="Q759" s="123">
        <f>IF($J759="","",IF($O759="Evet",0,$N759))</f>
        <v/>
      </c>
    </row>
    <row r="760" ht="15" customHeight="1" s="78">
      <c r="G760" s="123">
        <f>IF($A760="","",MAX(0,$D760+$E760-$F760))</f>
        <v/>
      </c>
      <c r="H760" s="123">
        <f>IF($A760="","",MAX(0,$C760-$B760))</f>
        <v/>
      </c>
      <c r="P760" s="123">
        <f>IF($J760="","",365)</f>
        <v/>
      </c>
      <c r="Q760" s="123">
        <f>IF($J760="","",IF($O760="Evet",0,$N760))</f>
        <v/>
      </c>
    </row>
    <row r="761" ht="15" customHeight="1" s="78">
      <c r="G761" s="123">
        <f>IF($A761="","",MAX(0,$D761+$E761-$F761))</f>
        <v/>
      </c>
      <c r="H761" s="123">
        <f>IF($A761="","",MAX(0,$C761-$B761))</f>
        <v/>
      </c>
      <c r="P761" s="123">
        <f>IF($J761="","",365)</f>
        <v/>
      </c>
      <c r="Q761" s="123">
        <f>IF($J761="","",IF($O761="Evet",0,$N761))</f>
        <v/>
      </c>
    </row>
    <row r="762" ht="15" customHeight="1" s="78">
      <c r="G762" s="123">
        <f>IF($A762="","",MAX(0,$D762+$E762-$F762))</f>
        <v/>
      </c>
      <c r="H762" s="123">
        <f>IF($A762="","",MAX(0,$C762-$B762))</f>
        <v/>
      </c>
      <c r="P762" s="123">
        <f>IF($J762="","",365)</f>
        <v/>
      </c>
      <c r="Q762" s="123">
        <f>IF($J762="","",IF($O762="Evet",0,$N762))</f>
        <v/>
      </c>
    </row>
    <row r="763" ht="15" customHeight="1" s="78">
      <c r="G763" s="123">
        <f>IF($A763="","",MAX(0,$D763+$E763-$F763))</f>
        <v/>
      </c>
      <c r="H763" s="123">
        <f>IF($A763="","",MAX(0,$C763-$B763))</f>
        <v/>
      </c>
      <c r="P763" s="123">
        <f>IF($J763="","",365)</f>
        <v/>
      </c>
      <c r="Q763" s="123">
        <f>IF($J763="","",IF($O763="Evet",0,$N763))</f>
        <v/>
      </c>
    </row>
    <row r="764" ht="15" customHeight="1" s="78">
      <c r="G764" s="123">
        <f>IF($A764="","",MAX(0,$D764+$E764-$F764))</f>
        <v/>
      </c>
      <c r="H764" s="123">
        <f>IF($A764="","",MAX(0,$C764-$B764))</f>
        <v/>
      </c>
      <c r="P764" s="123">
        <f>IF($J764="","",365)</f>
        <v/>
      </c>
      <c r="Q764" s="123">
        <f>IF($J764="","",IF($O764="Evet",0,$N764))</f>
        <v/>
      </c>
    </row>
    <row r="765" ht="15" customHeight="1" s="78">
      <c r="G765" s="123">
        <f>IF($A765="","",MAX(0,$D765+$E765-$F765))</f>
        <v/>
      </c>
      <c r="H765" s="123">
        <f>IF($A765="","",MAX(0,$C765-$B765))</f>
        <v/>
      </c>
      <c r="P765" s="123">
        <f>IF($J765="","",365)</f>
        <v/>
      </c>
      <c r="Q765" s="123">
        <f>IF($J765="","",IF($O765="Evet",0,$N765))</f>
        <v/>
      </c>
    </row>
    <row r="766" ht="15" customHeight="1" s="78">
      <c r="G766" s="123">
        <f>IF($A766="","",MAX(0,$D766+$E766-$F766))</f>
        <v/>
      </c>
      <c r="H766" s="123">
        <f>IF($A766="","",MAX(0,$C766-$B766))</f>
        <v/>
      </c>
      <c r="P766" s="123">
        <f>IF($J766="","",365)</f>
        <v/>
      </c>
      <c r="Q766" s="123">
        <f>IF($J766="","",IF($O766="Evet",0,$N766))</f>
        <v/>
      </c>
    </row>
    <row r="767" ht="15" customHeight="1" s="78">
      <c r="G767" s="123">
        <f>IF($A767="","",MAX(0,$D767+$E767-$F767))</f>
        <v/>
      </c>
      <c r="H767" s="123">
        <f>IF($A767="","",MAX(0,$C767-$B767))</f>
        <v/>
      </c>
      <c r="P767" s="123">
        <f>IF($J767="","",365)</f>
        <v/>
      </c>
      <c r="Q767" s="123">
        <f>IF($J767="","",IF($O767="Evet",0,$N767))</f>
        <v/>
      </c>
    </row>
    <row r="768" ht="15" customHeight="1" s="78">
      <c r="G768" s="123">
        <f>IF($A768="","",MAX(0,$D768+$E768-$F768))</f>
        <v/>
      </c>
      <c r="H768" s="123">
        <f>IF($A768="","",MAX(0,$C768-$B768))</f>
        <v/>
      </c>
      <c r="P768" s="123">
        <f>IF($J768="","",365)</f>
        <v/>
      </c>
      <c r="Q768" s="123">
        <f>IF($J768="","",IF($O768="Evet",0,$N768))</f>
        <v/>
      </c>
    </row>
    <row r="769" ht="15" customHeight="1" s="78">
      <c r="G769" s="123">
        <f>IF($A769="","",MAX(0,$D769+$E769-$F769))</f>
        <v/>
      </c>
      <c r="H769" s="123">
        <f>IF($A769="","",MAX(0,$C769-$B769))</f>
        <v/>
      </c>
      <c r="P769" s="123">
        <f>IF($J769="","",365)</f>
        <v/>
      </c>
      <c r="Q769" s="123">
        <f>IF($J769="","",IF($O769="Evet",0,$N769))</f>
        <v/>
      </c>
    </row>
    <row r="770" ht="15" customHeight="1" s="78">
      <c r="G770" s="123">
        <f>IF($A770="","",MAX(0,$D770+$E770-$F770))</f>
        <v/>
      </c>
      <c r="H770" s="123">
        <f>IF($A770="","",MAX(0,$C770-$B770))</f>
        <v/>
      </c>
      <c r="P770" s="123">
        <f>IF($J770="","",365)</f>
        <v/>
      </c>
      <c r="Q770" s="123">
        <f>IF($J770="","",IF($O770="Evet",0,$N770))</f>
        <v/>
      </c>
    </row>
    <row r="771" ht="15" customHeight="1" s="78">
      <c r="G771" s="123">
        <f>IF($A771="","",MAX(0,$D771+$E771-$F771))</f>
        <v/>
      </c>
      <c r="H771" s="123">
        <f>IF($A771="","",MAX(0,$C771-$B771))</f>
        <v/>
      </c>
      <c r="P771" s="123">
        <f>IF($J771="","",365)</f>
        <v/>
      </c>
      <c r="Q771" s="123">
        <f>IF($J771="","",IF($O771="Evet",0,$N771))</f>
        <v/>
      </c>
    </row>
    <row r="772" ht="15" customHeight="1" s="78">
      <c r="G772" s="123">
        <f>IF($A772="","",MAX(0,$D772+$E772-$F772))</f>
        <v/>
      </c>
      <c r="H772" s="123">
        <f>IF($A772="","",MAX(0,$C772-$B772))</f>
        <v/>
      </c>
      <c r="P772" s="123">
        <f>IF($J772="","",365)</f>
        <v/>
      </c>
      <c r="Q772" s="123">
        <f>IF($J772="","",IF($O772="Evet",0,$N772))</f>
        <v/>
      </c>
    </row>
    <row r="773" ht="15" customHeight="1" s="78">
      <c r="G773" s="123">
        <f>IF($A773="","",MAX(0,$D773+$E773-$F773))</f>
        <v/>
      </c>
      <c r="H773" s="123">
        <f>IF($A773="","",MAX(0,$C773-$B773))</f>
        <v/>
      </c>
      <c r="P773" s="123">
        <f>IF($J773="","",365)</f>
        <v/>
      </c>
      <c r="Q773" s="123">
        <f>IF($J773="","",IF($O773="Evet",0,$N773))</f>
        <v/>
      </c>
    </row>
    <row r="774" ht="15" customHeight="1" s="78">
      <c r="G774" s="123">
        <f>IF($A774="","",MAX(0,$D774+$E774-$F774))</f>
        <v/>
      </c>
      <c r="H774" s="123">
        <f>IF($A774="","",MAX(0,$C774-$B774))</f>
        <v/>
      </c>
      <c r="P774" s="123">
        <f>IF($J774="","",365)</f>
        <v/>
      </c>
      <c r="Q774" s="123">
        <f>IF($J774="","",IF($O774="Evet",0,$N774))</f>
        <v/>
      </c>
    </row>
    <row r="775" ht="15" customHeight="1" s="78">
      <c r="G775" s="123">
        <f>IF($A775="","",MAX(0,$D775+$E775-$F775))</f>
        <v/>
      </c>
      <c r="H775" s="123">
        <f>IF($A775="","",MAX(0,$C775-$B775))</f>
        <v/>
      </c>
      <c r="P775" s="123">
        <f>IF($J775="","",365)</f>
        <v/>
      </c>
      <c r="Q775" s="123">
        <f>IF($J775="","",IF($O775="Evet",0,$N775))</f>
        <v/>
      </c>
    </row>
    <row r="776" ht="15" customHeight="1" s="78">
      <c r="G776" s="123">
        <f>IF($A776="","",MAX(0,$D776+$E776-$F776))</f>
        <v/>
      </c>
      <c r="H776" s="123">
        <f>IF($A776="","",MAX(0,$C776-$B776))</f>
        <v/>
      </c>
      <c r="P776" s="123">
        <f>IF($J776="","",365)</f>
        <v/>
      </c>
      <c r="Q776" s="123">
        <f>IF($J776="","",IF($O776="Evet",0,$N776))</f>
        <v/>
      </c>
    </row>
    <row r="777" ht="15" customHeight="1" s="78">
      <c r="G777" s="123">
        <f>IF($A777="","",MAX(0,$D777+$E777-$F777))</f>
        <v/>
      </c>
      <c r="H777" s="123">
        <f>IF($A777="","",MAX(0,$C777-$B777))</f>
        <v/>
      </c>
      <c r="P777" s="123">
        <f>IF($J777="","",365)</f>
        <v/>
      </c>
      <c r="Q777" s="123">
        <f>IF($J777="","",IF($O777="Evet",0,$N777))</f>
        <v/>
      </c>
    </row>
    <row r="778" ht="15" customHeight="1" s="78">
      <c r="G778" s="123">
        <f>IF($A778="","",MAX(0,$D778+$E778-$F778))</f>
        <v/>
      </c>
      <c r="H778" s="123">
        <f>IF($A778="","",MAX(0,$C778-$B778))</f>
        <v/>
      </c>
      <c r="P778" s="123">
        <f>IF($J778="","",365)</f>
        <v/>
      </c>
      <c r="Q778" s="123">
        <f>IF($J778="","",IF($O778="Evet",0,$N778))</f>
        <v/>
      </c>
    </row>
    <row r="779" ht="15" customHeight="1" s="78">
      <c r="G779" s="123">
        <f>IF($A779="","",MAX(0,$D779+$E779-$F779))</f>
        <v/>
      </c>
      <c r="H779" s="123">
        <f>IF($A779="","",MAX(0,$C779-$B779))</f>
        <v/>
      </c>
      <c r="P779" s="123">
        <f>IF($J779="","",365)</f>
        <v/>
      </c>
      <c r="Q779" s="123">
        <f>IF($J779="","",IF($O779="Evet",0,$N779))</f>
        <v/>
      </c>
    </row>
    <row r="780" ht="15" customHeight="1" s="78">
      <c r="G780" s="123">
        <f>IF($A780="","",MAX(0,$D780+$E780-$F780))</f>
        <v/>
      </c>
      <c r="H780" s="123">
        <f>IF($A780="","",MAX(0,$C780-$B780))</f>
        <v/>
      </c>
      <c r="P780" s="123">
        <f>IF($J780="","",365)</f>
        <v/>
      </c>
      <c r="Q780" s="123">
        <f>IF($J780="","",IF($O780="Evet",0,$N780))</f>
        <v/>
      </c>
    </row>
    <row r="781" ht="15" customHeight="1" s="78">
      <c r="G781" s="123">
        <f>IF($A781="","",MAX(0,$D781+$E781-$F781))</f>
        <v/>
      </c>
      <c r="H781" s="123">
        <f>IF($A781="","",MAX(0,$C781-$B781))</f>
        <v/>
      </c>
      <c r="P781" s="123">
        <f>IF($J781="","",365)</f>
        <v/>
      </c>
      <c r="Q781" s="123">
        <f>IF($J781="","",IF($O781="Evet",0,$N781))</f>
        <v/>
      </c>
    </row>
    <row r="782" ht="15" customHeight="1" s="78">
      <c r="G782" s="123">
        <f>IF($A782="","",MAX(0,$D782+$E782-$F782))</f>
        <v/>
      </c>
      <c r="H782" s="123">
        <f>IF($A782="","",MAX(0,$C782-$B782))</f>
        <v/>
      </c>
      <c r="P782" s="123">
        <f>IF($J782="","",365)</f>
        <v/>
      </c>
      <c r="Q782" s="123">
        <f>IF($J782="","",IF($O782="Evet",0,$N782))</f>
        <v/>
      </c>
    </row>
    <row r="783" ht="15" customHeight="1" s="78">
      <c r="G783" s="123">
        <f>IF($A783="","",MAX(0,$D783+$E783-$F783))</f>
        <v/>
      </c>
      <c r="H783" s="123">
        <f>IF($A783="","",MAX(0,$C783-$B783))</f>
        <v/>
      </c>
      <c r="P783" s="123">
        <f>IF($J783="","",365)</f>
        <v/>
      </c>
      <c r="Q783" s="123">
        <f>IF($J783="","",IF($O783="Evet",0,$N783))</f>
        <v/>
      </c>
    </row>
    <row r="784" ht="15" customHeight="1" s="78">
      <c r="G784" s="123">
        <f>IF($A784="","",MAX(0,$D784+$E784-$F784))</f>
        <v/>
      </c>
      <c r="H784" s="123">
        <f>IF($A784="","",MAX(0,$C784-$B784))</f>
        <v/>
      </c>
      <c r="P784" s="123">
        <f>IF($J784="","",365)</f>
        <v/>
      </c>
      <c r="Q784" s="123">
        <f>IF($J784="","",IF($O784="Evet",0,$N784))</f>
        <v/>
      </c>
    </row>
    <row r="785" ht="15" customHeight="1" s="78">
      <c r="G785" s="123">
        <f>IF($A785="","",MAX(0,$D785+$E785-$F785))</f>
        <v/>
      </c>
      <c r="H785" s="123">
        <f>IF($A785="","",MAX(0,$C785-$B785))</f>
        <v/>
      </c>
      <c r="P785" s="123">
        <f>IF($J785="","",365)</f>
        <v/>
      </c>
      <c r="Q785" s="123">
        <f>IF($J785="","",IF($O785="Evet",0,$N785))</f>
        <v/>
      </c>
    </row>
    <row r="786" ht="15" customHeight="1" s="78">
      <c r="G786" s="123">
        <f>IF($A786="","",MAX(0,$D786+$E786-$F786))</f>
        <v/>
      </c>
      <c r="H786" s="123">
        <f>IF($A786="","",MAX(0,$C786-$B786))</f>
        <v/>
      </c>
      <c r="P786" s="123">
        <f>IF($J786="","",365)</f>
        <v/>
      </c>
      <c r="Q786" s="123">
        <f>IF($J786="","",IF($O786="Evet",0,$N786))</f>
        <v/>
      </c>
    </row>
    <row r="787" ht="15" customHeight="1" s="78">
      <c r="G787" s="123">
        <f>IF($A787="","",MAX(0,$D787+$E787-$F787))</f>
        <v/>
      </c>
      <c r="H787" s="123">
        <f>IF($A787="","",MAX(0,$C787-$B787))</f>
        <v/>
      </c>
      <c r="P787" s="123">
        <f>IF($J787="","",365)</f>
        <v/>
      </c>
      <c r="Q787" s="123">
        <f>IF($J787="","",IF($O787="Evet",0,$N787))</f>
        <v/>
      </c>
    </row>
    <row r="788" ht="15" customHeight="1" s="78">
      <c r="G788" s="123">
        <f>IF($A788="","",MAX(0,$D788+$E788-$F788))</f>
        <v/>
      </c>
      <c r="H788" s="123">
        <f>IF($A788="","",MAX(0,$C788-$B788))</f>
        <v/>
      </c>
      <c r="P788" s="123">
        <f>IF($J788="","",365)</f>
        <v/>
      </c>
      <c r="Q788" s="123">
        <f>IF($J788="","",IF($O788="Evet",0,$N788))</f>
        <v/>
      </c>
    </row>
    <row r="789" ht="15" customHeight="1" s="78">
      <c r="G789" s="123">
        <f>IF($A789="","",MAX(0,$D789+$E789-$F789))</f>
        <v/>
      </c>
      <c r="H789" s="123">
        <f>IF($A789="","",MAX(0,$C789-$B789))</f>
        <v/>
      </c>
      <c r="P789" s="123">
        <f>IF($J789="","",365)</f>
        <v/>
      </c>
      <c r="Q789" s="123">
        <f>IF($J789="","",IF($O789="Evet",0,$N789))</f>
        <v/>
      </c>
    </row>
    <row r="790" ht="15" customHeight="1" s="78">
      <c r="G790" s="123">
        <f>IF($A790="","",MAX(0,$D790+$E790-$F790))</f>
        <v/>
      </c>
      <c r="H790" s="123">
        <f>IF($A790="","",MAX(0,$C790-$B790))</f>
        <v/>
      </c>
      <c r="P790" s="123">
        <f>IF($J790="","",365)</f>
        <v/>
      </c>
      <c r="Q790" s="123">
        <f>IF($J790="","",IF($O790="Evet",0,$N790))</f>
        <v/>
      </c>
    </row>
    <row r="791" ht="15" customHeight="1" s="78">
      <c r="G791" s="123">
        <f>IF($A791="","",MAX(0,$D791+$E791-$F791))</f>
        <v/>
      </c>
      <c r="H791" s="123">
        <f>IF($A791="","",MAX(0,$C791-$B791))</f>
        <v/>
      </c>
      <c r="P791" s="123">
        <f>IF($J791="","",365)</f>
        <v/>
      </c>
      <c r="Q791" s="123">
        <f>IF($J791="","",IF($O791="Evet",0,$N791))</f>
        <v/>
      </c>
    </row>
    <row r="792" ht="15" customHeight="1" s="78">
      <c r="G792" s="123">
        <f>IF($A792="","",MAX(0,$D792+$E792-$F792))</f>
        <v/>
      </c>
      <c r="H792" s="123">
        <f>IF($A792="","",MAX(0,$C792-$B792))</f>
        <v/>
      </c>
      <c r="P792" s="123">
        <f>IF($J792="","",365)</f>
        <v/>
      </c>
      <c r="Q792" s="123">
        <f>IF($J792="","",IF($O792="Evet",0,$N792))</f>
        <v/>
      </c>
    </row>
    <row r="793" ht="15" customHeight="1" s="78">
      <c r="G793" s="123">
        <f>IF($A793="","",MAX(0,$D793+$E793-$F793))</f>
        <v/>
      </c>
      <c r="H793" s="123">
        <f>IF($A793="","",MAX(0,$C793-$B793))</f>
        <v/>
      </c>
      <c r="P793" s="123">
        <f>IF($J793="","",365)</f>
        <v/>
      </c>
      <c r="Q793" s="123">
        <f>IF($J793="","",IF($O793="Evet",0,$N793))</f>
        <v/>
      </c>
    </row>
    <row r="794" ht="15" customHeight="1" s="78">
      <c r="G794" s="123">
        <f>IF($A794="","",MAX(0,$D794+$E794-$F794))</f>
        <v/>
      </c>
      <c r="H794" s="123">
        <f>IF($A794="","",MAX(0,$C794-$B794))</f>
        <v/>
      </c>
      <c r="P794" s="123">
        <f>IF($J794="","",365)</f>
        <v/>
      </c>
      <c r="Q794" s="123">
        <f>IF($J794="","",IF($O794="Evet",0,$N794))</f>
        <v/>
      </c>
    </row>
    <row r="795" ht="15" customHeight="1" s="78">
      <c r="G795" s="123">
        <f>IF($A795="","",MAX(0,$D795+$E795-$F795))</f>
        <v/>
      </c>
      <c r="H795" s="123">
        <f>IF($A795="","",MAX(0,$C795-$B795))</f>
        <v/>
      </c>
      <c r="P795" s="123">
        <f>IF($J795="","",365)</f>
        <v/>
      </c>
      <c r="Q795" s="123">
        <f>IF($J795="","",IF($O795="Evet",0,$N795))</f>
        <v/>
      </c>
    </row>
    <row r="796" ht="15" customHeight="1" s="78">
      <c r="G796" s="123">
        <f>IF($A796="","",MAX(0,$D796+$E796-$F796))</f>
        <v/>
      </c>
      <c r="H796" s="123">
        <f>IF($A796="","",MAX(0,$C796-$B796))</f>
        <v/>
      </c>
      <c r="P796" s="123">
        <f>IF($J796="","",365)</f>
        <v/>
      </c>
      <c r="Q796" s="123">
        <f>IF($J796="","",IF($O796="Evet",0,$N796))</f>
        <v/>
      </c>
    </row>
    <row r="797" ht="15" customHeight="1" s="78">
      <c r="G797" s="123">
        <f>IF($A797="","",MAX(0,$D797+$E797-$F797))</f>
        <v/>
      </c>
      <c r="H797" s="123">
        <f>IF($A797="","",MAX(0,$C797-$B797))</f>
        <v/>
      </c>
      <c r="P797" s="123">
        <f>IF($J797="","",365)</f>
        <v/>
      </c>
      <c r="Q797" s="123">
        <f>IF($J797="","",IF($O797="Evet",0,$N797))</f>
        <v/>
      </c>
    </row>
    <row r="798" ht="15" customHeight="1" s="78">
      <c r="G798" s="123">
        <f>IF($A798="","",MAX(0,$D798+$E798-$F798))</f>
        <v/>
      </c>
      <c r="H798" s="123">
        <f>IF($A798="","",MAX(0,$C798-$B798))</f>
        <v/>
      </c>
      <c r="P798" s="123">
        <f>IF($J798="","",365)</f>
        <v/>
      </c>
      <c r="Q798" s="123">
        <f>IF($J798="","",IF($O798="Evet",0,$N798))</f>
        <v/>
      </c>
    </row>
    <row r="799" ht="15" customHeight="1" s="78">
      <c r="G799" s="123">
        <f>IF($A799="","",MAX(0,$D799+$E799-$F799))</f>
        <v/>
      </c>
      <c r="H799" s="123">
        <f>IF($A799="","",MAX(0,$C799-$B799))</f>
        <v/>
      </c>
      <c r="P799" s="123">
        <f>IF($J799="","",365)</f>
        <v/>
      </c>
      <c r="Q799" s="123">
        <f>IF($J799="","",IF($O799="Evet",0,$N799))</f>
        <v/>
      </c>
    </row>
    <row r="800" ht="15" customHeight="1" s="78">
      <c r="G800" s="123">
        <f>IF($A800="","",MAX(0,$D800+$E800-$F800))</f>
        <v/>
      </c>
      <c r="H800" s="123">
        <f>IF($A800="","",MAX(0,$C800-$B800))</f>
        <v/>
      </c>
      <c r="P800" s="123">
        <f>IF($J800="","",365)</f>
        <v/>
      </c>
      <c r="Q800" s="123">
        <f>IF($J800="","",IF($O800="Evet",0,$N800))</f>
        <v/>
      </c>
    </row>
    <row r="801" ht="15" customHeight="1" s="78">
      <c r="G801" s="123">
        <f>IF($A801="","",MAX(0,$D801+$E801-$F801))</f>
        <v/>
      </c>
      <c r="H801" s="123">
        <f>IF($A801="","",MAX(0,$C801-$B801))</f>
        <v/>
      </c>
      <c r="P801" s="123">
        <f>IF($J801="","",365)</f>
        <v/>
      </c>
      <c r="Q801" s="123">
        <f>IF($J801="","",IF($O801="Evet",0,$N801))</f>
        <v/>
      </c>
    </row>
    <row r="802" ht="15" customHeight="1" s="78">
      <c r="G802" s="123">
        <f>IF($A802="","",MAX(0,$D802+$E802-$F802))</f>
        <v/>
      </c>
      <c r="H802" s="123">
        <f>IF($A802="","",MAX(0,$C802-$B802))</f>
        <v/>
      </c>
      <c r="P802" s="123">
        <f>IF($J802="","",365)</f>
        <v/>
      </c>
      <c r="Q802" s="123">
        <f>IF($J802="","",IF($O802="Evet",0,$N802))</f>
        <v/>
      </c>
    </row>
    <row r="803" ht="15" customHeight="1" s="78">
      <c r="G803" s="123">
        <f>IF($A803="","",MAX(0,$D803+$E803-$F803))</f>
        <v/>
      </c>
      <c r="H803" s="123">
        <f>IF($A803="","",MAX(0,$C803-$B803))</f>
        <v/>
      </c>
      <c r="P803" s="123">
        <f>IF($J803="","",365)</f>
        <v/>
      </c>
      <c r="Q803" s="123">
        <f>IF($J803="","",IF($O803="Evet",0,$N803))</f>
        <v/>
      </c>
    </row>
    <row r="804" ht="15" customHeight="1" s="78">
      <c r="G804" s="123">
        <f>IF($A804="","",MAX(0,$D804+$E804-$F804))</f>
        <v/>
      </c>
      <c r="H804" s="123">
        <f>IF($A804="","",MAX(0,$C804-$B804))</f>
        <v/>
      </c>
      <c r="P804" s="123">
        <f>IF($J804="","",365)</f>
        <v/>
      </c>
      <c r="Q804" s="123">
        <f>IF($J804="","",IF($O804="Evet",0,$N804))</f>
        <v/>
      </c>
    </row>
    <row r="805" ht="15" customHeight="1" s="78">
      <c r="G805" s="123">
        <f>IF($A805="","",MAX(0,$D805+$E805-$F805))</f>
        <v/>
      </c>
      <c r="H805" s="123">
        <f>IF($A805="","",MAX(0,$C805-$B805))</f>
        <v/>
      </c>
      <c r="P805" s="123">
        <f>IF($J805="","",365)</f>
        <v/>
      </c>
      <c r="Q805" s="123">
        <f>IF($J805="","",IF($O805="Evet",0,$N805))</f>
        <v/>
      </c>
    </row>
    <row r="806" ht="15" customHeight="1" s="78">
      <c r="G806" s="123">
        <f>IF($A806="","",MAX(0,$D806+$E806-$F806))</f>
        <v/>
      </c>
      <c r="H806" s="123">
        <f>IF($A806="","",MAX(0,$C806-$B806))</f>
        <v/>
      </c>
      <c r="P806" s="123">
        <f>IF($J806="","",365)</f>
        <v/>
      </c>
      <c r="Q806" s="123">
        <f>IF($J806="","",IF($O806="Evet",0,$N806))</f>
        <v/>
      </c>
    </row>
    <row r="807" ht="15" customHeight="1" s="78">
      <c r="G807" s="123">
        <f>IF($A807="","",MAX(0,$D807+$E807-$F807))</f>
        <v/>
      </c>
      <c r="H807" s="123">
        <f>IF($A807="","",MAX(0,$C807-$B807))</f>
        <v/>
      </c>
      <c r="P807" s="123">
        <f>IF($J807="","",365)</f>
        <v/>
      </c>
      <c r="Q807" s="123">
        <f>IF($J807="","",IF($O807="Evet",0,$N807))</f>
        <v/>
      </c>
    </row>
    <row r="808" ht="15" customHeight="1" s="78">
      <c r="G808" s="123">
        <f>IF($A808="","",MAX(0,$D808+$E808-$F808))</f>
        <v/>
      </c>
      <c r="H808" s="123">
        <f>IF($A808="","",MAX(0,$C808-$B808))</f>
        <v/>
      </c>
      <c r="P808" s="123">
        <f>IF($J808="","",365)</f>
        <v/>
      </c>
      <c r="Q808" s="123">
        <f>IF($J808="","",IF($O808="Evet",0,$N808))</f>
        <v/>
      </c>
    </row>
    <row r="809" ht="15" customHeight="1" s="78">
      <c r="G809" s="123">
        <f>IF($A809="","",MAX(0,$D809+$E809-$F809))</f>
        <v/>
      </c>
      <c r="H809" s="123">
        <f>IF($A809="","",MAX(0,$C809-$B809))</f>
        <v/>
      </c>
      <c r="P809" s="123">
        <f>IF($J809="","",365)</f>
        <v/>
      </c>
      <c r="Q809" s="123">
        <f>IF($J809="","",IF($O809="Evet",0,$N809))</f>
        <v/>
      </c>
    </row>
    <row r="810" ht="15" customHeight="1" s="78">
      <c r="G810" s="123">
        <f>IF($A810="","",MAX(0,$D810+$E810-$F810))</f>
        <v/>
      </c>
      <c r="H810" s="123">
        <f>IF($A810="","",MAX(0,$C810-$B810))</f>
        <v/>
      </c>
      <c r="P810" s="123">
        <f>IF($J810="","",365)</f>
        <v/>
      </c>
      <c r="Q810" s="123">
        <f>IF($J810="","",IF($O810="Evet",0,$N810))</f>
        <v/>
      </c>
    </row>
    <row r="811" ht="15" customHeight="1" s="78">
      <c r="G811" s="123">
        <f>IF($A811="","",MAX(0,$D811+$E811-$F811))</f>
        <v/>
      </c>
      <c r="H811" s="123">
        <f>IF($A811="","",MAX(0,$C811-$B811))</f>
        <v/>
      </c>
      <c r="P811" s="123">
        <f>IF($J811="","",365)</f>
        <v/>
      </c>
      <c r="Q811" s="123">
        <f>IF($J811="","",IF($O811="Evet",0,$N811))</f>
        <v/>
      </c>
    </row>
    <row r="812" ht="15" customHeight="1" s="78">
      <c r="G812" s="123">
        <f>IF($A812="","",MAX(0,$D812+$E812-$F812))</f>
        <v/>
      </c>
      <c r="H812" s="123">
        <f>IF($A812="","",MAX(0,$C812-$B812))</f>
        <v/>
      </c>
      <c r="P812" s="123">
        <f>IF($J812="","",365)</f>
        <v/>
      </c>
      <c r="Q812" s="123">
        <f>IF($J812="","",IF($O812="Evet",0,$N812))</f>
        <v/>
      </c>
    </row>
    <row r="813" ht="15" customHeight="1" s="78">
      <c r="G813" s="123">
        <f>IF($A813="","",MAX(0,$D813+$E813-$F813))</f>
        <v/>
      </c>
      <c r="H813" s="123">
        <f>IF($A813="","",MAX(0,$C813-$B813))</f>
        <v/>
      </c>
      <c r="P813" s="123">
        <f>IF($J813="","",365)</f>
        <v/>
      </c>
      <c r="Q813" s="123">
        <f>IF($J813="","",IF($O813="Evet",0,$N813))</f>
        <v/>
      </c>
    </row>
    <row r="814" ht="15" customHeight="1" s="78">
      <c r="G814" s="123">
        <f>IF($A814="","",MAX(0,$D814+$E814-$F814))</f>
        <v/>
      </c>
      <c r="H814" s="123">
        <f>IF($A814="","",MAX(0,$C814-$B814))</f>
        <v/>
      </c>
      <c r="P814" s="123">
        <f>IF($J814="","",365)</f>
        <v/>
      </c>
      <c r="Q814" s="123">
        <f>IF($J814="","",IF($O814="Evet",0,$N814))</f>
        <v/>
      </c>
    </row>
    <row r="815" ht="15" customHeight="1" s="78">
      <c r="G815" s="123">
        <f>IF($A815="","",MAX(0,$D815+$E815-$F815))</f>
        <v/>
      </c>
      <c r="H815" s="123">
        <f>IF($A815="","",MAX(0,$C815-$B815))</f>
        <v/>
      </c>
      <c r="P815" s="123">
        <f>IF($J815="","",365)</f>
        <v/>
      </c>
      <c r="Q815" s="123">
        <f>IF($J815="","",IF($O815="Evet",0,$N815))</f>
        <v/>
      </c>
    </row>
    <row r="816" ht="15" customHeight="1" s="78">
      <c r="G816" s="123">
        <f>IF($A816="","",MAX(0,$D816+$E816-$F816))</f>
        <v/>
      </c>
      <c r="H816" s="123">
        <f>IF($A816="","",MAX(0,$C816-$B816))</f>
        <v/>
      </c>
      <c r="P816" s="123">
        <f>IF($J816="","",365)</f>
        <v/>
      </c>
      <c r="Q816" s="123">
        <f>IF($J816="","",IF($O816="Evet",0,$N816))</f>
        <v/>
      </c>
    </row>
    <row r="817" ht="15" customHeight="1" s="78">
      <c r="G817" s="123">
        <f>IF($A817="","",MAX(0,$D817+$E817-$F817))</f>
        <v/>
      </c>
      <c r="H817" s="123">
        <f>IF($A817="","",MAX(0,$C817-$B817))</f>
        <v/>
      </c>
      <c r="P817" s="123">
        <f>IF($J817="","",365)</f>
        <v/>
      </c>
      <c r="Q817" s="123">
        <f>IF($J817="","",IF($O817="Evet",0,$N817))</f>
        <v/>
      </c>
    </row>
    <row r="818" ht="15" customHeight="1" s="78">
      <c r="G818" s="123">
        <f>IF($A818="","",MAX(0,$D818+$E818-$F818))</f>
        <v/>
      </c>
      <c r="H818" s="123">
        <f>IF($A818="","",MAX(0,$C818-$B818))</f>
        <v/>
      </c>
      <c r="P818" s="123">
        <f>IF($J818="","",365)</f>
        <v/>
      </c>
      <c r="Q818" s="123">
        <f>IF($J818="","",IF($O818="Evet",0,$N818))</f>
        <v/>
      </c>
    </row>
    <row r="819" ht="15" customHeight="1" s="78">
      <c r="G819" s="123">
        <f>IF($A819="","",MAX(0,$D819+$E819-$F819))</f>
        <v/>
      </c>
      <c r="H819" s="123">
        <f>IF($A819="","",MAX(0,$C819-$B819))</f>
        <v/>
      </c>
      <c r="P819" s="123">
        <f>IF($J819="","",365)</f>
        <v/>
      </c>
      <c r="Q819" s="123">
        <f>IF($J819="","",IF($O819="Evet",0,$N819))</f>
        <v/>
      </c>
    </row>
    <row r="820" ht="15" customHeight="1" s="78">
      <c r="G820" s="123">
        <f>IF($A820="","",MAX(0,$D820+$E820-$F820))</f>
        <v/>
      </c>
      <c r="H820" s="123">
        <f>IF($A820="","",MAX(0,$C820-$B820))</f>
        <v/>
      </c>
      <c r="P820" s="123">
        <f>IF($J820="","",365)</f>
        <v/>
      </c>
      <c r="Q820" s="123">
        <f>IF($J820="","",IF($O820="Evet",0,$N820))</f>
        <v/>
      </c>
    </row>
    <row r="821" ht="15" customHeight="1" s="78">
      <c r="G821" s="123">
        <f>IF($A821="","",MAX(0,$D821+$E821-$F821))</f>
        <v/>
      </c>
      <c r="H821" s="123">
        <f>IF($A821="","",MAX(0,$C821-$B821))</f>
        <v/>
      </c>
      <c r="P821" s="123">
        <f>IF($J821="","",365)</f>
        <v/>
      </c>
      <c r="Q821" s="123">
        <f>IF($J821="","",IF($O821="Evet",0,$N821))</f>
        <v/>
      </c>
    </row>
    <row r="822" ht="15" customHeight="1" s="78">
      <c r="G822" s="123">
        <f>IF($A822="","",MAX(0,$D822+$E822-$F822))</f>
        <v/>
      </c>
      <c r="H822" s="123">
        <f>IF($A822="","",MAX(0,$C822-$B822))</f>
        <v/>
      </c>
      <c r="P822" s="123">
        <f>IF($J822="","",365)</f>
        <v/>
      </c>
      <c r="Q822" s="123">
        <f>IF($J822="","",IF($O822="Evet",0,$N822))</f>
        <v/>
      </c>
    </row>
    <row r="823" ht="15" customHeight="1" s="78">
      <c r="G823" s="123">
        <f>IF($A823="","",MAX(0,$D823+$E823-$F823))</f>
        <v/>
      </c>
      <c r="H823" s="123">
        <f>IF($A823="","",MAX(0,$C823-$B823))</f>
        <v/>
      </c>
      <c r="P823" s="123">
        <f>IF($J823="","",365)</f>
        <v/>
      </c>
      <c r="Q823" s="123">
        <f>IF($J823="","",IF($O823="Evet",0,$N823))</f>
        <v/>
      </c>
    </row>
    <row r="824" ht="15" customHeight="1" s="78">
      <c r="G824" s="123">
        <f>IF($A824="","",MAX(0,$D824+$E824-$F824))</f>
        <v/>
      </c>
      <c r="H824" s="123">
        <f>IF($A824="","",MAX(0,$C824-$B824))</f>
        <v/>
      </c>
      <c r="P824" s="123">
        <f>IF($J824="","",365)</f>
        <v/>
      </c>
      <c r="Q824" s="123">
        <f>IF($J824="","",IF($O824="Evet",0,$N824))</f>
        <v/>
      </c>
    </row>
    <row r="825" ht="15" customHeight="1" s="78">
      <c r="G825" s="123">
        <f>IF($A825="","",MAX(0,$D825+$E825-$F825))</f>
        <v/>
      </c>
      <c r="H825" s="123">
        <f>IF($A825="","",MAX(0,$C825-$B825))</f>
        <v/>
      </c>
      <c r="P825" s="123">
        <f>IF($J825="","",365)</f>
        <v/>
      </c>
      <c r="Q825" s="123">
        <f>IF($J825="","",IF($O825="Evet",0,$N825))</f>
        <v/>
      </c>
    </row>
    <row r="826" ht="15" customHeight="1" s="78">
      <c r="G826" s="123">
        <f>IF($A826="","",MAX(0,$D826+$E826-$F826))</f>
        <v/>
      </c>
      <c r="H826" s="123">
        <f>IF($A826="","",MAX(0,$C826-$B826))</f>
        <v/>
      </c>
      <c r="P826" s="123">
        <f>IF($J826="","",365)</f>
        <v/>
      </c>
      <c r="Q826" s="123">
        <f>IF($J826="","",IF($O826="Evet",0,$N826))</f>
        <v/>
      </c>
    </row>
    <row r="827" ht="15" customHeight="1" s="78">
      <c r="G827" s="123">
        <f>IF($A827="","",MAX(0,$D827+$E827-$F827))</f>
        <v/>
      </c>
      <c r="H827" s="123">
        <f>IF($A827="","",MAX(0,$C827-$B827))</f>
        <v/>
      </c>
      <c r="P827" s="123">
        <f>IF($J827="","",365)</f>
        <v/>
      </c>
      <c r="Q827" s="123">
        <f>IF($J827="","",IF($O827="Evet",0,$N827))</f>
        <v/>
      </c>
    </row>
    <row r="828" ht="15" customHeight="1" s="78">
      <c r="G828" s="123">
        <f>IF($A828="","",MAX(0,$D828+$E828-$F828))</f>
        <v/>
      </c>
      <c r="H828" s="123">
        <f>IF($A828="","",MAX(0,$C828-$B828))</f>
        <v/>
      </c>
      <c r="P828" s="123">
        <f>IF($J828="","",365)</f>
        <v/>
      </c>
      <c r="Q828" s="123">
        <f>IF($J828="","",IF($O828="Evet",0,$N828))</f>
        <v/>
      </c>
    </row>
    <row r="829" ht="15" customHeight="1" s="78">
      <c r="G829" s="123">
        <f>IF($A829="","",MAX(0,$D829+$E829-$F829))</f>
        <v/>
      </c>
      <c r="H829" s="123">
        <f>IF($A829="","",MAX(0,$C829-$B829))</f>
        <v/>
      </c>
      <c r="P829" s="123">
        <f>IF($J829="","",365)</f>
        <v/>
      </c>
      <c r="Q829" s="123">
        <f>IF($J829="","",IF($O829="Evet",0,$N829))</f>
        <v/>
      </c>
    </row>
    <row r="830" ht="15" customHeight="1" s="78">
      <c r="G830" s="123">
        <f>IF($A830="","",MAX(0,$D830+$E830-$F830))</f>
        <v/>
      </c>
      <c r="H830" s="123">
        <f>IF($A830="","",MAX(0,$C830-$B830))</f>
        <v/>
      </c>
      <c r="P830" s="123">
        <f>IF($J830="","",365)</f>
        <v/>
      </c>
      <c r="Q830" s="123">
        <f>IF($J830="","",IF($O830="Evet",0,$N830))</f>
        <v/>
      </c>
    </row>
    <row r="831" ht="15" customHeight="1" s="78">
      <c r="G831" s="123">
        <f>IF($A831="","",MAX(0,$D831+$E831-$F831))</f>
        <v/>
      </c>
      <c r="H831" s="123">
        <f>IF($A831="","",MAX(0,$C831-$B831))</f>
        <v/>
      </c>
      <c r="P831" s="123">
        <f>IF($J831="","",365)</f>
        <v/>
      </c>
      <c r="Q831" s="123">
        <f>IF($J831="","",IF($O831="Evet",0,$N831))</f>
        <v/>
      </c>
    </row>
    <row r="832" ht="15" customHeight="1" s="78">
      <c r="G832" s="123">
        <f>IF($A832="","",MAX(0,$D832+$E832-$F832))</f>
        <v/>
      </c>
      <c r="H832" s="123">
        <f>IF($A832="","",MAX(0,$C832-$B832))</f>
        <v/>
      </c>
      <c r="P832" s="123">
        <f>IF($J832="","",365)</f>
        <v/>
      </c>
      <c r="Q832" s="123">
        <f>IF($J832="","",IF($O832="Evet",0,$N832))</f>
        <v/>
      </c>
    </row>
    <row r="833" ht="15" customHeight="1" s="78">
      <c r="G833" s="123">
        <f>IF($A833="","",MAX(0,$D833+$E833-$F833))</f>
        <v/>
      </c>
      <c r="H833" s="123">
        <f>IF($A833="","",MAX(0,$C833-$B833))</f>
        <v/>
      </c>
      <c r="P833" s="123">
        <f>IF($J833="","",365)</f>
        <v/>
      </c>
      <c r="Q833" s="123">
        <f>IF($J833="","",IF($O833="Evet",0,$N833))</f>
        <v/>
      </c>
    </row>
    <row r="834" ht="15" customHeight="1" s="78">
      <c r="G834" s="123">
        <f>IF($A834="","",MAX(0,$D834+$E834-$F834))</f>
        <v/>
      </c>
      <c r="H834" s="123">
        <f>IF($A834="","",MAX(0,$C834-$B834))</f>
        <v/>
      </c>
      <c r="P834" s="123">
        <f>IF($J834="","",365)</f>
        <v/>
      </c>
      <c r="Q834" s="123">
        <f>IF($J834="","",IF($O834="Evet",0,$N834))</f>
        <v/>
      </c>
    </row>
    <row r="835" ht="15" customHeight="1" s="78">
      <c r="G835" s="123">
        <f>IF($A835="","",MAX(0,$D835+$E835-$F835))</f>
        <v/>
      </c>
      <c r="H835" s="123">
        <f>IF($A835="","",MAX(0,$C835-$B835))</f>
        <v/>
      </c>
      <c r="P835" s="123">
        <f>IF($J835="","",365)</f>
        <v/>
      </c>
      <c r="Q835" s="123">
        <f>IF($J835="","",IF($O835="Evet",0,$N835))</f>
        <v/>
      </c>
    </row>
    <row r="836" ht="15" customHeight="1" s="78">
      <c r="G836" s="123">
        <f>IF($A836="","",MAX(0,$D836+$E836-$F836))</f>
        <v/>
      </c>
      <c r="H836" s="123">
        <f>IF($A836="","",MAX(0,$C836-$B836))</f>
        <v/>
      </c>
      <c r="P836" s="123">
        <f>IF($J836="","",365)</f>
        <v/>
      </c>
      <c r="Q836" s="123">
        <f>IF($J836="","",IF($O836="Evet",0,$N836))</f>
        <v/>
      </c>
    </row>
    <row r="837" ht="15" customHeight="1" s="78">
      <c r="G837" s="123">
        <f>IF($A837="","",MAX(0,$D837+$E837-$F837))</f>
        <v/>
      </c>
      <c r="H837" s="123">
        <f>IF($A837="","",MAX(0,$C837-$B837))</f>
        <v/>
      </c>
      <c r="P837" s="123">
        <f>IF($J837="","",365)</f>
        <v/>
      </c>
      <c r="Q837" s="123">
        <f>IF($J837="","",IF($O837="Evet",0,$N837))</f>
        <v/>
      </c>
    </row>
    <row r="838" ht="15" customHeight="1" s="78">
      <c r="G838" s="123">
        <f>IF($A838="","",MAX(0,$D838+$E838-$F838))</f>
        <v/>
      </c>
      <c r="H838" s="123">
        <f>IF($A838="","",MAX(0,$C838-$B838))</f>
        <v/>
      </c>
      <c r="P838" s="123">
        <f>IF($J838="","",365)</f>
        <v/>
      </c>
      <c r="Q838" s="123">
        <f>IF($J838="","",IF($O838="Evet",0,$N838))</f>
        <v/>
      </c>
    </row>
    <row r="839" ht="15" customHeight="1" s="78">
      <c r="G839" s="123">
        <f>IF($A839="","",MAX(0,$D839+$E839-$F839))</f>
        <v/>
      </c>
      <c r="H839" s="123">
        <f>IF($A839="","",MAX(0,$C839-$B839))</f>
        <v/>
      </c>
      <c r="P839" s="123">
        <f>IF($J839="","",365)</f>
        <v/>
      </c>
      <c r="Q839" s="123">
        <f>IF($J839="","",IF($O839="Evet",0,$N839))</f>
        <v/>
      </c>
    </row>
    <row r="840" ht="15" customHeight="1" s="78">
      <c r="G840" s="123">
        <f>IF($A840="","",MAX(0,$D840+$E840-$F840))</f>
        <v/>
      </c>
      <c r="H840" s="123">
        <f>IF($A840="","",MAX(0,$C840-$B840))</f>
        <v/>
      </c>
      <c r="P840" s="123">
        <f>IF($J840="","",365)</f>
        <v/>
      </c>
      <c r="Q840" s="123">
        <f>IF($J840="","",IF($O840="Evet",0,$N840))</f>
        <v/>
      </c>
    </row>
    <row r="841" ht="15" customHeight="1" s="78">
      <c r="G841" s="123">
        <f>IF($A841="","",MAX(0,$D841+$E841-$F841))</f>
        <v/>
      </c>
      <c r="H841" s="123">
        <f>IF($A841="","",MAX(0,$C841-$B841))</f>
        <v/>
      </c>
      <c r="P841" s="123">
        <f>IF($J841="","",365)</f>
        <v/>
      </c>
      <c r="Q841" s="123">
        <f>IF($J841="","",IF($O841="Evet",0,$N841))</f>
        <v/>
      </c>
    </row>
    <row r="842" ht="15" customHeight="1" s="78">
      <c r="G842" s="123">
        <f>IF($A842="","",MAX(0,$D842+$E842-$F842))</f>
        <v/>
      </c>
      <c r="H842" s="123">
        <f>IF($A842="","",MAX(0,$C842-$B842))</f>
        <v/>
      </c>
      <c r="P842" s="123">
        <f>IF($J842="","",365)</f>
        <v/>
      </c>
      <c r="Q842" s="123">
        <f>IF($J842="","",IF($O842="Evet",0,$N842))</f>
        <v/>
      </c>
    </row>
    <row r="843" ht="15" customHeight="1" s="78">
      <c r="G843" s="123">
        <f>IF($A843="","",MAX(0,$D843+$E843-$F843))</f>
        <v/>
      </c>
      <c r="H843" s="123">
        <f>IF($A843="","",MAX(0,$C843-$B843))</f>
        <v/>
      </c>
      <c r="P843" s="123">
        <f>IF($J843="","",365)</f>
        <v/>
      </c>
      <c r="Q843" s="123">
        <f>IF($J843="","",IF($O843="Evet",0,$N843))</f>
        <v/>
      </c>
    </row>
    <row r="844" ht="15" customHeight="1" s="78">
      <c r="G844" s="123">
        <f>IF($A844="","",MAX(0,$D844+$E844-$F844))</f>
        <v/>
      </c>
      <c r="H844" s="123">
        <f>IF($A844="","",MAX(0,$C844-$B844))</f>
        <v/>
      </c>
      <c r="P844" s="123">
        <f>IF($J844="","",365)</f>
        <v/>
      </c>
      <c r="Q844" s="123">
        <f>IF($J844="","",IF($O844="Evet",0,$N844))</f>
        <v/>
      </c>
    </row>
    <row r="845" ht="15" customHeight="1" s="78">
      <c r="G845" s="123">
        <f>IF($A845="","",MAX(0,$D845+$E845-$F845))</f>
        <v/>
      </c>
      <c r="H845" s="123">
        <f>IF($A845="","",MAX(0,$C845-$B845))</f>
        <v/>
      </c>
      <c r="P845" s="123">
        <f>IF($J845="","",365)</f>
        <v/>
      </c>
      <c r="Q845" s="123">
        <f>IF($J845="","",IF($O845="Evet",0,$N845))</f>
        <v/>
      </c>
    </row>
    <row r="846" ht="15" customHeight="1" s="78">
      <c r="G846" s="123">
        <f>IF($A846="","",MAX(0,$D846+$E846-$F846))</f>
        <v/>
      </c>
      <c r="H846" s="123">
        <f>IF($A846="","",MAX(0,$C846-$B846))</f>
        <v/>
      </c>
      <c r="P846" s="123">
        <f>IF($J846="","",365)</f>
        <v/>
      </c>
      <c r="Q846" s="123">
        <f>IF($J846="","",IF($O846="Evet",0,$N846))</f>
        <v/>
      </c>
    </row>
    <row r="847" ht="15" customHeight="1" s="78">
      <c r="G847" s="123">
        <f>IF($A847="","",MAX(0,$D847+$E847-$F847))</f>
        <v/>
      </c>
      <c r="H847" s="123">
        <f>IF($A847="","",MAX(0,$C847-$B847))</f>
        <v/>
      </c>
      <c r="P847" s="123">
        <f>IF($J847="","",365)</f>
        <v/>
      </c>
      <c r="Q847" s="123">
        <f>IF($J847="","",IF($O847="Evet",0,$N847))</f>
        <v/>
      </c>
    </row>
    <row r="848" ht="15" customHeight="1" s="78">
      <c r="G848" s="123">
        <f>IF($A848="","",MAX(0,$D848+$E848-$F848))</f>
        <v/>
      </c>
      <c r="H848" s="123">
        <f>IF($A848="","",MAX(0,$C848-$B848))</f>
        <v/>
      </c>
      <c r="P848" s="123">
        <f>IF($J848="","",365)</f>
        <v/>
      </c>
      <c r="Q848" s="123">
        <f>IF($J848="","",IF($O848="Evet",0,$N848))</f>
        <v/>
      </c>
    </row>
    <row r="849" ht="15" customHeight="1" s="78">
      <c r="G849" s="123">
        <f>IF($A849="","",MAX(0,$D849+$E849-$F849))</f>
        <v/>
      </c>
      <c r="H849" s="123">
        <f>IF($A849="","",MAX(0,$C849-$B849))</f>
        <v/>
      </c>
      <c r="P849" s="123">
        <f>IF($J849="","",365)</f>
        <v/>
      </c>
      <c r="Q849" s="123">
        <f>IF($J849="","",IF($O849="Evet",0,$N849))</f>
        <v/>
      </c>
    </row>
    <row r="850" ht="15" customHeight="1" s="78">
      <c r="G850" s="123">
        <f>IF($A850="","",MAX(0,$D850+$E850-$F850))</f>
        <v/>
      </c>
      <c r="H850" s="123">
        <f>IF($A850="","",MAX(0,$C850-$B850))</f>
        <v/>
      </c>
      <c r="P850" s="123">
        <f>IF($J850="","",365)</f>
        <v/>
      </c>
      <c r="Q850" s="123">
        <f>IF($J850="","",IF($O850="Evet",0,$N850))</f>
        <v/>
      </c>
    </row>
    <row r="851" ht="15" customHeight="1" s="78">
      <c r="G851" s="123">
        <f>IF($A851="","",MAX(0,$D851+$E851-$F851))</f>
        <v/>
      </c>
      <c r="H851" s="123">
        <f>IF($A851="","",MAX(0,$C851-$B851))</f>
        <v/>
      </c>
      <c r="P851" s="123">
        <f>IF($J851="","",365)</f>
        <v/>
      </c>
      <c r="Q851" s="123">
        <f>IF($J851="","",IF($O851="Evet",0,$N851))</f>
        <v/>
      </c>
    </row>
    <row r="852" ht="15" customHeight="1" s="78">
      <c r="G852" s="123">
        <f>IF($A852="","",MAX(0,$D852+$E852-$F852))</f>
        <v/>
      </c>
      <c r="H852" s="123">
        <f>IF($A852="","",MAX(0,$C852-$B852))</f>
        <v/>
      </c>
      <c r="P852" s="123">
        <f>IF($J852="","",365)</f>
        <v/>
      </c>
      <c r="Q852" s="123">
        <f>IF($J852="","",IF($O852="Evet",0,$N852))</f>
        <v/>
      </c>
    </row>
    <row r="853" ht="15" customHeight="1" s="78">
      <c r="G853" s="123">
        <f>IF($A853="","",MAX(0,$D853+$E853-$F853))</f>
        <v/>
      </c>
      <c r="H853" s="123">
        <f>IF($A853="","",MAX(0,$C853-$B853))</f>
        <v/>
      </c>
      <c r="P853" s="123">
        <f>IF($J853="","",365)</f>
        <v/>
      </c>
      <c r="Q853" s="123">
        <f>IF($J853="","",IF($O853="Evet",0,$N853))</f>
        <v/>
      </c>
    </row>
    <row r="854" ht="15" customHeight="1" s="78">
      <c r="G854" s="123">
        <f>IF($A854="","",MAX(0,$D854+$E854-$F854))</f>
        <v/>
      </c>
      <c r="H854" s="123">
        <f>IF($A854="","",MAX(0,$C854-$B854))</f>
        <v/>
      </c>
      <c r="P854" s="123">
        <f>IF($J854="","",365)</f>
        <v/>
      </c>
      <c r="Q854" s="123">
        <f>IF($J854="","",IF($O854="Evet",0,$N854))</f>
        <v/>
      </c>
    </row>
    <row r="855" ht="15" customHeight="1" s="78">
      <c r="G855" s="123">
        <f>IF($A855="","",MAX(0,$D855+$E855-$F855))</f>
        <v/>
      </c>
      <c r="H855" s="123">
        <f>IF($A855="","",MAX(0,$C855-$B855))</f>
        <v/>
      </c>
      <c r="P855" s="123">
        <f>IF($J855="","",365)</f>
        <v/>
      </c>
      <c r="Q855" s="123">
        <f>IF($J855="","",IF($O855="Evet",0,$N855))</f>
        <v/>
      </c>
    </row>
    <row r="856" ht="15" customHeight="1" s="78">
      <c r="G856" s="123">
        <f>IF($A856="","",MAX(0,$D856+$E856-$F856))</f>
        <v/>
      </c>
      <c r="H856" s="123">
        <f>IF($A856="","",MAX(0,$C856-$B856))</f>
        <v/>
      </c>
      <c r="P856" s="123">
        <f>IF($J856="","",365)</f>
        <v/>
      </c>
      <c r="Q856" s="123">
        <f>IF($J856="","",IF($O856="Evet",0,$N856))</f>
        <v/>
      </c>
    </row>
    <row r="857" ht="15" customHeight="1" s="78">
      <c r="G857" s="123">
        <f>IF($A857="","",MAX(0,$D857+$E857-$F857))</f>
        <v/>
      </c>
      <c r="H857" s="123">
        <f>IF($A857="","",MAX(0,$C857-$B857))</f>
        <v/>
      </c>
      <c r="P857" s="123">
        <f>IF($J857="","",365)</f>
        <v/>
      </c>
      <c r="Q857" s="123">
        <f>IF($J857="","",IF($O857="Evet",0,$N857))</f>
        <v/>
      </c>
    </row>
    <row r="858" ht="15" customHeight="1" s="78">
      <c r="G858" s="123">
        <f>IF($A858="","",MAX(0,$D858+$E858-$F858))</f>
        <v/>
      </c>
      <c r="H858" s="123">
        <f>IF($A858="","",MAX(0,$C858-$B858))</f>
        <v/>
      </c>
      <c r="P858" s="123">
        <f>IF($J858="","",365)</f>
        <v/>
      </c>
      <c r="Q858" s="123">
        <f>IF($J858="","",IF($O858="Evet",0,$N858))</f>
        <v/>
      </c>
    </row>
    <row r="859" ht="15" customHeight="1" s="78">
      <c r="G859" s="123">
        <f>IF($A859="","",MAX(0,$D859+$E859-$F859))</f>
        <v/>
      </c>
      <c r="H859" s="123">
        <f>IF($A859="","",MAX(0,$C859-$B859))</f>
        <v/>
      </c>
      <c r="P859" s="123">
        <f>IF($J859="","",365)</f>
        <v/>
      </c>
      <c r="Q859" s="123">
        <f>IF($J859="","",IF($O859="Evet",0,$N859))</f>
        <v/>
      </c>
    </row>
    <row r="860" ht="15" customHeight="1" s="78">
      <c r="G860" s="123">
        <f>IF($A860="","",MAX(0,$D860+$E860-$F860))</f>
        <v/>
      </c>
      <c r="H860" s="123">
        <f>IF($A860="","",MAX(0,$C860-$B860))</f>
        <v/>
      </c>
      <c r="P860" s="123">
        <f>IF($J860="","",365)</f>
        <v/>
      </c>
      <c r="Q860" s="123">
        <f>IF($J860="","",IF($O860="Evet",0,$N860))</f>
        <v/>
      </c>
    </row>
    <row r="861" ht="15" customHeight="1" s="78">
      <c r="G861" s="123">
        <f>IF($A861="","",MAX(0,$D861+$E861-$F861))</f>
        <v/>
      </c>
      <c r="H861" s="123">
        <f>IF($A861="","",MAX(0,$C861-$B861))</f>
        <v/>
      </c>
      <c r="P861" s="123">
        <f>IF($J861="","",365)</f>
        <v/>
      </c>
      <c r="Q861" s="123">
        <f>IF($J861="","",IF($O861="Evet",0,$N861))</f>
        <v/>
      </c>
    </row>
    <row r="862" ht="15" customHeight="1" s="78">
      <c r="G862" s="123">
        <f>IF($A862="","",MAX(0,$D862+$E862-$F862))</f>
        <v/>
      </c>
      <c r="H862" s="123">
        <f>IF($A862="","",MAX(0,$C862-$B862))</f>
        <v/>
      </c>
      <c r="P862" s="123">
        <f>IF($J862="","",365)</f>
        <v/>
      </c>
      <c r="Q862" s="123">
        <f>IF($J862="","",IF($O862="Evet",0,$N862))</f>
        <v/>
      </c>
    </row>
    <row r="863" ht="15" customHeight="1" s="78">
      <c r="G863" s="123">
        <f>IF($A863="","",MAX(0,$D863+$E863-$F863))</f>
        <v/>
      </c>
      <c r="H863" s="123">
        <f>IF($A863="","",MAX(0,$C863-$B863))</f>
        <v/>
      </c>
      <c r="P863" s="123">
        <f>IF($J863="","",365)</f>
        <v/>
      </c>
      <c r="Q863" s="123">
        <f>IF($J863="","",IF($O863="Evet",0,$N863))</f>
        <v/>
      </c>
    </row>
    <row r="864" ht="15" customHeight="1" s="78">
      <c r="G864" s="123">
        <f>IF($A864="","",MAX(0,$D864+$E864-$F864))</f>
        <v/>
      </c>
      <c r="H864" s="123">
        <f>IF($A864="","",MAX(0,$C864-$B864))</f>
        <v/>
      </c>
      <c r="P864" s="123">
        <f>IF($J864="","",365)</f>
        <v/>
      </c>
      <c r="Q864" s="123">
        <f>IF($J864="","",IF($O864="Evet",0,$N864))</f>
        <v/>
      </c>
    </row>
    <row r="865" ht="15" customHeight="1" s="78">
      <c r="G865" s="123">
        <f>IF($A865="","",MAX(0,$D865+$E865-$F865))</f>
        <v/>
      </c>
      <c r="H865" s="123">
        <f>IF($A865="","",MAX(0,$C865-$B865))</f>
        <v/>
      </c>
      <c r="P865" s="123">
        <f>IF($J865="","",365)</f>
        <v/>
      </c>
      <c r="Q865" s="123">
        <f>IF($J865="","",IF($O865="Evet",0,$N865))</f>
        <v/>
      </c>
    </row>
    <row r="866" ht="15" customHeight="1" s="78">
      <c r="G866" s="123">
        <f>IF($A866="","",MAX(0,$D866+$E866-$F866))</f>
        <v/>
      </c>
      <c r="H866" s="123">
        <f>IF($A866="","",MAX(0,$C866-$B866))</f>
        <v/>
      </c>
      <c r="P866" s="123">
        <f>IF($J866="","",365)</f>
        <v/>
      </c>
      <c r="Q866" s="123">
        <f>IF($J866="","",IF($O866="Evet",0,$N866))</f>
        <v/>
      </c>
    </row>
    <row r="867" ht="15" customHeight="1" s="78">
      <c r="G867" s="123">
        <f>IF($A867="","",MAX(0,$D867+$E867-$F867))</f>
        <v/>
      </c>
      <c r="H867" s="123">
        <f>IF($A867="","",MAX(0,$C867-$B867))</f>
        <v/>
      </c>
      <c r="P867" s="123">
        <f>IF($J867="","",365)</f>
        <v/>
      </c>
      <c r="Q867" s="123">
        <f>IF($J867="","",IF($O867="Evet",0,$N867))</f>
        <v/>
      </c>
    </row>
    <row r="868" ht="15" customHeight="1" s="78">
      <c r="G868" s="123">
        <f>IF($A868="","",MAX(0,$D868+$E868-$F868))</f>
        <v/>
      </c>
      <c r="H868" s="123">
        <f>IF($A868="","",MAX(0,$C868-$B868))</f>
        <v/>
      </c>
      <c r="P868" s="123">
        <f>IF($J868="","",365)</f>
        <v/>
      </c>
      <c r="Q868" s="123">
        <f>IF($J868="","",IF($O868="Evet",0,$N868))</f>
        <v/>
      </c>
    </row>
    <row r="869" ht="15" customHeight="1" s="78">
      <c r="G869" s="123">
        <f>IF($A869="","",MAX(0,$D869+$E869-$F869))</f>
        <v/>
      </c>
      <c r="H869" s="123">
        <f>IF($A869="","",MAX(0,$C869-$B869))</f>
        <v/>
      </c>
      <c r="P869" s="123">
        <f>IF($J869="","",365)</f>
        <v/>
      </c>
      <c r="Q869" s="123">
        <f>IF($J869="","",IF($O869="Evet",0,$N869))</f>
        <v/>
      </c>
    </row>
    <row r="870" ht="15" customHeight="1" s="78">
      <c r="G870" s="123">
        <f>IF($A870="","",MAX(0,$D870+$E870-$F870))</f>
        <v/>
      </c>
      <c r="H870" s="123">
        <f>IF($A870="","",MAX(0,$C870-$B870))</f>
        <v/>
      </c>
      <c r="P870" s="123">
        <f>IF($J870="","",365)</f>
        <v/>
      </c>
      <c r="Q870" s="123">
        <f>IF($J870="","",IF($O870="Evet",0,$N870))</f>
        <v/>
      </c>
    </row>
    <row r="871" ht="15" customHeight="1" s="78">
      <c r="G871" s="123">
        <f>IF($A871="","",MAX(0,$D871+$E871-$F871))</f>
        <v/>
      </c>
      <c r="H871" s="123">
        <f>IF($A871="","",MAX(0,$C871-$B871))</f>
        <v/>
      </c>
      <c r="P871" s="123">
        <f>IF($J871="","",365)</f>
        <v/>
      </c>
      <c r="Q871" s="123">
        <f>IF($J871="","",IF($O871="Evet",0,$N871))</f>
        <v/>
      </c>
    </row>
    <row r="872" ht="15" customHeight="1" s="78">
      <c r="G872" s="123">
        <f>IF($A872="","",MAX(0,$D872+$E872-$F872))</f>
        <v/>
      </c>
      <c r="H872" s="123">
        <f>IF($A872="","",MAX(0,$C872-$B872))</f>
        <v/>
      </c>
      <c r="P872" s="123">
        <f>IF($J872="","",365)</f>
        <v/>
      </c>
      <c r="Q872" s="123">
        <f>IF($J872="","",IF($O872="Evet",0,$N872))</f>
        <v/>
      </c>
    </row>
    <row r="873" ht="15" customHeight="1" s="78">
      <c r="G873" s="123">
        <f>IF($A873="","",MAX(0,$D873+$E873-$F873))</f>
        <v/>
      </c>
      <c r="H873" s="123">
        <f>IF($A873="","",MAX(0,$C873-$B873))</f>
        <v/>
      </c>
      <c r="P873" s="123">
        <f>IF($J873="","",365)</f>
        <v/>
      </c>
      <c r="Q873" s="123">
        <f>IF($J873="","",IF($O873="Evet",0,$N873))</f>
        <v/>
      </c>
    </row>
    <row r="874" ht="15" customHeight="1" s="78">
      <c r="G874" s="123">
        <f>IF($A874="","",MAX(0,$D874+$E874-$F874))</f>
        <v/>
      </c>
      <c r="H874" s="123">
        <f>IF($A874="","",MAX(0,$C874-$B874))</f>
        <v/>
      </c>
      <c r="P874" s="123">
        <f>IF($J874="","",365)</f>
        <v/>
      </c>
      <c r="Q874" s="123">
        <f>IF($J874="","",IF($O874="Evet",0,$N874))</f>
        <v/>
      </c>
    </row>
    <row r="875" ht="15" customHeight="1" s="78">
      <c r="G875" s="123">
        <f>IF($A875="","",MAX(0,$D875+$E875-$F875))</f>
        <v/>
      </c>
      <c r="H875" s="123">
        <f>IF($A875="","",MAX(0,$C875-$B875))</f>
        <v/>
      </c>
      <c r="P875" s="123">
        <f>IF($J875="","",365)</f>
        <v/>
      </c>
      <c r="Q875" s="123">
        <f>IF($J875="","",IF($O875="Evet",0,$N875))</f>
        <v/>
      </c>
    </row>
    <row r="876" ht="15" customHeight="1" s="78">
      <c r="G876" s="123">
        <f>IF($A876="","",MAX(0,$D876+$E876-$F876))</f>
        <v/>
      </c>
      <c r="H876" s="123">
        <f>IF($A876="","",MAX(0,$C876-$B876))</f>
        <v/>
      </c>
      <c r="P876" s="123">
        <f>IF($J876="","",365)</f>
        <v/>
      </c>
      <c r="Q876" s="123">
        <f>IF($J876="","",IF($O876="Evet",0,$N876))</f>
        <v/>
      </c>
    </row>
    <row r="877" ht="15" customHeight="1" s="78">
      <c r="G877" s="123">
        <f>IF($A877="","",MAX(0,$D877+$E877-$F877))</f>
        <v/>
      </c>
      <c r="H877" s="123">
        <f>IF($A877="","",MAX(0,$C877-$B877))</f>
        <v/>
      </c>
      <c r="P877" s="123">
        <f>IF($J877="","",365)</f>
        <v/>
      </c>
      <c r="Q877" s="123">
        <f>IF($J877="","",IF($O877="Evet",0,$N877))</f>
        <v/>
      </c>
    </row>
    <row r="878" ht="15" customHeight="1" s="78">
      <c r="G878" s="123">
        <f>IF($A878="","",MAX(0,$D878+$E878-$F878))</f>
        <v/>
      </c>
      <c r="H878" s="123">
        <f>IF($A878="","",MAX(0,$C878-$B878))</f>
        <v/>
      </c>
      <c r="P878" s="123">
        <f>IF($J878="","",365)</f>
        <v/>
      </c>
      <c r="Q878" s="123">
        <f>IF($J878="","",IF($O878="Evet",0,$N878))</f>
        <v/>
      </c>
    </row>
    <row r="879" ht="15" customHeight="1" s="78">
      <c r="G879" s="123">
        <f>IF($A879="","",MAX(0,$D879+$E879-$F879))</f>
        <v/>
      </c>
      <c r="H879" s="123">
        <f>IF($A879="","",MAX(0,$C879-$B879))</f>
        <v/>
      </c>
      <c r="P879" s="123">
        <f>IF($J879="","",365)</f>
        <v/>
      </c>
      <c r="Q879" s="123">
        <f>IF($J879="","",IF($O879="Evet",0,$N879))</f>
        <v/>
      </c>
    </row>
    <row r="880" ht="15" customHeight="1" s="78">
      <c r="G880" s="123">
        <f>IF($A880="","",MAX(0,$D880+$E880-$F880))</f>
        <v/>
      </c>
      <c r="H880" s="123">
        <f>IF($A880="","",MAX(0,$C880-$B880))</f>
        <v/>
      </c>
      <c r="P880" s="123">
        <f>IF($J880="","",365)</f>
        <v/>
      </c>
      <c r="Q880" s="123">
        <f>IF($J880="","",IF($O880="Evet",0,$N880))</f>
        <v/>
      </c>
    </row>
    <row r="881" ht="15" customHeight="1" s="78">
      <c r="G881" s="123">
        <f>IF($A881="","",MAX(0,$D881+$E881-$F881))</f>
        <v/>
      </c>
      <c r="H881" s="123">
        <f>IF($A881="","",MAX(0,$C881-$B881))</f>
        <v/>
      </c>
      <c r="P881" s="123">
        <f>IF($J881="","",365)</f>
        <v/>
      </c>
      <c r="Q881" s="123">
        <f>IF($J881="","",IF($O881="Evet",0,$N881))</f>
        <v/>
      </c>
    </row>
    <row r="882" ht="15" customHeight="1" s="78">
      <c r="G882" s="123">
        <f>IF($A882="","",MAX(0,$D882+$E882-$F882))</f>
        <v/>
      </c>
      <c r="H882" s="123">
        <f>IF($A882="","",MAX(0,$C882-$B882))</f>
        <v/>
      </c>
      <c r="P882" s="123">
        <f>IF($J882="","",365)</f>
        <v/>
      </c>
      <c r="Q882" s="123">
        <f>IF($J882="","",IF($O882="Evet",0,$N882))</f>
        <v/>
      </c>
    </row>
    <row r="883" ht="15" customHeight="1" s="78">
      <c r="G883" s="123">
        <f>IF($A883="","",MAX(0,$D883+$E883-$F883))</f>
        <v/>
      </c>
      <c r="H883" s="123">
        <f>IF($A883="","",MAX(0,$C883-$B883))</f>
        <v/>
      </c>
      <c r="P883" s="123">
        <f>IF($J883="","",365)</f>
        <v/>
      </c>
      <c r="Q883" s="123">
        <f>IF($J883="","",IF($O883="Evet",0,$N883))</f>
        <v/>
      </c>
    </row>
    <row r="884" ht="15" customHeight="1" s="78">
      <c r="G884" s="123">
        <f>IF($A884="","",MAX(0,$D884+$E884-$F884))</f>
        <v/>
      </c>
      <c r="H884" s="123">
        <f>IF($A884="","",MAX(0,$C884-$B884))</f>
        <v/>
      </c>
      <c r="P884" s="123">
        <f>IF($J884="","",365)</f>
        <v/>
      </c>
      <c r="Q884" s="123">
        <f>IF($J884="","",IF($O884="Evet",0,$N884))</f>
        <v/>
      </c>
    </row>
    <row r="885" ht="15" customHeight="1" s="78">
      <c r="G885" s="123">
        <f>IF($A885="","",MAX(0,$D885+$E885-$F885))</f>
        <v/>
      </c>
      <c r="H885" s="123">
        <f>IF($A885="","",MAX(0,$C885-$B885))</f>
        <v/>
      </c>
      <c r="P885" s="123">
        <f>IF($J885="","",365)</f>
        <v/>
      </c>
      <c r="Q885" s="123">
        <f>IF($J885="","",IF($O885="Evet",0,$N885))</f>
        <v/>
      </c>
    </row>
    <row r="886" ht="15" customHeight="1" s="78">
      <c r="G886" s="123">
        <f>IF($A886="","",MAX(0,$D886+$E886-$F886))</f>
        <v/>
      </c>
      <c r="H886" s="123">
        <f>IF($A886="","",MAX(0,$C886-$B886))</f>
        <v/>
      </c>
      <c r="P886" s="123">
        <f>IF($J886="","",365)</f>
        <v/>
      </c>
      <c r="Q886" s="123">
        <f>IF($J886="","",IF($O886="Evet",0,$N886))</f>
        <v/>
      </c>
    </row>
    <row r="887" ht="15" customHeight="1" s="78">
      <c r="G887" s="123">
        <f>IF($A887="","",MAX(0,$D887+$E887-$F887))</f>
        <v/>
      </c>
      <c r="H887" s="123">
        <f>IF($A887="","",MAX(0,$C887-$B887))</f>
        <v/>
      </c>
      <c r="P887" s="123">
        <f>IF($J887="","",365)</f>
        <v/>
      </c>
      <c r="Q887" s="123">
        <f>IF($J887="","",IF($O887="Evet",0,$N887))</f>
        <v/>
      </c>
    </row>
    <row r="888" ht="15" customHeight="1" s="78">
      <c r="G888" s="123">
        <f>IF($A888="","",MAX(0,$D888+$E888-$F888))</f>
        <v/>
      </c>
      <c r="H888" s="123">
        <f>IF($A888="","",MAX(0,$C888-$B888))</f>
        <v/>
      </c>
      <c r="P888" s="123">
        <f>IF($J888="","",365)</f>
        <v/>
      </c>
      <c r="Q888" s="123">
        <f>IF($J888="","",IF($O888="Evet",0,$N888))</f>
        <v/>
      </c>
    </row>
    <row r="889" ht="15" customHeight="1" s="78">
      <c r="G889" s="123">
        <f>IF($A889="","",MAX(0,$D889+$E889-$F889))</f>
        <v/>
      </c>
      <c r="H889" s="123">
        <f>IF($A889="","",MAX(0,$C889-$B889))</f>
        <v/>
      </c>
      <c r="P889" s="123">
        <f>IF($J889="","",365)</f>
        <v/>
      </c>
      <c r="Q889" s="123">
        <f>IF($J889="","",IF($O889="Evet",0,$N889))</f>
        <v/>
      </c>
    </row>
    <row r="890" ht="15" customHeight="1" s="78">
      <c r="G890" s="123">
        <f>IF($A890="","",MAX(0,$D890+$E890-$F890))</f>
        <v/>
      </c>
      <c r="H890" s="123">
        <f>IF($A890="","",MAX(0,$C890-$B890))</f>
        <v/>
      </c>
      <c r="P890" s="123">
        <f>IF($J890="","",365)</f>
        <v/>
      </c>
      <c r="Q890" s="123">
        <f>IF($J890="","",IF($O890="Evet",0,$N890))</f>
        <v/>
      </c>
    </row>
    <row r="891" ht="15" customHeight="1" s="78">
      <c r="G891" s="123">
        <f>IF($A891="","",MAX(0,$D891+$E891-$F891))</f>
        <v/>
      </c>
      <c r="H891" s="123">
        <f>IF($A891="","",MAX(0,$C891-$B891))</f>
        <v/>
      </c>
      <c r="P891" s="123">
        <f>IF($J891="","",365)</f>
        <v/>
      </c>
      <c r="Q891" s="123">
        <f>IF($J891="","",IF($O891="Evet",0,$N891))</f>
        <v/>
      </c>
    </row>
    <row r="892" ht="15" customHeight="1" s="78">
      <c r="G892" s="123">
        <f>IF($A892="","",MAX(0,$D892+$E892-$F892))</f>
        <v/>
      </c>
      <c r="H892" s="123">
        <f>IF($A892="","",MAX(0,$C892-$B892))</f>
        <v/>
      </c>
      <c r="P892" s="123">
        <f>IF($J892="","",365)</f>
        <v/>
      </c>
      <c r="Q892" s="123">
        <f>IF($J892="","",IF($O892="Evet",0,$N892))</f>
        <v/>
      </c>
    </row>
    <row r="893" ht="15" customHeight="1" s="78">
      <c r="G893" s="123">
        <f>IF($A893="","",MAX(0,$D893+$E893-$F893))</f>
        <v/>
      </c>
      <c r="H893" s="123">
        <f>IF($A893="","",MAX(0,$C893-$B893))</f>
        <v/>
      </c>
      <c r="P893" s="123">
        <f>IF($J893="","",365)</f>
        <v/>
      </c>
      <c r="Q893" s="123">
        <f>IF($J893="","",IF($O893="Evet",0,$N893))</f>
        <v/>
      </c>
    </row>
    <row r="894" ht="15" customHeight="1" s="78">
      <c r="G894" s="123">
        <f>IF($A894="","",MAX(0,$D894+$E894-$F894))</f>
        <v/>
      </c>
      <c r="H894" s="123">
        <f>IF($A894="","",MAX(0,$C894-$B894))</f>
        <v/>
      </c>
      <c r="P894" s="123">
        <f>IF($J894="","",365)</f>
        <v/>
      </c>
      <c r="Q894" s="123">
        <f>IF($J894="","",IF($O894="Evet",0,$N894))</f>
        <v/>
      </c>
    </row>
    <row r="895" ht="15" customHeight="1" s="78">
      <c r="G895" s="123">
        <f>IF($A895="","",MAX(0,$D895+$E895-$F895))</f>
        <v/>
      </c>
      <c r="H895" s="123">
        <f>IF($A895="","",MAX(0,$C895-$B895))</f>
        <v/>
      </c>
      <c r="P895" s="123">
        <f>IF($J895="","",365)</f>
        <v/>
      </c>
      <c r="Q895" s="123">
        <f>IF($J895="","",IF($O895="Evet",0,$N895))</f>
        <v/>
      </c>
    </row>
    <row r="896" ht="15" customHeight="1" s="78">
      <c r="G896" s="123">
        <f>IF($A896="","",MAX(0,$D896+$E896-$F896))</f>
        <v/>
      </c>
      <c r="H896" s="123">
        <f>IF($A896="","",MAX(0,$C896-$B896))</f>
        <v/>
      </c>
      <c r="P896" s="123">
        <f>IF($J896="","",365)</f>
        <v/>
      </c>
      <c r="Q896" s="123">
        <f>IF($J896="","",IF($O896="Evet",0,$N896))</f>
        <v/>
      </c>
    </row>
    <row r="897" ht="15" customHeight="1" s="78">
      <c r="G897" s="123">
        <f>IF($A897="","",MAX(0,$D897+$E897-$F897))</f>
        <v/>
      </c>
      <c r="H897" s="123">
        <f>IF($A897="","",MAX(0,$C897-$B897))</f>
        <v/>
      </c>
      <c r="P897" s="123">
        <f>IF($J897="","",365)</f>
        <v/>
      </c>
      <c r="Q897" s="123">
        <f>IF($J897="","",IF($O897="Evet",0,$N897))</f>
        <v/>
      </c>
    </row>
    <row r="898" ht="15" customHeight="1" s="78">
      <c r="G898" s="123">
        <f>IF($A898="","",MAX(0,$D898+$E898-$F898))</f>
        <v/>
      </c>
      <c r="H898" s="123">
        <f>IF($A898="","",MAX(0,$C898-$B898))</f>
        <v/>
      </c>
      <c r="P898" s="123">
        <f>IF($J898="","",365)</f>
        <v/>
      </c>
      <c r="Q898" s="123">
        <f>IF($J898="","",IF($O898="Evet",0,$N898))</f>
        <v/>
      </c>
    </row>
    <row r="899" ht="15" customHeight="1" s="78">
      <c r="G899" s="123">
        <f>IF($A899="","",MAX(0,$D899+$E899-$F899))</f>
        <v/>
      </c>
      <c r="H899" s="123">
        <f>IF($A899="","",MAX(0,$C899-$B899))</f>
        <v/>
      </c>
      <c r="P899" s="123">
        <f>IF($J899="","",365)</f>
        <v/>
      </c>
      <c r="Q899" s="123">
        <f>IF($J899="","",IF($O899="Evet",0,$N899))</f>
        <v/>
      </c>
    </row>
    <row r="900" ht="15" customHeight="1" s="78">
      <c r="G900" s="123">
        <f>IF($A900="","",MAX(0,$D900+$E900-$F900))</f>
        <v/>
      </c>
      <c r="H900" s="123">
        <f>IF($A900="","",MAX(0,$C900-$B900))</f>
        <v/>
      </c>
      <c r="P900" s="123">
        <f>IF($J900="","",365)</f>
        <v/>
      </c>
      <c r="Q900" s="123">
        <f>IF($J900="","",IF($O900="Evet",0,$N900))</f>
        <v/>
      </c>
    </row>
    <row r="901" ht="15" customHeight="1" s="78">
      <c r="G901" s="123">
        <f>IF($A901="","",MAX(0,$D901+$E901-$F901))</f>
        <v/>
      </c>
      <c r="H901" s="123">
        <f>IF($A901="","",MAX(0,$C901-$B901))</f>
        <v/>
      </c>
      <c r="P901" s="123">
        <f>IF($J901="","",365)</f>
        <v/>
      </c>
      <c r="Q901" s="123">
        <f>IF($J901="","",IF($O901="Evet",0,$N901))</f>
        <v/>
      </c>
    </row>
    <row r="902" ht="15" customHeight="1" s="78">
      <c r="G902" s="123">
        <f>IF($A902="","",MAX(0,$D902+$E902-$F902))</f>
        <v/>
      </c>
      <c r="H902" s="123">
        <f>IF($A902="","",MAX(0,$C902-$B902))</f>
        <v/>
      </c>
      <c r="P902" s="123">
        <f>IF($J902="","",365)</f>
        <v/>
      </c>
      <c r="Q902" s="123">
        <f>IF($J902="","",IF($O902="Evet",0,$N902))</f>
        <v/>
      </c>
    </row>
    <row r="903" ht="15" customHeight="1" s="78">
      <c r="G903" s="123">
        <f>IF($A903="","",MAX(0,$D903+$E903-$F903))</f>
        <v/>
      </c>
      <c r="H903" s="123">
        <f>IF($A903="","",MAX(0,$C903-$B903))</f>
        <v/>
      </c>
      <c r="P903" s="123">
        <f>IF($J903="","",365)</f>
        <v/>
      </c>
      <c r="Q903" s="123">
        <f>IF($J903="","",IF($O903="Evet",0,$N903))</f>
        <v/>
      </c>
    </row>
    <row r="904" ht="15" customHeight="1" s="78">
      <c r="G904" s="123">
        <f>IF($A904="","",MAX(0,$D904+$E904-$F904))</f>
        <v/>
      </c>
      <c r="H904" s="123">
        <f>IF($A904="","",MAX(0,$C904-$B904))</f>
        <v/>
      </c>
      <c r="P904" s="123">
        <f>IF($J904="","",365)</f>
        <v/>
      </c>
      <c r="Q904" s="123">
        <f>IF($J904="","",IF($O904="Evet",0,$N904))</f>
        <v/>
      </c>
    </row>
    <row r="905" ht="15" customHeight="1" s="78">
      <c r="G905" s="123">
        <f>IF($A905="","",MAX(0,$D905+$E905-$F905))</f>
        <v/>
      </c>
      <c r="H905" s="123">
        <f>IF($A905="","",MAX(0,$C905-$B905))</f>
        <v/>
      </c>
      <c r="P905" s="123">
        <f>IF($J905="","",365)</f>
        <v/>
      </c>
      <c r="Q905" s="123">
        <f>IF($J905="","",IF($O905="Evet",0,$N905))</f>
        <v/>
      </c>
    </row>
    <row r="906" ht="15" customHeight="1" s="78">
      <c r="G906" s="123">
        <f>IF($A906="","",MAX(0,$D906+$E906-$F906))</f>
        <v/>
      </c>
      <c r="H906" s="123">
        <f>IF($A906="","",MAX(0,$C906-$B906))</f>
        <v/>
      </c>
      <c r="P906" s="123">
        <f>IF($J906="","",365)</f>
        <v/>
      </c>
      <c r="Q906" s="123">
        <f>IF($J906="","",IF($O906="Evet",0,$N906))</f>
        <v/>
      </c>
    </row>
    <row r="907" ht="15" customHeight="1" s="78">
      <c r="G907" s="123">
        <f>IF($A907="","",MAX(0,$D907+$E907-$F907))</f>
        <v/>
      </c>
      <c r="H907" s="123">
        <f>IF($A907="","",MAX(0,$C907-$B907))</f>
        <v/>
      </c>
      <c r="P907" s="123">
        <f>IF($J907="","",365)</f>
        <v/>
      </c>
      <c r="Q907" s="123">
        <f>IF($J907="","",IF($O907="Evet",0,$N907))</f>
        <v/>
      </c>
    </row>
    <row r="908" ht="15" customHeight="1" s="78">
      <c r="G908" s="123">
        <f>IF($A908="","",MAX(0,$D908+$E908-$F908))</f>
        <v/>
      </c>
      <c r="H908" s="123">
        <f>IF($A908="","",MAX(0,$C908-$B908))</f>
        <v/>
      </c>
      <c r="P908" s="123">
        <f>IF($J908="","",365)</f>
        <v/>
      </c>
      <c r="Q908" s="123">
        <f>IF($J908="","",IF($O908="Evet",0,$N908))</f>
        <v/>
      </c>
    </row>
    <row r="909" ht="15" customHeight="1" s="78">
      <c r="G909" s="123">
        <f>IF($A909="","",MAX(0,$D909+$E909-$F909))</f>
        <v/>
      </c>
      <c r="H909" s="123">
        <f>IF($A909="","",MAX(0,$C909-$B909))</f>
        <v/>
      </c>
      <c r="P909" s="123">
        <f>IF($J909="","",365)</f>
        <v/>
      </c>
      <c r="Q909" s="123">
        <f>IF($J909="","",IF($O909="Evet",0,$N909))</f>
        <v/>
      </c>
    </row>
    <row r="910" ht="15" customHeight="1" s="78">
      <c r="G910" s="123">
        <f>IF($A910="","",MAX(0,$D910+$E910-$F910))</f>
        <v/>
      </c>
      <c r="H910" s="123">
        <f>IF($A910="","",MAX(0,$C910-$B910))</f>
        <v/>
      </c>
      <c r="P910" s="123">
        <f>IF($J910="","",365)</f>
        <v/>
      </c>
      <c r="Q910" s="123">
        <f>IF($J910="","",IF($O910="Evet",0,$N910))</f>
        <v/>
      </c>
    </row>
    <row r="911" ht="15" customHeight="1" s="78">
      <c r="G911" s="123">
        <f>IF($A911="","",MAX(0,$D911+$E911-$F911))</f>
        <v/>
      </c>
      <c r="H911" s="123">
        <f>IF($A911="","",MAX(0,$C911-$B911))</f>
        <v/>
      </c>
      <c r="P911" s="123">
        <f>IF($J911="","",365)</f>
        <v/>
      </c>
      <c r="Q911" s="123">
        <f>IF($J911="","",IF($O911="Evet",0,$N911))</f>
        <v/>
      </c>
    </row>
    <row r="912" ht="15" customHeight="1" s="78">
      <c r="G912" s="123">
        <f>IF($A912="","",MAX(0,$D912+$E912-$F912))</f>
        <v/>
      </c>
      <c r="H912" s="123">
        <f>IF($A912="","",MAX(0,$C912-$B912))</f>
        <v/>
      </c>
      <c r="P912" s="123">
        <f>IF($J912="","",365)</f>
        <v/>
      </c>
      <c r="Q912" s="123">
        <f>IF($J912="","",IF($O912="Evet",0,$N912))</f>
        <v/>
      </c>
    </row>
    <row r="913" ht="15" customHeight="1" s="78">
      <c r="G913" s="123">
        <f>IF($A913="","",MAX(0,$D913+$E913-$F913))</f>
        <v/>
      </c>
      <c r="H913" s="123">
        <f>IF($A913="","",MAX(0,$C913-$B913))</f>
        <v/>
      </c>
      <c r="P913" s="123">
        <f>IF($J913="","",365)</f>
        <v/>
      </c>
      <c r="Q913" s="123">
        <f>IF($J913="","",IF($O913="Evet",0,$N913))</f>
        <v/>
      </c>
    </row>
    <row r="914" ht="15" customHeight="1" s="78">
      <c r="G914" s="123">
        <f>IF($A914="","",MAX(0,$D914+$E914-$F914))</f>
        <v/>
      </c>
      <c r="H914" s="123">
        <f>IF($A914="","",MAX(0,$C914-$B914))</f>
        <v/>
      </c>
      <c r="P914" s="123">
        <f>IF($J914="","",365)</f>
        <v/>
      </c>
      <c r="Q914" s="123">
        <f>IF($J914="","",IF($O914="Evet",0,$N914))</f>
        <v/>
      </c>
    </row>
    <row r="915" ht="15" customHeight="1" s="78">
      <c r="G915" s="123">
        <f>IF($A915="","",MAX(0,$D915+$E915-$F915))</f>
        <v/>
      </c>
      <c r="H915" s="123">
        <f>IF($A915="","",MAX(0,$C915-$B915))</f>
        <v/>
      </c>
      <c r="P915" s="123">
        <f>IF($J915="","",365)</f>
        <v/>
      </c>
      <c r="Q915" s="123">
        <f>IF($J915="","",IF($O915="Evet",0,$N915))</f>
        <v/>
      </c>
    </row>
    <row r="916" ht="15" customHeight="1" s="78">
      <c r="G916" s="123">
        <f>IF($A916="","",MAX(0,$D916+$E916-$F916))</f>
        <v/>
      </c>
      <c r="H916" s="123">
        <f>IF($A916="","",MAX(0,$C916-$B916))</f>
        <v/>
      </c>
      <c r="P916" s="123">
        <f>IF($J916="","",365)</f>
        <v/>
      </c>
      <c r="Q916" s="123">
        <f>IF($J916="","",IF($O916="Evet",0,$N916))</f>
        <v/>
      </c>
    </row>
    <row r="917" ht="15" customHeight="1" s="78">
      <c r="G917" s="123">
        <f>IF($A917="","",MAX(0,$D917+$E917-$F917))</f>
        <v/>
      </c>
      <c r="H917" s="123">
        <f>IF($A917="","",MAX(0,$C917-$B917))</f>
        <v/>
      </c>
      <c r="P917" s="123">
        <f>IF($J917="","",365)</f>
        <v/>
      </c>
      <c r="Q917" s="123">
        <f>IF($J917="","",IF($O917="Evet",0,$N917))</f>
        <v/>
      </c>
    </row>
    <row r="918" ht="15" customHeight="1" s="78">
      <c r="G918" s="123">
        <f>IF($A918="","",MAX(0,$D918+$E918-$F918))</f>
        <v/>
      </c>
      <c r="H918" s="123">
        <f>IF($A918="","",MAX(0,$C918-$B918))</f>
        <v/>
      </c>
      <c r="P918" s="123">
        <f>IF($J918="","",365)</f>
        <v/>
      </c>
      <c r="Q918" s="123">
        <f>IF($J918="","",IF($O918="Evet",0,$N918))</f>
        <v/>
      </c>
    </row>
    <row r="919" ht="15" customHeight="1" s="78">
      <c r="G919" s="123">
        <f>IF($A919="","",MAX(0,$D919+$E919-$F919))</f>
        <v/>
      </c>
      <c r="H919" s="123">
        <f>IF($A919="","",MAX(0,$C919-$B919))</f>
        <v/>
      </c>
      <c r="P919" s="123">
        <f>IF($J919="","",365)</f>
        <v/>
      </c>
      <c r="Q919" s="123">
        <f>IF($J919="","",IF($O919="Evet",0,$N919))</f>
        <v/>
      </c>
    </row>
    <row r="920" ht="15" customHeight="1" s="78">
      <c r="G920" s="123">
        <f>IF($A920="","",MAX(0,$D920+$E920-$F920))</f>
        <v/>
      </c>
      <c r="H920" s="123">
        <f>IF($A920="","",MAX(0,$C920-$B920))</f>
        <v/>
      </c>
      <c r="P920" s="123">
        <f>IF($J920="","",365)</f>
        <v/>
      </c>
      <c r="Q920" s="123">
        <f>IF($J920="","",IF($O920="Evet",0,$N920))</f>
        <v/>
      </c>
    </row>
    <row r="921" ht="15" customHeight="1" s="78">
      <c r="G921" s="123">
        <f>IF($A921="","",MAX(0,$D921+$E921-$F921))</f>
        <v/>
      </c>
      <c r="H921" s="123">
        <f>IF($A921="","",MAX(0,$C921-$B921))</f>
        <v/>
      </c>
      <c r="P921" s="123">
        <f>IF($J921="","",365)</f>
        <v/>
      </c>
      <c r="Q921" s="123">
        <f>IF($J921="","",IF($O921="Evet",0,$N921))</f>
        <v/>
      </c>
    </row>
    <row r="922" ht="15" customHeight="1" s="78">
      <c r="G922" s="123">
        <f>IF($A922="","",MAX(0,$D922+$E922-$F922))</f>
        <v/>
      </c>
      <c r="H922" s="123">
        <f>IF($A922="","",MAX(0,$C922-$B922))</f>
        <v/>
      </c>
      <c r="P922" s="123">
        <f>IF($J922="","",365)</f>
        <v/>
      </c>
      <c r="Q922" s="123">
        <f>IF($J922="","",IF($O922="Evet",0,$N922))</f>
        <v/>
      </c>
    </row>
    <row r="923" ht="15" customHeight="1" s="78">
      <c r="G923" s="123">
        <f>IF($A923="","",MAX(0,$D923+$E923-$F923))</f>
        <v/>
      </c>
      <c r="H923" s="123">
        <f>IF($A923="","",MAX(0,$C923-$B923))</f>
        <v/>
      </c>
      <c r="P923" s="123">
        <f>IF($J923="","",365)</f>
        <v/>
      </c>
      <c r="Q923" s="123">
        <f>IF($J923="","",IF($O923="Evet",0,$N923))</f>
        <v/>
      </c>
    </row>
    <row r="924" ht="15" customHeight="1" s="78">
      <c r="G924" s="123">
        <f>IF($A924="","",MAX(0,$D924+$E924-$F924))</f>
        <v/>
      </c>
      <c r="H924" s="123">
        <f>IF($A924="","",MAX(0,$C924-$B924))</f>
        <v/>
      </c>
      <c r="P924" s="123">
        <f>IF($J924="","",365)</f>
        <v/>
      </c>
      <c r="Q924" s="123">
        <f>IF($J924="","",IF($O924="Evet",0,$N924))</f>
        <v/>
      </c>
    </row>
    <row r="925" ht="15" customHeight="1" s="78">
      <c r="G925" s="123">
        <f>IF($A925="","",MAX(0,$D925+$E925-$F925))</f>
        <v/>
      </c>
      <c r="H925" s="123">
        <f>IF($A925="","",MAX(0,$C925-$B925))</f>
        <v/>
      </c>
      <c r="P925" s="123">
        <f>IF($J925="","",365)</f>
        <v/>
      </c>
      <c r="Q925" s="123">
        <f>IF($J925="","",IF($O925="Evet",0,$N925))</f>
        <v/>
      </c>
    </row>
    <row r="926" ht="15" customHeight="1" s="78">
      <c r="G926" s="123">
        <f>IF($A926="","",MAX(0,$D926+$E926-$F926))</f>
        <v/>
      </c>
      <c r="H926" s="123">
        <f>IF($A926="","",MAX(0,$C926-$B926))</f>
        <v/>
      </c>
      <c r="P926" s="123">
        <f>IF($J926="","",365)</f>
        <v/>
      </c>
      <c r="Q926" s="123">
        <f>IF($J926="","",IF($O926="Evet",0,$N926))</f>
        <v/>
      </c>
    </row>
    <row r="927" ht="15" customHeight="1" s="78">
      <c r="G927" s="123">
        <f>IF($A927="","",MAX(0,$D927+$E927-$F927))</f>
        <v/>
      </c>
      <c r="H927" s="123">
        <f>IF($A927="","",MAX(0,$C927-$B927))</f>
        <v/>
      </c>
      <c r="P927" s="123">
        <f>IF($J927="","",365)</f>
        <v/>
      </c>
      <c r="Q927" s="123">
        <f>IF($J927="","",IF($O927="Evet",0,$N927))</f>
        <v/>
      </c>
    </row>
    <row r="928" ht="15" customHeight="1" s="78">
      <c r="G928" s="123">
        <f>IF($A928="","",MAX(0,$D928+$E928-$F928))</f>
        <v/>
      </c>
      <c r="H928" s="123">
        <f>IF($A928="","",MAX(0,$C928-$B928))</f>
        <v/>
      </c>
      <c r="P928" s="123">
        <f>IF($J928="","",365)</f>
        <v/>
      </c>
      <c r="Q928" s="123">
        <f>IF($J928="","",IF($O928="Evet",0,$N928))</f>
        <v/>
      </c>
    </row>
    <row r="929" ht="15" customHeight="1" s="78">
      <c r="G929" s="123">
        <f>IF($A929="","",MAX(0,$D929+$E929-$F929))</f>
        <v/>
      </c>
      <c r="H929" s="123">
        <f>IF($A929="","",MAX(0,$C929-$B929))</f>
        <v/>
      </c>
      <c r="P929" s="123">
        <f>IF($J929="","",365)</f>
        <v/>
      </c>
      <c r="Q929" s="123">
        <f>IF($J929="","",IF($O929="Evet",0,$N929))</f>
        <v/>
      </c>
    </row>
    <row r="930" ht="15" customHeight="1" s="78">
      <c r="G930" s="123">
        <f>IF($A930="","",MAX(0,$D930+$E930-$F930))</f>
        <v/>
      </c>
      <c r="H930" s="123">
        <f>IF($A930="","",MAX(0,$C930-$B930))</f>
        <v/>
      </c>
      <c r="P930" s="123">
        <f>IF($J930="","",365)</f>
        <v/>
      </c>
      <c r="Q930" s="123">
        <f>IF($J930="","",IF($O930="Evet",0,$N930))</f>
        <v/>
      </c>
    </row>
    <row r="931" ht="15" customHeight="1" s="78">
      <c r="G931" s="123">
        <f>IF($A931="","",MAX(0,$D931+$E931-$F931))</f>
        <v/>
      </c>
      <c r="H931" s="123">
        <f>IF($A931="","",MAX(0,$C931-$B931))</f>
        <v/>
      </c>
      <c r="P931" s="123">
        <f>IF($J931="","",365)</f>
        <v/>
      </c>
      <c r="Q931" s="123">
        <f>IF($J931="","",IF($O931="Evet",0,$N931))</f>
        <v/>
      </c>
    </row>
    <row r="932" ht="15" customHeight="1" s="78">
      <c r="G932" s="123">
        <f>IF($A932="","",MAX(0,$D932+$E932-$F932))</f>
        <v/>
      </c>
      <c r="H932" s="123">
        <f>IF($A932="","",MAX(0,$C932-$B932))</f>
        <v/>
      </c>
      <c r="P932" s="123">
        <f>IF($J932="","",365)</f>
        <v/>
      </c>
      <c r="Q932" s="123">
        <f>IF($J932="","",IF($O932="Evet",0,$N932))</f>
        <v/>
      </c>
    </row>
    <row r="933" ht="15" customHeight="1" s="78">
      <c r="G933" s="123">
        <f>IF($A933="","",MAX(0,$D933+$E933-$F933))</f>
        <v/>
      </c>
      <c r="H933" s="123">
        <f>IF($A933="","",MAX(0,$C933-$B933))</f>
        <v/>
      </c>
      <c r="P933" s="123">
        <f>IF($J933="","",365)</f>
        <v/>
      </c>
      <c r="Q933" s="123">
        <f>IF($J933="","",IF($O933="Evet",0,$N933))</f>
        <v/>
      </c>
    </row>
    <row r="934" ht="15" customHeight="1" s="78">
      <c r="G934" s="123">
        <f>IF($A934="","",MAX(0,$D934+$E934-$F934))</f>
        <v/>
      </c>
      <c r="H934" s="123">
        <f>IF($A934="","",MAX(0,$C934-$B934))</f>
        <v/>
      </c>
      <c r="P934" s="123">
        <f>IF($J934="","",365)</f>
        <v/>
      </c>
      <c r="Q934" s="123">
        <f>IF($J934="","",IF($O934="Evet",0,$N934))</f>
        <v/>
      </c>
    </row>
    <row r="935" ht="15" customHeight="1" s="78">
      <c r="G935" s="123">
        <f>IF($A935="","",MAX(0,$D935+$E935-$F935))</f>
        <v/>
      </c>
      <c r="H935" s="123">
        <f>IF($A935="","",MAX(0,$C935-$B935))</f>
        <v/>
      </c>
      <c r="P935" s="123">
        <f>IF($J935="","",365)</f>
        <v/>
      </c>
      <c r="Q935" s="123">
        <f>IF($J935="","",IF($O935="Evet",0,$N935))</f>
        <v/>
      </c>
    </row>
    <row r="936" ht="15" customHeight="1" s="78">
      <c r="G936" s="123">
        <f>IF($A936="","",MAX(0,$D936+$E936-$F936))</f>
        <v/>
      </c>
      <c r="H936" s="123">
        <f>IF($A936="","",MAX(0,$C936-$B936))</f>
        <v/>
      </c>
      <c r="P936" s="123">
        <f>IF($J936="","",365)</f>
        <v/>
      </c>
      <c r="Q936" s="123">
        <f>IF($J936="","",IF($O936="Evet",0,$N936))</f>
        <v/>
      </c>
    </row>
    <row r="937" ht="15" customHeight="1" s="78">
      <c r="G937" s="123">
        <f>IF($A937="","",MAX(0,$D937+$E937-$F937))</f>
        <v/>
      </c>
      <c r="H937" s="123">
        <f>IF($A937="","",MAX(0,$C937-$B937))</f>
        <v/>
      </c>
      <c r="P937" s="123">
        <f>IF($J937="","",365)</f>
        <v/>
      </c>
      <c r="Q937" s="123">
        <f>IF($J937="","",IF($O937="Evet",0,$N937))</f>
        <v/>
      </c>
    </row>
    <row r="938" ht="15" customHeight="1" s="78">
      <c r="G938" s="123">
        <f>IF($A938="","",MAX(0,$D938+$E938-$F938))</f>
        <v/>
      </c>
      <c r="H938" s="123">
        <f>IF($A938="","",MAX(0,$C938-$B938))</f>
        <v/>
      </c>
      <c r="P938" s="123">
        <f>IF($J938="","",365)</f>
        <v/>
      </c>
      <c r="Q938" s="123">
        <f>IF($J938="","",IF($O938="Evet",0,$N938))</f>
        <v/>
      </c>
    </row>
    <row r="939" ht="15" customHeight="1" s="78">
      <c r="G939" s="123">
        <f>IF($A939="","",MAX(0,$D939+$E939-$F939))</f>
        <v/>
      </c>
      <c r="H939" s="123">
        <f>IF($A939="","",MAX(0,$C939-$B939))</f>
        <v/>
      </c>
      <c r="P939" s="123">
        <f>IF($J939="","",365)</f>
        <v/>
      </c>
      <c r="Q939" s="123">
        <f>IF($J939="","",IF($O939="Evet",0,$N939))</f>
        <v/>
      </c>
    </row>
    <row r="940" ht="15" customHeight="1" s="78">
      <c r="G940" s="123">
        <f>IF($A940="","",MAX(0,$D940+$E940-$F940))</f>
        <v/>
      </c>
      <c r="H940" s="123">
        <f>IF($A940="","",MAX(0,$C940-$B940))</f>
        <v/>
      </c>
      <c r="P940" s="123">
        <f>IF($J940="","",365)</f>
        <v/>
      </c>
      <c r="Q940" s="123">
        <f>IF($J940="","",IF($O940="Evet",0,$N940))</f>
        <v/>
      </c>
    </row>
    <row r="941" ht="15" customHeight="1" s="78">
      <c r="G941" s="123">
        <f>IF($A941="","",MAX(0,$D941+$E941-$F941))</f>
        <v/>
      </c>
      <c r="H941" s="123">
        <f>IF($A941="","",MAX(0,$C941-$B941))</f>
        <v/>
      </c>
      <c r="P941" s="123">
        <f>IF($J941="","",365)</f>
        <v/>
      </c>
      <c r="Q941" s="123">
        <f>IF($J941="","",IF($O941="Evet",0,$N941))</f>
        <v/>
      </c>
    </row>
    <row r="942" ht="15" customHeight="1" s="78">
      <c r="G942" s="123">
        <f>IF($A942="","",MAX(0,$D942+$E942-$F942))</f>
        <v/>
      </c>
      <c r="H942" s="123">
        <f>IF($A942="","",MAX(0,$C942-$B942))</f>
        <v/>
      </c>
      <c r="P942" s="123">
        <f>IF($J942="","",365)</f>
        <v/>
      </c>
      <c r="Q942" s="123">
        <f>IF($J942="","",IF($O942="Evet",0,$N942))</f>
        <v/>
      </c>
    </row>
    <row r="943" ht="15" customHeight="1" s="78">
      <c r="G943" s="123">
        <f>IF($A943="","",MAX(0,$D943+$E943-$F943))</f>
        <v/>
      </c>
      <c r="H943" s="123">
        <f>IF($A943="","",MAX(0,$C943-$B943))</f>
        <v/>
      </c>
      <c r="P943" s="123">
        <f>IF($J943="","",365)</f>
        <v/>
      </c>
      <c r="Q943" s="123">
        <f>IF($J943="","",IF($O943="Evet",0,$N943))</f>
        <v/>
      </c>
    </row>
    <row r="944" ht="15" customHeight="1" s="78">
      <c r="G944" s="123">
        <f>IF($A944="","",MAX(0,$D944+$E944-$F944))</f>
        <v/>
      </c>
      <c r="H944" s="123">
        <f>IF($A944="","",MAX(0,$C944-$B944))</f>
        <v/>
      </c>
      <c r="P944" s="123">
        <f>IF($J944="","",365)</f>
        <v/>
      </c>
      <c r="Q944" s="123">
        <f>IF($J944="","",IF($O944="Evet",0,$N944))</f>
        <v/>
      </c>
    </row>
    <row r="945" ht="15" customHeight="1" s="78">
      <c r="G945" s="123">
        <f>IF($A945="","",MAX(0,$D945+$E945-$F945))</f>
        <v/>
      </c>
      <c r="H945" s="123">
        <f>IF($A945="","",MAX(0,$C945-$B945))</f>
        <v/>
      </c>
      <c r="P945" s="123">
        <f>IF($J945="","",365)</f>
        <v/>
      </c>
      <c r="Q945" s="123">
        <f>IF($J945="","",IF($O945="Evet",0,$N945))</f>
        <v/>
      </c>
    </row>
    <row r="946" ht="15" customHeight="1" s="78">
      <c r="G946" s="123">
        <f>IF($A946="","",MAX(0,$D946+$E946-$F946))</f>
        <v/>
      </c>
      <c r="H946" s="123">
        <f>IF($A946="","",MAX(0,$C946-$B946))</f>
        <v/>
      </c>
      <c r="P946" s="123">
        <f>IF($J946="","",365)</f>
        <v/>
      </c>
      <c r="Q946" s="123">
        <f>IF($J946="","",IF($O946="Evet",0,$N946))</f>
        <v/>
      </c>
    </row>
    <row r="947" ht="15" customHeight="1" s="78">
      <c r="G947" s="123">
        <f>IF($A947="","",MAX(0,$D947+$E947-$F947))</f>
        <v/>
      </c>
      <c r="H947" s="123">
        <f>IF($A947="","",MAX(0,$C947-$B947))</f>
        <v/>
      </c>
      <c r="P947" s="123">
        <f>IF($J947="","",365)</f>
        <v/>
      </c>
      <c r="Q947" s="123">
        <f>IF($J947="","",IF($O947="Evet",0,$N947))</f>
        <v/>
      </c>
    </row>
    <row r="948" ht="15" customHeight="1" s="78">
      <c r="G948" s="123">
        <f>IF($A948="","",MAX(0,$D948+$E948-$F948))</f>
        <v/>
      </c>
      <c r="H948" s="123">
        <f>IF($A948="","",MAX(0,$C948-$B948))</f>
        <v/>
      </c>
      <c r="P948" s="123">
        <f>IF($J948="","",365)</f>
        <v/>
      </c>
      <c r="Q948" s="123">
        <f>IF($J948="","",IF($O948="Evet",0,$N948))</f>
        <v/>
      </c>
    </row>
    <row r="949" ht="15" customHeight="1" s="78">
      <c r="G949" s="123">
        <f>IF($A949="","",MAX(0,$D949+$E949-$F949))</f>
        <v/>
      </c>
      <c r="H949" s="123">
        <f>IF($A949="","",MAX(0,$C949-$B949))</f>
        <v/>
      </c>
      <c r="P949" s="123">
        <f>IF($J949="","",365)</f>
        <v/>
      </c>
      <c r="Q949" s="123">
        <f>IF($J949="","",IF($O949="Evet",0,$N949))</f>
        <v/>
      </c>
    </row>
    <row r="950" ht="15" customHeight="1" s="78">
      <c r="G950" s="123">
        <f>IF($A950="","",MAX(0,$D950+$E950-$F950))</f>
        <v/>
      </c>
      <c r="H950" s="123">
        <f>IF($A950="","",MAX(0,$C950-$B950))</f>
        <v/>
      </c>
      <c r="P950" s="123">
        <f>IF($J950="","",365)</f>
        <v/>
      </c>
      <c r="Q950" s="123">
        <f>IF($J950="","",IF($O950="Evet",0,$N950))</f>
        <v/>
      </c>
    </row>
    <row r="951" ht="15" customHeight="1" s="78">
      <c r="G951" s="123">
        <f>IF($A951="","",MAX(0,$D951+$E951-$F951))</f>
        <v/>
      </c>
      <c r="H951" s="123">
        <f>IF($A951="","",MAX(0,$C951-$B951))</f>
        <v/>
      </c>
      <c r="P951" s="123">
        <f>IF($J951="","",365)</f>
        <v/>
      </c>
      <c r="Q951" s="123">
        <f>IF($J951="","",IF($O951="Evet",0,$N951))</f>
        <v/>
      </c>
    </row>
    <row r="952" ht="15" customHeight="1" s="78">
      <c r="G952" s="123">
        <f>IF($A952="","",MAX(0,$D952+$E952-$F952))</f>
        <v/>
      </c>
      <c r="H952" s="123">
        <f>IF($A952="","",MAX(0,$C952-$B952))</f>
        <v/>
      </c>
      <c r="P952" s="123">
        <f>IF($J952="","",365)</f>
        <v/>
      </c>
      <c r="Q952" s="123">
        <f>IF($J952="","",IF($O952="Evet",0,$N952))</f>
        <v/>
      </c>
    </row>
    <row r="953" ht="15" customHeight="1" s="78">
      <c r="G953" s="123">
        <f>IF($A953="","",MAX(0,$D953+$E953-$F953))</f>
        <v/>
      </c>
      <c r="H953" s="123">
        <f>IF($A953="","",MAX(0,$C953-$B953))</f>
        <v/>
      </c>
      <c r="P953" s="123">
        <f>IF($J953="","",365)</f>
        <v/>
      </c>
      <c r="Q953" s="123">
        <f>IF($J953="","",IF($O953="Evet",0,$N953))</f>
        <v/>
      </c>
    </row>
    <row r="954" ht="15" customHeight="1" s="78">
      <c r="G954" s="123">
        <f>IF($A954="","",MAX(0,$D954+$E954-$F954))</f>
        <v/>
      </c>
      <c r="H954" s="123">
        <f>IF($A954="","",MAX(0,$C954-$B954))</f>
        <v/>
      </c>
      <c r="P954" s="123">
        <f>IF($J954="","",365)</f>
        <v/>
      </c>
      <c r="Q954" s="123">
        <f>IF($J954="","",IF($O954="Evet",0,$N954))</f>
        <v/>
      </c>
    </row>
    <row r="955" ht="15" customHeight="1" s="78">
      <c r="G955" s="123">
        <f>IF($A955="","",MAX(0,$D955+$E955-$F955))</f>
        <v/>
      </c>
      <c r="H955" s="123">
        <f>IF($A955="","",MAX(0,$C955-$B955))</f>
        <v/>
      </c>
      <c r="P955" s="123">
        <f>IF($J955="","",365)</f>
        <v/>
      </c>
      <c r="Q955" s="123">
        <f>IF($J955="","",IF($O955="Evet",0,$N955))</f>
        <v/>
      </c>
    </row>
    <row r="956" ht="15" customHeight="1" s="78">
      <c r="G956" s="123">
        <f>IF($A956="","",MAX(0,$D956+$E956-$F956))</f>
        <v/>
      </c>
      <c r="H956" s="123">
        <f>IF($A956="","",MAX(0,$C956-$B956))</f>
        <v/>
      </c>
      <c r="P956" s="123">
        <f>IF($J956="","",365)</f>
        <v/>
      </c>
      <c r="Q956" s="123">
        <f>IF($J956="","",IF($O956="Evet",0,$N956))</f>
        <v/>
      </c>
    </row>
    <row r="957" ht="15" customHeight="1" s="78">
      <c r="G957" s="123">
        <f>IF($A957="","",MAX(0,$D957+$E957-$F957))</f>
        <v/>
      </c>
      <c r="H957" s="123">
        <f>IF($A957="","",MAX(0,$C957-$B957))</f>
        <v/>
      </c>
      <c r="P957" s="123">
        <f>IF($J957="","",365)</f>
        <v/>
      </c>
      <c r="Q957" s="123">
        <f>IF($J957="","",IF($O957="Evet",0,$N957))</f>
        <v/>
      </c>
    </row>
    <row r="958" ht="15" customHeight="1" s="78">
      <c r="G958" s="123">
        <f>IF($A958="","",MAX(0,$D958+$E958-$F958))</f>
        <v/>
      </c>
      <c r="H958" s="123">
        <f>IF($A958="","",MAX(0,$C958-$B958))</f>
        <v/>
      </c>
      <c r="P958" s="123">
        <f>IF($J958="","",365)</f>
        <v/>
      </c>
      <c r="Q958" s="123">
        <f>IF($J958="","",IF($O958="Evet",0,$N958))</f>
        <v/>
      </c>
    </row>
    <row r="959" ht="15" customHeight="1" s="78">
      <c r="G959" s="123">
        <f>IF($A959="","",MAX(0,$D959+$E959-$F959))</f>
        <v/>
      </c>
      <c r="H959" s="123">
        <f>IF($A959="","",MAX(0,$C959-$B959))</f>
        <v/>
      </c>
      <c r="P959" s="123">
        <f>IF($J959="","",365)</f>
        <v/>
      </c>
      <c r="Q959" s="123">
        <f>IF($J959="","",IF($O959="Evet",0,$N959))</f>
        <v/>
      </c>
    </row>
    <row r="960" ht="15" customHeight="1" s="78">
      <c r="G960" s="123">
        <f>IF($A960="","",MAX(0,$D960+$E960-$F960))</f>
        <v/>
      </c>
      <c r="H960" s="123">
        <f>IF($A960="","",MAX(0,$C960-$B960))</f>
        <v/>
      </c>
      <c r="P960" s="123">
        <f>IF($J960="","",365)</f>
        <v/>
      </c>
      <c r="Q960" s="123">
        <f>IF($J960="","",IF($O960="Evet",0,$N960))</f>
        <v/>
      </c>
    </row>
    <row r="961" ht="15" customHeight="1" s="78">
      <c r="G961" s="123">
        <f>IF($A961="","",MAX(0,$D961+$E961-$F961))</f>
        <v/>
      </c>
      <c r="H961" s="123">
        <f>IF($A961="","",MAX(0,$C961-$B961))</f>
        <v/>
      </c>
      <c r="P961" s="123">
        <f>IF($J961="","",365)</f>
        <v/>
      </c>
      <c r="Q961" s="123">
        <f>IF($J961="","",IF($O961="Evet",0,$N961))</f>
        <v/>
      </c>
    </row>
    <row r="962" ht="15" customHeight="1" s="78">
      <c r="G962" s="123">
        <f>IF($A962="","",MAX(0,$D962+$E962-$F962))</f>
        <v/>
      </c>
      <c r="H962" s="123">
        <f>IF($A962="","",MAX(0,$C962-$B962))</f>
        <v/>
      </c>
      <c r="P962" s="123">
        <f>IF($J962="","",365)</f>
        <v/>
      </c>
      <c r="Q962" s="123">
        <f>IF($J962="","",IF($O962="Evet",0,$N962))</f>
        <v/>
      </c>
    </row>
    <row r="963" ht="15" customHeight="1" s="78">
      <c r="G963" s="123">
        <f>IF($A963="","",MAX(0,$D963+$E963-$F963))</f>
        <v/>
      </c>
      <c r="H963" s="123">
        <f>IF($A963="","",MAX(0,$C963-$B963))</f>
        <v/>
      </c>
      <c r="P963" s="123">
        <f>IF($J963="","",365)</f>
        <v/>
      </c>
      <c r="Q963" s="123">
        <f>IF($J963="","",IF($O963="Evet",0,$N963))</f>
        <v/>
      </c>
    </row>
    <row r="964" ht="15" customHeight="1" s="78">
      <c r="G964" s="123">
        <f>IF($A964="","",MAX(0,$D964+$E964-$F964))</f>
        <v/>
      </c>
      <c r="H964" s="123">
        <f>IF($A964="","",MAX(0,$C964-$B964))</f>
        <v/>
      </c>
      <c r="P964" s="123">
        <f>IF($J964="","",365)</f>
        <v/>
      </c>
      <c r="Q964" s="123">
        <f>IF($J964="","",IF($O964="Evet",0,$N964))</f>
        <v/>
      </c>
    </row>
    <row r="965" ht="15" customHeight="1" s="78">
      <c r="G965" s="123">
        <f>IF($A965="","",MAX(0,$D965+$E965-$F965))</f>
        <v/>
      </c>
      <c r="H965" s="123">
        <f>IF($A965="","",MAX(0,$C965-$B965))</f>
        <v/>
      </c>
      <c r="P965" s="123">
        <f>IF($J965="","",365)</f>
        <v/>
      </c>
      <c r="Q965" s="123">
        <f>IF($J965="","",IF($O965="Evet",0,$N965))</f>
        <v/>
      </c>
    </row>
    <row r="966" ht="15" customHeight="1" s="78">
      <c r="G966" s="123">
        <f>IF($A966="","",MAX(0,$D966+$E966-$F966))</f>
        <v/>
      </c>
      <c r="H966" s="123">
        <f>IF($A966="","",MAX(0,$C966-$B966))</f>
        <v/>
      </c>
      <c r="P966" s="123">
        <f>IF($J966="","",365)</f>
        <v/>
      </c>
      <c r="Q966" s="123">
        <f>IF($J966="","",IF($O966="Evet",0,$N966))</f>
        <v/>
      </c>
    </row>
    <row r="967" ht="15" customHeight="1" s="78">
      <c r="G967" s="123">
        <f>IF($A967="","",MAX(0,$D967+$E967-$F967))</f>
        <v/>
      </c>
      <c r="H967" s="123">
        <f>IF($A967="","",MAX(0,$C967-$B967))</f>
        <v/>
      </c>
      <c r="P967" s="123">
        <f>IF($J967="","",365)</f>
        <v/>
      </c>
      <c r="Q967" s="123">
        <f>IF($J967="","",IF($O967="Evet",0,$N967))</f>
        <v/>
      </c>
    </row>
    <row r="968" ht="15" customHeight="1" s="78">
      <c r="G968" s="123">
        <f>IF($A968="","",MAX(0,$D968+$E968-$F968))</f>
        <v/>
      </c>
      <c r="H968" s="123">
        <f>IF($A968="","",MAX(0,$C968-$B968))</f>
        <v/>
      </c>
      <c r="P968" s="123">
        <f>IF($J968="","",365)</f>
        <v/>
      </c>
      <c r="Q968" s="123">
        <f>IF($J968="","",IF($O968="Evet",0,$N968))</f>
        <v/>
      </c>
    </row>
    <row r="969" ht="15" customHeight="1" s="78">
      <c r="G969" s="123">
        <f>IF($A969="","",MAX(0,$D969+$E969-$F969))</f>
        <v/>
      </c>
      <c r="H969" s="123">
        <f>IF($A969="","",MAX(0,$C969-$B969))</f>
        <v/>
      </c>
      <c r="P969" s="123">
        <f>IF($J969="","",365)</f>
        <v/>
      </c>
      <c r="Q969" s="123">
        <f>IF($J969="","",IF($O969="Evet",0,$N969))</f>
        <v/>
      </c>
    </row>
    <row r="970" ht="15" customHeight="1" s="78">
      <c r="G970" s="123">
        <f>IF($A970="","",MAX(0,$D970+$E970-$F970))</f>
        <v/>
      </c>
      <c r="H970" s="123">
        <f>IF($A970="","",MAX(0,$C970-$B970))</f>
        <v/>
      </c>
      <c r="P970" s="123">
        <f>IF($J970="","",365)</f>
        <v/>
      </c>
      <c r="Q970" s="123">
        <f>IF($J970="","",IF($O970="Evet",0,$N970))</f>
        <v/>
      </c>
    </row>
    <row r="971" ht="15" customHeight="1" s="78">
      <c r="G971" s="123">
        <f>IF($A971="","",MAX(0,$D971+$E971-$F971))</f>
        <v/>
      </c>
      <c r="H971" s="123">
        <f>IF($A971="","",MAX(0,$C971-$B971))</f>
        <v/>
      </c>
      <c r="P971" s="123">
        <f>IF($J971="","",365)</f>
        <v/>
      </c>
      <c r="Q971" s="123">
        <f>IF($J971="","",IF($O971="Evet",0,$N971))</f>
        <v/>
      </c>
    </row>
    <row r="972" ht="15" customHeight="1" s="78">
      <c r="G972" s="123">
        <f>IF($A972="","",MAX(0,$D972+$E972-$F972))</f>
        <v/>
      </c>
      <c r="H972" s="123">
        <f>IF($A972="","",MAX(0,$C972-$B972))</f>
        <v/>
      </c>
      <c r="P972" s="123">
        <f>IF($J972="","",365)</f>
        <v/>
      </c>
      <c r="Q972" s="123">
        <f>IF($J972="","",IF($O972="Evet",0,$N972))</f>
        <v/>
      </c>
    </row>
    <row r="973" ht="15" customHeight="1" s="78">
      <c r="G973" s="123">
        <f>IF($A973="","",MAX(0,$D973+$E973-$F973))</f>
        <v/>
      </c>
      <c r="H973" s="123">
        <f>IF($A973="","",MAX(0,$C973-$B973))</f>
        <v/>
      </c>
      <c r="P973" s="123">
        <f>IF($J973="","",365)</f>
        <v/>
      </c>
      <c r="Q973" s="123">
        <f>IF($J973="","",IF($O973="Evet",0,$N973))</f>
        <v/>
      </c>
    </row>
    <row r="974" ht="15" customHeight="1" s="78">
      <c r="G974" s="123">
        <f>IF($A974="","",MAX(0,$D974+$E974-$F974))</f>
        <v/>
      </c>
      <c r="H974" s="123">
        <f>IF($A974="","",MAX(0,$C974-$B974))</f>
        <v/>
      </c>
      <c r="P974" s="123">
        <f>IF($J974="","",365)</f>
        <v/>
      </c>
      <c r="Q974" s="123">
        <f>IF($J974="","",IF($O974="Evet",0,$N974))</f>
        <v/>
      </c>
    </row>
    <row r="975" ht="15" customHeight="1" s="78">
      <c r="G975" s="123">
        <f>IF($A975="","",MAX(0,$D975+$E975-$F975))</f>
        <v/>
      </c>
      <c r="H975" s="123">
        <f>IF($A975="","",MAX(0,$C975-$B975))</f>
        <v/>
      </c>
      <c r="P975" s="123">
        <f>IF($J975="","",365)</f>
        <v/>
      </c>
      <c r="Q975" s="123">
        <f>IF($J975="","",IF($O975="Evet",0,$N975))</f>
        <v/>
      </c>
    </row>
    <row r="976" ht="15" customHeight="1" s="78">
      <c r="G976" s="123">
        <f>IF($A976="","",MAX(0,$D976+$E976-$F976))</f>
        <v/>
      </c>
      <c r="H976" s="123">
        <f>IF($A976="","",MAX(0,$C976-$B976))</f>
        <v/>
      </c>
      <c r="P976" s="123">
        <f>IF($J976="","",365)</f>
        <v/>
      </c>
      <c r="Q976" s="123">
        <f>IF($J976="","",IF($O976="Evet",0,$N976))</f>
        <v/>
      </c>
    </row>
    <row r="977" ht="15" customHeight="1" s="78">
      <c r="G977" s="123">
        <f>IF($A977="","",MAX(0,$D977+$E977-$F977))</f>
        <v/>
      </c>
      <c r="H977" s="123">
        <f>IF($A977="","",MAX(0,$C977-$B977))</f>
        <v/>
      </c>
      <c r="P977" s="123">
        <f>IF($J977="","",365)</f>
        <v/>
      </c>
      <c r="Q977" s="123">
        <f>IF($J977="","",IF($O977="Evet",0,$N977))</f>
        <v/>
      </c>
    </row>
    <row r="978" ht="15" customHeight="1" s="78">
      <c r="G978" s="123">
        <f>IF($A978="","",MAX(0,$D978+$E978-$F978))</f>
        <v/>
      </c>
      <c r="H978" s="123">
        <f>IF($A978="","",MAX(0,$C978-$B978))</f>
        <v/>
      </c>
      <c r="P978" s="123">
        <f>IF($J978="","",365)</f>
        <v/>
      </c>
      <c r="Q978" s="123">
        <f>IF($J978="","",IF($O978="Evet",0,$N978))</f>
        <v/>
      </c>
    </row>
    <row r="979" ht="15" customHeight="1" s="78">
      <c r="G979" s="123">
        <f>IF($A979="","",MAX(0,$D979+$E979-$F979))</f>
        <v/>
      </c>
      <c r="H979" s="123">
        <f>IF($A979="","",MAX(0,$C979-$B979))</f>
        <v/>
      </c>
      <c r="P979" s="123">
        <f>IF($J979="","",365)</f>
        <v/>
      </c>
      <c r="Q979" s="123">
        <f>IF($J979="","",IF($O979="Evet",0,$N979))</f>
        <v/>
      </c>
    </row>
    <row r="980" ht="15" customHeight="1" s="78">
      <c r="G980" s="123">
        <f>IF($A980="","",MAX(0,$D980+$E980-$F980))</f>
        <v/>
      </c>
      <c r="H980" s="123">
        <f>IF($A980="","",MAX(0,$C980-$B980))</f>
        <v/>
      </c>
      <c r="P980" s="123">
        <f>IF($J980="","",365)</f>
        <v/>
      </c>
      <c r="Q980" s="123">
        <f>IF($J980="","",IF($O980="Evet",0,$N980))</f>
        <v/>
      </c>
    </row>
    <row r="981" ht="15" customHeight="1" s="78">
      <c r="G981" s="123">
        <f>IF($A981="","",MAX(0,$D981+$E981-$F981))</f>
        <v/>
      </c>
      <c r="H981" s="123">
        <f>IF($A981="","",MAX(0,$C981-$B981))</f>
        <v/>
      </c>
      <c r="P981" s="123">
        <f>IF($J981="","",365)</f>
        <v/>
      </c>
      <c r="Q981" s="123">
        <f>IF($J981="","",IF($O981="Evet",0,$N981))</f>
        <v/>
      </c>
    </row>
    <row r="982" ht="15" customHeight="1" s="78">
      <c r="G982" s="123">
        <f>IF($A982="","",MAX(0,$D982+$E982-$F982))</f>
        <v/>
      </c>
      <c r="H982" s="123">
        <f>IF($A982="","",MAX(0,$C982-$B982))</f>
        <v/>
      </c>
      <c r="P982" s="123">
        <f>IF($J982="","",365)</f>
        <v/>
      </c>
      <c r="Q982" s="123">
        <f>IF($J982="","",IF($O982="Evet",0,$N982))</f>
        <v/>
      </c>
    </row>
    <row r="983" ht="15" customHeight="1" s="78">
      <c r="G983" s="123">
        <f>IF($A983="","",MAX(0,$D983+$E983-$F983))</f>
        <v/>
      </c>
      <c r="H983" s="123">
        <f>IF($A983="","",MAX(0,$C983-$B983))</f>
        <v/>
      </c>
      <c r="P983" s="123">
        <f>IF($J983="","",365)</f>
        <v/>
      </c>
      <c r="Q983" s="123">
        <f>IF($J983="","",IF($O983="Evet",0,$N983))</f>
        <v/>
      </c>
    </row>
    <row r="984" ht="15" customHeight="1" s="78">
      <c r="G984" s="123">
        <f>IF($A984="","",MAX(0,$D984+$E984-$F984))</f>
        <v/>
      </c>
      <c r="H984" s="123">
        <f>IF($A984="","",MAX(0,$C984-$B984))</f>
        <v/>
      </c>
      <c r="P984" s="123">
        <f>IF($J984="","",365)</f>
        <v/>
      </c>
      <c r="Q984" s="123">
        <f>IF($J984="","",IF($O984="Evet",0,$N984))</f>
        <v/>
      </c>
    </row>
    <row r="985" ht="15" customHeight="1" s="78">
      <c r="G985" s="123">
        <f>IF($A985="","",MAX(0,$D985+$E985-$F985))</f>
        <v/>
      </c>
      <c r="H985" s="123">
        <f>IF($A985="","",MAX(0,$C985-$B985))</f>
        <v/>
      </c>
      <c r="P985" s="123">
        <f>IF($J985="","",365)</f>
        <v/>
      </c>
      <c r="Q985" s="123">
        <f>IF($J985="","",IF($O985="Evet",0,$N985))</f>
        <v/>
      </c>
    </row>
    <row r="986" ht="15" customHeight="1" s="78">
      <c r="G986" s="123">
        <f>IF($A986="","",MAX(0,$D986+$E986-$F986))</f>
        <v/>
      </c>
      <c r="H986" s="123">
        <f>IF($A986="","",MAX(0,$C986-$B986))</f>
        <v/>
      </c>
      <c r="P986" s="123">
        <f>IF($J986="","",365)</f>
        <v/>
      </c>
      <c r="Q986" s="123">
        <f>IF($J986="","",IF($O986="Evet",0,$N986))</f>
        <v/>
      </c>
    </row>
    <row r="987" ht="15" customHeight="1" s="78">
      <c r="G987" s="123">
        <f>IF($A987="","",MAX(0,$D987+$E987-$F987))</f>
        <v/>
      </c>
      <c r="H987" s="123">
        <f>IF($A987="","",MAX(0,$C987-$B987))</f>
        <v/>
      </c>
      <c r="P987" s="123">
        <f>IF($J987="","",365)</f>
        <v/>
      </c>
      <c r="Q987" s="123">
        <f>IF($J987="","",IF($O987="Evet",0,$N987))</f>
        <v/>
      </c>
    </row>
    <row r="988" ht="15" customHeight="1" s="78">
      <c r="G988" s="123">
        <f>IF($A988="","",MAX(0,$D988+$E988-$F988))</f>
        <v/>
      </c>
      <c r="H988" s="123">
        <f>IF($A988="","",MAX(0,$C988-$B988))</f>
        <v/>
      </c>
      <c r="P988" s="123">
        <f>IF($J988="","",365)</f>
        <v/>
      </c>
      <c r="Q988" s="123">
        <f>IF($J988="","",IF($O988="Evet",0,$N988))</f>
        <v/>
      </c>
    </row>
    <row r="989" ht="15" customHeight="1" s="78">
      <c r="G989" s="123">
        <f>IF($A989="","",MAX(0,$D989+$E989-$F989))</f>
        <v/>
      </c>
      <c r="H989" s="123">
        <f>IF($A989="","",MAX(0,$C989-$B989))</f>
        <v/>
      </c>
      <c r="P989" s="123">
        <f>IF($J989="","",365)</f>
        <v/>
      </c>
      <c r="Q989" s="123">
        <f>IF($J989="","",IF($O989="Evet",0,$N989))</f>
        <v/>
      </c>
    </row>
    <row r="990" ht="15" customHeight="1" s="78">
      <c r="G990" s="123">
        <f>IF($A990="","",MAX(0,$D990+$E990-$F990))</f>
        <v/>
      </c>
      <c r="H990" s="123">
        <f>IF($A990="","",MAX(0,$C990-$B990))</f>
        <v/>
      </c>
      <c r="P990" s="123">
        <f>IF($J990="","",365)</f>
        <v/>
      </c>
      <c r="Q990" s="123">
        <f>IF($J990="","",IF($O990="Evet",0,$N990))</f>
        <v/>
      </c>
    </row>
    <row r="991" ht="15" customHeight="1" s="78">
      <c r="G991" s="123">
        <f>IF($A991="","",MAX(0,$D991+$E991-$F991))</f>
        <v/>
      </c>
      <c r="H991" s="123">
        <f>IF($A991="","",MAX(0,$C991-$B991))</f>
        <v/>
      </c>
      <c r="P991" s="123">
        <f>IF($J991="","",365)</f>
        <v/>
      </c>
      <c r="Q991" s="123">
        <f>IF($J991="","",IF($O991="Evet",0,$N991))</f>
        <v/>
      </c>
    </row>
    <row r="992" ht="15" customHeight="1" s="78">
      <c r="G992" s="123">
        <f>IF($A992="","",MAX(0,$D992+$E992-$F992))</f>
        <v/>
      </c>
      <c r="H992" s="123">
        <f>IF($A992="","",MAX(0,$C992-$B992))</f>
        <v/>
      </c>
      <c r="P992" s="123">
        <f>IF($J992="","",365)</f>
        <v/>
      </c>
      <c r="Q992" s="123">
        <f>IF($J992="","",IF($O992="Evet",0,$N992))</f>
        <v/>
      </c>
    </row>
    <row r="993" ht="15" customHeight="1" s="78">
      <c r="G993" s="123">
        <f>IF($A993="","",MAX(0,$D993+$E993-$F993))</f>
        <v/>
      </c>
      <c r="H993" s="123">
        <f>IF($A993="","",MAX(0,$C993-$B993))</f>
        <v/>
      </c>
      <c r="P993" s="123">
        <f>IF($J993="","",365)</f>
        <v/>
      </c>
      <c r="Q993" s="123">
        <f>IF($J993="","",IF($O993="Evet",0,$N993))</f>
        <v/>
      </c>
    </row>
    <row r="994" ht="15" customHeight="1" s="78">
      <c r="G994" s="123">
        <f>IF($A994="","",MAX(0,$D994+$E994-$F994))</f>
        <v/>
      </c>
      <c r="H994" s="123">
        <f>IF($A994="","",MAX(0,$C994-$B994))</f>
        <v/>
      </c>
      <c r="P994" s="123">
        <f>IF($J994="","",365)</f>
        <v/>
      </c>
      <c r="Q994" s="123">
        <f>IF($J994="","",IF($O994="Evet",0,$N994))</f>
        <v/>
      </c>
    </row>
    <row r="995" ht="15" customHeight="1" s="78">
      <c r="G995" s="123">
        <f>IF($A995="","",MAX(0,$D995+$E995-$F995))</f>
        <v/>
      </c>
      <c r="H995" s="123">
        <f>IF($A995="","",MAX(0,$C995-$B995))</f>
        <v/>
      </c>
      <c r="P995" s="123">
        <f>IF($J995="","",365)</f>
        <v/>
      </c>
      <c r="Q995" s="123">
        <f>IF($J995="","",IF($O995="Evet",0,$N995))</f>
        <v/>
      </c>
    </row>
    <row r="996" ht="15" customHeight="1" s="78">
      <c r="G996" s="123">
        <f>IF($A996="","",MAX(0,$D996+$E996-$F996))</f>
        <v/>
      </c>
      <c r="H996" s="123">
        <f>IF($A996="","",MAX(0,$C996-$B996))</f>
        <v/>
      </c>
      <c r="P996" s="123">
        <f>IF($J996="","",365)</f>
        <v/>
      </c>
      <c r="Q996" s="123">
        <f>IF($J996="","",IF($O996="Evet",0,$N996))</f>
        <v/>
      </c>
    </row>
    <row r="997" ht="15" customHeight="1" s="78">
      <c r="G997" s="123">
        <f>IF($A997="","",MAX(0,$D997+$E997-$F997))</f>
        <v/>
      </c>
      <c r="H997" s="123">
        <f>IF($A997="","",MAX(0,$C997-$B997))</f>
        <v/>
      </c>
      <c r="P997" s="123">
        <f>IF($J997="","",365)</f>
        <v/>
      </c>
      <c r="Q997" s="123">
        <f>IF($J997="","",IF($O997="Evet",0,$N997))</f>
        <v/>
      </c>
    </row>
    <row r="998" ht="15" customHeight="1" s="78">
      <c r="G998" s="123">
        <f>IF($A998="","",MAX(0,$D998+$E998-$F998))</f>
        <v/>
      </c>
      <c r="H998" s="123">
        <f>IF($A998="","",MAX(0,$C998-$B998))</f>
        <v/>
      </c>
      <c r="P998" s="123">
        <f>IF($J998="","",365)</f>
        <v/>
      </c>
      <c r="Q998" s="123">
        <f>IF($J998="","",IF($O998="Evet",0,$N998))</f>
        <v/>
      </c>
    </row>
    <row r="999" ht="15" customHeight="1" s="78">
      <c r="G999" s="123">
        <f>IF($A999="","",MAX(0,$D999+$E999-$F999))</f>
        <v/>
      </c>
      <c r="H999" s="123">
        <f>IF($A999="","",MAX(0,$C999-$B999))</f>
        <v/>
      </c>
      <c r="P999" s="123">
        <f>IF($J999="","",365)</f>
        <v/>
      </c>
      <c r="Q999" s="123">
        <f>IF($J999="","",IF($O999="Evet",0,$N999))</f>
        <v/>
      </c>
    </row>
    <row r="1000" ht="15" customHeight="1" s="78">
      <c r="G1000" s="123">
        <f>IF($A1000="","",MAX(0,$D1000+$E1000-$F1000))</f>
        <v/>
      </c>
      <c r="H1000" s="123">
        <f>IF($A1000="","",MAX(0,$C1000-$B1000))</f>
        <v/>
      </c>
      <c r="P1000" s="123">
        <f>IF($J1000="","",365)</f>
        <v/>
      </c>
      <c r="Q1000" s="123">
        <f>IF($J1000="","",IF($O1000="Evet",0,$N1000))</f>
        <v/>
      </c>
    </row>
    <row r="1001" ht="15" customHeight="1" s="78">
      <c r="G1001" s="123">
        <f>IF($A1001="","",MAX(0,$D1001+$E1001-$F1001))</f>
        <v/>
      </c>
      <c r="H1001" s="123">
        <f>IF($A1001="","",MAX(0,$C1001-$B1001))</f>
        <v/>
      </c>
      <c r="P1001" s="123">
        <f>IF($J1001="","",365)</f>
        <v/>
      </c>
      <c r="Q1001" s="123">
        <f>IF($J1001="","",IF($O1001="Evet",0,$N1001))</f>
        <v/>
      </c>
    </row>
    <row r="1002" ht="15" customHeight="1" s="78">
      <c r="G1002" s="123">
        <f>IF($A1002="","",MAX(0,$D1002+$E1002-$F1002))</f>
        <v/>
      </c>
      <c r="H1002" s="123">
        <f>IF($A1002="","",MAX(0,$C1002-$B1002))</f>
        <v/>
      </c>
      <c r="P1002" s="123">
        <f>IF($J1002="","",365)</f>
        <v/>
      </c>
      <c r="Q1002" s="123">
        <f>IF($J1002="","",IF($O1002="Evet",0,$N1002))</f>
        <v/>
      </c>
    </row>
    <row r="1003" ht="15" customHeight="1" s="78">
      <c r="G1003" s="123">
        <f>IF($A1003="","",MAX(0,$D1003+$E1003-$F1003))</f>
        <v/>
      </c>
      <c r="H1003" s="123">
        <f>IF($A1003="","",MAX(0,$C1003-$B1003))</f>
        <v/>
      </c>
      <c r="P1003" s="123">
        <f>IF($J1003="","",365)</f>
        <v/>
      </c>
      <c r="Q1003" s="123">
        <f>IF($J1003="","",IF($O1003="Evet",0,$N1003))</f>
        <v/>
      </c>
    </row>
    <row r="1004" ht="15" customHeight="1" s="78">
      <c r="G1004" s="123">
        <f>IF($A1004="","",MAX(0,$D1004+$E1004-$F1004))</f>
        <v/>
      </c>
      <c r="H1004" s="123">
        <f>IF($A1004="","",MAX(0,$C1004-$B1004))</f>
        <v/>
      </c>
      <c r="P1004" s="123">
        <f>IF($J1004="","",365)</f>
        <v/>
      </c>
      <c r="Q1004" s="123">
        <f>IF($J1004="","",IF($O1004="Evet",0,$N1004))</f>
        <v/>
      </c>
    </row>
    <row r="1006" ht="19.5" customHeight="1" s="78">
      <c r="A1006" s="124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B6:B1004">
    <cfRule type="cellIs" rank="0" priority="2" equalAverage="0" operator="lessThan" aboveAverage="0" dxfId="8" text="" percent="0" bottom="0">
      <formula>0</formula>
    </cfRule>
  </conditionalFormatting>
  <conditionalFormatting sqref="C6:C1004">
    <cfRule type="cellIs" rank="0" priority="3" equalAverage="0" operator="lessThan" aboveAverage="0" dxfId="8" text="" percent="0" bottom="0">
      <formula>0</formula>
    </cfRule>
  </conditionalFormatting>
  <conditionalFormatting sqref="D6:D1004">
    <cfRule type="cellIs" rank="0" priority="4" equalAverage="0" operator="lessThan" aboveAverage="0" dxfId="8" text="" percent="0" bottom="0">
      <formula>0</formula>
    </cfRule>
  </conditionalFormatting>
  <conditionalFormatting sqref="E6:E1004">
    <cfRule type="cellIs" rank="0" priority="5" equalAverage="0" operator="lessThan" aboveAverage="0" dxfId="8" text="" percent="0" bottom="0">
      <formula>0</formula>
    </cfRule>
  </conditionalFormatting>
  <conditionalFormatting sqref="F6:F1004">
    <cfRule type="cellIs" rank="0" priority="6" equalAverage="0" operator="lessThan" aboveAverage="0" dxfId="8" text="" percent="0" bottom="0">
      <formula>0</formula>
    </cfRule>
  </conditionalFormatting>
  <conditionalFormatting sqref="L6:L1004">
    <cfRule type="cellIs" rank="0" priority="7" equalAverage="0" operator="lessThan" aboveAverage="0" dxfId="8" text="" percent="0" bottom="0">
      <formula>0</formula>
    </cfRule>
  </conditionalFormatting>
  <conditionalFormatting sqref="N6:N1004">
    <cfRule type="cellIs" rank="0" priority="8" equalAverage="0" operator="lessThan" aboveAverage="0" dxfId="8" text="" percent="0" bottom="0">
      <formula>0</formula>
    </cfRule>
  </conditionalFormatting>
  <conditionalFormatting sqref="Q6:Q1004">
    <cfRule type="cellIs" rank="0" priority="9" equalAverage="0" operator="lessThan" aboveAverage="0" dxfId="8" text="" percent="0" bottom="0">
      <formula>0</formula>
    </cfRule>
    <cfRule type="cellIs" rank="0" priority="10" equalAverage="0" operator="greaterThan" aboveAverage="0" dxfId="9" text="" percent="0" bottom="0">
      <formula>0</formula>
    </cfRule>
  </conditionalFormatting>
  <conditionalFormatting sqref="G6:G1004">
    <cfRule type="cellIs" rank="0" priority="11" equalAverage="0" operator="lessThan" aboveAverage="0" dxfId="8" text="" percent="0" bottom="0">
      <formula>0</formula>
    </cfRule>
    <cfRule type="cellIs" rank="0" priority="12" equalAverage="0" operator="greater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78">
      <c r="A1" s="104" t="inlineStr">
        <is>
          <t>KURALLAR — eski35_kkeg-ve-finansman-gider-kisitlamasi-vergi-savunma-seti_uretildi</t>
        </is>
      </c>
    </row>
    <row r="3" ht="15" customHeight="1" s="78">
      <c r="A3" s="104" t="inlineStr">
        <is>
          <t>kural_id</t>
        </is>
      </c>
      <c r="B3" s="104" t="inlineStr">
        <is>
          <t>aciklama</t>
        </is>
      </c>
      <c r="C3" s="104" t="inlineStr">
        <is>
          <t>deger_2025</t>
        </is>
      </c>
      <c r="D3" s="104" t="inlineStr">
        <is>
          <t>deger_2026</t>
        </is>
      </c>
      <c r="E3" s="104" t="inlineStr">
        <is>
          <t>deger_2027</t>
        </is>
      </c>
      <c r="F3" s="104" t="inlineStr">
        <is>
          <t>kaynak</t>
        </is>
      </c>
    </row>
    <row r="4" ht="15" customHeight="1" s="78">
      <c r="A4" s="104" t="inlineStr">
        <is>
          <t>K1</t>
        </is>
      </c>
      <c r="B4" s="104" t="inlineStr">
        <is>
          <t>Kurumlar vergisi oranı</t>
        </is>
      </c>
      <c r="C4" s="161" t="n">
        <v>0.25</v>
      </c>
      <c r="D4" s="161" t="n">
        <v>0.25</v>
      </c>
      <c r="E4" s="161" t="n">
        <v>0.25</v>
      </c>
      <c r="F4" s="104" t="inlineStr">
        <is>
          <t>KV</t>
        </is>
      </c>
    </row>
    <row r="5" ht="15" customHeight="1" s="78">
      <c r="A5" s="104" t="inlineStr">
        <is>
          <t>K2</t>
        </is>
      </c>
      <c r="B5" s="104" t="inlineStr">
        <is>
          <t>İskonto / referans oran</t>
        </is>
      </c>
      <c r="C5" s="161" t="n">
        <v>0.2</v>
      </c>
      <c r="D5" s="161" t="n">
        <v>0.2</v>
      </c>
      <c r="E5" s="161" t="n">
        <v>0.2</v>
      </c>
      <c r="F5" s="104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78">
      <c r="A1" s="104" t="inlineStr">
        <is>
          <t>VAKALAR — eski35_kkeg-ve-finansman-gider-kisitlamasi-vergi-savunma-seti_uretildi</t>
        </is>
      </c>
    </row>
    <row r="3" ht="15" customHeight="1" s="78">
      <c r="A3" s="104" t="inlineStr">
        <is>
          <t>Tebliğ tarzı altın vakalar</t>
        </is>
      </c>
    </row>
    <row r="5" ht="15" customHeight="1" s="78">
      <c r="A5" s="104" t="inlineStr">
        <is>
          <t>vaka_id</t>
        </is>
      </c>
      <c r="B5" s="104" t="inlineStr">
        <is>
          <t>aciklama</t>
        </is>
      </c>
      <c r="C5" s="104" t="inlineStr">
        <is>
          <t>girdi_ozeti</t>
        </is>
      </c>
      <c r="D5" s="104" t="inlineStr">
        <is>
          <t>beklenen_sonuc</t>
        </is>
      </c>
      <c r="E5" s="104" t="inlineStr">
        <is>
          <t>hesaplanan</t>
        </is>
      </c>
      <c r="F5" s="104" t="inlineStr">
        <is>
          <t>fark</t>
        </is>
      </c>
      <c r="G5" s="104" t="inlineStr">
        <is>
          <t>durum</t>
        </is>
      </c>
      <c r="H5" s="104" t="inlineStr">
        <is>
          <t>kaynak</t>
        </is>
      </c>
    </row>
    <row r="6" ht="15" customHeight="1" s="78">
      <c r="A6" s="104" t="inlineStr">
        <is>
          <t>V1</t>
        </is>
      </c>
      <c r="B6" s="104" t="inlineStr">
        <is>
          <t>Baz senaryo tutarlılık</t>
        </is>
      </c>
      <c r="C6" s="104" t="inlineStr">
        <is>
          <t>örnek girdi</t>
        </is>
      </c>
      <c r="D6" s="161" t="n">
        <v>0</v>
      </c>
      <c r="E6" s="161" t="n">
        <v>0</v>
      </c>
      <c r="F6" s="161" t="n">
        <v>0</v>
      </c>
      <c r="G6" s="104" t="inlineStr">
        <is>
          <t>TUTARLI</t>
        </is>
      </c>
      <c r="H6" s="104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4" min="1" max="1"/>
    <col width="10" customWidth="1" style="104" min="2" max="2"/>
    <col width="40" customWidth="1" style="104" min="3" max="3"/>
    <col width="30" customWidth="1" style="104" min="4" max="4"/>
    <col width="14" customWidth="1" style="104" min="5" max="5"/>
  </cols>
  <sheetData>
    <row r="1" ht="25.5" customHeight="1" s="78">
      <c r="A1" s="105" t="inlineStr">
        <is>
          <t>DEGISIKLIK KAYDI — KKEG ve Finansman Gider Kısıtlaması Vergi Savunma Seti</t>
        </is>
      </c>
    </row>
    <row r="3" ht="15" customHeight="1" s="78">
      <c r="A3" s="108" t="inlineStr">
        <is>
          <t>Değişiklik Kaydı</t>
        </is>
      </c>
    </row>
    <row r="4" ht="30" customHeight="1" s="78">
      <c r="A4" s="117" t="inlineStr">
        <is>
          <t>Tarih</t>
        </is>
      </c>
      <c r="B4" s="117" t="inlineStr">
        <is>
          <t>Sürüm</t>
        </is>
      </c>
      <c r="C4" s="117" t="inlineStr">
        <is>
          <t>Değişiklik</t>
        </is>
      </c>
      <c r="D4" s="117" t="inlineStr">
        <is>
          <t>Neden</t>
        </is>
      </c>
      <c r="E4" s="117" t="inlineStr">
        <is>
          <t>Yapan</t>
        </is>
      </c>
    </row>
    <row r="5" ht="15" customHeight="1" s="78">
      <c r="A5" s="158" t="inlineStr">
        <is>
          <t>01.08.2026</t>
        </is>
      </c>
      <c r="B5" s="158" t="inlineStr">
        <is>
          <t>1.0.0</t>
        </is>
      </c>
      <c r="C5" s="158" t="inlineStr">
        <is>
          <t>İlk üretim</t>
        </is>
      </c>
      <c r="D5" s="158" t="inlineStr">
        <is>
          <t>Ürünün yayına hazırlanması</t>
        </is>
      </c>
      <c r="E5" s="158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104" min="1" max="1"/>
    <col width="12" customWidth="1" style="104" min="3" max="3"/>
    <col width="14" customWidth="1" style="104" min="5" max="5"/>
  </cols>
  <sheetData>
    <row r="1" ht="25.5" customHeight="1" s="78">
      <c r="A1" s="105" t="inlineStr">
        <is>
          <t>LISTELER — KKEG ve Finansman Gider Kısıtlaması Vergi Savunma Seti</t>
        </is>
      </c>
    </row>
    <row r="3" ht="15" customHeight="1" s="78">
      <c r="A3" s="108" t="inlineStr">
        <is>
          <t>Bağlı Listeler</t>
        </is>
      </c>
    </row>
    <row r="4" ht="68.25" customHeight="1" s="78">
      <c r="A4" s="107" t="inlineStr">
        <is>
          <t>Bu sayfadaki listeler açılır menüleri besler; yeni seçenek eklemek için sarı hücrelere yazın.</t>
        </is>
      </c>
    </row>
    <row r="6" ht="15" customHeight="1" s="78">
      <c r="A6" s="152" t="inlineStr">
        <is>
          <t>Kaynak Türü</t>
        </is>
      </c>
      <c r="C6" s="152" t="inlineStr">
        <is>
          <t>Ay</t>
        </is>
      </c>
      <c r="E6" s="152" t="inlineStr">
        <is>
          <t>Kapsam Dışı</t>
        </is>
      </c>
    </row>
    <row r="7" ht="15" customHeight="1" s="78">
      <c r="A7" s="162" t="inlineStr">
        <is>
          <t>Banka Kredisi</t>
        </is>
      </c>
      <c r="C7" s="162" t="inlineStr">
        <is>
          <t>2026-01</t>
        </is>
      </c>
      <c r="E7" s="162" t="inlineStr">
        <is>
          <t>Evet</t>
        </is>
      </c>
    </row>
    <row r="8" ht="15" customHeight="1" s="78">
      <c r="A8" s="162" t="inlineStr">
        <is>
          <t>Ortak Borcu</t>
        </is>
      </c>
      <c r="C8" s="162" t="inlineStr">
        <is>
          <t>2026-02</t>
        </is>
      </c>
      <c r="E8" s="162" t="inlineStr">
        <is>
          <t>Hayır</t>
        </is>
      </c>
    </row>
    <row r="9" ht="15" customHeight="1" s="78">
      <c r="A9" s="162" t="inlineStr">
        <is>
          <t>Tahvil</t>
        </is>
      </c>
      <c r="C9" s="162" t="inlineStr">
        <is>
          <t>2026-03</t>
        </is>
      </c>
    </row>
    <row r="10" ht="15" customHeight="1" s="78">
      <c r="A10" s="162" t="inlineStr">
        <is>
          <t>Finansal Kiralama</t>
        </is>
      </c>
      <c r="C10" s="162" t="inlineStr">
        <is>
          <t>2026-04</t>
        </is>
      </c>
    </row>
    <row r="11" ht="15" customHeight="1" s="78">
      <c r="A11" s="162" t="inlineStr">
        <is>
          <t>Tedarikçi Borcu</t>
        </is>
      </c>
      <c r="C11" s="162" t="inlineStr">
        <is>
          <t>2026-05</t>
        </is>
      </c>
    </row>
    <row r="12" ht="15" customHeight="1" s="78">
      <c r="C12" s="162" t="inlineStr">
        <is>
          <t>2026-06</t>
        </is>
      </c>
    </row>
    <row r="13" ht="15" customHeight="1" s="78">
      <c r="C13" s="162" t="inlineStr">
        <is>
          <t>2026-07</t>
        </is>
      </c>
    </row>
    <row r="14" ht="15" customHeight="1" s="78">
      <c r="C14" s="162" t="inlineStr">
        <is>
          <t>2026-08</t>
        </is>
      </c>
    </row>
    <row r="15" ht="15" customHeight="1" s="78">
      <c r="C15" s="162" t="inlineStr">
        <is>
          <t>2026-09</t>
        </is>
      </c>
    </row>
    <row r="16" ht="15" customHeight="1" s="78">
      <c r="C16" s="162" t="inlineStr">
        <is>
          <t>2026-10</t>
        </is>
      </c>
    </row>
    <row r="17" ht="15" customHeight="1" s="78">
      <c r="C17" s="162" t="inlineStr">
        <is>
          <t>2026-11</t>
        </is>
      </c>
    </row>
    <row r="18" ht="15" customHeight="1" s="78">
      <c r="C18" s="162" t="inlineStr">
        <is>
          <t>2026-12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D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4" min="1" max="1"/>
    <col width="22" customWidth="1" style="104" min="2" max="2"/>
    <col width="12" customWidth="1" style="104" min="3" max="3"/>
    <col width="10" customWidth="1" style="104" min="4" max="5"/>
    <col width="60" customWidth="1" style="104" min="6" max="6"/>
    <col width="14" customWidth="1" style="104" min="7" max="7"/>
    <col width="16" customWidth="1" style="104" min="8" max="8"/>
    <col width="18" customWidth="1" style="104" min="9" max="9"/>
  </cols>
  <sheetData>
    <row r="1" ht="25.5" customHeight="1" s="78">
      <c r="A1" s="105" t="inlineStr">
        <is>
          <t>AYARLAR — KKEG ve Finansman Gider Kısıtlaması Vergi Savunma Seti</t>
        </is>
      </c>
    </row>
    <row r="3" ht="15" customHeight="1" s="78">
      <c r="A3" s="108" t="inlineStr">
        <is>
          <t>Sistem Ayarları ve Oranlar</t>
        </is>
      </c>
    </row>
    <row r="4" ht="54.75" customHeight="1" s="78">
      <c r="A4" s="107" t="inlineStr">
        <is>
          <t>Tüm sabitler bu sayfadadır. Eşikleri ve çarpanları kendi işletmenize göre güncelleyin. Değişen her değer tüm hesaplamalara anında yansır.</t>
        </is>
      </c>
    </row>
    <row r="6" ht="30" customHeight="1" s="78">
      <c r="A6" s="117" t="inlineStr">
        <is>
          <t>anahtar</t>
        </is>
      </c>
      <c r="B6" s="117" t="inlineStr">
        <is>
          <t>deger</t>
        </is>
      </c>
      <c r="C6" s="117" t="inlineStr">
        <is>
          <t>birim</t>
        </is>
      </c>
      <c r="D6" s="117" t="inlineStr">
        <is>
          <t>alt</t>
        </is>
      </c>
      <c r="E6" s="117" t="inlineStr">
        <is>
          <t>ust</t>
        </is>
      </c>
      <c r="F6" s="117" t="inlineStr">
        <is>
          <t>aciklama</t>
        </is>
      </c>
      <c r="G6" s="117" t="inlineStr">
        <is>
          <t>kaynak</t>
        </is>
      </c>
      <c r="H6" s="117" t="inlineStr">
        <is>
          <t>yururluk_tarihi</t>
        </is>
      </c>
      <c r="I6" s="117" t="inlineStr">
        <is>
          <t>dogrulama_tarihi</t>
        </is>
      </c>
    </row>
    <row r="7" ht="25.5" customHeight="1" s="78">
      <c r="A7" s="163" t="inlineStr">
        <is>
          <t>FirmaUnvan</t>
        </is>
      </c>
      <c r="B7" s="164" t="inlineStr">
        <is>
          <t>Örnek Firma A.Ş.</t>
        </is>
      </c>
      <c r="C7" s="111" t="inlineStr">
        <is>
          <t>Metin</t>
        </is>
      </c>
      <c r="D7" s="165" t="n"/>
      <c r="E7" s="165" t="n"/>
      <c r="F7" s="116" t="inlineStr">
        <is>
          <t>Rapor ve kapakta görünen firma adı.</t>
        </is>
      </c>
      <c r="G7" s="111" t="inlineStr">
        <is>
          <t>Kullanıcı</t>
        </is>
      </c>
      <c r="H7" s="166" t="n">
        <v>46023</v>
      </c>
      <c r="I7" s="166" t="n">
        <v>46244</v>
      </c>
    </row>
    <row r="8" ht="25.5" customHeight="1" s="78">
      <c r="A8" s="163" t="inlineStr">
        <is>
          <t>RaporTarihi</t>
        </is>
      </c>
      <c r="B8" s="167" t="n">
        <v>46242</v>
      </c>
      <c r="C8" s="111" t="inlineStr">
        <is>
          <t>Tarih</t>
        </is>
      </c>
      <c r="D8" s="165" t="n"/>
      <c r="E8" s="165" t="n"/>
      <c r="F8" s="116" t="inlineStr">
        <is>
          <t>Tüm hesapların ve kararın alındığı tarih.</t>
        </is>
      </c>
      <c r="G8" s="111" t="inlineStr">
        <is>
          <t>Kullanıcı</t>
        </is>
      </c>
      <c r="H8" s="166" t="n">
        <v>46023</v>
      </c>
      <c r="I8" s="166" t="n">
        <v>46244</v>
      </c>
    </row>
    <row r="9" ht="25.5" customHeight="1" s="78">
      <c r="A9" s="163" t="inlineStr">
        <is>
          <t>RaporHazirlayan</t>
        </is>
      </c>
      <c r="B9" s="164" t="inlineStr">
        <is>
          <t>Finans Direktörü</t>
        </is>
      </c>
      <c r="C9" s="111" t="inlineStr">
        <is>
          <t>Metin</t>
        </is>
      </c>
      <c r="D9" s="165" t="n"/>
      <c r="E9" s="165" t="n"/>
      <c r="F9" s="116" t="inlineStr">
        <is>
          <t>Raporu hazırlayan kişi/rol.</t>
        </is>
      </c>
      <c r="G9" s="111" t="inlineStr">
        <is>
          <t>Kullanıcı</t>
        </is>
      </c>
      <c r="H9" s="166" t="n">
        <v>46023</v>
      </c>
      <c r="I9" s="166" t="n">
        <v>46244</v>
      </c>
    </row>
    <row r="10" ht="25.5" customHeight="1" s="78">
      <c r="A10" s="163" t="inlineStr">
        <is>
          <t>DosyaSurumu</t>
        </is>
      </c>
      <c r="B10" s="164" t="inlineStr">
        <is>
          <t>1.0.0</t>
        </is>
      </c>
      <c r="C10" s="111" t="inlineStr">
        <is>
          <t>Metin</t>
        </is>
      </c>
      <c r="D10" s="165" t="n"/>
      <c r="E10" s="165" t="n"/>
      <c r="F10" s="116" t="inlineStr">
        <is>
          <t>Ürün sürüm bilgisi; rapor alt bilgisinde görünür.</t>
        </is>
      </c>
      <c r="G10" s="111" t="inlineStr">
        <is>
          <t>Kullanıcı</t>
        </is>
      </c>
      <c r="H10" s="166" t="n">
        <v>46023</v>
      </c>
      <c r="I10" s="166" t="n">
        <v>46244</v>
      </c>
    </row>
    <row r="11" ht="25.5" customHeight="1" s="78">
      <c r="A11" s="163" t="inlineStr">
        <is>
          <t>KkegEsik</t>
        </is>
      </c>
      <c r="B11" s="168" t="n">
        <v>500000</v>
      </c>
      <c r="C11" s="111" t="inlineStr">
        <is>
          <t>TL</t>
        </is>
      </c>
      <c r="D11" s="165" t="n">
        <v>0</v>
      </c>
      <c r="E11" s="165" t="n">
        <v>10000000000</v>
      </c>
      <c r="F11" s="116" t="inlineStr">
        <is>
          <t>KKEG tutarı eşiği; üzerinde karar İNCELE olur.</t>
        </is>
      </c>
      <c r="G11" s="111" t="inlineStr">
        <is>
          <t>Varsayım</t>
        </is>
      </c>
      <c r="H11" s="166" t="n">
        <v>46023</v>
      </c>
      <c r="I11" s="166" t="n">
        <v>46244</v>
      </c>
    </row>
    <row r="12" ht="25.5" customHeight="1" s="78">
      <c r="A12" s="163" t="inlineStr">
        <is>
          <t>KkegGiderEsik</t>
        </is>
      </c>
      <c r="B12" s="168" t="n">
        <v>10000000</v>
      </c>
      <c r="C12" s="111" t="inlineStr">
        <is>
          <t>TL</t>
        </is>
      </c>
      <c r="D12" s="165" t="n">
        <v>0</v>
      </c>
      <c r="E12" s="165" t="n">
        <v>100000000000</v>
      </c>
      <c r="F12" s="116" t="inlineStr">
        <is>
          <t>Kapsamdaki gider eşiği; üzerinde karar İNCELE olur.</t>
        </is>
      </c>
      <c r="G12" s="111" t="inlineStr">
        <is>
          <t>Varsayım</t>
        </is>
      </c>
      <c r="H12" s="166" t="n">
        <v>46023</v>
      </c>
      <c r="I12" s="166" t="n">
        <v>46244</v>
      </c>
    </row>
    <row r="13" ht="25.5" customHeight="1" s="78">
      <c r="A13" s="163" t="inlineStr">
        <is>
          <t>KkegFarkEsik</t>
        </is>
      </c>
      <c r="B13" s="169" t="n">
        <v>0.3</v>
      </c>
      <c r="C13" s="111" t="inlineStr">
        <is>
          <t>Oran</t>
        </is>
      </c>
      <c r="D13" s="165" t="n">
        <v>0</v>
      </c>
      <c r="E13" s="165" t="n">
        <v>1</v>
      </c>
      <c r="F13" s="116" t="inlineStr">
        <is>
          <t>Yabancı-öz kaynak fark oranı eşiği; üzerinde KKEG riski.</t>
        </is>
      </c>
      <c r="G13" s="111" t="inlineStr">
        <is>
          <t>Varsayım</t>
        </is>
      </c>
      <c r="H13" s="166" t="n">
        <v>46023</v>
      </c>
      <c r="I13" s="166" t="n">
        <v>46244</v>
      </c>
    </row>
    <row r="14" ht="25.5" customHeight="1" s="78">
      <c r="A14" s="163" t="inlineStr">
        <is>
          <t>KkegOran</t>
        </is>
      </c>
      <c r="B14" s="169" t="n">
        <v>0.25</v>
      </c>
      <c r="C14" s="111" t="inlineStr">
        <is>
          <t>Oran</t>
        </is>
      </c>
      <c r="D14" s="165" t="n">
        <v>0</v>
      </c>
      <c r="E14" s="165" t="n">
        <v>1</v>
      </c>
      <c r="F14" s="116" t="inlineStr">
        <is>
          <t>Finansman gider kısıtlama oranı (2023 sonrası için %25).</t>
        </is>
      </c>
      <c r="G14" s="111" t="inlineStr">
        <is>
          <t>Mevzuat</t>
        </is>
      </c>
      <c r="H14" s="166" t="n">
        <v>46023</v>
      </c>
      <c r="I14" s="166" t="n">
        <v>46244</v>
      </c>
    </row>
    <row r="15" ht="25.5" customHeight="1" s="78">
      <c r="A15" s="163" t="inlineStr">
        <is>
          <t>KkegKvOran</t>
        </is>
      </c>
      <c r="B15" s="169" t="n">
        <v>0.25</v>
      </c>
      <c r="C15" s="111" t="inlineStr">
        <is>
          <t>Oran</t>
        </is>
      </c>
      <c r="D15" s="165" t="n">
        <v>0</v>
      </c>
      <c r="E15" s="165" t="n">
        <v>1</v>
      </c>
      <c r="F15" s="116" t="inlineStr">
        <is>
          <t>Kurumlar vergisi oranı; KKEG vergi etkisi hesabında pay.</t>
        </is>
      </c>
      <c r="G15" s="111" t="inlineStr">
        <is>
          <t>Mevzuat</t>
        </is>
      </c>
      <c r="H15" s="166" t="n">
        <v>46023</v>
      </c>
      <c r="I15" s="166" t="n">
        <v>46244</v>
      </c>
    </row>
    <row r="16" ht="25.5" customHeight="1" s="78">
      <c r="A16" s="163" t="inlineStr">
        <is>
          <t>KkegMuafiyetEsik</t>
        </is>
      </c>
      <c r="B16" s="168" t="n">
        <v>0</v>
      </c>
      <c r="C16" s="111" t="inlineStr">
        <is>
          <t>TL</t>
        </is>
      </c>
      <c r="D16" s="165" t="n">
        <v>0</v>
      </c>
      <c r="E16" s="165" t="n">
        <v>10000000000</v>
      </c>
      <c r="F16" s="116" t="inlineStr">
        <is>
          <t>Kısıtlama öncesi muafiyet eşiği; uygulanmayacaksa 0.</t>
        </is>
      </c>
      <c r="G16" s="111" t="inlineStr">
        <is>
          <t>Varsayım</t>
        </is>
      </c>
      <c r="H16" s="166" t="n">
        <v>46023</v>
      </c>
      <c r="I16" s="166" t="n">
        <v>46244</v>
      </c>
    </row>
    <row r="17" ht="25.5" customHeight="1" s="78">
      <c r="A17" s="163" t="inlineStr">
        <is>
          <t>KkegIyiSenaryo</t>
        </is>
      </c>
      <c r="B17" s="169" t="n">
        <v>1.1</v>
      </c>
      <c r="C17" s="111" t="inlineStr">
        <is>
          <t>Oran</t>
        </is>
      </c>
      <c r="D17" s="165" t="n">
        <v>0.5</v>
      </c>
      <c r="E17" s="165" t="n">
        <v>2</v>
      </c>
      <c r="F17" s="116" t="inlineStr">
        <is>
          <t>İyimser senaryoda kapsamdaki gider bu çarpanla hesaplanır.</t>
        </is>
      </c>
      <c r="G17" s="111" t="inlineStr">
        <is>
          <t>Varsayım</t>
        </is>
      </c>
      <c r="H17" s="166" t="n">
        <v>46023</v>
      </c>
      <c r="I17" s="166" t="n">
        <v>46244</v>
      </c>
    </row>
    <row r="18" ht="25.5" customHeight="1" s="78">
      <c r="A18" s="163" t="inlineStr">
        <is>
          <t>KkegBazSenaryo</t>
        </is>
      </c>
      <c r="B18" s="169" t="n">
        <v>1</v>
      </c>
      <c r="C18" s="111" t="inlineStr">
        <is>
          <t>Oran</t>
        </is>
      </c>
      <c r="D18" s="165" t="n">
        <v>0.5</v>
      </c>
      <c r="E18" s="165" t="n">
        <v>2</v>
      </c>
      <c r="F18" s="116" t="inlineStr">
        <is>
          <t>Baz senaryoda kapsamdaki gider bu çarpanla hesaplanır.</t>
        </is>
      </c>
      <c r="G18" s="111" t="inlineStr">
        <is>
          <t>Varsayım</t>
        </is>
      </c>
      <c r="H18" s="166" t="n">
        <v>46023</v>
      </c>
      <c r="I18" s="166" t="n">
        <v>46244</v>
      </c>
    </row>
    <row r="19" ht="25.5" customHeight="1" s="78">
      <c r="A19" s="163" t="inlineStr">
        <is>
          <t>KkegKotuSenaryo</t>
        </is>
      </c>
      <c r="B19" s="169" t="n">
        <v>0.9</v>
      </c>
      <c r="C19" s="111" t="inlineStr">
        <is>
          <t>Oran</t>
        </is>
      </c>
      <c r="D19" s="165" t="n">
        <v>0.5</v>
      </c>
      <c r="E19" s="165" t="n">
        <v>2</v>
      </c>
      <c r="F19" s="116" t="inlineStr">
        <is>
          <t>Kötümser senaryoda kapsamdaki gider bu çarpanla hesaplanır.</t>
        </is>
      </c>
      <c r="G19" s="111" t="inlineStr">
        <is>
          <t>Varsayım</t>
        </is>
      </c>
      <c r="H19" s="166" t="n">
        <v>46023</v>
      </c>
      <c r="I19" s="166" t="n">
        <v>46244</v>
      </c>
    </row>
    <row r="20" ht="25.5" customHeight="1" s="78">
      <c r="A20" s="163" t="inlineStr">
        <is>
          <t>KkegTornadoYabanci</t>
        </is>
      </c>
      <c r="B20" s="169" t="n">
        <v>0.01</v>
      </c>
      <c r="C20" s="111" t="inlineStr">
        <is>
          <t>Oran</t>
        </is>
      </c>
      <c r="D20" s="165" t="n">
        <v>0</v>
      </c>
      <c r="E20" s="165" t="n">
        <v>0.2</v>
      </c>
      <c r="F20" s="116" t="inlineStr">
        <is>
          <t>Yabancı kaynağın %1 artışının KKEG tutarına etkisi.</t>
        </is>
      </c>
      <c r="G20" s="111" t="inlineStr">
        <is>
          <t>Varsayım</t>
        </is>
      </c>
      <c r="H20" s="166" t="n">
        <v>46023</v>
      </c>
      <c r="I20" s="166" t="n">
        <v>46244</v>
      </c>
    </row>
    <row r="21" ht="25.5" customHeight="1" s="78">
      <c r="A21" s="163" t="inlineStr">
        <is>
          <t>KkegTornadoOran</t>
        </is>
      </c>
      <c r="B21" s="169" t="n">
        <v>0.01</v>
      </c>
      <c r="C21" s="111" t="inlineStr">
        <is>
          <t>Oran</t>
        </is>
      </c>
      <c r="D21" s="165" t="n">
        <v>0</v>
      </c>
      <c r="E21" s="165" t="n">
        <v>0.2</v>
      </c>
      <c r="F21" s="116" t="inlineStr">
        <is>
          <t>Kısıtlama oranının %1 artışının KKEG tutarına etkisi.</t>
        </is>
      </c>
      <c r="G21" s="111" t="inlineStr">
        <is>
          <t>Varsayım</t>
        </is>
      </c>
      <c r="H21" s="166" t="n">
        <v>46023</v>
      </c>
      <c r="I21" s="166" t="n">
        <v>46244</v>
      </c>
    </row>
    <row r="22" ht="25.5" customHeight="1" s="78">
      <c r="A22" s="163" t="inlineStr">
        <is>
          <t>KkegTahminCarpan</t>
        </is>
      </c>
      <c r="B22" s="169" t="n">
        <v>1.645</v>
      </c>
      <c r="C22" s="111" t="inlineStr">
        <is>
          <t>Oran</t>
        </is>
      </c>
      <c r="D22" s="165" t="n">
        <v>0</v>
      </c>
      <c r="E22" s="165" t="n">
        <v>3</v>
      </c>
      <c r="F22" s="116" t="inlineStr">
        <is>
          <t>Tahmin bandı genişliği (standart sapma katı).</t>
        </is>
      </c>
      <c r="G22" s="111" t="inlineStr">
        <is>
          <t>Varsayım</t>
        </is>
      </c>
      <c r="H22" s="166" t="n">
        <v>46023</v>
      </c>
      <c r="I22" s="166" t="n">
        <v>46244</v>
      </c>
    </row>
    <row r="23" ht="25.5" customHeight="1" s="78">
      <c r="A23" s="163" t="inlineStr">
        <is>
          <t>KkegKaliteIyi</t>
        </is>
      </c>
      <c r="B23" s="170" t="n">
        <v>90</v>
      </c>
      <c r="C23" s="111" t="inlineStr">
        <is>
          <t>Skor</t>
        </is>
      </c>
      <c r="D23" s="165" t="n">
        <v>0</v>
      </c>
      <c r="E23" s="165" t="n">
        <v>100</v>
      </c>
      <c r="F23" s="116" t="inlineStr">
        <is>
          <t>Kalite skoru bu eşiğin üzerindeyse YÜKSEK kalite.</t>
        </is>
      </c>
      <c r="G23" s="111" t="inlineStr">
        <is>
          <t>Varsayım</t>
        </is>
      </c>
      <c r="H23" s="166" t="n">
        <v>46023</v>
      </c>
      <c r="I23" s="166" t="n">
        <v>46244</v>
      </c>
    </row>
    <row r="24" ht="25.5" customHeight="1" s="78">
      <c r="A24" s="163" t="inlineStr">
        <is>
          <t>KkegKaliteOrta</t>
        </is>
      </c>
      <c r="B24" s="170" t="n">
        <v>70</v>
      </c>
      <c r="C24" s="111" t="inlineStr">
        <is>
          <t>Skor</t>
        </is>
      </c>
      <c r="D24" s="165" t="n">
        <v>0</v>
      </c>
      <c r="E24" s="165" t="n">
        <v>100</v>
      </c>
      <c r="F24" s="116" t="inlineStr">
        <is>
          <t>Kalite skoru bu eşiğin üzerindeyse ORTA kalite.</t>
        </is>
      </c>
      <c r="G24" s="111" t="inlineStr">
        <is>
          <t>Varsayım</t>
        </is>
      </c>
      <c r="H24" s="166" t="n">
        <v>46023</v>
      </c>
      <c r="I24" s="166" t="n">
        <v>46244</v>
      </c>
    </row>
    <row r="25" ht="25.5" customHeight="1" s="78">
      <c r="A25" s="163" t="inlineStr">
        <is>
          <t>KkegAksiyon1_ACIKLAMA</t>
        </is>
      </c>
      <c r="B25" s="171" t="inlineStr">
        <is>
          <t>Fark oranı eşikte ise ortak sermaye artırımı veya borç azaltımıyla yabancı kaynak/öz kaynak dengesini kurun.</t>
        </is>
      </c>
      <c r="C25" s="111" t="inlineStr">
        <is>
          <t>Metin</t>
        </is>
      </c>
      <c r="D25" s="165" t="n"/>
      <c r="E25" s="165" t="n"/>
      <c r="F25" s="116" t="inlineStr">
        <is>
          <t>İNCELE kararında gösterilen ilk öneri.</t>
        </is>
      </c>
      <c r="G25" s="111" t="inlineStr">
        <is>
          <t>Varsayım</t>
        </is>
      </c>
      <c r="H25" s="166" t="n">
        <v>46023</v>
      </c>
      <c r="I25" s="166" t="n">
        <v>46244</v>
      </c>
    </row>
    <row r="26" ht="25.5" customHeight="1" s="78">
      <c r="A26" s="163" t="inlineStr">
        <is>
          <t>KkegAksiyon2_ACIKLAMA</t>
        </is>
      </c>
      <c r="B26" s="171" t="inlineStr">
        <is>
          <t>KKEG tutarı eşiği aşılıyorsa gider ayrıştırmasını, kur farkı ve kapsam dışı işaretlerini mali müşavirle doğrulayın.</t>
        </is>
      </c>
      <c r="C26" s="111" t="inlineStr">
        <is>
          <t>Metin</t>
        </is>
      </c>
      <c r="D26" s="165" t="n"/>
      <c r="E26" s="165" t="n"/>
      <c r="F26" s="116" t="inlineStr">
        <is>
          <t>İNCELE kararında gösterilen ikinci öneri.</t>
        </is>
      </c>
      <c r="G26" s="111" t="inlineStr">
        <is>
          <t>Varsayım</t>
        </is>
      </c>
      <c r="H26" s="166" t="n">
        <v>46023</v>
      </c>
      <c r="I26" s="166" t="n">
        <v>46244</v>
      </c>
    </row>
    <row r="27" ht="25.5" customHeight="1" s="78">
      <c r="A27" s="163" t="inlineStr">
        <is>
          <t>KkegAksiyon3_ACIKLAMA</t>
        </is>
      </c>
      <c r="B27" s="171" t="inlineStr">
        <is>
          <t>Kapsamdaki gider eşikte ise finansmanın öz kaynakla yeniden yapılandırılması veya oran uyarlaması için senaryo sayfasını kullanın.</t>
        </is>
      </c>
      <c r="C27" s="111" t="inlineStr">
        <is>
          <t>Metin</t>
        </is>
      </c>
      <c r="D27" s="165" t="n"/>
      <c r="E27" s="165" t="n"/>
      <c r="F27" s="116" t="inlineStr">
        <is>
          <t>İNCELE kararında gösterilen üçüncü öneri.</t>
        </is>
      </c>
      <c r="G27" s="111" t="inlineStr">
        <is>
          <t>Varsayım</t>
        </is>
      </c>
      <c r="H27" s="166" t="n">
        <v>46023</v>
      </c>
      <c r="I27" s="166" t="n">
        <v>46244</v>
      </c>
    </row>
    <row r="28" ht="25.5" customHeight="1" s="78">
      <c r="A28" s="163" t="inlineStr">
        <is>
          <t>KkegP90Oran</t>
        </is>
      </c>
      <c r="B28" s="169" t="n">
        <v>0.9</v>
      </c>
      <c r="C28" s="111" t="inlineStr">
        <is>
          <t>Oran</t>
        </is>
      </c>
      <c r="D28" s="165" t="n">
        <v>0.5</v>
      </c>
      <c r="E28" s="165" t="n">
        <v>1</v>
      </c>
      <c r="F28" s="116" t="inlineStr">
        <is>
          <t>Kredi tutarı dağılımında üst yüzdelik dilimin oranı.</t>
        </is>
      </c>
      <c r="G28" s="111" t="inlineStr">
        <is>
          <t>Varsayım</t>
        </is>
      </c>
      <c r="H28" s="166" t="n">
        <v>46023</v>
      </c>
      <c r="I28" s="166" t="n">
        <v>46244</v>
      </c>
    </row>
    <row r="29" ht="25.5" customHeight="1" s="78">
      <c r="A29" s="172" t="inlineStr">
        <is>
          <t>KkegPanelSatir1</t>
        </is>
      </c>
      <c r="B29" s="173" t="n">
        <v>1</v>
      </c>
      <c r="C29" s="111" t="inlineStr">
        <is>
          <t>Satır</t>
        </is>
      </c>
      <c r="F29" s="116" t="inlineStr">
        <is>
          <t>PANO'daki aylık gider grafiği serisinin tablodaki veri satırı (1. veri).</t>
        </is>
      </c>
      <c r="G29" s="111" t="inlineStr">
        <is>
          <t>Kullanıcı</t>
        </is>
      </c>
      <c r="H29" s="166" t="n">
        <v>46023</v>
      </c>
      <c r="I29" s="166" t="n">
        <v>46244</v>
      </c>
    </row>
    <row r="30" ht="25.5" customHeight="1" s="78">
      <c r="A30" s="172" t="inlineStr">
        <is>
          <t>KkegPanelSatir2</t>
        </is>
      </c>
      <c r="B30" s="173" t="n">
        <v>2</v>
      </c>
      <c r="C30" s="111" t="inlineStr">
        <is>
          <t>Satır</t>
        </is>
      </c>
      <c r="F30" s="116" t="inlineStr">
        <is>
          <t>PANO'daki aylık gider grafiği serisinin tablodaki veri satırı (2. veri).</t>
        </is>
      </c>
      <c r="G30" s="111" t="inlineStr">
        <is>
          <t>Kullanıcı</t>
        </is>
      </c>
      <c r="H30" s="166" t="n">
        <v>46023</v>
      </c>
      <c r="I30" s="166" t="n">
        <v>46244</v>
      </c>
    </row>
    <row r="31" ht="25.5" customHeight="1" s="78">
      <c r="A31" s="172" t="inlineStr">
        <is>
          <t>KkegPanelSatir3</t>
        </is>
      </c>
      <c r="B31" s="173" t="n">
        <v>3</v>
      </c>
      <c r="C31" s="111" t="inlineStr">
        <is>
          <t>Satır</t>
        </is>
      </c>
      <c r="F31" s="116" t="inlineStr">
        <is>
          <t>PANO'daki aylık gider grafiği serisinin tablodaki veri satırı (3. veri).</t>
        </is>
      </c>
      <c r="G31" s="111" t="inlineStr">
        <is>
          <t>Kullanıcı</t>
        </is>
      </c>
      <c r="H31" s="166" t="n">
        <v>46023</v>
      </c>
      <c r="I31" s="166" t="n">
        <v>46244</v>
      </c>
    </row>
    <row r="32" ht="25.5" customHeight="1" s="78">
      <c r="A32" s="172" t="inlineStr">
        <is>
          <t>KkegPanelSatir4</t>
        </is>
      </c>
      <c r="B32" s="173" t="n">
        <v>4</v>
      </c>
      <c r="C32" s="111" t="inlineStr">
        <is>
          <t>Satır</t>
        </is>
      </c>
      <c r="F32" s="116" t="inlineStr">
        <is>
          <t>PANO'daki aylık gider grafiği serisinin tablodaki veri satırı (4. veri).</t>
        </is>
      </c>
      <c r="G32" s="111" t="inlineStr">
        <is>
          <t>Kullanıcı</t>
        </is>
      </c>
      <c r="H32" s="166" t="n">
        <v>46023</v>
      </c>
      <c r="I32" s="166" t="n">
        <v>46244</v>
      </c>
    </row>
    <row r="33" ht="25.5" customHeight="1" s="78">
      <c r="A33" s="172" t="inlineStr">
        <is>
          <t>KkegPanelSatir5</t>
        </is>
      </c>
      <c r="B33" s="173" t="n">
        <v>5</v>
      </c>
      <c r="C33" s="111" t="inlineStr">
        <is>
          <t>Satır</t>
        </is>
      </c>
      <c r="F33" s="116" t="inlineStr">
        <is>
          <t>PANO'daki aylık gider grafiği serisinin tablodaki veri satırı (5. veri).</t>
        </is>
      </c>
      <c r="G33" s="111" t="inlineStr">
        <is>
          <t>Kullanıcı</t>
        </is>
      </c>
      <c r="H33" s="166" t="n">
        <v>46023</v>
      </c>
      <c r="I33" s="166" t="n">
        <v>46244</v>
      </c>
    </row>
    <row r="34" ht="25.5" customHeight="1" s="78">
      <c r="A34" s="172" t="inlineStr">
        <is>
          <t>KkegPanelSatir6</t>
        </is>
      </c>
      <c r="B34" s="173" t="n">
        <v>6</v>
      </c>
      <c r="C34" s="111" t="inlineStr">
        <is>
          <t>Satır</t>
        </is>
      </c>
      <c r="F34" s="116" t="inlineStr">
        <is>
          <t>PANO'daki aylık gider grafiği serisinin tablodaki veri satırı (6. veri).</t>
        </is>
      </c>
      <c r="G34" s="111" t="inlineStr">
        <is>
          <t>Kullanıcı</t>
        </is>
      </c>
      <c r="H34" s="166" t="n">
        <v>46023</v>
      </c>
      <c r="I34" s="166" t="n">
        <v>46244</v>
      </c>
    </row>
    <row r="35" ht="25.5" customHeight="1" s="78">
      <c r="A35" s="172" t="inlineStr">
        <is>
          <t>KkegPanelSatir7</t>
        </is>
      </c>
      <c r="B35" s="173" t="n">
        <v>7</v>
      </c>
      <c r="C35" s="111" t="inlineStr">
        <is>
          <t>Satır</t>
        </is>
      </c>
      <c r="F35" s="116" t="inlineStr">
        <is>
          <t>PANO'daki aylık gider grafiği serisinin tablodaki veri satırı (7. veri).</t>
        </is>
      </c>
      <c r="G35" s="111" t="inlineStr">
        <is>
          <t>Kullanıcı</t>
        </is>
      </c>
      <c r="H35" s="166" t="n">
        <v>46023</v>
      </c>
      <c r="I35" s="166" t="n">
        <v>46244</v>
      </c>
    </row>
    <row r="36" ht="25.5" customHeight="1" s="78">
      <c r="A36" s="172" t="inlineStr">
        <is>
          <t>KkegPanelSatir8</t>
        </is>
      </c>
      <c r="B36" s="173" t="n">
        <v>8</v>
      </c>
      <c r="C36" s="111" t="inlineStr">
        <is>
          <t>Satır</t>
        </is>
      </c>
      <c r="F36" s="116" t="inlineStr">
        <is>
          <t>PANO'daki aylık gider grafiği serisinin tablodaki veri satırı (8. veri).</t>
        </is>
      </c>
      <c r="G36" s="111" t="inlineStr">
        <is>
          <t>Kullanıcı</t>
        </is>
      </c>
      <c r="H36" s="166" t="n">
        <v>46023</v>
      </c>
      <c r="I36" s="166" t="n">
        <v>46244</v>
      </c>
    </row>
    <row r="37" ht="25.5" customHeight="1" s="78">
      <c r="A37" s="172" t="inlineStr">
        <is>
          <t>KkegPanelSatir9</t>
        </is>
      </c>
      <c r="B37" s="173" t="n">
        <v>9</v>
      </c>
      <c r="C37" s="111" t="inlineStr">
        <is>
          <t>Satır</t>
        </is>
      </c>
      <c r="F37" s="116" t="inlineStr">
        <is>
          <t>PANO'daki aylık gider grafiği serisinin tablodaki veri satırı (9. veri).</t>
        </is>
      </c>
      <c r="G37" s="111" t="inlineStr">
        <is>
          <t>Kullanıcı</t>
        </is>
      </c>
      <c r="H37" s="166" t="n">
        <v>46023</v>
      </c>
      <c r="I37" s="166" t="n">
        <v>46244</v>
      </c>
    </row>
    <row r="38" ht="25.5" customHeight="1" s="78">
      <c r="A38" s="172" t="inlineStr">
        <is>
          <t>KkegPanelSatir10</t>
        </is>
      </c>
      <c r="B38" s="173" t="n">
        <v>10</v>
      </c>
      <c r="C38" s="111" t="inlineStr">
        <is>
          <t>Satır</t>
        </is>
      </c>
      <c r="F38" s="116" t="inlineStr">
        <is>
          <t>PANO'daki aylık gider grafiği serisinin tablodaki veri satırı (10. veri).</t>
        </is>
      </c>
      <c r="G38" s="111" t="inlineStr">
        <is>
          <t>Kullanıcı</t>
        </is>
      </c>
      <c r="H38" s="166" t="n">
        <v>46023</v>
      </c>
      <c r="I38" s="166" t="n">
        <v>46244</v>
      </c>
    </row>
    <row r="39" ht="25.5" customHeight="1" s="78">
      <c r="A39" s="172" t="inlineStr">
        <is>
          <t>KkegPanelSatir11</t>
        </is>
      </c>
      <c r="B39" s="173" t="n">
        <v>11</v>
      </c>
      <c r="C39" s="111" t="inlineStr">
        <is>
          <t>Satır</t>
        </is>
      </c>
      <c r="F39" s="116" t="inlineStr">
        <is>
          <t>PANO'daki aylık gider grafiği serisinin tablodaki veri satırı (11. veri).</t>
        </is>
      </c>
      <c r="G39" s="111" t="inlineStr">
        <is>
          <t>Kullanıcı</t>
        </is>
      </c>
      <c r="H39" s="166" t="n">
        <v>46023</v>
      </c>
      <c r="I39" s="166" t="n">
        <v>46244</v>
      </c>
    </row>
    <row r="40" ht="25.5" customHeight="1" s="78">
      <c r="A40" s="172" t="inlineStr">
        <is>
          <t>KkegPanelSatir12</t>
        </is>
      </c>
      <c r="B40" s="173" t="n">
        <v>12</v>
      </c>
      <c r="C40" s="111" t="inlineStr">
        <is>
          <t>Satır</t>
        </is>
      </c>
      <c r="F40" s="116" t="inlineStr">
        <is>
          <t>PANO'daki aylık gider grafiği serisinin tablodaki veri satırı (12. veri).</t>
        </is>
      </c>
      <c r="G40" s="111" t="inlineStr">
        <is>
          <t>Kullanıcı</t>
        </is>
      </c>
      <c r="H40" s="166" t="n">
        <v>46023</v>
      </c>
      <c r="I40" s="166" t="n">
        <v>46244</v>
      </c>
    </row>
    <row r="41" ht="25.5" customHeight="1" s="78">
      <c r="A41" s="163" t="inlineStr">
        <is>
          <t>KkegDonemGirisKolon</t>
        </is>
      </c>
      <c r="B41" s="170" t="n">
        <v>6</v>
      </c>
      <c r="C41" s="111" t="inlineStr">
        <is>
          <t>Adet</t>
        </is>
      </c>
      <c r="D41" s="165" t="n">
        <v>1</v>
      </c>
      <c r="E41" s="165" t="n">
        <v>100</v>
      </c>
      <c r="F41" s="116" t="inlineStr">
        <is>
          <t>DÖNEM_KAYNAK tablosunda satır başına manuel giriş kolonu sayısı.</t>
        </is>
      </c>
      <c r="G41" s="111" t="inlineStr">
        <is>
          <t>Kullanıcı</t>
        </is>
      </c>
      <c r="H41" s="166" t="n">
        <v>46023</v>
      </c>
      <c r="I41" s="166" t="n">
        <v>46244</v>
      </c>
    </row>
    <row r="42" ht="25.5" customHeight="1" s="78">
      <c r="A42" s="163" t="inlineStr">
        <is>
          <t>KkegKrediGirisKolon</t>
        </is>
      </c>
      <c r="B42" s="170" t="n">
        <v>9</v>
      </c>
      <c r="C42" s="111" t="inlineStr">
        <is>
          <t>Adet</t>
        </is>
      </c>
      <c r="D42" s="165" t="n">
        <v>1</v>
      </c>
      <c r="E42" s="165" t="n">
        <v>100</v>
      </c>
      <c r="F42" s="116" t="inlineStr">
        <is>
          <t>KREDI_LISTESI tablosunda satır başına manuel giriş kolonu sayısı.</t>
        </is>
      </c>
      <c r="G42" s="111" t="inlineStr">
        <is>
          <t>Kullanıcı</t>
        </is>
      </c>
      <c r="H42" s="166" t="n">
        <v>46023</v>
      </c>
      <c r="I42" s="166" t="n">
        <v>46244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17">
    <dataValidation sqref="B11" showDropDown="0" showInputMessage="0" showErrorMessage="1" allowBlank="0" errorTitle="Değer aralık dışı" error="KKEG tutarı eşiği; üzerinde karar İNCELE olur." promptTitle="KkegEsik" prompt="KKEG tutarı eşiği; üzerinde karar İNCELE olur." type="decimal" errorStyle="stop" operator="between">
      <formula1>0</formula1>
      <formula2>10000000000</formula2>
    </dataValidation>
    <dataValidation sqref="B12" showDropDown="0" showInputMessage="0" showErrorMessage="1" allowBlank="0" errorTitle="Değer aralık dışı" error="Kapsamdaki gider eşiği; üzerinde karar İNCELE olur." promptTitle="KkegGiderEsik" prompt="Kapsamdaki gider eşiği; üzerinde karar İNCELE olur." type="decimal" errorStyle="stop" operator="between">
      <formula1>0</formula1>
      <formula2>100000000000</formula2>
    </dataValidation>
    <dataValidation sqref="B13" showDropDown="0" showInputMessage="0" showErrorMessage="1" allowBlank="0" errorTitle="Değer aralık dışı" error="Yabancı-öz kaynak fark oranı eşiği; üzerinde KKEG riski." promptTitle="KkegFarkEsik" prompt="Yabancı-öz kaynak fark oranı eşiği; üzerinde KKEG riski." type="decimal" errorStyle="stop" operator="between">
      <formula1>0</formula1>
      <formula2>1</formula2>
    </dataValidation>
    <dataValidation sqref="B14" showDropDown="0" showInputMessage="0" showErrorMessage="1" allowBlank="0" errorTitle="Değer aralık dışı" error="Finansman gider kısıtlama oranı (2023 sonrası için %25)." promptTitle="KkegOran" prompt="Finansman gider kısıtlama oranı (2023 sonrası için %25)." type="decimal" errorStyle="stop" operator="between">
      <formula1>0</formula1>
      <formula2>1</formula2>
    </dataValidation>
    <dataValidation sqref="B15" showDropDown="0" showInputMessage="0" showErrorMessage="1" allowBlank="0" errorTitle="Değer aralık dışı" error="Kurumlar vergisi oranı; KKEG vergi etkisi hesabında pay." promptTitle="KkegKvOran" prompt="Kurumlar vergisi oranı; KKEG vergi etkisi hesabında pay." type="decimal" errorStyle="stop" operator="between">
      <formula1>0</formula1>
      <formula2>1</formula2>
    </dataValidation>
    <dataValidation sqref="B16" showDropDown="0" showInputMessage="0" showErrorMessage="1" allowBlank="0" errorTitle="Değer aralık dışı" error="Kısıtlama öncesi muafiyet eşiği; uygulanmayacaksa 0." promptTitle="KkegMuafiyetEsik" prompt="Kısıtlama öncesi muafiyet eşiği; uygulanmayacaksa 0." type="decimal" errorStyle="stop" operator="between">
      <formula1>0</formula1>
      <formula2>10000000000</formula2>
    </dataValidation>
    <dataValidation sqref="B17" showDropDown="0" showInputMessage="0" showErrorMessage="1" allowBlank="0" errorTitle="Değer aralık dışı" error="İyimser senaryoda kapsamdaki gider bu çarpanla hesaplanır." promptTitle="KkegIyiSenaryo" prompt="İyimser senaryoda kapsamdaki gider bu çarpanla hesaplanır." type="decimal" errorStyle="stop" operator="between">
      <formula1>0.5</formula1>
      <formula2>2</formula2>
    </dataValidation>
    <dataValidation sqref="B18" showDropDown="0" showInputMessage="0" showErrorMessage="1" allowBlank="0" errorTitle="Değer aralık dışı" error="Baz senaryoda kapsamdaki gider bu çarpanla hesaplanır." promptTitle="KkegBazSenaryo" prompt="Baz senaryoda kapsamdaki gider bu çarpanla hesaplanır." type="decimal" errorStyle="stop" operator="between">
      <formula1>0.5</formula1>
      <formula2>2</formula2>
    </dataValidation>
    <dataValidation sqref="B19" showDropDown="0" showInputMessage="0" showErrorMessage="1" allowBlank="0" errorTitle="Değer aralık dışı" error="Kötümser senaryoda kapsamdaki gider bu çarpanla hesaplanır." promptTitle="KkegKotuSenaryo" prompt="Kötümser senaryoda kapsamdaki gider bu çarpanla hesaplanır." type="decimal" errorStyle="stop" operator="between">
      <formula1>0.5</formula1>
      <formula2>2</formula2>
    </dataValidation>
    <dataValidation sqref="B20" showDropDown="0" showInputMessage="0" showErrorMessage="1" allowBlank="0" errorTitle="Değer aralık dışı" error="Yabancı kaynağın %1 artışının KKEG tutarına etkisi." promptTitle="KkegTornadoYabanci" prompt="Yabancı kaynağın %1 artışının KKEG tutarına etkisi." type="decimal" errorStyle="stop" operator="between">
      <formula1>0</formula1>
      <formula2>0.2</formula2>
    </dataValidation>
    <dataValidation sqref="B21" showDropDown="0" showInputMessage="0" showErrorMessage="1" allowBlank="0" errorTitle="Değer aralık dışı" error="Kısıtlama oranının %1 artışının KKEG tutarına etkisi." promptTitle="KkegTornadoOran" prompt="Kısıtlama oranının %1 artışının KKEG tutarına etkisi." type="decimal" errorStyle="stop" operator="between">
      <formula1>0</formula1>
      <formula2>0.2</formula2>
    </dataValidation>
    <dataValidation sqref="B22" showDropDown="0" showInputMessage="0" showErrorMessage="1" allowBlank="0" errorTitle="Değer aralık dışı" error="Tahmin bandı genişliği (standart sapma katı)." promptTitle="KkegTahminCarpan" prompt="Tahmin bandı genişliği (standart sapma katı)." type="decimal" errorStyle="stop" operator="between">
      <formula1>0</formula1>
      <formula2>3</formula2>
    </dataValidation>
    <dataValidation sqref="B23" showDropDown="0" showInputMessage="0" showErrorMessage="1" allowBlank="0" errorTitle="Değer aralık dışı" error="Kalite skoru bu eşiğin üzerindeyse YÜKSEK kalite." promptTitle="KkegKaliteIyi" prompt="Kalite skoru bu eşiğin üzerindeyse YÜKSEK kalite." type="decimal" errorStyle="stop" operator="between">
      <formula1>0</formula1>
      <formula2>100</formula2>
    </dataValidation>
    <dataValidation sqref="B24" showDropDown="0" showInputMessage="0" showErrorMessage="1" allowBlank="0" errorTitle="Değer aralık dışı" error="Kalite skoru bu eşiğin üzerindeyse ORTA kalite." promptTitle="KkegKaliteOrta" prompt="Kalite skoru bu eşiğin üzerindeyse ORTA kalite." type="decimal" errorStyle="stop" operator="between">
      <formula1>0</formula1>
      <formula2>100</formula2>
    </dataValidation>
    <dataValidation sqref="B28" showDropDown="0" showInputMessage="0" showErrorMessage="1" allowBlank="0" errorTitle="Değer aralık dışı" error="Kredi tutarı dağılımında üst yüzdelik dilimin oranı." promptTitle="KkegP90Oran" prompt="Kredi tutarı dağılımında üst yüzdelik dilimin oranı." type="decimal" errorStyle="stop" operator="between">
      <formula1>0.5</formula1>
      <formula2>1</formula2>
    </dataValidation>
    <dataValidation sqref="B41" showDropDown="0" showInputMessage="0" showErrorMessage="1" allowBlank="0" errorTitle="Değer aralık dışı" error="DÖNEM_KAYNAK tablosunda satır başına manuel giriş kolonu sayısı." promptTitle="KkegDonemGirisKolon" prompt="DÖNEM_KAYNAK tablosunda satır başına manuel giriş kolonu sayısı." type="decimal" errorStyle="stop" operator="between">
      <formula1>1</formula1>
      <formula2>100</formula2>
    </dataValidation>
    <dataValidation sqref="B42" showDropDown="0" showInputMessage="0" showErrorMessage="1" allowBlank="0" errorTitle="Değer aralık dışı" error="KREDI_LISTESI tablosunda satır başına manuel giriş kolonu sayısı." promptTitle="KkegKrediGirisKolon" prompt="KREDI_LISTESI tablosunda satır başına manuel giriş kolonu sayısı." type="decimal" errorStyle="stop" operator="between">
      <formula1>1</formula1>
      <formula2>100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4" min="1" max="1"/>
    <col width="60" customWidth="1" style="104" min="2" max="2"/>
  </cols>
  <sheetData>
    <row r="1" ht="25.5" customHeight="1" s="78">
      <c r="A1" s="105" t="inlineStr">
        <is>
          <t>KILAVUZ — KKEG ve Finansman Gider Kısıtlaması Vergi Savunma Seti</t>
        </is>
      </c>
    </row>
    <row r="3" ht="15.75" customHeight="1" s="78">
      <c r="A3" s="112" t="inlineStr">
        <is>
          <t>Kullanım Kılavuzu</t>
        </is>
      </c>
    </row>
    <row r="5" ht="15" customHeight="1" s="78">
      <c r="A5" s="113" t="inlineStr">
        <is>
          <t>Veri girişi</t>
        </is>
      </c>
      <c r="B5" s="109" t="inlineStr">
        <is>
          <t>DONEM_KAYNAK sayfasında sarı hücrelere aylık öz kaynak, yabancı kaynak ve finansman gideri verilerinizi girin; KREDI_LISTESI sayfasına kredilerinizi ve kapsam dışı işaretlerini ekleyin.</t>
        </is>
      </c>
    </row>
    <row r="6" ht="15" customHeight="1" s="78">
      <c r="A6" s="113" t="inlineStr">
        <is>
          <t>Hesap katmanı</t>
        </is>
      </c>
      <c r="B6" s="109" t="inlineStr">
        <is>
          <t>HESAP sayfası yıllık ortalamaları, aşan kısma isabet eden gideri, KKEG tutarını ve kurumlar vergisi etkisini otomatik özetler.</t>
        </is>
      </c>
    </row>
    <row r="7" ht="15" customHeight="1" s="78">
      <c r="A7" s="113" t="inlineStr">
        <is>
          <t>Karar ve rapor</t>
        </is>
      </c>
      <c r="B7" s="109" t="inlineStr">
        <is>
          <t>KARAR sayfası UYGUN/İNCELE/DURDUR kararını üretir; RAPOR yöneticiye sunulabilir.</t>
        </is>
      </c>
    </row>
    <row r="8" ht="15" customHeight="1" s="78">
      <c r="A8" s="113" t="inlineStr">
        <is>
          <t>Ayarlar</t>
        </is>
      </c>
      <c r="B8" s="109" t="inlineStr">
        <is>
          <t>AYARLAR sayfasındaki kısıtlama oranı, kurumlar vergisi oranı ve eşikleri mali müşavirinize göre güncelleyin.</t>
        </is>
      </c>
    </row>
    <row r="9" ht="15" customHeight="1" s="78">
      <c r="A9" s="113" t="inlineStr">
        <is>
          <t>Koruma</t>
        </is>
      </c>
      <c r="B9" s="109" t="inlineStr">
        <is>
          <t>Tüm sayfalar 1234 şifresiyle korunur; sarı hücreler serbesttir, formül hücreleri kilitlidir.</t>
        </is>
      </c>
    </row>
    <row r="11" ht="24.75" customHeight="1" s="78">
      <c r="A11" s="116" t="inlineStr">
        <is>
          <t>Bu dosya karar destek aracıdır; kurumlar vergisi beyannamesi ve mali müşavir onayı yerine geçmez.</t>
        </is>
      </c>
    </row>
    <row r="13" ht="15" customHeight="1" s="78">
      <c r="A13" s="108" t="inlineStr">
        <is>
          <t>Varsayım İşaretli Parametreler</t>
        </is>
      </c>
    </row>
    <row r="14" ht="41.25" customHeight="1" s="78">
      <c r="A14" s="109" t="inlineStr">
        <is>
          <t>Aşağıdaki eşik ve çarpanlar AYARLAR sayfasında kaynak=Varsayım olarak işaretlidir; mevzuat zorunluluğu yoktur ve işletmeye göre güncellenmelidir.</t>
        </is>
      </c>
      <c r="B14" s="104" t="n"/>
    </row>
    <row r="15" ht="15" customHeight="1" s="78">
      <c r="A15" s="174" t="inlineStr">
        <is>
          <t>• KKEG Tutarı Eşiği ve Kapsamdaki Gider Eşiği</t>
        </is>
      </c>
    </row>
    <row r="16" ht="15" customHeight="1" s="78">
      <c r="A16" s="174" t="inlineStr">
        <is>
          <t>• Yabancı-Öz Kaynak Fark Oranı Risk Eşiği</t>
        </is>
      </c>
    </row>
    <row r="17" ht="15" customHeight="1" s="78">
      <c r="A17" s="174" t="inlineStr">
        <is>
          <t>• Muafiyet Eşiği (mevzuatta yoksa 0 bırakılır)</t>
        </is>
      </c>
    </row>
    <row r="18" ht="15" customHeight="1" s="78">
      <c r="A18" s="174" t="inlineStr">
        <is>
          <t>• İyimser, Baz ve Kötümser Senaryo Çarpanları</t>
        </is>
      </c>
    </row>
    <row r="19" ht="15" customHeight="1" s="78">
      <c r="A19" s="174" t="inlineStr">
        <is>
          <t>• Tornado Yabancı Kaynak ve Kısıtlama Oranı Etkileri</t>
        </is>
      </c>
    </row>
    <row r="20" ht="15" customHeight="1" s="78">
      <c r="A20" s="174" t="inlineStr">
        <is>
          <t>• Tahmin Çarpanı (standart sapma katı)</t>
        </is>
      </c>
    </row>
    <row r="21" ht="15" customHeight="1" s="78">
      <c r="A21" s="174" t="inlineStr">
        <is>
          <t>• Kalite Skoru İyi ve Orta Eşikleri</t>
        </is>
      </c>
    </row>
    <row r="22" ht="15" customHeight="1" s="78">
      <c r="A22" s="174" t="inlineStr">
        <is>
          <t>• P90 Yüzdelik Oranı</t>
        </is>
      </c>
    </row>
    <row r="23" ht="15" customHeight="1" s="78">
      <c r="A23" s="174" t="inlineStr">
        <is>
          <t>• Aksiyon Önerisi Açıklamaları</t>
        </is>
      </c>
    </row>
    <row r="24" ht="24.75" customHeight="1" s="78">
      <c r="A24" s="116" t="inlineStr">
        <is>
          <t>Bu dosya tamamen çevrimdışı çalışır; verileriniz cihazınızdan çıkmaz. Makro ve dış bağlantı yoktur.</t>
        </is>
      </c>
      <c r="B24" s="104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B5:T5"/>
    <mergeCell ref="B14:T14"/>
    <mergeCell ref="B8:T8"/>
    <mergeCell ref="B9:T9"/>
    <mergeCell ref="B6:T6"/>
    <mergeCell ref="B24:T24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2026-08-10T14:14:40Z</dcterms:created>
  <dcterms:modified xmlns:dcterms="http://purl.org/dc/terms/" xmlns:xsi="http://www.w3.org/2001/XMLSchema-instance" xsi:type="dcterms:W3CDTF">2026-09-25T14:23:09Z</dcterms:modified>
  <cp:revision>0</cp:revision>
</cp:coreProperties>
</file>