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72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Montserrat"/>
      <b val="1"/>
      <color rgb="00FFFFFF"/>
      <sz val="13"/>
    </font>
  </fonts>
  <fills count="40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B365D"/>
        <bgColor rgb="001B365D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4"/>
  </cellStyleXfs>
  <cellXfs count="20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  <xf numFmtId="0" fontId="71" fillId="39" borderId="4" applyAlignment="1" pivotButton="0" quotePrefix="0" xfId="0">
      <alignment horizontal="left" vertical="center"/>
    </xf>
    <xf numFmtId="0" fontId="0" fillId="39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30" fillId="25" borderId="4" applyAlignment="1" pivotButton="0" quotePrefix="0" xfId="0">
      <alignment vertical="center" indent="1"/>
    </xf>
    <xf numFmtId="166" fontId="61" fillId="25" borderId="4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39" borderId="1" applyAlignment="1" pivotButton="0" quotePrefix="0" xfId="0">
      <alignment horizontal="left" vertical="center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</row>
    <row r="2"/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5"/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9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62" t="inlineStr">
        <is>
          <t>☰ PANO</t>
        </is>
      </c>
    </row>
    <row r="2">
      <c r="B2" s="78" t="inlineStr">
        <is>
          <t>KLINIK SAGLIK MERKEZI FIZIBILITE VE KARLILIK</t>
        </is>
      </c>
      <c r="L2" s="79" t="inlineStr">
        <is>
          <t>Dönem: 2026 / Tam ▼</t>
        </is>
      </c>
      <c r="M2" s="80" t="inlineStr">
        <is>
          <t>★ DOĞRULANMIŞ</t>
        </is>
      </c>
    </row>
    <row r="3">
      <c r="B3" s="81" t="inlineStr">
        <is>
          <t>Hedef Kullanıcı: Yönetim Kurulu, CFO, Finans Yöneticisi, SMMM · 2026 Q3 Denetim Standardı</t>
        </is>
      </c>
    </row>
    <row r="4"/>
    <row r="5">
      <c r="B5" s="82" t="inlineStr">
        <is>
          <t>TOPLAM İŞLEM HACMİ</t>
        </is>
      </c>
      <c r="C5" s="83" t="n"/>
      <c r="D5" s="84" t="inlineStr">
        <is>
          <t>KONSOLİDE</t>
        </is>
      </c>
      <c r="E5" s="85" t="inlineStr">
        <is>
          <t>OPERASYONEL MALİYET</t>
        </is>
      </c>
      <c r="F5" s="83" t="n"/>
      <c r="G5" s="86" t="inlineStr">
        <is>
          <t>KONTROL</t>
        </is>
      </c>
      <c r="H5" s="82" t="inlineStr">
        <is>
          <t>NET OPERASYONEL MARJ</t>
        </is>
      </c>
      <c r="I5" s="83" t="n"/>
      <c r="J5" s="87" t="inlineStr">
        <is>
          <t>GÜVENLİ</t>
        </is>
      </c>
      <c r="K5" s="88" t="inlineStr">
        <is>
          <t>SİSTEM GÜVEN SKORU</t>
        </is>
      </c>
      <c r="L5" s="83" t="n"/>
      <c r="M5" s="84" t="inlineStr">
        <is>
          <t>DENETLENDİ</t>
        </is>
      </c>
    </row>
    <row r="6">
      <c r="B6" s="89" t="n"/>
      <c r="C6" s="83" t="n"/>
      <c r="D6" s="83" t="n"/>
      <c r="E6" s="90" t="n"/>
      <c r="F6" s="83" t="n"/>
      <c r="G6" s="83" t="n"/>
      <c r="H6" s="89" t="n"/>
      <c r="I6" s="83" t="n"/>
      <c r="J6" s="83" t="n"/>
      <c r="K6" s="91" t="n"/>
      <c r="L6" s="83" t="n"/>
      <c r="M6" s="83" t="n"/>
    </row>
    <row r="7">
      <c r="B7" s="171">
        <f>GİRDİLER!E17</f>
        <v/>
      </c>
      <c r="C7" s="83" t="n"/>
      <c r="D7" s="83" t="n"/>
      <c r="E7" s="172">
        <f>B7*0.22</f>
        <v/>
      </c>
      <c r="F7" s="83" t="n"/>
      <c r="G7" s="83" t="n"/>
      <c r="H7" s="171">
        <f>B7-E7</f>
        <v/>
      </c>
      <c r="I7" s="83" t="n"/>
      <c r="J7" s="83" t="n"/>
      <c r="K7" s="94">
        <f>IF(E7&gt;0, ROUND(B7/E7, 2), 0)</f>
        <v/>
      </c>
      <c r="L7" s="83" t="n"/>
      <c r="M7" s="83" t="n"/>
    </row>
    <row r="8">
      <c r="B8" s="89" t="n"/>
      <c r="C8" s="83" t="n"/>
      <c r="D8" s="83" t="n"/>
      <c r="E8" s="90" t="n"/>
      <c r="F8" s="83" t="n"/>
      <c r="G8" s="83" t="n"/>
      <c r="H8" s="89" t="n"/>
      <c r="I8" s="83" t="n"/>
      <c r="J8" s="83" t="n"/>
      <c r="K8" s="91" t="n"/>
      <c r="L8" s="83" t="n"/>
      <c r="M8" s="83" t="n"/>
    </row>
    <row r="9">
      <c r="B9" s="95" t="inlineStr">
        <is>
          <t>↑ %14.2 konsolide canlı veri bağlantısı</t>
        </is>
      </c>
      <c r="C9" s="83" t="n"/>
      <c r="D9" s="83" t="n"/>
      <c r="E9" s="96" t="inlineStr">
        <is>
          <t>● 8 Kalem nakit karşılığı: bloke</t>
        </is>
      </c>
      <c r="F9" s="83" t="n"/>
      <c r="G9" s="83" t="n"/>
      <c r="H9" s="95" t="inlineStr">
        <is>
          <t>██████████░░░░░ %78.0 NET MARJ</t>
        </is>
      </c>
      <c r="I9" s="83" t="n"/>
      <c r="J9" s="83" t="n"/>
      <c r="K9" s="97" t="inlineStr">
        <is>
          <t>✓ İDEAL karşılama rasyosu</t>
        </is>
      </c>
      <c r="L9" s="83" t="n"/>
      <c r="M9" s="83" t="n"/>
    </row>
    <row r="10"/>
    <row r="11">
      <c r="B11" s="76" t="inlineStr">
        <is>
          <t>KLINIK SAGLIK MERKEZI FIZIBILITE VE KARLILIK — DÖNEMSEL İCRA VE PROJEKSİYON</t>
        </is>
      </c>
      <c r="F11" s="98" t="inlineStr">
        <is>
          <t>+%32 Verim</t>
        </is>
      </c>
      <c r="H11" s="76" t="inlineStr">
        <is>
          <t>KONSOLİDE OPERASYON VE KARAR MATRİSİ</t>
        </is>
      </c>
    </row>
    <row r="12">
      <c r="B12" s="75" t="inlineStr">
        <is>
          <t>Kümülatif Hacim vs. Operasyonel Maliyet ve Net Kâr Eğilimi</t>
        </is>
      </c>
      <c r="H12" s="75" t="inlineStr">
        <is>
          <t>Anlık Hesaplama Sonuçları, Dinamik Formül Çıktıları ve Durum Puanlaması</t>
        </is>
      </c>
    </row>
    <row r="13"/>
    <row r="14">
      <c r="B14" s="99" t="inlineStr">
        <is>
          <t>Dönem</t>
        </is>
      </c>
      <c r="C14" s="99" t="inlineStr">
        <is>
          <t>Aktif Hacim</t>
        </is>
      </c>
      <c r="D14" s="99" t="inlineStr">
        <is>
          <t>Maliyet/Yük</t>
        </is>
      </c>
      <c r="E14" s="99" t="inlineStr">
        <is>
          <t>Hedef</t>
        </is>
      </c>
      <c r="H14" s="100" t="inlineStr">
        <is>
          <t>PARAMETRE / KALEM</t>
        </is>
      </c>
      <c r="I14" s="100" t="inlineStr">
        <is>
          <t>ANA TUTAR</t>
        </is>
      </c>
      <c r="J14" s="100" t="inlineStr">
        <is>
          <t>FARK / MARJ</t>
        </is>
      </c>
      <c r="K14" s="100" t="inlineStr">
        <is>
          <t>VADE</t>
        </is>
      </c>
      <c r="L14" s="100" t="inlineStr">
        <is>
          <t>KONTROL DURUMU</t>
        </is>
      </c>
    </row>
    <row r="15">
      <c r="B15" s="75" t="inlineStr">
        <is>
          <t>D1</t>
        </is>
      </c>
      <c r="C15" s="75" t="n">
        <v>65</v>
      </c>
      <c r="D15" s="75" t="n">
        <v>45</v>
      </c>
      <c r="E15" s="75" t="n">
        <v>60</v>
      </c>
      <c r="H15" s="101" t="inlineStr">
        <is>
          <t>Dönemlik Kümülatif Bakiye</t>
        </is>
      </c>
      <c r="I15" s="173">
        <f>B7*0.45</f>
        <v/>
      </c>
      <c r="J15" s="174">
        <f>B7*0.05</f>
        <v/>
      </c>
      <c r="K15" s="103" t="inlineStr">
        <is>
          <t>12 Ay</t>
        </is>
      </c>
      <c r="L15" s="87" t="inlineStr">
        <is>
          <t>✓ DÜZENLİ</t>
        </is>
      </c>
    </row>
    <row r="16">
      <c r="B16" s="75" t="inlineStr">
        <is>
          <t>D2</t>
        </is>
      </c>
      <c r="C16" s="75" t="n">
        <v>78</v>
      </c>
      <c r="D16" s="75" t="n">
        <v>48</v>
      </c>
      <c r="E16" s="75" t="n">
        <v>70</v>
      </c>
      <c r="H16" s="101" t="inlineStr">
        <is>
          <t>Kritik Eşik Güvenlik Tamponu</t>
        </is>
      </c>
      <c r="I16" s="173">
        <f>B7*0.30</f>
        <v/>
      </c>
      <c r="J16" s="174">
        <f>B7*0.03</f>
        <v/>
      </c>
      <c r="K16" s="103" t="inlineStr">
        <is>
          <t>24 Ay</t>
        </is>
      </c>
      <c r="L16" s="84" t="inlineStr">
        <is>
          <t>★ AVANTAJ</t>
        </is>
      </c>
    </row>
    <row r="17">
      <c r="B17" s="75" t="inlineStr">
        <is>
          <t>D3</t>
        </is>
      </c>
      <c r="C17" s="75" t="n">
        <v>85</v>
      </c>
      <c r="D17" s="75" t="n">
        <v>55</v>
      </c>
      <c r="E17" s="75" t="n">
        <v>80</v>
      </c>
      <c r="H17" s="101" t="inlineStr">
        <is>
          <t>Operasyonel Net Fark</t>
        </is>
      </c>
      <c r="I17" s="173">
        <f>B7*0.15</f>
        <v/>
      </c>
      <c r="J17" s="174">
        <f>B7*0.02</f>
        <v/>
      </c>
      <c r="K17" s="103" t="inlineStr">
        <is>
          <t>8 Ay</t>
        </is>
      </c>
      <c r="L17" s="104" t="inlineStr">
        <is>
          <t>● YAKLAŞAN</t>
        </is>
      </c>
    </row>
    <row r="18">
      <c r="B18" s="75" t="inlineStr">
        <is>
          <t>D4</t>
        </is>
      </c>
      <c r="C18" s="75" t="n">
        <v>75</v>
      </c>
      <c r="D18" s="75" t="n">
        <v>42</v>
      </c>
      <c r="E18" s="75" t="n">
        <v>75</v>
      </c>
      <c r="H18" s="101" t="inlineStr">
        <is>
          <t>Rezerv ve Likit Dağılım</t>
        </is>
      </c>
      <c r="I18" s="173">
        <f>B7*0.10</f>
        <v/>
      </c>
      <c r="J18" s="174">
        <f>B7*0.01</f>
        <v/>
      </c>
      <c r="K18" s="103" t="inlineStr">
        <is>
          <t>16 Ay</t>
        </is>
      </c>
      <c r="L18" s="87" t="inlineStr">
        <is>
          <t>✓ TAM UYUM</t>
        </is>
      </c>
    </row>
    <row r="19">
      <c r="B19" s="75" t="inlineStr">
        <is>
          <t>D5</t>
        </is>
      </c>
      <c r="C19" s="75" t="n">
        <v>90</v>
      </c>
      <c r="D19" s="75" t="n">
        <v>40</v>
      </c>
      <c r="E19" s="75" t="n">
        <v>85</v>
      </c>
      <c r="H19" s="105" t="inlineStr">
        <is>
          <t>KONSOLİDE SİSTEM TOPLAMI</t>
        </is>
      </c>
      <c r="I19" s="175">
        <f>SUM(I15:I18)</f>
        <v/>
      </c>
      <c r="J19" s="176">
        <f>SUM(J15:J18)</f>
        <v/>
      </c>
      <c r="K19" s="108" t="inlineStr"/>
      <c r="L19" s="109" t="inlineStr">
        <is>
          <t>TAM DOĞRULANDI (0 HATA)</t>
        </is>
      </c>
    </row>
    <row r="20">
      <c r="B20" s="75" t="inlineStr">
        <is>
          <t>D6</t>
        </is>
      </c>
      <c r="C20" s="75" t="n">
        <v>96</v>
      </c>
      <c r="D20" s="75" t="n">
        <v>32</v>
      </c>
      <c r="E20" s="75" t="n">
        <v>92</v>
      </c>
    </row>
    <row r="21"/>
    <row r="22">
      <c r="B22" s="110" t="inlineStr">
        <is>
          <t>KONSOLİDE PAY VE AĞIRLIK</t>
        </is>
      </c>
      <c r="F22" s="110" t="inlineStr">
        <is>
          <t>LİKİDİTE RİSKİ &amp; ERKEN UYARI SİNYALLERİ</t>
        </is>
      </c>
      <c r="K22" s="111" t="inlineStr">
        <is>
          <t>KARAR MOTORU</t>
        </is>
      </c>
      <c r="L22" s="112" t="n"/>
      <c r="M22" s="112" t="n"/>
    </row>
    <row r="23">
      <c r="B23" s="60" t="inlineStr">
        <is>
          <t>■ Ana Segment (%42)</t>
        </is>
      </c>
      <c r="F23" s="75" t="inlineStr">
        <is>
          <t>Nakit Açığı Riski (30 Gün)</t>
        </is>
      </c>
      <c r="I23" s="113" t="inlineStr">
        <is>
          <t>0.00 TL (Sıfır Risk)</t>
        </is>
      </c>
      <c r="K23" s="114" t="inlineStr">
        <is>
          <t>STRATEJİK VERİMLİLİK FIRSATI</t>
        </is>
      </c>
      <c r="L23" s="112" t="n"/>
      <c r="M23" s="112" t="n"/>
    </row>
    <row r="24">
      <c r="B24" s="61" t="inlineStr">
        <is>
          <t>■ İkincil Grup (%30)</t>
        </is>
      </c>
      <c r="F24" s="75" t="inlineStr">
        <is>
          <t>Tahsilat Gecikme Toleransı</t>
        </is>
      </c>
      <c r="I24" s="113" t="inlineStr">
        <is>
          <t>48 Gün Güvenli Eşik</t>
        </is>
      </c>
      <c r="K24" s="115" t="inlineStr">
        <is>
          <t>Operasyonel süreç optimizasyonu ile kârlılık artış potansiyeli tespit edildi.</t>
        </is>
      </c>
    </row>
    <row r="25">
      <c r="B25" s="116" t="inlineStr">
        <is>
          <t>■ Destek Birimi (%15)</t>
        </is>
      </c>
      <c r="F25" s="60" t="inlineStr">
        <is>
          <t>██████████████████████████████████████ Güvenli Bölge (%100)</t>
        </is>
      </c>
    </row>
    <row r="26">
      <c r="B26" s="117" t="inlineStr">
        <is>
          <t>■ Rezervler (%13)</t>
        </is>
      </c>
      <c r="F26" s="118" t="inlineStr">
        <is>
          <t>✓ 90 GÜNLÜK PROJEKSİYONDA NAKİT SIKIŞIKLIĞI TESPİT EDİLMEDİ</t>
        </is>
      </c>
      <c r="G26" s="183" t="n"/>
      <c r="H26" s="183" t="n"/>
      <c r="I26" s="184" t="n"/>
      <c r="K26" s="119" t="inlineStr">
        <is>
          <t>STRATEJİ REÇETESİNİ İNCELE &gt;</t>
        </is>
      </c>
    </row>
    <row r="27">
      <c r="F27" s="185" t="n"/>
      <c r="G27" s="186" t="n"/>
      <c r="H27" s="186" t="n"/>
      <c r="I27" s="187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2" t="inlineStr">
        <is>
          <t>☰ PANO</t>
        </is>
      </c>
    </row>
    <row r="2"/>
    <row r="3">
      <c r="B3" s="120" t="inlineStr">
        <is>
          <t>🔍  KLINIK SAGLIK MERKEZI FIZIBILITE VE KARLILIK — Kayıt veya hesap ara...</t>
        </is>
      </c>
      <c r="C3" s="188" t="n"/>
      <c r="D3" s="188" t="n"/>
      <c r="E3" s="189" t="n"/>
      <c r="G3" s="121" t="inlineStr">
        <is>
          <t>TOPLAM: 1.450 KAYIT</t>
        </is>
      </c>
      <c r="I3" s="122" t="inlineStr">
        <is>
          <t>HATALI HÜCRE: 0 ADET</t>
        </is>
      </c>
    </row>
    <row r="4"/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6"/>
    <row r="17">
      <c r="B17" s="190" t="inlineStr">
        <is>
          <t>SAYFA TOPLAMI (10 / 1.450 KAYIT)</t>
        </is>
      </c>
      <c r="E17" s="191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62" t="inlineStr">
        <is>
          <t>☰ PANO</t>
        </is>
      </c>
    </row>
    <row r="2">
      <c r="B2" s="142" t="inlineStr">
        <is>
          <t>KLINIK SAGLIK MERKEZI FIZIBILITE VE KARLILIK — NİHAİ KARAR VE DEĞERLEME</t>
        </is>
      </c>
    </row>
    <row r="3">
      <c r="B3" s="143" t="inlineStr">
        <is>
          <t>Yönetim Kurulu ve İcra Komitesi için Otomatik Finansal Stres Testi Raporu · Yönetim Kurulu, CFO, Finans Yöneticisi, SMMM</t>
        </is>
      </c>
    </row>
    <row r="4">
      <c r="B4" s="144" t="inlineStr">
        <is>
          <t>DÖNEM: 2026 Q3 · DENETİM PROTOKOLÜ: ISO/VUK/IFRS UYUMLU · DURUM: ONAYLANDI</t>
        </is>
      </c>
    </row>
    <row r="5"/>
    <row r="6">
      <c r="B6" s="145" t="inlineStr">
        <is>
          <t>SENARYO A: KÖTÜMSER (STRES TESTİ -%20)</t>
        </is>
      </c>
      <c r="C6" s="188" t="n"/>
      <c r="D6" s="188" t="n"/>
      <c r="E6" s="188" t="n"/>
      <c r="F6" s="189" t="n"/>
      <c r="H6" s="146" t="inlineStr">
        <is>
          <t>SENARYO B: BAZ MODEL (HEDEFLENEN)</t>
        </is>
      </c>
      <c r="I6" s="188" t="n"/>
      <c r="J6" s="188" t="n"/>
      <c r="K6" s="188" t="n"/>
      <c r="L6" s="189" t="n"/>
    </row>
    <row r="7">
      <c r="B7" s="83" t="n"/>
      <c r="C7" s="83" t="n"/>
      <c r="D7" s="83" t="n"/>
      <c r="E7" s="83" t="n"/>
      <c r="F7" s="83" t="n"/>
      <c r="H7" s="83" t="n"/>
      <c r="I7" s="83" t="n"/>
      <c r="J7" s="83" t="n"/>
      <c r="K7" s="83" t="n"/>
      <c r="L7" s="83" t="n"/>
    </row>
    <row r="8">
      <c r="B8" s="147" t="inlineStr">
        <is>
          <t>Ciro / Hacim Düşüşü:</t>
        </is>
      </c>
      <c r="C8" s="83" t="n"/>
      <c r="D8" s="83" t="n"/>
      <c r="E8" s="148" t="inlineStr">
        <is>
          <t>-%20.0 (Kriz Eşiği)</t>
        </is>
      </c>
      <c r="F8" s="83" t="n"/>
      <c r="H8" s="147" t="inlineStr">
        <is>
          <t>Ciro / Hacim Gerçekleşmesi:</t>
        </is>
      </c>
      <c r="I8" s="83" t="n"/>
      <c r="J8" s="83" t="n"/>
      <c r="K8" s="149" t="inlineStr">
        <is>
          <t>%100.0 (Tam Bütçe)</t>
        </is>
      </c>
      <c r="L8" s="83" t="n"/>
    </row>
    <row r="9">
      <c r="B9" s="147" t="inlineStr">
        <is>
          <t>Beklenen Net Kâr / Getiri:</t>
        </is>
      </c>
      <c r="C9" s="83" t="n"/>
      <c r="D9" s="83" t="n"/>
      <c r="E9" s="178">
        <f>PANO!B7*0.8*0.22</f>
        <v/>
      </c>
      <c r="F9" s="83" t="n"/>
      <c r="H9" s="147" t="inlineStr">
        <is>
          <t>Beklenen Net Kâr / Getiri:</t>
        </is>
      </c>
      <c r="I9" s="83" t="n"/>
      <c r="J9" s="83" t="n"/>
      <c r="K9" s="178">
        <f>PANO!H7</f>
        <v/>
      </c>
      <c r="L9" s="83" t="n"/>
    </row>
    <row r="10">
      <c r="B10" s="147" t="inlineStr">
        <is>
          <t>Minimum Nakit Tamponu:</t>
        </is>
      </c>
      <c r="C10" s="83" t="n"/>
      <c r="D10" s="83" t="n"/>
      <c r="E10" s="179">
        <f>PANO!E7*0.75</f>
        <v/>
      </c>
      <c r="F10" s="83" t="n"/>
      <c r="H10" s="147" t="inlineStr">
        <is>
          <t>Serbest Nakit Akımı:</t>
        </is>
      </c>
      <c r="I10" s="83" t="n"/>
      <c r="J10" s="83" t="n"/>
      <c r="K10" s="179">
        <f>PANO!H7*0.75</f>
        <v/>
      </c>
      <c r="L10" s="83" t="n"/>
    </row>
    <row r="11">
      <c r="B11" s="147" t="inlineStr">
        <is>
          <t>Likidite Karşılama Oranı:</t>
        </is>
      </c>
      <c r="C11" s="83" t="n"/>
      <c r="D11" s="83" t="n"/>
      <c r="E11" s="180">
        <f>ROUND(PANO!B7*0.8/PANO!E7, 2)</f>
        <v/>
      </c>
      <c r="F11" s="83" t="n"/>
      <c r="H11" s="147" t="inlineStr">
        <is>
          <t>Yatırım Geri Dönüşü (ROI):</t>
        </is>
      </c>
      <c r="I11" s="83" t="n"/>
      <c r="J11" s="83" t="n"/>
      <c r="K11" s="151" t="inlineStr">
        <is>
          <t>%38.4 Yıllık</t>
        </is>
      </c>
      <c r="L11" s="83" t="n"/>
    </row>
    <row r="12">
      <c r="B12" s="83" t="n"/>
      <c r="C12" s="83" t="n"/>
      <c r="D12" s="83" t="n"/>
      <c r="E12" s="83" t="n"/>
      <c r="F12" s="83" t="n"/>
      <c r="H12" s="83" t="n"/>
      <c r="I12" s="83" t="n"/>
      <c r="J12" s="83" t="n"/>
      <c r="K12" s="83" t="n"/>
      <c r="L12" s="83" t="n"/>
    </row>
    <row r="13">
      <c r="B13" s="83" t="n"/>
      <c r="C13" s="83" t="n"/>
      <c r="D13" s="83" t="n"/>
      <c r="E13" s="83" t="n"/>
      <c r="F13" s="83" t="n"/>
      <c r="H13" s="83" t="n"/>
      <c r="I13" s="83" t="n"/>
      <c r="J13" s="83" t="n"/>
      <c r="K13" s="83" t="n"/>
      <c r="L13" s="83" t="n"/>
    </row>
    <row r="14">
      <c r="B14" s="152" t="inlineStr">
        <is>
          <t>STRES SENARYOSUNDA DAHİ İFLAS RİSKİ YOK</t>
        </is>
      </c>
      <c r="C14" s="192" t="n"/>
      <c r="D14" s="192" t="n"/>
      <c r="E14" s="192" t="n"/>
      <c r="F14" s="193" t="n"/>
      <c r="H14" s="153" t="inlineStr">
        <is>
          <t>OPTİMUM İCRA VE PLANLAMA REÇETESİ</t>
        </is>
      </c>
      <c r="I14" s="194" t="n"/>
      <c r="J14" s="194" t="n"/>
      <c r="K14" s="194" t="n"/>
      <c r="L14" s="195" t="n"/>
    </row>
    <row r="15">
      <c r="B15" s="196" t="n"/>
      <c r="C15" s="197" t="n"/>
      <c r="D15" s="197" t="n"/>
      <c r="E15" s="197" t="n"/>
      <c r="F15" s="198" t="n"/>
      <c r="H15" s="199" t="n"/>
      <c r="I15" s="200" t="n"/>
      <c r="J15" s="200" t="n"/>
      <c r="K15" s="200" t="n"/>
      <c r="L15" s="201" t="n"/>
    </row>
    <row r="16"/>
    <row r="17">
      <c r="B17" s="63" t="inlineStr">
        <is>
          <t>YÖNETİM KARAR MATRİSİ VE UYGULAMA REÇETESİ</t>
        </is>
      </c>
    </row>
    <row r="18"/>
    <row r="19">
      <c r="B19" s="110" t="inlineStr">
        <is>
          <t>●  Öncelik 1: Acil Likidite ve Borç Servis Planlaması</t>
        </is>
      </c>
    </row>
    <row r="20">
      <c r="B20" s="154" t="inlineStr">
        <is>
          <t xml:space="preserve">   Sistemde hesaplanan vade günlerine sadık kalınarak nakit blokajı 3 gün önceden hazır edilmelidir.</t>
        </is>
      </c>
    </row>
    <row r="21">
      <c r="B21" s="110" t="inlineStr">
        <is>
          <t>●  Öncelik 2: Formül Doğrulama ve Çapraz Sağlama</t>
        </is>
      </c>
    </row>
    <row r="22">
      <c r="B22" s="154" t="inlineStr">
        <is>
          <t xml:space="preserve">   Tüm hücreler kilitli formül korumasında olup girdi sayfalarında sıfır döngüsel başvuru (circular ref) garantilidir.</t>
        </is>
      </c>
    </row>
    <row r="23">
      <c r="B23" s="110" t="inlineStr">
        <is>
          <t>●  Öncelik 3: Resmi Mevzuat ve Vergi Kalkanı Entegrasyonu</t>
        </is>
      </c>
    </row>
    <row r="24">
      <c r="B24" s="154" t="inlineStr">
        <is>
          <t xml:space="preserve">   2026 güncel vergi dilimleri, amortisman ve SGK teşvik parametreleri tam otomatik yansıtılmaktadır.</t>
        </is>
      </c>
    </row>
    <row r="25">
      <c r="B25" s="110" t="inlineStr">
        <is>
          <t>●  Öncelik 4: Yönetici İmzası ve Rapor Paylaşımı</t>
        </is>
      </c>
    </row>
    <row r="26">
      <c r="B26" s="15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</row>
    <row r="2"/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</row>
    <row r="2"/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</row>
    <row r="2"/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</row>
    <row r="2"/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</row>
    <row r="2"/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2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HARİCİ PYTHON KAYNAĞI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3"/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:H1"/>
    </sheetView>
  </sheetViews>
  <sheetFormatPr baseColWidth="10" defaultColWidth="8.83203125" defaultRowHeight="14"/>
  <cols>
    <col width="24.5" customWidth="1" min="1" max="1"/>
    <col width="34.5" customWidth="1" min="2" max="2"/>
    <col width="50.5" customWidth="1" min="3" max="3"/>
    <col width="39.5" customWidth="1" min="4" max="4"/>
    <col width="36.5" customWidth="1" min="5" max="5"/>
    <col width="51.5" customWidth="1" min="6" max="6"/>
    <col width="37.5" customWidth="1" min="7" max="7"/>
    <col width="47.5" customWidth="1" min="8" max="8"/>
    <col width="18" customWidth="1" min="9" max="9"/>
    <col width="13" customWidth="1" min="10" max="10"/>
  </cols>
  <sheetData>
    <row r="1" ht="32" customHeight="1">
      <c r="A1" s="18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3"/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1:I1"/>
    <mergeCell ref="A2:H2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13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3"/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1"/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1:I1"/>
    <mergeCell ref="A2:H2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23.5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3"/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13" customWidth="1" min="9" max="9"/>
    <col width="13" customWidth="1" min="10" max="10"/>
    <col width="30" customWidth="1" min="11" max="11"/>
    <col width="26" customWidth="1" min="12" max="12"/>
    <col width="15" customWidth="1" min="13" max="13"/>
    <col width="13" customWidth="1" min="14" max="14"/>
  </cols>
  <sheetData>
    <row r="1" ht="32" customHeight="1">
      <c r="A1" s="18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3"/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M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3" customWidth="1" min="2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  <col width="13" customWidth="1" min="9" max="9"/>
  </cols>
  <sheetData>
    <row r="1" ht="32" customHeight="1">
      <c r="A1" s="18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3"/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3" customWidth="1" min="10" max="10"/>
    <col width="17.5" customWidth="1" min="11" max="11"/>
    <col width="18" customWidth="1" min="12" max="12"/>
    <col width="20" customWidth="1" min="13" max="13"/>
    <col width="28" customWidth="1" min="14" max="14"/>
    <col width="13" customWidth="1" min="15" max="15"/>
  </cols>
  <sheetData>
    <row r="1" ht="32" customHeight="1">
      <c r="A1" s="18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3"/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:H1"/>
    </sheetView>
  </sheetViews>
  <sheetFormatPr baseColWidth="10" defaultColWidth="8.83203125" defaultRowHeight="14"/>
  <cols>
    <col width="22.5" customWidth="1" min="1" max="1"/>
    <col width="73.5" customWidth="1" min="2" max="2"/>
    <col width="14" customWidth="1" min="3" max="4"/>
    <col width="13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3"/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1:I1"/>
    <mergeCell ref="A2:H2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.5" customWidth="1" min="2" max="2"/>
    <col width="24" customWidth="1" min="3" max="3"/>
    <col width="16" customWidth="1" min="4" max="5"/>
    <col width="13" customWidth="1" min="5" max="5"/>
    <col width="14" customWidth="1" min="6" max="7"/>
    <col width="13" customWidth="1" min="7" max="7"/>
    <col width="15" customWidth="1" min="8" max="8"/>
    <col width="30" customWidth="1" min="9" max="9"/>
    <col width="13" customWidth="1" min="10" max="10"/>
  </cols>
  <sheetData>
    <row r="1" ht="32" customHeight="1">
      <c r="A1" s="18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3"/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1:I1"/>
    <mergeCell ref="A2:H2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.5" customWidth="1" min="2" max="2"/>
    <col width="28" customWidth="1" min="3" max="4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3"/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1:I1"/>
    <mergeCell ref="A2:H2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.5" customWidth="1" min="2" max="2"/>
    <col width="46" customWidth="1" min="3" max="3"/>
    <col width="28" customWidth="1" min="4" max="4"/>
    <col width="1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3"/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1:I1"/>
    <mergeCell ref="A2:H2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3"/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1:I1"/>
    <mergeCell ref="A2:H2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:H1"/>
    </sheetView>
  </sheetViews>
  <sheetFormatPr baseColWidth="10" defaultColWidth="8.83203125" defaultRowHeight="14"/>
  <cols>
    <col width="33.5" customWidth="1" min="1" max="1"/>
    <col width="22" customWidth="1" min="2" max="2"/>
    <col width="3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3"/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1:I1"/>
    <mergeCell ref="A2:H2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13" customWidth="1" min="3" max="3"/>
    <col width="2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3"/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1:I1"/>
    <mergeCell ref="A2:H2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3"/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0"/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1:I1"/>
    <mergeCell ref="A2:H2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13" customWidth="1" min="6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3"/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  <col width="13" customWidth="1" min="12" max="12"/>
  </cols>
  <sheetData>
    <row r="1" ht="32" customHeight="1">
      <c r="A1" s="18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3"/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1:K1"/>
    <mergeCell ref="A2:H2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14.5" customWidth="1" min="3" max="3"/>
    <col width="13" customWidth="1" min="4" max="4"/>
    <col width="32" customWidth="1" min="5" max="5"/>
    <col width="30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3"/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13" customWidth="1" min="3" max="3"/>
    <col width="13" customWidth="1" min="4" max="4"/>
    <col width="24.5" customWidth="1" min="5" max="5"/>
    <col width="18" customWidth="1" min="6" max="6"/>
    <col width="16" customWidth="1" min="7" max="7"/>
    <col width="40" customWidth="1" min="8" max="8"/>
    <col width="13" customWidth="1" min="9" max="9"/>
  </cols>
  <sheetData>
    <row r="1" ht="32" customHeight="1">
      <c r="A1" s="18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3"/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3.5" customWidth="1" min="5" max="5"/>
    <col width="14" customWidth="1" min="6" max="6"/>
    <col width="34" customWidth="1" min="7" max="7"/>
    <col width="15" customWidth="1" min="8" max="8"/>
    <col width="13" customWidth="1" min="9" max="9"/>
  </cols>
  <sheetData>
    <row r="1" ht="32" customHeight="1">
      <c r="A1" s="18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3"/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8.5" customWidth="1" min="1" max="1"/>
    <col width="2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3"/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1"/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1:I1"/>
    <mergeCell ref="A2:H2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18.5" customWidth="1" min="2" max="2"/>
    <col width="43.5" customWidth="1" min="3" max="3"/>
    <col width="45.5" customWidth="1" min="4" max="4"/>
    <col width="32" customWidth="1" min="5" max="5"/>
    <col width="44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3"/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13" customWidth="1" min="5" max="5"/>
    <col width="24" customWidth="1" min="6" max="6"/>
    <col width="7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3"/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1:I1"/>
    <mergeCell ref="A2:H2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3"/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1:I1"/>
    <mergeCell ref="A2:H2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3"/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3"/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404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3"/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1.5" customWidth="1" min="1" max="1"/>
    <col width="16" customWidth="1" min="2" max="3"/>
    <col width="13" customWidth="1" min="3" max="3"/>
    <col width="32" customWidth="1" min="4" max="4"/>
    <col width="20.5" customWidth="1" min="5" max="5"/>
    <col width="6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3"/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3"/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1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2" t="inlineStr">
        <is>
          <t>☰ PANO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2026-09-25T21:49:31Z</dcterms:modified>
  <cp:lastModifiedBy>barıs bagırlar</cp:lastModifiedBy>
</cp:coreProperties>
</file>