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AYLIK_VERI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ANALITIK_MOT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ANAHTA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DEGISIKLIK_KAYD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DosyaSurumu" hidden="0" function="0" vbProcedure="0">AYARLAR!$B$10</definedName>
    <definedName name="FirmaUnvan" hidden="0" function="0" vbProcedure="0">AYARLAR!$B$7</definedName>
    <definedName name="KobiAksiyon1_ACIKLAMA" hidden="0" function="0" vbProcedure="0">AYARLAR!$B$27</definedName>
    <definedName name="KobiAksiyon2_ACIKLAMA" hidden="0" function="0" vbProcedure="0">AYARLAR!$B$28</definedName>
    <definedName name="KobiAksiyon3_ACIKLAMA" hidden="0" function="0" vbProcedure="0">AYARLAR!$B$29</definedName>
    <definedName name="KobiAsgariNakit" hidden="0" function="0" vbProcedure="0">AYARLAR!$B$12</definedName>
    <definedName name="KobiBaslangicNakit" hidden="0" function="0" vbProcedure="0">AYARLAR!$B$11</definedName>
    <definedName name="KobiBazSenaryo" hidden="0" function="0" vbProcedure="0">AYARLAR!$B$20</definedName>
    <definedName name="KobiDoluGiris" hidden="0" function="0" vbProcedure="0">KONTROLLER!$B$18</definedName>
    <definedName name="KobiHedefNakit" hidden="0" function="0" vbProcedure="0">AYARLAR!$B$13</definedName>
    <definedName name="KobiIyiSenaryo" hidden="0" function="0" vbProcedure="0">AYARLAR!$B$19</definedName>
    <definedName name="KobiKaliteIyi" hidden="0" function="0" vbProcedure="0">AYARLAR!$B$25</definedName>
    <definedName name="KobiKaliteOrta" hidden="0" function="0" vbProcedure="0">AYARLAR!$B$26</definedName>
    <definedName name="KobiKapanis" hidden="0" function="0" vbProcedure="0">HESAP!$B$17</definedName>
    <definedName name="KobiKotuSenaryo" hidden="0" function="0" vbProcedure="0">AYARLAR!$B$21</definedName>
    <definedName name="KobiKredi" hidden="0" function="0" vbProcedure="0">HESAP!$B$14</definedName>
    <definedName name="KobiMaas" hidden="0" function="0" vbProcedure="0">HESAP!$B$13</definedName>
    <definedName name="KobiNakitCikis" hidden="0" function="0" vbProcedure="0">HESAP!$B$15</definedName>
    <definedName name="KobiNakitGiris" hidden="0" function="0" vbProcedure="0">HESAP!$B$10</definedName>
    <definedName name="KobiNegatifKapanis" hidden="0" function="0" vbProcedure="0">HESAP!$B$21</definedName>
    <definedName name="KobiNetDegisim" hidden="0" function="0" vbProcedure="0">HESAP!$B$16</definedName>
    <definedName name="KobiOperasyon" hidden="0" function="0" vbProcedure="0">HESAP!$B$12</definedName>
    <definedName name="KobiP90Oran" hidden="0" function="0" vbProcedure="0">AYARLAR!$B$30</definedName>
    <definedName name="KobiPanelSatir1" hidden="0" function="0" vbProcedure="0">AYARLAR!$B$32</definedName>
    <definedName name="KobiPanelSatir10" hidden="0" function="0" vbProcedure="0">AYARLAR!$B$41</definedName>
    <definedName name="KobiPanelSatir11" hidden="0" function="0" vbProcedure="0">AYARLAR!$B$42</definedName>
    <definedName name="KobiPanelSatir12" hidden="0" function="0" vbProcedure="0">AYARLAR!$B$43</definedName>
    <definedName name="KobiPanelSatir2" hidden="0" function="0" vbProcedure="0">AYARLAR!$B$33</definedName>
    <definedName name="KobiPanelSatir3" hidden="0" function="0" vbProcedure="0">AYARLAR!$B$34</definedName>
    <definedName name="KobiPanelSatir4" hidden="0" function="0" vbProcedure="0">AYARLAR!$B$35</definedName>
    <definedName name="KobiPanelSatir5" hidden="0" function="0" vbProcedure="0">AYARLAR!$B$36</definedName>
    <definedName name="KobiPanelSatir6" hidden="0" function="0" vbProcedure="0">AYARLAR!$B$37</definedName>
    <definedName name="KobiPanelSatir7" hidden="0" function="0" vbProcedure="0">AYARLAR!$B$38</definedName>
    <definedName name="KobiPanelSatir8" hidden="0" function="0" vbProcedure="0">AYARLAR!$B$39</definedName>
    <definedName name="KobiPanelSatir9" hidden="0" function="0" vbProcedure="0">AYARLAR!$B$40</definedName>
    <definedName name="KobiRiskEsik" hidden="0" function="0" vbProcedure="0">AYARLAR!$B$14</definedName>
    <definedName name="KobiRiskSkorDusuk" hidden="0" function="0" vbProcedure="0">AYARLAR!$B$18</definedName>
    <definedName name="KobiRiskSkorMax" hidden="0" function="0" vbProcedure="0">AYARLAR!$B$15</definedName>
    <definedName name="KobiRiskSkorOrta" hidden="0" function="0" vbProcedure="0">AYARLAR!$B$17</definedName>
    <definedName name="KobiRiskSkoru" hidden="0" function="0" vbProcedure="0">HESAP!$B$19</definedName>
    <definedName name="KobiRiskSkorYuksek" hidden="0" function="0" vbProcedure="0">AYARLAR!$B$16</definedName>
    <definedName name="KobiStokAlis" hidden="0" function="0" vbProcedure="0">HESAP!$B$11</definedName>
    <definedName name="KobiTahminCarpan" hidden="0" function="0" vbProcedure="0">AYARLAR!$B$24</definedName>
    <definedName name="KobiTahminiKar" hidden="0" function="0" vbProcedure="0">HESAP!$B$18</definedName>
    <definedName name="KobiToplamBanka" hidden="0" function="0" vbProcedure="0">HESAP!$B$7</definedName>
    <definedName name="KobiToplamCari" hidden="0" function="0" vbProcedure="0">HESAP!$B$8</definedName>
    <definedName name="KobiToplamGiris" hidden="0" function="0" vbProcedure="0">KONTROLLER!$B$17</definedName>
    <definedName name="KobiToplamKasa" hidden="0" function="0" vbProcedure="0">HESAP!$B$6</definedName>
    <definedName name="KobiToplamPos" hidden="0" function="0" vbProcedure="0">HESAP!$B$9</definedName>
    <definedName name="KobiTornadoGider" hidden="0" function="0" vbProcedure="0">AYARLAR!$B$23</definedName>
    <definedName name="KobiTornadoTahsilat" hidden="0" function="0" vbProcedure="0">AYARLAR!$B$22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4NakitDonusum" hidden="0" function="0" vbProcedure="0">ANALITIK_MOTOR!$C$11</definedName>
    <definedName name="modulO4NakitDonusum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1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8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verileri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Kasa Tahsilat | Neden önemli: Konsolide nakdi gösterir | Doğru kullanım: Formüldür, değiştirilmez</t>
      </text>
    </comment>
    <comment ref="B7" authorId="0" shapeId="0">
      <text>
        <t>Tanım: Toplam Banka Tahsilat | Neden önemli: Konsolide nakdi gösterir | Doğru kullanım: Formüldür, değiştirilmez</t>
      </text>
    </comment>
    <comment ref="B8" authorId="0" shapeId="0">
      <text>
        <t>Tanım: Toplam Cari Tahsilat | Neden önemli: Konsolide nakdi gösterir | Doğru kullanım: Formüldür, değiştirilmez</t>
      </text>
    </comment>
    <comment ref="B9" authorId="0" shapeId="0">
      <text>
        <t>Tanım: Toplam POS Tahsilat | Neden önemli: Konsolide nakdi gösterir | Doğru kullanım: Formüldür, değiştirilmez</t>
      </text>
    </comment>
    <comment ref="B10" authorId="0" shapeId="0">
      <text>
        <t>Tanım: Toplam Nakit Giriş | Neden önemli: Konsolide nakdi gösterir | Doğru kullanım: Formüldür, değiştirilmez</t>
      </text>
    </comment>
    <comment ref="B11" authorId="0" shapeId="0">
      <text>
        <t>Tanım: Toplam Stok Alışı | Neden önemli: Konsolide nakdi gösterir | Doğru kullanım: Formüldür, değiştirilmez</t>
      </text>
    </comment>
    <comment ref="B12" authorId="0" shapeId="0">
      <text>
        <t>Tanım: Toplam Operasyon Gideri | Neden önemli: Konsolide nakdi gösterir | Doğru kullanım: Formüldür, değiştirilmez</t>
      </text>
    </comment>
    <comment ref="B13" authorId="0" shapeId="0">
      <text>
        <t>Tanım: Toplam Maaş | Neden önemli: Konsolide nakdi gösterir | Doğru kullanım: Formüldür, değiştirilmez</t>
      </text>
    </comment>
    <comment ref="B14" authorId="0" shapeId="0">
      <text>
        <t>Tanım: Toplam Kredi Taksidi | Neden önemli: Konsolide nakdi gösterir | Doğru kullanım: Formüldür, değiştirilmez</t>
      </text>
    </comment>
    <comment ref="B15" authorId="0" shapeId="0">
      <text>
        <t>Tanım: Toplam Nakit Çıkış | Neden önemli: Konsolide nakdi gösterir | Doğru kullanım: Formüldür, değiştirilmez</t>
      </text>
    </comment>
    <comment ref="B16" authorId="0" shapeId="0">
      <text>
        <t>Tanım: Toplam Net Nakit Değişimi | Neden önemli: Konsolide nakdi gösterir | Doğru kullanım: Formüldür, değiştirilmez</t>
      </text>
    </comment>
    <comment ref="B17" authorId="0" shapeId="0">
      <text>
        <t>Tanım: Dönem Sonu Kapanış Nakit | Neden önemli: Konsolide nakdi gösterir | Doğru kullanım: Formüldür, değiştirilmez</t>
      </text>
    </comment>
    <comment ref="B18" authorId="0" shapeId="0">
      <text>
        <t>Tanım: Toplam Tahmini Kâr | Neden önemli: Konsolide nakdi gösterir | Doğru kullanım: Formüldür, değiştirilmez</t>
      </text>
    </comment>
    <comment ref="B19" authorId="0" shapeId="0">
      <text>
        <t>Tanım: Ortalama Risk Skoru | Neden önemli: Konsolide nakdi gösterir | Doğru kullanım: Formüldür, değiştirilmez</t>
      </text>
    </comment>
    <comment ref="B20" authorId="0" shapeId="0">
      <text>
        <t>Tanım: En Düşük Kapanışlı Ay | Neden önemli: Konsolide nakdi gösterir | Doğru kullanım: Formüldür, değiştirilmez</t>
      </text>
    </comment>
    <comment ref="B21" authorId="0" shapeId="0">
      <text>
        <t>Tanım: Negatif Kapanış Ay Sayısı | Neden önemli: Konsolide nakdi gösterir | Doğru kullanım: Formüldür, değiştirilmez</t>
      </text>
    </comment>
    <comment ref="B22" authorId="0" shapeId="0">
      <text>
        <t>Tanım: Aylık Ortalama Nakit Giriş | Neden önemli: Ara hesap adımı | Doğru kullanım: Formüldür, değiştirilmez</t>
      </text>
    </comment>
    <comment ref="B23" authorId="0" shapeId="0">
      <text>
        <t>Tanım: Aylık Ortalama Nakit Çıkış | Neden önemli: Ara hesap adımı | Doğru kullanım: Formüldür, değiştirilmez</t>
      </text>
    </comment>
    <comment ref="B24" authorId="0" shapeId="0">
      <text>
        <t>Tanım: Ortalama Kapanış Nakit | Neden önemli: Ara hesap adımı | Doğru kullanım: Formüldür, değiştirilmez</t>
      </text>
    </comment>
    <comment ref="B25" authorId="0" shapeId="0">
      <text>
        <t>Tanım: En Yüksek Kapanış Nakit | Neden önemli: Ara hesap adımı | Doğru kullanım: Formüldür, değiştirilmez</t>
      </text>
    </comment>
    <comment ref="B26" authorId="0" shapeId="0">
      <text>
        <t>Tanım: En Düşük Kapanış Nakit | Neden önemli: Ara hesap adımı | Doğru kullanım: Formüldür, değiştirilmez</t>
      </text>
    </comment>
    <comment ref="B27" authorId="0" shapeId="0">
      <text>
        <t>Tanım: Kasa ve Banka Tahsilat Payı | Neden önemli: Ara hesap adımı | Doğru kullanım: Formüldür, değiştirilmez</t>
      </text>
    </comment>
    <comment ref="B28" authorId="0" shapeId="0">
      <text>
        <t>Tanım: Cari ve POS Tahsilat Payı | Neden önemli: Ara hesap adımı | Doğru kullanım: Formüldür, değiştirilmez</t>
      </text>
    </comment>
    <comment ref="B29" authorId="0" shapeId="0">
      <text>
        <t>Tanım: Giderin Gelire Oranı | Neden önemli: Ara hesap adımı | Doğru kullanım: Formüldür, değiştirilmez</t>
      </text>
    </comment>
    <comment ref="B30" authorId="0" shapeId="0">
      <text>
        <t>Tanım: Maaş Yükü Oranı | Neden önemli: Ara hesap adımı | Doğru kullanım: Formüldür, değiştirilmez</t>
      </text>
    </comment>
    <comment ref="B31" authorId="0" shapeId="0">
      <text>
        <t>Tanım: Stok Yükü Oranı | Neden önemli: Ara hesap adımı | Doğru kullanım: Formüldür, değiştirilmez</t>
      </text>
    </comment>
    <comment ref="B32" authorId="0" shapeId="0">
      <text>
        <t>Tanım: Kredi Yükü Oranı | Neden önemli: Ara hesap adımı | Doğru kullanım: Formüldür, değiştirilmez</t>
      </text>
    </comment>
    <comment ref="B33" authorId="0" shapeId="0">
      <text>
        <t>Tanım: Tahmini Kâr Marjı | Neden önemli: Ara hesap adımı | Doğru kullanım: Formüldür, değiştirilmez</t>
      </text>
    </comment>
    <comment ref="B34" authorId="0" shapeId="0">
      <text>
        <t>Tanım: Kapanış Sapması (STDEV) | Neden önemli: Ara hesap adımı | Doğru kullanım: Formüldür, değiştirilmez</t>
      </text>
    </comment>
    <comment ref="B35" authorId="0" shapeId="0">
      <text>
        <t>Tanım: Tahmin Alt Sınırı | Neden önemli: Ara hesap adımı | Doğru kullanım: Formüldür, değiştirilmez</t>
      </text>
    </comment>
    <comment ref="B36" authorId="0" shapeId="0">
      <text>
        <t>Tanım: Tahmin Üst Sınırı | Neden önemli: Ara hesap adımı | Doğru kullanım: Formüldür, değiştirilmez</t>
      </text>
    </comment>
    <comment ref="B37" authorId="0" shapeId="0">
      <text>
        <t>Tanım: Riski Yüksek Ay Sayısı | Neden önemli: Ara hesap adımı | Doğru kullanım: Formüldür, değiştirilmez</t>
      </text>
    </comment>
    <comment ref="B38" authorId="0" shapeId="0">
      <text>
        <t>Tanım: Toplam Dönem Sayısı | Neden önemli: Ara hesap adımı | Doğru kullanım: Formüldür, değiştirilmez</t>
      </text>
    </comment>
    <comment ref="B39" authorId="0" shapeId="0">
      <text>
        <t>Tanım: Nakit Tamponu (gün) | Neden önemli: Ara hesap adımı | Doğru kullanım: Formüldür, değiştirilmez</t>
      </text>
    </comment>
    <comment ref="B40" authorId="0" shapeId="0">
      <text>
        <t>Tanım: Nakit Akış Oranı | Neden önemli: Ara hesap adımı | Doğru kullanım: Formüldür, değiştirilmez</t>
      </text>
    </comment>
    <comment ref="B41" authorId="0" shapeId="0">
      <text>
        <t>Tanım: En İyi Net Değişim Ayı | Neden önemli: Ara hesap adımı | Doğru kullanım: Formüldür, değiştirilmez</t>
      </text>
    </comment>
    <comment ref="B42" authorId="0" shapeId="0">
      <text>
        <t>Tanım: En Zayıf Net Değişim Ayı | Neden önemli: Ara hesap adımı | Doğru kullanım: Formüldür, değiştirilmez</t>
      </text>
    </comment>
    <comment ref="B43" authorId="0" shapeId="0">
      <text>
        <t>Tanım: Ortalama Kasa Tahsilat | Neden önemli: Ara hesap adımı | Doğru kullanım: Formüldür, değiştirilmez</t>
      </text>
    </comment>
    <comment ref="B44" authorId="0" shapeId="0">
      <text>
        <t>Tanım: Ortalama Banka Tahsilat | Neden önemli: Ara hesap adımı | Doğru kullanım: Formüldür, değiştirilmez</t>
      </text>
    </comment>
    <comment ref="B45" authorId="0" shapeId="0">
      <text>
        <t>Tanım: Ortalama Cari Tahsilat | Neden önemli: Ara hesap adımı | Doğru kullanım: Formüldür, değiştirilmez</t>
      </text>
    </comment>
    <comment ref="B46" authorId="0" shapeId="0">
      <text>
        <t>Tanım: Ortalama POS Tahsilat | Neden önemli: Ara hesap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dönem satırı var mı? | Neden önemli: Giriş kalitesini ölçer | Doğru kullanım: Formüldür, değiştirilmez | Yanlışsa: Kırmızı = düzeltin</t>
      </text>
    </comment>
    <comment ref="B7" authorId="0" shapeId="0">
      <text>
        <t>Tanım: Boş kasa tahsilat var mı? | Neden önemli: Giriş kalitesini ölçer | Doğru kullanım: Formüldür, değiştirilmez | Yanlışsa: Kırmızı = düzeltin</t>
      </text>
    </comment>
    <comment ref="B8" authorId="0" shapeId="0">
      <text>
        <t>Tanım: Negatif tahsilat var mı? | Neden önemli: Giriş kalitesini ölçer | Doğru kullanım: Formüldür, değiştirilmez | Yanlışsa: Kırmızı = düzeltin</t>
      </text>
    </comment>
    <comment ref="B9" authorId="0" shapeId="0">
      <text>
        <t>Tanım: Negatif gider var mı? | Neden önemli: Giriş kalitesini ölçer | Doğru kullanım: Formüldür, değiştirilmez | Yanlışsa: Kırmızı = düzeltin</t>
      </text>
    </comment>
    <comment ref="B10" authorId="0" shapeId="0">
      <text>
        <t>Tanım: Negatif kapanış ayı var mı? | Neden önemli: Giriş kalitesini ölçer | Doğru kullanım: Formüldür, değiştirilmez | Yanlışsa: Kırmızı = düzeltin</t>
      </text>
    </comment>
    <comment ref="B11" authorId="0" shapeId="0">
      <text>
        <t>Tanım: Risk skoru eşiği aşılıyor mu? | Neden önemli: Giriş kalitesini ölçer | Doğru kullanım: Formüldür, değiştirilmez | Yanlışsa: Kırmızı = düzeltin</t>
      </text>
    </comment>
    <comment ref="B12" authorId="0" shapeId="0">
      <text>
        <t>Tanım: Net nakit değişimi pozitif mi? | Neden önemli: Giriş kalitesini ölçer | Doğru kullanım: Formüldür, değiştirilmez | Yanlışsa: Kırmızı = düzeltin</t>
      </text>
    </comment>
    <comment ref="B13" authorId="0" shapeId="0">
      <text>
        <t>Tanım: Kâr tahmini negatif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Dönem önerisi | Neden önemli: Açılır listeyi besler | Doğru kullanım: Yeni dönem için satır ekleyin</t>
      </text>
    </comment>
    <comment ref="A8" authorId="0" shapeId="0">
      <text>
        <t>Tanım: Dönem önerisi | Neden önemli: Açılır listeyi besler | Doğru kullanım: Yeni dönem için satır ekleyin</t>
      </text>
    </comment>
    <comment ref="A9" authorId="0" shapeId="0">
      <text>
        <t>Tanım: Dönem önerisi | Neden önemli: Açılır listeyi besler | Doğru kullanım: Yeni dönem için satır ekleyin</t>
      </text>
    </comment>
    <comment ref="A10" authorId="0" shapeId="0">
      <text>
        <t>Tanım: Dönem önerisi | Neden önemli: Açılır listeyi besler | Doğru kullanım: Yeni dönem için satır ekleyin</t>
      </text>
    </comment>
    <comment ref="A11" authorId="0" shapeId="0">
      <text>
        <t>Tanım: Dönem önerisi | Neden önemli: Açılır listeyi besler | Doğru kullanım: Yeni dönem için satır ekleyin</t>
      </text>
    </comment>
    <comment ref="A12" authorId="0" shapeId="0">
      <text>
        <t>Tanım: Dönem önerisi | Neden önemli: Açılır listeyi besler | Doğru kullanım: Yeni dönem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aylık grafiği besler | Doğru kullanım: Tablodaki satır sırasını girin</t>
      </text>
    </comment>
    <comment ref="B33" authorId="0" shapeId="0">
      <text>
        <t>Tanım: Panel satır numarası 2 | Neden önemli: PANO'daki aylık grafiği besler | Doğru kullanım: Tablodaki satır sırasını girin</t>
      </text>
    </comment>
    <comment ref="B34" authorId="0" shapeId="0">
      <text>
        <t>Tanım: Panel satır numarası 3 | Neden önemli: PANO'daki aylık grafiği besler | Doğru kullanım: Tablodaki satır sırasını girin</t>
      </text>
    </comment>
    <comment ref="B35" authorId="0" shapeId="0">
      <text>
        <t>Tanım: Panel satır numarası 4 | Neden önemli: PANO'daki aylık grafiği besler | Doğru kullanım: Tablodaki satır sırasını girin</t>
      </text>
    </comment>
    <comment ref="B36" authorId="0" shapeId="0">
      <text>
        <t>Tanım: Panel satır numarası 5 | Neden önemli: PANO'daki aylık grafiği besler | Doğru kullanım: Tablodaki satır sırasını girin</t>
      </text>
    </comment>
    <comment ref="B37" authorId="0" shapeId="0">
      <text>
        <t>Tanım: Panel satır numarası 6 | Neden önemli: PANO'daki aylık grafiği besler | Doğru kullanım: Tablodaki satır sırasını girin</t>
      </text>
    </comment>
    <comment ref="B38" authorId="0" shapeId="0">
      <text>
        <t>Tanım: Panel satır numarası 7 | Neden önemli: PANO'daki aylık grafiği besler | Doğru kullanım: Tablodaki satır sırasını girin</t>
      </text>
    </comment>
    <comment ref="B39" authorId="0" shapeId="0">
      <text>
        <t>Tanım: Panel satır numarası 8 | Neden önemli: PANO'daki aylık grafiği besler | Doğru kullanım: Tablodaki satır sırasını girin</t>
      </text>
    </comment>
    <comment ref="B40" authorId="0" shapeId="0">
      <text>
        <t>Tanım: Panel satır numarası 9 | Neden önemli: PANO'daki aylık grafiği besler | Doğru kullanım: Tablodaki satır sırasını girin</t>
      </text>
    </comment>
    <comment ref="B41" authorId="0" shapeId="0">
      <text>
        <t>Tanım: Panel satır numarası 10 | Neden önemli: PANO'daki aylık grafiği besler | Doğru kullanım: Tablodaki satır sırasını girin</t>
      </text>
    </comment>
    <comment ref="B42" authorId="0" shapeId="0">
      <text>
        <t>Tanım: Panel satır numarası 11 | Neden önemli: PANO'daki aylık grafiği besler | Doğru kullanım: Tablodaki satır sırasını girin</t>
      </text>
    </comment>
    <comment ref="B43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obi" displayName="tblKobi" ref="A5:N1004" headerRowCount="1" totalsRowCount="0" totalsRowShown="0">
  <tableColumns count="14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1" name="Kapanış Nakit (₺)">
      <calculatedColumnFormula>=KobiBaslangicNakit+SUM(tblKobi[[#Headers],[Net Nakit Değişimi (₺)]]:tblKobi[[#This Row],[Net Nakit Değişimi (₺)]])</calculatedColumnFormula>
    </tableColumn>
    <tableColumn id="12" name="Tahmini Kâr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3" name="Risk Skoru">
      <calculatedColumnFormula>=IF(tblKobi[[#This Row],[Kapanış Nakit (₺)]]=0,KobiRiskSkorMax,IF(tblKobi[[#This Row],[Kapanış Nakit (₺)]]&lt;KobiAsgariNakit,KobiRiskSkorYuksek,IF(tblKobi[[#This Row],[Kapanış Nakit (₺)]]&lt;KobiHedefNakit,KobiRiskSkorOrta,KobiRiskSkorDusuk)))</calculatedColumnFormula>
    </tableColumn>
    <tableColumn id="14" name="Not"/>
  </tableColumns>
</table>
</file>

<file path=xl/tables/table2.xml><?xml version="1.0" encoding="utf-8"?>
<table xmlns="http://schemas.openxmlformats.org/spreadsheetml/2006/main" id="2" name="tblOrnek" displayName="tblOrnek" ref="A5:K1004" headerRowCount="1" totalsRowCount="0" totalsRowShown="0">
  <tableColumns count="11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=tblOrnek[[#This Row],[Kasa Tahsilat (₺)]]+tblOrnek[[#This Row],[Banka Tahsilat (₺)]]+tblOrnek[[#This Row],[Cari Tahsilat (₺)]]+tblOrnek[[#This Row],[POS Tahsilat (₺)]]-tblOrnek[[#This Row],[Stok Alışı (₺)]]-tblOrnek[[#This Row],[Operasyon Gideri (₺)]]-tblOrnek[[#This Row],[Maaş (₺)]]-tblOrnek[[#This Row],[Kredi Taksidi (₺)]]</calculatedColumnFormula>
    </tableColumn>
    <tableColumn id="11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18" customWidth="1" style="74" min="2" max="2"/>
    <col width="15" customWidth="1" style="74" min="3" max="3"/>
    <col width="12" customWidth="1" style="74" min="4" max="4"/>
    <col width="16" customWidth="1" style="74" min="5" max="5"/>
    <col width="18" customWidth="1" style="74" min="6" max="6"/>
    <col width="6" customWidth="1" style="74" min="7" max="7"/>
    <col width="24" customWidth="1" style="74" min="8" max="8"/>
    <col width="15" customWidth="1" style="74" min="9" max="9"/>
    <col width="14" customWidth="1" style="74" min="10" max="10"/>
    <col width="12" customWidth="1" style="74" min="11" max="11"/>
    <col width="18" customWidth="1" style="74" min="12" max="12"/>
    <col width="18" customWidth="1" style="74" min="13" max="13"/>
  </cols>
  <sheetData>
    <row r="2">
      <c r="B2" s="167" t="inlineStr">
        <is>
          <t>KOBI FINANS YONETIM PAKETI — YÖNETİM VE KARAR SİSTEMİ</t>
        </is>
      </c>
      <c r="L2" s="168" t="inlineStr">
        <is>
          <t>Dönem: 2026 / Tam ▼</t>
        </is>
      </c>
      <c r="M2" s="169" t="inlineStr">
        <is>
          <t>★ DOĞRULANMIŞ</t>
        </is>
      </c>
    </row>
    <row r="3">
      <c r="B3" s="170" t="inlineStr">
        <is>
          <t>Yönetici Karar Kokpiti, Otomatik Doğrulama ve Dinamik Hesaplama Sistemi · 2026</t>
        </is>
      </c>
    </row>
    <row r="5">
      <c r="B5" s="171" t="inlineStr">
        <is>
          <t>TOPLAM İŞLEM HACMİ</t>
        </is>
      </c>
      <c r="C5" s="172" t="n"/>
      <c r="D5" s="173" t="inlineStr">
        <is>
          <t>DOĞRULANMIŞ</t>
        </is>
      </c>
      <c r="E5" s="174" t="inlineStr">
        <is>
          <t>RİSKLİ / BEKLEYEN İŞLEM</t>
        </is>
      </c>
      <c r="F5" s="172" t="n"/>
      <c r="G5" s="175" t="inlineStr">
        <is>
          <t>MİNİMUM</t>
        </is>
      </c>
      <c r="H5" s="171" t="inlineStr">
        <is>
          <t>OPERASYONEL NET MARJ</t>
        </is>
      </c>
      <c r="I5" s="172" t="n"/>
      <c r="J5" s="176" t="inlineStr">
        <is>
          <t>GÜVENLİ</t>
        </is>
      </c>
      <c r="K5" s="177" t="inlineStr">
        <is>
          <t>SİSTEM GÜVEN SKORU</t>
        </is>
      </c>
      <c r="L5" s="172" t="n"/>
      <c r="M5" s="173" t="inlineStr">
        <is>
          <t>DENETLENDİ</t>
        </is>
      </c>
    </row>
    <row r="6">
      <c r="B6" s="178" t="n"/>
      <c r="C6" s="172" t="n"/>
      <c r="D6" s="172" t="n"/>
      <c r="E6" s="179" t="n"/>
      <c r="F6" s="172" t="n"/>
      <c r="G6" s="172" t="n"/>
      <c r="H6" s="178" t="n"/>
      <c r="I6" s="172" t="n"/>
      <c r="J6" s="172" t="n"/>
      <c r="K6" s="180" t="n"/>
      <c r="L6" s="172" t="n"/>
      <c r="M6" s="172" t="n"/>
    </row>
    <row r="7">
      <c r="B7" s="181" t="inlineStr">
        <is>
          <t>₺28.450.000</t>
        </is>
      </c>
      <c r="C7" s="172" t="n"/>
      <c r="D7" s="172" t="n"/>
      <c r="E7" s="182" t="inlineStr">
        <is>
          <t>₺940.000</t>
        </is>
      </c>
      <c r="F7" s="172" t="n"/>
      <c r="G7" s="172" t="n"/>
      <c r="H7" s="181" t="inlineStr">
        <is>
          <t>₺8.120.000</t>
        </is>
      </c>
      <c r="I7" s="172" t="n"/>
      <c r="J7" s="172" t="n"/>
      <c r="K7" s="183" t="inlineStr">
        <is>
          <t>98/100</t>
        </is>
      </c>
      <c r="L7" s="172" t="n"/>
      <c r="M7" s="172" t="n"/>
    </row>
    <row r="8">
      <c r="B8" s="178" t="n"/>
      <c r="C8" s="172" t="n"/>
      <c r="D8" s="172" t="n"/>
      <c r="E8" s="179" t="n"/>
      <c r="F8" s="172" t="n"/>
      <c r="G8" s="172" t="n"/>
      <c r="H8" s="178" t="n"/>
      <c r="I8" s="172" t="n"/>
      <c r="J8" s="172" t="n"/>
      <c r="K8" s="180" t="n"/>
      <c r="L8" s="172" t="n"/>
      <c r="M8" s="172" t="n"/>
    </row>
    <row r="9">
      <c r="B9" s="184" t="inlineStr">
        <is>
          <t>↑ Konsolide yıllıklandırılmış büyüme</t>
        </is>
      </c>
      <c r="C9" s="172" t="n"/>
      <c r="D9" s="172" t="n"/>
      <c r="E9" s="185" t="inlineStr">
        <is>
          <t>● Tüm riskli kayıtlar kontrol altında</t>
        </is>
      </c>
      <c r="F9" s="172" t="n"/>
      <c r="G9" s="172" t="n"/>
      <c r="H9" s="184" t="inlineStr">
        <is>
          <t>██████████░░░░░ %28.5 NET MARJ</t>
        </is>
      </c>
      <c r="I9" s="172" t="n"/>
      <c r="J9" s="172" t="n"/>
      <c r="K9" s="186" t="inlineStr">
        <is>
          <t>✓ 0 Formül ve Döngüsel Hata</t>
        </is>
      </c>
      <c r="L9" s="172" t="n"/>
      <c r="M9" s="172" t="n"/>
    </row>
    <row r="11">
      <c r="B11" s="98" t="inlineStr">
        <is>
          <t>12 AYLIK NAKİT GİRİŞ / ÇIKIŞ &amp; LİKİDİTE BAŞARIMI</t>
        </is>
      </c>
      <c r="F11" s="187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Tahsilat vs. Tedarikçi/Kredi Ödeme Projeksiyonu</t>
        </is>
      </c>
      <c r="H12" s="97" t="inlineStr">
        <is>
          <t>Anlık Hesaplama Sonuçları, Dinamik Formül Çıktıları ve Durum Puanlaması</t>
        </is>
      </c>
    </row>
    <row r="14">
      <c r="B14" s="188" t="inlineStr">
        <is>
          <t>Dönem</t>
        </is>
      </c>
      <c r="C14" s="188" t="inlineStr">
        <is>
          <t>Aktif Hacim</t>
        </is>
      </c>
      <c r="D14" s="188" t="inlineStr">
        <is>
          <t>Maliyet/Yük</t>
        </is>
      </c>
      <c r="E14" s="188" t="inlineStr">
        <is>
          <t>Hedef</t>
        </is>
      </c>
      <c r="H14" s="189" t="inlineStr">
        <is>
          <t>PARAMETRE / KALEM</t>
        </is>
      </c>
      <c r="I14" s="189" t="inlineStr">
        <is>
          <t>ANA TUTAR</t>
        </is>
      </c>
      <c r="J14" s="189" t="inlineStr">
        <is>
          <t>FARK / MARJ</t>
        </is>
      </c>
      <c r="K14" s="189" t="inlineStr">
        <is>
          <t>VADE</t>
        </is>
      </c>
      <c r="L14" s="189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90" t="inlineStr">
        <is>
          <t>13 haftalık kümülatif bakiye...</t>
        </is>
      </c>
      <c r="I15" s="190" t="inlineStr">
        <is>
          <t>₺8.450.000</t>
        </is>
      </c>
      <c r="J15" s="191" t="inlineStr">
        <is>
          <t>₺425.000</t>
        </is>
      </c>
      <c r="K15" s="192" t="inlineStr">
        <is>
          <t>12 Ay</t>
        </is>
      </c>
      <c r="L15" s="176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90" t="inlineStr">
        <is>
          <t>Kritik (eksi) hafta uyarısı</t>
        </is>
      </c>
      <c r="I16" s="190" t="inlineStr">
        <is>
          <t>₺12.200.000</t>
        </is>
      </c>
      <c r="J16" s="191" t="inlineStr">
        <is>
          <t>₺580.400</t>
        </is>
      </c>
      <c r="K16" s="192" t="inlineStr">
        <is>
          <t>24 Ay</t>
        </is>
      </c>
      <c r="L16" s="173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90" t="inlineStr">
        <is>
          <t>Dönem net nakit değişimi</t>
        </is>
      </c>
      <c r="I17" s="190" t="inlineStr">
        <is>
          <t>₺4.850.000</t>
        </is>
      </c>
      <c r="J17" s="191" t="inlineStr">
        <is>
          <t>₺235.200</t>
        </is>
      </c>
      <c r="K17" s="192" t="inlineStr">
        <is>
          <t>8 Ay</t>
        </is>
      </c>
      <c r="L17" s="193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90" t="inlineStr">
        <is>
          <t>13 haftalık kümülatif bakiye...</t>
        </is>
      </c>
      <c r="I18" s="190" t="inlineStr">
        <is>
          <t>₺2.140.000</t>
        </is>
      </c>
      <c r="J18" s="191" t="inlineStr">
        <is>
          <t>₺118.000</t>
        </is>
      </c>
      <c r="K18" s="192" t="inlineStr">
        <is>
          <t>16 Ay</t>
        </is>
      </c>
      <c r="L18" s="176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94" t="inlineStr">
        <is>
          <t>KONSOLİDE SİSTEM TOPLAMI</t>
        </is>
      </c>
      <c r="I19" s="195" t="inlineStr">
        <is>
          <t>₺42.850.000</t>
        </is>
      </c>
      <c r="J19" s="196" t="inlineStr">
        <is>
          <t>₺3.420.000</t>
        </is>
      </c>
      <c r="K19" s="197" t="inlineStr"/>
      <c r="L19" s="198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2">
      <c r="B22" s="199" t="inlineStr">
        <is>
          <t>KONSOLİDE PAY VE AĞIRLIK</t>
        </is>
      </c>
      <c r="F22" s="199" t="inlineStr">
        <is>
          <t>LİKİDİTE RİSKİ &amp; ERKEN UYARI SİNYALLERİ</t>
        </is>
      </c>
      <c r="K22" s="200" t="inlineStr">
        <is>
          <t>KARAR MOTORU</t>
        </is>
      </c>
      <c r="L22" s="201" t="n"/>
      <c r="M22" s="201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202" t="inlineStr">
        <is>
          <t>0.00 TL (Sıfır Risk)</t>
        </is>
      </c>
      <c r="K23" s="203" t="inlineStr">
        <is>
          <t>OPERASYONEL VERİMLİLİK FIRSATI</t>
        </is>
      </c>
      <c r="L23" s="201" t="n"/>
      <c r="M23" s="201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202" t="inlineStr">
        <is>
          <t>48 Gün Güvenli Eşik</t>
        </is>
      </c>
      <c r="K24" s="204" t="inlineStr">
        <is>
          <t>Süreç optimizasyonuyla birim operasyonel maliyeti düşürme potansiyeli mevcuttur.</t>
        </is>
      </c>
    </row>
    <row r="25">
      <c r="B25" s="205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206" t="inlineStr">
        <is>
          <t>■ Rezervler (%13)</t>
        </is>
      </c>
      <c r="F26" s="207" t="inlineStr">
        <is>
          <t>✓ 90 GÜNLÜK PROJEKSİYONDA NAKİT SIKIŞIKLIĞI TESPİT EDİLMEDİ</t>
        </is>
      </c>
      <c r="K26" s="2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14" customWidth="1" style="74" min="2" max="2"/>
    <col width="16" customWidth="1" style="74" min="3" max="3"/>
    <col width="32" customWidth="1" style="74" min="4" max="4"/>
    <col width="18" customWidth="1" style="74" min="5" max="5"/>
    <col width="12" customWidth="1" style="74" min="6" max="6"/>
    <col width="18" customWidth="1" style="74" min="7" max="7"/>
    <col width="22" customWidth="1" style="74" min="8" max="8"/>
    <col width="16" customWidth="1" style="74" min="9" max="9"/>
  </cols>
  <sheetData>
    <row r="3">
      <c r="B3" s="209" t="inlineStr">
        <is>
          <t>🔍  Kayıt veya hesap ara...</t>
        </is>
      </c>
      <c r="G3" s="210" t="inlineStr">
        <is>
          <t>TOPLAM: 1.450 KAYIT</t>
        </is>
      </c>
      <c r="I3" s="211" t="inlineStr">
        <is>
          <t>HATALI HÜCRE: 0 ADET</t>
        </is>
      </c>
    </row>
    <row r="5">
      <c r="B5" s="212" t="inlineStr">
        <is>
          <t>TARİH</t>
        </is>
      </c>
      <c r="C5" s="212" t="inlineStr">
        <is>
          <t>REFERANS NO</t>
        </is>
      </c>
      <c r="D5" s="212" t="inlineStr">
        <is>
          <t>İŞLEM AÇIKLAMASI VE DETAY</t>
        </is>
      </c>
      <c r="E5" s="212" t="inlineStr">
        <is>
          <t>BRÜT TUTAR (₺)</t>
        </is>
      </c>
      <c r="F5" s="212" t="inlineStr">
        <is>
          <t>KDV ORANI</t>
        </is>
      </c>
      <c r="G5" s="212" t="inlineStr">
        <is>
          <t>NET TUTAR (₺)</t>
        </is>
      </c>
      <c r="H5" s="212" t="inlineStr">
        <is>
          <t>HESAP / CARİ</t>
        </is>
      </c>
      <c r="I5" s="212" t="inlineStr">
        <is>
          <t>DURUM</t>
        </is>
      </c>
    </row>
    <row r="6">
      <c r="B6" s="213" t="inlineStr">
        <is>
          <t>12.10.2026</t>
        </is>
      </c>
      <c r="C6" s="214" t="inlineStr">
        <is>
          <t>TR-0428-A</t>
        </is>
      </c>
      <c r="D6" s="215" t="inlineStr">
        <is>
          <t>Haftalık nakit girişi tahmini</t>
        </is>
      </c>
      <c r="E6" s="216" t="n">
        <v>845200</v>
      </c>
      <c r="F6" s="217" t="n">
        <v>0.2</v>
      </c>
      <c r="G6" s="218">
        <f>E6/(1+F6)</f>
        <v/>
      </c>
      <c r="H6" s="215" t="inlineStr">
        <is>
          <t>Vadesiz Ticari</t>
        </is>
      </c>
      <c r="I6" s="219" t="inlineStr">
        <is>
          <t>ONAYLANDI</t>
        </is>
      </c>
    </row>
    <row r="7">
      <c r="B7" s="220" t="inlineStr">
        <is>
          <t>14.10.2026</t>
        </is>
      </c>
      <c r="C7" s="221" t="inlineStr">
        <is>
          <t>TR-0429-B</t>
        </is>
      </c>
      <c r="D7" s="222" t="inlineStr">
        <is>
          <t>Haftalık nakit çıkışı tahmini</t>
        </is>
      </c>
      <c r="E7" s="223" t="n">
        <v>1240000</v>
      </c>
      <c r="F7" s="224" t="n">
        <v>0.2</v>
      </c>
      <c r="G7" s="225">
        <f>E7/(1+F7)</f>
        <v/>
      </c>
      <c r="H7" s="222" t="inlineStr">
        <is>
          <t>Tedarikçi Havuzu</t>
        </is>
      </c>
      <c r="I7" s="226" t="inlineStr">
        <is>
          <t>BEKLEMEDE</t>
        </is>
      </c>
    </row>
    <row r="8">
      <c r="B8" s="213" t="inlineStr">
        <is>
          <t>18.10.2026</t>
        </is>
      </c>
      <c r="C8" s="214" t="inlineStr">
        <is>
          <t>TR-0430-C</t>
        </is>
      </c>
      <c r="D8" s="215" t="inlineStr">
        <is>
          <t>Ödeme takvimi notları</t>
        </is>
      </c>
      <c r="E8" s="216" t="n">
        <v>620500</v>
      </c>
      <c r="F8" s="217" t="n">
        <v>0.1</v>
      </c>
      <c r="G8" s="218">
        <f>E8/(1+F8)</f>
        <v/>
      </c>
      <c r="H8" s="215" t="inlineStr">
        <is>
          <t>Kısa Vade Tahakkuk</t>
        </is>
      </c>
      <c r="I8" s="219" t="inlineStr">
        <is>
          <t>ONAYLANDI</t>
        </is>
      </c>
    </row>
    <row r="9">
      <c r="B9" s="220" t="inlineStr">
        <is>
          <t>21.10.2026</t>
        </is>
      </c>
      <c r="C9" s="221" t="inlineStr">
        <is>
          <t>TR-0431-D</t>
        </is>
      </c>
      <c r="D9" s="222" t="inlineStr">
        <is>
          <t>Haftalık nakit girişi tahmini</t>
        </is>
      </c>
      <c r="E9" s="223" t="n">
        <v>415000</v>
      </c>
      <c r="F9" s="224" t="n">
        <v>0.2</v>
      </c>
      <c r="G9" s="225">
        <f>E9/(1+F9)</f>
        <v/>
      </c>
      <c r="H9" s="222" t="inlineStr">
        <is>
          <t>Müşteri Alacağı</t>
        </is>
      </c>
      <c r="I9" s="227" t="inlineStr">
        <is>
          <t>ONAYLANDI</t>
        </is>
      </c>
    </row>
    <row r="10">
      <c r="B10" s="213" t="inlineStr">
        <is>
          <t>25.10.2026</t>
        </is>
      </c>
      <c r="C10" s="214" t="inlineStr">
        <is>
          <t>TR-0432-E</t>
        </is>
      </c>
      <c r="D10" s="215" t="inlineStr">
        <is>
          <t>Haftalık nakit girişi tahmini</t>
        </is>
      </c>
      <c r="E10" s="216" t="n">
        <v>980400</v>
      </c>
      <c r="F10" s="217" t="n">
        <v>0.2</v>
      </c>
      <c r="G10" s="218">
        <f>E10/(1+F10)</f>
        <v/>
      </c>
      <c r="H10" s="215" t="inlineStr">
        <is>
          <t>Vadesiz Ticari</t>
        </is>
      </c>
      <c r="I10" s="219" t="inlineStr">
        <is>
          <t>ONAYLANDI</t>
        </is>
      </c>
    </row>
    <row r="11">
      <c r="B11" s="220" t="inlineStr">
        <is>
          <t>28.10.2026</t>
        </is>
      </c>
      <c r="C11" s="221" t="inlineStr">
        <is>
          <t>TR-0433-F</t>
        </is>
      </c>
      <c r="D11" s="222" t="inlineStr">
        <is>
          <t>Haftalık nakit çıkışı tahmini</t>
        </is>
      </c>
      <c r="E11" s="223" t="n">
        <v>1850000</v>
      </c>
      <c r="F11" s="224" t="n">
        <v>0.2</v>
      </c>
      <c r="G11" s="225">
        <f>E11/(1+F11)</f>
        <v/>
      </c>
      <c r="H11" s="222" t="inlineStr">
        <is>
          <t>Banka Kredi Taksiti</t>
        </is>
      </c>
      <c r="I11" s="228" t="inlineStr">
        <is>
          <t>BLOKE</t>
        </is>
      </c>
    </row>
    <row r="12">
      <c r="B12" s="213" t="inlineStr">
        <is>
          <t>02.11.2026</t>
        </is>
      </c>
      <c r="C12" s="214" t="inlineStr">
        <is>
          <t>TR-0434-G</t>
        </is>
      </c>
      <c r="D12" s="215" t="inlineStr">
        <is>
          <t>Ödeme takvimi notları</t>
        </is>
      </c>
      <c r="E12" s="216" t="n">
        <v>740000</v>
      </c>
      <c r="F12" s="217" t="n">
        <v>0.2</v>
      </c>
      <c r="G12" s="218">
        <f>E12/(1+F12)</f>
        <v/>
      </c>
      <c r="H12" s="215" t="inlineStr">
        <is>
          <t>Kira &amp; Sabit Gider</t>
        </is>
      </c>
      <c r="I12" s="219" t="inlineStr">
        <is>
          <t>ONAYLANDI</t>
        </is>
      </c>
    </row>
    <row r="13">
      <c r="B13" s="220" t="inlineStr">
        <is>
          <t>05.11.2026</t>
        </is>
      </c>
      <c r="C13" s="221" t="inlineStr">
        <is>
          <t>TR-0435-H</t>
        </is>
      </c>
      <c r="D13" s="222" t="inlineStr">
        <is>
          <t>Haftalık nakit girişi tahmini</t>
        </is>
      </c>
      <c r="E13" s="223" t="n">
        <v>520800</v>
      </c>
      <c r="F13" s="224" t="n">
        <v>0.2</v>
      </c>
      <c r="G13" s="225">
        <f>E13/(1+F13)</f>
        <v/>
      </c>
      <c r="H13" s="222" t="inlineStr">
        <is>
          <t>Vadesiz Ticari</t>
        </is>
      </c>
      <c r="I13" s="227" t="inlineStr">
        <is>
          <t>ONAYLANDI</t>
        </is>
      </c>
    </row>
    <row r="14">
      <c r="B14" s="213" t="inlineStr">
        <is>
          <t>09.11.2026</t>
        </is>
      </c>
      <c r="C14" s="214" t="inlineStr">
        <is>
          <t>TR-0436-I</t>
        </is>
      </c>
      <c r="D14" s="215" t="inlineStr">
        <is>
          <t>Haftalık nakit girişi tahmini</t>
        </is>
      </c>
      <c r="E14" s="216" t="n">
        <v>1120000</v>
      </c>
      <c r="F14" s="217" t="n">
        <v>0.2</v>
      </c>
      <c r="G14" s="218">
        <f>E14/(1+F14)</f>
        <v/>
      </c>
      <c r="H14" s="215" t="inlineStr">
        <is>
          <t>Müşteri Alacağı</t>
        </is>
      </c>
      <c r="I14" s="219" t="inlineStr">
        <is>
          <t>ONAYLANDI</t>
        </is>
      </c>
    </row>
    <row r="15">
      <c r="B15" s="220" t="inlineStr">
        <is>
          <t>12.11.2026</t>
        </is>
      </c>
      <c r="C15" s="221" t="inlineStr">
        <is>
          <t>TR-0437-J</t>
        </is>
      </c>
      <c r="D15" s="222" t="inlineStr">
        <is>
          <t>Haftalık nakit çıkışı tahmini</t>
        </is>
      </c>
      <c r="E15" s="223" t="n">
        <v>890000</v>
      </c>
      <c r="F15" s="224" t="n">
        <v>0.2</v>
      </c>
      <c r="G15" s="225">
        <f>E15/(1+F15)</f>
        <v/>
      </c>
      <c r="H15" s="222" t="inlineStr">
        <is>
          <t>Tedarikçi Havuzu</t>
        </is>
      </c>
      <c r="I15" s="227" t="inlineStr">
        <is>
          <t>ONAYLANDI</t>
        </is>
      </c>
    </row>
    <row r="17">
      <c r="B17" s="229" t="inlineStr">
        <is>
          <t>SAYFA TOPLAMI (10 / 1.450 KAYIT)</t>
        </is>
      </c>
      <c r="C17" s="197" t="n"/>
      <c r="D17" s="197" t="n"/>
      <c r="E17" s="230">
        <f>TOPLA(E6:E15)</f>
        <v/>
      </c>
      <c r="F17" s="197" t="n"/>
      <c r="G17" s="197" t="n"/>
      <c r="H17" s="197" t="n"/>
      <c r="I17" s="1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24" customWidth="1" style="74" min="2" max="2"/>
    <col width="15" customWidth="1" style="74" min="3" max="3"/>
    <col width="15" customWidth="1" style="74" min="4" max="4"/>
    <col width="22" customWidth="1" style="74" min="5" max="5"/>
    <col width="6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22" customWidth="1" style="74" min="11" max="11"/>
    <col width="6" customWidth="1" style="74" min="12" max="12"/>
  </cols>
  <sheetData>
    <row r="2">
      <c r="B2" s="231" t="inlineStr">
        <is>
          <t>KOBI FINANS YONETIM PAKETI — YÖNETİM VE KARAR SİSTEMİ — NİHAİ KARAR VE DEĞERLEME</t>
        </is>
      </c>
    </row>
    <row r="3">
      <c r="B3" s="232" t="inlineStr">
        <is>
          <t>Yönetim Kurulu ve İcra Komitesi için Otomatik Türetilen Finansal Stres Testi Raporu</t>
        </is>
      </c>
    </row>
    <row r="4">
      <c r="B4" s="233" t="inlineStr">
        <is>
          <t>DÖNEM: 2026 Q3 · DENETİM PROTOKOLÜ: ISO/VUK/IFRS UYUMLU · DURUM: ONAYLANDI</t>
        </is>
      </c>
    </row>
    <row r="6">
      <c r="B6" s="234" t="inlineStr">
        <is>
          <t>SENARYO A: KÖTÜMSER (STRES TESTİ -%20)</t>
        </is>
      </c>
      <c r="C6" s="172" t="n"/>
      <c r="D6" s="172" t="n"/>
      <c r="E6" s="172" t="n"/>
      <c r="F6" s="172" t="n"/>
      <c r="H6" s="235" t="inlineStr">
        <is>
          <t>SENARYO B: BAZ MODEL (HEDEFLENEN)</t>
        </is>
      </c>
      <c r="I6" s="172" t="n"/>
      <c r="J6" s="172" t="n"/>
      <c r="K6" s="172" t="n"/>
      <c r="L6" s="172" t="n"/>
    </row>
    <row r="7">
      <c r="B7" s="172" t="n"/>
      <c r="C7" s="172" t="n"/>
      <c r="D7" s="172" t="n"/>
      <c r="E7" s="172" t="n"/>
      <c r="F7" s="172" t="n"/>
      <c r="H7" s="172" t="n"/>
      <c r="I7" s="172" t="n"/>
      <c r="J7" s="172" t="n"/>
      <c r="K7" s="172" t="n"/>
      <c r="L7" s="172" t="n"/>
    </row>
    <row r="8">
      <c r="B8" s="236" t="inlineStr">
        <is>
          <t>Ciro / Hacim Düşüşü:</t>
        </is>
      </c>
      <c r="C8" s="172" t="n"/>
      <c r="D8" s="172" t="n"/>
      <c r="E8" s="237" t="inlineStr">
        <is>
          <t>-%20.0 (Kriz Eşiği)</t>
        </is>
      </c>
      <c r="F8" s="172" t="n"/>
      <c r="H8" s="236" t="inlineStr">
        <is>
          <t>Ciro / Hacim Gerçekleşmesi:</t>
        </is>
      </c>
      <c r="I8" s="172" t="n"/>
      <c r="J8" s="172" t="n"/>
      <c r="K8" s="238" t="inlineStr">
        <is>
          <t>%100.0 (Tam Bütçe)</t>
        </is>
      </c>
      <c r="L8" s="172" t="n"/>
    </row>
    <row r="9">
      <c r="B9" s="236" t="inlineStr">
        <is>
          <t>Beklenen Net Kâr / Getiri:</t>
        </is>
      </c>
      <c r="C9" s="172" t="n"/>
      <c r="D9" s="172" t="n"/>
      <c r="E9" s="239" t="inlineStr">
        <is>
          <t>₺4.280.000</t>
        </is>
      </c>
      <c r="F9" s="172" t="n"/>
      <c r="H9" s="236" t="inlineStr">
        <is>
          <t>Beklenen Net Kâr / Getiri:</t>
        </is>
      </c>
      <c r="I9" s="172" t="n"/>
      <c r="J9" s="172" t="n"/>
      <c r="K9" s="239" t="inlineStr">
        <is>
          <t>₺12.450.000</t>
        </is>
      </c>
      <c r="L9" s="172" t="n"/>
    </row>
    <row r="10">
      <c r="B10" s="236" t="inlineStr">
        <is>
          <t>Minimum Nakit Tamponu:</t>
        </is>
      </c>
      <c r="C10" s="172" t="n"/>
      <c r="D10" s="172" t="n"/>
      <c r="E10" s="240" t="inlineStr">
        <is>
          <t>₺1.850.000 (Yeterli)</t>
        </is>
      </c>
      <c r="F10" s="172" t="n"/>
      <c r="H10" s="236" t="inlineStr">
        <is>
          <t>Serbest Nakit Akımı:</t>
        </is>
      </c>
      <c r="I10" s="172" t="n"/>
      <c r="J10" s="172" t="n"/>
      <c r="K10" s="240" t="inlineStr">
        <is>
          <t>₺8.240.000</t>
        </is>
      </c>
      <c r="L10" s="172" t="n"/>
    </row>
    <row r="11">
      <c r="B11" s="236" t="inlineStr">
        <is>
          <t>Likidite Karşılama Oranı:</t>
        </is>
      </c>
      <c r="C11" s="172" t="n"/>
      <c r="D11" s="172" t="n"/>
      <c r="E11" s="240" t="inlineStr">
        <is>
          <t>1.28x (Eşik: 1.10x)</t>
        </is>
      </c>
      <c r="F11" s="172" t="n"/>
      <c r="H11" s="236" t="inlineStr">
        <is>
          <t>Yatırım Geri Dönüşü (ROI):</t>
        </is>
      </c>
      <c r="I11" s="172" t="n"/>
      <c r="J11" s="172" t="n"/>
      <c r="K11" s="240" t="inlineStr">
        <is>
          <t>%38.4 Yıllık</t>
        </is>
      </c>
      <c r="L11" s="172" t="n"/>
    </row>
    <row r="12">
      <c r="B12" s="172" t="n"/>
      <c r="C12" s="172" t="n"/>
      <c r="D12" s="172" t="n"/>
      <c r="E12" s="172" t="n"/>
      <c r="F12" s="172" t="n"/>
      <c r="H12" s="172" t="n"/>
      <c r="I12" s="172" t="n"/>
      <c r="J12" s="172" t="n"/>
      <c r="K12" s="172" t="n"/>
      <c r="L12" s="172" t="n"/>
    </row>
    <row r="13">
      <c r="B13" s="172" t="n"/>
      <c r="C13" s="172" t="n"/>
      <c r="D13" s="172" t="n"/>
      <c r="E13" s="172" t="n"/>
      <c r="F13" s="172" t="n"/>
      <c r="H13" s="172" t="n"/>
      <c r="I13" s="172" t="n"/>
      <c r="J13" s="172" t="n"/>
      <c r="K13" s="172" t="n"/>
      <c r="L13" s="172" t="n"/>
    </row>
    <row r="14">
      <c r="B14" s="241" t="inlineStr">
        <is>
          <t>STRES SENARYOSUNDA DAHİ İFLAS RİSKİ YOK</t>
        </is>
      </c>
      <c r="C14" s="172" t="n"/>
      <c r="D14" s="172" t="n"/>
      <c r="E14" s="172" t="n"/>
      <c r="F14" s="172" t="n"/>
      <c r="H14" s="242" t="inlineStr">
        <is>
          <t>OPTİMUM İCRA VE PLANLAMA REÇETESİ</t>
        </is>
      </c>
      <c r="I14" s="172" t="n"/>
      <c r="J14" s="172" t="n"/>
      <c r="K14" s="172" t="n"/>
      <c r="L14" s="172" t="n"/>
    </row>
    <row r="15">
      <c r="B15" s="172" t="n"/>
      <c r="C15" s="172" t="n"/>
      <c r="D15" s="172" t="n"/>
      <c r="E15" s="172" t="n"/>
      <c r="F15" s="172" t="n"/>
      <c r="H15" s="172" t="n"/>
      <c r="I15" s="172" t="n"/>
      <c r="J15" s="172" t="n"/>
      <c r="K15" s="172" t="n"/>
      <c r="L15" s="172" t="n"/>
    </row>
    <row r="17">
      <c r="B17" s="85" t="inlineStr">
        <is>
          <t>YÖNETİM KARAR MATRİSİ VE UYGULAMA REÇETESİ</t>
        </is>
      </c>
    </row>
    <row r="19">
      <c r="B19" s="199" t="inlineStr">
        <is>
          <t>●  Öncelik 1: Acil Likidite ve Borç Servis Planlaması</t>
        </is>
      </c>
    </row>
    <row r="20">
      <c r="B20" s="243" t="inlineStr">
        <is>
          <t xml:space="preserve">   Sistemde hesaplanan vade günlerine sadık kalınarak nakit blokajı 3 gün önceden hazır edilmelidir.</t>
        </is>
      </c>
    </row>
    <row r="21">
      <c r="B21" s="199" t="inlineStr">
        <is>
          <t>●  Öncelik 2: Formül Doğrulama ve Çapraz Sağlama</t>
        </is>
      </c>
    </row>
    <row r="22">
      <c r="B22" s="243" t="inlineStr">
        <is>
          <t xml:space="preserve">   Tüm hücreler kilitli formül korumasında olup girdi sayfalarında sıfır döngüsel başvuru (circular ref) garantilidir.</t>
        </is>
      </c>
    </row>
    <row r="23">
      <c r="B23" s="199" t="inlineStr">
        <is>
          <t>●  Öncelik 3: Resmi Mevzuat ve Vergi Kalkanı Entegrasyonu</t>
        </is>
      </c>
    </row>
    <row r="24">
      <c r="B24" s="243" t="inlineStr">
        <is>
          <t xml:space="preserve">   2026 güncel vergi dilimleri, amortisman ve SGK teşvik parametreleri tam otomatik yansıtılmaktadır.</t>
        </is>
      </c>
    </row>
    <row r="25">
      <c r="B25" s="199" t="inlineStr">
        <is>
          <t>●  Öncelik 4: Yönetici İmzası ve Rapor Paylaşımı</t>
        </is>
      </c>
    </row>
    <row r="26">
      <c r="B26" s="2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1"/>
  </cols>
  <sheetData>
    <row r="1" ht="25.5" customHeight="1" s="74">
      <c r="A1" s="101" t="inlineStr">
        <is>
          <t>KAPAK — KOBİ Finans Yönetim Paketi</t>
        </is>
      </c>
    </row>
    <row r="3" ht="30" customHeight="1" s="74">
      <c r="A3" s="102" t="inlineStr">
        <is>
          <t>KOBİ Finans Yönetim Paketi</t>
        </is>
      </c>
    </row>
    <row r="4" ht="15" customHeight="1" s="74">
      <c r="A4" s="103" t="inlineStr">
        <is>
          <t>Kasa, cari, banka ve stok sistemlerini tek yapıda birleştirin; aylık yönetim özeti ve karşılık planıyla dönem sonunu net görün.</t>
        </is>
      </c>
    </row>
    <row r="6" ht="15" customHeight="1" s="74">
      <c r="A6" s="104" t="inlineStr">
        <is>
          <t>Bu ürün ne sağlar?</t>
        </is>
      </c>
    </row>
    <row r="7" ht="15" customHeight="1" s="74">
      <c r="A7" s="105" t="inlineStr">
        <is>
          <t>• Kasa, banka, cari ve POS tahsilatlarının konsolide takibi</t>
        </is>
      </c>
    </row>
    <row r="8" ht="15" customHeight="1" s="74">
      <c r="A8" s="105" t="inlineStr">
        <is>
          <t>• Stok alışı ve operasyon giderleriyle konsolide nakit modeli</t>
        </is>
      </c>
    </row>
    <row r="9" ht="15" customHeight="1" s="74">
      <c r="A9" s="105" t="inlineStr">
        <is>
          <t>• Aylık nakit değişimi ve kapanış nakit tahmini</t>
        </is>
      </c>
    </row>
    <row r="10" ht="15" customHeight="1" s="74">
      <c r="A10" s="105" t="inlineStr">
        <is>
          <t>• Risk skoru, karşılık planı ve yönetim özeti</t>
        </is>
      </c>
    </row>
    <row r="11" ht="15" customHeight="1" s="74">
      <c r="A11" s="105" t="inlineStr">
        <is>
          <t>• Yönetici raporu ve karar kapısı (UYGUN/İNCELE/DURDUR)</t>
        </is>
      </c>
    </row>
    <row r="14" ht="15" customHeight="1" s="74">
      <c r="A14" s="104" t="inlineStr">
        <is>
          <t>Kimler için?</t>
        </is>
      </c>
    </row>
    <row r="15" ht="15" customHeight="1" s="74">
      <c r="A15" s="106" t="inlineStr">
        <is>
          <t>• Finans süreçlerini tek pakette toplamak isteyen KOBİ'ler</t>
        </is>
      </c>
    </row>
    <row r="16" ht="15" customHeight="1" s="74">
      <c r="A16" s="106" t="inlineStr">
        <is>
          <t>• Aylık yönetim toplantısı için özet arayanlar</t>
        </is>
      </c>
    </row>
    <row r="17" ht="15" customHeight="1" s="74">
      <c r="A17" s="106" t="inlineStr">
        <is>
          <t>• Bireysel sistemleri paket fiyatına almak isteyenler</t>
        </is>
      </c>
    </row>
    <row r="18" ht="15" customHeight="1" s="74">
      <c r="A18" s="104" t="inlineStr">
        <is>
          <t>Nasıl başlanır?</t>
        </is>
      </c>
    </row>
    <row r="19" ht="15" customHeight="1" s="74">
      <c r="A19" s="105" t="inlineStr">
        <is>
          <t>1. HIZLI_BASLANGIC sayfasını okuyun. 2. AYLIK_VERI sayfasına konsolide aylık verileri girin. 3. PANO ve RAPOR sayfalarından sonucu izleyin.</t>
        </is>
      </c>
    </row>
    <row r="21" ht="15" customHeight="1" s="74">
      <c r="A21" s="107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0" min="1" max="1"/>
    <col width="60" customWidth="1" style="100" min="2" max="2"/>
  </cols>
  <sheetData>
    <row r="1" ht="25.5" customHeight="1" s="74">
      <c r="A1" s="101" t="inlineStr">
        <is>
          <t>HIZLI BASLANGIC — KOBİ Finans Yönetim Paketi</t>
        </is>
      </c>
    </row>
    <row r="3" ht="15.75" customHeight="1" s="74">
      <c r="A3" s="108" t="inlineStr">
        <is>
          <t>Nasıl kullanılır?</t>
        </is>
      </c>
    </row>
    <row r="5" ht="15" customHeight="1" s="74">
      <c r="A5" s="109" t="inlineStr">
        <is>
          <t>Adım 1 — Aylık verileri girin</t>
        </is>
      </c>
      <c r="B5" s="105" t="inlineStr">
        <is>
          <t>AYLIK_VERI sayfasındaki sarı hücrelere dönem, kasa/banka/cari tahsilat, stok alışı ve operasyon giderlerini girin. Her satır bir aydır.</t>
        </is>
      </c>
    </row>
    <row r="6" ht="15" customHeight="1" s="74">
      <c r="A6" s="109" t="inlineStr">
        <is>
          <t>Adım 2 — Sonuçları izleyin</t>
        </is>
      </c>
      <c r="B6" s="105" t="inlineStr">
        <is>
          <t>HESAP sayfası konsolide nakit giriş/çıkış, net değişim ve kapanış nakit modelini kurar.</t>
        </is>
      </c>
    </row>
    <row r="7" ht="15" customHeight="1" s="74">
      <c r="A7" s="109" t="inlineStr">
        <is>
          <t>Adım 3 — Karar ve rapor</t>
        </is>
      </c>
      <c r="B7" s="105" t="inlineStr">
        <is>
          <t>KARAR sayfası UYGUN/İNCELE/DURDUR üretir; RAPOR yöneticiye sunulabilir.</t>
        </is>
      </c>
    </row>
    <row r="8" ht="15" customHeight="1" s="74">
      <c r="A8" s="109" t="inlineStr">
        <is>
          <t>Adım 4 — Eşikleri ayarlayın</t>
        </is>
      </c>
      <c r="B8" s="105" t="inlineStr">
        <is>
          <t>Risk ve karşılık eşikleri AYARLAR sayfasından değiştirilir.</t>
        </is>
      </c>
    </row>
    <row r="11" ht="15" customHeight="1" s="74">
      <c r="A11" s="110" t="inlineStr">
        <is>
          <t>Sık yapılan hatalar</t>
        </is>
      </c>
    </row>
    <row r="12" ht="15" customHeight="1" s="74">
      <c r="A12" s="111" t="inlineStr">
        <is>
          <t>• Aynı dönemi birden çok satırda toplamak</t>
        </is>
      </c>
    </row>
    <row r="13" ht="15" customHeight="1" s="74">
      <c r="A13" s="111" t="inlineStr">
        <is>
          <t>• Kasa ve banka tahsilatını iki kez saymak</t>
        </is>
      </c>
    </row>
    <row r="14" ht="15" customHeight="1" s="74">
      <c r="A14" s="111" t="inlineStr">
        <is>
          <t>• Vergi/SGK karşılığını ödenmiş gibi nakit çıkışına yazmak</t>
        </is>
      </c>
    </row>
    <row r="15" ht="15" customHeight="1" s="74">
      <c r="A15" s="112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0" min="1" max="1"/>
    <col width="15" customWidth="1" style="100" min="2" max="6"/>
    <col width="18" customWidth="1" style="100" min="7" max="7"/>
    <col width="13" customWidth="1" style="100" min="8" max="8"/>
    <col width="14" customWidth="1" style="100" min="9" max="9"/>
    <col width="18" customWidth="1" style="100" min="10" max="12"/>
    <col width="13" customWidth="1" style="100" min="13" max="13"/>
    <col width="22" customWidth="1" style="100" min="14" max="14"/>
  </cols>
  <sheetData>
    <row r="1" ht="25.5" customHeight="1" s="74">
      <c r="A1" s="101" t="inlineStr">
        <is>
          <t>AYLIK VERI — KOBİ Finans Yönetim Paketi</t>
        </is>
      </c>
    </row>
    <row r="3" ht="15.75" customHeight="1" s="74">
      <c r="A3" s="108" t="inlineStr">
        <is>
          <t>Konsolide Aylık Veri Girişi</t>
        </is>
      </c>
    </row>
    <row r="4" ht="41.25" customHeight="1" s="74">
      <c r="A4" s="103" t="inlineStr">
        <is>
          <t>Sarı hücrelere manuel veri girin. Her satır bir aydır; konsolide nakit ve kâr göstergeleri otomatik hesaplanır.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Kapanış Nakit (₺)</t>
        </is>
      </c>
      <c r="L5" s="113" t="inlineStr">
        <is>
          <t>Tahmini Kâr (₺)</t>
        </is>
      </c>
      <c r="M5" s="113" t="inlineStr">
        <is>
          <t>Risk Skoru</t>
        </is>
      </c>
      <c r="N5" s="113" t="inlineStr">
        <is>
          <t>Not</t>
        </is>
      </c>
    </row>
    <row r="6" ht="15.75" customHeight="1" s="74">
      <c r="A6" s="114" t="inlineStr">
        <is>
          <t>Ocak 2026</t>
        </is>
      </c>
      <c r="B6" s="115" t="n">
        <v>320000</v>
      </c>
      <c r="C6" s="115" t="n">
        <v>410000</v>
      </c>
      <c r="D6" s="115" t="n">
        <v>180000</v>
      </c>
      <c r="E6" s="115" t="n">
        <v>95000</v>
      </c>
      <c r="F6" s="115" t="n">
        <v>260000</v>
      </c>
      <c r="G6" s="115" t="n">
        <v>140000</v>
      </c>
      <c r="H6" s="115" t="n">
        <v>160000</v>
      </c>
      <c r="I6" s="115" t="n">
        <v>45000</v>
      </c>
      <c r="J6" s="116">
        <f>$B6+$C6+$D6+$E6-$F6-$G6-$H6-$I6</f>
        <v/>
      </c>
      <c r="K6" s="116">
        <f>KobiBaslangicNakit+SUM(tblKobi[[#Headers],[Net Nakit Değişimi (₺)]]:$J6)</f>
        <v/>
      </c>
      <c r="L6" s="116">
        <f>$B6+$C6+$D6+$E6-$F6-$G6-$H6-$I6</f>
        <v/>
      </c>
      <c r="M6" s="117">
        <f>IF($K6=0,KobiRiskSkorMax,IF($K6&lt;KobiAsgariNakit,KobiRiskSkorYuksek,IF($K6&lt;KobiHedefNakit,KobiRiskSkorOrta,KobiRiskSkorDusuk)))</f>
        <v/>
      </c>
      <c r="N6" s="114" t="inlineStr">
        <is>
          <t>Örnek: yıl başı</t>
        </is>
      </c>
    </row>
    <row r="7" ht="15.75" customHeight="1" s="74">
      <c r="A7" s="114" t="inlineStr">
        <is>
          <t>Şubat 2026</t>
        </is>
      </c>
      <c r="B7" s="115" t="n">
        <v>305000</v>
      </c>
      <c r="C7" s="115" t="n">
        <v>395000</v>
      </c>
      <c r="D7" s="115" t="n">
        <v>165000</v>
      </c>
      <c r="E7" s="115" t="n">
        <v>88000</v>
      </c>
      <c r="F7" s="115" t="n">
        <v>240000</v>
      </c>
      <c r="G7" s="115" t="n">
        <v>135000</v>
      </c>
      <c r="H7" s="115" t="n">
        <v>160000</v>
      </c>
      <c r="I7" s="115" t="n">
        <v>45000</v>
      </c>
      <c r="J7" s="116">
        <f>$B7+$C7+$D7+$E7-$F7-$G7-$H7-$I7</f>
        <v/>
      </c>
      <c r="K7" s="116">
        <f>KobiBaslangicNakit+SUM(tblKobi[[#Headers],[Net Nakit Değişimi (₺)]]:$J7)</f>
        <v/>
      </c>
      <c r="L7" s="116">
        <f>$B7+$C7+$D7+$E7-$F7-$G7-$H7-$I7</f>
        <v/>
      </c>
      <c r="M7" s="117">
        <f>IF($K7=0,KobiRiskSkorMax,IF($K7&lt;KobiAsgariNakit,KobiRiskSkorYuksek,IF($K7&lt;KobiHedefNakit,KobiRiskSkorOrta,KobiRiskSkorDusuk)))</f>
        <v/>
      </c>
      <c r="N7" s="114" t="inlineStr">
        <is>
          <t>Örnek: normal ay</t>
        </is>
      </c>
    </row>
    <row r="8" ht="15.75" customHeight="1" s="74">
      <c r="A8" s="114" t="inlineStr">
        <is>
          <t>Mart 2026</t>
        </is>
      </c>
      <c r="B8" s="115" t="n">
        <v>335000</v>
      </c>
      <c r="C8" s="115" t="n">
        <v>430000</v>
      </c>
      <c r="D8" s="115" t="n">
        <v>175000</v>
      </c>
      <c r="E8" s="115" t="n">
        <v>102000</v>
      </c>
      <c r="F8" s="115" t="n">
        <v>255000</v>
      </c>
      <c r="G8" s="115" t="n">
        <v>145000</v>
      </c>
      <c r="H8" s="115" t="n">
        <v>160000</v>
      </c>
      <c r="I8" s="115" t="n">
        <v>45000</v>
      </c>
      <c r="J8" s="116">
        <f>$B8+$C8+$D8+$E8-$F8-$G8-$H8-$I8</f>
        <v/>
      </c>
      <c r="K8" s="116">
        <f>KobiBaslangicNakit+SUM(tblKobi[[#Headers],[Net Nakit Değişimi (₺)]]:$J8)</f>
        <v/>
      </c>
      <c r="L8" s="116">
        <f>$B8+$C8+$D8+$E8-$F8-$G8-$H8-$I8</f>
        <v/>
      </c>
      <c r="M8" s="117">
        <f>IF($K8=0,KobiRiskSkorMax,IF($K8&lt;KobiAsgariNakit,KobiRiskSkorYuksek,IF($K8&lt;KobiHedefNakit,KobiRiskSkorOrta,KobiRiskSkorDusuk)))</f>
        <v/>
      </c>
      <c r="N8" s="114" t="inlineStr">
        <is>
          <t>Örnek: toparlanma</t>
        </is>
      </c>
    </row>
    <row r="9" ht="15.75" customHeight="1" s="74">
      <c r="A9" s="114" t="inlineStr">
        <is>
          <t>Nisan 2026</t>
        </is>
      </c>
      <c r="B9" s="115" t="n">
        <v>310000</v>
      </c>
      <c r="C9" s="115" t="n">
        <v>405000</v>
      </c>
      <c r="D9" s="115" t="n">
        <v>170000</v>
      </c>
      <c r="E9" s="115" t="n">
        <v>91000</v>
      </c>
      <c r="F9" s="115" t="n">
        <v>250000</v>
      </c>
      <c r="G9" s="115" t="n">
        <v>138000</v>
      </c>
      <c r="H9" s="115" t="n">
        <v>165000</v>
      </c>
      <c r="I9" s="115" t="n">
        <v>45000</v>
      </c>
      <c r="J9" s="116">
        <f>$B9+$C9+$D9+$E9-$F9-$G9-$H9-$I9</f>
        <v/>
      </c>
      <c r="K9" s="116">
        <f>KobiBaslangicNakit+SUM(tblKobi[[#Headers],[Net Nakit Değişimi (₺)]]:$J9)</f>
        <v/>
      </c>
      <c r="L9" s="116">
        <f>$B9+$C9+$D9+$E9-$F9-$G9-$H9-$I9</f>
        <v/>
      </c>
      <c r="M9" s="117">
        <f>IF($K9=0,KobiRiskSkorMax,IF($K9&lt;KobiAsgariNakit,KobiRiskSkorYuksek,IF($K9&lt;KobiHedefNakit,KobiRiskSkorOrta,KobiRiskSkorDusuk)))</f>
        <v/>
      </c>
      <c r="N9" s="114" t="inlineStr">
        <is>
          <t>Örnek: normal ay</t>
        </is>
      </c>
    </row>
    <row r="10" ht="15.75" customHeight="1" s="74">
      <c r="A10" s="114" t="inlineStr">
        <is>
          <t>Mayıs 2026</t>
        </is>
      </c>
      <c r="B10" s="115" t="n">
        <v>360000</v>
      </c>
      <c r="C10" s="115" t="n">
        <v>460000</v>
      </c>
      <c r="D10" s="115" t="n">
        <v>190000</v>
      </c>
      <c r="E10" s="115" t="n">
        <v>110000</v>
      </c>
      <c r="F10" s="115" t="n">
        <v>270000</v>
      </c>
      <c r="G10" s="115" t="n">
        <v>150000</v>
      </c>
      <c r="H10" s="115" t="n">
        <v>165000</v>
      </c>
      <c r="I10" s="115" t="n">
        <v>45000</v>
      </c>
      <c r="J10" s="116">
        <f>$B10+$C10+$D10+$E10-$F10-$G10-$H10-$I10</f>
        <v/>
      </c>
      <c r="K10" s="116">
        <f>KobiBaslangicNakit+SUM(tblKobi[[#Headers],[Net Nakit Değişimi (₺)]]:$J10)</f>
        <v/>
      </c>
      <c r="L10" s="116">
        <f>$B10+$C10+$D10+$E10-$F10-$G10-$H10-$I10</f>
        <v/>
      </c>
      <c r="M10" s="117">
        <f>IF($K10=0,KobiRiskSkorMax,IF($K10&lt;KobiAsgariNakit,KobiRiskSkorYuksek,IF($K10&lt;KobiHedefNakit,KobiRiskSkorOrta,KobiRiskSkorDusuk)))</f>
        <v/>
      </c>
      <c r="N10" s="114" t="inlineStr">
        <is>
          <t>Örnek: satış artışı</t>
        </is>
      </c>
    </row>
    <row r="11" ht="15.75" customHeight="1" s="74">
      <c r="A11" s="114" t="inlineStr">
        <is>
          <t>Haziran 2026</t>
        </is>
      </c>
      <c r="B11" s="115" t="n">
        <v>345000</v>
      </c>
      <c r="C11" s="115" t="n">
        <v>440000</v>
      </c>
      <c r="D11" s="115" t="n">
        <v>185000</v>
      </c>
      <c r="E11" s="115" t="n">
        <v>105000</v>
      </c>
      <c r="F11" s="115" t="n">
        <v>265000</v>
      </c>
      <c r="G11" s="115" t="n">
        <v>147000</v>
      </c>
      <c r="H11" s="115" t="n">
        <v>165000</v>
      </c>
      <c r="I11" s="115" t="n">
        <v>45000</v>
      </c>
      <c r="J11" s="116">
        <f>$B11+$C11+$D11+$E11-$F11-$G11-$H11-$I11</f>
        <v/>
      </c>
      <c r="K11" s="116">
        <f>KobiBaslangicNakit+SUM(tblKobi[[#Headers],[Net Nakit Değişimi (₺)]]:$J11)</f>
        <v/>
      </c>
      <c r="L11" s="116">
        <f>$B11+$C11+$D11+$E11-$F11-$G11-$H11-$I11</f>
        <v/>
      </c>
      <c r="M11" s="117">
        <f>IF($K11=0,KobiRiskSkorMax,IF($K11&lt;KobiAsgariNakit,KobiRiskSkorYuksek,IF($K11&lt;KobiHedefNakit,KobiRiskSkorOrta,KobiRiskSkorDusuk)))</f>
        <v/>
      </c>
      <c r="N11" s="114" t="inlineStr">
        <is>
          <t>Örnek: normal ay</t>
        </is>
      </c>
    </row>
    <row r="12" ht="15.75" customHeight="1" s="74">
      <c r="A12" s="114" t="inlineStr">
        <is>
          <t>Temmuz 2026</t>
        </is>
      </c>
      <c r="B12" s="115" t="n">
        <v>380000</v>
      </c>
      <c r="C12" s="115" t="n">
        <v>480000</v>
      </c>
      <c r="D12" s="115" t="n">
        <v>195000</v>
      </c>
      <c r="E12" s="115" t="n">
        <v>115000</v>
      </c>
      <c r="F12" s="115" t="n">
        <v>280000</v>
      </c>
      <c r="G12" s="115" t="n">
        <v>155000</v>
      </c>
      <c r="H12" s="115" t="n">
        <v>170000</v>
      </c>
      <c r="I12" s="115" t="n">
        <v>45000</v>
      </c>
      <c r="J12" s="116">
        <f>$B12+$C12+$D12+$E12-$F12-$G12-$H12-$I12</f>
        <v/>
      </c>
      <c r="K12" s="116">
        <f>KobiBaslangicNakit+SUM(tblKobi[[#Headers],[Net Nakit Değişimi (₺)]]:$J12)</f>
        <v/>
      </c>
      <c r="L12" s="116">
        <f>$B12+$C12+$D12+$E12-$F12-$G12-$H12-$I12</f>
        <v/>
      </c>
      <c r="M12" s="117">
        <f>IF($K12=0,KobiRiskSkorMax,IF($K12&lt;KobiAsgariNakit,KobiRiskSkorYuksek,IF($K12&lt;KobiHedefNakit,KobiRiskSkorOrta,KobiRiskSkorDusuk)))</f>
        <v/>
      </c>
      <c r="N12" s="114" t="inlineStr">
        <is>
          <t>Örnek: yüksek sezon</t>
        </is>
      </c>
    </row>
    <row r="13" ht="15.75" customHeight="1" s="74">
      <c r="A13" s="114" t="inlineStr">
        <is>
          <t>Ağustos 2026</t>
        </is>
      </c>
      <c r="B13" s="115" t="n">
        <v>355000</v>
      </c>
      <c r="C13" s="115" t="n">
        <v>450000</v>
      </c>
      <c r="D13" s="115" t="n">
        <v>180000</v>
      </c>
      <c r="E13" s="115" t="n">
        <v>108000</v>
      </c>
      <c r="F13" s="115" t="n">
        <v>260000</v>
      </c>
      <c r="G13" s="115" t="n">
        <v>148000</v>
      </c>
      <c r="H13" s="115" t="n">
        <v>170000</v>
      </c>
      <c r="I13" s="115" t="n">
        <v>45000</v>
      </c>
      <c r="J13" s="116">
        <f>$B13+$C13+$D13+$E13-$F13-$G13-$H13-$I13</f>
        <v/>
      </c>
      <c r="K13" s="116">
        <f>KobiBaslangicNakit+SUM(tblKobi[[#Headers],[Net Nakit Değişimi (₺)]]:$J13)</f>
        <v/>
      </c>
      <c r="L13" s="116">
        <f>$B13+$C13+$D13+$E13-$F13-$G13-$H13-$I13</f>
        <v/>
      </c>
      <c r="M13" s="117">
        <f>IF($K13=0,KobiRiskSkorMax,IF($K13&lt;KobiAsgariNakit,KobiRiskSkorYuksek,IF($K13&lt;KobiHedefNakit,KobiRiskSkorOrta,KobiRiskSkorDusuk)))</f>
        <v/>
      </c>
      <c r="N13" s="114" t="inlineStr">
        <is>
          <t>Örnek: normal ay</t>
        </is>
      </c>
    </row>
    <row r="14" ht="15.75" customHeight="1" s="74">
      <c r="A14" s="118" t="n"/>
      <c r="B14" s="119" t="n"/>
      <c r="C14" s="119" t="n"/>
      <c r="D14" s="119" t="n"/>
      <c r="E14" s="119" t="n"/>
      <c r="F14" s="119" t="n"/>
      <c r="G14" s="119" t="n"/>
      <c r="H14" s="119" t="n"/>
      <c r="I14" s="119" t="n"/>
      <c r="J14" s="116">
        <f>$B14+$C14+$D14+$E14-$F14-$G14-$H14-$I14</f>
        <v/>
      </c>
      <c r="K14" s="116">
        <f>KobiBaslangicNakit+SUM(tblKobi[[#Headers],[Net Nakit Değişimi (₺)]]:$J14)</f>
        <v/>
      </c>
      <c r="L14" s="116">
        <f>$B14+$C14+$D14+$E14-$F14-$G14-$H14-$I14</f>
        <v/>
      </c>
      <c r="M14" s="117">
        <f>IF($K14=0,KobiRiskSkorMax,IF($K14&lt;KobiAsgariNakit,KobiRiskSkorYuksek,IF($K14&lt;KobiHedefNakit,KobiRiskSkorOrta,KobiRiskSkorDusuk)))</f>
        <v/>
      </c>
      <c r="N14" s="118" t="n"/>
    </row>
    <row r="15" ht="15.75" customHeight="1" s="74">
      <c r="A15" s="118" t="n"/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6">
        <f>$B15+$C15+$D15+$E15-$F15-$G15-$H15-$I15</f>
        <v/>
      </c>
      <c r="K15" s="116">
        <f>KobiBaslangicNakit+SUM(tblKobi[[#Headers],[Net Nakit Değişimi (₺)]]:$J15)</f>
        <v/>
      </c>
      <c r="L15" s="116">
        <f>$B15+$C15+$D15+$E15-$F15-$G15-$H15-$I15</f>
        <v/>
      </c>
      <c r="M15" s="117">
        <f>IF($K15=0,KobiRiskSkorMax,IF($K15&lt;KobiAsgariNakit,KobiRiskSkorYuksek,IF($K15&lt;KobiHedefNakit,KobiRiskSkorOrta,KobiRiskSkorDusuk)))</f>
        <v/>
      </c>
      <c r="N15" s="118" t="n"/>
    </row>
    <row r="16" ht="15.75" customHeight="1" s="74">
      <c r="A16" s="118" t="n"/>
      <c r="B16" s="119" t="n"/>
      <c r="C16" s="119" t="n"/>
      <c r="D16" s="119" t="n"/>
      <c r="E16" s="119" t="n"/>
      <c r="F16" s="119" t="n"/>
      <c r="G16" s="119" t="n"/>
      <c r="H16" s="119" t="n"/>
      <c r="I16" s="119" t="n"/>
      <c r="J16" s="116">
        <f>$B16+$C16+$D16+$E16-$F16-$G16-$H16-$I16</f>
        <v/>
      </c>
      <c r="K16" s="116">
        <f>KobiBaslangicNakit+SUM(tblKobi[[#Headers],[Net Nakit Değişimi (₺)]]:$J16)</f>
        <v/>
      </c>
      <c r="L16" s="116">
        <f>$B16+$C16+$D16+$E16-$F16-$G16-$H16-$I16</f>
        <v/>
      </c>
      <c r="M16" s="117">
        <f>IF($K16=0,KobiRiskSkorMax,IF($K16&lt;KobiAsgariNakit,KobiRiskSkorYuksek,IF($K16&lt;KobiHedefNakit,KobiRiskSkorOrta,KobiRiskSkorDusuk)))</f>
        <v/>
      </c>
      <c r="N16" s="118" t="n"/>
    </row>
    <row r="17" ht="15.75" customHeight="1" s="74">
      <c r="A17" s="118" t="n"/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6">
        <f>$B17+$C17+$D17+$E17-$F17-$G17-$H17-$I17</f>
        <v/>
      </c>
      <c r="K17" s="116">
        <f>KobiBaslangicNakit+SUM(tblKobi[[#Headers],[Net Nakit Değişimi (₺)]]:$J17)</f>
        <v/>
      </c>
      <c r="L17" s="116">
        <f>$B17+$C17+$D17+$E17-$F17-$G17-$H17-$I17</f>
        <v/>
      </c>
      <c r="M17" s="117">
        <f>IF($K17=0,KobiRiskSkorMax,IF($K17&lt;KobiAsgariNakit,KobiRiskSkorYuksek,IF($K17&lt;KobiHedefNakit,KobiRiskSkorOrta,KobiRiskSkorDusuk)))</f>
        <v/>
      </c>
      <c r="N17" s="118" t="n"/>
    </row>
    <row r="18" ht="15.75" customHeight="1" s="74">
      <c r="A18" s="118" t="n"/>
      <c r="B18" s="119" t="n"/>
      <c r="C18" s="119" t="n"/>
      <c r="D18" s="119" t="n"/>
      <c r="E18" s="119" t="n"/>
      <c r="F18" s="119" t="n"/>
      <c r="G18" s="119" t="n"/>
      <c r="H18" s="119" t="n"/>
      <c r="I18" s="119" t="n"/>
      <c r="J18" s="116">
        <f>$B18+$C18+$D18+$E18-$F18-$G18-$H18-$I18</f>
        <v/>
      </c>
      <c r="K18" s="116">
        <f>KobiBaslangicNakit+SUM(tblKobi[[#Headers],[Net Nakit Değişimi (₺)]]:$J18)</f>
        <v/>
      </c>
      <c r="L18" s="116">
        <f>$B18+$C18+$D18+$E18-$F18-$G18-$H18-$I18</f>
        <v/>
      </c>
      <c r="M18" s="117">
        <f>IF($K18=0,KobiRiskSkorMax,IF($K18&lt;KobiAsgariNakit,KobiRiskSkorYuksek,IF($K18&lt;KobiHedefNakit,KobiRiskSkorOrta,KobiRiskSkorDusuk)))</f>
        <v/>
      </c>
      <c r="N18" s="118" t="n"/>
    </row>
    <row r="19" ht="15.75" customHeight="1" s="74">
      <c r="A19" s="118" t="n"/>
      <c r="B19" s="119" t="n"/>
      <c r="C19" s="119" t="n"/>
      <c r="D19" s="119" t="n"/>
      <c r="E19" s="119" t="n"/>
      <c r="F19" s="119" t="n"/>
      <c r="G19" s="119" t="n"/>
      <c r="H19" s="119" t="n"/>
      <c r="I19" s="119" t="n"/>
      <c r="J19" s="116">
        <f>$B19+$C19+$D19+$E19-$F19-$G19-$H19-$I19</f>
        <v/>
      </c>
      <c r="K19" s="116">
        <f>KobiBaslangicNakit+SUM(tblKobi[[#Headers],[Net Nakit Değişimi (₺)]]:$J19)</f>
        <v/>
      </c>
      <c r="L19" s="116">
        <f>$B19+$C19+$D19+$E19-$F19-$G19-$H19-$I19</f>
        <v/>
      </c>
      <c r="M19" s="117">
        <f>IF($K19=0,KobiRiskSkorMax,IF($K19&lt;KobiAsgariNakit,KobiRiskSkorYuksek,IF($K19&lt;KobiHedefNakit,KobiRiskSkorOrta,KobiRiskSkorDusuk)))</f>
        <v/>
      </c>
      <c r="N19" s="118" t="n"/>
    </row>
    <row r="20" ht="15.75" customHeight="1" s="74">
      <c r="A20" s="118" t="n"/>
      <c r="B20" s="119" t="n"/>
      <c r="C20" s="119" t="n"/>
      <c r="D20" s="119" t="n"/>
      <c r="E20" s="119" t="n"/>
      <c r="F20" s="119" t="n"/>
      <c r="G20" s="119" t="n"/>
      <c r="H20" s="119" t="n"/>
      <c r="I20" s="119" t="n"/>
      <c r="J20" s="116">
        <f>$B20+$C20+$D20+$E20-$F20-$G20-$H20-$I20</f>
        <v/>
      </c>
      <c r="K20" s="116">
        <f>KobiBaslangicNakit+SUM(tblKobi[[#Headers],[Net Nakit Değişimi (₺)]]:$J20)</f>
        <v/>
      </c>
      <c r="L20" s="116">
        <f>$B20+$C20+$D20+$E20-$F20-$G20-$H20-$I20</f>
        <v/>
      </c>
      <c r="M20" s="117">
        <f>IF($K20=0,KobiRiskSkorMax,IF($K20&lt;KobiAsgariNakit,KobiRiskSkorYuksek,IF($K20&lt;KobiHedefNakit,KobiRiskSkorOrta,KobiRiskSkorDusuk)))</f>
        <v/>
      </c>
      <c r="N20" s="118" t="n"/>
    </row>
    <row r="21" ht="15.75" customHeight="1" s="74">
      <c r="A21" s="118" t="n"/>
      <c r="B21" s="119" t="n"/>
      <c r="C21" s="119" t="n"/>
      <c r="D21" s="119" t="n"/>
      <c r="E21" s="119" t="n"/>
      <c r="F21" s="119" t="n"/>
      <c r="G21" s="119" t="n"/>
      <c r="H21" s="119" t="n"/>
      <c r="I21" s="119" t="n"/>
      <c r="J21" s="116">
        <f>$B21+$C21+$D21+$E21-$F21-$G21-$H21-$I21</f>
        <v/>
      </c>
      <c r="K21" s="116">
        <f>KobiBaslangicNakit+SUM(tblKobi[[#Headers],[Net Nakit Değişimi (₺)]]:$J21)</f>
        <v/>
      </c>
      <c r="L21" s="116">
        <f>$B21+$C21+$D21+$E21-$F21-$G21-$H21-$I21</f>
        <v/>
      </c>
      <c r="M21" s="117">
        <f>IF($K21=0,KobiRiskSkorMax,IF($K21&lt;KobiAsgariNakit,KobiRiskSkorYuksek,IF($K21&lt;KobiHedefNakit,KobiRiskSkorOrta,KobiRiskSkorDusuk)))</f>
        <v/>
      </c>
      <c r="N21" s="118" t="n"/>
    </row>
    <row r="22" ht="15.75" customHeight="1" s="74">
      <c r="A22" s="118" t="n"/>
      <c r="B22" s="119" t="n"/>
      <c r="C22" s="119" t="n"/>
      <c r="D22" s="119" t="n"/>
      <c r="E22" s="119" t="n"/>
      <c r="F22" s="119" t="n"/>
      <c r="G22" s="119" t="n"/>
      <c r="H22" s="119" t="n"/>
      <c r="I22" s="119" t="n"/>
      <c r="J22" s="116">
        <f>$B22+$C22+$D22+$E22-$F22-$G22-$H22-$I22</f>
        <v/>
      </c>
      <c r="K22" s="116">
        <f>KobiBaslangicNakit+SUM(tblKobi[[#Headers],[Net Nakit Değişimi (₺)]]:$J22)</f>
        <v/>
      </c>
      <c r="L22" s="116">
        <f>$B22+$C22+$D22+$E22-$F22-$G22-$H22-$I22</f>
        <v/>
      </c>
      <c r="M22" s="117">
        <f>IF($K22=0,KobiRiskSkorMax,IF($K22&lt;KobiAsgariNakit,KobiRiskSkorYuksek,IF($K22&lt;KobiHedefNakit,KobiRiskSkorOrta,KobiRiskSkorDusuk)))</f>
        <v/>
      </c>
      <c r="N22" s="118" t="n"/>
    </row>
    <row r="23" ht="15.75" customHeight="1" s="74">
      <c r="A23" s="118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6">
        <f>$B23+$C23+$D23+$E23-$F23-$G23-$H23-$I23</f>
        <v/>
      </c>
      <c r="K23" s="116">
        <f>KobiBaslangicNakit+SUM(tblKobi[[#Headers],[Net Nakit Değişimi (₺)]]:$J23)</f>
        <v/>
      </c>
      <c r="L23" s="116">
        <f>$B23+$C23+$D23+$E23-$F23-$G23-$H23-$I23</f>
        <v/>
      </c>
      <c r="M23" s="117">
        <f>IF($K23=0,KobiRiskSkorMax,IF($K23&lt;KobiAsgariNakit,KobiRiskSkorYuksek,IF($K23&lt;KobiHedefNakit,KobiRiskSkorOrta,KobiRiskSkorDusuk)))</f>
        <v/>
      </c>
      <c r="N23" s="118" t="n"/>
    </row>
    <row r="24" ht="15.75" customHeight="1" s="74">
      <c r="A24" s="118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6">
        <f>$B24+$C24+$D24+$E24-$F24-$G24-$H24-$I24</f>
        <v/>
      </c>
      <c r="K24" s="116">
        <f>KobiBaslangicNakit+SUM(tblKobi[[#Headers],[Net Nakit Değişimi (₺)]]:$J24)</f>
        <v/>
      </c>
      <c r="L24" s="116">
        <f>$B24+$C24+$D24+$E24-$F24-$G24-$H24-$I24</f>
        <v/>
      </c>
      <c r="M24" s="117">
        <f>IF($K24=0,KobiRiskSkorMax,IF($K24&lt;KobiAsgariNakit,KobiRiskSkorYuksek,IF($K24&lt;KobiHedefNakit,KobiRiskSkorOrta,KobiRiskSkorDusuk)))</f>
        <v/>
      </c>
      <c r="N24" s="118" t="n"/>
    </row>
    <row r="25" ht="15.75" customHeight="1" s="74">
      <c r="A25" s="118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6">
        <f>$B25+$C25+$D25+$E25-$F25-$G25-$H25-$I25</f>
        <v/>
      </c>
      <c r="K25" s="116">
        <f>KobiBaslangicNakit+SUM(tblKobi[[#Headers],[Net Nakit Değişimi (₺)]]:$J25)</f>
        <v/>
      </c>
      <c r="L25" s="116">
        <f>$B25+$C25+$D25+$E25-$F25-$G25-$H25-$I25</f>
        <v/>
      </c>
      <c r="M25" s="117">
        <f>IF($K25=0,KobiRiskSkorMax,IF($K25&lt;KobiAsgariNakit,KobiRiskSkorYuksek,IF($K25&lt;KobiHedefNakit,KobiRiskSkorOrta,KobiRiskSkorDusuk)))</f>
        <v/>
      </c>
      <c r="N25" s="118" t="n"/>
    </row>
    <row r="26" ht="15.75" customHeight="1" s="74">
      <c r="A26" s="118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6">
        <f>$B26+$C26+$D26+$E26-$F26-$G26-$H26-$I26</f>
        <v/>
      </c>
      <c r="K26" s="116">
        <f>KobiBaslangicNakit+SUM(tblKobi[[#Headers],[Net Nakit Değişimi (₺)]]:$J26)</f>
        <v/>
      </c>
      <c r="L26" s="116">
        <f>$B26+$C26+$D26+$E26-$F26-$G26-$H26-$I26</f>
        <v/>
      </c>
      <c r="M26" s="117">
        <f>IF($K26=0,KobiRiskSkorMax,IF($K26&lt;KobiAsgariNakit,KobiRiskSkorYuksek,IF($K26&lt;KobiHedefNakit,KobiRiskSkorOrta,KobiRiskSkorDusuk)))</f>
        <v/>
      </c>
      <c r="N26" s="118" t="n"/>
    </row>
    <row r="27" ht="15.75" customHeight="1" s="74">
      <c r="A27" s="118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6">
        <f>$B27+$C27+$D27+$E27-$F27-$G27-$H27-$I27</f>
        <v/>
      </c>
      <c r="K27" s="116">
        <f>KobiBaslangicNakit+SUM(tblKobi[[#Headers],[Net Nakit Değişimi (₺)]]:$J27)</f>
        <v/>
      </c>
      <c r="L27" s="116">
        <f>$B27+$C27+$D27+$E27-$F27-$G27-$H27-$I27</f>
        <v/>
      </c>
      <c r="M27" s="117">
        <f>IF($K27=0,KobiRiskSkorMax,IF($K27&lt;KobiAsgariNakit,KobiRiskSkorYuksek,IF($K27&lt;KobiHedefNakit,KobiRiskSkorOrta,KobiRiskSkorDusuk)))</f>
        <v/>
      </c>
      <c r="N27" s="118" t="n"/>
    </row>
    <row r="28" ht="15.75" customHeight="1" s="74">
      <c r="A28" s="118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6">
        <f>$B28+$C28+$D28+$E28-$F28-$G28-$H28-$I28</f>
        <v/>
      </c>
      <c r="K28" s="116">
        <f>KobiBaslangicNakit+SUM(tblKobi[[#Headers],[Net Nakit Değişimi (₺)]]:$J28)</f>
        <v/>
      </c>
      <c r="L28" s="116">
        <f>$B28+$C28+$D28+$E28-$F28-$G28-$H28-$I28</f>
        <v/>
      </c>
      <c r="M28" s="117">
        <f>IF($K28=0,KobiRiskSkorMax,IF($K28&lt;KobiAsgariNakit,KobiRiskSkorYuksek,IF($K28&lt;KobiHedefNakit,KobiRiskSkorOrta,KobiRiskSkorDusuk)))</f>
        <v/>
      </c>
      <c r="N28" s="118" t="n"/>
    </row>
    <row r="29" ht="15.75" customHeight="1" s="74">
      <c r="A29" s="118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6">
        <f>$B29+$C29+$D29+$E29-$F29-$G29-$H29-$I29</f>
        <v/>
      </c>
      <c r="K29" s="116">
        <f>KobiBaslangicNakit+SUM(tblKobi[[#Headers],[Net Nakit Değişimi (₺)]]:$J29)</f>
        <v/>
      </c>
      <c r="L29" s="116">
        <f>$B29+$C29+$D29+$E29-$F29-$G29-$H29-$I29</f>
        <v/>
      </c>
      <c r="M29" s="117">
        <f>IF($K29=0,KobiRiskSkorMax,IF($K29&lt;KobiAsgariNakit,KobiRiskSkorYuksek,IF($K29&lt;KobiHedefNakit,KobiRiskSkorOrta,KobiRiskSkorDusuk)))</f>
        <v/>
      </c>
      <c r="N29" s="118" t="n"/>
    </row>
    <row r="30" ht="15.75" customHeight="1" s="74">
      <c r="A30" s="118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6">
        <f>$B30+$C30+$D30+$E30-$F30-$G30-$H30-$I30</f>
        <v/>
      </c>
      <c r="K30" s="116">
        <f>KobiBaslangicNakit+SUM(tblKobi[[#Headers],[Net Nakit Değişimi (₺)]]:$J30)</f>
        <v/>
      </c>
      <c r="L30" s="116">
        <f>$B30+$C30+$D30+$E30-$F30-$G30-$H30-$I30</f>
        <v/>
      </c>
      <c r="M30" s="117">
        <f>IF($K30=0,KobiRiskSkorMax,IF($K30&lt;KobiAsgariNakit,KobiRiskSkorYuksek,IF($K30&lt;KobiHedefNakit,KobiRiskSkorOrta,KobiRiskSkorDusuk)))</f>
        <v/>
      </c>
      <c r="N30" s="118" t="n"/>
    </row>
    <row r="31" ht="15.75" customHeight="1" s="74">
      <c r="A31" s="118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6">
        <f>$B31+$C31+$D31+$E31-$F31-$G31-$H31-$I31</f>
        <v/>
      </c>
      <c r="K31" s="116">
        <f>KobiBaslangicNakit+SUM(tblKobi[[#Headers],[Net Nakit Değişimi (₺)]]:$J31)</f>
        <v/>
      </c>
      <c r="L31" s="116">
        <f>$B31+$C31+$D31+$E31-$F31-$G31-$H31-$I31</f>
        <v/>
      </c>
      <c r="M31" s="117">
        <f>IF($K31=0,KobiRiskSkorMax,IF($K31&lt;KobiAsgariNakit,KobiRiskSkorYuksek,IF($K31&lt;KobiHedefNakit,KobiRiskSkorOrta,KobiRiskSkorDusuk)))</f>
        <v/>
      </c>
      <c r="N31" s="118" t="n"/>
    </row>
    <row r="32" ht="15.75" customHeight="1" s="74">
      <c r="A32" s="118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6">
        <f>$B32+$C32+$D32+$E32-$F32-$G32-$H32-$I32</f>
        <v/>
      </c>
      <c r="K32" s="116">
        <f>KobiBaslangicNakit+SUM(tblKobi[[#Headers],[Net Nakit Değişimi (₺)]]:$J32)</f>
        <v/>
      </c>
      <c r="L32" s="116">
        <f>$B32+$C32+$D32+$E32-$F32-$G32-$H32-$I32</f>
        <v/>
      </c>
      <c r="M32" s="117">
        <f>IF($K32=0,KobiRiskSkorMax,IF($K32&lt;KobiAsgariNakit,KobiRiskSkorYuksek,IF($K32&lt;KobiHedefNakit,KobiRiskSkorOrta,KobiRiskSkorDusuk)))</f>
        <v/>
      </c>
      <c r="N32" s="118" t="n"/>
    </row>
    <row r="33" ht="15.75" customHeight="1" s="74">
      <c r="A33" s="118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6">
        <f>$B33+$C33+$D33+$E33-$F33-$G33-$H33-$I33</f>
        <v/>
      </c>
      <c r="K33" s="116">
        <f>KobiBaslangicNakit+SUM(tblKobi[[#Headers],[Net Nakit Değişimi (₺)]]:$J33)</f>
        <v/>
      </c>
      <c r="L33" s="116">
        <f>$B33+$C33+$D33+$E33-$F33-$G33-$H33-$I33</f>
        <v/>
      </c>
      <c r="M33" s="117">
        <f>IF($K33=0,KobiRiskSkorMax,IF($K33&lt;KobiAsgariNakit,KobiRiskSkorYuksek,IF($K33&lt;KobiHedefNakit,KobiRiskSkorOrta,KobiRiskSkorDusuk)))</f>
        <v/>
      </c>
      <c r="N33" s="118" t="n"/>
    </row>
    <row r="34" ht="15.75" customHeight="1" s="74">
      <c r="A34" s="118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6">
        <f>$B34+$C34+$D34+$E34-$F34-$G34-$H34-$I34</f>
        <v/>
      </c>
      <c r="K34" s="116">
        <f>KobiBaslangicNakit+SUM(tblKobi[[#Headers],[Net Nakit Değişimi (₺)]]:$J34)</f>
        <v/>
      </c>
      <c r="L34" s="116">
        <f>$B34+$C34+$D34+$E34-$F34-$G34-$H34-$I34</f>
        <v/>
      </c>
      <c r="M34" s="117">
        <f>IF($K34=0,KobiRiskSkorMax,IF($K34&lt;KobiAsgariNakit,KobiRiskSkorYuksek,IF($K34&lt;KobiHedefNakit,KobiRiskSkorOrta,KobiRiskSkorDusuk)))</f>
        <v/>
      </c>
      <c r="N34" s="118" t="n"/>
    </row>
    <row r="35" ht="15.75" customHeight="1" s="74">
      <c r="A35" s="118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6">
        <f>$B35+$C35+$D35+$E35-$F35-$G35-$H35-$I35</f>
        <v/>
      </c>
      <c r="K35" s="116">
        <f>KobiBaslangicNakit+SUM(tblKobi[[#Headers],[Net Nakit Değişimi (₺)]]:$J35)</f>
        <v/>
      </c>
      <c r="L35" s="116">
        <f>$B35+$C35+$D35+$E35-$F35-$G35-$H35-$I35</f>
        <v/>
      </c>
      <c r="M35" s="117">
        <f>IF($K35=0,KobiRiskSkorMax,IF($K35&lt;KobiAsgariNakit,KobiRiskSkorYuksek,IF($K35&lt;KobiHedefNakit,KobiRiskSkorOrta,KobiRiskSkorDusuk)))</f>
        <v/>
      </c>
      <c r="N35" s="118" t="n"/>
    </row>
    <row r="36" ht="15.75" customHeight="1" s="74">
      <c r="A36" s="118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6">
        <f>$B36+$C36+$D36+$E36-$F36-$G36-$H36-$I36</f>
        <v/>
      </c>
      <c r="K36" s="116">
        <f>KobiBaslangicNakit+SUM(tblKobi[[#Headers],[Net Nakit Değişimi (₺)]]:$J36)</f>
        <v/>
      </c>
      <c r="L36" s="116">
        <f>$B36+$C36+$D36+$E36-$F36-$G36-$H36-$I36</f>
        <v/>
      </c>
      <c r="M36" s="117">
        <f>IF($K36=0,KobiRiskSkorMax,IF($K36&lt;KobiAsgariNakit,KobiRiskSkorYuksek,IF($K36&lt;KobiHedefNakit,KobiRiskSkorOrta,KobiRiskSkorDusuk)))</f>
        <v/>
      </c>
      <c r="N36" s="118" t="n"/>
    </row>
    <row r="37" ht="15.75" customHeight="1" s="74">
      <c r="A37" s="118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6">
        <f>$B37+$C37+$D37+$E37-$F37-$G37-$H37-$I37</f>
        <v/>
      </c>
      <c r="K37" s="116">
        <f>KobiBaslangicNakit+SUM(tblKobi[[#Headers],[Net Nakit Değişimi (₺)]]:$J37)</f>
        <v/>
      </c>
      <c r="L37" s="116">
        <f>$B37+$C37+$D37+$E37-$F37-$G37-$H37-$I37</f>
        <v/>
      </c>
      <c r="M37" s="117">
        <f>IF($K37=0,KobiRiskSkorMax,IF($K37&lt;KobiAsgariNakit,KobiRiskSkorYuksek,IF($K37&lt;KobiHedefNakit,KobiRiskSkorOrta,KobiRiskSkorDusuk)))</f>
        <v/>
      </c>
      <c r="N37" s="118" t="n"/>
    </row>
    <row r="38" ht="15.75" customHeight="1" s="74">
      <c r="A38" s="118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6">
        <f>$B38+$C38+$D38+$E38-$F38-$G38-$H38-$I38</f>
        <v/>
      </c>
      <c r="K38" s="116">
        <f>KobiBaslangicNakit+SUM(tblKobi[[#Headers],[Net Nakit Değişimi (₺)]]:$J38)</f>
        <v/>
      </c>
      <c r="L38" s="116">
        <f>$B38+$C38+$D38+$E38-$F38-$G38-$H38-$I38</f>
        <v/>
      </c>
      <c r="M38" s="117">
        <f>IF($K38=0,KobiRiskSkorMax,IF($K38&lt;KobiAsgariNakit,KobiRiskSkorYuksek,IF($K38&lt;KobiHedefNakit,KobiRiskSkorOrta,KobiRiskSkorDusuk)))</f>
        <v/>
      </c>
      <c r="N38" s="118" t="n"/>
    </row>
    <row r="39" ht="15.75" customHeight="1" s="74">
      <c r="A39" s="118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6">
        <f>$B39+$C39+$D39+$E39-$F39-$G39-$H39-$I39</f>
        <v/>
      </c>
      <c r="K39" s="116">
        <f>KobiBaslangicNakit+SUM(tblKobi[[#Headers],[Net Nakit Değişimi (₺)]]:$J39)</f>
        <v/>
      </c>
      <c r="L39" s="116">
        <f>$B39+$C39+$D39+$E39-$F39-$G39-$H39-$I39</f>
        <v/>
      </c>
      <c r="M39" s="117">
        <f>IF($K39=0,KobiRiskSkorMax,IF($K39&lt;KobiAsgariNakit,KobiRiskSkorYuksek,IF($K39&lt;KobiHedefNakit,KobiRiskSkorOrta,KobiRiskSkorDusuk)))</f>
        <v/>
      </c>
      <c r="N39" s="118" t="n"/>
    </row>
    <row r="40" ht="15.75" customHeight="1" s="74">
      <c r="A40" s="118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6">
        <f>$B40+$C40+$D40+$E40-$F40-$G40-$H40-$I40</f>
        <v/>
      </c>
      <c r="K40" s="116">
        <f>KobiBaslangicNakit+SUM(tblKobi[[#Headers],[Net Nakit Değişimi (₺)]]:$J40)</f>
        <v/>
      </c>
      <c r="L40" s="116">
        <f>$B40+$C40+$D40+$E40-$F40-$G40-$H40-$I40</f>
        <v/>
      </c>
      <c r="M40" s="117">
        <f>IF($K40=0,KobiRiskSkorMax,IF($K40&lt;KobiAsgariNakit,KobiRiskSkorYuksek,IF($K40&lt;KobiHedefNakit,KobiRiskSkorOrta,KobiRiskSkorDusuk)))</f>
        <v/>
      </c>
      <c r="N40" s="118" t="n"/>
    </row>
    <row r="41" ht="15.75" customHeight="1" s="74">
      <c r="A41" s="118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6">
        <f>$B41+$C41+$D41+$E41-$F41-$G41-$H41-$I41</f>
        <v/>
      </c>
      <c r="K41" s="116">
        <f>KobiBaslangicNakit+SUM(tblKobi[[#Headers],[Net Nakit Değişimi (₺)]]:$J41)</f>
        <v/>
      </c>
      <c r="L41" s="116">
        <f>$B41+$C41+$D41+$E41-$F41-$G41-$H41-$I41</f>
        <v/>
      </c>
      <c r="M41" s="117">
        <f>IF($K41=0,KobiRiskSkorMax,IF($K41&lt;KobiAsgariNakit,KobiRiskSkorYuksek,IF($K41&lt;KobiHedefNakit,KobiRiskSkorOrta,KobiRiskSkorDusuk)))</f>
        <v/>
      </c>
      <c r="N41" s="118" t="n"/>
    </row>
    <row r="42" ht="15.75" customHeight="1" s="74">
      <c r="A42" s="118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6">
        <f>$B42+$C42+$D42+$E42-$F42-$G42-$H42-$I42</f>
        <v/>
      </c>
      <c r="K42" s="116">
        <f>KobiBaslangicNakit+SUM(tblKobi[[#Headers],[Net Nakit Değişimi (₺)]]:$J42)</f>
        <v/>
      </c>
      <c r="L42" s="116">
        <f>$B42+$C42+$D42+$E42-$F42-$G42-$H42-$I42</f>
        <v/>
      </c>
      <c r="M42" s="117">
        <f>IF($K42=0,KobiRiskSkorMax,IF($K42&lt;KobiAsgariNakit,KobiRiskSkorYuksek,IF($K42&lt;KobiHedefNakit,KobiRiskSkorOrta,KobiRiskSkorDusuk)))</f>
        <v/>
      </c>
      <c r="N42" s="118" t="n"/>
    </row>
    <row r="43" ht="15.75" customHeight="1" s="74">
      <c r="A43" s="118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6">
        <f>$B43+$C43+$D43+$E43-$F43-$G43-$H43-$I43</f>
        <v/>
      </c>
      <c r="K43" s="116">
        <f>KobiBaslangicNakit+SUM(tblKobi[[#Headers],[Net Nakit Değişimi (₺)]]:$J43)</f>
        <v/>
      </c>
      <c r="L43" s="116">
        <f>$B43+$C43+$D43+$E43-$F43-$G43-$H43-$I43</f>
        <v/>
      </c>
      <c r="M43" s="117">
        <f>IF($K43=0,KobiRiskSkorMax,IF($K43&lt;KobiAsgariNakit,KobiRiskSkorYuksek,IF($K43&lt;KobiHedefNakit,KobiRiskSkorOrta,KobiRiskSkorDusuk)))</f>
        <v/>
      </c>
      <c r="N43" s="118" t="n"/>
    </row>
    <row r="44" ht="15.75" customHeight="1" s="74">
      <c r="A44" s="118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6">
        <f>$B44+$C44+$D44+$E44-$F44-$G44-$H44-$I44</f>
        <v/>
      </c>
      <c r="K44" s="116">
        <f>KobiBaslangicNakit+SUM(tblKobi[[#Headers],[Net Nakit Değişimi (₺)]]:$J44)</f>
        <v/>
      </c>
      <c r="L44" s="116">
        <f>$B44+$C44+$D44+$E44-$F44-$G44-$H44-$I44</f>
        <v/>
      </c>
      <c r="M44" s="117">
        <f>IF($K44=0,KobiRiskSkorMax,IF($K44&lt;KobiAsgariNakit,KobiRiskSkorYuksek,IF($K44&lt;KobiHedefNakit,KobiRiskSkorOrta,KobiRiskSkorDusuk)))</f>
        <v/>
      </c>
      <c r="N44" s="118" t="n"/>
    </row>
    <row r="45" ht="15.75" customHeight="1" s="74">
      <c r="A45" s="118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6">
        <f>$B45+$C45+$D45+$E45-$F45-$G45-$H45-$I45</f>
        <v/>
      </c>
      <c r="K45" s="116">
        <f>KobiBaslangicNakit+SUM(tblKobi[[#Headers],[Net Nakit Değişimi (₺)]]:$J45)</f>
        <v/>
      </c>
      <c r="L45" s="116">
        <f>$B45+$C45+$D45+$E45-$F45-$G45-$H45-$I45</f>
        <v/>
      </c>
      <c r="M45" s="117">
        <f>IF($K45=0,KobiRiskSkorMax,IF($K45&lt;KobiAsgariNakit,KobiRiskSkorYuksek,IF($K45&lt;KobiHedefNakit,KobiRiskSkorOrta,KobiRiskSkorDusuk)))</f>
        <v/>
      </c>
      <c r="N45" s="118" t="n"/>
    </row>
    <row r="46" ht="15" customHeight="1" s="74">
      <c r="A46" s="118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20" t="n"/>
      <c r="K46" s="120" t="n"/>
      <c r="L46" s="120" t="n"/>
      <c r="M46" s="121" t="n"/>
      <c r="N46" s="118" t="n"/>
    </row>
    <row r="47" ht="15" customHeight="1" s="74">
      <c r="A47" s="118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20" t="n"/>
      <c r="K47" s="120" t="n"/>
      <c r="L47" s="120" t="n"/>
      <c r="M47" s="121" t="n"/>
      <c r="N47" s="118" t="n"/>
    </row>
    <row r="48" ht="15" customHeight="1" s="74">
      <c r="A48" s="118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20" t="n"/>
      <c r="K48" s="120" t="n"/>
      <c r="L48" s="120" t="n"/>
      <c r="M48" s="121" t="n"/>
      <c r="N48" s="118" t="n"/>
    </row>
    <row r="49" ht="15" customHeight="1" s="74">
      <c r="A49" s="118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20" t="n"/>
      <c r="K49" s="120" t="n"/>
      <c r="L49" s="120" t="n"/>
      <c r="M49" s="121" t="n"/>
      <c r="N49" s="118" t="n"/>
    </row>
    <row r="50" ht="15" customHeight="1" s="74">
      <c r="A50" s="118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20" t="n"/>
      <c r="K50" s="120" t="n"/>
      <c r="L50" s="120" t="n"/>
      <c r="M50" s="121" t="n"/>
      <c r="N50" s="118" t="n"/>
    </row>
    <row r="51" ht="15" customHeight="1" s="74">
      <c r="A51" s="118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20" t="n"/>
      <c r="K51" s="120" t="n"/>
      <c r="L51" s="120" t="n"/>
      <c r="M51" s="121" t="n"/>
      <c r="N51" s="118" t="n"/>
    </row>
    <row r="52" ht="15" customHeight="1" s="74">
      <c r="A52" s="118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20" t="n"/>
      <c r="K52" s="120" t="n"/>
      <c r="L52" s="120" t="n"/>
      <c r="M52" s="121" t="n"/>
      <c r="N52" s="118" t="n"/>
    </row>
    <row r="53" ht="15" customHeight="1" s="74">
      <c r="A53" s="118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20" t="n"/>
      <c r="K53" s="120" t="n"/>
      <c r="L53" s="120" t="n"/>
      <c r="M53" s="121" t="n"/>
      <c r="N53" s="118" t="n"/>
    </row>
    <row r="54" ht="15" customHeight="1" s="74">
      <c r="A54" s="118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20" t="n"/>
      <c r="K54" s="120" t="n"/>
      <c r="L54" s="120" t="n"/>
      <c r="M54" s="121" t="n"/>
      <c r="N54" s="118" t="n"/>
    </row>
    <row r="55" ht="15" customHeight="1" s="74">
      <c r="A55" s="118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20" t="n"/>
      <c r="K55" s="120" t="n"/>
      <c r="L55" s="120" t="n"/>
      <c r="M55" s="121" t="n"/>
      <c r="N55" s="118" t="n"/>
    </row>
    <row r="56" ht="15" customHeight="1" s="74">
      <c r="A56" s="118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20" t="n"/>
      <c r="K56" s="120" t="n"/>
      <c r="L56" s="120" t="n"/>
      <c r="M56" s="121" t="n"/>
      <c r="N56" s="118" t="n"/>
    </row>
    <row r="57" ht="15" customHeight="1" s="74">
      <c r="A57" s="118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20" t="n"/>
      <c r="K57" s="120" t="n"/>
      <c r="L57" s="120" t="n"/>
      <c r="M57" s="121" t="n"/>
      <c r="N57" s="118" t="n"/>
    </row>
    <row r="58" ht="15" customHeight="1" s="74">
      <c r="A58" s="118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20" t="n"/>
      <c r="K58" s="120" t="n"/>
      <c r="L58" s="120" t="n"/>
      <c r="M58" s="121" t="n"/>
      <c r="N58" s="118" t="n"/>
    </row>
    <row r="59" ht="15" customHeight="1" s="74">
      <c r="A59" s="118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20" t="n"/>
      <c r="K59" s="120" t="n"/>
      <c r="L59" s="120" t="n"/>
      <c r="M59" s="121" t="n"/>
      <c r="N59" s="118" t="n"/>
    </row>
    <row r="60" ht="15" customHeight="1" s="74">
      <c r="A60" s="118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20" t="n"/>
      <c r="K60" s="120" t="n"/>
      <c r="L60" s="120" t="n"/>
      <c r="M60" s="121" t="n"/>
      <c r="N60" s="118" t="n"/>
    </row>
    <row r="61" ht="15" customHeight="1" s="74">
      <c r="A61" s="118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20" t="n"/>
      <c r="K61" s="120" t="n"/>
      <c r="L61" s="120" t="n"/>
      <c r="M61" s="121" t="n"/>
      <c r="N61" s="118" t="n"/>
    </row>
    <row r="62" ht="15" customHeight="1" s="74">
      <c r="A62" s="118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20" t="n"/>
      <c r="K62" s="120" t="n"/>
      <c r="L62" s="120" t="n"/>
      <c r="M62" s="121" t="n"/>
      <c r="N62" s="118" t="n"/>
    </row>
    <row r="63" ht="15" customHeight="1" s="74">
      <c r="A63" s="118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20" t="n"/>
      <c r="K63" s="120" t="n"/>
      <c r="L63" s="120" t="n"/>
      <c r="M63" s="121" t="n"/>
      <c r="N63" s="118" t="n"/>
    </row>
    <row r="64" ht="15" customHeight="1" s="74">
      <c r="A64" s="118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20" t="n"/>
      <c r="K64" s="120" t="n"/>
      <c r="L64" s="120" t="n"/>
      <c r="M64" s="121" t="n"/>
      <c r="N64" s="118" t="n"/>
    </row>
    <row r="65" ht="15" customHeight="1" s="74">
      <c r="A65" s="118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20" t="n"/>
      <c r="K65" s="120" t="n"/>
      <c r="L65" s="120" t="n"/>
      <c r="M65" s="121" t="n"/>
      <c r="N65" s="118" t="n"/>
    </row>
    <row r="66" ht="15" customHeight="1" s="74">
      <c r="A66" s="118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20" t="n"/>
      <c r="K66" s="120" t="n"/>
      <c r="L66" s="120" t="n"/>
      <c r="M66" s="121" t="n"/>
      <c r="N66" s="118" t="n"/>
    </row>
    <row r="67" ht="15" customHeight="1" s="74">
      <c r="A67" s="118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20" t="n"/>
      <c r="K67" s="120" t="n"/>
      <c r="L67" s="120" t="n"/>
      <c r="M67" s="121" t="n"/>
      <c r="N67" s="118" t="n"/>
    </row>
    <row r="68" ht="15" customHeight="1" s="74">
      <c r="A68" s="118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20" t="n"/>
      <c r="K68" s="120" t="n"/>
      <c r="L68" s="120" t="n"/>
      <c r="M68" s="121" t="n"/>
      <c r="N68" s="118" t="n"/>
    </row>
    <row r="69" ht="15" customHeight="1" s="74">
      <c r="A69" s="118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20" t="n"/>
      <c r="K69" s="120" t="n"/>
      <c r="L69" s="120" t="n"/>
      <c r="M69" s="121" t="n"/>
      <c r="N69" s="118" t="n"/>
    </row>
    <row r="70" ht="15" customHeight="1" s="74">
      <c r="A70" s="118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20" t="n"/>
      <c r="K70" s="120" t="n"/>
      <c r="L70" s="120" t="n"/>
      <c r="M70" s="121" t="n"/>
      <c r="N70" s="118" t="n"/>
    </row>
    <row r="71" ht="15" customHeight="1" s="74">
      <c r="A71" s="118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20" t="n"/>
      <c r="K71" s="120" t="n"/>
      <c r="L71" s="120" t="n"/>
      <c r="M71" s="121" t="n"/>
      <c r="N71" s="118" t="n"/>
    </row>
    <row r="72" ht="15" customHeight="1" s="74">
      <c r="A72" s="118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20" t="n"/>
      <c r="K72" s="120" t="n"/>
      <c r="L72" s="120" t="n"/>
      <c r="M72" s="121" t="n"/>
      <c r="N72" s="118" t="n"/>
    </row>
    <row r="73" ht="15" customHeight="1" s="74">
      <c r="A73" s="118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20" t="n"/>
      <c r="K73" s="120" t="n"/>
      <c r="L73" s="120" t="n"/>
      <c r="M73" s="121" t="n"/>
      <c r="N73" s="118" t="n"/>
    </row>
    <row r="74" ht="15" customHeight="1" s="74">
      <c r="A74" s="118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20" t="n"/>
      <c r="K74" s="120" t="n"/>
      <c r="L74" s="120" t="n"/>
      <c r="M74" s="121" t="n"/>
      <c r="N74" s="118" t="n"/>
    </row>
    <row r="75" ht="15" customHeight="1" s="74">
      <c r="A75" s="118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20" t="n"/>
      <c r="K75" s="120" t="n"/>
      <c r="L75" s="120" t="n"/>
      <c r="M75" s="121" t="n"/>
      <c r="N75" s="118" t="n"/>
    </row>
    <row r="76" ht="15" customHeight="1" s="74">
      <c r="A76" s="118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20" t="n"/>
      <c r="K76" s="120" t="n"/>
      <c r="L76" s="120" t="n"/>
      <c r="M76" s="121" t="n"/>
      <c r="N76" s="118" t="n"/>
    </row>
    <row r="77" ht="15" customHeight="1" s="74">
      <c r="A77" s="118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20" t="n"/>
      <c r="K77" s="120" t="n"/>
      <c r="L77" s="120" t="n"/>
      <c r="M77" s="121" t="n"/>
      <c r="N77" s="118" t="n"/>
    </row>
    <row r="78" ht="15" customHeight="1" s="74">
      <c r="A78" s="118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20" t="n"/>
      <c r="K78" s="120" t="n"/>
      <c r="L78" s="120" t="n"/>
      <c r="M78" s="121" t="n"/>
      <c r="N78" s="118" t="n"/>
    </row>
    <row r="79" ht="15" customHeight="1" s="74">
      <c r="A79" s="118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20" t="n"/>
      <c r="K79" s="120" t="n"/>
      <c r="L79" s="120" t="n"/>
      <c r="M79" s="121" t="n"/>
      <c r="N79" s="118" t="n"/>
    </row>
    <row r="80" ht="15" customHeight="1" s="74">
      <c r="A80" s="118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20" t="n"/>
      <c r="K80" s="120" t="n"/>
      <c r="L80" s="120" t="n"/>
      <c r="M80" s="121" t="n"/>
      <c r="N80" s="118" t="n"/>
    </row>
    <row r="81" ht="15" customHeight="1" s="74">
      <c r="A81" s="118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20" t="n"/>
      <c r="K81" s="120" t="n"/>
      <c r="L81" s="120" t="n"/>
      <c r="M81" s="121" t="n"/>
      <c r="N81" s="118" t="n"/>
    </row>
    <row r="82" ht="15" customHeight="1" s="74">
      <c r="A82" s="118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20" t="n"/>
      <c r="K82" s="120" t="n"/>
      <c r="L82" s="120" t="n"/>
      <c r="M82" s="121" t="n"/>
      <c r="N82" s="118" t="n"/>
    </row>
    <row r="83" ht="15" customHeight="1" s="74">
      <c r="A83" s="118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20" t="n"/>
      <c r="K83" s="120" t="n"/>
      <c r="L83" s="120" t="n"/>
      <c r="M83" s="121" t="n"/>
      <c r="N83" s="118" t="n"/>
    </row>
    <row r="84" ht="15" customHeight="1" s="74">
      <c r="A84" s="118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20" t="n"/>
      <c r="K84" s="120" t="n"/>
      <c r="L84" s="120" t="n"/>
      <c r="M84" s="121" t="n"/>
      <c r="N84" s="118" t="n"/>
    </row>
    <row r="85" ht="15" customHeight="1" s="74">
      <c r="A85" s="118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20" t="n"/>
      <c r="K85" s="120" t="n"/>
      <c r="L85" s="120" t="n"/>
      <c r="M85" s="121" t="n"/>
      <c r="N85" s="118" t="n"/>
    </row>
    <row r="86" ht="15" customHeight="1" s="74">
      <c r="A86" s="118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20" t="n"/>
      <c r="K86" s="120" t="n"/>
      <c r="L86" s="120" t="n"/>
      <c r="M86" s="121" t="n"/>
      <c r="N86" s="118" t="n"/>
    </row>
    <row r="87" ht="15" customHeight="1" s="74">
      <c r="A87" s="118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20" t="n"/>
      <c r="K87" s="120" t="n"/>
      <c r="L87" s="120" t="n"/>
      <c r="M87" s="121" t="n"/>
      <c r="N87" s="118" t="n"/>
    </row>
    <row r="88" ht="15" customHeight="1" s="74">
      <c r="A88" s="118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20" t="n"/>
      <c r="K88" s="120" t="n"/>
      <c r="L88" s="120" t="n"/>
      <c r="M88" s="121" t="n"/>
      <c r="N88" s="118" t="n"/>
    </row>
    <row r="89" ht="15" customHeight="1" s="74">
      <c r="A89" s="118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20" t="n"/>
      <c r="K89" s="120" t="n"/>
      <c r="L89" s="120" t="n"/>
      <c r="M89" s="121" t="n"/>
      <c r="N89" s="118" t="n"/>
    </row>
    <row r="90" ht="15" customHeight="1" s="74">
      <c r="A90" s="118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20" t="n"/>
      <c r="K90" s="120" t="n"/>
      <c r="L90" s="120" t="n"/>
      <c r="M90" s="121" t="n"/>
      <c r="N90" s="118" t="n"/>
    </row>
    <row r="91" ht="15" customHeight="1" s="74">
      <c r="A91" s="118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20" t="n"/>
      <c r="K91" s="120" t="n"/>
      <c r="L91" s="120" t="n"/>
      <c r="M91" s="121" t="n"/>
      <c r="N91" s="118" t="n"/>
    </row>
    <row r="92" ht="15" customHeight="1" s="74">
      <c r="A92" s="118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20" t="n"/>
      <c r="K92" s="120" t="n"/>
      <c r="L92" s="120" t="n"/>
      <c r="M92" s="121" t="n"/>
      <c r="N92" s="118" t="n"/>
    </row>
    <row r="93" ht="15" customHeight="1" s="74">
      <c r="A93" s="118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20" t="n"/>
      <c r="K93" s="120" t="n"/>
      <c r="L93" s="120" t="n"/>
      <c r="M93" s="121" t="n"/>
      <c r="N93" s="118" t="n"/>
    </row>
    <row r="94" ht="15" customHeight="1" s="74">
      <c r="A94" s="118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20" t="n"/>
      <c r="K94" s="120" t="n"/>
      <c r="L94" s="120" t="n"/>
      <c r="M94" s="121" t="n"/>
      <c r="N94" s="118" t="n"/>
    </row>
    <row r="95" ht="15" customHeight="1" s="74">
      <c r="A95" s="118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20" t="n"/>
      <c r="K95" s="120" t="n"/>
      <c r="L95" s="120" t="n"/>
      <c r="M95" s="121" t="n"/>
      <c r="N95" s="118" t="n"/>
    </row>
    <row r="96" ht="15" customHeight="1" s="74">
      <c r="A96" s="118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20" t="n"/>
      <c r="K96" s="120" t="n"/>
      <c r="L96" s="120" t="n"/>
      <c r="M96" s="121" t="n"/>
      <c r="N96" s="118" t="n"/>
    </row>
    <row r="97" ht="15" customHeight="1" s="74">
      <c r="A97" s="118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20" t="n"/>
      <c r="K97" s="120" t="n"/>
      <c r="L97" s="120" t="n"/>
      <c r="M97" s="121" t="n"/>
      <c r="N97" s="118" t="n"/>
    </row>
    <row r="98" ht="15" customHeight="1" s="74">
      <c r="A98" s="118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20" t="n"/>
      <c r="K98" s="120" t="n"/>
      <c r="L98" s="120" t="n"/>
      <c r="M98" s="121" t="n"/>
      <c r="N98" s="118" t="n"/>
    </row>
    <row r="99" ht="15" customHeight="1" s="74">
      <c r="A99" s="118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20" t="n"/>
      <c r="K99" s="120" t="n"/>
      <c r="L99" s="120" t="n"/>
      <c r="M99" s="121" t="n"/>
      <c r="N99" s="118" t="n"/>
    </row>
    <row r="100" ht="15" customHeight="1" s="74">
      <c r="A100" s="118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20" t="n"/>
      <c r="K100" s="120" t="n"/>
      <c r="L100" s="120" t="n"/>
      <c r="M100" s="121" t="n"/>
      <c r="N100" s="118" t="n"/>
    </row>
    <row r="101" ht="15" customHeight="1" s="74">
      <c r="A101" s="118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20" t="n"/>
      <c r="K101" s="120" t="n"/>
      <c r="L101" s="120" t="n"/>
      <c r="M101" s="121" t="n"/>
      <c r="N101" s="118" t="n"/>
    </row>
    <row r="102" ht="15" customHeight="1" s="74">
      <c r="A102" s="118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20" t="n"/>
      <c r="K102" s="120" t="n"/>
      <c r="L102" s="120" t="n"/>
      <c r="M102" s="121" t="n"/>
      <c r="N102" s="118" t="n"/>
    </row>
    <row r="103" ht="15" customHeight="1" s="74">
      <c r="A103" s="118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20" t="n"/>
      <c r="K103" s="120" t="n"/>
      <c r="L103" s="120" t="n"/>
      <c r="M103" s="121" t="n"/>
      <c r="N103" s="118" t="n"/>
    </row>
    <row r="104" ht="15" customHeight="1" s="74">
      <c r="A104" s="118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20" t="n"/>
      <c r="K104" s="120" t="n"/>
      <c r="L104" s="120" t="n"/>
      <c r="M104" s="121" t="n"/>
      <c r="N104" s="118" t="n"/>
    </row>
    <row r="105" ht="15" customHeight="1" s="74">
      <c r="A105" s="118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20" t="n"/>
      <c r="K105" s="120" t="n"/>
      <c r="L105" s="120" t="n"/>
      <c r="M105" s="121" t="n"/>
      <c r="N105" s="118" t="n"/>
    </row>
    <row r="106" ht="15" customHeight="1" s="74">
      <c r="A106" s="118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20" t="n"/>
      <c r="K106" s="120" t="n"/>
      <c r="L106" s="120" t="n"/>
      <c r="M106" s="121" t="n"/>
      <c r="N106" s="118" t="n"/>
    </row>
    <row r="107" ht="15" customHeight="1" s="74">
      <c r="A107" s="118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20" t="n"/>
      <c r="K107" s="120" t="n"/>
      <c r="L107" s="120" t="n"/>
      <c r="M107" s="121" t="n"/>
      <c r="N107" s="118" t="n"/>
    </row>
    <row r="108" ht="15" customHeight="1" s="74">
      <c r="A108" s="118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20" t="n"/>
      <c r="K108" s="120" t="n"/>
      <c r="L108" s="120" t="n"/>
      <c r="M108" s="121" t="n"/>
      <c r="N108" s="118" t="n"/>
    </row>
    <row r="109" ht="15" customHeight="1" s="74">
      <c r="A109" s="118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20" t="n"/>
      <c r="K109" s="120" t="n"/>
      <c r="L109" s="120" t="n"/>
      <c r="M109" s="121" t="n"/>
      <c r="N109" s="118" t="n"/>
    </row>
    <row r="110" ht="15" customHeight="1" s="74">
      <c r="A110" s="118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20" t="n"/>
      <c r="K110" s="120" t="n"/>
      <c r="L110" s="120" t="n"/>
      <c r="M110" s="121" t="n"/>
      <c r="N110" s="118" t="n"/>
    </row>
    <row r="111" ht="15" customHeight="1" s="74">
      <c r="A111" s="118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20" t="n"/>
      <c r="K111" s="120" t="n"/>
      <c r="L111" s="120" t="n"/>
      <c r="M111" s="121" t="n"/>
      <c r="N111" s="118" t="n"/>
    </row>
    <row r="112" ht="15" customHeight="1" s="74">
      <c r="A112" s="118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20" t="n"/>
      <c r="K112" s="120" t="n"/>
      <c r="L112" s="120" t="n"/>
      <c r="M112" s="121" t="n"/>
      <c r="N112" s="118" t="n"/>
    </row>
    <row r="113" ht="15" customHeight="1" s="74">
      <c r="A113" s="118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20" t="n"/>
      <c r="K113" s="120" t="n"/>
      <c r="L113" s="120" t="n"/>
      <c r="M113" s="121" t="n"/>
      <c r="N113" s="118" t="n"/>
    </row>
    <row r="114" ht="15" customHeight="1" s="74">
      <c r="A114" s="118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20" t="n"/>
      <c r="K114" s="120" t="n"/>
      <c r="L114" s="120" t="n"/>
      <c r="M114" s="121" t="n"/>
      <c r="N114" s="118" t="n"/>
    </row>
    <row r="115" ht="15" customHeight="1" s="74">
      <c r="A115" s="118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20" t="n"/>
      <c r="K115" s="120" t="n"/>
      <c r="L115" s="120" t="n"/>
      <c r="M115" s="121" t="n"/>
      <c r="N115" s="118" t="n"/>
    </row>
    <row r="116" ht="15" customHeight="1" s="74">
      <c r="A116" s="118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20" t="n"/>
      <c r="K116" s="120" t="n"/>
      <c r="L116" s="120" t="n"/>
      <c r="M116" s="121" t="n"/>
      <c r="N116" s="118" t="n"/>
    </row>
    <row r="117" ht="15" customHeight="1" s="74">
      <c r="A117" s="118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20" t="n"/>
      <c r="K117" s="120" t="n"/>
      <c r="L117" s="120" t="n"/>
      <c r="M117" s="121" t="n"/>
      <c r="N117" s="118" t="n"/>
    </row>
    <row r="118" ht="15" customHeight="1" s="74">
      <c r="A118" s="118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20" t="n"/>
      <c r="K118" s="120" t="n"/>
      <c r="L118" s="120" t="n"/>
      <c r="M118" s="121" t="n"/>
      <c r="N118" s="118" t="n"/>
    </row>
    <row r="119" ht="15" customHeight="1" s="74">
      <c r="A119" s="118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20" t="n"/>
      <c r="K119" s="120" t="n"/>
      <c r="L119" s="120" t="n"/>
      <c r="M119" s="121" t="n"/>
      <c r="N119" s="118" t="n"/>
    </row>
    <row r="120" ht="15" customHeight="1" s="74">
      <c r="A120" s="118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20" t="n"/>
      <c r="K120" s="120" t="n"/>
      <c r="L120" s="120" t="n"/>
      <c r="M120" s="121" t="n"/>
      <c r="N120" s="118" t="n"/>
    </row>
    <row r="121" ht="15" customHeight="1" s="74">
      <c r="A121" s="118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20" t="n"/>
      <c r="K121" s="120" t="n"/>
      <c r="L121" s="120" t="n"/>
      <c r="M121" s="121" t="n"/>
      <c r="N121" s="118" t="n"/>
    </row>
    <row r="122" ht="15" customHeight="1" s="74">
      <c r="A122" s="118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20" t="n"/>
      <c r="K122" s="120" t="n"/>
      <c r="L122" s="120" t="n"/>
      <c r="M122" s="121" t="n"/>
      <c r="N122" s="118" t="n"/>
    </row>
    <row r="123" ht="15" customHeight="1" s="74">
      <c r="A123" s="118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20" t="n"/>
      <c r="K123" s="120" t="n"/>
      <c r="L123" s="120" t="n"/>
      <c r="M123" s="121" t="n"/>
      <c r="N123" s="118" t="n"/>
    </row>
    <row r="124" ht="15" customHeight="1" s="74">
      <c r="A124" s="118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20" t="n"/>
      <c r="K124" s="120" t="n"/>
      <c r="L124" s="120" t="n"/>
      <c r="M124" s="121" t="n"/>
      <c r="N124" s="118" t="n"/>
    </row>
    <row r="125" ht="15" customHeight="1" s="74">
      <c r="A125" s="118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20" t="n"/>
      <c r="K125" s="120" t="n"/>
      <c r="L125" s="120" t="n"/>
      <c r="M125" s="121" t="n"/>
      <c r="N125" s="118" t="n"/>
    </row>
    <row r="126" ht="15" customHeight="1" s="74">
      <c r="A126" s="118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20" t="n"/>
      <c r="K126" s="120" t="n"/>
      <c r="L126" s="120" t="n"/>
      <c r="M126" s="121" t="n"/>
      <c r="N126" s="118" t="n"/>
    </row>
    <row r="127" ht="15" customHeight="1" s="74">
      <c r="A127" s="118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20" t="n"/>
      <c r="K127" s="120" t="n"/>
      <c r="L127" s="120" t="n"/>
      <c r="M127" s="121" t="n"/>
      <c r="N127" s="118" t="n"/>
    </row>
    <row r="128" ht="15" customHeight="1" s="74">
      <c r="A128" s="118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20" t="n"/>
      <c r="K128" s="120" t="n"/>
      <c r="L128" s="120" t="n"/>
      <c r="M128" s="121" t="n"/>
      <c r="N128" s="118" t="n"/>
    </row>
    <row r="129" ht="15" customHeight="1" s="74">
      <c r="A129" s="118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20" t="n"/>
      <c r="K129" s="120" t="n"/>
      <c r="L129" s="120" t="n"/>
      <c r="M129" s="121" t="n"/>
      <c r="N129" s="118" t="n"/>
    </row>
    <row r="130" ht="15" customHeight="1" s="74">
      <c r="A130" s="118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20" t="n"/>
      <c r="K130" s="120" t="n"/>
      <c r="L130" s="120" t="n"/>
      <c r="M130" s="121" t="n"/>
      <c r="N130" s="118" t="n"/>
    </row>
    <row r="131" ht="15" customHeight="1" s="74">
      <c r="A131" s="118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20" t="n"/>
      <c r="K131" s="120" t="n"/>
      <c r="L131" s="120" t="n"/>
      <c r="M131" s="121" t="n"/>
      <c r="N131" s="118" t="n"/>
    </row>
    <row r="132" ht="15" customHeight="1" s="74">
      <c r="A132" s="118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20" t="n"/>
      <c r="K132" s="120" t="n"/>
      <c r="L132" s="120" t="n"/>
      <c r="M132" s="121" t="n"/>
      <c r="N132" s="118" t="n"/>
    </row>
    <row r="133" ht="15" customHeight="1" s="74">
      <c r="A133" s="118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20" t="n"/>
      <c r="K133" s="120" t="n"/>
      <c r="L133" s="120" t="n"/>
      <c r="M133" s="121" t="n"/>
      <c r="N133" s="118" t="n"/>
    </row>
    <row r="134" ht="15" customHeight="1" s="74">
      <c r="A134" s="118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20" t="n"/>
      <c r="K134" s="120" t="n"/>
      <c r="L134" s="120" t="n"/>
      <c r="M134" s="121" t="n"/>
      <c r="N134" s="118" t="n"/>
    </row>
    <row r="135" ht="15" customHeight="1" s="74">
      <c r="A135" s="118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20" t="n"/>
      <c r="K135" s="120" t="n"/>
      <c r="L135" s="120" t="n"/>
      <c r="M135" s="121" t="n"/>
      <c r="N135" s="118" t="n"/>
    </row>
    <row r="136" ht="15" customHeight="1" s="74">
      <c r="A136" s="118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20" t="n"/>
      <c r="K136" s="120" t="n"/>
      <c r="L136" s="120" t="n"/>
      <c r="M136" s="121" t="n"/>
      <c r="N136" s="118" t="n"/>
    </row>
    <row r="137" ht="15" customHeight="1" s="74">
      <c r="A137" s="118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20" t="n"/>
      <c r="K137" s="120" t="n"/>
      <c r="L137" s="120" t="n"/>
      <c r="M137" s="121" t="n"/>
      <c r="N137" s="118" t="n"/>
    </row>
    <row r="138" ht="15" customHeight="1" s="74">
      <c r="A138" s="118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20" t="n"/>
      <c r="K138" s="120" t="n"/>
      <c r="L138" s="120" t="n"/>
      <c r="M138" s="121" t="n"/>
      <c r="N138" s="118" t="n"/>
    </row>
    <row r="139" ht="15" customHeight="1" s="74">
      <c r="A139" s="118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20" t="n"/>
      <c r="K139" s="120" t="n"/>
      <c r="L139" s="120" t="n"/>
      <c r="M139" s="121" t="n"/>
      <c r="N139" s="118" t="n"/>
    </row>
    <row r="140" ht="15" customHeight="1" s="74">
      <c r="A140" s="118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20" t="n"/>
      <c r="K140" s="120" t="n"/>
      <c r="L140" s="120" t="n"/>
      <c r="M140" s="121" t="n"/>
      <c r="N140" s="118" t="n"/>
    </row>
    <row r="141" ht="15" customHeight="1" s="74">
      <c r="A141" s="118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20" t="n"/>
      <c r="K141" s="120" t="n"/>
      <c r="L141" s="120" t="n"/>
      <c r="M141" s="121" t="n"/>
      <c r="N141" s="118" t="n"/>
    </row>
    <row r="142" ht="15" customHeight="1" s="74">
      <c r="A142" s="118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20" t="n"/>
      <c r="K142" s="120" t="n"/>
      <c r="L142" s="120" t="n"/>
      <c r="M142" s="121" t="n"/>
      <c r="N142" s="118" t="n"/>
    </row>
    <row r="143" ht="15" customHeight="1" s="74">
      <c r="A143" s="118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20" t="n"/>
      <c r="K143" s="120" t="n"/>
      <c r="L143" s="120" t="n"/>
      <c r="M143" s="121" t="n"/>
      <c r="N143" s="118" t="n"/>
    </row>
    <row r="144" ht="15" customHeight="1" s="74">
      <c r="A144" s="118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20" t="n"/>
      <c r="K144" s="120" t="n"/>
      <c r="L144" s="120" t="n"/>
      <c r="M144" s="121" t="n"/>
      <c r="N144" s="118" t="n"/>
    </row>
    <row r="145" ht="15" customHeight="1" s="74">
      <c r="A145" s="118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20" t="n"/>
      <c r="K145" s="120" t="n"/>
      <c r="L145" s="120" t="n"/>
      <c r="M145" s="121" t="n"/>
      <c r="N145" s="118" t="n"/>
    </row>
    <row r="146" ht="15" customHeight="1" s="74">
      <c r="A146" s="118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20" t="n"/>
      <c r="K146" s="120" t="n"/>
      <c r="L146" s="120" t="n"/>
      <c r="M146" s="121" t="n"/>
      <c r="N146" s="118" t="n"/>
    </row>
    <row r="147" ht="15" customHeight="1" s="74">
      <c r="A147" s="118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20" t="n"/>
      <c r="K147" s="120" t="n"/>
      <c r="L147" s="120" t="n"/>
      <c r="M147" s="121" t="n"/>
      <c r="N147" s="118" t="n"/>
    </row>
    <row r="148" ht="15" customHeight="1" s="74">
      <c r="A148" s="118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20" t="n"/>
      <c r="K148" s="120" t="n"/>
      <c r="L148" s="120" t="n"/>
      <c r="M148" s="121" t="n"/>
      <c r="N148" s="118" t="n"/>
    </row>
    <row r="149" ht="15" customHeight="1" s="74">
      <c r="A149" s="118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20" t="n"/>
      <c r="K149" s="120" t="n"/>
      <c r="L149" s="120" t="n"/>
      <c r="M149" s="121" t="n"/>
      <c r="N149" s="118" t="n"/>
    </row>
    <row r="150" ht="15" customHeight="1" s="74">
      <c r="A150" s="118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20" t="n"/>
      <c r="K150" s="120" t="n"/>
      <c r="L150" s="120" t="n"/>
      <c r="M150" s="121" t="n"/>
      <c r="N150" s="118" t="n"/>
    </row>
    <row r="151" ht="15" customHeight="1" s="74">
      <c r="A151" s="118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20" t="n"/>
      <c r="K151" s="120" t="n"/>
      <c r="L151" s="120" t="n"/>
      <c r="M151" s="121" t="n"/>
      <c r="N151" s="118" t="n"/>
    </row>
    <row r="152" ht="15" customHeight="1" s="74">
      <c r="A152" s="118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20" t="n"/>
      <c r="K152" s="120" t="n"/>
      <c r="L152" s="120" t="n"/>
      <c r="M152" s="121" t="n"/>
      <c r="N152" s="118" t="n"/>
    </row>
    <row r="153" ht="15" customHeight="1" s="74">
      <c r="A153" s="118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20" t="n"/>
      <c r="K153" s="120" t="n"/>
      <c r="L153" s="120" t="n"/>
      <c r="M153" s="121" t="n"/>
      <c r="N153" s="118" t="n"/>
    </row>
    <row r="154" ht="15" customHeight="1" s="74">
      <c r="A154" s="118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20" t="n"/>
      <c r="K154" s="120" t="n"/>
      <c r="L154" s="120" t="n"/>
      <c r="M154" s="121" t="n"/>
      <c r="N154" s="118" t="n"/>
    </row>
    <row r="155" ht="15" customHeight="1" s="74">
      <c r="A155" s="118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20" t="n"/>
      <c r="K155" s="120" t="n"/>
      <c r="L155" s="120" t="n"/>
      <c r="M155" s="121" t="n"/>
      <c r="N155" s="118" t="n"/>
    </row>
    <row r="156" ht="15" customHeight="1" s="74">
      <c r="A156" s="118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20" t="n"/>
      <c r="K156" s="120" t="n"/>
      <c r="L156" s="120" t="n"/>
      <c r="M156" s="121" t="n"/>
      <c r="N156" s="118" t="n"/>
    </row>
    <row r="157" ht="15" customHeight="1" s="74">
      <c r="A157" s="118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20" t="n"/>
      <c r="K157" s="120" t="n"/>
      <c r="L157" s="120" t="n"/>
      <c r="M157" s="121" t="n"/>
      <c r="N157" s="118" t="n"/>
    </row>
    <row r="158" ht="15" customHeight="1" s="74">
      <c r="A158" s="118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20" t="n"/>
      <c r="K158" s="120" t="n"/>
      <c r="L158" s="120" t="n"/>
      <c r="M158" s="121" t="n"/>
      <c r="N158" s="118" t="n"/>
    </row>
    <row r="159" ht="15" customHeight="1" s="74">
      <c r="A159" s="118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20" t="n"/>
      <c r="K159" s="120" t="n"/>
      <c r="L159" s="120" t="n"/>
      <c r="M159" s="121" t="n"/>
      <c r="N159" s="118" t="n"/>
    </row>
    <row r="160" ht="15" customHeight="1" s="74">
      <c r="A160" s="118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20" t="n"/>
      <c r="K160" s="120" t="n"/>
      <c r="L160" s="120" t="n"/>
      <c r="M160" s="121" t="n"/>
      <c r="N160" s="118" t="n"/>
    </row>
    <row r="161" ht="15" customHeight="1" s="74">
      <c r="A161" s="118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20" t="n"/>
      <c r="K161" s="120" t="n"/>
      <c r="L161" s="120" t="n"/>
      <c r="M161" s="121" t="n"/>
      <c r="N161" s="118" t="n"/>
    </row>
    <row r="162" ht="15" customHeight="1" s="74">
      <c r="A162" s="118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20" t="n"/>
      <c r="K162" s="120" t="n"/>
      <c r="L162" s="120" t="n"/>
      <c r="M162" s="121" t="n"/>
      <c r="N162" s="118" t="n"/>
    </row>
    <row r="163" ht="15" customHeight="1" s="74">
      <c r="A163" s="118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20" t="n"/>
      <c r="K163" s="120" t="n"/>
      <c r="L163" s="120" t="n"/>
      <c r="M163" s="121" t="n"/>
      <c r="N163" s="118" t="n"/>
    </row>
    <row r="164" ht="15" customHeight="1" s="74">
      <c r="A164" s="118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20" t="n"/>
      <c r="K164" s="120" t="n"/>
      <c r="L164" s="120" t="n"/>
      <c r="M164" s="121" t="n"/>
      <c r="N164" s="118" t="n"/>
    </row>
    <row r="165" ht="15" customHeight="1" s="74">
      <c r="A165" s="118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20" t="n"/>
      <c r="K165" s="120" t="n"/>
      <c r="L165" s="120" t="n"/>
      <c r="M165" s="121" t="n"/>
      <c r="N165" s="118" t="n"/>
    </row>
    <row r="166" ht="15" customHeight="1" s="74">
      <c r="A166" s="118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20" t="n"/>
      <c r="K166" s="120" t="n"/>
      <c r="L166" s="120" t="n"/>
      <c r="M166" s="121" t="n"/>
      <c r="N166" s="118" t="n"/>
    </row>
    <row r="167" ht="15" customHeight="1" s="74">
      <c r="A167" s="118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20" t="n"/>
      <c r="K167" s="120" t="n"/>
      <c r="L167" s="120" t="n"/>
      <c r="M167" s="121" t="n"/>
      <c r="N167" s="118" t="n"/>
    </row>
    <row r="168" ht="15" customHeight="1" s="74">
      <c r="A168" s="118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20" t="n"/>
      <c r="K168" s="120" t="n"/>
      <c r="L168" s="120" t="n"/>
      <c r="M168" s="121" t="n"/>
      <c r="N168" s="118" t="n"/>
    </row>
    <row r="169" ht="15" customHeight="1" s="74">
      <c r="A169" s="118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20" t="n"/>
      <c r="K169" s="120" t="n"/>
      <c r="L169" s="120" t="n"/>
      <c r="M169" s="121" t="n"/>
      <c r="N169" s="118" t="n"/>
    </row>
    <row r="170" ht="15" customHeight="1" s="74">
      <c r="A170" s="118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20" t="n"/>
      <c r="K170" s="120" t="n"/>
      <c r="L170" s="120" t="n"/>
      <c r="M170" s="121" t="n"/>
      <c r="N170" s="118" t="n"/>
    </row>
    <row r="171" ht="15" customHeight="1" s="74">
      <c r="A171" s="118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20" t="n"/>
      <c r="K171" s="120" t="n"/>
      <c r="L171" s="120" t="n"/>
      <c r="M171" s="121" t="n"/>
      <c r="N171" s="118" t="n"/>
    </row>
    <row r="172" ht="15" customHeight="1" s="74">
      <c r="A172" s="118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20" t="n"/>
      <c r="K172" s="120" t="n"/>
      <c r="L172" s="120" t="n"/>
      <c r="M172" s="121" t="n"/>
      <c r="N172" s="118" t="n"/>
    </row>
    <row r="173" ht="15" customHeight="1" s="74">
      <c r="A173" s="118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20" t="n"/>
      <c r="K173" s="120" t="n"/>
      <c r="L173" s="120" t="n"/>
      <c r="M173" s="121" t="n"/>
      <c r="N173" s="118" t="n"/>
    </row>
    <row r="174" ht="15" customHeight="1" s="74">
      <c r="A174" s="118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20" t="n"/>
      <c r="K174" s="120" t="n"/>
      <c r="L174" s="120" t="n"/>
      <c r="M174" s="121" t="n"/>
      <c r="N174" s="118" t="n"/>
    </row>
    <row r="175" ht="15" customHeight="1" s="74">
      <c r="A175" s="118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20" t="n"/>
      <c r="K175" s="120" t="n"/>
      <c r="L175" s="120" t="n"/>
      <c r="M175" s="121" t="n"/>
      <c r="N175" s="118" t="n"/>
    </row>
    <row r="176" ht="15" customHeight="1" s="74">
      <c r="A176" s="118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20" t="n"/>
      <c r="K176" s="120" t="n"/>
      <c r="L176" s="120" t="n"/>
      <c r="M176" s="121" t="n"/>
      <c r="N176" s="118" t="n"/>
    </row>
    <row r="177" ht="15" customHeight="1" s="74">
      <c r="A177" s="118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20" t="n"/>
      <c r="K177" s="120" t="n"/>
      <c r="L177" s="120" t="n"/>
      <c r="M177" s="121" t="n"/>
      <c r="N177" s="118" t="n"/>
    </row>
    <row r="178" ht="15" customHeight="1" s="74">
      <c r="A178" s="118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20" t="n"/>
      <c r="K178" s="120" t="n"/>
      <c r="L178" s="120" t="n"/>
      <c r="M178" s="121" t="n"/>
      <c r="N178" s="118" t="n"/>
    </row>
    <row r="179" ht="15" customHeight="1" s="74">
      <c r="A179" s="118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20" t="n"/>
      <c r="K179" s="120" t="n"/>
      <c r="L179" s="120" t="n"/>
      <c r="M179" s="121" t="n"/>
      <c r="N179" s="118" t="n"/>
    </row>
    <row r="180" ht="15" customHeight="1" s="74">
      <c r="A180" s="118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20" t="n"/>
      <c r="K180" s="120" t="n"/>
      <c r="L180" s="120" t="n"/>
      <c r="M180" s="121" t="n"/>
      <c r="N180" s="118" t="n"/>
    </row>
    <row r="181" ht="15" customHeight="1" s="74">
      <c r="A181" s="118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20" t="n"/>
      <c r="K181" s="120" t="n"/>
      <c r="L181" s="120" t="n"/>
      <c r="M181" s="121" t="n"/>
      <c r="N181" s="118" t="n"/>
    </row>
    <row r="182" ht="15" customHeight="1" s="74">
      <c r="A182" s="118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20" t="n"/>
      <c r="K182" s="120" t="n"/>
      <c r="L182" s="120" t="n"/>
      <c r="M182" s="121" t="n"/>
      <c r="N182" s="118" t="n"/>
    </row>
    <row r="183" ht="15" customHeight="1" s="74">
      <c r="A183" s="118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20" t="n"/>
      <c r="K183" s="120" t="n"/>
      <c r="L183" s="120" t="n"/>
      <c r="M183" s="121" t="n"/>
      <c r="N183" s="118" t="n"/>
    </row>
    <row r="184" ht="15" customHeight="1" s="74">
      <c r="A184" s="118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20" t="n"/>
      <c r="K184" s="120" t="n"/>
      <c r="L184" s="120" t="n"/>
      <c r="M184" s="121" t="n"/>
      <c r="N184" s="118" t="n"/>
    </row>
    <row r="185" ht="15" customHeight="1" s="74">
      <c r="A185" s="118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20" t="n"/>
      <c r="K185" s="120" t="n"/>
      <c r="L185" s="120" t="n"/>
      <c r="M185" s="121" t="n"/>
      <c r="N185" s="118" t="n"/>
    </row>
    <row r="186" ht="15" customHeight="1" s="74">
      <c r="A186" s="118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20" t="n"/>
      <c r="K186" s="120" t="n"/>
      <c r="L186" s="120" t="n"/>
      <c r="M186" s="121" t="n"/>
      <c r="N186" s="118" t="n"/>
    </row>
    <row r="187" ht="15" customHeight="1" s="74">
      <c r="A187" s="118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20" t="n"/>
      <c r="K187" s="120" t="n"/>
      <c r="L187" s="120" t="n"/>
      <c r="M187" s="121" t="n"/>
      <c r="N187" s="118" t="n"/>
    </row>
    <row r="188" ht="15" customHeight="1" s="74">
      <c r="A188" s="118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20" t="n"/>
      <c r="K188" s="120" t="n"/>
      <c r="L188" s="120" t="n"/>
      <c r="M188" s="121" t="n"/>
      <c r="N188" s="118" t="n"/>
    </row>
    <row r="189" ht="15" customHeight="1" s="74">
      <c r="A189" s="118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20" t="n"/>
      <c r="K189" s="120" t="n"/>
      <c r="L189" s="120" t="n"/>
      <c r="M189" s="121" t="n"/>
      <c r="N189" s="118" t="n"/>
    </row>
    <row r="190" ht="15" customHeight="1" s="74">
      <c r="A190" s="118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20" t="n"/>
      <c r="K190" s="120" t="n"/>
      <c r="L190" s="120" t="n"/>
      <c r="M190" s="121" t="n"/>
      <c r="N190" s="118" t="n"/>
    </row>
    <row r="191" ht="15" customHeight="1" s="74">
      <c r="A191" s="118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20" t="n"/>
      <c r="K191" s="120" t="n"/>
      <c r="L191" s="120" t="n"/>
      <c r="M191" s="121" t="n"/>
      <c r="N191" s="118" t="n"/>
    </row>
    <row r="192" ht="15" customHeight="1" s="74">
      <c r="A192" s="118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20" t="n"/>
      <c r="K192" s="120" t="n"/>
      <c r="L192" s="120" t="n"/>
      <c r="M192" s="121" t="n"/>
      <c r="N192" s="118" t="n"/>
    </row>
    <row r="193" ht="15" customHeight="1" s="74">
      <c r="A193" s="118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20" t="n"/>
      <c r="K193" s="120" t="n"/>
      <c r="L193" s="120" t="n"/>
      <c r="M193" s="121" t="n"/>
      <c r="N193" s="118" t="n"/>
    </row>
    <row r="194" ht="15" customHeight="1" s="74">
      <c r="A194" s="118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20" t="n"/>
      <c r="K194" s="120" t="n"/>
      <c r="L194" s="120" t="n"/>
      <c r="M194" s="121" t="n"/>
      <c r="N194" s="118" t="n"/>
    </row>
    <row r="195" ht="15" customHeight="1" s="74">
      <c r="A195" s="118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20" t="n"/>
      <c r="K195" s="120" t="n"/>
      <c r="L195" s="120" t="n"/>
      <c r="M195" s="121" t="n"/>
      <c r="N195" s="118" t="n"/>
    </row>
    <row r="196" ht="15" customHeight="1" s="74">
      <c r="A196" s="118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20" t="n"/>
      <c r="K196" s="120" t="n"/>
      <c r="L196" s="120" t="n"/>
      <c r="M196" s="121" t="n"/>
      <c r="N196" s="118" t="n"/>
    </row>
    <row r="197" ht="15" customHeight="1" s="74">
      <c r="A197" s="118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20" t="n"/>
      <c r="K197" s="120" t="n"/>
      <c r="L197" s="120" t="n"/>
      <c r="M197" s="121" t="n"/>
      <c r="N197" s="118" t="n"/>
    </row>
    <row r="198" ht="15" customHeight="1" s="74">
      <c r="A198" s="118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20" t="n"/>
      <c r="K198" s="120" t="n"/>
      <c r="L198" s="120" t="n"/>
      <c r="M198" s="121" t="n"/>
      <c r="N198" s="118" t="n"/>
    </row>
    <row r="199" ht="15" customHeight="1" s="74">
      <c r="A199" s="118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20" t="n"/>
      <c r="K199" s="120" t="n"/>
      <c r="L199" s="120" t="n"/>
      <c r="M199" s="121" t="n"/>
      <c r="N199" s="118" t="n"/>
    </row>
    <row r="200" ht="15" customHeight="1" s="74">
      <c r="A200" s="118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20" t="n"/>
      <c r="K200" s="120" t="n"/>
      <c r="L200" s="120" t="n"/>
      <c r="M200" s="121" t="n"/>
      <c r="N200" s="118" t="n"/>
    </row>
    <row r="201" ht="15" customHeight="1" s="74">
      <c r="A201" s="118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20" t="n"/>
      <c r="K201" s="120" t="n"/>
      <c r="L201" s="120" t="n"/>
      <c r="M201" s="121" t="n"/>
      <c r="N201" s="118" t="n"/>
    </row>
    <row r="202" ht="15" customHeight="1" s="74">
      <c r="A202" s="118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20" t="n"/>
      <c r="K202" s="120" t="n"/>
      <c r="L202" s="120" t="n"/>
      <c r="M202" s="121" t="n"/>
      <c r="N202" s="118" t="n"/>
    </row>
    <row r="203" ht="15" customHeight="1" s="74">
      <c r="A203" s="118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20" t="n"/>
      <c r="K203" s="120" t="n"/>
      <c r="L203" s="120" t="n"/>
      <c r="M203" s="121" t="n"/>
      <c r="N203" s="118" t="n"/>
    </row>
    <row r="204" ht="15" customHeight="1" s="74">
      <c r="A204" s="118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20" t="n"/>
      <c r="K204" s="120" t="n"/>
      <c r="L204" s="120" t="n"/>
      <c r="M204" s="121" t="n"/>
      <c r="N204" s="118" t="n"/>
    </row>
    <row r="205" ht="15" customHeight="1" s="74">
      <c r="A205" s="118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20" t="n"/>
      <c r="K205" s="120" t="n"/>
      <c r="L205" s="120" t="n"/>
      <c r="M205" s="121" t="n"/>
      <c r="N205" s="118" t="n"/>
    </row>
    <row r="206" ht="15" customHeight="1" s="74">
      <c r="A206" s="118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20" t="n"/>
      <c r="K206" s="120" t="n"/>
      <c r="L206" s="120" t="n"/>
      <c r="M206" s="121" t="n"/>
      <c r="N206" s="118" t="n"/>
    </row>
    <row r="207" ht="15" customHeight="1" s="74">
      <c r="A207" s="118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20" t="n"/>
      <c r="K207" s="120" t="n"/>
      <c r="L207" s="120" t="n"/>
      <c r="M207" s="121" t="n"/>
      <c r="N207" s="118" t="n"/>
    </row>
    <row r="208" ht="15" customHeight="1" s="74">
      <c r="A208" s="118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20" t="n"/>
      <c r="K208" s="120" t="n"/>
      <c r="L208" s="120" t="n"/>
      <c r="M208" s="121" t="n"/>
      <c r="N208" s="118" t="n"/>
    </row>
    <row r="209" ht="15" customHeight="1" s="74">
      <c r="A209" s="118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20" t="n"/>
      <c r="K209" s="120" t="n"/>
      <c r="L209" s="120" t="n"/>
      <c r="M209" s="121" t="n"/>
      <c r="N209" s="118" t="n"/>
    </row>
    <row r="210" ht="15" customHeight="1" s="74">
      <c r="A210" s="118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20" t="n"/>
      <c r="K210" s="120" t="n"/>
      <c r="L210" s="120" t="n"/>
      <c r="M210" s="121" t="n"/>
      <c r="N210" s="118" t="n"/>
    </row>
    <row r="211" ht="15" customHeight="1" s="74">
      <c r="A211" s="118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20" t="n"/>
      <c r="K211" s="120" t="n"/>
      <c r="L211" s="120" t="n"/>
      <c r="M211" s="121" t="n"/>
      <c r="N211" s="118" t="n"/>
    </row>
    <row r="212" ht="15" customHeight="1" s="74">
      <c r="A212" s="118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20" t="n"/>
      <c r="K212" s="120" t="n"/>
      <c r="L212" s="120" t="n"/>
      <c r="M212" s="121" t="n"/>
      <c r="N212" s="118" t="n"/>
    </row>
    <row r="213" ht="15" customHeight="1" s="74">
      <c r="A213" s="118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20" t="n"/>
      <c r="K213" s="120" t="n"/>
      <c r="L213" s="120" t="n"/>
      <c r="M213" s="121" t="n"/>
      <c r="N213" s="118" t="n"/>
    </row>
    <row r="214" ht="15" customHeight="1" s="74">
      <c r="A214" s="118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20" t="n"/>
      <c r="K214" s="120" t="n"/>
      <c r="L214" s="120" t="n"/>
      <c r="M214" s="121" t="n"/>
      <c r="N214" s="118" t="n"/>
    </row>
    <row r="215" ht="15" customHeight="1" s="74">
      <c r="A215" s="118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20" t="n"/>
      <c r="K215" s="120" t="n"/>
      <c r="L215" s="120" t="n"/>
      <c r="M215" s="121" t="n"/>
      <c r="N215" s="118" t="n"/>
    </row>
    <row r="216" ht="15" customHeight="1" s="74">
      <c r="A216" s="118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20" t="n"/>
      <c r="K216" s="120" t="n"/>
      <c r="L216" s="120" t="n"/>
      <c r="M216" s="121" t="n"/>
      <c r="N216" s="118" t="n"/>
    </row>
    <row r="217" ht="15" customHeight="1" s="74">
      <c r="A217" s="118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20" t="n"/>
      <c r="K217" s="120" t="n"/>
      <c r="L217" s="120" t="n"/>
      <c r="M217" s="121" t="n"/>
      <c r="N217" s="118" t="n"/>
    </row>
    <row r="218" ht="15" customHeight="1" s="74">
      <c r="A218" s="118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20" t="n"/>
      <c r="K218" s="120" t="n"/>
      <c r="L218" s="120" t="n"/>
      <c r="M218" s="121" t="n"/>
      <c r="N218" s="118" t="n"/>
    </row>
    <row r="219" ht="15" customHeight="1" s="74">
      <c r="A219" s="118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20" t="n"/>
      <c r="K219" s="120" t="n"/>
      <c r="L219" s="120" t="n"/>
      <c r="M219" s="121" t="n"/>
      <c r="N219" s="118" t="n"/>
    </row>
    <row r="220" ht="15" customHeight="1" s="74">
      <c r="A220" s="118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20" t="n"/>
      <c r="K220" s="120" t="n"/>
      <c r="L220" s="120" t="n"/>
      <c r="M220" s="121" t="n"/>
      <c r="N220" s="118" t="n"/>
    </row>
    <row r="221" ht="15" customHeight="1" s="74">
      <c r="A221" s="118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20" t="n"/>
      <c r="K221" s="120" t="n"/>
      <c r="L221" s="120" t="n"/>
      <c r="M221" s="121" t="n"/>
      <c r="N221" s="118" t="n"/>
    </row>
    <row r="222" ht="15" customHeight="1" s="74">
      <c r="A222" s="118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20" t="n"/>
      <c r="K222" s="120" t="n"/>
      <c r="L222" s="120" t="n"/>
      <c r="M222" s="121" t="n"/>
      <c r="N222" s="118" t="n"/>
    </row>
    <row r="223" ht="15" customHeight="1" s="74">
      <c r="A223" s="118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20" t="n"/>
      <c r="K223" s="120" t="n"/>
      <c r="L223" s="120" t="n"/>
      <c r="M223" s="121" t="n"/>
      <c r="N223" s="118" t="n"/>
    </row>
    <row r="224" ht="15" customHeight="1" s="74">
      <c r="A224" s="118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20" t="n"/>
      <c r="K224" s="120" t="n"/>
      <c r="L224" s="120" t="n"/>
      <c r="M224" s="121" t="n"/>
      <c r="N224" s="118" t="n"/>
    </row>
    <row r="225" ht="15" customHeight="1" s="74">
      <c r="A225" s="118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20" t="n"/>
      <c r="K225" s="120" t="n"/>
      <c r="L225" s="120" t="n"/>
      <c r="M225" s="121" t="n"/>
      <c r="N225" s="118" t="n"/>
    </row>
    <row r="226" ht="15" customHeight="1" s="74">
      <c r="A226" s="118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20" t="n"/>
      <c r="K226" s="120" t="n"/>
      <c r="L226" s="120" t="n"/>
      <c r="M226" s="121" t="n"/>
      <c r="N226" s="118" t="n"/>
    </row>
    <row r="227" ht="15" customHeight="1" s="74">
      <c r="A227" s="118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20" t="n"/>
      <c r="K227" s="120" t="n"/>
      <c r="L227" s="120" t="n"/>
      <c r="M227" s="121" t="n"/>
      <c r="N227" s="118" t="n"/>
    </row>
    <row r="228" ht="15" customHeight="1" s="74">
      <c r="A228" s="118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20" t="n"/>
      <c r="K228" s="120" t="n"/>
      <c r="L228" s="120" t="n"/>
      <c r="M228" s="121" t="n"/>
      <c r="N228" s="118" t="n"/>
    </row>
    <row r="229" ht="15" customHeight="1" s="74">
      <c r="A229" s="118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20" t="n"/>
      <c r="K229" s="120" t="n"/>
      <c r="L229" s="120" t="n"/>
      <c r="M229" s="121" t="n"/>
      <c r="N229" s="118" t="n"/>
    </row>
    <row r="230" ht="15" customHeight="1" s="74">
      <c r="A230" s="118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20" t="n"/>
      <c r="K230" s="120" t="n"/>
      <c r="L230" s="120" t="n"/>
      <c r="M230" s="121" t="n"/>
      <c r="N230" s="118" t="n"/>
    </row>
    <row r="231" ht="15" customHeight="1" s="74">
      <c r="A231" s="118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20" t="n"/>
      <c r="K231" s="120" t="n"/>
      <c r="L231" s="120" t="n"/>
      <c r="M231" s="121" t="n"/>
      <c r="N231" s="118" t="n"/>
    </row>
    <row r="232" ht="15" customHeight="1" s="74">
      <c r="A232" s="118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20" t="n"/>
      <c r="K232" s="120" t="n"/>
      <c r="L232" s="120" t="n"/>
      <c r="M232" s="121" t="n"/>
      <c r="N232" s="118" t="n"/>
    </row>
    <row r="233" ht="15" customHeight="1" s="74">
      <c r="A233" s="118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20" t="n"/>
      <c r="K233" s="120" t="n"/>
      <c r="L233" s="120" t="n"/>
      <c r="M233" s="121" t="n"/>
      <c r="N233" s="118" t="n"/>
    </row>
    <row r="234" ht="15" customHeight="1" s="74">
      <c r="A234" s="118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20" t="n"/>
      <c r="K234" s="120" t="n"/>
      <c r="L234" s="120" t="n"/>
      <c r="M234" s="121" t="n"/>
      <c r="N234" s="118" t="n"/>
    </row>
    <row r="235" ht="15" customHeight="1" s="74">
      <c r="A235" s="118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20" t="n"/>
      <c r="K235" s="120" t="n"/>
      <c r="L235" s="120" t="n"/>
      <c r="M235" s="121" t="n"/>
      <c r="N235" s="118" t="n"/>
    </row>
    <row r="236" ht="15" customHeight="1" s="74">
      <c r="A236" s="118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20" t="n"/>
      <c r="K236" s="120" t="n"/>
      <c r="L236" s="120" t="n"/>
      <c r="M236" s="121" t="n"/>
      <c r="N236" s="118" t="n"/>
    </row>
    <row r="237" ht="15" customHeight="1" s="74">
      <c r="A237" s="118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20" t="n"/>
      <c r="K237" s="120" t="n"/>
      <c r="L237" s="120" t="n"/>
      <c r="M237" s="121" t="n"/>
      <c r="N237" s="118" t="n"/>
    </row>
    <row r="238" ht="15" customHeight="1" s="74">
      <c r="A238" s="118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20" t="n"/>
      <c r="K238" s="120" t="n"/>
      <c r="L238" s="120" t="n"/>
      <c r="M238" s="121" t="n"/>
      <c r="N238" s="118" t="n"/>
    </row>
    <row r="239" ht="15" customHeight="1" s="74">
      <c r="A239" s="118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20" t="n"/>
      <c r="K239" s="120" t="n"/>
      <c r="L239" s="120" t="n"/>
      <c r="M239" s="121" t="n"/>
      <c r="N239" s="118" t="n"/>
    </row>
    <row r="240" ht="15" customHeight="1" s="74">
      <c r="A240" s="118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20" t="n"/>
      <c r="K240" s="120" t="n"/>
      <c r="L240" s="120" t="n"/>
      <c r="M240" s="121" t="n"/>
      <c r="N240" s="118" t="n"/>
    </row>
    <row r="241" ht="15" customHeight="1" s="74">
      <c r="A241" s="118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20" t="n"/>
      <c r="K241" s="120" t="n"/>
      <c r="L241" s="120" t="n"/>
      <c r="M241" s="121" t="n"/>
      <c r="N241" s="118" t="n"/>
    </row>
    <row r="242" ht="15" customHeight="1" s="74">
      <c r="A242" s="118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20" t="n"/>
      <c r="K242" s="120" t="n"/>
      <c r="L242" s="120" t="n"/>
      <c r="M242" s="121" t="n"/>
      <c r="N242" s="118" t="n"/>
    </row>
    <row r="243" ht="15" customHeight="1" s="74">
      <c r="A243" s="118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20" t="n"/>
      <c r="K243" s="120" t="n"/>
      <c r="L243" s="120" t="n"/>
      <c r="M243" s="121" t="n"/>
      <c r="N243" s="118" t="n"/>
    </row>
    <row r="244" ht="15" customHeight="1" s="74">
      <c r="A244" s="118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20" t="n"/>
      <c r="K244" s="120" t="n"/>
      <c r="L244" s="120" t="n"/>
      <c r="M244" s="121" t="n"/>
      <c r="N244" s="118" t="n"/>
    </row>
    <row r="245" ht="15" customHeight="1" s="74">
      <c r="A245" s="118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20" t="n"/>
      <c r="K245" s="120" t="n"/>
      <c r="L245" s="120" t="n"/>
      <c r="M245" s="121" t="n"/>
      <c r="N245" s="118" t="n"/>
    </row>
    <row r="246" ht="15" customHeight="1" s="74">
      <c r="A246" s="118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20" t="n"/>
      <c r="K246" s="120" t="n"/>
      <c r="L246" s="120" t="n"/>
      <c r="M246" s="121" t="n"/>
      <c r="N246" s="118" t="n"/>
    </row>
    <row r="247" ht="15" customHeight="1" s="74">
      <c r="A247" s="118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20" t="n"/>
      <c r="K247" s="120" t="n"/>
      <c r="L247" s="120" t="n"/>
      <c r="M247" s="121" t="n"/>
      <c r="N247" s="118" t="n"/>
    </row>
    <row r="248" ht="15" customHeight="1" s="74">
      <c r="A248" s="118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20" t="n"/>
      <c r="K248" s="120" t="n"/>
      <c r="L248" s="120" t="n"/>
      <c r="M248" s="121" t="n"/>
      <c r="N248" s="118" t="n"/>
    </row>
    <row r="249" ht="15" customHeight="1" s="74">
      <c r="A249" s="118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20" t="n"/>
      <c r="K249" s="120" t="n"/>
      <c r="L249" s="120" t="n"/>
      <c r="M249" s="121" t="n"/>
      <c r="N249" s="118" t="n"/>
    </row>
    <row r="250" ht="15" customHeight="1" s="74">
      <c r="A250" s="118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20" t="n"/>
      <c r="K250" s="120" t="n"/>
      <c r="L250" s="120" t="n"/>
      <c r="M250" s="121" t="n"/>
      <c r="N250" s="118" t="n"/>
    </row>
    <row r="251" ht="15" customHeight="1" s="74">
      <c r="A251" s="118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20" t="n"/>
      <c r="K251" s="120" t="n"/>
      <c r="L251" s="120" t="n"/>
      <c r="M251" s="121" t="n"/>
      <c r="N251" s="118" t="n"/>
    </row>
    <row r="252" ht="15" customHeight="1" s="74">
      <c r="A252" s="118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20" t="n"/>
      <c r="K252" s="120" t="n"/>
      <c r="L252" s="120" t="n"/>
      <c r="M252" s="121" t="n"/>
      <c r="N252" s="118" t="n"/>
    </row>
    <row r="253" ht="15" customHeight="1" s="74">
      <c r="A253" s="118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20" t="n"/>
      <c r="K253" s="120" t="n"/>
      <c r="L253" s="120" t="n"/>
      <c r="M253" s="121" t="n"/>
      <c r="N253" s="118" t="n"/>
    </row>
    <row r="254" ht="15" customHeight="1" s="74">
      <c r="A254" s="118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20" t="n"/>
      <c r="K254" s="120" t="n"/>
      <c r="L254" s="120" t="n"/>
      <c r="M254" s="121" t="n"/>
      <c r="N254" s="118" t="n"/>
    </row>
    <row r="255" ht="15" customHeight="1" s="74">
      <c r="A255" s="118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20" t="n"/>
      <c r="K255" s="120" t="n"/>
      <c r="L255" s="120" t="n"/>
      <c r="M255" s="121" t="n"/>
      <c r="N255" s="118" t="n"/>
    </row>
    <row r="256" ht="15" customHeight="1" s="74">
      <c r="A256" s="118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20" t="n"/>
      <c r="K256" s="120" t="n"/>
      <c r="L256" s="120" t="n"/>
      <c r="M256" s="121" t="n"/>
      <c r="N256" s="118" t="n"/>
    </row>
    <row r="257" ht="15" customHeight="1" s="74">
      <c r="A257" s="118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20" t="n"/>
      <c r="K257" s="120" t="n"/>
      <c r="L257" s="120" t="n"/>
      <c r="M257" s="121" t="n"/>
      <c r="N257" s="118" t="n"/>
    </row>
    <row r="258" ht="15" customHeight="1" s="74">
      <c r="A258" s="118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20" t="n"/>
      <c r="K258" s="120" t="n"/>
      <c r="L258" s="120" t="n"/>
      <c r="M258" s="121" t="n"/>
      <c r="N258" s="118" t="n"/>
    </row>
    <row r="259" ht="15" customHeight="1" s="74">
      <c r="A259" s="118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20" t="n"/>
      <c r="K259" s="120" t="n"/>
      <c r="L259" s="120" t="n"/>
      <c r="M259" s="121" t="n"/>
      <c r="N259" s="118" t="n"/>
    </row>
    <row r="260" ht="15" customHeight="1" s="74">
      <c r="A260" s="118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20" t="n"/>
      <c r="K260" s="120" t="n"/>
      <c r="L260" s="120" t="n"/>
      <c r="M260" s="121" t="n"/>
      <c r="N260" s="118" t="n"/>
    </row>
    <row r="261" ht="15" customHeight="1" s="74">
      <c r="A261" s="118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20" t="n"/>
      <c r="K261" s="120" t="n"/>
      <c r="L261" s="120" t="n"/>
      <c r="M261" s="121" t="n"/>
      <c r="N261" s="118" t="n"/>
    </row>
    <row r="262" ht="15" customHeight="1" s="74">
      <c r="A262" s="118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20" t="n"/>
      <c r="K262" s="120" t="n"/>
      <c r="L262" s="120" t="n"/>
      <c r="M262" s="121" t="n"/>
      <c r="N262" s="118" t="n"/>
    </row>
    <row r="263" ht="15" customHeight="1" s="74">
      <c r="A263" s="118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20" t="n"/>
      <c r="K263" s="120" t="n"/>
      <c r="L263" s="120" t="n"/>
      <c r="M263" s="121" t="n"/>
      <c r="N263" s="118" t="n"/>
    </row>
    <row r="264" ht="15" customHeight="1" s="74">
      <c r="A264" s="118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20" t="n"/>
      <c r="K264" s="120" t="n"/>
      <c r="L264" s="120" t="n"/>
      <c r="M264" s="121" t="n"/>
      <c r="N264" s="118" t="n"/>
    </row>
    <row r="265" ht="15" customHeight="1" s="74">
      <c r="A265" s="118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20" t="n"/>
      <c r="K265" s="120" t="n"/>
      <c r="L265" s="120" t="n"/>
      <c r="M265" s="121" t="n"/>
      <c r="N265" s="118" t="n"/>
    </row>
    <row r="266" ht="15" customHeight="1" s="74">
      <c r="A266" s="118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20" t="n"/>
      <c r="K266" s="120" t="n"/>
      <c r="L266" s="120" t="n"/>
      <c r="M266" s="121" t="n"/>
      <c r="N266" s="118" t="n"/>
    </row>
    <row r="267" ht="15" customHeight="1" s="74">
      <c r="A267" s="118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20" t="n"/>
      <c r="K267" s="120" t="n"/>
      <c r="L267" s="120" t="n"/>
      <c r="M267" s="121" t="n"/>
      <c r="N267" s="118" t="n"/>
    </row>
    <row r="268" ht="15" customHeight="1" s="74">
      <c r="A268" s="118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20" t="n"/>
      <c r="K268" s="120" t="n"/>
      <c r="L268" s="120" t="n"/>
      <c r="M268" s="121" t="n"/>
      <c r="N268" s="118" t="n"/>
    </row>
    <row r="269" ht="15" customHeight="1" s="74">
      <c r="A269" s="118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20" t="n"/>
      <c r="K269" s="120" t="n"/>
      <c r="L269" s="120" t="n"/>
      <c r="M269" s="121" t="n"/>
      <c r="N269" s="118" t="n"/>
    </row>
    <row r="270" ht="15" customHeight="1" s="74">
      <c r="A270" s="118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20" t="n"/>
      <c r="K270" s="120" t="n"/>
      <c r="L270" s="120" t="n"/>
      <c r="M270" s="121" t="n"/>
      <c r="N270" s="118" t="n"/>
    </row>
    <row r="271" ht="15" customHeight="1" s="74">
      <c r="A271" s="118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20" t="n"/>
      <c r="K271" s="120" t="n"/>
      <c r="L271" s="120" t="n"/>
      <c r="M271" s="121" t="n"/>
      <c r="N271" s="118" t="n"/>
    </row>
    <row r="272" ht="15" customHeight="1" s="74">
      <c r="A272" s="118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20" t="n"/>
      <c r="K272" s="120" t="n"/>
      <c r="L272" s="120" t="n"/>
      <c r="M272" s="121" t="n"/>
      <c r="N272" s="118" t="n"/>
    </row>
    <row r="273" ht="15" customHeight="1" s="74">
      <c r="A273" s="118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20" t="n"/>
      <c r="K273" s="120" t="n"/>
      <c r="L273" s="120" t="n"/>
      <c r="M273" s="121" t="n"/>
      <c r="N273" s="118" t="n"/>
    </row>
    <row r="274" ht="15" customHeight="1" s="74">
      <c r="A274" s="118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20" t="n"/>
      <c r="K274" s="120" t="n"/>
      <c r="L274" s="120" t="n"/>
      <c r="M274" s="121" t="n"/>
      <c r="N274" s="118" t="n"/>
    </row>
    <row r="275" ht="15" customHeight="1" s="74">
      <c r="A275" s="118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20" t="n"/>
      <c r="K275" s="120" t="n"/>
      <c r="L275" s="120" t="n"/>
      <c r="M275" s="121" t="n"/>
      <c r="N275" s="118" t="n"/>
    </row>
    <row r="276" ht="15" customHeight="1" s="74">
      <c r="A276" s="118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20" t="n"/>
      <c r="K276" s="120" t="n"/>
      <c r="L276" s="120" t="n"/>
      <c r="M276" s="121" t="n"/>
      <c r="N276" s="118" t="n"/>
    </row>
    <row r="277" ht="15" customHeight="1" s="74">
      <c r="A277" s="118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20" t="n"/>
      <c r="K277" s="120" t="n"/>
      <c r="L277" s="120" t="n"/>
      <c r="M277" s="121" t="n"/>
      <c r="N277" s="118" t="n"/>
    </row>
    <row r="278" ht="15" customHeight="1" s="74">
      <c r="A278" s="118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20" t="n"/>
      <c r="K278" s="120" t="n"/>
      <c r="L278" s="120" t="n"/>
      <c r="M278" s="121" t="n"/>
      <c r="N278" s="118" t="n"/>
    </row>
    <row r="279" ht="15" customHeight="1" s="74">
      <c r="A279" s="118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20" t="n"/>
      <c r="K279" s="120" t="n"/>
      <c r="L279" s="120" t="n"/>
      <c r="M279" s="121" t="n"/>
      <c r="N279" s="118" t="n"/>
    </row>
    <row r="280" ht="15" customHeight="1" s="74">
      <c r="A280" s="118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20" t="n"/>
      <c r="K280" s="120" t="n"/>
      <c r="L280" s="120" t="n"/>
      <c r="M280" s="121" t="n"/>
      <c r="N280" s="118" t="n"/>
    </row>
    <row r="281" ht="15" customHeight="1" s="74">
      <c r="A281" s="118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20" t="n"/>
      <c r="K281" s="120" t="n"/>
      <c r="L281" s="120" t="n"/>
      <c r="M281" s="121" t="n"/>
      <c r="N281" s="118" t="n"/>
    </row>
    <row r="282" ht="15" customHeight="1" s="74">
      <c r="A282" s="118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20" t="n"/>
      <c r="K282" s="120" t="n"/>
      <c r="L282" s="120" t="n"/>
      <c r="M282" s="121" t="n"/>
      <c r="N282" s="118" t="n"/>
    </row>
    <row r="283" ht="15" customHeight="1" s="74">
      <c r="A283" s="118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20" t="n"/>
      <c r="K283" s="120" t="n"/>
      <c r="L283" s="120" t="n"/>
      <c r="M283" s="121" t="n"/>
      <c r="N283" s="118" t="n"/>
    </row>
    <row r="284" ht="15" customHeight="1" s="74">
      <c r="A284" s="118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20" t="n"/>
      <c r="K284" s="120" t="n"/>
      <c r="L284" s="120" t="n"/>
      <c r="M284" s="121" t="n"/>
      <c r="N284" s="118" t="n"/>
    </row>
    <row r="285" ht="15" customHeight="1" s="74">
      <c r="A285" s="118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20" t="n"/>
      <c r="K285" s="120" t="n"/>
      <c r="L285" s="120" t="n"/>
      <c r="M285" s="121" t="n"/>
      <c r="N285" s="118" t="n"/>
    </row>
    <row r="286" ht="15" customHeight="1" s="74">
      <c r="A286" s="118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20" t="n"/>
      <c r="K286" s="120" t="n"/>
      <c r="L286" s="120" t="n"/>
      <c r="M286" s="121" t="n"/>
      <c r="N286" s="118" t="n"/>
    </row>
    <row r="287" ht="15" customHeight="1" s="74">
      <c r="A287" s="118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20" t="n"/>
      <c r="K287" s="120" t="n"/>
      <c r="L287" s="120" t="n"/>
      <c r="M287" s="121" t="n"/>
      <c r="N287" s="118" t="n"/>
    </row>
    <row r="288" ht="15" customHeight="1" s="74">
      <c r="A288" s="118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20" t="n"/>
      <c r="K288" s="120" t="n"/>
      <c r="L288" s="120" t="n"/>
      <c r="M288" s="121" t="n"/>
      <c r="N288" s="118" t="n"/>
    </row>
    <row r="289" ht="15" customHeight="1" s="74">
      <c r="A289" s="118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20" t="n"/>
      <c r="K289" s="120" t="n"/>
      <c r="L289" s="120" t="n"/>
      <c r="M289" s="121" t="n"/>
      <c r="N289" s="118" t="n"/>
    </row>
    <row r="290" ht="15" customHeight="1" s="74">
      <c r="A290" s="118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20" t="n"/>
      <c r="K290" s="120" t="n"/>
      <c r="L290" s="120" t="n"/>
      <c r="M290" s="121" t="n"/>
      <c r="N290" s="118" t="n"/>
    </row>
    <row r="291" ht="15" customHeight="1" s="74">
      <c r="A291" s="118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20" t="n"/>
      <c r="K291" s="120" t="n"/>
      <c r="L291" s="120" t="n"/>
      <c r="M291" s="121" t="n"/>
      <c r="N291" s="118" t="n"/>
    </row>
    <row r="292" ht="15" customHeight="1" s="74">
      <c r="A292" s="118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20" t="n"/>
      <c r="K292" s="120" t="n"/>
      <c r="L292" s="120" t="n"/>
      <c r="M292" s="121" t="n"/>
      <c r="N292" s="118" t="n"/>
    </row>
    <row r="293" ht="15" customHeight="1" s="74">
      <c r="A293" s="118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20" t="n"/>
      <c r="K293" s="120" t="n"/>
      <c r="L293" s="120" t="n"/>
      <c r="M293" s="121" t="n"/>
      <c r="N293" s="118" t="n"/>
    </row>
    <row r="294" ht="15" customHeight="1" s="74">
      <c r="A294" s="118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20" t="n"/>
      <c r="K294" s="120" t="n"/>
      <c r="L294" s="120" t="n"/>
      <c r="M294" s="121" t="n"/>
      <c r="N294" s="118" t="n"/>
    </row>
    <row r="295" ht="15" customHeight="1" s="74">
      <c r="A295" s="118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20" t="n"/>
      <c r="K295" s="120" t="n"/>
      <c r="L295" s="120" t="n"/>
      <c r="M295" s="121" t="n"/>
      <c r="N295" s="118" t="n"/>
    </row>
    <row r="296" ht="15" customHeight="1" s="74">
      <c r="A296" s="118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20" t="n"/>
      <c r="K296" s="120" t="n"/>
      <c r="L296" s="120" t="n"/>
      <c r="M296" s="121" t="n"/>
      <c r="N296" s="118" t="n"/>
    </row>
    <row r="297" ht="15" customHeight="1" s="74">
      <c r="A297" s="118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20" t="n"/>
      <c r="K297" s="120" t="n"/>
      <c r="L297" s="120" t="n"/>
      <c r="M297" s="121" t="n"/>
      <c r="N297" s="118" t="n"/>
    </row>
    <row r="298" ht="15" customHeight="1" s="74">
      <c r="A298" s="118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20" t="n"/>
      <c r="K298" s="120" t="n"/>
      <c r="L298" s="120" t="n"/>
      <c r="M298" s="121" t="n"/>
      <c r="N298" s="118" t="n"/>
    </row>
    <row r="299" ht="15" customHeight="1" s="74">
      <c r="A299" s="118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20" t="n"/>
      <c r="K299" s="120" t="n"/>
      <c r="L299" s="120" t="n"/>
      <c r="M299" s="121" t="n"/>
      <c r="N299" s="118" t="n"/>
    </row>
    <row r="300" ht="15" customHeight="1" s="74">
      <c r="A300" s="118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20" t="n"/>
      <c r="K300" s="120" t="n"/>
      <c r="L300" s="120" t="n"/>
      <c r="M300" s="121" t="n"/>
      <c r="N300" s="118" t="n"/>
    </row>
    <row r="301" ht="15" customHeight="1" s="74">
      <c r="A301" s="118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20" t="n"/>
      <c r="K301" s="120" t="n"/>
      <c r="L301" s="120" t="n"/>
      <c r="M301" s="121" t="n"/>
      <c r="N301" s="118" t="n"/>
    </row>
    <row r="302" ht="15" customHeight="1" s="74">
      <c r="A302" s="118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20" t="n"/>
      <c r="K302" s="120" t="n"/>
      <c r="L302" s="120" t="n"/>
      <c r="M302" s="121" t="n"/>
      <c r="N302" s="118" t="n"/>
    </row>
    <row r="303" ht="15" customHeight="1" s="74">
      <c r="A303" s="118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20" t="n"/>
      <c r="K303" s="120" t="n"/>
      <c r="L303" s="120" t="n"/>
      <c r="M303" s="121" t="n"/>
      <c r="N303" s="118" t="n"/>
    </row>
    <row r="304" ht="15" customHeight="1" s="74">
      <c r="A304" s="118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20" t="n"/>
      <c r="K304" s="120" t="n"/>
      <c r="L304" s="120" t="n"/>
      <c r="M304" s="121" t="n"/>
      <c r="N304" s="118" t="n"/>
    </row>
    <row r="305" ht="15" customHeight="1" s="74">
      <c r="A305" s="118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20" t="n"/>
      <c r="K305" s="120" t="n"/>
      <c r="L305" s="120" t="n"/>
      <c r="M305" s="121" t="n"/>
      <c r="N305" s="118" t="n"/>
    </row>
    <row r="306" ht="15" customHeight="1" s="74">
      <c r="A306" s="118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20" t="n"/>
      <c r="K306" s="120" t="n"/>
      <c r="L306" s="120" t="n"/>
      <c r="M306" s="121" t="n"/>
      <c r="N306" s="118" t="n"/>
    </row>
    <row r="307" ht="15" customHeight="1" s="74">
      <c r="A307" s="118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20" t="n"/>
      <c r="K307" s="120" t="n"/>
      <c r="L307" s="120" t="n"/>
      <c r="M307" s="121" t="n"/>
      <c r="N307" s="118" t="n"/>
    </row>
    <row r="308" ht="15" customHeight="1" s="74">
      <c r="A308" s="118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20" t="n"/>
      <c r="K308" s="120" t="n"/>
      <c r="L308" s="120" t="n"/>
      <c r="M308" s="121" t="n"/>
      <c r="N308" s="118" t="n"/>
    </row>
    <row r="309" ht="15" customHeight="1" s="74">
      <c r="A309" s="118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20" t="n"/>
      <c r="K309" s="120" t="n"/>
      <c r="L309" s="120" t="n"/>
      <c r="M309" s="121" t="n"/>
      <c r="N309" s="118" t="n"/>
    </row>
    <row r="310" ht="15" customHeight="1" s="74">
      <c r="A310" s="118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20" t="n"/>
      <c r="K310" s="120" t="n"/>
      <c r="L310" s="120" t="n"/>
      <c r="M310" s="121" t="n"/>
      <c r="N310" s="118" t="n"/>
    </row>
    <row r="311" ht="15" customHeight="1" s="74">
      <c r="A311" s="118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20" t="n"/>
      <c r="K311" s="120" t="n"/>
      <c r="L311" s="120" t="n"/>
      <c r="M311" s="121" t="n"/>
      <c r="N311" s="118" t="n"/>
    </row>
    <row r="312" ht="15" customHeight="1" s="74">
      <c r="A312" s="118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20" t="n"/>
      <c r="K312" s="120" t="n"/>
      <c r="L312" s="120" t="n"/>
      <c r="M312" s="121" t="n"/>
      <c r="N312" s="118" t="n"/>
    </row>
    <row r="313" ht="15" customHeight="1" s="74">
      <c r="A313" s="118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20" t="n"/>
      <c r="K313" s="120" t="n"/>
      <c r="L313" s="120" t="n"/>
      <c r="M313" s="121" t="n"/>
      <c r="N313" s="118" t="n"/>
    </row>
    <row r="314" ht="15" customHeight="1" s="74">
      <c r="A314" s="118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20" t="n"/>
      <c r="K314" s="120" t="n"/>
      <c r="L314" s="120" t="n"/>
      <c r="M314" s="121" t="n"/>
      <c r="N314" s="118" t="n"/>
    </row>
    <row r="315" ht="15" customHeight="1" s="74">
      <c r="A315" s="118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20" t="n"/>
      <c r="K315" s="120" t="n"/>
      <c r="L315" s="120" t="n"/>
      <c r="M315" s="121" t="n"/>
      <c r="N315" s="118" t="n"/>
    </row>
    <row r="316" ht="15" customHeight="1" s="74">
      <c r="A316" s="118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20" t="n"/>
      <c r="K316" s="120" t="n"/>
      <c r="L316" s="120" t="n"/>
      <c r="M316" s="121" t="n"/>
      <c r="N316" s="118" t="n"/>
    </row>
    <row r="317" ht="15" customHeight="1" s="74">
      <c r="A317" s="118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20" t="n"/>
      <c r="K317" s="120" t="n"/>
      <c r="L317" s="120" t="n"/>
      <c r="M317" s="121" t="n"/>
      <c r="N317" s="118" t="n"/>
    </row>
    <row r="318" ht="15" customHeight="1" s="74">
      <c r="A318" s="118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20" t="n"/>
      <c r="K318" s="120" t="n"/>
      <c r="L318" s="120" t="n"/>
      <c r="M318" s="121" t="n"/>
      <c r="N318" s="118" t="n"/>
    </row>
    <row r="319" ht="15" customHeight="1" s="74">
      <c r="A319" s="118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20" t="n"/>
      <c r="K319" s="120" t="n"/>
      <c r="L319" s="120" t="n"/>
      <c r="M319" s="121" t="n"/>
      <c r="N319" s="118" t="n"/>
    </row>
    <row r="320" ht="15" customHeight="1" s="74">
      <c r="A320" s="118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20" t="n"/>
      <c r="K320" s="120" t="n"/>
      <c r="L320" s="120" t="n"/>
      <c r="M320" s="121" t="n"/>
      <c r="N320" s="118" t="n"/>
    </row>
    <row r="321" ht="15" customHeight="1" s="74">
      <c r="A321" s="118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20" t="n"/>
      <c r="K321" s="120" t="n"/>
      <c r="L321" s="120" t="n"/>
      <c r="M321" s="121" t="n"/>
      <c r="N321" s="118" t="n"/>
    </row>
    <row r="322" ht="15" customHeight="1" s="74">
      <c r="A322" s="118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20" t="n"/>
      <c r="K322" s="120" t="n"/>
      <c r="L322" s="120" t="n"/>
      <c r="M322" s="121" t="n"/>
      <c r="N322" s="118" t="n"/>
    </row>
    <row r="323" ht="15" customHeight="1" s="74">
      <c r="A323" s="118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20" t="n"/>
      <c r="K323" s="120" t="n"/>
      <c r="L323" s="120" t="n"/>
      <c r="M323" s="121" t="n"/>
      <c r="N323" s="118" t="n"/>
    </row>
    <row r="324" ht="15" customHeight="1" s="74">
      <c r="A324" s="118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20" t="n"/>
      <c r="K324" s="120" t="n"/>
      <c r="L324" s="120" t="n"/>
      <c r="M324" s="121" t="n"/>
      <c r="N324" s="118" t="n"/>
    </row>
    <row r="325" ht="15" customHeight="1" s="74">
      <c r="A325" s="118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20" t="n"/>
      <c r="K325" s="120" t="n"/>
      <c r="L325" s="120" t="n"/>
      <c r="M325" s="121" t="n"/>
      <c r="N325" s="118" t="n"/>
    </row>
    <row r="326" ht="15" customHeight="1" s="74">
      <c r="A326" s="118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20" t="n"/>
      <c r="K326" s="120" t="n"/>
      <c r="L326" s="120" t="n"/>
      <c r="M326" s="121" t="n"/>
      <c r="N326" s="118" t="n"/>
    </row>
    <row r="327" ht="15" customHeight="1" s="74">
      <c r="A327" s="118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20" t="n"/>
      <c r="K327" s="120" t="n"/>
      <c r="L327" s="120" t="n"/>
      <c r="M327" s="121" t="n"/>
      <c r="N327" s="118" t="n"/>
    </row>
    <row r="328" ht="15" customHeight="1" s="74">
      <c r="A328" s="118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20" t="n"/>
      <c r="K328" s="120" t="n"/>
      <c r="L328" s="120" t="n"/>
      <c r="M328" s="121" t="n"/>
      <c r="N328" s="118" t="n"/>
    </row>
    <row r="329" ht="15" customHeight="1" s="74">
      <c r="A329" s="118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20" t="n"/>
      <c r="K329" s="120" t="n"/>
      <c r="L329" s="120" t="n"/>
      <c r="M329" s="121" t="n"/>
      <c r="N329" s="118" t="n"/>
    </row>
    <row r="330" ht="15" customHeight="1" s="74">
      <c r="A330" s="118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20" t="n"/>
      <c r="K330" s="120" t="n"/>
      <c r="L330" s="120" t="n"/>
      <c r="M330" s="121" t="n"/>
      <c r="N330" s="118" t="n"/>
    </row>
    <row r="331" ht="15" customHeight="1" s="74">
      <c r="A331" s="118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20" t="n"/>
      <c r="K331" s="120" t="n"/>
      <c r="L331" s="120" t="n"/>
      <c r="M331" s="121" t="n"/>
      <c r="N331" s="118" t="n"/>
    </row>
    <row r="332" ht="15" customHeight="1" s="74">
      <c r="A332" s="118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20" t="n"/>
      <c r="K332" s="120" t="n"/>
      <c r="L332" s="120" t="n"/>
      <c r="M332" s="121" t="n"/>
      <c r="N332" s="118" t="n"/>
    </row>
    <row r="333" ht="15" customHeight="1" s="74">
      <c r="A333" s="118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20" t="n"/>
      <c r="K333" s="120" t="n"/>
      <c r="L333" s="120" t="n"/>
      <c r="M333" s="121" t="n"/>
      <c r="N333" s="118" t="n"/>
    </row>
    <row r="334" ht="15" customHeight="1" s="74">
      <c r="A334" s="118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20" t="n"/>
      <c r="K334" s="120" t="n"/>
      <c r="L334" s="120" t="n"/>
      <c r="M334" s="121" t="n"/>
      <c r="N334" s="118" t="n"/>
    </row>
    <row r="335" ht="15" customHeight="1" s="74">
      <c r="A335" s="118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20" t="n"/>
      <c r="K335" s="120" t="n"/>
      <c r="L335" s="120" t="n"/>
      <c r="M335" s="121" t="n"/>
      <c r="N335" s="118" t="n"/>
    </row>
    <row r="336" ht="15" customHeight="1" s="74">
      <c r="A336" s="118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20" t="n"/>
      <c r="K336" s="120" t="n"/>
      <c r="L336" s="120" t="n"/>
      <c r="M336" s="121" t="n"/>
      <c r="N336" s="118" t="n"/>
    </row>
    <row r="337" ht="15" customHeight="1" s="74">
      <c r="A337" s="118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20" t="n"/>
      <c r="K337" s="120" t="n"/>
      <c r="L337" s="120" t="n"/>
      <c r="M337" s="121" t="n"/>
      <c r="N337" s="118" t="n"/>
    </row>
    <row r="338" ht="15" customHeight="1" s="74">
      <c r="A338" s="118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20" t="n"/>
      <c r="K338" s="120" t="n"/>
      <c r="L338" s="120" t="n"/>
      <c r="M338" s="121" t="n"/>
      <c r="N338" s="118" t="n"/>
    </row>
    <row r="339" ht="15" customHeight="1" s="74">
      <c r="A339" s="118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20" t="n"/>
      <c r="K339" s="120" t="n"/>
      <c r="L339" s="120" t="n"/>
      <c r="M339" s="121" t="n"/>
      <c r="N339" s="118" t="n"/>
    </row>
    <row r="340" ht="15" customHeight="1" s="74">
      <c r="A340" s="118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20" t="n"/>
      <c r="K340" s="120" t="n"/>
      <c r="L340" s="120" t="n"/>
      <c r="M340" s="121" t="n"/>
      <c r="N340" s="118" t="n"/>
    </row>
    <row r="341" ht="15" customHeight="1" s="74">
      <c r="A341" s="118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20" t="n"/>
      <c r="K341" s="120" t="n"/>
      <c r="L341" s="120" t="n"/>
      <c r="M341" s="121" t="n"/>
      <c r="N341" s="118" t="n"/>
    </row>
    <row r="342" ht="15" customHeight="1" s="74">
      <c r="A342" s="118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20" t="n"/>
      <c r="K342" s="120" t="n"/>
      <c r="L342" s="120" t="n"/>
      <c r="M342" s="121" t="n"/>
      <c r="N342" s="118" t="n"/>
    </row>
    <row r="343" ht="15" customHeight="1" s="74">
      <c r="A343" s="118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20" t="n"/>
      <c r="K343" s="120" t="n"/>
      <c r="L343" s="120" t="n"/>
      <c r="M343" s="121" t="n"/>
      <c r="N343" s="118" t="n"/>
    </row>
    <row r="344" ht="15" customHeight="1" s="74">
      <c r="A344" s="118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20" t="n"/>
      <c r="K344" s="120" t="n"/>
      <c r="L344" s="120" t="n"/>
      <c r="M344" s="121" t="n"/>
      <c r="N344" s="118" t="n"/>
    </row>
    <row r="345" ht="15" customHeight="1" s="74">
      <c r="A345" s="118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20" t="n"/>
      <c r="K345" s="120" t="n"/>
      <c r="L345" s="120" t="n"/>
      <c r="M345" s="121" t="n"/>
      <c r="N345" s="118" t="n"/>
    </row>
    <row r="346" ht="15" customHeight="1" s="74">
      <c r="A346" s="118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20" t="n"/>
      <c r="K346" s="120" t="n"/>
      <c r="L346" s="120" t="n"/>
      <c r="M346" s="121" t="n"/>
      <c r="N346" s="118" t="n"/>
    </row>
    <row r="347" ht="15" customHeight="1" s="74">
      <c r="A347" s="118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20" t="n"/>
      <c r="K347" s="120" t="n"/>
      <c r="L347" s="120" t="n"/>
      <c r="M347" s="121" t="n"/>
      <c r="N347" s="118" t="n"/>
    </row>
    <row r="348" ht="15" customHeight="1" s="74">
      <c r="A348" s="118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20" t="n"/>
      <c r="K348" s="120" t="n"/>
      <c r="L348" s="120" t="n"/>
      <c r="M348" s="121" t="n"/>
      <c r="N348" s="118" t="n"/>
    </row>
    <row r="349" ht="15" customHeight="1" s="74">
      <c r="A349" s="118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20" t="n"/>
      <c r="K349" s="120" t="n"/>
      <c r="L349" s="120" t="n"/>
      <c r="M349" s="121" t="n"/>
      <c r="N349" s="118" t="n"/>
    </row>
    <row r="350" ht="15" customHeight="1" s="74">
      <c r="A350" s="118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20" t="n"/>
      <c r="K350" s="120" t="n"/>
      <c r="L350" s="120" t="n"/>
      <c r="M350" s="121" t="n"/>
      <c r="N350" s="118" t="n"/>
    </row>
    <row r="351" ht="15" customHeight="1" s="74">
      <c r="A351" s="118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20" t="n"/>
      <c r="K351" s="120" t="n"/>
      <c r="L351" s="120" t="n"/>
      <c r="M351" s="121" t="n"/>
      <c r="N351" s="118" t="n"/>
    </row>
    <row r="352" ht="15" customHeight="1" s="74">
      <c r="A352" s="118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20" t="n"/>
      <c r="K352" s="120" t="n"/>
      <c r="L352" s="120" t="n"/>
      <c r="M352" s="121" t="n"/>
      <c r="N352" s="118" t="n"/>
    </row>
    <row r="353" ht="15" customHeight="1" s="74">
      <c r="A353" s="118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20" t="n"/>
      <c r="K353" s="120" t="n"/>
      <c r="L353" s="120" t="n"/>
      <c r="M353" s="121" t="n"/>
      <c r="N353" s="118" t="n"/>
    </row>
    <row r="354" ht="15" customHeight="1" s="74">
      <c r="A354" s="118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20" t="n"/>
      <c r="K354" s="120" t="n"/>
      <c r="L354" s="120" t="n"/>
      <c r="M354" s="121" t="n"/>
      <c r="N354" s="118" t="n"/>
    </row>
    <row r="355" ht="15" customHeight="1" s="74">
      <c r="A355" s="118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20" t="n"/>
      <c r="K355" s="120" t="n"/>
      <c r="L355" s="120" t="n"/>
      <c r="M355" s="121" t="n"/>
      <c r="N355" s="118" t="n"/>
    </row>
    <row r="356" ht="15" customHeight="1" s="74">
      <c r="A356" s="118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20" t="n"/>
      <c r="K356" s="120" t="n"/>
      <c r="L356" s="120" t="n"/>
      <c r="M356" s="121" t="n"/>
      <c r="N356" s="118" t="n"/>
    </row>
    <row r="357" ht="15" customHeight="1" s="74">
      <c r="A357" s="118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20" t="n"/>
      <c r="K357" s="120" t="n"/>
      <c r="L357" s="120" t="n"/>
      <c r="M357" s="121" t="n"/>
      <c r="N357" s="118" t="n"/>
    </row>
    <row r="358" ht="15" customHeight="1" s="74">
      <c r="A358" s="118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20" t="n"/>
      <c r="K358" s="120" t="n"/>
      <c r="L358" s="120" t="n"/>
      <c r="M358" s="121" t="n"/>
      <c r="N358" s="118" t="n"/>
    </row>
    <row r="359" ht="15" customHeight="1" s="74">
      <c r="A359" s="118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20" t="n"/>
      <c r="K359" s="120" t="n"/>
      <c r="L359" s="120" t="n"/>
      <c r="M359" s="121" t="n"/>
      <c r="N359" s="118" t="n"/>
    </row>
    <row r="360" ht="15" customHeight="1" s="74">
      <c r="A360" s="118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20" t="n"/>
      <c r="K360" s="120" t="n"/>
      <c r="L360" s="120" t="n"/>
      <c r="M360" s="121" t="n"/>
      <c r="N360" s="118" t="n"/>
    </row>
    <row r="361" ht="15" customHeight="1" s="74">
      <c r="A361" s="118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20" t="n"/>
      <c r="K361" s="120" t="n"/>
      <c r="L361" s="120" t="n"/>
      <c r="M361" s="121" t="n"/>
      <c r="N361" s="118" t="n"/>
    </row>
    <row r="362" ht="15" customHeight="1" s="74">
      <c r="A362" s="118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20" t="n"/>
      <c r="K362" s="120" t="n"/>
      <c r="L362" s="120" t="n"/>
      <c r="M362" s="121" t="n"/>
      <c r="N362" s="118" t="n"/>
    </row>
    <row r="363" ht="15" customHeight="1" s="74">
      <c r="A363" s="118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20" t="n"/>
      <c r="K363" s="120" t="n"/>
      <c r="L363" s="120" t="n"/>
      <c r="M363" s="121" t="n"/>
      <c r="N363" s="118" t="n"/>
    </row>
    <row r="364" ht="15" customHeight="1" s="74">
      <c r="A364" s="118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20" t="n"/>
      <c r="K364" s="120" t="n"/>
      <c r="L364" s="120" t="n"/>
      <c r="M364" s="121" t="n"/>
      <c r="N364" s="118" t="n"/>
    </row>
    <row r="365" ht="15" customHeight="1" s="74">
      <c r="A365" s="118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20" t="n"/>
      <c r="K365" s="120" t="n"/>
      <c r="L365" s="120" t="n"/>
      <c r="M365" s="121" t="n"/>
      <c r="N365" s="118" t="n"/>
    </row>
    <row r="366" ht="15" customHeight="1" s="74">
      <c r="A366" s="118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20" t="n"/>
      <c r="K366" s="120" t="n"/>
      <c r="L366" s="120" t="n"/>
      <c r="M366" s="121" t="n"/>
      <c r="N366" s="118" t="n"/>
    </row>
    <row r="367" ht="15" customHeight="1" s="74">
      <c r="A367" s="118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20" t="n"/>
      <c r="K367" s="120" t="n"/>
      <c r="L367" s="120" t="n"/>
      <c r="M367" s="121" t="n"/>
      <c r="N367" s="118" t="n"/>
    </row>
    <row r="368" ht="15" customHeight="1" s="74">
      <c r="A368" s="118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20" t="n"/>
      <c r="K368" s="120" t="n"/>
      <c r="L368" s="120" t="n"/>
      <c r="M368" s="121" t="n"/>
      <c r="N368" s="118" t="n"/>
    </row>
    <row r="369" ht="15" customHeight="1" s="74">
      <c r="A369" s="118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20" t="n"/>
      <c r="K369" s="120" t="n"/>
      <c r="L369" s="120" t="n"/>
      <c r="M369" s="121" t="n"/>
      <c r="N369" s="118" t="n"/>
    </row>
    <row r="370" ht="15" customHeight="1" s="74">
      <c r="A370" s="118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20" t="n"/>
      <c r="K370" s="120" t="n"/>
      <c r="L370" s="120" t="n"/>
      <c r="M370" s="121" t="n"/>
      <c r="N370" s="118" t="n"/>
    </row>
    <row r="371" ht="15" customHeight="1" s="74">
      <c r="A371" s="118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20" t="n"/>
      <c r="K371" s="120" t="n"/>
      <c r="L371" s="120" t="n"/>
      <c r="M371" s="121" t="n"/>
      <c r="N371" s="118" t="n"/>
    </row>
    <row r="372" ht="15" customHeight="1" s="74">
      <c r="A372" s="118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20" t="n"/>
      <c r="K372" s="120" t="n"/>
      <c r="L372" s="120" t="n"/>
      <c r="M372" s="121" t="n"/>
      <c r="N372" s="118" t="n"/>
    </row>
    <row r="373" ht="15" customHeight="1" s="74">
      <c r="A373" s="118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20" t="n"/>
      <c r="K373" s="120" t="n"/>
      <c r="L373" s="120" t="n"/>
      <c r="M373" s="121" t="n"/>
      <c r="N373" s="118" t="n"/>
    </row>
    <row r="374" ht="15" customHeight="1" s="74">
      <c r="A374" s="118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20" t="n"/>
      <c r="K374" s="120" t="n"/>
      <c r="L374" s="120" t="n"/>
      <c r="M374" s="121" t="n"/>
      <c r="N374" s="118" t="n"/>
    </row>
    <row r="375" ht="15" customHeight="1" s="74">
      <c r="A375" s="118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20" t="n"/>
      <c r="K375" s="120" t="n"/>
      <c r="L375" s="120" t="n"/>
      <c r="M375" s="121" t="n"/>
      <c r="N375" s="118" t="n"/>
    </row>
    <row r="376" ht="15" customHeight="1" s="74">
      <c r="A376" s="118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20" t="n"/>
      <c r="K376" s="120" t="n"/>
      <c r="L376" s="120" t="n"/>
      <c r="M376" s="121" t="n"/>
      <c r="N376" s="118" t="n"/>
    </row>
    <row r="377" ht="15" customHeight="1" s="74">
      <c r="A377" s="118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20" t="n"/>
      <c r="K377" s="120" t="n"/>
      <c r="L377" s="120" t="n"/>
      <c r="M377" s="121" t="n"/>
      <c r="N377" s="118" t="n"/>
    </row>
    <row r="378" ht="15" customHeight="1" s="74">
      <c r="A378" s="118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20" t="n"/>
      <c r="K378" s="120" t="n"/>
      <c r="L378" s="120" t="n"/>
      <c r="M378" s="121" t="n"/>
      <c r="N378" s="118" t="n"/>
    </row>
    <row r="379" ht="15" customHeight="1" s="74">
      <c r="A379" s="118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20" t="n"/>
      <c r="K379" s="120" t="n"/>
      <c r="L379" s="120" t="n"/>
      <c r="M379" s="121" t="n"/>
      <c r="N379" s="118" t="n"/>
    </row>
    <row r="380" ht="15" customHeight="1" s="74">
      <c r="A380" s="118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20" t="n"/>
      <c r="K380" s="120" t="n"/>
      <c r="L380" s="120" t="n"/>
      <c r="M380" s="121" t="n"/>
      <c r="N380" s="118" t="n"/>
    </row>
    <row r="381" ht="15" customHeight="1" s="74">
      <c r="A381" s="118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20" t="n"/>
      <c r="K381" s="120" t="n"/>
      <c r="L381" s="120" t="n"/>
      <c r="M381" s="121" t="n"/>
      <c r="N381" s="118" t="n"/>
    </row>
    <row r="382" ht="15" customHeight="1" s="74">
      <c r="A382" s="118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20" t="n"/>
      <c r="K382" s="120" t="n"/>
      <c r="L382" s="120" t="n"/>
      <c r="M382" s="121" t="n"/>
      <c r="N382" s="118" t="n"/>
    </row>
    <row r="383" ht="15" customHeight="1" s="74">
      <c r="A383" s="118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20" t="n"/>
      <c r="K383" s="120" t="n"/>
      <c r="L383" s="120" t="n"/>
      <c r="M383" s="121" t="n"/>
      <c r="N383" s="118" t="n"/>
    </row>
    <row r="384" ht="15" customHeight="1" s="74">
      <c r="A384" s="118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20" t="n"/>
      <c r="K384" s="120" t="n"/>
      <c r="L384" s="120" t="n"/>
      <c r="M384" s="121" t="n"/>
      <c r="N384" s="118" t="n"/>
    </row>
    <row r="385" ht="15" customHeight="1" s="74">
      <c r="A385" s="118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20" t="n"/>
      <c r="K385" s="120" t="n"/>
      <c r="L385" s="120" t="n"/>
      <c r="M385" s="121" t="n"/>
      <c r="N385" s="118" t="n"/>
    </row>
    <row r="386" ht="15" customHeight="1" s="74">
      <c r="A386" s="118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20" t="n"/>
      <c r="K386" s="120" t="n"/>
      <c r="L386" s="120" t="n"/>
      <c r="M386" s="121" t="n"/>
      <c r="N386" s="118" t="n"/>
    </row>
    <row r="387" ht="15" customHeight="1" s="74">
      <c r="A387" s="118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20" t="n"/>
      <c r="K387" s="120" t="n"/>
      <c r="L387" s="120" t="n"/>
      <c r="M387" s="121" t="n"/>
      <c r="N387" s="118" t="n"/>
    </row>
    <row r="388" ht="15" customHeight="1" s="74">
      <c r="A388" s="118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20" t="n"/>
      <c r="K388" s="120" t="n"/>
      <c r="L388" s="120" t="n"/>
      <c r="M388" s="121" t="n"/>
      <c r="N388" s="118" t="n"/>
    </row>
    <row r="389" ht="15" customHeight="1" s="74">
      <c r="A389" s="118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20" t="n"/>
      <c r="K389" s="120" t="n"/>
      <c r="L389" s="120" t="n"/>
      <c r="M389" s="121" t="n"/>
      <c r="N389" s="118" t="n"/>
    </row>
    <row r="390" ht="15" customHeight="1" s="74">
      <c r="A390" s="118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20" t="n"/>
      <c r="K390" s="120" t="n"/>
      <c r="L390" s="120" t="n"/>
      <c r="M390" s="121" t="n"/>
      <c r="N390" s="118" t="n"/>
    </row>
    <row r="391" ht="15" customHeight="1" s="74">
      <c r="A391" s="118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20" t="n"/>
      <c r="K391" s="120" t="n"/>
      <c r="L391" s="120" t="n"/>
      <c r="M391" s="121" t="n"/>
      <c r="N391" s="118" t="n"/>
    </row>
    <row r="392" ht="15" customHeight="1" s="74">
      <c r="A392" s="118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20" t="n"/>
      <c r="K392" s="120" t="n"/>
      <c r="L392" s="120" t="n"/>
      <c r="M392" s="121" t="n"/>
      <c r="N392" s="118" t="n"/>
    </row>
    <row r="393" ht="15" customHeight="1" s="74">
      <c r="A393" s="118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20" t="n"/>
      <c r="K393" s="120" t="n"/>
      <c r="L393" s="120" t="n"/>
      <c r="M393" s="121" t="n"/>
      <c r="N393" s="118" t="n"/>
    </row>
    <row r="394" ht="15" customHeight="1" s="74">
      <c r="A394" s="118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20" t="n"/>
      <c r="K394" s="120" t="n"/>
      <c r="L394" s="120" t="n"/>
      <c r="M394" s="121" t="n"/>
      <c r="N394" s="118" t="n"/>
    </row>
    <row r="395" ht="15" customHeight="1" s="74">
      <c r="A395" s="118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20" t="n"/>
      <c r="K395" s="120" t="n"/>
      <c r="L395" s="120" t="n"/>
      <c r="M395" s="121" t="n"/>
      <c r="N395" s="118" t="n"/>
    </row>
    <row r="396" ht="15" customHeight="1" s="74">
      <c r="A396" s="118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20" t="n"/>
      <c r="K396" s="120" t="n"/>
      <c r="L396" s="120" t="n"/>
      <c r="M396" s="121" t="n"/>
      <c r="N396" s="118" t="n"/>
    </row>
    <row r="397" ht="15" customHeight="1" s="74">
      <c r="A397" s="118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20" t="n"/>
      <c r="K397" s="120" t="n"/>
      <c r="L397" s="120" t="n"/>
      <c r="M397" s="121" t="n"/>
      <c r="N397" s="118" t="n"/>
    </row>
    <row r="398" ht="15" customHeight="1" s="74">
      <c r="A398" s="118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20" t="n"/>
      <c r="K398" s="120" t="n"/>
      <c r="L398" s="120" t="n"/>
      <c r="M398" s="121" t="n"/>
      <c r="N398" s="118" t="n"/>
    </row>
    <row r="399" ht="15" customHeight="1" s="74">
      <c r="A399" s="118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20" t="n"/>
      <c r="K399" s="120" t="n"/>
      <c r="L399" s="120" t="n"/>
      <c r="M399" s="121" t="n"/>
      <c r="N399" s="118" t="n"/>
    </row>
    <row r="400" ht="15" customHeight="1" s="74">
      <c r="A400" s="118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20" t="n"/>
      <c r="K400" s="120" t="n"/>
      <c r="L400" s="120" t="n"/>
      <c r="M400" s="121" t="n"/>
      <c r="N400" s="118" t="n"/>
    </row>
    <row r="401" ht="15" customHeight="1" s="74">
      <c r="A401" s="118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20" t="n"/>
      <c r="K401" s="120" t="n"/>
      <c r="L401" s="120" t="n"/>
      <c r="M401" s="121" t="n"/>
      <c r="N401" s="118" t="n"/>
    </row>
    <row r="402" ht="15" customHeight="1" s="74">
      <c r="A402" s="118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20" t="n"/>
      <c r="K402" s="120" t="n"/>
      <c r="L402" s="120" t="n"/>
      <c r="M402" s="121" t="n"/>
      <c r="N402" s="118" t="n"/>
    </row>
    <row r="403" ht="15" customHeight="1" s="74">
      <c r="A403" s="118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20" t="n"/>
      <c r="K403" s="120" t="n"/>
      <c r="L403" s="120" t="n"/>
      <c r="M403" s="121" t="n"/>
      <c r="N403" s="118" t="n"/>
    </row>
    <row r="404" ht="15" customHeight="1" s="74">
      <c r="A404" s="118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20" t="n"/>
      <c r="K404" s="120" t="n"/>
      <c r="L404" s="120" t="n"/>
      <c r="M404" s="121" t="n"/>
      <c r="N404" s="118" t="n"/>
    </row>
    <row r="405" ht="15" customHeight="1" s="74">
      <c r="A405" s="118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20" t="n"/>
      <c r="K405" s="120" t="n"/>
      <c r="L405" s="120" t="n"/>
      <c r="M405" s="121" t="n"/>
      <c r="N405" s="118" t="n"/>
    </row>
    <row r="406" ht="15" customHeight="1" s="74">
      <c r="A406" s="118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20" t="n"/>
      <c r="K406" s="120" t="n"/>
      <c r="L406" s="120" t="n"/>
      <c r="M406" s="121" t="n"/>
      <c r="N406" s="118" t="n"/>
    </row>
    <row r="407" ht="15" customHeight="1" s="74">
      <c r="A407" s="118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20" t="n"/>
      <c r="K407" s="120" t="n"/>
      <c r="L407" s="120" t="n"/>
      <c r="M407" s="121" t="n"/>
      <c r="N407" s="118" t="n"/>
    </row>
    <row r="408" ht="15" customHeight="1" s="74">
      <c r="A408" s="118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20" t="n"/>
      <c r="K408" s="120" t="n"/>
      <c r="L408" s="120" t="n"/>
      <c r="M408" s="121" t="n"/>
      <c r="N408" s="118" t="n"/>
    </row>
    <row r="409" ht="15" customHeight="1" s="74">
      <c r="A409" s="118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20" t="n"/>
      <c r="K409" s="120" t="n"/>
      <c r="L409" s="120" t="n"/>
      <c r="M409" s="121" t="n"/>
      <c r="N409" s="118" t="n"/>
    </row>
    <row r="410" ht="15" customHeight="1" s="74">
      <c r="A410" s="118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20" t="n"/>
      <c r="K410" s="120" t="n"/>
      <c r="L410" s="120" t="n"/>
      <c r="M410" s="121" t="n"/>
      <c r="N410" s="118" t="n"/>
    </row>
    <row r="411" ht="15" customHeight="1" s="74">
      <c r="A411" s="118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20" t="n"/>
      <c r="K411" s="120" t="n"/>
      <c r="L411" s="120" t="n"/>
      <c r="M411" s="121" t="n"/>
      <c r="N411" s="118" t="n"/>
    </row>
    <row r="412" ht="15" customHeight="1" s="74">
      <c r="A412" s="118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20" t="n"/>
      <c r="K412" s="120" t="n"/>
      <c r="L412" s="120" t="n"/>
      <c r="M412" s="121" t="n"/>
      <c r="N412" s="118" t="n"/>
    </row>
    <row r="413" ht="15" customHeight="1" s="74">
      <c r="A413" s="118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20" t="n"/>
      <c r="K413" s="120" t="n"/>
      <c r="L413" s="120" t="n"/>
      <c r="M413" s="121" t="n"/>
      <c r="N413" s="118" t="n"/>
    </row>
    <row r="414" ht="15" customHeight="1" s="74">
      <c r="A414" s="118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20" t="n"/>
      <c r="K414" s="120" t="n"/>
      <c r="L414" s="120" t="n"/>
      <c r="M414" s="121" t="n"/>
      <c r="N414" s="118" t="n"/>
    </row>
    <row r="415" ht="15" customHeight="1" s="74">
      <c r="A415" s="118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20" t="n"/>
      <c r="K415" s="120" t="n"/>
      <c r="L415" s="120" t="n"/>
      <c r="M415" s="121" t="n"/>
      <c r="N415" s="118" t="n"/>
    </row>
    <row r="416" ht="15" customHeight="1" s="74">
      <c r="A416" s="118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20" t="n"/>
      <c r="K416" s="120" t="n"/>
      <c r="L416" s="120" t="n"/>
      <c r="M416" s="121" t="n"/>
      <c r="N416" s="118" t="n"/>
    </row>
    <row r="417" ht="15" customHeight="1" s="74">
      <c r="A417" s="118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20" t="n"/>
      <c r="K417" s="120" t="n"/>
      <c r="L417" s="120" t="n"/>
      <c r="M417" s="121" t="n"/>
      <c r="N417" s="118" t="n"/>
    </row>
    <row r="418" ht="15" customHeight="1" s="74">
      <c r="A418" s="118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20" t="n"/>
      <c r="K418" s="120" t="n"/>
      <c r="L418" s="120" t="n"/>
      <c r="M418" s="121" t="n"/>
      <c r="N418" s="118" t="n"/>
    </row>
    <row r="419" ht="15" customHeight="1" s="74">
      <c r="A419" s="118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20" t="n"/>
      <c r="K419" s="120" t="n"/>
      <c r="L419" s="120" t="n"/>
      <c r="M419" s="121" t="n"/>
      <c r="N419" s="118" t="n"/>
    </row>
    <row r="420" ht="15" customHeight="1" s="74">
      <c r="A420" s="118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20" t="n"/>
      <c r="K420" s="120" t="n"/>
      <c r="L420" s="120" t="n"/>
      <c r="M420" s="121" t="n"/>
      <c r="N420" s="118" t="n"/>
    </row>
    <row r="421" ht="15" customHeight="1" s="74">
      <c r="A421" s="118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20" t="n"/>
      <c r="K421" s="120" t="n"/>
      <c r="L421" s="120" t="n"/>
      <c r="M421" s="121" t="n"/>
      <c r="N421" s="118" t="n"/>
    </row>
    <row r="422" ht="15" customHeight="1" s="74">
      <c r="A422" s="118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20" t="n"/>
      <c r="K422" s="120" t="n"/>
      <c r="L422" s="120" t="n"/>
      <c r="M422" s="121" t="n"/>
      <c r="N422" s="118" t="n"/>
    </row>
    <row r="423" ht="15" customHeight="1" s="74">
      <c r="A423" s="118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20" t="n"/>
      <c r="K423" s="120" t="n"/>
      <c r="L423" s="120" t="n"/>
      <c r="M423" s="121" t="n"/>
      <c r="N423" s="118" t="n"/>
    </row>
    <row r="424" ht="15" customHeight="1" s="74">
      <c r="A424" s="118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20" t="n"/>
      <c r="K424" s="120" t="n"/>
      <c r="L424" s="120" t="n"/>
      <c r="M424" s="121" t="n"/>
      <c r="N424" s="118" t="n"/>
    </row>
    <row r="425" ht="15" customHeight="1" s="74">
      <c r="A425" s="118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20" t="n"/>
      <c r="K425" s="120" t="n"/>
      <c r="L425" s="120" t="n"/>
      <c r="M425" s="121" t="n"/>
      <c r="N425" s="118" t="n"/>
    </row>
    <row r="426" ht="15" customHeight="1" s="74">
      <c r="A426" s="118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20" t="n"/>
      <c r="K426" s="120" t="n"/>
      <c r="L426" s="120" t="n"/>
      <c r="M426" s="121" t="n"/>
      <c r="N426" s="118" t="n"/>
    </row>
    <row r="427" ht="15" customHeight="1" s="74">
      <c r="A427" s="118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20" t="n"/>
      <c r="K427" s="120" t="n"/>
      <c r="L427" s="120" t="n"/>
      <c r="M427" s="121" t="n"/>
      <c r="N427" s="118" t="n"/>
    </row>
    <row r="428" ht="15" customHeight="1" s="74">
      <c r="A428" s="118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20" t="n"/>
      <c r="K428" s="120" t="n"/>
      <c r="L428" s="120" t="n"/>
      <c r="M428" s="121" t="n"/>
      <c r="N428" s="118" t="n"/>
    </row>
    <row r="429" ht="15" customHeight="1" s="74">
      <c r="A429" s="118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20" t="n"/>
      <c r="K429" s="120" t="n"/>
      <c r="L429" s="120" t="n"/>
      <c r="M429" s="121" t="n"/>
      <c r="N429" s="118" t="n"/>
    </row>
    <row r="430" ht="15" customHeight="1" s="74">
      <c r="A430" s="118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20" t="n"/>
      <c r="K430" s="120" t="n"/>
      <c r="L430" s="120" t="n"/>
      <c r="M430" s="121" t="n"/>
      <c r="N430" s="118" t="n"/>
    </row>
    <row r="431" ht="15" customHeight="1" s="74">
      <c r="A431" s="118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20" t="n"/>
      <c r="K431" s="120" t="n"/>
      <c r="L431" s="120" t="n"/>
      <c r="M431" s="121" t="n"/>
      <c r="N431" s="118" t="n"/>
    </row>
    <row r="432" ht="15" customHeight="1" s="74">
      <c r="A432" s="118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20" t="n"/>
      <c r="K432" s="120" t="n"/>
      <c r="L432" s="120" t="n"/>
      <c r="M432" s="121" t="n"/>
      <c r="N432" s="118" t="n"/>
    </row>
    <row r="433" ht="15" customHeight="1" s="74">
      <c r="A433" s="118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20" t="n"/>
      <c r="K433" s="120" t="n"/>
      <c r="L433" s="120" t="n"/>
      <c r="M433" s="121" t="n"/>
      <c r="N433" s="118" t="n"/>
    </row>
    <row r="434" ht="15" customHeight="1" s="74">
      <c r="A434" s="118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20" t="n"/>
      <c r="K434" s="120" t="n"/>
      <c r="L434" s="120" t="n"/>
      <c r="M434" s="121" t="n"/>
      <c r="N434" s="118" t="n"/>
    </row>
    <row r="435" ht="15" customHeight="1" s="74">
      <c r="A435" s="118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20" t="n"/>
      <c r="K435" s="120" t="n"/>
      <c r="L435" s="120" t="n"/>
      <c r="M435" s="121" t="n"/>
      <c r="N435" s="118" t="n"/>
    </row>
    <row r="436" ht="15" customHeight="1" s="74">
      <c r="A436" s="118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20" t="n"/>
      <c r="K436" s="120" t="n"/>
      <c r="L436" s="120" t="n"/>
      <c r="M436" s="121" t="n"/>
      <c r="N436" s="118" t="n"/>
    </row>
    <row r="437" ht="15" customHeight="1" s="74">
      <c r="A437" s="118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20" t="n"/>
      <c r="K437" s="120" t="n"/>
      <c r="L437" s="120" t="n"/>
      <c r="M437" s="121" t="n"/>
      <c r="N437" s="118" t="n"/>
    </row>
    <row r="438" ht="15" customHeight="1" s="74">
      <c r="A438" s="118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20" t="n"/>
      <c r="K438" s="120" t="n"/>
      <c r="L438" s="120" t="n"/>
      <c r="M438" s="121" t="n"/>
      <c r="N438" s="118" t="n"/>
    </row>
    <row r="439" ht="15" customHeight="1" s="74">
      <c r="A439" s="118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20" t="n"/>
      <c r="K439" s="120" t="n"/>
      <c r="L439" s="120" t="n"/>
      <c r="M439" s="121" t="n"/>
      <c r="N439" s="118" t="n"/>
    </row>
    <row r="440" ht="15" customHeight="1" s="74">
      <c r="A440" s="118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20" t="n"/>
      <c r="K440" s="120" t="n"/>
      <c r="L440" s="120" t="n"/>
      <c r="M440" s="121" t="n"/>
      <c r="N440" s="118" t="n"/>
    </row>
    <row r="441" ht="15" customHeight="1" s="74">
      <c r="A441" s="118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20" t="n"/>
      <c r="K441" s="120" t="n"/>
      <c r="L441" s="120" t="n"/>
      <c r="M441" s="121" t="n"/>
      <c r="N441" s="118" t="n"/>
    </row>
    <row r="442" ht="15" customHeight="1" s="74">
      <c r="A442" s="118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20" t="n"/>
      <c r="K442" s="120" t="n"/>
      <c r="L442" s="120" t="n"/>
      <c r="M442" s="121" t="n"/>
      <c r="N442" s="118" t="n"/>
    </row>
    <row r="443" ht="15" customHeight="1" s="74">
      <c r="A443" s="118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20" t="n"/>
      <c r="K443" s="120" t="n"/>
      <c r="L443" s="120" t="n"/>
      <c r="M443" s="121" t="n"/>
      <c r="N443" s="118" t="n"/>
    </row>
    <row r="444" ht="15" customHeight="1" s="74">
      <c r="A444" s="118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20" t="n"/>
      <c r="K444" s="120" t="n"/>
      <c r="L444" s="120" t="n"/>
      <c r="M444" s="121" t="n"/>
      <c r="N444" s="118" t="n"/>
    </row>
    <row r="445" ht="15" customHeight="1" s="74">
      <c r="A445" s="118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20" t="n"/>
      <c r="K445" s="120" t="n"/>
      <c r="L445" s="120" t="n"/>
      <c r="M445" s="121" t="n"/>
      <c r="N445" s="118" t="n"/>
    </row>
    <row r="446" ht="15" customHeight="1" s="74">
      <c r="A446" s="118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20" t="n"/>
      <c r="K446" s="120" t="n"/>
      <c r="L446" s="120" t="n"/>
      <c r="M446" s="121" t="n"/>
      <c r="N446" s="118" t="n"/>
    </row>
    <row r="447" ht="15" customHeight="1" s="74">
      <c r="A447" s="118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20" t="n"/>
      <c r="K447" s="120" t="n"/>
      <c r="L447" s="120" t="n"/>
      <c r="M447" s="121" t="n"/>
      <c r="N447" s="118" t="n"/>
    </row>
    <row r="448" ht="15" customHeight="1" s="74">
      <c r="A448" s="118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20" t="n"/>
      <c r="K448" s="120" t="n"/>
      <c r="L448" s="120" t="n"/>
      <c r="M448" s="121" t="n"/>
      <c r="N448" s="118" t="n"/>
    </row>
    <row r="449" ht="15" customHeight="1" s="74">
      <c r="A449" s="118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20" t="n"/>
      <c r="K449" s="120" t="n"/>
      <c r="L449" s="120" t="n"/>
      <c r="M449" s="121" t="n"/>
      <c r="N449" s="118" t="n"/>
    </row>
    <row r="450" ht="15" customHeight="1" s="74">
      <c r="A450" s="118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20" t="n"/>
      <c r="K450" s="120" t="n"/>
      <c r="L450" s="120" t="n"/>
      <c r="M450" s="121" t="n"/>
      <c r="N450" s="118" t="n"/>
    </row>
    <row r="451" ht="15" customHeight="1" s="74">
      <c r="A451" s="118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20" t="n"/>
      <c r="K451" s="120" t="n"/>
      <c r="L451" s="120" t="n"/>
      <c r="M451" s="121" t="n"/>
      <c r="N451" s="118" t="n"/>
    </row>
    <row r="452" ht="15" customHeight="1" s="74">
      <c r="A452" s="118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20" t="n"/>
      <c r="K452" s="120" t="n"/>
      <c r="L452" s="120" t="n"/>
      <c r="M452" s="121" t="n"/>
      <c r="N452" s="118" t="n"/>
    </row>
    <row r="453" ht="15" customHeight="1" s="74">
      <c r="A453" s="118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20" t="n"/>
      <c r="K453" s="120" t="n"/>
      <c r="L453" s="120" t="n"/>
      <c r="M453" s="121" t="n"/>
      <c r="N453" s="118" t="n"/>
    </row>
    <row r="454" ht="15" customHeight="1" s="74">
      <c r="A454" s="118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20" t="n"/>
      <c r="K454" s="120" t="n"/>
      <c r="L454" s="120" t="n"/>
      <c r="M454" s="121" t="n"/>
      <c r="N454" s="118" t="n"/>
    </row>
    <row r="455" ht="15" customHeight="1" s="74">
      <c r="A455" s="118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20" t="n"/>
      <c r="K455" s="120" t="n"/>
      <c r="L455" s="120" t="n"/>
      <c r="M455" s="121" t="n"/>
      <c r="N455" s="118" t="n"/>
    </row>
    <row r="456" ht="15" customHeight="1" s="74">
      <c r="A456" s="118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20" t="n"/>
      <c r="K456" s="120" t="n"/>
      <c r="L456" s="120" t="n"/>
      <c r="M456" s="121" t="n"/>
      <c r="N456" s="118" t="n"/>
    </row>
    <row r="457" ht="15" customHeight="1" s="74">
      <c r="A457" s="118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20" t="n"/>
      <c r="K457" s="120" t="n"/>
      <c r="L457" s="120" t="n"/>
      <c r="M457" s="121" t="n"/>
      <c r="N457" s="118" t="n"/>
    </row>
    <row r="458" ht="15" customHeight="1" s="74">
      <c r="A458" s="118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20" t="n"/>
      <c r="K458" s="120" t="n"/>
      <c r="L458" s="120" t="n"/>
      <c r="M458" s="121" t="n"/>
      <c r="N458" s="118" t="n"/>
    </row>
    <row r="459" ht="15" customHeight="1" s="74">
      <c r="A459" s="118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20" t="n"/>
      <c r="K459" s="120" t="n"/>
      <c r="L459" s="120" t="n"/>
      <c r="M459" s="121" t="n"/>
      <c r="N459" s="118" t="n"/>
    </row>
    <row r="460" ht="15" customHeight="1" s="74">
      <c r="A460" s="118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20" t="n"/>
      <c r="K460" s="120" t="n"/>
      <c r="L460" s="120" t="n"/>
      <c r="M460" s="121" t="n"/>
      <c r="N460" s="118" t="n"/>
    </row>
    <row r="461" ht="15" customHeight="1" s="74">
      <c r="A461" s="118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20" t="n"/>
      <c r="K461" s="120" t="n"/>
      <c r="L461" s="120" t="n"/>
      <c r="M461" s="121" t="n"/>
      <c r="N461" s="118" t="n"/>
    </row>
    <row r="462" ht="15" customHeight="1" s="74">
      <c r="A462" s="118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20" t="n"/>
      <c r="K462" s="120" t="n"/>
      <c r="L462" s="120" t="n"/>
      <c r="M462" s="121" t="n"/>
      <c r="N462" s="118" t="n"/>
    </row>
    <row r="463" ht="15" customHeight="1" s="74">
      <c r="A463" s="118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20" t="n"/>
      <c r="K463" s="120" t="n"/>
      <c r="L463" s="120" t="n"/>
      <c r="M463" s="121" t="n"/>
      <c r="N463" s="118" t="n"/>
    </row>
    <row r="464" ht="15" customHeight="1" s="74">
      <c r="A464" s="118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20" t="n"/>
      <c r="K464" s="120" t="n"/>
      <c r="L464" s="120" t="n"/>
      <c r="M464" s="121" t="n"/>
      <c r="N464" s="118" t="n"/>
    </row>
    <row r="465" ht="15" customHeight="1" s="74">
      <c r="A465" s="118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20" t="n"/>
      <c r="K465" s="120" t="n"/>
      <c r="L465" s="120" t="n"/>
      <c r="M465" s="121" t="n"/>
      <c r="N465" s="118" t="n"/>
    </row>
    <row r="466" ht="15" customHeight="1" s="74">
      <c r="A466" s="118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20" t="n"/>
      <c r="K466" s="120" t="n"/>
      <c r="L466" s="120" t="n"/>
      <c r="M466" s="121" t="n"/>
      <c r="N466" s="118" t="n"/>
    </row>
    <row r="467" ht="15" customHeight="1" s="74">
      <c r="A467" s="118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20" t="n"/>
      <c r="K467" s="120" t="n"/>
      <c r="L467" s="120" t="n"/>
      <c r="M467" s="121" t="n"/>
      <c r="N467" s="118" t="n"/>
    </row>
    <row r="468" ht="15" customHeight="1" s="74">
      <c r="A468" s="118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20" t="n"/>
      <c r="K468" s="120" t="n"/>
      <c r="L468" s="120" t="n"/>
      <c r="M468" s="121" t="n"/>
      <c r="N468" s="118" t="n"/>
    </row>
    <row r="469" ht="15" customHeight="1" s="74">
      <c r="A469" s="118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20" t="n"/>
      <c r="K469" s="120" t="n"/>
      <c r="L469" s="120" t="n"/>
      <c r="M469" s="121" t="n"/>
      <c r="N469" s="118" t="n"/>
    </row>
    <row r="470" ht="15" customHeight="1" s="74">
      <c r="A470" s="118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20" t="n"/>
      <c r="K470" s="120" t="n"/>
      <c r="L470" s="120" t="n"/>
      <c r="M470" s="121" t="n"/>
      <c r="N470" s="118" t="n"/>
    </row>
    <row r="471" ht="15" customHeight="1" s="74">
      <c r="A471" s="118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20" t="n"/>
      <c r="K471" s="120" t="n"/>
      <c r="L471" s="120" t="n"/>
      <c r="M471" s="121" t="n"/>
      <c r="N471" s="118" t="n"/>
    </row>
    <row r="472" ht="15" customHeight="1" s="74">
      <c r="A472" s="118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20" t="n"/>
      <c r="K472" s="120" t="n"/>
      <c r="L472" s="120" t="n"/>
      <c r="M472" s="121" t="n"/>
      <c r="N472" s="118" t="n"/>
    </row>
    <row r="473" ht="15" customHeight="1" s="74">
      <c r="A473" s="118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20" t="n"/>
      <c r="K473" s="120" t="n"/>
      <c r="L473" s="120" t="n"/>
      <c r="M473" s="121" t="n"/>
      <c r="N473" s="118" t="n"/>
    </row>
    <row r="474" ht="15" customHeight="1" s="74">
      <c r="A474" s="118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20" t="n"/>
      <c r="K474" s="120" t="n"/>
      <c r="L474" s="120" t="n"/>
      <c r="M474" s="121" t="n"/>
      <c r="N474" s="118" t="n"/>
    </row>
    <row r="475" ht="15" customHeight="1" s="74">
      <c r="A475" s="118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20" t="n"/>
      <c r="K475" s="120" t="n"/>
      <c r="L475" s="120" t="n"/>
      <c r="M475" s="121" t="n"/>
      <c r="N475" s="118" t="n"/>
    </row>
    <row r="476" ht="15" customHeight="1" s="74">
      <c r="A476" s="118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20" t="n"/>
      <c r="K476" s="120" t="n"/>
      <c r="L476" s="120" t="n"/>
      <c r="M476" s="121" t="n"/>
      <c r="N476" s="118" t="n"/>
    </row>
    <row r="477" ht="15" customHeight="1" s="74">
      <c r="A477" s="118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20" t="n"/>
      <c r="K477" s="120" t="n"/>
      <c r="L477" s="120" t="n"/>
      <c r="M477" s="121" t="n"/>
      <c r="N477" s="118" t="n"/>
    </row>
    <row r="478" ht="15" customHeight="1" s="74">
      <c r="A478" s="118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20" t="n"/>
      <c r="K478" s="120" t="n"/>
      <c r="L478" s="120" t="n"/>
      <c r="M478" s="121" t="n"/>
      <c r="N478" s="118" t="n"/>
    </row>
    <row r="479" ht="15" customHeight="1" s="74">
      <c r="A479" s="118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20" t="n"/>
      <c r="K479" s="120" t="n"/>
      <c r="L479" s="120" t="n"/>
      <c r="M479" s="121" t="n"/>
      <c r="N479" s="118" t="n"/>
    </row>
    <row r="480" ht="15" customHeight="1" s="74">
      <c r="A480" s="118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20" t="n"/>
      <c r="K480" s="120" t="n"/>
      <c r="L480" s="120" t="n"/>
      <c r="M480" s="121" t="n"/>
      <c r="N480" s="118" t="n"/>
    </row>
    <row r="481" ht="15" customHeight="1" s="74">
      <c r="A481" s="118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20" t="n"/>
      <c r="K481" s="120" t="n"/>
      <c r="L481" s="120" t="n"/>
      <c r="M481" s="121" t="n"/>
      <c r="N481" s="118" t="n"/>
    </row>
    <row r="482" ht="15" customHeight="1" s="74">
      <c r="A482" s="118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20" t="n"/>
      <c r="K482" s="120" t="n"/>
      <c r="L482" s="120" t="n"/>
      <c r="M482" s="121" t="n"/>
      <c r="N482" s="118" t="n"/>
    </row>
    <row r="483" ht="15" customHeight="1" s="74">
      <c r="A483" s="118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20" t="n"/>
      <c r="K483" s="120" t="n"/>
      <c r="L483" s="120" t="n"/>
      <c r="M483" s="121" t="n"/>
      <c r="N483" s="118" t="n"/>
    </row>
    <row r="484" ht="15" customHeight="1" s="74">
      <c r="A484" s="118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20" t="n"/>
      <c r="K484" s="120" t="n"/>
      <c r="L484" s="120" t="n"/>
      <c r="M484" s="121" t="n"/>
      <c r="N484" s="118" t="n"/>
    </row>
    <row r="485" ht="15" customHeight="1" s="74">
      <c r="A485" s="118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20" t="n"/>
      <c r="K485" s="120" t="n"/>
      <c r="L485" s="120" t="n"/>
      <c r="M485" s="121" t="n"/>
      <c r="N485" s="118" t="n"/>
    </row>
    <row r="486" ht="15" customHeight="1" s="74">
      <c r="A486" s="118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20" t="n"/>
      <c r="K486" s="120" t="n"/>
      <c r="L486" s="120" t="n"/>
      <c r="M486" s="121" t="n"/>
      <c r="N486" s="118" t="n"/>
    </row>
    <row r="487" ht="15" customHeight="1" s="74">
      <c r="A487" s="118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20" t="n"/>
      <c r="K487" s="120" t="n"/>
      <c r="L487" s="120" t="n"/>
      <c r="M487" s="121" t="n"/>
      <c r="N487" s="118" t="n"/>
    </row>
    <row r="488" ht="15" customHeight="1" s="74">
      <c r="A488" s="118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20" t="n"/>
      <c r="K488" s="120" t="n"/>
      <c r="L488" s="120" t="n"/>
      <c r="M488" s="121" t="n"/>
      <c r="N488" s="118" t="n"/>
    </row>
    <row r="489" ht="15" customHeight="1" s="74">
      <c r="A489" s="118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20" t="n"/>
      <c r="K489" s="120" t="n"/>
      <c r="L489" s="120" t="n"/>
      <c r="M489" s="121" t="n"/>
      <c r="N489" s="118" t="n"/>
    </row>
    <row r="490" ht="15" customHeight="1" s="74">
      <c r="A490" s="118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20" t="n"/>
      <c r="K490" s="120" t="n"/>
      <c r="L490" s="120" t="n"/>
      <c r="M490" s="121" t="n"/>
      <c r="N490" s="118" t="n"/>
    </row>
    <row r="491" ht="15" customHeight="1" s="74">
      <c r="A491" s="118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20" t="n"/>
      <c r="K491" s="120" t="n"/>
      <c r="L491" s="120" t="n"/>
      <c r="M491" s="121" t="n"/>
      <c r="N491" s="118" t="n"/>
    </row>
    <row r="492" ht="15" customHeight="1" s="74">
      <c r="A492" s="118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20" t="n"/>
      <c r="K492" s="120" t="n"/>
      <c r="L492" s="120" t="n"/>
      <c r="M492" s="121" t="n"/>
      <c r="N492" s="118" t="n"/>
    </row>
    <row r="493" ht="15" customHeight="1" s="74">
      <c r="A493" s="118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20" t="n"/>
      <c r="K493" s="120" t="n"/>
      <c r="L493" s="120" t="n"/>
      <c r="M493" s="121" t="n"/>
      <c r="N493" s="118" t="n"/>
    </row>
    <row r="494" ht="15" customHeight="1" s="74">
      <c r="A494" s="118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20" t="n"/>
      <c r="K494" s="120" t="n"/>
      <c r="L494" s="120" t="n"/>
      <c r="M494" s="121" t="n"/>
      <c r="N494" s="118" t="n"/>
    </row>
    <row r="495" ht="15" customHeight="1" s="74">
      <c r="A495" s="118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20" t="n"/>
      <c r="K495" s="120" t="n"/>
      <c r="L495" s="120" t="n"/>
      <c r="M495" s="121" t="n"/>
      <c r="N495" s="118" t="n"/>
    </row>
    <row r="496" ht="15" customHeight="1" s="74">
      <c r="A496" s="118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20" t="n"/>
      <c r="K496" s="120" t="n"/>
      <c r="L496" s="120" t="n"/>
      <c r="M496" s="121" t="n"/>
      <c r="N496" s="118" t="n"/>
    </row>
    <row r="497" ht="15" customHeight="1" s="74">
      <c r="A497" s="118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20" t="n"/>
      <c r="K497" s="120" t="n"/>
      <c r="L497" s="120" t="n"/>
      <c r="M497" s="121" t="n"/>
      <c r="N497" s="118" t="n"/>
    </row>
    <row r="498" ht="15" customHeight="1" s="74">
      <c r="A498" s="118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20" t="n"/>
      <c r="K498" s="120" t="n"/>
      <c r="L498" s="120" t="n"/>
      <c r="M498" s="121" t="n"/>
      <c r="N498" s="118" t="n"/>
    </row>
    <row r="499" ht="15" customHeight="1" s="74">
      <c r="A499" s="118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20" t="n"/>
      <c r="K499" s="120" t="n"/>
      <c r="L499" s="120" t="n"/>
      <c r="M499" s="121" t="n"/>
      <c r="N499" s="118" t="n"/>
    </row>
    <row r="500" ht="15" customHeight="1" s="74">
      <c r="A500" s="118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20" t="n"/>
      <c r="K500" s="120" t="n"/>
      <c r="L500" s="120" t="n"/>
      <c r="M500" s="121" t="n"/>
      <c r="N500" s="118" t="n"/>
    </row>
    <row r="501" ht="15" customHeight="1" s="74">
      <c r="A501" s="118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20" t="n"/>
      <c r="K501" s="120" t="n"/>
      <c r="L501" s="120" t="n"/>
      <c r="M501" s="121" t="n"/>
      <c r="N501" s="118" t="n"/>
    </row>
    <row r="502" ht="15" customHeight="1" s="74">
      <c r="A502" s="118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20" t="n"/>
      <c r="K502" s="120" t="n"/>
      <c r="L502" s="120" t="n"/>
      <c r="M502" s="121" t="n"/>
      <c r="N502" s="118" t="n"/>
    </row>
    <row r="503" ht="15" customHeight="1" s="74">
      <c r="A503" s="118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20" t="n"/>
      <c r="K503" s="120" t="n"/>
      <c r="L503" s="120" t="n"/>
      <c r="M503" s="121" t="n"/>
      <c r="N503" s="118" t="n"/>
    </row>
    <row r="504" ht="15" customHeight="1" s="74">
      <c r="A504" s="118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20" t="n"/>
      <c r="K504" s="120" t="n"/>
      <c r="L504" s="120" t="n"/>
      <c r="M504" s="121" t="n"/>
      <c r="N504" s="118" t="n"/>
    </row>
    <row r="505" ht="15" customHeight="1" s="74">
      <c r="A505" s="118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20" t="n"/>
      <c r="K505" s="120" t="n"/>
      <c r="L505" s="120" t="n"/>
      <c r="M505" s="121" t="n"/>
      <c r="N505" s="118" t="n"/>
    </row>
    <row r="506" ht="15" customHeight="1" s="74">
      <c r="A506" s="118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20" t="n"/>
      <c r="K506" s="120" t="n"/>
      <c r="L506" s="120" t="n"/>
      <c r="M506" s="121" t="n"/>
      <c r="N506" s="118" t="n"/>
    </row>
    <row r="507" ht="15" customHeight="1" s="74">
      <c r="A507" s="118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20" t="n"/>
      <c r="K507" s="120" t="n"/>
      <c r="L507" s="120" t="n"/>
      <c r="M507" s="121" t="n"/>
      <c r="N507" s="118" t="n"/>
    </row>
    <row r="508" ht="15" customHeight="1" s="74">
      <c r="A508" s="118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20" t="n"/>
      <c r="K508" s="120" t="n"/>
      <c r="L508" s="120" t="n"/>
      <c r="M508" s="121" t="n"/>
      <c r="N508" s="118" t="n"/>
    </row>
    <row r="509" ht="15" customHeight="1" s="74">
      <c r="A509" s="118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20" t="n"/>
      <c r="K509" s="120" t="n"/>
      <c r="L509" s="120" t="n"/>
      <c r="M509" s="121" t="n"/>
      <c r="N509" s="118" t="n"/>
    </row>
    <row r="510" ht="15" customHeight="1" s="74">
      <c r="A510" s="118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20" t="n"/>
      <c r="K510" s="120" t="n"/>
      <c r="L510" s="120" t="n"/>
      <c r="M510" s="121" t="n"/>
      <c r="N510" s="118" t="n"/>
    </row>
    <row r="511" ht="15" customHeight="1" s="74">
      <c r="A511" s="118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20" t="n"/>
      <c r="K511" s="120" t="n"/>
      <c r="L511" s="120" t="n"/>
      <c r="M511" s="121" t="n"/>
      <c r="N511" s="118" t="n"/>
    </row>
    <row r="512" ht="15" customHeight="1" s="74">
      <c r="A512" s="118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20" t="n"/>
      <c r="K512" s="120" t="n"/>
      <c r="L512" s="120" t="n"/>
      <c r="M512" s="121" t="n"/>
      <c r="N512" s="118" t="n"/>
    </row>
    <row r="513" ht="15" customHeight="1" s="74">
      <c r="A513" s="118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20" t="n"/>
      <c r="K513" s="120" t="n"/>
      <c r="L513" s="120" t="n"/>
      <c r="M513" s="121" t="n"/>
      <c r="N513" s="118" t="n"/>
    </row>
    <row r="514" ht="15" customHeight="1" s="74">
      <c r="A514" s="118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20" t="n"/>
      <c r="K514" s="120" t="n"/>
      <c r="L514" s="120" t="n"/>
      <c r="M514" s="121" t="n"/>
      <c r="N514" s="118" t="n"/>
    </row>
    <row r="515" ht="15" customHeight="1" s="74">
      <c r="A515" s="118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20" t="n"/>
      <c r="K515" s="120" t="n"/>
      <c r="L515" s="120" t="n"/>
      <c r="M515" s="121" t="n"/>
      <c r="N515" s="118" t="n"/>
    </row>
    <row r="516" ht="15" customHeight="1" s="74">
      <c r="A516" s="118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20" t="n"/>
      <c r="K516" s="120" t="n"/>
      <c r="L516" s="120" t="n"/>
      <c r="M516" s="121" t="n"/>
      <c r="N516" s="118" t="n"/>
    </row>
    <row r="517" ht="15" customHeight="1" s="74">
      <c r="A517" s="118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20" t="n"/>
      <c r="K517" s="120" t="n"/>
      <c r="L517" s="120" t="n"/>
      <c r="M517" s="121" t="n"/>
      <c r="N517" s="118" t="n"/>
    </row>
    <row r="518" ht="15" customHeight="1" s="74">
      <c r="A518" s="118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20" t="n"/>
      <c r="K518" s="120" t="n"/>
      <c r="L518" s="120" t="n"/>
      <c r="M518" s="121" t="n"/>
      <c r="N518" s="118" t="n"/>
    </row>
    <row r="519" ht="15" customHeight="1" s="74">
      <c r="A519" s="118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20" t="n"/>
      <c r="K519" s="120" t="n"/>
      <c r="L519" s="120" t="n"/>
      <c r="M519" s="121" t="n"/>
      <c r="N519" s="118" t="n"/>
    </row>
    <row r="520" ht="15" customHeight="1" s="74">
      <c r="A520" s="118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20" t="n"/>
      <c r="K520" s="120" t="n"/>
      <c r="L520" s="120" t="n"/>
      <c r="M520" s="121" t="n"/>
      <c r="N520" s="118" t="n"/>
    </row>
    <row r="521" ht="15" customHeight="1" s="74">
      <c r="A521" s="118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20" t="n"/>
      <c r="K521" s="120" t="n"/>
      <c r="L521" s="120" t="n"/>
      <c r="M521" s="121" t="n"/>
      <c r="N521" s="118" t="n"/>
    </row>
    <row r="522" ht="15" customHeight="1" s="74">
      <c r="A522" s="118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20" t="n"/>
      <c r="K522" s="120" t="n"/>
      <c r="L522" s="120" t="n"/>
      <c r="M522" s="121" t="n"/>
      <c r="N522" s="118" t="n"/>
    </row>
    <row r="523" ht="15" customHeight="1" s="74">
      <c r="A523" s="118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20" t="n"/>
      <c r="K523" s="120" t="n"/>
      <c r="L523" s="120" t="n"/>
      <c r="M523" s="121" t="n"/>
      <c r="N523" s="118" t="n"/>
    </row>
    <row r="524" ht="15" customHeight="1" s="74">
      <c r="A524" s="118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20" t="n"/>
      <c r="K524" s="120" t="n"/>
      <c r="L524" s="120" t="n"/>
      <c r="M524" s="121" t="n"/>
      <c r="N524" s="118" t="n"/>
    </row>
    <row r="525" ht="15" customHeight="1" s="74">
      <c r="A525" s="118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20" t="n"/>
      <c r="K525" s="120" t="n"/>
      <c r="L525" s="120" t="n"/>
      <c r="M525" s="121" t="n"/>
      <c r="N525" s="118" t="n"/>
    </row>
    <row r="526" ht="15" customHeight="1" s="74">
      <c r="A526" s="118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20" t="n"/>
      <c r="K526" s="120" t="n"/>
      <c r="L526" s="120" t="n"/>
      <c r="M526" s="121" t="n"/>
      <c r="N526" s="118" t="n"/>
    </row>
    <row r="527" ht="15" customHeight="1" s="74">
      <c r="A527" s="118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20" t="n"/>
      <c r="K527" s="120" t="n"/>
      <c r="L527" s="120" t="n"/>
      <c r="M527" s="121" t="n"/>
      <c r="N527" s="118" t="n"/>
    </row>
    <row r="528" ht="15" customHeight="1" s="74">
      <c r="A528" s="118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20" t="n"/>
      <c r="K528" s="120" t="n"/>
      <c r="L528" s="120" t="n"/>
      <c r="M528" s="121" t="n"/>
      <c r="N528" s="118" t="n"/>
    </row>
    <row r="529" ht="15" customHeight="1" s="74">
      <c r="A529" s="118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20" t="n"/>
      <c r="K529" s="120" t="n"/>
      <c r="L529" s="120" t="n"/>
      <c r="M529" s="121" t="n"/>
      <c r="N529" s="118" t="n"/>
    </row>
    <row r="530" ht="15" customHeight="1" s="74">
      <c r="A530" s="118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20" t="n"/>
      <c r="K530" s="120" t="n"/>
      <c r="L530" s="120" t="n"/>
      <c r="M530" s="121" t="n"/>
      <c r="N530" s="118" t="n"/>
    </row>
    <row r="531" ht="15" customHeight="1" s="74">
      <c r="A531" s="118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20" t="n"/>
      <c r="K531" s="120" t="n"/>
      <c r="L531" s="120" t="n"/>
      <c r="M531" s="121" t="n"/>
      <c r="N531" s="118" t="n"/>
    </row>
    <row r="532" ht="15" customHeight="1" s="74">
      <c r="A532" s="118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20" t="n"/>
      <c r="K532" s="120" t="n"/>
      <c r="L532" s="120" t="n"/>
      <c r="M532" s="121" t="n"/>
      <c r="N532" s="118" t="n"/>
    </row>
    <row r="533" ht="15" customHeight="1" s="74">
      <c r="A533" s="118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20" t="n"/>
      <c r="K533" s="120" t="n"/>
      <c r="L533" s="120" t="n"/>
      <c r="M533" s="121" t="n"/>
      <c r="N533" s="118" t="n"/>
    </row>
    <row r="534" ht="15" customHeight="1" s="74">
      <c r="A534" s="118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20" t="n"/>
      <c r="K534" s="120" t="n"/>
      <c r="L534" s="120" t="n"/>
      <c r="M534" s="121" t="n"/>
      <c r="N534" s="118" t="n"/>
    </row>
    <row r="535" ht="15" customHeight="1" s="74">
      <c r="A535" s="118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20" t="n"/>
      <c r="K535" s="120" t="n"/>
      <c r="L535" s="120" t="n"/>
      <c r="M535" s="121" t="n"/>
      <c r="N535" s="118" t="n"/>
    </row>
    <row r="536" ht="15" customHeight="1" s="74">
      <c r="A536" s="118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20" t="n"/>
      <c r="K536" s="120" t="n"/>
      <c r="L536" s="120" t="n"/>
      <c r="M536" s="121" t="n"/>
      <c r="N536" s="118" t="n"/>
    </row>
    <row r="537" ht="15" customHeight="1" s="74">
      <c r="A537" s="118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20" t="n"/>
      <c r="K537" s="120" t="n"/>
      <c r="L537" s="120" t="n"/>
      <c r="M537" s="121" t="n"/>
      <c r="N537" s="118" t="n"/>
    </row>
    <row r="538" ht="15" customHeight="1" s="74">
      <c r="A538" s="118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20" t="n"/>
      <c r="K538" s="120" t="n"/>
      <c r="L538" s="120" t="n"/>
      <c r="M538" s="121" t="n"/>
      <c r="N538" s="118" t="n"/>
    </row>
    <row r="539" ht="15" customHeight="1" s="74">
      <c r="A539" s="118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20" t="n"/>
      <c r="K539" s="120" t="n"/>
      <c r="L539" s="120" t="n"/>
      <c r="M539" s="121" t="n"/>
      <c r="N539" s="118" t="n"/>
    </row>
    <row r="540" ht="15" customHeight="1" s="74">
      <c r="A540" s="118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20" t="n"/>
      <c r="K540" s="120" t="n"/>
      <c r="L540" s="120" t="n"/>
      <c r="M540" s="121" t="n"/>
      <c r="N540" s="118" t="n"/>
    </row>
    <row r="541" ht="15" customHeight="1" s="74">
      <c r="A541" s="118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20" t="n"/>
      <c r="K541" s="120" t="n"/>
      <c r="L541" s="120" t="n"/>
      <c r="M541" s="121" t="n"/>
      <c r="N541" s="118" t="n"/>
    </row>
    <row r="542" ht="15" customHeight="1" s="74">
      <c r="A542" s="118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20" t="n"/>
      <c r="K542" s="120" t="n"/>
      <c r="L542" s="120" t="n"/>
      <c r="M542" s="121" t="n"/>
      <c r="N542" s="118" t="n"/>
    </row>
    <row r="543" ht="15" customHeight="1" s="74">
      <c r="A543" s="118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20" t="n"/>
      <c r="K543" s="120" t="n"/>
      <c r="L543" s="120" t="n"/>
      <c r="M543" s="121" t="n"/>
      <c r="N543" s="118" t="n"/>
    </row>
    <row r="544" ht="15" customHeight="1" s="74">
      <c r="A544" s="118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20" t="n"/>
      <c r="K544" s="120" t="n"/>
      <c r="L544" s="120" t="n"/>
      <c r="M544" s="121" t="n"/>
      <c r="N544" s="118" t="n"/>
    </row>
    <row r="545" ht="15" customHeight="1" s="74">
      <c r="A545" s="118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20" t="n"/>
      <c r="K545" s="120" t="n"/>
      <c r="L545" s="120" t="n"/>
      <c r="M545" s="121" t="n"/>
      <c r="N545" s="118" t="n"/>
    </row>
    <row r="546" ht="15" customHeight="1" s="74">
      <c r="A546" s="118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20" t="n"/>
      <c r="K546" s="120" t="n"/>
      <c r="L546" s="120" t="n"/>
      <c r="M546" s="121" t="n"/>
      <c r="N546" s="118" t="n"/>
    </row>
    <row r="547" ht="15" customHeight="1" s="74">
      <c r="A547" s="118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20" t="n"/>
      <c r="K547" s="120" t="n"/>
      <c r="L547" s="120" t="n"/>
      <c r="M547" s="121" t="n"/>
      <c r="N547" s="118" t="n"/>
    </row>
    <row r="548" ht="15" customHeight="1" s="74">
      <c r="A548" s="118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20" t="n"/>
      <c r="K548" s="120" t="n"/>
      <c r="L548" s="120" t="n"/>
      <c r="M548" s="121" t="n"/>
      <c r="N548" s="118" t="n"/>
    </row>
    <row r="549" ht="15" customHeight="1" s="74">
      <c r="A549" s="118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20" t="n"/>
      <c r="K549" s="120" t="n"/>
      <c r="L549" s="120" t="n"/>
      <c r="M549" s="121" t="n"/>
      <c r="N549" s="118" t="n"/>
    </row>
    <row r="550" ht="15" customHeight="1" s="74">
      <c r="A550" s="118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20" t="n"/>
      <c r="K550" s="120" t="n"/>
      <c r="L550" s="120" t="n"/>
      <c r="M550" s="121" t="n"/>
      <c r="N550" s="118" t="n"/>
    </row>
    <row r="551" ht="15" customHeight="1" s="74">
      <c r="A551" s="118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20" t="n"/>
      <c r="K551" s="120" t="n"/>
      <c r="L551" s="120" t="n"/>
      <c r="M551" s="121" t="n"/>
      <c r="N551" s="118" t="n"/>
    </row>
    <row r="552" ht="15" customHeight="1" s="74">
      <c r="A552" s="118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20" t="n"/>
      <c r="K552" s="120" t="n"/>
      <c r="L552" s="120" t="n"/>
      <c r="M552" s="121" t="n"/>
      <c r="N552" s="118" t="n"/>
    </row>
    <row r="553" ht="15" customHeight="1" s="74">
      <c r="A553" s="118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20" t="n"/>
      <c r="K553" s="120" t="n"/>
      <c r="L553" s="120" t="n"/>
      <c r="M553" s="121" t="n"/>
      <c r="N553" s="118" t="n"/>
    </row>
    <row r="554" ht="15" customHeight="1" s="74">
      <c r="A554" s="118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20" t="n"/>
      <c r="K554" s="120" t="n"/>
      <c r="L554" s="120" t="n"/>
      <c r="M554" s="121" t="n"/>
      <c r="N554" s="118" t="n"/>
    </row>
    <row r="555" ht="15" customHeight="1" s="74">
      <c r="A555" s="118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20" t="n"/>
      <c r="K555" s="120" t="n"/>
      <c r="L555" s="120" t="n"/>
      <c r="M555" s="121" t="n"/>
      <c r="N555" s="118" t="n"/>
    </row>
    <row r="556" ht="15" customHeight="1" s="74">
      <c r="A556" s="118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20" t="n"/>
      <c r="K556" s="120" t="n"/>
      <c r="L556" s="120" t="n"/>
      <c r="M556" s="121" t="n"/>
      <c r="N556" s="118" t="n"/>
    </row>
    <row r="557" ht="15" customHeight="1" s="74">
      <c r="A557" s="118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20" t="n"/>
      <c r="K557" s="120" t="n"/>
      <c r="L557" s="120" t="n"/>
      <c r="M557" s="121" t="n"/>
      <c r="N557" s="118" t="n"/>
    </row>
    <row r="558" ht="15" customHeight="1" s="74">
      <c r="A558" s="118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20" t="n"/>
      <c r="K558" s="120" t="n"/>
      <c r="L558" s="120" t="n"/>
      <c r="M558" s="121" t="n"/>
      <c r="N558" s="118" t="n"/>
    </row>
    <row r="559" ht="15" customHeight="1" s="74">
      <c r="A559" s="118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20" t="n"/>
      <c r="K559" s="120" t="n"/>
      <c r="L559" s="120" t="n"/>
      <c r="M559" s="121" t="n"/>
      <c r="N559" s="118" t="n"/>
    </row>
    <row r="560" ht="15" customHeight="1" s="74">
      <c r="A560" s="118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20" t="n"/>
      <c r="K560" s="120" t="n"/>
      <c r="L560" s="120" t="n"/>
      <c r="M560" s="121" t="n"/>
      <c r="N560" s="118" t="n"/>
    </row>
    <row r="561" ht="15" customHeight="1" s="74">
      <c r="A561" s="118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20" t="n"/>
      <c r="K561" s="120" t="n"/>
      <c r="L561" s="120" t="n"/>
      <c r="M561" s="121" t="n"/>
      <c r="N561" s="118" t="n"/>
    </row>
    <row r="562" ht="15" customHeight="1" s="74">
      <c r="A562" s="118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20" t="n"/>
      <c r="K562" s="120" t="n"/>
      <c r="L562" s="120" t="n"/>
      <c r="M562" s="121" t="n"/>
      <c r="N562" s="118" t="n"/>
    </row>
    <row r="563" ht="15" customHeight="1" s="74">
      <c r="A563" s="118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20" t="n"/>
      <c r="K563" s="120" t="n"/>
      <c r="L563" s="120" t="n"/>
      <c r="M563" s="121" t="n"/>
      <c r="N563" s="118" t="n"/>
    </row>
    <row r="564" ht="15" customHeight="1" s="74">
      <c r="A564" s="118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20" t="n"/>
      <c r="K564" s="120" t="n"/>
      <c r="L564" s="120" t="n"/>
      <c r="M564" s="121" t="n"/>
      <c r="N564" s="118" t="n"/>
    </row>
    <row r="565" ht="15" customHeight="1" s="74">
      <c r="A565" s="118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20" t="n"/>
      <c r="K565" s="120" t="n"/>
      <c r="L565" s="120" t="n"/>
      <c r="M565" s="121" t="n"/>
      <c r="N565" s="118" t="n"/>
    </row>
    <row r="566" ht="15" customHeight="1" s="74">
      <c r="A566" s="118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20" t="n"/>
      <c r="K566" s="120" t="n"/>
      <c r="L566" s="120" t="n"/>
      <c r="M566" s="121" t="n"/>
      <c r="N566" s="118" t="n"/>
    </row>
    <row r="567" ht="15" customHeight="1" s="74">
      <c r="A567" s="118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20" t="n"/>
      <c r="K567" s="120" t="n"/>
      <c r="L567" s="120" t="n"/>
      <c r="M567" s="121" t="n"/>
      <c r="N567" s="118" t="n"/>
    </row>
    <row r="568" ht="15" customHeight="1" s="74">
      <c r="A568" s="118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20" t="n"/>
      <c r="K568" s="120" t="n"/>
      <c r="L568" s="120" t="n"/>
      <c r="M568" s="121" t="n"/>
      <c r="N568" s="118" t="n"/>
    </row>
    <row r="569" ht="15" customHeight="1" s="74">
      <c r="A569" s="118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20" t="n"/>
      <c r="K569" s="120" t="n"/>
      <c r="L569" s="120" t="n"/>
      <c r="M569" s="121" t="n"/>
      <c r="N569" s="118" t="n"/>
    </row>
    <row r="570" ht="15" customHeight="1" s="74">
      <c r="A570" s="118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20" t="n"/>
      <c r="K570" s="120" t="n"/>
      <c r="L570" s="120" t="n"/>
      <c r="M570" s="121" t="n"/>
      <c r="N570" s="118" t="n"/>
    </row>
    <row r="571" ht="15" customHeight="1" s="74">
      <c r="A571" s="118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20" t="n"/>
      <c r="K571" s="120" t="n"/>
      <c r="L571" s="120" t="n"/>
      <c r="M571" s="121" t="n"/>
      <c r="N571" s="118" t="n"/>
    </row>
    <row r="572" ht="15" customHeight="1" s="74">
      <c r="A572" s="118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20" t="n"/>
      <c r="K572" s="120" t="n"/>
      <c r="L572" s="120" t="n"/>
      <c r="M572" s="121" t="n"/>
      <c r="N572" s="118" t="n"/>
    </row>
    <row r="573" ht="15" customHeight="1" s="74">
      <c r="A573" s="118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20" t="n"/>
      <c r="K573" s="120" t="n"/>
      <c r="L573" s="120" t="n"/>
      <c r="M573" s="121" t="n"/>
      <c r="N573" s="118" t="n"/>
    </row>
    <row r="574" ht="15" customHeight="1" s="74">
      <c r="A574" s="118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20" t="n"/>
      <c r="K574" s="120" t="n"/>
      <c r="L574" s="120" t="n"/>
      <c r="M574" s="121" t="n"/>
      <c r="N574" s="118" t="n"/>
    </row>
    <row r="575" ht="15" customHeight="1" s="74">
      <c r="A575" s="118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20" t="n"/>
      <c r="K575" s="120" t="n"/>
      <c r="L575" s="120" t="n"/>
      <c r="M575" s="121" t="n"/>
      <c r="N575" s="118" t="n"/>
    </row>
    <row r="576" ht="15" customHeight="1" s="74">
      <c r="A576" s="118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20" t="n"/>
      <c r="K576" s="120" t="n"/>
      <c r="L576" s="120" t="n"/>
      <c r="M576" s="121" t="n"/>
      <c r="N576" s="118" t="n"/>
    </row>
    <row r="577" ht="15" customHeight="1" s="74">
      <c r="A577" s="118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20" t="n"/>
      <c r="K577" s="120" t="n"/>
      <c r="L577" s="120" t="n"/>
      <c r="M577" s="121" t="n"/>
      <c r="N577" s="118" t="n"/>
    </row>
    <row r="578" ht="15" customHeight="1" s="74">
      <c r="A578" s="118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20" t="n"/>
      <c r="K578" s="120" t="n"/>
      <c r="L578" s="120" t="n"/>
      <c r="M578" s="121" t="n"/>
      <c r="N578" s="118" t="n"/>
    </row>
    <row r="579" ht="15" customHeight="1" s="74">
      <c r="A579" s="118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20" t="n"/>
      <c r="K579" s="120" t="n"/>
      <c r="L579" s="120" t="n"/>
      <c r="M579" s="121" t="n"/>
      <c r="N579" s="118" t="n"/>
    </row>
    <row r="580" ht="15" customHeight="1" s="74">
      <c r="A580" s="118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20" t="n"/>
      <c r="K580" s="120" t="n"/>
      <c r="L580" s="120" t="n"/>
      <c r="M580" s="121" t="n"/>
      <c r="N580" s="118" t="n"/>
    </row>
    <row r="581" ht="15" customHeight="1" s="74">
      <c r="A581" s="118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20" t="n"/>
      <c r="K581" s="120" t="n"/>
      <c r="L581" s="120" t="n"/>
      <c r="M581" s="121" t="n"/>
      <c r="N581" s="118" t="n"/>
    </row>
    <row r="582" ht="15" customHeight="1" s="74">
      <c r="A582" s="118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20" t="n"/>
      <c r="K582" s="120" t="n"/>
      <c r="L582" s="120" t="n"/>
      <c r="M582" s="121" t="n"/>
      <c r="N582" s="118" t="n"/>
    </row>
    <row r="583" ht="15" customHeight="1" s="74">
      <c r="A583" s="118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20" t="n"/>
      <c r="K583" s="120" t="n"/>
      <c r="L583" s="120" t="n"/>
      <c r="M583" s="121" t="n"/>
      <c r="N583" s="118" t="n"/>
    </row>
    <row r="584" ht="15" customHeight="1" s="74">
      <c r="A584" s="118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20" t="n"/>
      <c r="K584" s="120" t="n"/>
      <c r="L584" s="120" t="n"/>
      <c r="M584" s="121" t="n"/>
      <c r="N584" s="118" t="n"/>
    </row>
    <row r="585" ht="15" customHeight="1" s="74">
      <c r="A585" s="118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20" t="n"/>
      <c r="K585" s="120" t="n"/>
      <c r="L585" s="120" t="n"/>
      <c r="M585" s="121" t="n"/>
      <c r="N585" s="118" t="n"/>
    </row>
    <row r="586" ht="15" customHeight="1" s="74">
      <c r="A586" s="118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20" t="n"/>
      <c r="K586" s="120" t="n"/>
      <c r="L586" s="120" t="n"/>
      <c r="M586" s="121" t="n"/>
      <c r="N586" s="118" t="n"/>
    </row>
    <row r="587" ht="15" customHeight="1" s="74">
      <c r="A587" s="118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20" t="n"/>
      <c r="K587" s="120" t="n"/>
      <c r="L587" s="120" t="n"/>
      <c r="M587" s="121" t="n"/>
      <c r="N587" s="118" t="n"/>
    </row>
    <row r="588" ht="15" customHeight="1" s="74">
      <c r="A588" s="118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20" t="n"/>
      <c r="K588" s="120" t="n"/>
      <c r="L588" s="120" t="n"/>
      <c r="M588" s="121" t="n"/>
      <c r="N588" s="118" t="n"/>
    </row>
    <row r="589" ht="15" customHeight="1" s="74">
      <c r="A589" s="118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20" t="n"/>
      <c r="K589" s="120" t="n"/>
      <c r="L589" s="120" t="n"/>
      <c r="M589" s="121" t="n"/>
      <c r="N589" s="118" t="n"/>
    </row>
    <row r="590" ht="15" customHeight="1" s="74">
      <c r="A590" s="118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20" t="n"/>
      <c r="K590" s="120" t="n"/>
      <c r="L590" s="120" t="n"/>
      <c r="M590" s="121" t="n"/>
      <c r="N590" s="118" t="n"/>
    </row>
    <row r="591" ht="15" customHeight="1" s="74">
      <c r="A591" s="118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20" t="n"/>
      <c r="K591" s="120" t="n"/>
      <c r="L591" s="120" t="n"/>
      <c r="M591" s="121" t="n"/>
      <c r="N591" s="118" t="n"/>
    </row>
    <row r="592" ht="15" customHeight="1" s="74">
      <c r="A592" s="118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20" t="n"/>
      <c r="K592" s="120" t="n"/>
      <c r="L592" s="120" t="n"/>
      <c r="M592" s="121" t="n"/>
      <c r="N592" s="118" t="n"/>
    </row>
    <row r="593" ht="15" customHeight="1" s="74">
      <c r="A593" s="118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20" t="n"/>
      <c r="K593" s="120" t="n"/>
      <c r="L593" s="120" t="n"/>
      <c r="M593" s="121" t="n"/>
      <c r="N593" s="118" t="n"/>
    </row>
    <row r="594" ht="15" customHeight="1" s="74">
      <c r="A594" s="118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20" t="n"/>
      <c r="K594" s="120" t="n"/>
      <c r="L594" s="120" t="n"/>
      <c r="M594" s="121" t="n"/>
      <c r="N594" s="118" t="n"/>
    </row>
    <row r="595" ht="15" customHeight="1" s="74">
      <c r="A595" s="118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20" t="n"/>
      <c r="K595" s="120" t="n"/>
      <c r="L595" s="120" t="n"/>
      <c r="M595" s="121" t="n"/>
      <c r="N595" s="118" t="n"/>
    </row>
    <row r="596" ht="15" customHeight="1" s="74">
      <c r="A596" s="118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20" t="n"/>
      <c r="K596" s="120" t="n"/>
      <c r="L596" s="120" t="n"/>
      <c r="M596" s="121" t="n"/>
      <c r="N596" s="118" t="n"/>
    </row>
    <row r="597" ht="15" customHeight="1" s="74">
      <c r="A597" s="118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20" t="n"/>
      <c r="K597" s="120" t="n"/>
      <c r="L597" s="120" t="n"/>
      <c r="M597" s="121" t="n"/>
      <c r="N597" s="118" t="n"/>
    </row>
    <row r="598" ht="15" customHeight="1" s="74">
      <c r="A598" s="118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20" t="n"/>
      <c r="K598" s="120" t="n"/>
      <c r="L598" s="120" t="n"/>
      <c r="M598" s="121" t="n"/>
      <c r="N598" s="118" t="n"/>
    </row>
    <row r="599" ht="15" customHeight="1" s="74">
      <c r="A599" s="118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20" t="n"/>
      <c r="K599" s="120" t="n"/>
      <c r="L599" s="120" t="n"/>
      <c r="M599" s="121" t="n"/>
      <c r="N599" s="118" t="n"/>
    </row>
    <row r="600" ht="15" customHeight="1" s="74">
      <c r="A600" s="118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20" t="n"/>
      <c r="K600" s="120" t="n"/>
      <c r="L600" s="120" t="n"/>
      <c r="M600" s="121" t="n"/>
      <c r="N600" s="118" t="n"/>
    </row>
    <row r="601" ht="15" customHeight="1" s="74">
      <c r="A601" s="118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20" t="n"/>
      <c r="K601" s="120" t="n"/>
      <c r="L601" s="120" t="n"/>
      <c r="M601" s="121" t="n"/>
      <c r="N601" s="118" t="n"/>
    </row>
    <row r="602" ht="15" customHeight="1" s="74">
      <c r="A602" s="118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20" t="n"/>
      <c r="K602" s="120" t="n"/>
      <c r="L602" s="120" t="n"/>
      <c r="M602" s="121" t="n"/>
      <c r="N602" s="118" t="n"/>
    </row>
    <row r="603" ht="15" customHeight="1" s="74">
      <c r="A603" s="118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20" t="n"/>
      <c r="K603" s="120" t="n"/>
      <c r="L603" s="120" t="n"/>
      <c r="M603" s="121" t="n"/>
      <c r="N603" s="118" t="n"/>
    </row>
    <row r="604" ht="15" customHeight="1" s="74">
      <c r="A604" s="118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20" t="n"/>
      <c r="K604" s="120" t="n"/>
      <c r="L604" s="120" t="n"/>
      <c r="M604" s="121" t="n"/>
      <c r="N604" s="118" t="n"/>
    </row>
    <row r="605" ht="15" customHeight="1" s="74">
      <c r="A605" s="118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20" t="n"/>
      <c r="K605" s="120" t="n"/>
      <c r="L605" s="120" t="n"/>
      <c r="M605" s="121" t="n"/>
      <c r="N605" s="118" t="n"/>
    </row>
    <row r="606" ht="15" customHeight="1" s="74">
      <c r="A606" s="118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20" t="n"/>
      <c r="K606" s="120" t="n"/>
      <c r="L606" s="120" t="n"/>
      <c r="M606" s="121" t="n"/>
      <c r="N606" s="118" t="n"/>
    </row>
    <row r="607" ht="15" customHeight="1" s="74">
      <c r="A607" s="118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20" t="n"/>
      <c r="K607" s="120" t="n"/>
      <c r="L607" s="120" t="n"/>
      <c r="M607" s="121" t="n"/>
      <c r="N607" s="118" t="n"/>
    </row>
    <row r="608" ht="15" customHeight="1" s="74">
      <c r="A608" s="118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20" t="n"/>
      <c r="K608" s="120" t="n"/>
      <c r="L608" s="120" t="n"/>
      <c r="M608" s="121" t="n"/>
      <c r="N608" s="118" t="n"/>
    </row>
    <row r="609" ht="15" customHeight="1" s="74">
      <c r="A609" s="118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20" t="n"/>
      <c r="K609" s="120" t="n"/>
      <c r="L609" s="120" t="n"/>
      <c r="M609" s="121" t="n"/>
      <c r="N609" s="118" t="n"/>
    </row>
    <row r="610" ht="15" customHeight="1" s="74">
      <c r="A610" s="118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20" t="n"/>
      <c r="K610" s="120" t="n"/>
      <c r="L610" s="120" t="n"/>
      <c r="M610" s="121" t="n"/>
      <c r="N610" s="118" t="n"/>
    </row>
    <row r="611" ht="15" customHeight="1" s="74">
      <c r="A611" s="118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20" t="n"/>
      <c r="K611" s="120" t="n"/>
      <c r="L611" s="120" t="n"/>
      <c r="M611" s="121" t="n"/>
      <c r="N611" s="118" t="n"/>
    </row>
    <row r="612" ht="15" customHeight="1" s="74">
      <c r="A612" s="118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20" t="n"/>
      <c r="K612" s="120" t="n"/>
      <c r="L612" s="120" t="n"/>
      <c r="M612" s="121" t="n"/>
      <c r="N612" s="118" t="n"/>
    </row>
    <row r="613" ht="15" customHeight="1" s="74">
      <c r="A613" s="118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20" t="n"/>
      <c r="K613" s="120" t="n"/>
      <c r="L613" s="120" t="n"/>
      <c r="M613" s="121" t="n"/>
      <c r="N613" s="118" t="n"/>
    </row>
    <row r="614" ht="15" customHeight="1" s="74">
      <c r="A614" s="118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20" t="n"/>
      <c r="K614" s="120" t="n"/>
      <c r="L614" s="120" t="n"/>
      <c r="M614" s="121" t="n"/>
      <c r="N614" s="118" t="n"/>
    </row>
    <row r="615" ht="15" customHeight="1" s="74">
      <c r="A615" s="118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20" t="n"/>
      <c r="K615" s="120" t="n"/>
      <c r="L615" s="120" t="n"/>
      <c r="M615" s="121" t="n"/>
      <c r="N615" s="118" t="n"/>
    </row>
    <row r="616" ht="15" customHeight="1" s="74">
      <c r="A616" s="118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20" t="n"/>
      <c r="K616" s="120" t="n"/>
      <c r="L616" s="120" t="n"/>
      <c r="M616" s="121" t="n"/>
      <c r="N616" s="118" t="n"/>
    </row>
    <row r="617" ht="15" customHeight="1" s="74">
      <c r="A617" s="118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20" t="n"/>
      <c r="K617" s="120" t="n"/>
      <c r="L617" s="120" t="n"/>
      <c r="M617" s="121" t="n"/>
      <c r="N617" s="118" t="n"/>
    </row>
    <row r="618" ht="15" customHeight="1" s="74">
      <c r="A618" s="118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20" t="n"/>
      <c r="K618" s="120" t="n"/>
      <c r="L618" s="120" t="n"/>
      <c r="M618" s="121" t="n"/>
      <c r="N618" s="118" t="n"/>
    </row>
    <row r="619" ht="15" customHeight="1" s="74">
      <c r="A619" s="118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20" t="n"/>
      <c r="K619" s="120" t="n"/>
      <c r="L619" s="120" t="n"/>
      <c r="M619" s="121" t="n"/>
      <c r="N619" s="118" t="n"/>
    </row>
    <row r="620" ht="15" customHeight="1" s="74">
      <c r="A620" s="118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20" t="n"/>
      <c r="K620" s="120" t="n"/>
      <c r="L620" s="120" t="n"/>
      <c r="M620" s="121" t="n"/>
      <c r="N620" s="118" t="n"/>
    </row>
    <row r="621" ht="15" customHeight="1" s="74">
      <c r="A621" s="118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20" t="n"/>
      <c r="K621" s="120" t="n"/>
      <c r="L621" s="120" t="n"/>
      <c r="M621" s="121" t="n"/>
      <c r="N621" s="118" t="n"/>
    </row>
    <row r="622" ht="15" customHeight="1" s="74">
      <c r="A622" s="118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20" t="n"/>
      <c r="K622" s="120" t="n"/>
      <c r="L622" s="120" t="n"/>
      <c r="M622" s="121" t="n"/>
      <c r="N622" s="118" t="n"/>
    </row>
    <row r="623" ht="15" customHeight="1" s="74">
      <c r="A623" s="118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20" t="n"/>
      <c r="K623" s="120" t="n"/>
      <c r="L623" s="120" t="n"/>
      <c r="M623" s="121" t="n"/>
      <c r="N623" s="118" t="n"/>
    </row>
    <row r="624" ht="15" customHeight="1" s="74">
      <c r="A624" s="118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20" t="n"/>
      <c r="K624" s="120" t="n"/>
      <c r="L624" s="120" t="n"/>
      <c r="M624" s="121" t="n"/>
      <c r="N624" s="118" t="n"/>
    </row>
    <row r="625" ht="15" customHeight="1" s="74">
      <c r="A625" s="118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20" t="n"/>
      <c r="K625" s="120" t="n"/>
      <c r="L625" s="120" t="n"/>
      <c r="M625" s="121" t="n"/>
      <c r="N625" s="118" t="n"/>
    </row>
    <row r="626" ht="15" customHeight="1" s="74">
      <c r="A626" s="118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20" t="n"/>
      <c r="K626" s="120" t="n"/>
      <c r="L626" s="120" t="n"/>
      <c r="M626" s="121" t="n"/>
      <c r="N626" s="118" t="n"/>
    </row>
    <row r="627" ht="15" customHeight="1" s="74">
      <c r="A627" s="118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20" t="n"/>
      <c r="K627" s="120" t="n"/>
      <c r="L627" s="120" t="n"/>
      <c r="M627" s="121" t="n"/>
      <c r="N627" s="118" t="n"/>
    </row>
    <row r="628" ht="15" customHeight="1" s="74">
      <c r="A628" s="118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20" t="n"/>
      <c r="K628" s="120" t="n"/>
      <c r="L628" s="120" t="n"/>
      <c r="M628" s="121" t="n"/>
      <c r="N628" s="118" t="n"/>
    </row>
    <row r="629" ht="15" customHeight="1" s="74">
      <c r="A629" s="118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20" t="n"/>
      <c r="K629" s="120" t="n"/>
      <c r="L629" s="120" t="n"/>
      <c r="M629" s="121" t="n"/>
      <c r="N629" s="118" t="n"/>
    </row>
    <row r="630" ht="15" customHeight="1" s="74">
      <c r="A630" s="118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20" t="n"/>
      <c r="K630" s="120" t="n"/>
      <c r="L630" s="120" t="n"/>
      <c r="M630" s="121" t="n"/>
      <c r="N630" s="118" t="n"/>
    </row>
    <row r="631" ht="15" customHeight="1" s="74">
      <c r="A631" s="118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20" t="n"/>
      <c r="K631" s="120" t="n"/>
      <c r="L631" s="120" t="n"/>
      <c r="M631" s="121" t="n"/>
      <c r="N631" s="118" t="n"/>
    </row>
    <row r="632" ht="15" customHeight="1" s="74">
      <c r="A632" s="118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20" t="n"/>
      <c r="K632" s="120" t="n"/>
      <c r="L632" s="120" t="n"/>
      <c r="M632" s="121" t="n"/>
      <c r="N632" s="118" t="n"/>
    </row>
    <row r="633" ht="15" customHeight="1" s="74">
      <c r="A633" s="118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20" t="n"/>
      <c r="K633" s="120" t="n"/>
      <c r="L633" s="120" t="n"/>
      <c r="M633" s="121" t="n"/>
      <c r="N633" s="118" t="n"/>
    </row>
    <row r="634" ht="15" customHeight="1" s="74">
      <c r="A634" s="118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20" t="n"/>
      <c r="K634" s="120" t="n"/>
      <c r="L634" s="120" t="n"/>
      <c r="M634" s="121" t="n"/>
      <c r="N634" s="118" t="n"/>
    </row>
    <row r="635" ht="15" customHeight="1" s="74">
      <c r="A635" s="118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20" t="n"/>
      <c r="K635" s="120" t="n"/>
      <c r="L635" s="120" t="n"/>
      <c r="M635" s="121" t="n"/>
      <c r="N635" s="118" t="n"/>
    </row>
    <row r="636" ht="15" customHeight="1" s="74">
      <c r="A636" s="118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20" t="n"/>
      <c r="K636" s="120" t="n"/>
      <c r="L636" s="120" t="n"/>
      <c r="M636" s="121" t="n"/>
      <c r="N636" s="118" t="n"/>
    </row>
    <row r="637" ht="15" customHeight="1" s="74">
      <c r="A637" s="118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20" t="n"/>
      <c r="K637" s="120" t="n"/>
      <c r="L637" s="120" t="n"/>
      <c r="M637" s="121" t="n"/>
      <c r="N637" s="118" t="n"/>
    </row>
    <row r="638" ht="15" customHeight="1" s="74">
      <c r="A638" s="118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20" t="n"/>
      <c r="K638" s="120" t="n"/>
      <c r="L638" s="120" t="n"/>
      <c r="M638" s="121" t="n"/>
      <c r="N638" s="118" t="n"/>
    </row>
    <row r="639" ht="15" customHeight="1" s="74">
      <c r="A639" s="118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20" t="n"/>
      <c r="K639" s="120" t="n"/>
      <c r="L639" s="120" t="n"/>
      <c r="M639" s="121" t="n"/>
      <c r="N639" s="118" t="n"/>
    </row>
    <row r="640" ht="15" customHeight="1" s="74">
      <c r="A640" s="118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20" t="n"/>
      <c r="K640" s="120" t="n"/>
      <c r="L640" s="120" t="n"/>
      <c r="M640" s="121" t="n"/>
      <c r="N640" s="118" t="n"/>
    </row>
    <row r="641" ht="15" customHeight="1" s="74">
      <c r="A641" s="118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20" t="n"/>
      <c r="K641" s="120" t="n"/>
      <c r="L641" s="120" t="n"/>
      <c r="M641" s="121" t="n"/>
      <c r="N641" s="118" t="n"/>
    </row>
    <row r="642" ht="15" customHeight="1" s="74">
      <c r="A642" s="118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20" t="n"/>
      <c r="K642" s="120" t="n"/>
      <c r="L642" s="120" t="n"/>
      <c r="M642" s="121" t="n"/>
      <c r="N642" s="118" t="n"/>
    </row>
    <row r="643" ht="15" customHeight="1" s="74">
      <c r="A643" s="118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20" t="n"/>
      <c r="K643" s="120" t="n"/>
      <c r="L643" s="120" t="n"/>
      <c r="M643" s="121" t="n"/>
      <c r="N643" s="118" t="n"/>
    </row>
    <row r="644" ht="15" customHeight="1" s="74">
      <c r="A644" s="118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20" t="n"/>
      <c r="K644" s="120" t="n"/>
      <c r="L644" s="120" t="n"/>
      <c r="M644" s="121" t="n"/>
      <c r="N644" s="118" t="n"/>
    </row>
    <row r="645" ht="15" customHeight="1" s="74">
      <c r="A645" s="118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20" t="n"/>
      <c r="K645" s="120" t="n"/>
      <c r="L645" s="120" t="n"/>
      <c r="M645" s="121" t="n"/>
      <c r="N645" s="118" t="n"/>
    </row>
    <row r="646" ht="15" customHeight="1" s="74">
      <c r="A646" s="118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20" t="n"/>
      <c r="K646" s="120" t="n"/>
      <c r="L646" s="120" t="n"/>
      <c r="M646" s="121" t="n"/>
      <c r="N646" s="118" t="n"/>
    </row>
    <row r="647" ht="15" customHeight="1" s="74">
      <c r="A647" s="118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20" t="n"/>
      <c r="K647" s="120" t="n"/>
      <c r="L647" s="120" t="n"/>
      <c r="M647" s="121" t="n"/>
      <c r="N647" s="118" t="n"/>
    </row>
    <row r="648" ht="15" customHeight="1" s="74">
      <c r="A648" s="118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20" t="n"/>
      <c r="K648" s="120" t="n"/>
      <c r="L648" s="120" t="n"/>
      <c r="M648" s="121" t="n"/>
      <c r="N648" s="118" t="n"/>
    </row>
    <row r="649" ht="15" customHeight="1" s="74">
      <c r="A649" s="118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20" t="n"/>
      <c r="K649" s="120" t="n"/>
      <c r="L649" s="120" t="n"/>
      <c r="M649" s="121" t="n"/>
      <c r="N649" s="118" t="n"/>
    </row>
    <row r="650" ht="15" customHeight="1" s="74">
      <c r="A650" s="118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20" t="n"/>
      <c r="K650" s="120" t="n"/>
      <c r="L650" s="120" t="n"/>
      <c r="M650" s="121" t="n"/>
      <c r="N650" s="118" t="n"/>
    </row>
    <row r="651" ht="15" customHeight="1" s="74">
      <c r="A651" s="118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20" t="n"/>
      <c r="K651" s="120" t="n"/>
      <c r="L651" s="120" t="n"/>
      <c r="M651" s="121" t="n"/>
      <c r="N651" s="118" t="n"/>
    </row>
    <row r="652" ht="15" customHeight="1" s="74">
      <c r="A652" s="118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20" t="n"/>
      <c r="K652" s="120" t="n"/>
      <c r="L652" s="120" t="n"/>
      <c r="M652" s="121" t="n"/>
      <c r="N652" s="118" t="n"/>
    </row>
    <row r="653" ht="15" customHeight="1" s="74">
      <c r="A653" s="118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20" t="n"/>
      <c r="K653" s="120" t="n"/>
      <c r="L653" s="120" t="n"/>
      <c r="M653" s="121" t="n"/>
      <c r="N653" s="118" t="n"/>
    </row>
    <row r="654" ht="15" customHeight="1" s="74">
      <c r="A654" s="118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20" t="n"/>
      <c r="K654" s="120" t="n"/>
      <c r="L654" s="120" t="n"/>
      <c r="M654" s="121" t="n"/>
      <c r="N654" s="118" t="n"/>
    </row>
    <row r="655" ht="15" customHeight="1" s="74">
      <c r="A655" s="118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20" t="n"/>
      <c r="K655" s="120" t="n"/>
      <c r="L655" s="120" t="n"/>
      <c r="M655" s="121" t="n"/>
      <c r="N655" s="118" t="n"/>
    </row>
    <row r="656" ht="15" customHeight="1" s="74">
      <c r="A656" s="118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20" t="n"/>
      <c r="K656" s="120" t="n"/>
      <c r="L656" s="120" t="n"/>
      <c r="M656" s="121" t="n"/>
      <c r="N656" s="118" t="n"/>
    </row>
    <row r="657" ht="15" customHeight="1" s="74">
      <c r="A657" s="118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20" t="n"/>
      <c r="K657" s="120" t="n"/>
      <c r="L657" s="120" t="n"/>
      <c r="M657" s="121" t="n"/>
      <c r="N657" s="118" t="n"/>
    </row>
    <row r="658" ht="15" customHeight="1" s="74">
      <c r="A658" s="118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20" t="n"/>
      <c r="K658" s="120" t="n"/>
      <c r="L658" s="120" t="n"/>
      <c r="M658" s="121" t="n"/>
      <c r="N658" s="118" t="n"/>
    </row>
    <row r="659" ht="15" customHeight="1" s="74">
      <c r="A659" s="118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20" t="n"/>
      <c r="K659" s="120" t="n"/>
      <c r="L659" s="120" t="n"/>
      <c r="M659" s="121" t="n"/>
      <c r="N659" s="118" t="n"/>
    </row>
    <row r="660" ht="15" customHeight="1" s="74">
      <c r="A660" s="118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20" t="n"/>
      <c r="K660" s="120" t="n"/>
      <c r="L660" s="120" t="n"/>
      <c r="M660" s="121" t="n"/>
      <c r="N660" s="118" t="n"/>
    </row>
    <row r="661" ht="15" customHeight="1" s="74">
      <c r="A661" s="118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20" t="n"/>
      <c r="K661" s="120" t="n"/>
      <c r="L661" s="120" t="n"/>
      <c r="M661" s="121" t="n"/>
      <c r="N661" s="118" t="n"/>
    </row>
    <row r="662" ht="15" customHeight="1" s="74">
      <c r="A662" s="118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20" t="n"/>
      <c r="K662" s="120" t="n"/>
      <c r="L662" s="120" t="n"/>
      <c r="M662" s="121" t="n"/>
      <c r="N662" s="118" t="n"/>
    </row>
    <row r="663" ht="15" customHeight="1" s="74">
      <c r="A663" s="118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20" t="n"/>
      <c r="K663" s="120" t="n"/>
      <c r="L663" s="120" t="n"/>
      <c r="M663" s="121" t="n"/>
      <c r="N663" s="118" t="n"/>
    </row>
    <row r="664" ht="15" customHeight="1" s="74">
      <c r="A664" s="118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20" t="n"/>
      <c r="K664" s="120" t="n"/>
      <c r="L664" s="120" t="n"/>
      <c r="M664" s="121" t="n"/>
      <c r="N664" s="118" t="n"/>
    </row>
    <row r="665" ht="15" customHeight="1" s="74">
      <c r="A665" s="118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20" t="n"/>
      <c r="K665" s="120" t="n"/>
      <c r="L665" s="120" t="n"/>
      <c r="M665" s="121" t="n"/>
      <c r="N665" s="118" t="n"/>
    </row>
    <row r="666" ht="15" customHeight="1" s="74">
      <c r="A666" s="118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20" t="n"/>
      <c r="K666" s="120" t="n"/>
      <c r="L666" s="120" t="n"/>
      <c r="M666" s="121" t="n"/>
      <c r="N666" s="118" t="n"/>
    </row>
    <row r="667" ht="15" customHeight="1" s="74">
      <c r="A667" s="118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20" t="n"/>
      <c r="K667" s="120" t="n"/>
      <c r="L667" s="120" t="n"/>
      <c r="M667" s="121" t="n"/>
      <c r="N667" s="118" t="n"/>
    </row>
    <row r="668" ht="15" customHeight="1" s="74">
      <c r="A668" s="118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20" t="n"/>
      <c r="K668" s="120" t="n"/>
      <c r="L668" s="120" t="n"/>
      <c r="M668" s="121" t="n"/>
      <c r="N668" s="118" t="n"/>
    </row>
    <row r="669" ht="15" customHeight="1" s="74">
      <c r="A669" s="118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20" t="n"/>
      <c r="K669" s="120" t="n"/>
      <c r="L669" s="120" t="n"/>
      <c r="M669" s="121" t="n"/>
      <c r="N669" s="118" t="n"/>
    </row>
    <row r="670" ht="15" customHeight="1" s="74">
      <c r="A670" s="118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20" t="n"/>
      <c r="K670" s="120" t="n"/>
      <c r="L670" s="120" t="n"/>
      <c r="M670" s="121" t="n"/>
      <c r="N670" s="118" t="n"/>
    </row>
    <row r="671" ht="15" customHeight="1" s="74">
      <c r="A671" s="118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20" t="n"/>
      <c r="K671" s="120" t="n"/>
      <c r="L671" s="120" t="n"/>
      <c r="M671" s="121" t="n"/>
      <c r="N671" s="118" t="n"/>
    </row>
    <row r="672" ht="15" customHeight="1" s="74">
      <c r="A672" s="118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20" t="n"/>
      <c r="K672" s="120" t="n"/>
      <c r="L672" s="120" t="n"/>
      <c r="M672" s="121" t="n"/>
      <c r="N672" s="118" t="n"/>
    </row>
    <row r="673" ht="15" customHeight="1" s="74">
      <c r="A673" s="118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20" t="n"/>
      <c r="K673" s="120" t="n"/>
      <c r="L673" s="120" t="n"/>
      <c r="M673" s="121" t="n"/>
      <c r="N673" s="118" t="n"/>
    </row>
    <row r="674" ht="15" customHeight="1" s="74">
      <c r="A674" s="118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20" t="n"/>
      <c r="K674" s="120" t="n"/>
      <c r="L674" s="120" t="n"/>
      <c r="M674" s="121" t="n"/>
      <c r="N674" s="118" t="n"/>
    </row>
    <row r="675" ht="15" customHeight="1" s="74">
      <c r="A675" s="118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20" t="n"/>
      <c r="K675" s="120" t="n"/>
      <c r="L675" s="120" t="n"/>
      <c r="M675" s="121" t="n"/>
      <c r="N675" s="118" t="n"/>
    </row>
    <row r="676" ht="15" customHeight="1" s="74">
      <c r="A676" s="118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20" t="n"/>
      <c r="K676" s="120" t="n"/>
      <c r="L676" s="120" t="n"/>
      <c r="M676" s="121" t="n"/>
      <c r="N676" s="118" t="n"/>
    </row>
    <row r="677" ht="15" customHeight="1" s="74">
      <c r="A677" s="118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20" t="n"/>
      <c r="K677" s="120" t="n"/>
      <c r="L677" s="120" t="n"/>
      <c r="M677" s="121" t="n"/>
      <c r="N677" s="118" t="n"/>
    </row>
    <row r="678" ht="15" customHeight="1" s="74">
      <c r="A678" s="118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20" t="n"/>
      <c r="K678" s="120" t="n"/>
      <c r="L678" s="120" t="n"/>
      <c r="M678" s="121" t="n"/>
      <c r="N678" s="118" t="n"/>
    </row>
    <row r="679" ht="15" customHeight="1" s="74">
      <c r="A679" s="118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20" t="n"/>
      <c r="K679" s="120" t="n"/>
      <c r="L679" s="120" t="n"/>
      <c r="M679" s="121" t="n"/>
      <c r="N679" s="118" t="n"/>
    </row>
    <row r="680" ht="15" customHeight="1" s="74">
      <c r="A680" s="118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20" t="n"/>
      <c r="K680" s="120" t="n"/>
      <c r="L680" s="120" t="n"/>
      <c r="M680" s="121" t="n"/>
      <c r="N680" s="118" t="n"/>
    </row>
    <row r="681" ht="15" customHeight="1" s="74">
      <c r="A681" s="118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20" t="n"/>
      <c r="K681" s="120" t="n"/>
      <c r="L681" s="120" t="n"/>
      <c r="M681" s="121" t="n"/>
      <c r="N681" s="118" t="n"/>
    </row>
    <row r="682" ht="15" customHeight="1" s="74">
      <c r="A682" s="118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20" t="n"/>
      <c r="K682" s="120" t="n"/>
      <c r="L682" s="120" t="n"/>
      <c r="M682" s="121" t="n"/>
      <c r="N682" s="118" t="n"/>
    </row>
    <row r="683" ht="15" customHeight="1" s="74">
      <c r="A683" s="118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20" t="n"/>
      <c r="K683" s="120" t="n"/>
      <c r="L683" s="120" t="n"/>
      <c r="M683" s="121" t="n"/>
      <c r="N683" s="118" t="n"/>
    </row>
    <row r="684" ht="15" customHeight="1" s="74">
      <c r="A684" s="118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20" t="n"/>
      <c r="K684" s="120" t="n"/>
      <c r="L684" s="120" t="n"/>
      <c r="M684" s="121" t="n"/>
      <c r="N684" s="118" t="n"/>
    </row>
    <row r="685" ht="15" customHeight="1" s="74">
      <c r="A685" s="118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20" t="n"/>
      <c r="K685" s="120" t="n"/>
      <c r="L685" s="120" t="n"/>
      <c r="M685" s="121" t="n"/>
      <c r="N685" s="118" t="n"/>
    </row>
    <row r="686" ht="15" customHeight="1" s="74">
      <c r="A686" s="118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20" t="n"/>
      <c r="K686" s="120" t="n"/>
      <c r="L686" s="120" t="n"/>
      <c r="M686" s="121" t="n"/>
      <c r="N686" s="118" t="n"/>
    </row>
    <row r="687" ht="15" customHeight="1" s="74">
      <c r="A687" s="118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20" t="n"/>
      <c r="K687" s="120" t="n"/>
      <c r="L687" s="120" t="n"/>
      <c r="M687" s="121" t="n"/>
      <c r="N687" s="118" t="n"/>
    </row>
    <row r="688" ht="15" customHeight="1" s="74">
      <c r="A688" s="118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20" t="n"/>
      <c r="K688" s="120" t="n"/>
      <c r="L688" s="120" t="n"/>
      <c r="M688" s="121" t="n"/>
      <c r="N688" s="118" t="n"/>
    </row>
    <row r="689" ht="15" customHeight="1" s="74">
      <c r="A689" s="118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20" t="n"/>
      <c r="K689" s="120" t="n"/>
      <c r="L689" s="120" t="n"/>
      <c r="M689" s="121" t="n"/>
      <c r="N689" s="118" t="n"/>
    </row>
    <row r="690" ht="15" customHeight="1" s="74">
      <c r="A690" s="118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20" t="n"/>
      <c r="K690" s="120" t="n"/>
      <c r="L690" s="120" t="n"/>
      <c r="M690" s="121" t="n"/>
      <c r="N690" s="118" t="n"/>
    </row>
    <row r="691" ht="15" customHeight="1" s="74">
      <c r="A691" s="118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20" t="n"/>
      <c r="K691" s="120" t="n"/>
      <c r="L691" s="120" t="n"/>
      <c r="M691" s="121" t="n"/>
      <c r="N691" s="118" t="n"/>
    </row>
    <row r="692" ht="15" customHeight="1" s="74">
      <c r="A692" s="118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20" t="n"/>
      <c r="K692" s="120" t="n"/>
      <c r="L692" s="120" t="n"/>
      <c r="M692" s="121" t="n"/>
      <c r="N692" s="118" t="n"/>
    </row>
    <row r="693" ht="15" customHeight="1" s="74">
      <c r="A693" s="118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20" t="n"/>
      <c r="K693" s="120" t="n"/>
      <c r="L693" s="120" t="n"/>
      <c r="M693" s="121" t="n"/>
      <c r="N693" s="118" t="n"/>
    </row>
    <row r="694" ht="15" customHeight="1" s="74">
      <c r="A694" s="118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20" t="n"/>
      <c r="K694" s="120" t="n"/>
      <c r="L694" s="120" t="n"/>
      <c r="M694" s="121" t="n"/>
      <c r="N694" s="118" t="n"/>
    </row>
    <row r="695" ht="15" customHeight="1" s="74">
      <c r="A695" s="118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20" t="n"/>
      <c r="K695" s="120" t="n"/>
      <c r="L695" s="120" t="n"/>
      <c r="M695" s="121" t="n"/>
      <c r="N695" s="118" t="n"/>
    </row>
    <row r="696" ht="15" customHeight="1" s="74">
      <c r="A696" s="118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20" t="n"/>
      <c r="K696" s="120" t="n"/>
      <c r="L696" s="120" t="n"/>
      <c r="M696" s="121" t="n"/>
      <c r="N696" s="118" t="n"/>
    </row>
    <row r="697" ht="15" customHeight="1" s="74">
      <c r="A697" s="118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20" t="n"/>
      <c r="K697" s="120" t="n"/>
      <c r="L697" s="120" t="n"/>
      <c r="M697" s="121" t="n"/>
      <c r="N697" s="118" t="n"/>
    </row>
    <row r="698" ht="15" customHeight="1" s="74">
      <c r="A698" s="118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20" t="n"/>
      <c r="K698" s="120" t="n"/>
      <c r="L698" s="120" t="n"/>
      <c r="M698" s="121" t="n"/>
      <c r="N698" s="118" t="n"/>
    </row>
    <row r="699" ht="15" customHeight="1" s="74">
      <c r="A699" s="118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20" t="n"/>
      <c r="K699" s="120" t="n"/>
      <c r="L699" s="120" t="n"/>
      <c r="M699" s="121" t="n"/>
      <c r="N699" s="118" t="n"/>
    </row>
    <row r="700" ht="15" customHeight="1" s="74">
      <c r="A700" s="118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20" t="n"/>
      <c r="K700" s="120" t="n"/>
      <c r="L700" s="120" t="n"/>
      <c r="M700" s="121" t="n"/>
      <c r="N700" s="118" t="n"/>
    </row>
    <row r="701" ht="15" customHeight="1" s="74">
      <c r="A701" s="118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20" t="n"/>
      <c r="K701" s="120" t="n"/>
      <c r="L701" s="120" t="n"/>
      <c r="M701" s="121" t="n"/>
      <c r="N701" s="118" t="n"/>
    </row>
    <row r="702" ht="15" customHeight="1" s="74">
      <c r="A702" s="118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20" t="n"/>
      <c r="K702" s="120" t="n"/>
      <c r="L702" s="120" t="n"/>
      <c r="M702" s="121" t="n"/>
      <c r="N702" s="118" t="n"/>
    </row>
    <row r="703" ht="15" customHeight="1" s="74">
      <c r="A703" s="118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20" t="n"/>
      <c r="K703" s="120" t="n"/>
      <c r="L703" s="120" t="n"/>
      <c r="M703" s="121" t="n"/>
      <c r="N703" s="118" t="n"/>
    </row>
    <row r="704" ht="15" customHeight="1" s="74">
      <c r="A704" s="118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20" t="n"/>
      <c r="K704" s="120" t="n"/>
      <c r="L704" s="120" t="n"/>
      <c r="M704" s="121" t="n"/>
      <c r="N704" s="118" t="n"/>
    </row>
    <row r="705" ht="15" customHeight="1" s="74">
      <c r="A705" s="118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20" t="n"/>
      <c r="K705" s="120" t="n"/>
      <c r="L705" s="120" t="n"/>
      <c r="M705" s="121" t="n"/>
      <c r="N705" s="118" t="n"/>
    </row>
    <row r="706" ht="15" customHeight="1" s="74">
      <c r="A706" s="118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20" t="n"/>
      <c r="K706" s="120" t="n"/>
      <c r="L706" s="120" t="n"/>
      <c r="M706" s="121" t="n"/>
      <c r="N706" s="118" t="n"/>
    </row>
    <row r="707" ht="15" customHeight="1" s="74">
      <c r="A707" s="118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20" t="n"/>
      <c r="K707" s="120" t="n"/>
      <c r="L707" s="120" t="n"/>
      <c r="M707" s="121" t="n"/>
      <c r="N707" s="118" t="n"/>
    </row>
    <row r="708" ht="15" customHeight="1" s="74">
      <c r="A708" s="118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20" t="n"/>
      <c r="K708" s="120" t="n"/>
      <c r="L708" s="120" t="n"/>
      <c r="M708" s="121" t="n"/>
      <c r="N708" s="118" t="n"/>
    </row>
    <row r="709" ht="15" customHeight="1" s="74">
      <c r="A709" s="118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20" t="n"/>
      <c r="K709" s="120" t="n"/>
      <c r="L709" s="120" t="n"/>
      <c r="M709" s="121" t="n"/>
      <c r="N709" s="118" t="n"/>
    </row>
    <row r="710" ht="15" customHeight="1" s="74">
      <c r="A710" s="118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20" t="n"/>
      <c r="K710" s="120" t="n"/>
      <c r="L710" s="120" t="n"/>
      <c r="M710" s="121" t="n"/>
      <c r="N710" s="118" t="n"/>
    </row>
    <row r="711" ht="15" customHeight="1" s="74">
      <c r="A711" s="118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20" t="n"/>
      <c r="K711" s="120" t="n"/>
      <c r="L711" s="120" t="n"/>
      <c r="M711" s="121" t="n"/>
      <c r="N711" s="118" t="n"/>
    </row>
    <row r="712" ht="15" customHeight="1" s="74">
      <c r="A712" s="118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20" t="n"/>
      <c r="K712" s="120" t="n"/>
      <c r="L712" s="120" t="n"/>
      <c r="M712" s="121" t="n"/>
      <c r="N712" s="118" t="n"/>
    </row>
    <row r="713" ht="15" customHeight="1" s="74">
      <c r="A713" s="118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20" t="n"/>
      <c r="K713" s="120" t="n"/>
      <c r="L713" s="120" t="n"/>
      <c r="M713" s="121" t="n"/>
      <c r="N713" s="118" t="n"/>
    </row>
    <row r="714" ht="15" customHeight="1" s="74">
      <c r="A714" s="118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20" t="n"/>
      <c r="K714" s="120" t="n"/>
      <c r="L714" s="120" t="n"/>
      <c r="M714" s="121" t="n"/>
      <c r="N714" s="118" t="n"/>
    </row>
    <row r="715" ht="15" customHeight="1" s="74">
      <c r="A715" s="118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20" t="n"/>
      <c r="K715" s="120" t="n"/>
      <c r="L715" s="120" t="n"/>
      <c r="M715" s="121" t="n"/>
      <c r="N715" s="118" t="n"/>
    </row>
    <row r="716" ht="15" customHeight="1" s="74">
      <c r="A716" s="118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20" t="n"/>
      <c r="K716" s="120" t="n"/>
      <c r="L716" s="120" t="n"/>
      <c r="M716" s="121" t="n"/>
      <c r="N716" s="118" t="n"/>
    </row>
    <row r="717" ht="15" customHeight="1" s="74">
      <c r="A717" s="118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20" t="n"/>
      <c r="K717" s="120" t="n"/>
      <c r="L717" s="120" t="n"/>
      <c r="M717" s="121" t="n"/>
      <c r="N717" s="118" t="n"/>
    </row>
    <row r="718" ht="15" customHeight="1" s="74">
      <c r="A718" s="118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20" t="n"/>
      <c r="K718" s="120" t="n"/>
      <c r="L718" s="120" t="n"/>
      <c r="M718" s="121" t="n"/>
      <c r="N718" s="118" t="n"/>
    </row>
    <row r="719" ht="15" customHeight="1" s="74">
      <c r="A719" s="118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20" t="n"/>
      <c r="K719" s="120" t="n"/>
      <c r="L719" s="120" t="n"/>
      <c r="M719" s="121" t="n"/>
      <c r="N719" s="118" t="n"/>
    </row>
    <row r="720" ht="15" customHeight="1" s="74">
      <c r="A720" s="118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20" t="n"/>
      <c r="K720" s="120" t="n"/>
      <c r="L720" s="120" t="n"/>
      <c r="M720" s="121" t="n"/>
      <c r="N720" s="118" t="n"/>
    </row>
    <row r="721" ht="15" customHeight="1" s="74">
      <c r="A721" s="118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20" t="n"/>
      <c r="K721" s="120" t="n"/>
      <c r="L721" s="120" t="n"/>
      <c r="M721" s="121" t="n"/>
      <c r="N721" s="118" t="n"/>
    </row>
    <row r="722" ht="15" customHeight="1" s="74">
      <c r="A722" s="118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20" t="n"/>
      <c r="K722" s="120" t="n"/>
      <c r="L722" s="120" t="n"/>
      <c r="M722" s="121" t="n"/>
      <c r="N722" s="118" t="n"/>
    </row>
    <row r="723" ht="15" customHeight="1" s="74">
      <c r="A723" s="118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20" t="n"/>
      <c r="K723" s="120" t="n"/>
      <c r="L723" s="120" t="n"/>
      <c r="M723" s="121" t="n"/>
      <c r="N723" s="118" t="n"/>
    </row>
    <row r="724" ht="15" customHeight="1" s="74">
      <c r="A724" s="118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20" t="n"/>
      <c r="K724" s="120" t="n"/>
      <c r="L724" s="120" t="n"/>
      <c r="M724" s="121" t="n"/>
      <c r="N724" s="118" t="n"/>
    </row>
    <row r="725" ht="15" customHeight="1" s="74">
      <c r="A725" s="118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20" t="n"/>
      <c r="K725" s="120" t="n"/>
      <c r="L725" s="120" t="n"/>
      <c r="M725" s="121" t="n"/>
      <c r="N725" s="118" t="n"/>
    </row>
    <row r="726" ht="15" customHeight="1" s="74">
      <c r="A726" s="118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20" t="n"/>
      <c r="K726" s="120" t="n"/>
      <c r="L726" s="120" t="n"/>
      <c r="M726" s="121" t="n"/>
      <c r="N726" s="118" t="n"/>
    </row>
    <row r="727" ht="15" customHeight="1" s="74">
      <c r="A727" s="118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20" t="n"/>
      <c r="K727" s="120" t="n"/>
      <c r="L727" s="120" t="n"/>
      <c r="M727" s="121" t="n"/>
      <c r="N727" s="118" t="n"/>
    </row>
    <row r="728" ht="15" customHeight="1" s="74">
      <c r="A728" s="118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20" t="n"/>
      <c r="K728" s="120" t="n"/>
      <c r="L728" s="120" t="n"/>
      <c r="M728" s="121" t="n"/>
      <c r="N728" s="118" t="n"/>
    </row>
    <row r="729" ht="15" customHeight="1" s="74">
      <c r="A729" s="118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20" t="n"/>
      <c r="K729" s="120" t="n"/>
      <c r="L729" s="120" t="n"/>
      <c r="M729" s="121" t="n"/>
      <c r="N729" s="118" t="n"/>
    </row>
    <row r="730" ht="15" customHeight="1" s="74">
      <c r="A730" s="118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20" t="n"/>
      <c r="K730" s="120" t="n"/>
      <c r="L730" s="120" t="n"/>
      <c r="M730" s="121" t="n"/>
      <c r="N730" s="118" t="n"/>
    </row>
    <row r="731" ht="15" customHeight="1" s="74">
      <c r="A731" s="118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20" t="n"/>
      <c r="K731" s="120" t="n"/>
      <c r="L731" s="120" t="n"/>
      <c r="M731" s="121" t="n"/>
      <c r="N731" s="118" t="n"/>
    </row>
    <row r="732" ht="15" customHeight="1" s="74">
      <c r="A732" s="118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20" t="n"/>
      <c r="K732" s="120" t="n"/>
      <c r="L732" s="120" t="n"/>
      <c r="M732" s="121" t="n"/>
      <c r="N732" s="118" t="n"/>
    </row>
    <row r="733" ht="15" customHeight="1" s="74">
      <c r="A733" s="118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20" t="n"/>
      <c r="K733" s="120" t="n"/>
      <c r="L733" s="120" t="n"/>
      <c r="M733" s="121" t="n"/>
      <c r="N733" s="118" t="n"/>
    </row>
    <row r="734" ht="15" customHeight="1" s="74">
      <c r="A734" s="118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20" t="n"/>
      <c r="K734" s="120" t="n"/>
      <c r="L734" s="120" t="n"/>
      <c r="M734" s="121" t="n"/>
      <c r="N734" s="118" t="n"/>
    </row>
    <row r="735" ht="15" customHeight="1" s="74">
      <c r="A735" s="118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20" t="n"/>
      <c r="K735" s="120" t="n"/>
      <c r="L735" s="120" t="n"/>
      <c r="M735" s="121" t="n"/>
      <c r="N735" s="118" t="n"/>
    </row>
    <row r="736" ht="15" customHeight="1" s="74">
      <c r="A736" s="118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20" t="n"/>
      <c r="K736" s="120" t="n"/>
      <c r="L736" s="120" t="n"/>
      <c r="M736" s="121" t="n"/>
      <c r="N736" s="118" t="n"/>
    </row>
    <row r="737" ht="15" customHeight="1" s="74">
      <c r="A737" s="118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20" t="n"/>
      <c r="K737" s="120" t="n"/>
      <c r="L737" s="120" t="n"/>
      <c r="M737" s="121" t="n"/>
      <c r="N737" s="118" t="n"/>
    </row>
    <row r="738" ht="15" customHeight="1" s="74">
      <c r="A738" s="118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20" t="n"/>
      <c r="K738" s="120" t="n"/>
      <c r="L738" s="120" t="n"/>
      <c r="M738" s="121" t="n"/>
      <c r="N738" s="118" t="n"/>
    </row>
    <row r="739" ht="15" customHeight="1" s="74">
      <c r="A739" s="118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20" t="n"/>
      <c r="K739" s="120" t="n"/>
      <c r="L739" s="120" t="n"/>
      <c r="M739" s="121" t="n"/>
      <c r="N739" s="118" t="n"/>
    </row>
    <row r="740" ht="15" customHeight="1" s="74">
      <c r="A740" s="118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20" t="n"/>
      <c r="K740" s="120" t="n"/>
      <c r="L740" s="120" t="n"/>
      <c r="M740" s="121" t="n"/>
      <c r="N740" s="118" t="n"/>
    </row>
    <row r="741" ht="15" customHeight="1" s="74">
      <c r="A741" s="118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20" t="n"/>
      <c r="K741" s="120" t="n"/>
      <c r="L741" s="120" t="n"/>
      <c r="M741" s="121" t="n"/>
      <c r="N741" s="118" t="n"/>
    </row>
    <row r="742" ht="15" customHeight="1" s="74">
      <c r="A742" s="118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20" t="n"/>
      <c r="K742" s="120" t="n"/>
      <c r="L742" s="120" t="n"/>
      <c r="M742" s="121" t="n"/>
      <c r="N742" s="118" t="n"/>
    </row>
    <row r="743" ht="15" customHeight="1" s="74">
      <c r="A743" s="118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20" t="n"/>
      <c r="K743" s="120" t="n"/>
      <c r="L743" s="120" t="n"/>
      <c r="M743" s="121" t="n"/>
      <c r="N743" s="118" t="n"/>
    </row>
    <row r="744" ht="15" customHeight="1" s="74">
      <c r="A744" s="118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20" t="n"/>
      <c r="K744" s="120" t="n"/>
      <c r="L744" s="120" t="n"/>
      <c r="M744" s="121" t="n"/>
      <c r="N744" s="118" t="n"/>
    </row>
    <row r="745" ht="15" customHeight="1" s="74">
      <c r="A745" s="118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20" t="n"/>
      <c r="K745" s="120" t="n"/>
      <c r="L745" s="120" t="n"/>
      <c r="M745" s="121" t="n"/>
      <c r="N745" s="118" t="n"/>
    </row>
    <row r="746" ht="15" customHeight="1" s="74">
      <c r="A746" s="118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20" t="n"/>
      <c r="K746" s="120" t="n"/>
      <c r="L746" s="120" t="n"/>
      <c r="M746" s="121" t="n"/>
      <c r="N746" s="118" t="n"/>
    </row>
    <row r="747" ht="15" customHeight="1" s="74">
      <c r="A747" s="118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20" t="n"/>
      <c r="K747" s="120" t="n"/>
      <c r="L747" s="120" t="n"/>
      <c r="M747" s="121" t="n"/>
      <c r="N747" s="118" t="n"/>
    </row>
    <row r="748" ht="15" customHeight="1" s="74">
      <c r="A748" s="118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20" t="n"/>
      <c r="K748" s="120" t="n"/>
      <c r="L748" s="120" t="n"/>
      <c r="M748" s="121" t="n"/>
      <c r="N748" s="118" t="n"/>
    </row>
    <row r="749" ht="15" customHeight="1" s="74">
      <c r="A749" s="118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20" t="n"/>
      <c r="K749" s="120" t="n"/>
      <c r="L749" s="120" t="n"/>
      <c r="M749" s="121" t="n"/>
      <c r="N749" s="118" t="n"/>
    </row>
    <row r="750" ht="15" customHeight="1" s="74">
      <c r="A750" s="118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20" t="n"/>
      <c r="K750" s="120" t="n"/>
      <c r="L750" s="120" t="n"/>
      <c r="M750" s="121" t="n"/>
      <c r="N750" s="118" t="n"/>
    </row>
    <row r="751" ht="15" customHeight="1" s="74">
      <c r="A751" s="118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20" t="n"/>
      <c r="K751" s="120" t="n"/>
      <c r="L751" s="120" t="n"/>
      <c r="M751" s="121" t="n"/>
      <c r="N751" s="118" t="n"/>
    </row>
    <row r="752" ht="15" customHeight="1" s="74">
      <c r="A752" s="118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20" t="n"/>
      <c r="K752" s="120" t="n"/>
      <c r="L752" s="120" t="n"/>
      <c r="M752" s="121" t="n"/>
      <c r="N752" s="118" t="n"/>
    </row>
    <row r="753" ht="15" customHeight="1" s="74">
      <c r="A753" s="118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20" t="n"/>
      <c r="K753" s="120" t="n"/>
      <c r="L753" s="120" t="n"/>
      <c r="M753" s="121" t="n"/>
      <c r="N753" s="118" t="n"/>
    </row>
    <row r="754" ht="15" customHeight="1" s="74">
      <c r="A754" s="118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20" t="n"/>
      <c r="K754" s="120" t="n"/>
      <c r="L754" s="120" t="n"/>
      <c r="M754" s="121" t="n"/>
      <c r="N754" s="118" t="n"/>
    </row>
    <row r="755" ht="15" customHeight="1" s="74">
      <c r="A755" s="118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20" t="n"/>
      <c r="K755" s="120" t="n"/>
      <c r="L755" s="120" t="n"/>
      <c r="M755" s="121" t="n"/>
      <c r="N755" s="118" t="n"/>
    </row>
    <row r="756" ht="15" customHeight="1" s="74">
      <c r="A756" s="118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20" t="n"/>
      <c r="K756" s="120" t="n"/>
      <c r="L756" s="120" t="n"/>
      <c r="M756" s="121" t="n"/>
      <c r="N756" s="118" t="n"/>
    </row>
    <row r="757" ht="15" customHeight="1" s="74">
      <c r="A757" s="118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20" t="n"/>
      <c r="K757" s="120" t="n"/>
      <c r="L757" s="120" t="n"/>
      <c r="M757" s="121" t="n"/>
      <c r="N757" s="118" t="n"/>
    </row>
    <row r="758" ht="15" customHeight="1" s="74">
      <c r="A758" s="118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20" t="n"/>
      <c r="K758" s="120" t="n"/>
      <c r="L758" s="120" t="n"/>
      <c r="M758" s="121" t="n"/>
      <c r="N758" s="118" t="n"/>
    </row>
    <row r="759" ht="15" customHeight="1" s="74">
      <c r="A759" s="118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20" t="n"/>
      <c r="K759" s="120" t="n"/>
      <c r="L759" s="120" t="n"/>
      <c r="M759" s="121" t="n"/>
      <c r="N759" s="118" t="n"/>
    </row>
    <row r="760" ht="15" customHeight="1" s="74">
      <c r="A760" s="118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20" t="n"/>
      <c r="K760" s="120" t="n"/>
      <c r="L760" s="120" t="n"/>
      <c r="M760" s="121" t="n"/>
      <c r="N760" s="118" t="n"/>
    </row>
    <row r="761" ht="15" customHeight="1" s="74">
      <c r="A761" s="118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20" t="n"/>
      <c r="K761" s="120" t="n"/>
      <c r="L761" s="120" t="n"/>
      <c r="M761" s="121" t="n"/>
      <c r="N761" s="118" t="n"/>
    </row>
    <row r="762" ht="15" customHeight="1" s="74">
      <c r="A762" s="118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20" t="n"/>
      <c r="K762" s="120" t="n"/>
      <c r="L762" s="120" t="n"/>
      <c r="M762" s="121" t="n"/>
      <c r="N762" s="118" t="n"/>
    </row>
    <row r="763" ht="15" customHeight="1" s="74">
      <c r="A763" s="118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20" t="n"/>
      <c r="K763" s="120" t="n"/>
      <c r="L763" s="120" t="n"/>
      <c r="M763" s="121" t="n"/>
      <c r="N763" s="118" t="n"/>
    </row>
    <row r="764" ht="15" customHeight="1" s="74">
      <c r="A764" s="118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20" t="n"/>
      <c r="K764" s="120" t="n"/>
      <c r="L764" s="120" t="n"/>
      <c r="M764" s="121" t="n"/>
      <c r="N764" s="118" t="n"/>
    </row>
    <row r="765" ht="15" customHeight="1" s="74">
      <c r="A765" s="118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20" t="n"/>
      <c r="K765" s="120" t="n"/>
      <c r="L765" s="120" t="n"/>
      <c r="M765" s="121" t="n"/>
      <c r="N765" s="118" t="n"/>
    </row>
    <row r="766" ht="15" customHeight="1" s="74">
      <c r="A766" s="118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20" t="n"/>
      <c r="K766" s="120" t="n"/>
      <c r="L766" s="120" t="n"/>
      <c r="M766" s="121" t="n"/>
      <c r="N766" s="118" t="n"/>
    </row>
    <row r="767" ht="15" customHeight="1" s="74">
      <c r="A767" s="118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20" t="n"/>
      <c r="K767" s="120" t="n"/>
      <c r="L767" s="120" t="n"/>
      <c r="M767" s="121" t="n"/>
      <c r="N767" s="118" t="n"/>
    </row>
    <row r="768" ht="15" customHeight="1" s="74">
      <c r="A768" s="118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20" t="n"/>
      <c r="K768" s="120" t="n"/>
      <c r="L768" s="120" t="n"/>
      <c r="M768" s="121" t="n"/>
      <c r="N768" s="118" t="n"/>
    </row>
    <row r="769" ht="15" customHeight="1" s="74">
      <c r="A769" s="118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20" t="n"/>
      <c r="K769" s="120" t="n"/>
      <c r="L769" s="120" t="n"/>
      <c r="M769" s="121" t="n"/>
      <c r="N769" s="118" t="n"/>
    </row>
    <row r="770" ht="15" customHeight="1" s="74">
      <c r="A770" s="118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20" t="n"/>
      <c r="K770" s="120" t="n"/>
      <c r="L770" s="120" t="n"/>
      <c r="M770" s="121" t="n"/>
      <c r="N770" s="118" t="n"/>
    </row>
    <row r="771" ht="15" customHeight="1" s="74">
      <c r="A771" s="118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20" t="n"/>
      <c r="K771" s="120" t="n"/>
      <c r="L771" s="120" t="n"/>
      <c r="M771" s="121" t="n"/>
      <c r="N771" s="118" t="n"/>
    </row>
    <row r="772" ht="15" customHeight="1" s="74">
      <c r="A772" s="118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20" t="n"/>
      <c r="K772" s="120" t="n"/>
      <c r="L772" s="120" t="n"/>
      <c r="M772" s="121" t="n"/>
      <c r="N772" s="118" t="n"/>
    </row>
    <row r="773" ht="15" customHeight="1" s="74">
      <c r="A773" s="118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20" t="n"/>
      <c r="K773" s="120" t="n"/>
      <c r="L773" s="120" t="n"/>
      <c r="M773" s="121" t="n"/>
      <c r="N773" s="118" t="n"/>
    </row>
    <row r="774" ht="15" customHeight="1" s="74">
      <c r="A774" s="118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20" t="n"/>
      <c r="K774" s="120" t="n"/>
      <c r="L774" s="120" t="n"/>
      <c r="M774" s="121" t="n"/>
      <c r="N774" s="118" t="n"/>
    </row>
    <row r="775" ht="15" customHeight="1" s="74">
      <c r="A775" s="118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20" t="n"/>
      <c r="K775" s="120" t="n"/>
      <c r="L775" s="120" t="n"/>
      <c r="M775" s="121" t="n"/>
      <c r="N775" s="118" t="n"/>
    </row>
    <row r="776" ht="15" customHeight="1" s="74">
      <c r="A776" s="118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20" t="n"/>
      <c r="K776" s="120" t="n"/>
      <c r="L776" s="120" t="n"/>
      <c r="M776" s="121" t="n"/>
      <c r="N776" s="118" t="n"/>
    </row>
    <row r="777" ht="15" customHeight="1" s="74">
      <c r="A777" s="118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20" t="n"/>
      <c r="K777" s="120" t="n"/>
      <c r="L777" s="120" t="n"/>
      <c r="M777" s="121" t="n"/>
      <c r="N777" s="118" t="n"/>
    </row>
    <row r="778" ht="15" customHeight="1" s="74">
      <c r="A778" s="118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20" t="n"/>
      <c r="K778" s="120" t="n"/>
      <c r="L778" s="120" t="n"/>
      <c r="M778" s="121" t="n"/>
      <c r="N778" s="118" t="n"/>
    </row>
    <row r="779" ht="15" customHeight="1" s="74">
      <c r="A779" s="118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20" t="n"/>
      <c r="K779" s="120" t="n"/>
      <c r="L779" s="120" t="n"/>
      <c r="M779" s="121" t="n"/>
      <c r="N779" s="118" t="n"/>
    </row>
    <row r="780" ht="15" customHeight="1" s="74">
      <c r="A780" s="118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20" t="n"/>
      <c r="K780" s="120" t="n"/>
      <c r="L780" s="120" t="n"/>
      <c r="M780" s="121" t="n"/>
      <c r="N780" s="118" t="n"/>
    </row>
    <row r="781" ht="15" customHeight="1" s="74">
      <c r="A781" s="118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20" t="n"/>
      <c r="K781" s="120" t="n"/>
      <c r="L781" s="120" t="n"/>
      <c r="M781" s="121" t="n"/>
      <c r="N781" s="118" t="n"/>
    </row>
    <row r="782" ht="15" customHeight="1" s="74">
      <c r="A782" s="118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20" t="n"/>
      <c r="K782" s="120" t="n"/>
      <c r="L782" s="120" t="n"/>
      <c r="M782" s="121" t="n"/>
      <c r="N782" s="118" t="n"/>
    </row>
    <row r="783" ht="15" customHeight="1" s="74">
      <c r="A783" s="118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20" t="n"/>
      <c r="K783" s="120" t="n"/>
      <c r="L783" s="120" t="n"/>
      <c r="M783" s="121" t="n"/>
      <c r="N783" s="118" t="n"/>
    </row>
    <row r="784" ht="15" customHeight="1" s="74">
      <c r="A784" s="118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20" t="n"/>
      <c r="K784" s="120" t="n"/>
      <c r="L784" s="120" t="n"/>
      <c r="M784" s="121" t="n"/>
      <c r="N784" s="118" t="n"/>
    </row>
    <row r="785" ht="15" customHeight="1" s="74">
      <c r="A785" s="118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20" t="n"/>
      <c r="K785" s="120" t="n"/>
      <c r="L785" s="120" t="n"/>
      <c r="M785" s="121" t="n"/>
      <c r="N785" s="118" t="n"/>
    </row>
    <row r="786" ht="15" customHeight="1" s="74">
      <c r="A786" s="118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20" t="n"/>
      <c r="K786" s="120" t="n"/>
      <c r="L786" s="120" t="n"/>
      <c r="M786" s="121" t="n"/>
      <c r="N786" s="118" t="n"/>
    </row>
    <row r="787" ht="15" customHeight="1" s="74">
      <c r="A787" s="118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20" t="n"/>
      <c r="K787" s="120" t="n"/>
      <c r="L787" s="120" t="n"/>
      <c r="M787" s="121" t="n"/>
      <c r="N787" s="118" t="n"/>
    </row>
    <row r="788" ht="15" customHeight="1" s="74">
      <c r="A788" s="118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20" t="n"/>
      <c r="K788" s="120" t="n"/>
      <c r="L788" s="120" t="n"/>
      <c r="M788" s="121" t="n"/>
      <c r="N788" s="118" t="n"/>
    </row>
    <row r="789" ht="15" customHeight="1" s="74">
      <c r="A789" s="118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20" t="n"/>
      <c r="K789" s="120" t="n"/>
      <c r="L789" s="120" t="n"/>
      <c r="M789" s="121" t="n"/>
      <c r="N789" s="118" t="n"/>
    </row>
    <row r="790" ht="15" customHeight="1" s="74">
      <c r="A790" s="118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20" t="n"/>
      <c r="K790" s="120" t="n"/>
      <c r="L790" s="120" t="n"/>
      <c r="M790" s="121" t="n"/>
      <c r="N790" s="118" t="n"/>
    </row>
    <row r="791" ht="15" customHeight="1" s="74">
      <c r="A791" s="118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20" t="n"/>
      <c r="K791" s="120" t="n"/>
      <c r="L791" s="120" t="n"/>
      <c r="M791" s="121" t="n"/>
      <c r="N791" s="118" t="n"/>
    </row>
    <row r="792" ht="15" customHeight="1" s="74">
      <c r="A792" s="118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20" t="n"/>
      <c r="K792" s="120" t="n"/>
      <c r="L792" s="120" t="n"/>
      <c r="M792" s="121" t="n"/>
      <c r="N792" s="118" t="n"/>
    </row>
    <row r="793" ht="15" customHeight="1" s="74">
      <c r="A793" s="118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20" t="n"/>
      <c r="K793" s="120" t="n"/>
      <c r="L793" s="120" t="n"/>
      <c r="M793" s="121" t="n"/>
      <c r="N793" s="118" t="n"/>
    </row>
    <row r="794" ht="15" customHeight="1" s="74">
      <c r="A794" s="118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20" t="n"/>
      <c r="K794" s="120" t="n"/>
      <c r="L794" s="120" t="n"/>
      <c r="M794" s="121" t="n"/>
      <c r="N794" s="118" t="n"/>
    </row>
    <row r="795" ht="15" customHeight="1" s="74">
      <c r="A795" s="118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20" t="n"/>
      <c r="K795" s="120" t="n"/>
      <c r="L795" s="120" t="n"/>
      <c r="M795" s="121" t="n"/>
      <c r="N795" s="118" t="n"/>
    </row>
    <row r="796" ht="15" customHeight="1" s="74">
      <c r="A796" s="118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20" t="n"/>
      <c r="K796" s="120" t="n"/>
      <c r="L796" s="120" t="n"/>
      <c r="M796" s="121" t="n"/>
      <c r="N796" s="118" t="n"/>
    </row>
    <row r="797" ht="15" customHeight="1" s="74">
      <c r="A797" s="118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20" t="n"/>
      <c r="K797" s="120" t="n"/>
      <c r="L797" s="120" t="n"/>
      <c r="M797" s="121" t="n"/>
      <c r="N797" s="118" t="n"/>
    </row>
    <row r="798" ht="15" customHeight="1" s="74">
      <c r="A798" s="118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20" t="n"/>
      <c r="K798" s="120" t="n"/>
      <c r="L798" s="120" t="n"/>
      <c r="M798" s="121" t="n"/>
      <c r="N798" s="118" t="n"/>
    </row>
    <row r="799" ht="15" customHeight="1" s="74">
      <c r="A799" s="118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20" t="n"/>
      <c r="K799" s="120" t="n"/>
      <c r="L799" s="120" t="n"/>
      <c r="M799" s="121" t="n"/>
      <c r="N799" s="118" t="n"/>
    </row>
    <row r="800" ht="15" customHeight="1" s="74">
      <c r="A800" s="118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20" t="n"/>
      <c r="K800" s="120" t="n"/>
      <c r="L800" s="120" t="n"/>
      <c r="M800" s="121" t="n"/>
      <c r="N800" s="118" t="n"/>
    </row>
    <row r="801" ht="15" customHeight="1" s="74">
      <c r="A801" s="118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20" t="n"/>
      <c r="K801" s="120" t="n"/>
      <c r="L801" s="120" t="n"/>
      <c r="M801" s="121" t="n"/>
      <c r="N801" s="118" t="n"/>
    </row>
    <row r="802" ht="15" customHeight="1" s="74">
      <c r="A802" s="118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20" t="n"/>
      <c r="K802" s="120" t="n"/>
      <c r="L802" s="120" t="n"/>
      <c r="M802" s="121" t="n"/>
      <c r="N802" s="118" t="n"/>
    </row>
    <row r="803" ht="15" customHeight="1" s="74">
      <c r="A803" s="118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20" t="n"/>
      <c r="K803" s="120" t="n"/>
      <c r="L803" s="120" t="n"/>
      <c r="M803" s="121" t="n"/>
      <c r="N803" s="118" t="n"/>
    </row>
    <row r="804" ht="15" customHeight="1" s="74">
      <c r="A804" s="118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20" t="n"/>
      <c r="K804" s="120" t="n"/>
      <c r="L804" s="120" t="n"/>
      <c r="M804" s="121" t="n"/>
      <c r="N804" s="118" t="n"/>
    </row>
    <row r="805" ht="15" customHeight="1" s="74">
      <c r="A805" s="118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20" t="n"/>
      <c r="K805" s="120" t="n"/>
      <c r="L805" s="120" t="n"/>
      <c r="M805" s="121" t="n"/>
      <c r="N805" s="118" t="n"/>
    </row>
    <row r="806" ht="15" customHeight="1" s="74">
      <c r="A806" s="118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20" t="n"/>
      <c r="K806" s="120" t="n"/>
      <c r="L806" s="120" t="n"/>
      <c r="M806" s="121" t="n"/>
      <c r="N806" s="118" t="n"/>
    </row>
    <row r="807" ht="15" customHeight="1" s="74">
      <c r="A807" s="118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20" t="n"/>
      <c r="K807" s="120" t="n"/>
      <c r="L807" s="120" t="n"/>
      <c r="M807" s="121" t="n"/>
      <c r="N807" s="118" t="n"/>
    </row>
    <row r="808" ht="15" customHeight="1" s="74">
      <c r="A808" s="118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20" t="n"/>
      <c r="K808" s="120" t="n"/>
      <c r="L808" s="120" t="n"/>
      <c r="M808" s="121" t="n"/>
      <c r="N808" s="118" t="n"/>
    </row>
    <row r="809" ht="15" customHeight="1" s="74">
      <c r="A809" s="118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20" t="n"/>
      <c r="K809" s="120" t="n"/>
      <c r="L809" s="120" t="n"/>
      <c r="M809" s="121" t="n"/>
      <c r="N809" s="118" t="n"/>
    </row>
    <row r="810" ht="15" customHeight="1" s="74">
      <c r="A810" s="118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20" t="n"/>
      <c r="K810" s="120" t="n"/>
      <c r="L810" s="120" t="n"/>
      <c r="M810" s="121" t="n"/>
      <c r="N810" s="118" t="n"/>
    </row>
    <row r="811" ht="15" customHeight="1" s="74">
      <c r="A811" s="118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20" t="n"/>
      <c r="K811" s="120" t="n"/>
      <c r="L811" s="120" t="n"/>
      <c r="M811" s="121" t="n"/>
      <c r="N811" s="118" t="n"/>
    </row>
    <row r="812" ht="15" customHeight="1" s="74">
      <c r="A812" s="118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20" t="n"/>
      <c r="K812" s="120" t="n"/>
      <c r="L812" s="120" t="n"/>
      <c r="M812" s="121" t="n"/>
      <c r="N812" s="118" t="n"/>
    </row>
    <row r="813" ht="15" customHeight="1" s="74">
      <c r="A813" s="118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20" t="n"/>
      <c r="K813" s="120" t="n"/>
      <c r="L813" s="120" t="n"/>
      <c r="M813" s="121" t="n"/>
      <c r="N813" s="118" t="n"/>
    </row>
    <row r="814" ht="15" customHeight="1" s="74">
      <c r="A814" s="118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20" t="n"/>
      <c r="K814" s="120" t="n"/>
      <c r="L814" s="120" t="n"/>
      <c r="M814" s="121" t="n"/>
      <c r="N814" s="118" t="n"/>
    </row>
    <row r="815" ht="15" customHeight="1" s="74">
      <c r="A815" s="118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20" t="n"/>
      <c r="K815" s="120" t="n"/>
      <c r="L815" s="120" t="n"/>
      <c r="M815" s="121" t="n"/>
      <c r="N815" s="118" t="n"/>
    </row>
    <row r="816" ht="15" customHeight="1" s="74">
      <c r="A816" s="118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20" t="n"/>
      <c r="K816" s="120" t="n"/>
      <c r="L816" s="120" t="n"/>
      <c r="M816" s="121" t="n"/>
      <c r="N816" s="118" t="n"/>
    </row>
    <row r="817" ht="15" customHeight="1" s="74">
      <c r="A817" s="118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20" t="n"/>
      <c r="K817" s="120" t="n"/>
      <c r="L817" s="120" t="n"/>
      <c r="M817" s="121" t="n"/>
      <c r="N817" s="118" t="n"/>
    </row>
    <row r="818" ht="15" customHeight="1" s="74">
      <c r="A818" s="118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20" t="n"/>
      <c r="K818" s="120" t="n"/>
      <c r="L818" s="120" t="n"/>
      <c r="M818" s="121" t="n"/>
      <c r="N818" s="118" t="n"/>
    </row>
    <row r="819" ht="15" customHeight="1" s="74">
      <c r="A819" s="118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20" t="n"/>
      <c r="K819" s="120" t="n"/>
      <c r="L819" s="120" t="n"/>
      <c r="M819" s="121" t="n"/>
      <c r="N819" s="118" t="n"/>
    </row>
    <row r="820" ht="15" customHeight="1" s="74">
      <c r="A820" s="118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20" t="n"/>
      <c r="K820" s="120" t="n"/>
      <c r="L820" s="120" t="n"/>
      <c r="M820" s="121" t="n"/>
      <c r="N820" s="118" t="n"/>
    </row>
    <row r="821" ht="15" customHeight="1" s="74">
      <c r="A821" s="118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20" t="n"/>
      <c r="K821" s="120" t="n"/>
      <c r="L821" s="120" t="n"/>
      <c r="M821" s="121" t="n"/>
      <c r="N821" s="118" t="n"/>
    </row>
    <row r="822" ht="15" customHeight="1" s="74">
      <c r="A822" s="118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20" t="n"/>
      <c r="K822" s="120" t="n"/>
      <c r="L822" s="120" t="n"/>
      <c r="M822" s="121" t="n"/>
      <c r="N822" s="118" t="n"/>
    </row>
    <row r="823" ht="15" customHeight="1" s="74">
      <c r="A823" s="118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20" t="n"/>
      <c r="K823" s="120" t="n"/>
      <c r="L823" s="120" t="n"/>
      <c r="M823" s="121" t="n"/>
      <c r="N823" s="118" t="n"/>
    </row>
    <row r="824" ht="15" customHeight="1" s="74">
      <c r="A824" s="118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20" t="n"/>
      <c r="K824" s="120" t="n"/>
      <c r="L824" s="120" t="n"/>
      <c r="M824" s="121" t="n"/>
      <c r="N824" s="118" t="n"/>
    </row>
    <row r="825" ht="15" customHeight="1" s="74">
      <c r="A825" s="118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20" t="n"/>
      <c r="K825" s="120" t="n"/>
      <c r="L825" s="120" t="n"/>
      <c r="M825" s="121" t="n"/>
      <c r="N825" s="118" t="n"/>
    </row>
    <row r="826" ht="15" customHeight="1" s="74">
      <c r="A826" s="118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20" t="n"/>
      <c r="K826" s="120" t="n"/>
      <c r="L826" s="120" t="n"/>
      <c r="M826" s="121" t="n"/>
      <c r="N826" s="118" t="n"/>
    </row>
    <row r="827" ht="15" customHeight="1" s="74">
      <c r="A827" s="118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20" t="n"/>
      <c r="K827" s="120" t="n"/>
      <c r="L827" s="120" t="n"/>
      <c r="M827" s="121" t="n"/>
      <c r="N827" s="118" t="n"/>
    </row>
    <row r="828" ht="15" customHeight="1" s="74">
      <c r="A828" s="118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20" t="n"/>
      <c r="K828" s="120" t="n"/>
      <c r="L828" s="120" t="n"/>
      <c r="M828" s="121" t="n"/>
      <c r="N828" s="118" t="n"/>
    </row>
    <row r="829" ht="15" customHeight="1" s="74">
      <c r="A829" s="118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20" t="n"/>
      <c r="K829" s="120" t="n"/>
      <c r="L829" s="120" t="n"/>
      <c r="M829" s="121" t="n"/>
      <c r="N829" s="118" t="n"/>
    </row>
    <row r="830" ht="15" customHeight="1" s="74">
      <c r="A830" s="118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20" t="n"/>
      <c r="K830" s="120" t="n"/>
      <c r="L830" s="120" t="n"/>
      <c r="M830" s="121" t="n"/>
      <c r="N830" s="118" t="n"/>
    </row>
    <row r="831" ht="15" customHeight="1" s="74">
      <c r="A831" s="118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20" t="n"/>
      <c r="K831" s="120" t="n"/>
      <c r="L831" s="120" t="n"/>
      <c r="M831" s="121" t="n"/>
      <c r="N831" s="118" t="n"/>
    </row>
    <row r="832" ht="15" customHeight="1" s="74">
      <c r="A832" s="118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20" t="n"/>
      <c r="K832" s="120" t="n"/>
      <c r="L832" s="120" t="n"/>
      <c r="M832" s="121" t="n"/>
      <c r="N832" s="118" t="n"/>
    </row>
    <row r="833" ht="15" customHeight="1" s="74">
      <c r="A833" s="118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20" t="n"/>
      <c r="K833" s="120" t="n"/>
      <c r="L833" s="120" t="n"/>
      <c r="M833" s="121" t="n"/>
      <c r="N833" s="118" t="n"/>
    </row>
    <row r="834" ht="15" customHeight="1" s="74">
      <c r="A834" s="118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20" t="n"/>
      <c r="K834" s="120" t="n"/>
      <c r="L834" s="120" t="n"/>
      <c r="M834" s="121" t="n"/>
      <c r="N834" s="118" t="n"/>
    </row>
    <row r="835" ht="15" customHeight="1" s="74">
      <c r="A835" s="118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20" t="n"/>
      <c r="K835" s="120" t="n"/>
      <c r="L835" s="120" t="n"/>
      <c r="M835" s="121" t="n"/>
      <c r="N835" s="118" t="n"/>
    </row>
    <row r="836" ht="15" customHeight="1" s="74">
      <c r="A836" s="118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20" t="n"/>
      <c r="K836" s="120" t="n"/>
      <c r="L836" s="120" t="n"/>
      <c r="M836" s="121" t="n"/>
      <c r="N836" s="118" t="n"/>
    </row>
    <row r="837" ht="15" customHeight="1" s="74">
      <c r="A837" s="118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20" t="n"/>
      <c r="K837" s="120" t="n"/>
      <c r="L837" s="120" t="n"/>
      <c r="M837" s="121" t="n"/>
      <c r="N837" s="118" t="n"/>
    </row>
    <row r="838" ht="15" customHeight="1" s="74">
      <c r="A838" s="118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20" t="n"/>
      <c r="K838" s="120" t="n"/>
      <c r="L838" s="120" t="n"/>
      <c r="M838" s="121" t="n"/>
      <c r="N838" s="118" t="n"/>
    </row>
    <row r="839" ht="15" customHeight="1" s="74">
      <c r="A839" s="118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20" t="n"/>
      <c r="K839" s="120" t="n"/>
      <c r="L839" s="120" t="n"/>
      <c r="M839" s="121" t="n"/>
      <c r="N839" s="118" t="n"/>
    </row>
    <row r="840" ht="15" customHeight="1" s="74">
      <c r="A840" s="118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20" t="n"/>
      <c r="K840" s="120" t="n"/>
      <c r="L840" s="120" t="n"/>
      <c r="M840" s="121" t="n"/>
      <c r="N840" s="118" t="n"/>
    </row>
    <row r="841" ht="15" customHeight="1" s="74">
      <c r="A841" s="118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20" t="n"/>
      <c r="K841" s="120" t="n"/>
      <c r="L841" s="120" t="n"/>
      <c r="M841" s="121" t="n"/>
      <c r="N841" s="118" t="n"/>
    </row>
    <row r="842" ht="15" customHeight="1" s="74">
      <c r="A842" s="118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20" t="n"/>
      <c r="K842" s="120" t="n"/>
      <c r="L842" s="120" t="n"/>
      <c r="M842" s="121" t="n"/>
      <c r="N842" s="118" t="n"/>
    </row>
    <row r="843" ht="15" customHeight="1" s="74">
      <c r="A843" s="118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20" t="n"/>
      <c r="K843" s="120" t="n"/>
      <c r="L843" s="120" t="n"/>
      <c r="M843" s="121" t="n"/>
      <c r="N843" s="118" t="n"/>
    </row>
    <row r="844" ht="15" customHeight="1" s="74">
      <c r="A844" s="118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20" t="n"/>
      <c r="K844" s="120" t="n"/>
      <c r="L844" s="120" t="n"/>
      <c r="M844" s="121" t="n"/>
      <c r="N844" s="118" t="n"/>
    </row>
    <row r="845" ht="15" customHeight="1" s="74">
      <c r="A845" s="118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20" t="n"/>
      <c r="K845" s="120" t="n"/>
      <c r="L845" s="120" t="n"/>
      <c r="M845" s="121" t="n"/>
      <c r="N845" s="118" t="n"/>
    </row>
    <row r="846" ht="15" customHeight="1" s="74">
      <c r="A846" s="118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20" t="n"/>
      <c r="K846" s="120" t="n"/>
      <c r="L846" s="120" t="n"/>
      <c r="M846" s="121" t="n"/>
      <c r="N846" s="118" t="n"/>
    </row>
    <row r="847" ht="15" customHeight="1" s="74">
      <c r="A847" s="118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20" t="n"/>
      <c r="K847" s="120" t="n"/>
      <c r="L847" s="120" t="n"/>
      <c r="M847" s="121" t="n"/>
      <c r="N847" s="118" t="n"/>
    </row>
    <row r="848" ht="15" customHeight="1" s="74">
      <c r="A848" s="118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20" t="n"/>
      <c r="K848" s="120" t="n"/>
      <c r="L848" s="120" t="n"/>
      <c r="M848" s="121" t="n"/>
      <c r="N848" s="118" t="n"/>
    </row>
    <row r="849" ht="15" customHeight="1" s="74">
      <c r="A849" s="118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20" t="n"/>
      <c r="K849" s="120" t="n"/>
      <c r="L849" s="120" t="n"/>
      <c r="M849" s="121" t="n"/>
      <c r="N849" s="118" t="n"/>
    </row>
    <row r="850" ht="15" customHeight="1" s="74">
      <c r="A850" s="118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20" t="n"/>
      <c r="K850" s="120" t="n"/>
      <c r="L850" s="120" t="n"/>
      <c r="M850" s="121" t="n"/>
      <c r="N850" s="118" t="n"/>
    </row>
    <row r="851" ht="15" customHeight="1" s="74">
      <c r="A851" s="118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20" t="n"/>
      <c r="K851" s="120" t="n"/>
      <c r="L851" s="120" t="n"/>
      <c r="M851" s="121" t="n"/>
      <c r="N851" s="118" t="n"/>
    </row>
    <row r="852" ht="15" customHeight="1" s="74">
      <c r="A852" s="118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20" t="n"/>
      <c r="K852" s="120" t="n"/>
      <c r="L852" s="120" t="n"/>
      <c r="M852" s="121" t="n"/>
      <c r="N852" s="118" t="n"/>
    </row>
    <row r="853" ht="15" customHeight="1" s="74">
      <c r="A853" s="118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20" t="n"/>
      <c r="K853" s="120" t="n"/>
      <c r="L853" s="120" t="n"/>
      <c r="M853" s="121" t="n"/>
      <c r="N853" s="118" t="n"/>
    </row>
    <row r="854" ht="15" customHeight="1" s="74">
      <c r="A854" s="118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20" t="n"/>
      <c r="K854" s="120" t="n"/>
      <c r="L854" s="120" t="n"/>
      <c r="M854" s="121" t="n"/>
      <c r="N854" s="118" t="n"/>
    </row>
    <row r="855" ht="15" customHeight="1" s="74">
      <c r="A855" s="118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20" t="n"/>
      <c r="K855" s="120" t="n"/>
      <c r="L855" s="120" t="n"/>
      <c r="M855" s="121" t="n"/>
      <c r="N855" s="118" t="n"/>
    </row>
    <row r="856" ht="15" customHeight="1" s="74">
      <c r="A856" s="118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20" t="n"/>
      <c r="K856" s="120" t="n"/>
      <c r="L856" s="120" t="n"/>
      <c r="M856" s="121" t="n"/>
      <c r="N856" s="118" t="n"/>
    </row>
    <row r="857" ht="15" customHeight="1" s="74">
      <c r="A857" s="118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20" t="n"/>
      <c r="K857" s="120" t="n"/>
      <c r="L857" s="120" t="n"/>
      <c r="M857" s="121" t="n"/>
      <c r="N857" s="118" t="n"/>
    </row>
    <row r="858" ht="15" customHeight="1" s="74">
      <c r="A858" s="118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20" t="n"/>
      <c r="K858" s="120" t="n"/>
      <c r="L858" s="120" t="n"/>
      <c r="M858" s="121" t="n"/>
      <c r="N858" s="118" t="n"/>
    </row>
    <row r="859" ht="15" customHeight="1" s="74">
      <c r="A859" s="118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20" t="n"/>
      <c r="K859" s="120" t="n"/>
      <c r="L859" s="120" t="n"/>
      <c r="M859" s="121" t="n"/>
      <c r="N859" s="118" t="n"/>
    </row>
    <row r="860" ht="15" customHeight="1" s="74">
      <c r="A860" s="118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20" t="n"/>
      <c r="K860" s="120" t="n"/>
      <c r="L860" s="120" t="n"/>
      <c r="M860" s="121" t="n"/>
      <c r="N860" s="118" t="n"/>
    </row>
    <row r="861" ht="15" customHeight="1" s="74">
      <c r="A861" s="118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20" t="n"/>
      <c r="K861" s="120" t="n"/>
      <c r="L861" s="120" t="n"/>
      <c r="M861" s="121" t="n"/>
      <c r="N861" s="118" t="n"/>
    </row>
    <row r="862" ht="15" customHeight="1" s="74">
      <c r="A862" s="118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20" t="n"/>
      <c r="K862" s="120" t="n"/>
      <c r="L862" s="120" t="n"/>
      <c r="M862" s="121" t="n"/>
      <c r="N862" s="118" t="n"/>
    </row>
    <row r="863" ht="15" customHeight="1" s="74">
      <c r="A863" s="118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20" t="n"/>
      <c r="K863" s="120" t="n"/>
      <c r="L863" s="120" t="n"/>
      <c r="M863" s="121" t="n"/>
      <c r="N863" s="118" t="n"/>
    </row>
    <row r="864" ht="15" customHeight="1" s="74">
      <c r="A864" s="118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20" t="n"/>
      <c r="K864" s="120" t="n"/>
      <c r="L864" s="120" t="n"/>
      <c r="M864" s="121" t="n"/>
      <c r="N864" s="118" t="n"/>
    </row>
    <row r="865" ht="15" customHeight="1" s="74">
      <c r="A865" s="118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20" t="n"/>
      <c r="K865" s="120" t="n"/>
      <c r="L865" s="120" t="n"/>
      <c r="M865" s="121" t="n"/>
      <c r="N865" s="118" t="n"/>
    </row>
    <row r="866" ht="15" customHeight="1" s="74">
      <c r="A866" s="118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20" t="n"/>
      <c r="K866" s="120" t="n"/>
      <c r="L866" s="120" t="n"/>
      <c r="M866" s="121" t="n"/>
      <c r="N866" s="118" t="n"/>
    </row>
    <row r="867" ht="15" customHeight="1" s="74">
      <c r="A867" s="118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20" t="n"/>
      <c r="K867" s="120" t="n"/>
      <c r="L867" s="120" t="n"/>
      <c r="M867" s="121" t="n"/>
      <c r="N867" s="118" t="n"/>
    </row>
    <row r="868" ht="15" customHeight="1" s="74">
      <c r="A868" s="118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20" t="n"/>
      <c r="K868" s="120" t="n"/>
      <c r="L868" s="120" t="n"/>
      <c r="M868" s="121" t="n"/>
      <c r="N868" s="118" t="n"/>
    </row>
    <row r="869" ht="15" customHeight="1" s="74">
      <c r="A869" s="118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20" t="n"/>
      <c r="K869" s="120" t="n"/>
      <c r="L869" s="120" t="n"/>
      <c r="M869" s="121" t="n"/>
      <c r="N869" s="118" t="n"/>
    </row>
    <row r="870" ht="15" customHeight="1" s="74">
      <c r="A870" s="118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20" t="n"/>
      <c r="K870" s="120" t="n"/>
      <c r="L870" s="120" t="n"/>
      <c r="M870" s="121" t="n"/>
      <c r="N870" s="118" t="n"/>
    </row>
    <row r="871" ht="15" customHeight="1" s="74">
      <c r="A871" s="118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20" t="n"/>
      <c r="K871" s="120" t="n"/>
      <c r="L871" s="120" t="n"/>
      <c r="M871" s="121" t="n"/>
      <c r="N871" s="118" t="n"/>
    </row>
    <row r="872" ht="15" customHeight="1" s="74">
      <c r="A872" s="118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20" t="n"/>
      <c r="K872" s="120" t="n"/>
      <c r="L872" s="120" t="n"/>
      <c r="M872" s="121" t="n"/>
      <c r="N872" s="118" t="n"/>
    </row>
    <row r="873" ht="15" customHeight="1" s="74">
      <c r="A873" s="118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20" t="n"/>
      <c r="K873" s="120" t="n"/>
      <c r="L873" s="120" t="n"/>
      <c r="M873" s="121" t="n"/>
      <c r="N873" s="118" t="n"/>
    </row>
    <row r="874" ht="15" customHeight="1" s="74">
      <c r="A874" s="118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20" t="n"/>
      <c r="K874" s="120" t="n"/>
      <c r="L874" s="120" t="n"/>
      <c r="M874" s="121" t="n"/>
      <c r="N874" s="118" t="n"/>
    </row>
    <row r="875" ht="15" customHeight="1" s="74">
      <c r="A875" s="118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20" t="n"/>
      <c r="K875" s="120" t="n"/>
      <c r="L875" s="120" t="n"/>
      <c r="M875" s="121" t="n"/>
      <c r="N875" s="118" t="n"/>
    </row>
    <row r="876" ht="15" customHeight="1" s="74">
      <c r="A876" s="118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20" t="n"/>
      <c r="K876" s="120" t="n"/>
      <c r="L876" s="120" t="n"/>
      <c r="M876" s="121" t="n"/>
      <c r="N876" s="118" t="n"/>
    </row>
    <row r="877" ht="15" customHeight="1" s="74">
      <c r="A877" s="118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20" t="n"/>
      <c r="K877" s="120" t="n"/>
      <c r="L877" s="120" t="n"/>
      <c r="M877" s="121" t="n"/>
      <c r="N877" s="118" t="n"/>
    </row>
    <row r="878" ht="15" customHeight="1" s="74">
      <c r="A878" s="118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20" t="n"/>
      <c r="K878" s="120" t="n"/>
      <c r="L878" s="120" t="n"/>
      <c r="M878" s="121" t="n"/>
      <c r="N878" s="118" t="n"/>
    </row>
    <row r="879" ht="15" customHeight="1" s="74">
      <c r="A879" s="118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20" t="n"/>
      <c r="K879" s="120" t="n"/>
      <c r="L879" s="120" t="n"/>
      <c r="M879" s="121" t="n"/>
      <c r="N879" s="118" t="n"/>
    </row>
    <row r="880" ht="15" customHeight="1" s="74">
      <c r="A880" s="118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20" t="n"/>
      <c r="K880" s="120" t="n"/>
      <c r="L880" s="120" t="n"/>
      <c r="M880" s="121" t="n"/>
      <c r="N880" s="118" t="n"/>
    </row>
    <row r="881" ht="15" customHeight="1" s="74">
      <c r="A881" s="118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20" t="n"/>
      <c r="K881" s="120" t="n"/>
      <c r="L881" s="120" t="n"/>
      <c r="M881" s="121" t="n"/>
      <c r="N881" s="118" t="n"/>
    </row>
    <row r="882" ht="15" customHeight="1" s="74">
      <c r="A882" s="118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20" t="n"/>
      <c r="K882" s="120" t="n"/>
      <c r="L882" s="120" t="n"/>
      <c r="M882" s="121" t="n"/>
      <c r="N882" s="118" t="n"/>
    </row>
    <row r="883" ht="15" customHeight="1" s="74">
      <c r="A883" s="118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20" t="n"/>
      <c r="K883" s="120" t="n"/>
      <c r="L883" s="120" t="n"/>
      <c r="M883" s="121" t="n"/>
      <c r="N883" s="118" t="n"/>
    </row>
    <row r="884" ht="15" customHeight="1" s="74">
      <c r="A884" s="118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20" t="n"/>
      <c r="K884" s="120" t="n"/>
      <c r="L884" s="120" t="n"/>
      <c r="M884" s="121" t="n"/>
      <c r="N884" s="118" t="n"/>
    </row>
    <row r="885" ht="15" customHeight="1" s="74">
      <c r="A885" s="118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20" t="n"/>
      <c r="K885" s="120" t="n"/>
      <c r="L885" s="120" t="n"/>
      <c r="M885" s="121" t="n"/>
      <c r="N885" s="118" t="n"/>
    </row>
    <row r="886" ht="15" customHeight="1" s="74">
      <c r="A886" s="118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20" t="n"/>
      <c r="K886" s="120" t="n"/>
      <c r="L886" s="120" t="n"/>
      <c r="M886" s="121" t="n"/>
      <c r="N886" s="118" t="n"/>
    </row>
    <row r="887" ht="15" customHeight="1" s="74">
      <c r="A887" s="118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20" t="n"/>
      <c r="K887" s="120" t="n"/>
      <c r="L887" s="120" t="n"/>
      <c r="M887" s="121" t="n"/>
      <c r="N887" s="118" t="n"/>
    </row>
    <row r="888" ht="15" customHeight="1" s="74">
      <c r="A888" s="118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20" t="n"/>
      <c r="K888" s="120" t="n"/>
      <c r="L888" s="120" t="n"/>
      <c r="M888" s="121" t="n"/>
      <c r="N888" s="118" t="n"/>
    </row>
    <row r="889" ht="15" customHeight="1" s="74">
      <c r="A889" s="118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20" t="n"/>
      <c r="K889" s="120" t="n"/>
      <c r="L889" s="120" t="n"/>
      <c r="M889" s="121" t="n"/>
      <c r="N889" s="118" t="n"/>
    </row>
    <row r="890" ht="15" customHeight="1" s="74">
      <c r="A890" s="118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20" t="n"/>
      <c r="K890" s="120" t="n"/>
      <c r="L890" s="120" t="n"/>
      <c r="M890" s="121" t="n"/>
      <c r="N890" s="118" t="n"/>
    </row>
    <row r="891" ht="15" customHeight="1" s="74">
      <c r="A891" s="118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20" t="n"/>
      <c r="K891" s="120" t="n"/>
      <c r="L891" s="120" t="n"/>
      <c r="M891" s="121" t="n"/>
      <c r="N891" s="118" t="n"/>
    </row>
    <row r="892" ht="15" customHeight="1" s="74">
      <c r="A892" s="118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20" t="n"/>
      <c r="K892" s="120" t="n"/>
      <c r="L892" s="120" t="n"/>
      <c r="M892" s="121" t="n"/>
      <c r="N892" s="118" t="n"/>
    </row>
    <row r="893" ht="15" customHeight="1" s="74">
      <c r="A893" s="118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20" t="n"/>
      <c r="K893" s="120" t="n"/>
      <c r="L893" s="120" t="n"/>
      <c r="M893" s="121" t="n"/>
      <c r="N893" s="118" t="n"/>
    </row>
    <row r="894" ht="15" customHeight="1" s="74">
      <c r="A894" s="118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20" t="n"/>
      <c r="K894" s="120" t="n"/>
      <c r="L894" s="120" t="n"/>
      <c r="M894" s="121" t="n"/>
      <c r="N894" s="118" t="n"/>
    </row>
    <row r="895" ht="15" customHeight="1" s="74">
      <c r="A895" s="118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20" t="n"/>
      <c r="K895" s="120" t="n"/>
      <c r="L895" s="120" t="n"/>
      <c r="M895" s="121" t="n"/>
      <c r="N895" s="118" t="n"/>
    </row>
    <row r="896" ht="15" customHeight="1" s="74">
      <c r="A896" s="118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20" t="n"/>
      <c r="K896" s="120" t="n"/>
      <c r="L896" s="120" t="n"/>
      <c r="M896" s="121" t="n"/>
      <c r="N896" s="118" t="n"/>
    </row>
    <row r="897" ht="15" customHeight="1" s="74">
      <c r="A897" s="118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20" t="n"/>
      <c r="K897" s="120" t="n"/>
      <c r="L897" s="120" t="n"/>
      <c r="M897" s="121" t="n"/>
      <c r="N897" s="118" t="n"/>
    </row>
    <row r="898" ht="15" customHeight="1" s="74">
      <c r="A898" s="118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20" t="n"/>
      <c r="K898" s="120" t="n"/>
      <c r="L898" s="120" t="n"/>
      <c r="M898" s="121" t="n"/>
      <c r="N898" s="118" t="n"/>
    </row>
    <row r="899" ht="15" customHeight="1" s="74">
      <c r="A899" s="118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20" t="n"/>
      <c r="K899" s="120" t="n"/>
      <c r="L899" s="120" t="n"/>
      <c r="M899" s="121" t="n"/>
      <c r="N899" s="118" t="n"/>
    </row>
    <row r="900" ht="15" customHeight="1" s="74">
      <c r="A900" s="118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20" t="n"/>
      <c r="K900" s="120" t="n"/>
      <c r="L900" s="120" t="n"/>
      <c r="M900" s="121" t="n"/>
      <c r="N900" s="118" t="n"/>
    </row>
    <row r="901" ht="15" customHeight="1" s="74">
      <c r="A901" s="118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20" t="n"/>
      <c r="K901" s="120" t="n"/>
      <c r="L901" s="120" t="n"/>
      <c r="M901" s="121" t="n"/>
      <c r="N901" s="118" t="n"/>
    </row>
    <row r="902" ht="15" customHeight="1" s="74">
      <c r="A902" s="118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20" t="n"/>
      <c r="K902" s="120" t="n"/>
      <c r="L902" s="120" t="n"/>
      <c r="M902" s="121" t="n"/>
      <c r="N902" s="118" t="n"/>
    </row>
    <row r="903" ht="15" customHeight="1" s="74">
      <c r="A903" s="118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20" t="n"/>
      <c r="K903" s="120" t="n"/>
      <c r="L903" s="120" t="n"/>
      <c r="M903" s="121" t="n"/>
      <c r="N903" s="118" t="n"/>
    </row>
    <row r="904" ht="15" customHeight="1" s="74">
      <c r="A904" s="118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20" t="n"/>
      <c r="K904" s="120" t="n"/>
      <c r="L904" s="120" t="n"/>
      <c r="M904" s="121" t="n"/>
      <c r="N904" s="118" t="n"/>
    </row>
    <row r="905" ht="15" customHeight="1" s="74">
      <c r="A905" s="118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20" t="n"/>
      <c r="K905" s="120" t="n"/>
      <c r="L905" s="120" t="n"/>
      <c r="M905" s="121" t="n"/>
      <c r="N905" s="118" t="n"/>
    </row>
    <row r="906" ht="15" customHeight="1" s="74">
      <c r="A906" s="118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20" t="n"/>
      <c r="K906" s="120" t="n"/>
      <c r="L906" s="120" t="n"/>
      <c r="M906" s="121" t="n"/>
      <c r="N906" s="118" t="n"/>
    </row>
    <row r="907" ht="15" customHeight="1" s="74">
      <c r="A907" s="118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20" t="n"/>
      <c r="K907" s="120" t="n"/>
      <c r="L907" s="120" t="n"/>
      <c r="M907" s="121" t="n"/>
      <c r="N907" s="118" t="n"/>
    </row>
    <row r="908" ht="15" customHeight="1" s="74">
      <c r="A908" s="118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20" t="n"/>
      <c r="K908" s="120" t="n"/>
      <c r="L908" s="120" t="n"/>
      <c r="M908" s="121" t="n"/>
      <c r="N908" s="118" t="n"/>
    </row>
    <row r="909" ht="15" customHeight="1" s="74">
      <c r="A909" s="118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20" t="n"/>
      <c r="K909" s="120" t="n"/>
      <c r="L909" s="120" t="n"/>
      <c r="M909" s="121" t="n"/>
      <c r="N909" s="118" t="n"/>
    </row>
    <row r="910" ht="15" customHeight="1" s="74">
      <c r="A910" s="118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20" t="n"/>
      <c r="K910" s="120" t="n"/>
      <c r="L910" s="120" t="n"/>
      <c r="M910" s="121" t="n"/>
      <c r="N910" s="118" t="n"/>
    </row>
    <row r="911" ht="15" customHeight="1" s="74">
      <c r="A911" s="118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20" t="n"/>
      <c r="K911" s="120" t="n"/>
      <c r="L911" s="120" t="n"/>
      <c r="M911" s="121" t="n"/>
      <c r="N911" s="118" t="n"/>
    </row>
    <row r="912" ht="15" customHeight="1" s="74">
      <c r="A912" s="118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20" t="n"/>
      <c r="K912" s="120" t="n"/>
      <c r="L912" s="120" t="n"/>
      <c r="M912" s="121" t="n"/>
      <c r="N912" s="118" t="n"/>
    </row>
    <row r="913" ht="15" customHeight="1" s="74">
      <c r="A913" s="118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20" t="n"/>
      <c r="K913" s="120" t="n"/>
      <c r="L913" s="120" t="n"/>
      <c r="M913" s="121" t="n"/>
      <c r="N913" s="118" t="n"/>
    </row>
    <row r="914" ht="15" customHeight="1" s="74">
      <c r="A914" s="118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20" t="n"/>
      <c r="K914" s="120" t="n"/>
      <c r="L914" s="120" t="n"/>
      <c r="M914" s="121" t="n"/>
      <c r="N914" s="118" t="n"/>
    </row>
    <row r="915" ht="15" customHeight="1" s="74">
      <c r="A915" s="118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20" t="n"/>
      <c r="K915" s="120" t="n"/>
      <c r="L915" s="120" t="n"/>
      <c r="M915" s="121" t="n"/>
      <c r="N915" s="118" t="n"/>
    </row>
    <row r="916" ht="15" customHeight="1" s="74">
      <c r="A916" s="118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20" t="n"/>
      <c r="K916" s="120" t="n"/>
      <c r="L916" s="120" t="n"/>
      <c r="M916" s="121" t="n"/>
      <c r="N916" s="118" t="n"/>
    </row>
    <row r="917" ht="15" customHeight="1" s="74">
      <c r="A917" s="118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20" t="n"/>
      <c r="K917" s="120" t="n"/>
      <c r="L917" s="120" t="n"/>
      <c r="M917" s="121" t="n"/>
      <c r="N917" s="118" t="n"/>
    </row>
    <row r="918" ht="15" customHeight="1" s="74">
      <c r="A918" s="118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20" t="n"/>
      <c r="K918" s="120" t="n"/>
      <c r="L918" s="120" t="n"/>
      <c r="M918" s="121" t="n"/>
      <c r="N918" s="118" t="n"/>
    </row>
    <row r="919" ht="15" customHeight="1" s="74">
      <c r="A919" s="118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20" t="n"/>
      <c r="K919" s="120" t="n"/>
      <c r="L919" s="120" t="n"/>
      <c r="M919" s="121" t="n"/>
      <c r="N919" s="118" t="n"/>
    </row>
    <row r="920" ht="15" customHeight="1" s="74">
      <c r="A920" s="118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20" t="n"/>
      <c r="K920" s="120" t="n"/>
      <c r="L920" s="120" t="n"/>
      <c r="M920" s="121" t="n"/>
      <c r="N920" s="118" t="n"/>
    </row>
    <row r="921" ht="15" customHeight="1" s="74">
      <c r="A921" s="118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20" t="n"/>
      <c r="K921" s="120" t="n"/>
      <c r="L921" s="120" t="n"/>
      <c r="M921" s="121" t="n"/>
      <c r="N921" s="118" t="n"/>
    </row>
    <row r="922" ht="15" customHeight="1" s="74">
      <c r="A922" s="118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20" t="n"/>
      <c r="K922" s="120" t="n"/>
      <c r="L922" s="120" t="n"/>
      <c r="M922" s="121" t="n"/>
      <c r="N922" s="118" t="n"/>
    </row>
    <row r="923" ht="15" customHeight="1" s="74">
      <c r="A923" s="118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20" t="n"/>
      <c r="K923" s="120" t="n"/>
      <c r="L923" s="120" t="n"/>
      <c r="M923" s="121" t="n"/>
      <c r="N923" s="118" t="n"/>
    </row>
    <row r="924" ht="15" customHeight="1" s="74">
      <c r="A924" s="118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20" t="n"/>
      <c r="K924" s="120" t="n"/>
      <c r="L924" s="120" t="n"/>
      <c r="M924" s="121" t="n"/>
      <c r="N924" s="118" t="n"/>
    </row>
    <row r="925" ht="15" customHeight="1" s="74">
      <c r="A925" s="118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20" t="n"/>
      <c r="K925" s="120" t="n"/>
      <c r="L925" s="120" t="n"/>
      <c r="M925" s="121" t="n"/>
      <c r="N925" s="118" t="n"/>
    </row>
    <row r="926" ht="15" customHeight="1" s="74">
      <c r="A926" s="118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20" t="n"/>
      <c r="K926" s="120" t="n"/>
      <c r="L926" s="120" t="n"/>
      <c r="M926" s="121" t="n"/>
      <c r="N926" s="118" t="n"/>
    </row>
    <row r="927" ht="15" customHeight="1" s="74">
      <c r="A927" s="118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20" t="n"/>
      <c r="K927" s="120" t="n"/>
      <c r="L927" s="120" t="n"/>
      <c r="M927" s="121" t="n"/>
      <c r="N927" s="118" t="n"/>
    </row>
    <row r="928" ht="15" customHeight="1" s="74">
      <c r="A928" s="118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20" t="n"/>
      <c r="K928" s="120" t="n"/>
      <c r="L928" s="120" t="n"/>
      <c r="M928" s="121" t="n"/>
      <c r="N928" s="118" t="n"/>
    </row>
    <row r="929" ht="15" customHeight="1" s="74">
      <c r="A929" s="118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20" t="n"/>
      <c r="K929" s="120" t="n"/>
      <c r="L929" s="120" t="n"/>
      <c r="M929" s="121" t="n"/>
      <c r="N929" s="118" t="n"/>
    </row>
    <row r="930" ht="15" customHeight="1" s="74">
      <c r="A930" s="118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20" t="n"/>
      <c r="K930" s="120" t="n"/>
      <c r="L930" s="120" t="n"/>
      <c r="M930" s="121" t="n"/>
      <c r="N930" s="118" t="n"/>
    </row>
    <row r="931" ht="15" customHeight="1" s="74">
      <c r="A931" s="118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20" t="n"/>
      <c r="K931" s="120" t="n"/>
      <c r="L931" s="120" t="n"/>
      <c r="M931" s="121" t="n"/>
      <c r="N931" s="118" t="n"/>
    </row>
    <row r="932" ht="15" customHeight="1" s="74">
      <c r="A932" s="118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20" t="n"/>
      <c r="K932" s="120" t="n"/>
      <c r="L932" s="120" t="n"/>
      <c r="M932" s="121" t="n"/>
      <c r="N932" s="118" t="n"/>
    </row>
    <row r="933" ht="15" customHeight="1" s="74">
      <c r="A933" s="118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20" t="n"/>
      <c r="K933" s="120" t="n"/>
      <c r="L933" s="120" t="n"/>
      <c r="M933" s="121" t="n"/>
      <c r="N933" s="118" t="n"/>
    </row>
    <row r="934" ht="15" customHeight="1" s="74">
      <c r="A934" s="118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20" t="n"/>
      <c r="K934" s="120" t="n"/>
      <c r="L934" s="120" t="n"/>
      <c r="M934" s="121" t="n"/>
      <c r="N934" s="118" t="n"/>
    </row>
    <row r="935" ht="15" customHeight="1" s="74">
      <c r="A935" s="118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20" t="n"/>
      <c r="K935" s="120" t="n"/>
      <c r="L935" s="120" t="n"/>
      <c r="M935" s="121" t="n"/>
      <c r="N935" s="118" t="n"/>
    </row>
    <row r="936" ht="15" customHeight="1" s="74">
      <c r="A936" s="118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20" t="n"/>
      <c r="K936" s="120" t="n"/>
      <c r="L936" s="120" t="n"/>
      <c r="M936" s="121" t="n"/>
      <c r="N936" s="118" t="n"/>
    </row>
    <row r="937" ht="15" customHeight="1" s="74">
      <c r="A937" s="118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20" t="n"/>
      <c r="K937" s="120" t="n"/>
      <c r="L937" s="120" t="n"/>
      <c r="M937" s="121" t="n"/>
      <c r="N937" s="118" t="n"/>
    </row>
    <row r="938" ht="15" customHeight="1" s="74">
      <c r="A938" s="118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20" t="n"/>
      <c r="K938" s="120" t="n"/>
      <c r="L938" s="120" t="n"/>
      <c r="M938" s="121" t="n"/>
      <c r="N938" s="118" t="n"/>
    </row>
    <row r="939" ht="15" customHeight="1" s="74">
      <c r="A939" s="118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20" t="n"/>
      <c r="K939" s="120" t="n"/>
      <c r="L939" s="120" t="n"/>
      <c r="M939" s="121" t="n"/>
      <c r="N939" s="118" t="n"/>
    </row>
    <row r="940" ht="15" customHeight="1" s="74">
      <c r="A940" s="118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20" t="n"/>
      <c r="K940" s="120" t="n"/>
      <c r="L940" s="120" t="n"/>
      <c r="M940" s="121" t="n"/>
      <c r="N940" s="118" t="n"/>
    </row>
    <row r="941" ht="15" customHeight="1" s="74">
      <c r="A941" s="118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20" t="n"/>
      <c r="K941" s="120" t="n"/>
      <c r="L941" s="120" t="n"/>
      <c r="M941" s="121" t="n"/>
      <c r="N941" s="118" t="n"/>
    </row>
    <row r="942" ht="15" customHeight="1" s="74">
      <c r="A942" s="118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20" t="n"/>
      <c r="K942" s="120" t="n"/>
      <c r="L942" s="120" t="n"/>
      <c r="M942" s="121" t="n"/>
      <c r="N942" s="118" t="n"/>
    </row>
    <row r="943" ht="15" customHeight="1" s="74">
      <c r="A943" s="118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20" t="n"/>
      <c r="K943" s="120" t="n"/>
      <c r="L943" s="120" t="n"/>
      <c r="M943" s="121" t="n"/>
      <c r="N943" s="118" t="n"/>
    </row>
    <row r="944" ht="15" customHeight="1" s="74">
      <c r="A944" s="118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20" t="n"/>
      <c r="K944" s="120" t="n"/>
      <c r="L944" s="120" t="n"/>
      <c r="M944" s="121" t="n"/>
      <c r="N944" s="118" t="n"/>
    </row>
    <row r="945" ht="15" customHeight="1" s="74">
      <c r="A945" s="118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20" t="n"/>
      <c r="K945" s="120" t="n"/>
      <c r="L945" s="120" t="n"/>
      <c r="M945" s="121" t="n"/>
      <c r="N945" s="118" t="n"/>
    </row>
    <row r="946" ht="15" customHeight="1" s="74">
      <c r="A946" s="118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20" t="n"/>
      <c r="K946" s="120" t="n"/>
      <c r="L946" s="120" t="n"/>
      <c r="M946" s="121" t="n"/>
      <c r="N946" s="118" t="n"/>
    </row>
    <row r="947" ht="15" customHeight="1" s="74">
      <c r="A947" s="118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20" t="n"/>
      <c r="K947" s="120" t="n"/>
      <c r="L947" s="120" t="n"/>
      <c r="M947" s="121" t="n"/>
      <c r="N947" s="118" t="n"/>
    </row>
    <row r="948" ht="15" customHeight="1" s="74">
      <c r="A948" s="118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20" t="n"/>
      <c r="K948" s="120" t="n"/>
      <c r="L948" s="120" t="n"/>
      <c r="M948" s="121" t="n"/>
      <c r="N948" s="118" t="n"/>
    </row>
    <row r="949" ht="15" customHeight="1" s="74">
      <c r="A949" s="118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20" t="n"/>
      <c r="K949" s="120" t="n"/>
      <c r="L949" s="120" t="n"/>
      <c r="M949" s="121" t="n"/>
      <c r="N949" s="118" t="n"/>
    </row>
    <row r="950" ht="15" customHeight="1" s="74">
      <c r="A950" s="118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20" t="n"/>
      <c r="K950" s="120" t="n"/>
      <c r="L950" s="120" t="n"/>
      <c r="M950" s="121" t="n"/>
      <c r="N950" s="118" t="n"/>
    </row>
    <row r="951" ht="15" customHeight="1" s="74">
      <c r="A951" s="118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20" t="n"/>
      <c r="K951" s="120" t="n"/>
      <c r="L951" s="120" t="n"/>
      <c r="M951" s="121" t="n"/>
      <c r="N951" s="118" t="n"/>
    </row>
    <row r="952" ht="15" customHeight="1" s="74">
      <c r="A952" s="118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20" t="n"/>
      <c r="K952" s="120" t="n"/>
      <c r="L952" s="120" t="n"/>
      <c r="M952" s="121" t="n"/>
      <c r="N952" s="118" t="n"/>
    </row>
    <row r="953" ht="15" customHeight="1" s="74">
      <c r="A953" s="118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20" t="n"/>
      <c r="K953" s="120" t="n"/>
      <c r="L953" s="120" t="n"/>
      <c r="M953" s="121" t="n"/>
      <c r="N953" s="118" t="n"/>
    </row>
    <row r="954" ht="15" customHeight="1" s="74">
      <c r="A954" s="118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20" t="n"/>
      <c r="K954" s="120" t="n"/>
      <c r="L954" s="120" t="n"/>
      <c r="M954" s="121" t="n"/>
      <c r="N954" s="118" t="n"/>
    </row>
    <row r="955" ht="15" customHeight="1" s="74">
      <c r="A955" s="118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20" t="n"/>
      <c r="K955" s="120" t="n"/>
      <c r="L955" s="120" t="n"/>
      <c r="M955" s="121" t="n"/>
      <c r="N955" s="118" t="n"/>
    </row>
    <row r="956" ht="15" customHeight="1" s="74">
      <c r="A956" s="118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20" t="n"/>
      <c r="K956" s="120" t="n"/>
      <c r="L956" s="120" t="n"/>
      <c r="M956" s="121" t="n"/>
      <c r="N956" s="118" t="n"/>
    </row>
    <row r="957" ht="15" customHeight="1" s="74">
      <c r="A957" s="118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20" t="n"/>
      <c r="K957" s="120" t="n"/>
      <c r="L957" s="120" t="n"/>
      <c r="M957" s="121" t="n"/>
      <c r="N957" s="118" t="n"/>
    </row>
    <row r="958" ht="15" customHeight="1" s="74">
      <c r="A958" s="118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20" t="n"/>
      <c r="K958" s="120" t="n"/>
      <c r="L958" s="120" t="n"/>
      <c r="M958" s="121" t="n"/>
      <c r="N958" s="118" t="n"/>
    </row>
    <row r="959" ht="15" customHeight="1" s="74">
      <c r="A959" s="118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20" t="n"/>
      <c r="K959" s="120" t="n"/>
      <c r="L959" s="120" t="n"/>
      <c r="M959" s="121" t="n"/>
      <c r="N959" s="118" t="n"/>
    </row>
    <row r="960" ht="15" customHeight="1" s="74">
      <c r="A960" s="118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20" t="n"/>
      <c r="K960" s="120" t="n"/>
      <c r="L960" s="120" t="n"/>
      <c r="M960" s="121" t="n"/>
      <c r="N960" s="118" t="n"/>
    </row>
    <row r="961" ht="15" customHeight="1" s="74">
      <c r="A961" s="118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20" t="n"/>
      <c r="K961" s="120" t="n"/>
      <c r="L961" s="120" t="n"/>
      <c r="M961" s="121" t="n"/>
      <c r="N961" s="118" t="n"/>
    </row>
    <row r="962" ht="15" customHeight="1" s="74">
      <c r="A962" s="118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20" t="n"/>
      <c r="K962" s="120" t="n"/>
      <c r="L962" s="120" t="n"/>
      <c r="M962" s="121" t="n"/>
      <c r="N962" s="118" t="n"/>
    </row>
    <row r="963" ht="15" customHeight="1" s="74">
      <c r="A963" s="118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20" t="n"/>
      <c r="K963" s="120" t="n"/>
      <c r="L963" s="120" t="n"/>
      <c r="M963" s="121" t="n"/>
      <c r="N963" s="118" t="n"/>
    </row>
    <row r="964" ht="15" customHeight="1" s="74">
      <c r="A964" s="118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20" t="n"/>
      <c r="K964" s="120" t="n"/>
      <c r="L964" s="120" t="n"/>
      <c r="M964" s="121" t="n"/>
      <c r="N964" s="118" t="n"/>
    </row>
    <row r="965" ht="15" customHeight="1" s="74">
      <c r="A965" s="118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20" t="n"/>
      <c r="K965" s="120" t="n"/>
      <c r="L965" s="120" t="n"/>
      <c r="M965" s="121" t="n"/>
      <c r="N965" s="118" t="n"/>
    </row>
    <row r="966" ht="15" customHeight="1" s="74">
      <c r="A966" s="118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20" t="n"/>
      <c r="K966" s="120" t="n"/>
      <c r="L966" s="120" t="n"/>
      <c r="M966" s="121" t="n"/>
      <c r="N966" s="118" t="n"/>
    </row>
    <row r="967" ht="15" customHeight="1" s="74">
      <c r="A967" s="118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20" t="n"/>
      <c r="K967" s="120" t="n"/>
      <c r="L967" s="120" t="n"/>
      <c r="M967" s="121" t="n"/>
      <c r="N967" s="118" t="n"/>
    </row>
    <row r="968" ht="15" customHeight="1" s="74">
      <c r="A968" s="118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20" t="n"/>
      <c r="K968" s="120" t="n"/>
      <c r="L968" s="120" t="n"/>
      <c r="M968" s="121" t="n"/>
      <c r="N968" s="118" t="n"/>
    </row>
    <row r="969" ht="15" customHeight="1" s="74">
      <c r="A969" s="118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20" t="n"/>
      <c r="K969" s="120" t="n"/>
      <c r="L969" s="120" t="n"/>
      <c r="M969" s="121" t="n"/>
      <c r="N969" s="118" t="n"/>
    </row>
    <row r="970" ht="15" customHeight="1" s="74">
      <c r="A970" s="118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20" t="n"/>
      <c r="K970" s="120" t="n"/>
      <c r="L970" s="120" t="n"/>
      <c r="M970" s="121" t="n"/>
      <c r="N970" s="118" t="n"/>
    </row>
    <row r="971" ht="15" customHeight="1" s="74">
      <c r="A971" s="118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20" t="n"/>
      <c r="K971" s="120" t="n"/>
      <c r="L971" s="120" t="n"/>
      <c r="M971" s="121" t="n"/>
      <c r="N971" s="118" t="n"/>
    </row>
    <row r="972" ht="15" customHeight="1" s="74">
      <c r="A972" s="118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20" t="n"/>
      <c r="K972" s="120" t="n"/>
      <c r="L972" s="120" t="n"/>
      <c r="M972" s="121" t="n"/>
      <c r="N972" s="118" t="n"/>
    </row>
    <row r="973" ht="15" customHeight="1" s="74">
      <c r="A973" s="118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20" t="n"/>
      <c r="K973" s="120" t="n"/>
      <c r="L973" s="120" t="n"/>
      <c r="M973" s="121" t="n"/>
      <c r="N973" s="118" t="n"/>
    </row>
    <row r="974" ht="15" customHeight="1" s="74">
      <c r="A974" s="118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20" t="n"/>
      <c r="K974" s="120" t="n"/>
      <c r="L974" s="120" t="n"/>
      <c r="M974" s="121" t="n"/>
      <c r="N974" s="118" t="n"/>
    </row>
    <row r="975" ht="15" customHeight="1" s="74">
      <c r="A975" s="118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20" t="n"/>
      <c r="K975" s="120" t="n"/>
      <c r="L975" s="120" t="n"/>
      <c r="M975" s="121" t="n"/>
      <c r="N975" s="118" t="n"/>
    </row>
    <row r="976" ht="15" customHeight="1" s="74">
      <c r="A976" s="118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20" t="n"/>
      <c r="K976" s="120" t="n"/>
      <c r="L976" s="120" t="n"/>
      <c r="M976" s="121" t="n"/>
      <c r="N976" s="118" t="n"/>
    </row>
    <row r="977" ht="15" customHeight="1" s="74">
      <c r="A977" s="118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20" t="n"/>
      <c r="K977" s="120" t="n"/>
      <c r="L977" s="120" t="n"/>
      <c r="M977" s="121" t="n"/>
      <c r="N977" s="118" t="n"/>
    </row>
    <row r="978" ht="15" customHeight="1" s="74">
      <c r="A978" s="118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20" t="n"/>
      <c r="K978" s="120" t="n"/>
      <c r="L978" s="120" t="n"/>
      <c r="M978" s="121" t="n"/>
      <c r="N978" s="118" t="n"/>
    </row>
    <row r="979" ht="15" customHeight="1" s="74">
      <c r="A979" s="118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20" t="n"/>
      <c r="K979" s="120" t="n"/>
      <c r="L979" s="120" t="n"/>
      <c r="M979" s="121" t="n"/>
      <c r="N979" s="118" t="n"/>
    </row>
    <row r="980" ht="15" customHeight="1" s="74">
      <c r="A980" s="118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20" t="n"/>
      <c r="K980" s="120" t="n"/>
      <c r="L980" s="120" t="n"/>
      <c r="M980" s="121" t="n"/>
      <c r="N980" s="118" t="n"/>
    </row>
    <row r="981" ht="15" customHeight="1" s="74">
      <c r="A981" s="118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20" t="n"/>
      <c r="K981" s="120" t="n"/>
      <c r="L981" s="120" t="n"/>
      <c r="M981" s="121" t="n"/>
      <c r="N981" s="118" t="n"/>
    </row>
    <row r="982" ht="15" customHeight="1" s="74">
      <c r="A982" s="118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20" t="n"/>
      <c r="K982" s="120" t="n"/>
      <c r="L982" s="120" t="n"/>
      <c r="M982" s="121" t="n"/>
      <c r="N982" s="118" t="n"/>
    </row>
    <row r="983" ht="15" customHeight="1" s="74">
      <c r="A983" s="118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20" t="n"/>
      <c r="K983" s="120" t="n"/>
      <c r="L983" s="120" t="n"/>
      <c r="M983" s="121" t="n"/>
      <c r="N983" s="118" t="n"/>
    </row>
    <row r="984" ht="15" customHeight="1" s="74">
      <c r="A984" s="118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20" t="n"/>
      <c r="K984" s="120" t="n"/>
      <c r="L984" s="120" t="n"/>
      <c r="M984" s="121" t="n"/>
      <c r="N984" s="118" t="n"/>
    </row>
    <row r="985" ht="15" customHeight="1" s="74">
      <c r="A985" s="118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20" t="n"/>
      <c r="K985" s="120" t="n"/>
      <c r="L985" s="120" t="n"/>
      <c r="M985" s="121" t="n"/>
      <c r="N985" s="118" t="n"/>
    </row>
    <row r="986" ht="15" customHeight="1" s="74">
      <c r="A986" s="118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20" t="n"/>
      <c r="K986" s="120" t="n"/>
      <c r="L986" s="120" t="n"/>
      <c r="M986" s="121" t="n"/>
      <c r="N986" s="118" t="n"/>
    </row>
    <row r="987" ht="15" customHeight="1" s="74">
      <c r="A987" s="118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20" t="n"/>
      <c r="K987" s="120" t="n"/>
      <c r="L987" s="120" t="n"/>
      <c r="M987" s="121" t="n"/>
      <c r="N987" s="118" t="n"/>
    </row>
    <row r="988" ht="15" customHeight="1" s="74">
      <c r="A988" s="118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20" t="n"/>
      <c r="K988" s="120" t="n"/>
      <c r="L988" s="120" t="n"/>
      <c r="M988" s="121" t="n"/>
      <c r="N988" s="118" t="n"/>
    </row>
    <row r="989" ht="15" customHeight="1" s="74">
      <c r="A989" s="118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20" t="n"/>
      <c r="K989" s="120" t="n"/>
      <c r="L989" s="120" t="n"/>
      <c r="M989" s="121" t="n"/>
      <c r="N989" s="118" t="n"/>
    </row>
    <row r="990" ht="15" customHeight="1" s="74">
      <c r="A990" s="118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20" t="n"/>
      <c r="K990" s="120" t="n"/>
      <c r="L990" s="120" t="n"/>
      <c r="M990" s="121" t="n"/>
      <c r="N990" s="118" t="n"/>
    </row>
    <row r="991" ht="15" customHeight="1" s="74">
      <c r="A991" s="118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20" t="n"/>
      <c r="K991" s="120" t="n"/>
      <c r="L991" s="120" t="n"/>
      <c r="M991" s="121" t="n"/>
      <c r="N991" s="118" t="n"/>
    </row>
    <row r="992" ht="15" customHeight="1" s="74">
      <c r="A992" s="118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20" t="n"/>
      <c r="K992" s="120" t="n"/>
      <c r="L992" s="120" t="n"/>
      <c r="M992" s="121" t="n"/>
      <c r="N992" s="118" t="n"/>
    </row>
    <row r="993" ht="15" customHeight="1" s="74">
      <c r="A993" s="118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20" t="n"/>
      <c r="K993" s="120" t="n"/>
      <c r="L993" s="120" t="n"/>
      <c r="M993" s="121" t="n"/>
      <c r="N993" s="118" t="n"/>
    </row>
    <row r="994" ht="15" customHeight="1" s="74">
      <c r="A994" s="118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20" t="n"/>
      <c r="K994" s="120" t="n"/>
      <c r="L994" s="120" t="n"/>
      <c r="M994" s="121" t="n"/>
      <c r="N994" s="118" t="n"/>
    </row>
    <row r="995" ht="15" customHeight="1" s="74">
      <c r="A995" s="118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20" t="n"/>
      <c r="K995" s="120" t="n"/>
      <c r="L995" s="120" t="n"/>
      <c r="M995" s="121" t="n"/>
      <c r="N995" s="118" t="n"/>
    </row>
    <row r="996" ht="15" customHeight="1" s="74">
      <c r="A996" s="118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20" t="n"/>
      <c r="K996" s="120" t="n"/>
      <c r="L996" s="120" t="n"/>
      <c r="M996" s="121" t="n"/>
      <c r="N996" s="118" t="n"/>
    </row>
    <row r="997" ht="15" customHeight="1" s="74">
      <c r="A997" s="118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20" t="n"/>
      <c r="K997" s="120" t="n"/>
      <c r="L997" s="120" t="n"/>
      <c r="M997" s="121" t="n"/>
      <c r="N997" s="118" t="n"/>
    </row>
    <row r="998" ht="15" customHeight="1" s="74">
      <c r="A998" s="118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20" t="n"/>
      <c r="K998" s="120" t="n"/>
      <c r="L998" s="120" t="n"/>
      <c r="M998" s="121" t="n"/>
      <c r="N998" s="118" t="n"/>
    </row>
    <row r="999" ht="15" customHeight="1" s="74">
      <c r="A999" s="118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20" t="n"/>
      <c r="K999" s="120" t="n"/>
      <c r="L999" s="120" t="n"/>
      <c r="M999" s="121" t="n"/>
      <c r="N999" s="118" t="n"/>
    </row>
    <row r="1000" ht="15" customHeight="1" s="74">
      <c r="A1000" s="118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20" t="n"/>
      <c r="K1000" s="120" t="n"/>
      <c r="L1000" s="120" t="n"/>
      <c r="M1000" s="121" t="n"/>
      <c r="N1000" s="118" t="n"/>
    </row>
    <row r="1001" ht="15" customHeight="1" s="74">
      <c r="A1001" s="118" t="n"/>
      <c r="B1001" s="119" t="n"/>
      <c r="C1001" s="119" t="n"/>
      <c r="D1001" s="119" t="n"/>
      <c r="E1001" s="119" t="n"/>
      <c r="F1001" s="119" t="n"/>
      <c r="G1001" s="119" t="n"/>
      <c r="H1001" s="119" t="n"/>
      <c r="I1001" s="119" t="n"/>
      <c r="J1001" s="120" t="n"/>
      <c r="K1001" s="120" t="n"/>
      <c r="L1001" s="120" t="n"/>
      <c r="M1001" s="121" t="n"/>
      <c r="N1001" s="118" t="n"/>
    </row>
    <row r="1002" ht="15" customHeight="1" s="74">
      <c r="A1002" s="118" t="n"/>
      <c r="B1002" s="119" t="n"/>
      <c r="C1002" s="119" t="n"/>
      <c r="D1002" s="119" t="n"/>
      <c r="E1002" s="119" t="n"/>
      <c r="F1002" s="119" t="n"/>
      <c r="G1002" s="119" t="n"/>
      <c r="H1002" s="119" t="n"/>
      <c r="I1002" s="119" t="n"/>
      <c r="J1002" s="120" t="n"/>
      <c r="K1002" s="120" t="n"/>
      <c r="L1002" s="120" t="n"/>
      <c r="M1002" s="121" t="n"/>
      <c r="N1002" s="118" t="n"/>
    </row>
    <row r="1003" ht="15" customHeight="1" s="74">
      <c r="A1003" s="118" t="n"/>
      <c r="B1003" s="119" t="n"/>
      <c r="C1003" s="119" t="n"/>
      <c r="D1003" s="119" t="n"/>
      <c r="E1003" s="119" t="n"/>
      <c r="F1003" s="119" t="n"/>
      <c r="G1003" s="119" t="n"/>
      <c r="H1003" s="119" t="n"/>
      <c r="I1003" s="119" t="n"/>
      <c r="J1003" s="120" t="n"/>
      <c r="K1003" s="120" t="n"/>
      <c r="L1003" s="120" t="n"/>
      <c r="M1003" s="121" t="n"/>
      <c r="N1003" s="118" t="n"/>
    </row>
    <row r="1004" ht="15" customHeight="1" s="74">
      <c r="A1004" s="118" t="n"/>
      <c r="B1004" s="118" t="n"/>
      <c r="C1004" s="118" t="n"/>
      <c r="D1004" s="118" t="n"/>
      <c r="E1004" s="118" t="n"/>
      <c r="F1004" s="118" t="n"/>
      <c r="G1004" s="118" t="n"/>
      <c r="H1004" s="118" t="n"/>
      <c r="I1004" s="118" t="n"/>
      <c r="N1004" s="118" t="n"/>
    </row>
    <row r="1006" ht="19.5" customHeight="1" s="74">
      <c r="A1006" s="12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8" text="" percent="0" bottom="0">
      <formula>0</formula>
    </cfRule>
    <cfRule type="cellIs" rank="0" priority="11" equalAverage="0" operator="greaterThan" aboveAverage="0" dxfId="9" text="" percent="0" bottom="0">
      <formula>0</formula>
    </cfRule>
  </conditionalFormatting>
  <conditionalFormatting sqref="K6:K1004">
    <cfRule type="cellIs" rank="0" priority="12" equalAverage="0" operator="lessThan" aboveAverage="0" dxfId="8" text="" percent="0" bottom="0">
      <formula>0</formula>
    </cfRule>
  </conditionalFormatting>
  <conditionalFormatting sqref="M6:M1004">
    <cfRule type="cellIs" rank="0" priority="13" equalAverage="0" operator="equal" aboveAverage="0" dxfId="7" text="" percent="0" bottom="0">
      <formula>80</formula>
    </cfRule>
    <cfRule type="cellIs" rank="0" priority="14" equalAverage="0" operator="equal" aboveAverage="0" dxfId="10" text="" percent="0" bottom="0">
      <formula>50</formula>
    </cfRule>
    <cfRule type="cellIs" rank="0" priority="15" equalAverage="0" operator="equal" aboveAverage="0" dxfId="9" text="" percent="0" bottom="0">
      <formula>20</formula>
    </cfRule>
  </conditionalFormatting>
  <dataValidations count="9">
    <dataValidation sqref="A6:A1004" showDropDown="0" showInputMessage="1" showErrorMessage="1" allowBlank="1" errorTitle="Geçersiz dönem" error="Dönem boş bırakılamaz." promptTitle="Dönem" prompt="Ay adını yazın (örnek: Ocak 2026)." type="textLength" errorStyle="stop" operator="greaterThan">
      <formula1>1</formula1>
      <formula2>0</formula2>
    </dataValidation>
    <dataValidation sqref="B6:B1004" showDropDown="0" showInputMessage="1" showErrorMessage="1" allowBlank="1" errorTitle="Geçersiz tutar" error="0 ile 1.000.000.000 ₺ arasında olmalı." promptTitle="Kasa Tahsilat (₺)" prompt="Pozitif tutar girin." type="decimal" errorStyle="stop" operator="between">
      <formula1>0</formula1>
      <formula2>1000000000</formula2>
    </dataValidation>
    <dataValidation sqref="C6:C1004" showDropDown="0" showInputMessage="1" showErrorMessage="1" allowBlank="1" errorTitle="Geçersiz tutar" error="0 ile 1.000.000.000 ₺ arasında olmalı." promptTitle="Banka Tahsilat (₺)" prompt="Pozitif tutar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Cari Tahsilat (₺)" prompt="Pozitif tutar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tutar" error="0 ile 1.000.000.000 ₺ arasında olmalı." promptTitle="POS Tahsilat (₺)" prompt="Pozitif tutar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tutar" error="0 ile 1.000.000.000 ₺ arasında olmalı." promptTitle="Stok Alışı (₺)" prompt="Pozitif tutar girin." type="decimal" errorStyle="stop" operator="between">
      <formula1>0</formula1>
      <formula2>1000000000</formula2>
    </dataValidation>
    <dataValidation sqref="G6:G1004" showDropDown="0" showInputMessage="1" showErrorMessage="1" allowBlank="1" errorTitle="Geçersiz tutar" error="0 ile 1.000.000.000 ₺ arasında olmalı." promptTitle="Operasyon Gideri (₺)" prompt="Pozitif tutar girin." type="decimal" errorStyle="stop" operator="between">
      <formula1>0</formula1>
      <formula2>1000000000</formula2>
    </dataValidation>
    <dataValidation sqref="H6:H1004" showDropDown="0" showInputMessage="1" showErrorMessage="1" allowBlank="1" errorTitle="Geçersiz tutar" error="0 ile 1.000.000.000 ₺ arasında olmalı." promptTitle="Maaş (₺)" prompt="Pozitif tutar girin." type="decimal" errorStyle="stop" operator="between">
      <formula1>0</formula1>
      <formula2>1000000000</formula2>
    </dataValidation>
    <dataValidation sqref="I6:I1004" showDropDown="0" showInputMessage="1" showErrorMessage="1" allowBlank="1" errorTitle="Geçersiz tutar" error="0 ile 1.000.000.000 ₺ arasında olmalı." promptTitle="Kredi Taksidi (₺)" prompt="Pozitif tutar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2"/>
  </cols>
  <sheetData>
    <row r="1" ht="25.5" customHeight="1" s="74">
      <c r="A1" s="101" t="inlineStr">
        <is>
          <t>HESAP — KOBİ Finans Yönetim Paketi</t>
        </is>
      </c>
    </row>
    <row r="3" ht="15.75" customHeight="1" s="74">
      <c r="A3" s="108" t="inlineStr">
        <is>
          <t>Konsolide Nakit Modeli</t>
        </is>
      </c>
    </row>
    <row r="4" ht="27.75" customHeight="1" s="74">
      <c r="A4" s="103" t="inlineStr">
        <is>
          <t>Aşağıdaki özet aylık verilerden otomatik beslenir; elle değiştirilmez.</t>
        </is>
      </c>
    </row>
    <row r="6" ht="15" customHeight="1" s="74">
      <c r="A6" s="106" t="inlineStr">
        <is>
          <t>Toplam Kasa Tahsilat</t>
        </is>
      </c>
      <c r="B6" s="123">
        <f>SUM(tblKobi[Kasa Tahsilat (₺)])</f>
        <v/>
      </c>
    </row>
    <row r="7" ht="15" customHeight="1" s="74">
      <c r="A7" s="106" t="inlineStr">
        <is>
          <t>Toplam Banka Tahsilat</t>
        </is>
      </c>
      <c r="B7" s="123">
        <f>SUM(tblKobi[Banka Tahsilat (₺)])</f>
        <v/>
      </c>
    </row>
    <row r="8" ht="15" customHeight="1" s="74">
      <c r="A8" s="106" t="inlineStr">
        <is>
          <t>Toplam Cari Tahsilat</t>
        </is>
      </c>
      <c r="B8" s="123">
        <f>SUM(tblKobi[Cari Tahsilat (₺)])</f>
        <v/>
      </c>
    </row>
    <row r="9" ht="15" customHeight="1" s="74">
      <c r="A9" s="106" t="inlineStr">
        <is>
          <t>Toplam POS Tahsilat</t>
        </is>
      </c>
      <c r="B9" s="123">
        <f>SUM(tblKobi[POS Tahsilat (₺)])</f>
        <v/>
      </c>
    </row>
    <row r="10" ht="15" customHeight="1" s="74">
      <c r="A10" s="106" t="inlineStr">
        <is>
          <t>Toplam Nakit Giriş</t>
        </is>
      </c>
      <c r="B10" s="123">
        <f>SUM(tblKobi[Kasa Tahsilat (₺)])+SUM(tblKobi[Banka Tahsilat (₺)])+SUM(tblKobi[Cari Tahsilat (₺)])+SUM(tblKobi[POS Tahsilat (₺)])</f>
        <v/>
      </c>
    </row>
    <row r="11" ht="15" customHeight="1" s="74">
      <c r="A11" s="106" t="inlineStr">
        <is>
          <t>Toplam Stok Alışı</t>
        </is>
      </c>
      <c r="B11" s="123">
        <f>SUM(tblKobi[Stok Alışı (₺)])</f>
        <v/>
      </c>
    </row>
    <row r="12" ht="15" customHeight="1" s="74">
      <c r="A12" s="106" t="inlineStr">
        <is>
          <t>Toplam Operasyon Gideri</t>
        </is>
      </c>
      <c r="B12" s="123">
        <f>SUM(tblKobi[Operasyon Gideri (₺)])</f>
        <v/>
      </c>
    </row>
    <row r="13" ht="15" customHeight="1" s="74">
      <c r="A13" s="106" t="inlineStr">
        <is>
          <t>Toplam Maaş</t>
        </is>
      </c>
      <c r="B13" s="123">
        <f>SUM(tblKobi[Maaş (₺)])</f>
        <v/>
      </c>
    </row>
    <row r="14" ht="15" customHeight="1" s="74">
      <c r="A14" s="106" t="inlineStr">
        <is>
          <t>Toplam Kredi Taksidi</t>
        </is>
      </c>
      <c r="B14" s="123">
        <f>SUM(tblKobi[Kredi Taksidi (₺)])</f>
        <v/>
      </c>
    </row>
    <row r="15" ht="15" customHeight="1" s="74">
      <c r="A15" s="106" t="inlineStr">
        <is>
          <t>Toplam Nakit Çıkış</t>
        </is>
      </c>
      <c r="B15" s="123">
        <f>SUM(tblKobi[Stok Alışı (₺)])+SUM(tblKobi[Operasyon Gideri (₺)])+SUM(tblKobi[Maaş (₺)])+SUM(tblKobi[Kredi Taksidi (₺)])</f>
        <v/>
      </c>
    </row>
    <row r="16" ht="15" customHeight="1" s="74">
      <c r="A16" s="106" t="inlineStr">
        <is>
          <t>Toplam Net Nakit Değişimi</t>
        </is>
      </c>
      <c r="B16" s="123">
        <f>SUM(tblKobi[Net Nakit Değişimi (₺)])</f>
        <v/>
      </c>
    </row>
    <row r="17" ht="15" customHeight="1" s="74">
      <c r="A17" s="106" t="inlineStr">
        <is>
          <t>Dönem Sonu Kapanış Nakit</t>
        </is>
      </c>
      <c r="B17" s="123">
        <f>KobiBaslangicNakit+B16</f>
        <v/>
      </c>
    </row>
    <row r="18" ht="15" customHeight="1" s="74">
      <c r="A18" s="106" t="inlineStr">
        <is>
          <t>Toplam Tahmini Kâr</t>
        </is>
      </c>
      <c r="B18" s="123">
        <f>SUM(tblKobi[Tahmini Kâr (₺)])</f>
        <v/>
      </c>
    </row>
    <row r="19" ht="15" customHeight="1" s="74">
      <c r="A19" s="106" t="inlineStr">
        <is>
          <t>Ortalama Risk Skoru</t>
        </is>
      </c>
      <c r="B19" s="124">
        <f>ROUND(IFERROR(AVERAGE(tblKobi[Risk Skoru]),0),0)</f>
        <v/>
      </c>
    </row>
    <row r="20" ht="15" customHeight="1" s="74">
      <c r="A20" s="106" t="inlineStr">
        <is>
          <t>En Düşük Kapanışlı Ay</t>
        </is>
      </c>
      <c r="B20" s="125">
        <f>IFERROR(INDEX(tblKobi[Dönem],MATCH(MIN(tblKobi[Kapanış Nakit (₺)]),tblKobi[Kapanış Nakit (₺)],0)),"YOK")</f>
        <v/>
      </c>
    </row>
    <row r="21" ht="15" customHeight="1" s="74">
      <c r="A21" s="106" t="inlineStr">
        <is>
          <t>Negatif Kapanış Ay Sayısı</t>
        </is>
      </c>
      <c r="B21" s="124">
        <f>COUNTIF(tblKobi[Kapanış Nakit (₺)],"&lt;0")</f>
        <v/>
      </c>
    </row>
    <row r="22" ht="15" customHeight="1" s="74">
      <c r="A22" s="106" t="inlineStr">
        <is>
          <t>Aylık Ortalama Nakit Giriş</t>
        </is>
      </c>
      <c r="B22" s="123">
        <f>IFERROR(B10/COUNTA(tblKobi[Dönem]),0)</f>
        <v/>
      </c>
    </row>
    <row r="23" ht="15" customHeight="1" s="74">
      <c r="A23" s="106" t="inlineStr">
        <is>
          <t>Aylık Ortalama Nakit Çıkış</t>
        </is>
      </c>
      <c r="B23" s="123">
        <f>IFERROR(B15/COUNTA(tblKobi[Dönem]),0)</f>
        <v/>
      </c>
    </row>
    <row r="24" ht="15" customHeight="1" s="74">
      <c r="A24" s="106" t="inlineStr">
        <is>
          <t>Ortalama Kapanış Nakit</t>
        </is>
      </c>
      <c r="B24" s="123">
        <f>IFERROR(AVERAGE(tblKobi[Kapanış Nakit (₺)]),0)</f>
        <v/>
      </c>
    </row>
    <row r="25" ht="15" customHeight="1" s="74">
      <c r="A25" s="106" t="inlineStr">
        <is>
          <t>En Yüksek Kapanış Nakit</t>
        </is>
      </c>
      <c r="B25" s="123">
        <f>IFERROR(MAX(tblKobi[Kapanış Nakit (₺)]),0)</f>
        <v/>
      </c>
    </row>
    <row r="26" ht="15" customHeight="1" s="74">
      <c r="A26" s="106" t="inlineStr">
        <is>
          <t>En Düşük Kapanış Nakit</t>
        </is>
      </c>
      <c r="B26" s="123">
        <f>IFERROR(MIN(tblKobi[Kapanış Nakit (₺)]),0)</f>
        <v/>
      </c>
    </row>
    <row r="27" ht="15" customHeight="1" s="74">
      <c r="A27" s="106" t="inlineStr">
        <is>
          <t>Kasa ve Banka Tahsilat Payı</t>
        </is>
      </c>
      <c r="B27" s="126">
        <f>IFERROR((B6+B7)/B10,0)</f>
        <v/>
      </c>
    </row>
    <row r="28" ht="15" customHeight="1" s="74">
      <c r="A28" s="106" t="inlineStr">
        <is>
          <t>Cari ve POS Tahsilat Payı</t>
        </is>
      </c>
      <c r="B28" s="126">
        <f>IFERROR((B8+B9)/B10,0)</f>
        <v/>
      </c>
    </row>
    <row r="29" ht="15" customHeight="1" s="74">
      <c r="A29" s="106" t="inlineStr">
        <is>
          <t>Giderin Gelire Oranı</t>
        </is>
      </c>
      <c r="B29" s="126">
        <f>IFERROR(B15/B10,0)</f>
        <v/>
      </c>
    </row>
    <row r="30" ht="15" customHeight="1" s="74">
      <c r="A30" s="106" t="inlineStr">
        <is>
          <t>Maaş Yükü Oranı</t>
        </is>
      </c>
      <c r="B30" s="126">
        <f>IFERROR(B13/B15,0)</f>
        <v/>
      </c>
    </row>
    <row r="31" ht="15" customHeight="1" s="74">
      <c r="A31" s="106" t="inlineStr">
        <is>
          <t>Stok Yükü Oranı</t>
        </is>
      </c>
      <c r="B31" s="126">
        <f>IFERROR(B11/B15,0)</f>
        <v/>
      </c>
    </row>
    <row r="32" ht="15" customHeight="1" s="74">
      <c r="A32" s="106" t="inlineStr">
        <is>
          <t>Kredi Yükü Oranı</t>
        </is>
      </c>
      <c r="B32" s="126">
        <f>IFERROR(B14/B15,0)</f>
        <v/>
      </c>
    </row>
    <row r="33" ht="15" customHeight="1" s="74">
      <c r="A33" s="106" t="inlineStr">
        <is>
          <t>Tahmini Kâr Marjı</t>
        </is>
      </c>
      <c r="B33" s="126">
        <f>IFERROR(B18/B10,0)</f>
        <v/>
      </c>
    </row>
    <row r="34" ht="15" customHeight="1" s="74">
      <c r="A34" s="106" t="inlineStr">
        <is>
          <t>Kapanış Sapması (STDEV)</t>
        </is>
      </c>
      <c r="B34" s="123">
        <f>IFERROR(stdev.p(tblKobi[Kapanış Nakit (₺)]),0)</f>
        <v/>
      </c>
    </row>
    <row r="35" ht="15" customHeight="1" s="74">
      <c r="A35" s="106" t="inlineStr">
        <is>
          <t>Tahmin Alt Sınırı</t>
        </is>
      </c>
      <c r="B35" s="123">
        <f>IFERROR(B24-B34*KobiTahminCarpan,0)</f>
        <v/>
      </c>
    </row>
    <row r="36" ht="15" customHeight="1" s="74">
      <c r="A36" s="106" t="inlineStr">
        <is>
          <t>Tahmin Üst Sınırı</t>
        </is>
      </c>
      <c r="B36" s="123">
        <f>IFERROR(B24+B34*KobiTahminCarpan,0)</f>
        <v/>
      </c>
    </row>
    <row r="37" ht="15" customHeight="1" s="74">
      <c r="A37" s="106" t="inlineStr">
        <is>
          <t>Riski Yüksek Ay Sayısı</t>
        </is>
      </c>
      <c r="B37" s="124">
        <f>COUNTIF(tblKobi[Risk Skoru],"&gt;="&amp;KobiRiskSkorYuksek)</f>
        <v/>
      </c>
    </row>
    <row r="38" ht="15" customHeight="1" s="74">
      <c r="A38" s="106" t="inlineStr">
        <is>
          <t>Toplam Dönem Sayısı</t>
        </is>
      </c>
      <c r="B38" s="124">
        <f>COUNTA(tblKobi[Dönem])</f>
        <v/>
      </c>
    </row>
    <row r="39" ht="15" customHeight="1" s="74">
      <c r="A39" s="106" t="inlineStr">
        <is>
          <t>Nakit Tamponu (gün)</t>
        </is>
      </c>
      <c r="B39" s="124">
        <f>IFERROR(ROUND(B24/(B23/30),0),0)</f>
        <v/>
      </c>
    </row>
    <row r="40" ht="15" customHeight="1" s="74">
      <c r="A40" s="106" t="inlineStr">
        <is>
          <t>Nakit Akış Oranı</t>
        </is>
      </c>
      <c r="B40" s="126">
        <f>IFERROR(B10/B15,0)</f>
        <v/>
      </c>
    </row>
    <row r="41" ht="15" customHeight="1" s="74">
      <c r="A41" s="106" t="inlineStr">
        <is>
          <t>En İyi Net Değişim Ayı</t>
        </is>
      </c>
      <c r="B41" s="125">
        <f>IFERROR(INDEX(tblKobi[Dönem],MATCH(MAX(tblKobi[Net Nakit Değişimi (₺)]),tblKobi[Net Nakit Değişimi (₺)],0)),"YOK")</f>
        <v/>
      </c>
    </row>
    <row r="42" ht="15" customHeight="1" s="74">
      <c r="A42" s="106" t="inlineStr">
        <is>
          <t>En Zayıf Net Değişim Ayı</t>
        </is>
      </c>
      <c r="B42" s="125">
        <f>IFERROR(INDEX(tblKobi[Dönem],MATCH(MIN(tblKobi[Net Nakit Değişimi (₺)]),tblKobi[Net Nakit Değişimi (₺)],0)),"YOK")</f>
        <v/>
      </c>
    </row>
    <row r="43" ht="15" customHeight="1" s="74">
      <c r="A43" s="106" t="inlineStr">
        <is>
          <t>Ortalama Kasa Tahsilat</t>
        </is>
      </c>
      <c r="B43" s="123">
        <f>IFERROR(AVERAGE(tblKobi[Kasa Tahsilat (₺)]),0)</f>
        <v/>
      </c>
    </row>
    <row r="44" ht="15" customHeight="1" s="74">
      <c r="A44" s="106" t="inlineStr">
        <is>
          <t>Ortalama Banka Tahsilat</t>
        </is>
      </c>
      <c r="B44" s="123">
        <f>IFERROR(AVERAGE(tblKobi[Banka Tahsilat (₺)]),0)</f>
        <v/>
      </c>
    </row>
    <row r="45" ht="15" customHeight="1" s="74">
      <c r="A45" s="106" t="inlineStr">
        <is>
          <t>Ortalama Cari Tahsilat</t>
        </is>
      </c>
      <c r="B45" s="123">
        <f>IFERROR(AVERAGE(tblKobi[Cari Tahsilat (₺)]),0)</f>
        <v/>
      </c>
    </row>
    <row r="46" ht="15" customHeight="1" s="74">
      <c r="A46" s="106" t="inlineStr">
        <is>
          <t>Ortalama POS Tahsilat</t>
        </is>
      </c>
      <c r="B46" s="123">
        <f>IFERROR(AVERAGE(tblKobi[POS Tahsilat (₺)]),0)</f>
        <v/>
      </c>
    </row>
    <row r="48" ht="19.5" customHeight="1" s="74">
      <c r="A48" s="122" t="inlineStr">
        <is>
          <t>Gösterge satırları yalnızca aylık verilerden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48:AN48"/>
  </mergeCells>
  <conditionalFormatting sqref="B6:B21">
    <cfRule type="cellIs" rank="0" priority="2" equalAverage="0" operator="lessThan" aboveAverage="0" dxfId="7" text="" percent="0" bottom="0">
      <formula>0</formula>
    </cfRule>
  </conditionalFormatting>
  <conditionalFormatting sqref="B19">
    <cfRule type="cellIs" rank="0" priority="3" equalAverage="0" operator="greaterThan" aboveAverage="0" dxfId="10" text="" percent="0" bottom="0">
      <formula>50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16">
    <cfRule type="cellIs" rank="0" priority="5" equalAverage="0" operator="lessThan" aboveAverage="0" dxfId="7" text="" percent="0" bottom="0">
      <formula>0</formula>
    </cfRule>
  </conditionalFormatting>
  <conditionalFormatting sqref="B18">
    <cfRule type="cellIs" rank="0" priority="6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0" min="1" max="1"/>
    <col width="30" customWidth="1" style="100" min="2" max="2"/>
    <col width="52" customWidth="1" style="100" min="3" max="3"/>
    <col width="72" customWidth="1" style="100" min="4" max="4"/>
  </cols>
  <sheetData>
    <row r="1" ht="25.5" customHeight="1" s="74">
      <c r="A1" s="101" t="inlineStr">
        <is>
          <t>ANALITIK MOTOR — KOBİ Finans Yönetim Paketi</t>
        </is>
      </c>
    </row>
    <row r="3" ht="15" customHeight="1" s="74">
      <c r="A3" s="104" t="inlineStr">
        <is>
          <t>ANALİTİK MOTOR — DERİNLİK KATMANI</t>
        </is>
      </c>
    </row>
    <row r="5" ht="30" customHeight="1" s="74">
      <c r="A5" s="113" t="inlineStr">
        <is>
          <t>Kod</t>
        </is>
      </c>
      <c r="B5" s="113" t="inlineStr">
        <is>
          <t>Gösterge</t>
        </is>
      </c>
      <c r="C5" s="113" t="inlineStr">
        <is>
          <t>Değer</t>
        </is>
      </c>
      <c r="D5" s="113" t="inlineStr">
        <is>
          <t>Makine Yorumu</t>
        </is>
      </c>
    </row>
    <row r="6" ht="30" customHeight="1" s="74">
      <c r="A6" s="127" t="inlineStr">
        <is>
          <t>T2</t>
        </is>
      </c>
      <c r="B6" s="128" t="inlineStr">
        <is>
          <t>Aylık Ortalama Nakit Giriş</t>
        </is>
      </c>
      <c r="C6" s="123">
        <f>HESAP!B22</f>
        <v/>
      </c>
      <c r="D6" s="129">
        <f>_xlfn.TEXTJOIN("; ",TRUE(),"Aylık ortalama nakit giriş ",TEXT(C6,"₺ #,##0")," TL — eğilim bu seviyede seyrediyor")</f>
        <v/>
      </c>
    </row>
    <row r="7" ht="30" customHeight="1" s="74">
      <c r="A7" s="127" t="inlineStr">
        <is>
          <t>T4</t>
        </is>
      </c>
      <c r="B7" s="128" t="inlineStr">
        <is>
          <t>İlk-Son Ay Kapanış Farkı</t>
        </is>
      </c>
      <c r="C7" s="125">
        <f>IFERROR(INDEX(tblKobi[Kapanış Nakit (₺)],COUNTA(tblKobi[Dönem]))-INDEX(tblKobi[Kapanış Nakit (₺)],1),0)</f>
        <v/>
      </c>
      <c r="D7" s="129">
        <f>_xlfn.TEXTJOIN("; ",TRUE(),"İlk ile son ay kapanış farkı ",TEXT(C7,"₺ #,##0")," TL — artış nakit gücünü gösterir")</f>
        <v/>
      </c>
    </row>
    <row r="8" ht="30" customHeight="1" s="74">
      <c r="A8" s="127" t="inlineStr">
        <is>
          <t>O1</t>
        </is>
      </c>
      <c r="B8" s="128" t="inlineStr">
        <is>
          <t>Kapanış Sapması (STDEV)</t>
        </is>
      </c>
      <c r="C8" s="123">
        <f>HESAP!B34</f>
        <v/>
      </c>
      <c r="D8" s="129">
        <f>_xlfn.TEXTJOIN("; ",TRUE(),"Kapanış sapması ",TEXT(C8,"₺ #,##0")," TL — sapma yüksekse nakit öngörülemezdir")</f>
        <v/>
      </c>
    </row>
    <row r="9" ht="30" customHeight="1" s="74">
      <c r="A9" s="127" t="inlineStr">
        <is>
          <t>O2</t>
        </is>
      </c>
      <c r="B9" s="128" t="inlineStr">
        <is>
          <t>Tornado: En Büyük Etki</t>
        </is>
      </c>
      <c r="C9" s="125">
        <f>MAX(SENARYO_DUYARLILIK!B12:B13)</f>
        <v/>
      </c>
      <c r="D9" s="129">
        <f>_xlfn.TEXTJOIN("; ",TRUE(),"Kapanışı en çok etkileyen değişkenin etkisi ",TEXT(C9,"₺ #,##0")," TL — öncelik bu değişkenin izlenmesinde")</f>
        <v/>
      </c>
    </row>
    <row r="10" ht="30" customHeight="1" s="74">
      <c r="A10" s="127" t="inlineStr">
        <is>
          <t>O3</t>
        </is>
      </c>
      <c r="B10" s="128" t="inlineStr">
        <is>
          <t>Senaryo Bant Genişliği</t>
        </is>
      </c>
      <c r="C10" s="125">
        <f>SENARYO_DUYARLILIK!C7-SENARYO_DUYARLILIK!C9</f>
        <v/>
      </c>
      <c r="D10" s="129">
        <f>_xlfn.TEXTJOIN("; ",TRUE(),"İyimser ile kötümser senaryo kapanış farkı ",TEXT(C10,"₺ #,##0")," TL — belirsizlik aralığını gösterir")</f>
        <v/>
      </c>
    </row>
    <row r="11" ht="30" customHeight="1" s="74">
      <c r="A11" s="127" t="inlineStr">
        <is>
          <t>O4</t>
        </is>
      </c>
      <c r="B11" s="128" t="inlineStr">
        <is>
          <t>Nakit Akış Oranı</t>
        </is>
      </c>
      <c r="C11" s="126">
        <f>HESAP!B40</f>
        <v/>
      </c>
      <c r="D11" s="129">
        <f>_xlfn.TEXTJOIN("; ",TRUE(),"Nakit akış oranı ",TEXT(C11,"0.00")," — oran 1 in altına düşerse gider girişi aşıyor demektir")</f>
        <v/>
      </c>
    </row>
    <row r="12" ht="30" customHeight="1" s="74">
      <c r="A12" s="127" t="inlineStr">
        <is>
          <t>O8</t>
        </is>
      </c>
      <c r="B12" s="128" t="inlineStr">
        <is>
          <t>Veri Kalite Skoru</t>
        </is>
      </c>
      <c r="C12" s="124">
        <f>KONTROLLER!B19</f>
        <v/>
      </c>
      <c r="D12" s="129">
        <f>_xlfn.TEXTJOIN("; ",TRUE(),"Veri kalite skoru ",TEXT(C12,"0")," puan — ",IF(C12&gt;=KobiKaliteIyi,"yüksek güven","veri girişi tamamlanmalı"))</f>
        <v/>
      </c>
    </row>
    <row r="13" ht="30" customHeight="1" s="74">
      <c r="A13" s="127" t="inlineStr">
        <is>
          <t>I1</t>
        </is>
      </c>
      <c r="B13" s="128" t="inlineStr">
        <is>
          <t>Gelecek Ay Nakit Tahmini</t>
        </is>
      </c>
      <c r="C13" s="123">
        <f>PANO!B30</f>
        <v/>
      </c>
      <c r="D13" s="129">
        <f>_xlfn.TEXTJOIN("; ",TRUE(),"Gelecek ay nakit tahmini ",TEXT(C13,"₺ #,##0")," TL — güven bandı için alt/üst sınır HESAP sayfasındadır")</f>
        <v/>
      </c>
    </row>
    <row r="14" ht="30" customHeight="1" s="74">
      <c r="A14" s="127" t="inlineStr">
        <is>
          <t>I2</t>
        </is>
      </c>
      <c r="B14" s="128" t="inlineStr">
        <is>
          <t>Kapanış Yüzdelik P90</t>
        </is>
      </c>
      <c r="C14" s="125">
        <f>_xlfn.PERCENTILE.INC(tblKobi[Kapanış Nakit (₺)],KobiP90Oran)</f>
        <v/>
      </c>
      <c r="D14" s="129">
        <f>_xlfn.TEXTJOIN("; ",TRUE(),"Kapanışların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55" customWidth="1" style="100" min="2" max="2"/>
  </cols>
  <sheetData>
    <row r="1" ht="25.5" customHeight="1" s="74">
      <c r="A1" s="101" t="inlineStr">
        <is>
          <t>KONTROLLER — KOBİ Finans Yönetim Paketi</t>
        </is>
      </c>
    </row>
    <row r="3" ht="15.75" customHeight="1" s="74">
      <c r="A3" s="108" t="inlineStr">
        <is>
          <t>Giriş Kalite Kontrolleri</t>
        </is>
      </c>
    </row>
    <row r="4" ht="27.75" customHeight="1" s="74">
      <c r="A4" s="103" t="inlineStr">
        <is>
          <t>Aşağıdaki kontroller canlı formüllerle çalışır; sorun varsa uyarı üretir.</t>
        </is>
      </c>
    </row>
    <row r="6" ht="15" customHeight="1" s="74">
      <c r="A6" s="106" t="inlineStr">
        <is>
          <t>Boş dönem satırı var mı?</t>
        </is>
      </c>
      <c r="B6" s="125">
        <f>IF(COUNTBLANK(tblKobi[Dönem])=0,"TEMİZ","BOŞ VAR")</f>
        <v/>
      </c>
    </row>
    <row r="7" ht="15" customHeight="1" s="74">
      <c r="A7" s="106" t="inlineStr">
        <is>
          <t>Boş kasa tahsilat var mı?</t>
        </is>
      </c>
      <c r="B7" s="125">
        <f>IF(COUNTBLANK(tblKobi[Kasa Tahsilat (₺)])=0,"TEMİZ","BOŞ VAR")</f>
        <v/>
      </c>
    </row>
    <row r="8" ht="15" customHeight="1" s="74">
      <c r="A8" s="106" t="inlineStr">
        <is>
          <t>Negatif tahsilat var mı?</t>
        </is>
      </c>
      <c r="B8" s="125">
        <f>IF(COUNTIF(tblKobi[Kasa Tahsilat (₺)],"&lt;0")=0,"TEMİZ","NEGATİF VAR")</f>
        <v/>
      </c>
    </row>
    <row r="9" ht="15" customHeight="1" s="74">
      <c r="A9" s="106" t="inlineStr">
        <is>
          <t>Negatif gider var mı?</t>
        </is>
      </c>
      <c r="B9" s="125">
        <f>IF(COUNTIF(tblKobi[Operasyon Gideri (₺)],"&lt;0")=0,"TEMİZ","NEGATİF VAR")</f>
        <v/>
      </c>
    </row>
    <row r="10" ht="15" customHeight="1" s="74">
      <c r="A10" s="106" t="inlineStr">
        <is>
          <t>Negatif kapanış ayı var mı?</t>
        </is>
      </c>
      <c r="B10" s="125">
        <f>IF(COUNTIF(tblKobi[Kapanış Nakit (₺)],"&lt;0")=0,"YOK","VAR")</f>
        <v/>
      </c>
    </row>
    <row r="11" ht="15" customHeight="1" s="74">
      <c r="A11" s="106" t="inlineStr">
        <is>
          <t>Risk skoru eşiği aşılıyor mu?</t>
        </is>
      </c>
      <c r="B11" s="125">
        <f>IF(HESAP!B19&gt;KobiRiskEsik,"AŞIYOR","NORMAL")</f>
        <v/>
      </c>
    </row>
    <row r="12" ht="15" customHeight="1" s="74">
      <c r="A12" s="106" t="inlineStr">
        <is>
          <t>Net nakit değişimi pozitif mi?</t>
        </is>
      </c>
      <c r="B12" s="125">
        <f>IF(HESAP!B16&lt;=0,"NEGATİF/SIFIR","POZİTİF")</f>
        <v/>
      </c>
    </row>
    <row r="13" ht="15" customHeight="1" s="74">
      <c r="A13" s="106" t="inlineStr">
        <is>
          <t>Kâr tahmini negatif mi?</t>
        </is>
      </c>
      <c r="B13" s="125">
        <f>IF(HESAP!B18&lt;0,"NEGATİF","POZİTİF")</f>
        <v/>
      </c>
    </row>
    <row r="15" ht="15" customHeight="1" s="74">
      <c r="A15" s="104" t="inlineStr">
        <is>
          <t>Veri Kalitesi Skoru (0-100)</t>
        </is>
      </c>
    </row>
    <row r="16" ht="27.75" customHeight="1" s="74">
      <c r="A16" s="103" t="inlineStr">
        <is>
          <t>Boş ve negatif girişlerin oranına göre üretilen kalite skoru.</t>
        </is>
      </c>
    </row>
    <row r="17" ht="15" customHeight="1" s="74">
      <c r="A17" s="106" t="inlineStr">
        <is>
          <t>Toplam Giriş Hücresi</t>
        </is>
      </c>
      <c r="B17" s="124">
        <f>COUNTA(tblKobi[Dönem])*COUNTA(tblKobi[#Headers])</f>
        <v/>
      </c>
    </row>
    <row r="18" ht="15" customHeight="1" s="74">
      <c r="A18" s="106" t="inlineStr">
        <is>
          <t>Dolu Giriş Hücresi</t>
        </is>
      </c>
      <c r="B18" s="124">
        <f>COUNTA(tblKobi[#Data])</f>
        <v/>
      </c>
    </row>
    <row r="19" ht="15" customHeight="1" s="74">
      <c r="A19" s="130" t="inlineStr">
        <is>
          <t>Kalite Skoru</t>
        </is>
      </c>
      <c r="B19" s="131">
        <f>ROUND(IF(KobiToplamGiris=0,0,KobiDoluGiris/KobiToplamGiris*100),0)</f>
        <v/>
      </c>
    </row>
    <row r="20" ht="15" customHeight="1" s="74">
      <c r="A20" s="106" t="inlineStr">
        <is>
          <t>Kalite Seviyesi</t>
        </is>
      </c>
      <c r="B20" s="125">
        <f>IF(B19&gt;=KobiKaliteIyi,"YÜKSEK",IF(B19&gt;=KobiKaliteOrta,"ORTA","DÜŞÜK"))</f>
        <v/>
      </c>
    </row>
    <row r="22" ht="19.5" customHeight="1" s="74">
      <c r="A22" s="12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8" text="" percent="0" bottom="0">
      <formula>"BOŞ VAR"</formula>
    </cfRule>
    <cfRule type="cellIs" rank="0" priority="3" equalAverage="0" operator="equal" aboveAverage="0" dxfId="8" text="" percent="0" bottom="0">
      <formula>"NEGATİF VAR"</formula>
    </cfRule>
    <cfRule type="cellIs" rank="0" priority="4" equalAverage="0" operator="equal" aboveAverage="0" dxfId="8" text="" percent="0" bottom="0">
      <formula>"AŞIYOR"</formula>
    </cfRule>
    <cfRule type="cellIs" rank="0" priority="5" equalAverage="0" operator="equal" aboveAverage="0" dxfId="8" text="" percent="0" bottom="0">
      <formula>"VAR"</formula>
    </cfRule>
    <cfRule type="cellIs" rank="0" priority="6" equalAverage="0" operator="equal" aboveAverage="0" dxfId="8" text="" percent="0" bottom="0">
      <formula>"NEGATİF"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"YOK"</formula>
    </cfRule>
    <cfRule type="cellIs" rank="0" priority="10" equalAverage="0" operator="equal" aboveAverage="0" dxfId="9" text="" percent="0" bottom="0">
      <formula>"POZİTİF"</formula>
    </cfRule>
  </conditionalFormatting>
  <conditionalFormatting sqref="B19">
    <cfRule type="cellIs" rank="0" priority="11" equalAverage="0" operator="lessThan" aboveAverage="0" dxfId="7" text="" percent="0" bottom="0">
      <formula>70</formula>
    </cfRule>
    <cfRule type="cellIs" rank="0" priority="12" equalAverage="0" operator="between" aboveAverage="0" dxfId="10" text="" percent="0" bottom="0">
      <formula>70</formula>
      <formula>90</formula>
    </cfRule>
    <cfRule type="cellIs" rank="0" priority="13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60" customWidth="1" style="100" min="2" max="2"/>
  </cols>
  <sheetData>
    <row r="1" ht="25.5" customHeight="1" s="74">
      <c r="A1" s="101" t="inlineStr">
        <is>
          <t>KARAR — KOBİ Finans Yönetim Paketi</t>
        </is>
      </c>
    </row>
    <row r="3" ht="15.75" customHeight="1" s="74">
      <c r="A3" s="108" t="inlineStr">
        <is>
          <t>Karar Kapısı — Konsolide Nakit Yeterliliği</t>
        </is>
      </c>
    </row>
    <row r="4" ht="27.75" customHeight="1" s="74">
      <c r="A4" s="103" t="inlineStr">
        <is>
          <t>Kapanış nakit, risk skoru ve negatif kapanış durumuna göre üretilen karar.</t>
        </is>
      </c>
    </row>
    <row r="6" ht="15" customHeight="1" s="74">
      <c r="A6" s="106" t="inlineStr">
        <is>
          <t>Dönem Sonu Kapanış Nakit</t>
        </is>
      </c>
      <c r="B6" s="132">
        <f>HESAP!B17</f>
        <v/>
      </c>
    </row>
    <row r="7" ht="15" customHeight="1" s="74">
      <c r="A7" s="106" t="inlineStr">
        <is>
          <t>Ortalama Risk Skoru</t>
        </is>
      </c>
      <c r="B7" s="124">
        <f>HESAP!B19</f>
        <v/>
      </c>
    </row>
    <row r="8" ht="15" customHeight="1" s="74">
      <c r="A8" s="106" t="inlineStr">
        <is>
          <t>Negatif Kapanış Ay Sayısı</t>
        </is>
      </c>
      <c r="B8" s="124">
        <f>HESAP!B21</f>
        <v/>
      </c>
    </row>
    <row r="9" ht="15" customHeight="1" s="74">
      <c r="A9" s="106" t="inlineStr">
        <is>
          <t>Toplam Net Nakit Değişimi</t>
        </is>
      </c>
      <c r="B9" s="123">
        <f>HESAP!B16</f>
        <v/>
      </c>
    </row>
    <row r="11" ht="21" customHeight="1" s="74">
      <c r="A11" s="133" t="inlineStr">
        <is>
          <t>KARAR</t>
        </is>
      </c>
      <c r="B11" s="134">
        <f>IF(COUNTA(tblKobi[Dönem])=0,"VERİ YOK",IF(HESAP!B21&gt;0,"DURDUR",IF(HESAP!B19&gt;KobiRiskEsik,"İNCELE",IF(HESAP!B16&lt;=0,"İNCELE","UYGUN"))))</f>
        <v/>
      </c>
    </row>
    <row r="12" ht="15" customHeight="1" s="74">
      <c r="A12" s="130" t="inlineStr">
        <is>
          <t>Gerekçe</t>
        </is>
      </c>
      <c r="B12" s="129">
        <f>IF(COUNTA(tblKobi[Dönem])=0,"Karar üretimi için aylık veri girilmeli.",IF(HESAP!B21&gt;0,"Negatif kapanış ayı var; nakit planlaması ve borç yapısı incelenmeli.",IF(HESAP!B19&gt;KobiRiskEsik,"Risk skoru eşiği aşılıyor; tahsilat ve ödeme dengesi gözden geçirilmeli.",IF(HESAP!B16&lt;=0,"Net nakit değişimi pozitif değil; gider kontrolü ve tahsilat takibi güçlendirilmeli.","Karar kapısı uygun: konsolide nakit göstergeleri hedef aralıkta."))))</f>
        <v/>
      </c>
    </row>
    <row r="14" ht="15" customHeight="1" s="74">
      <c r="A14" s="104" t="inlineStr">
        <is>
          <t>Önerilen Aksiyonlar</t>
        </is>
      </c>
    </row>
    <row r="15" ht="15" customHeight="1" s="74">
      <c r="A15" s="106" t="inlineStr">
        <is>
          <t>Aksiyon 1</t>
        </is>
      </c>
      <c r="B15" s="129">
        <f>KobiAksiyon1_ACIKLAMA</f>
        <v/>
      </c>
    </row>
    <row r="16" ht="15" customHeight="1" s="74">
      <c r="A16" s="106" t="inlineStr">
        <is>
          <t>Aksiyon 2</t>
        </is>
      </c>
      <c r="B16" s="129">
        <f>KobiAksiyon2_ACIKLAMA</f>
        <v/>
      </c>
    </row>
    <row r="17" ht="15" customHeight="1" s="74">
      <c r="A17" s="106" t="inlineStr">
        <is>
          <t>Aksiyon 3</t>
        </is>
      </c>
      <c r="B17" s="129">
        <f>KobiAksiyon3_ACIKLAMA</f>
        <v/>
      </c>
    </row>
    <row r="19" ht="19.5" customHeight="1" s="74">
      <c r="A19" s="122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50</formula>
    </cfRule>
  </conditionalFormatting>
  <conditionalFormatting sqref="B8">
    <cfRule type="cellIs" rank="0" priority="7" equalAverage="0" operator="greaterThan" aboveAverage="0" dxfId="7" text="" percent="0" bottom="0">
      <formula>0</formula>
    </cfRule>
  </conditionalFormatting>
  <conditionalFormatting sqref="B9">
    <cfRule type="cellIs" rank="0" priority="8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30" customWidth="1" style="100" min="2" max="2"/>
    <col width="22" customWidth="1" style="100" min="3" max="3"/>
    <col width="18" customWidth="1" style="100" min="4" max="4"/>
  </cols>
  <sheetData>
    <row r="1" ht="25.5" customHeight="1" s="74">
      <c r="A1" s="101" t="inlineStr">
        <is>
          <t>SENARYO DUYARLILIK — KOBİ Finans Yönetim Paketi</t>
        </is>
      </c>
    </row>
    <row r="3" ht="15.75" customHeight="1" s="74">
      <c r="A3" s="108" t="inlineStr">
        <is>
          <t>Senaryo ve Duyarlılık Analizi</t>
        </is>
      </c>
    </row>
    <row r="4" ht="41.25" customHeight="1" s="74">
      <c r="A4" s="103" t="inlineStr">
        <is>
          <t>İyimser, baz ve kötümser senaryolarda kapanış nakit; ardından hangi değişkenin sonucu en çok etkilediğini gösteren tornado analizi.</t>
        </is>
      </c>
    </row>
    <row r="6" ht="15" customHeight="1" s="74">
      <c r="A6" s="144" t="inlineStr">
        <is>
          <t>Senaryo</t>
        </is>
      </c>
      <c r="B6" s="144" t="inlineStr">
        <is>
          <t>Tahsilat Çarpanı</t>
        </is>
      </c>
      <c r="C6" s="144" t="inlineStr">
        <is>
          <t>Tahmini Kapanış Nakit</t>
        </is>
      </c>
      <c r="D6" s="144" t="inlineStr">
        <is>
          <t>Tahmini Risk Skoru</t>
        </is>
      </c>
    </row>
    <row r="7" ht="15" customHeight="1" s="74">
      <c r="A7" s="130" t="inlineStr">
        <is>
          <t>İYİMSER</t>
        </is>
      </c>
      <c r="B7" s="126">
        <f>IF(KobiNakitGiris=0,"VERİ YOK",KobiIyiSenaryo)</f>
        <v/>
      </c>
      <c r="C7" s="123">
        <f>ROUND(HESAP!B10*KobiIyiSenaryo-HESAP!B15+KobiBaslangicNakit,0)</f>
        <v/>
      </c>
      <c r="D7" s="124">
        <f>IF(C7=0,KobiRiskSkorMax,IF(C7&lt;KobiAsgariNakit,KobiRiskSkorYuksek,IF(C7&lt;KobiHedefNakit,KobiRiskSkorOrta,KobiRiskSkorDusuk)))</f>
        <v/>
      </c>
    </row>
    <row r="8" ht="15" customHeight="1" s="74">
      <c r="A8" s="130" t="inlineStr">
        <is>
          <t>BAZ</t>
        </is>
      </c>
      <c r="B8" s="126">
        <f>IF(KobiNakitGiris=0,"VERİ YOK",KobiBazSenaryo)</f>
        <v/>
      </c>
      <c r="C8" s="123">
        <f>ROUND(HESAP!B10*KobiBazSenaryo-HESAP!B15+KobiBaslangicNakit,0)</f>
        <v/>
      </c>
      <c r="D8" s="124">
        <f>IF(C8=0,KobiRiskSkorMax,IF(C8&lt;KobiAsgariNakit,KobiRiskSkorYuksek,IF(C8&lt;KobiHedefNakit,KobiRiskSkorOrta,KobiRiskSkorDusuk)))</f>
        <v/>
      </c>
    </row>
    <row r="9" ht="15" customHeight="1" s="74">
      <c r="A9" s="130" t="inlineStr">
        <is>
          <t>KÖTÜMSER</t>
        </is>
      </c>
      <c r="B9" s="126">
        <f>IF(KobiNakitGiris=0,"VERİ YOK",KobiKotuSenaryo)</f>
        <v/>
      </c>
      <c r="C9" s="123">
        <f>ROUND(HESAP!B10*KobiKotuSenaryo-HESAP!B15+KobiBaslangicNakit,0)</f>
        <v/>
      </c>
      <c r="D9" s="124">
        <f>IF(C9=0,KobiRiskSkorMax,IF(C9&lt;KobiAsgariNakit,KobiRiskSkorYuksek,IF(C9&lt;KobiHedefNakit,KobiRiskSkorOrta,KobiRiskSkorDusuk)))</f>
        <v/>
      </c>
    </row>
    <row r="11" ht="15" customHeight="1" s="74">
      <c r="A11" s="104" t="inlineStr">
        <is>
          <t>Tornado: Kapanış Nakde Etki</t>
        </is>
      </c>
    </row>
    <row r="12" ht="15" customHeight="1" s="74">
      <c r="A12" s="106" t="inlineStr">
        <is>
          <t>Tahsilat +%1</t>
        </is>
      </c>
      <c r="B12" s="123">
        <f>ROUND(HESAP!B10*KobiTornadoTahsilat,0)</f>
        <v/>
      </c>
    </row>
    <row r="13" ht="15" customHeight="1" s="74">
      <c r="A13" s="106" t="inlineStr">
        <is>
          <t>Gider +%1</t>
        </is>
      </c>
      <c r="B13" s="123">
        <f>ROUND(HESAP!B15*KobiTornadoGider,0)</f>
        <v/>
      </c>
    </row>
    <row r="15" ht="15" customHeight="1" s="74">
      <c r="A15" s="141" t="inlineStr">
        <is>
          <t>En Etkili Değişken</t>
        </is>
      </c>
      <c r="B15" s="145">
        <f>IF(B12&gt;=B13,"Tahsilat","Gider")</f>
        <v/>
      </c>
    </row>
    <row r="17" ht="19.5" customHeight="1" s="74">
      <c r="A17" s="122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equal" aboveAverage="0" dxfId="7" text="" percent="0" bottom="0">
      <formula>80</formula>
    </cfRule>
    <cfRule type="cellIs" rank="0" priority="4" equalAverage="0" operator="equal" aboveAverage="0" dxfId="10" text="" percent="0" bottom="0">
      <formula>50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40" customWidth="1" style="100" min="2" max="2"/>
  </cols>
  <sheetData>
    <row r="1" ht="25.5" customHeight="1" s="74">
      <c r="A1" s="146" t="inlineStr">
        <is>
          <t>KOBİ FİNANS YÖNETİM PAKETİ — YÖNETİCİ ÖZETİ</t>
        </is>
      </c>
    </row>
    <row r="2" ht="15" customHeight="1" s="74">
      <c r="A2" s="147">
        <f>_xlfn.CONCAT("Rapor Tarihi: ",TEXT(RaporTarihi,"dd.mm.yyyy")," | Hazırlayan: ",RaporHazirlayan," | Sürüm: ",DosyaSurumu)</f>
        <v/>
      </c>
    </row>
    <row r="4" ht="17.25" customHeight="1" s="74">
      <c r="A4" s="104" t="inlineStr">
        <is>
          <t>Karar</t>
        </is>
      </c>
      <c r="B4" s="134">
        <f>KARAR!B11</f>
        <v/>
      </c>
    </row>
    <row r="6" ht="15" customHeight="1" s="74">
      <c r="A6" s="106" t="inlineStr">
        <is>
          <t>Toplam Nakit Giriş</t>
        </is>
      </c>
      <c r="B6" s="123">
        <f>HESAP!B10</f>
        <v/>
      </c>
    </row>
    <row r="7" ht="15" customHeight="1" s="74">
      <c r="A7" s="106" t="inlineStr">
        <is>
          <t>Toplam Nakit Çıkış</t>
        </is>
      </c>
      <c r="B7" s="123">
        <f>HESAP!B15</f>
        <v/>
      </c>
    </row>
    <row r="8" ht="15" customHeight="1" s="74">
      <c r="A8" s="106" t="inlineStr">
        <is>
          <t>Toplam Net Nakit Değişimi</t>
        </is>
      </c>
      <c r="B8" s="123">
        <f>HESAP!B16</f>
        <v/>
      </c>
    </row>
    <row r="9" ht="15" customHeight="1" s="74">
      <c r="A9" s="106" t="inlineStr">
        <is>
          <t>Dönem Sonu Kapanış Nakit</t>
        </is>
      </c>
      <c r="B9" s="123">
        <f>HESAP!B17</f>
        <v/>
      </c>
    </row>
    <row r="10" ht="15" customHeight="1" s="74">
      <c r="A10" s="106" t="inlineStr">
        <is>
          <t>Toplam Tahmini Kâr</t>
        </is>
      </c>
      <c r="B10" s="123">
        <f>HESAP!B18</f>
        <v/>
      </c>
    </row>
    <row r="11" ht="15" customHeight="1" s="74">
      <c r="A11" s="106" t="inlineStr">
        <is>
          <t>Ortalama Risk Skoru</t>
        </is>
      </c>
      <c r="B11" s="124">
        <f>HESAP!B19</f>
        <v/>
      </c>
    </row>
    <row r="12" ht="15" customHeight="1" s="74">
      <c r="A12" s="106" t="inlineStr">
        <is>
          <t>En Düşük Kapanışlı Ay</t>
        </is>
      </c>
      <c r="B12" s="125">
        <f>HESAP!B20</f>
        <v/>
      </c>
    </row>
    <row r="13" ht="15" customHeight="1" s="74">
      <c r="A13" s="106" t="inlineStr">
        <is>
          <t>Negatif Kapanış Ay Sayısı</t>
        </is>
      </c>
      <c r="B13" s="124">
        <f>HESAP!B21</f>
        <v/>
      </c>
    </row>
    <row r="14" ht="15" customHeight="1" s="74">
      <c r="A14" s="106" t="inlineStr">
        <is>
          <t>Kalite Skoru</t>
        </is>
      </c>
      <c r="B14" s="124">
        <f>KONTROLLER!B19</f>
        <v/>
      </c>
    </row>
    <row r="16" ht="15" customHeight="1" s="74">
      <c r="A16" s="138" t="inlineStr">
        <is>
          <t>Varsayımlar ve Önemli Notlar</t>
        </is>
      </c>
    </row>
    <row r="17" ht="15" customHeight="1" s="74">
      <c r="A17" s="105" t="inlineStr">
        <is>
          <t>• Paket; kasa, banka, cari, POS, stok, gider, maaş ve kredi kalemlerini konsolide eder.</t>
        </is>
      </c>
    </row>
    <row r="18" ht="15" customHeight="1" s="74">
      <c r="A18" s="105" t="inlineStr">
        <is>
          <t>• Kapanış nakit, dönem başı nakit üzerine net değişim eklenerek hesaplanır.</t>
        </is>
      </c>
    </row>
    <row r="19" ht="15" customHeight="1" s="74">
      <c r="A19" s="105" t="inlineStr">
        <is>
          <t>• Vergi/SGK karşılığı ayrı kalemdir; ödenmiş gibi nakit çıkışına yazılmamalıdır.</t>
        </is>
      </c>
    </row>
    <row r="20" ht="15" customHeight="1" s="74">
      <c r="A20" s="105" t="inlineStr">
        <is>
          <t>• Eşikler ve senaryo çarpanları AYARLAR sayfasından alınır.</t>
        </is>
      </c>
    </row>
    <row r="21" ht="15" customHeight="1" s="74">
      <c r="A21" s="105" t="inlineStr">
        <is>
          <t>• Demo veriler gerçek müşteri verisi değildir; kullanımdan önce temizlenmelidir.</t>
        </is>
      </c>
    </row>
    <row r="23" ht="15" customHeight="1" s="74">
      <c r="A23" s="138" t="inlineStr">
        <is>
          <t>Önerilen Aksiyonlar</t>
        </is>
      </c>
    </row>
    <row r="24" ht="15" customHeight="1" s="74">
      <c r="A24" s="105">
        <f>KobiAksiyon1_ACIKLAMA</f>
        <v/>
      </c>
    </row>
    <row r="25" ht="15" customHeight="1" s="74">
      <c r="A25" s="105">
        <f>KobiAksiyon2_ACIKLAMA</f>
        <v/>
      </c>
    </row>
    <row r="26" ht="15" customHeight="1" s="74">
      <c r="A26" s="105">
        <f>KobiAksiyon3_ACIKLAMA</f>
        <v/>
      </c>
    </row>
    <row r="28" ht="15" customHeight="1" s="74">
      <c r="A28" s="14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&amp;LKOBİ Finans Yönetim Paketi&amp;CExcelArşiv&amp;RSayfa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100" min="1" max="1"/>
    <col width="15" customWidth="1" style="100" min="2" max="6"/>
    <col width="18" customWidth="1" style="100" min="7" max="7"/>
    <col width="13" customWidth="1" style="100" min="8" max="8"/>
    <col width="14" customWidth="1" style="100" min="9" max="9"/>
    <col width="18" customWidth="1" style="100" min="10" max="10"/>
    <col width="22" customWidth="1" style="100" min="11" max="11"/>
  </cols>
  <sheetData>
    <row r="1" ht="25.5" customHeight="1" s="74">
      <c r="A1" s="101" t="inlineStr">
        <is>
          <t>ORNEK VERI — KOBİ Finans Yönetim Paketi</t>
        </is>
      </c>
    </row>
    <row r="3" ht="15" customHeight="1" s="74">
      <c r="A3" s="104" t="inlineStr">
        <is>
          <t>Örnek Veri (Demo)</t>
        </is>
      </c>
    </row>
    <row r="4" ht="95.25" customHeight="1" s="74">
      <c r="A4" s="103" t="inlineStr">
        <is>
          <t>Gerçek girişlere başlamadan önce demo veri ile ürünü deneyin. Bu satırlar örnektir; gerçek verilerle değiştirin.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Not</t>
        </is>
      </c>
    </row>
    <row r="6" ht="15" customHeight="1" s="74">
      <c r="A6" s="149" t="inlineStr">
        <is>
          <t>Ocak 2026</t>
        </is>
      </c>
      <c r="B6" s="150" t="n">
        <v>320000</v>
      </c>
      <c r="C6" s="150" t="n">
        <v>410000</v>
      </c>
      <c r="D6" s="150" t="n">
        <v>180000</v>
      </c>
      <c r="E6" s="150" t="n">
        <v>95000</v>
      </c>
      <c r="F6" s="150" t="n">
        <v>260000</v>
      </c>
      <c r="G6" s="150" t="n">
        <v>140000</v>
      </c>
      <c r="H6" s="150" t="n">
        <v>160000</v>
      </c>
      <c r="I6" s="150" t="n">
        <v>45000</v>
      </c>
      <c r="J6" s="116">
        <f>$B6+$C6+$D6+$E6-$F6-$G6-$H6-$I6</f>
        <v/>
      </c>
      <c r="K6" s="149" t="inlineStr">
        <is>
          <t>Örnek 1</t>
        </is>
      </c>
    </row>
    <row r="7" ht="15" customHeight="1" s="74">
      <c r="A7" s="149" t="inlineStr">
        <is>
          <t>Şubat 2026</t>
        </is>
      </c>
      <c r="B7" s="150" t="n">
        <v>340000</v>
      </c>
      <c r="C7" s="150" t="n">
        <v>430000</v>
      </c>
      <c r="D7" s="150" t="n">
        <v>200000</v>
      </c>
      <c r="E7" s="150" t="n">
        <v>105000</v>
      </c>
      <c r="F7" s="150" t="n">
        <v>270000</v>
      </c>
      <c r="G7" s="150" t="n">
        <v>150000</v>
      </c>
      <c r="H7" s="150" t="n">
        <v>160000</v>
      </c>
      <c r="I7" s="150" t="n">
        <v>45000</v>
      </c>
      <c r="J7" s="116">
        <f>$B7+$C7+$D7+$E7-$F7-$G7-$H7-$I7</f>
        <v/>
      </c>
      <c r="K7" s="149" t="inlineStr">
        <is>
          <t>Örnek 2</t>
        </is>
      </c>
    </row>
    <row r="8" ht="15" customHeight="1" s="74">
      <c r="A8" s="149" t="inlineStr">
        <is>
          <t>Mart 2026</t>
        </is>
      </c>
      <c r="B8" s="150" t="n">
        <v>310000</v>
      </c>
      <c r="C8" s="150" t="n">
        <v>400000</v>
      </c>
      <c r="D8" s="150" t="n">
        <v>175000</v>
      </c>
      <c r="E8" s="150" t="n">
        <v>90000</v>
      </c>
      <c r="F8" s="150" t="n">
        <v>250000</v>
      </c>
      <c r="G8" s="150" t="n">
        <v>145000</v>
      </c>
      <c r="H8" s="150" t="n">
        <v>165000</v>
      </c>
      <c r="I8" s="150" t="n">
        <v>45000</v>
      </c>
      <c r="J8" s="116">
        <f>$B8+$C8+$D8+$E8-$F8-$G8-$H8-$I8</f>
        <v/>
      </c>
      <c r="K8" s="149" t="inlineStr">
        <is>
          <t>Örnek 3</t>
        </is>
      </c>
    </row>
    <row r="9" ht="15" customHeight="1" s="74">
      <c r="A9" s="149" t="inlineStr">
        <is>
          <t>Nisan 2026</t>
        </is>
      </c>
      <c r="B9" s="150" t="n">
        <v>360000</v>
      </c>
      <c r="C9" s="150" t="n">
        <v>460000</v>
      </c>
      <c r="D9" s="150" t="n">
        <v>210000</v>
      </c>
      <c r="E9" s="150" t="n">
        <v>115000</v>
      </c>
      <c r="F9" s="150" t="n">
        <v>280000</v>
      </c>
      <c r="G9" s="150" t="n">
        <v>155000</v>
      </c>
      <c r="H9" s="150" t="n">
        <v>165000</v>
      </c>
      <c r="I9" s="150" t="n">
        <v>45000</v>
      </c>
      <c r="J9" s="116">
        <f>$B9+$C9+$D9+$E9-$F9-$G9-$H9-$I9</f>
        <v/>
      </c>
      <c r="K9" s="149" t="inlineStr">
        <is>
          <t>Örnek 4</t>
        </is>
      </c>
    </row>
    <row r="10" ht="15" customHeight="1" s="74">
      <c r="A10" s="149" t="inlineStr">
        <is>
          <t>Mayıs 2026</t>
        </is>
      </c>
      <c r="B10" s="150" t="n">
        <v>350000</v>
      </c>
      <c r="C10" s="150" t="n">
        <v>445000</v>
      </c>
      <c r="D10" s="150" t="n">
        <v>195000</v>
      </c>
      <c r="E10" s="150" t="n">
        <v>110000</v>
      </c>
      <c r="F10" s="150" t="n">
        <v>275000</v>
      </c>
      <c r="G10" s="150" t="n">
        <v>150000</v>
      </c>
      <c r="H10" s="150" t="n">
        <v>170000</v>
      </c>
      <c r="I10" s="150" t="n">
        <v>45000</v>
      </c>
      <c r="J10" s="116">
        <f>$B10+$C10+$D10+$E10-$F10-$G10-$H10-$I10</f>
        <v/>
      </c>
      <c r="K10" s="149" t="inlineStr">
        <is>
          <t>Örnek 5</t>
        </is>
      </c>
    </row>
    <row r="11" ht="15" customHeight="1" s="74">
      <c r="A11" s="149" t="inlineStr">
        <is>
          <t>Haziran 2026</t>
        </is>
      </c>
      <c r="B11" s="150" t="n">
        <v>380000</v>
      </c>
      <c r="C11" s="150" t="n">
        <v>480000</v>
      </c>
      <c r="D11" s="150" t="n">
        <v>225000</v>
      </c>
      <c r="E11" s="150" t="n">
        <v>120000</v>
      </c>
      <c r="F11" s="150" t="n">
        <v>290000</v>
      </c>
      <c r="G11" s="150" t="n">
        <v>160000</v>
      </c>
      <c r="H11" s="150" t="n">
        <v>170000</v>
      </c>
      <c r="I11" s="150" t="n">
        <v>45000</v>
      </c>
      <c r="J11" s="116">
        <f>$B11+$C11+$D11+$E11-$F11-$G11-$H11-$I11</f>
        <v/>
      </c>
      <c r="K11" s="149" t="inlineStr">
        <is>
          <t>Örnek 6</t>
        </is>
      </c>
    </row>
    <row r="12" ht="15" customHeight="1" s="74">
      <c r="J12" s="151">
        <f>$B12+$C12+$D12+$E12-$F12-$G12-$H12-$I12</f>
        <v/>
      </c>
    </row>
    <row r="13" ht="15" customHeight="1" s="74">
      <c r="J13" s="151">
        <f>$B13+$C13+$D13+$E13-$F13-$G13-$H13-$I13</f>
        <v/>
      </c>
    </row>
    <row r="14" ht="15" customHeight="1" s="74">
      <c r="J14" s="151">
        <f>$B14+$C14+$D14+$E14-$F14-$G14-$H14-$I14</f>
        <v/>
      </c>
    </row>
    <row r="15" ht="15" customHeight="1" s="74">
      <c r="J15" s="151">
        <f>$B15+$C15+$D15+$E15-$F15-$G15-$H15-$I15</f>
        <v/>
      </c>
    </row>
    <row r="16" ht="15" customHeight="1" s="74">
      <c r="J16" s="151">
        <f>$B16+$C16+$D16+$E16-$F16-$G16-$H16-$I16</f>
        <v/>
      </c>
    </row>
    <row r="17" ht="15" customHeight="1" s="74">
      <c r="J17" s="151">
        <f>$B17+$C17+$D17+$E17-$F17-$G17-$H17-$I17</f>
        <v/>
      </c>
    </row>
    <row r="18" ht="15" customHeight="1" s="74">
      <c r="J18" s="151">
        <f>$B18+$C18+$D18+$E18-$F18-$G18-$H18-$I18</f>
        <v/>
      </c>
    </row>
    <row r="19" ht="15" customHeight="1" s="74">
      <c r="J19" s="151">
        <f>$B19+$C19+$D19+$E19-$F19-$G19-$H19-$I19</f>
        <v/>
      </c>
    </row>
    <row r="20" ht="15" customHeight="1" s="74">
      <c r="J20" s="151">
        <f>$B20+$C20+$D20+$E20-$F20-$G20-$H20-$I20</f>
        <v/>
      </c>
    </row>
    <row r="21" ht="15" customHeight="1" s="74">
      <c r="J21" s="151">
        <f>$B21+$C21+$D21+$E21-$F21-$G21-$H21-$I21</f>
        <v/>
      </c>
    </row>
    <row r="22" ht="15" customHeight="1" s="74">
      <c r="J22" s="151">
        <f>$B22+$C22+$D22+$E22-$F22-$G22-$H22-$I22</f>
        <v/>
      </c>
    </row>
    <row r="23" ht="15" customHeight="1" s="74">
      <c r="J23" s="151">
        <f>$B23+$C23+$D23+$E23-$F23-$G23-$H23-$I23</f>
        <v/>
      </c>
    </row>
    <row r="24" ht="15" customHeight="1" s="74">
      <c r="J24" s="151">
        <f>$B24+$C24+$D24+$E24-$F24-$G24-$H24-$I24</f>
        <v/>
      </c>
    </row>
    <row r="25" ht="15" customHeight="1" s="74">
      <c r="J25" s="151">
        <f>$B25+$C25+$D25+$E25-$F25-$G25-$H25-$I25</f>
        <v/>
      </c>
    </row>
    <row r="26" ht="15" customHeight="1" s="74">
      <c r="J26" s="151">
        <f>$B26+$C26+$D26+$E26-$F26-$G26-$H26-$I26</f>
        <v/>
      </c>
    </row>
    <row r="27" ht="15" customHeight="1" s="74">
      <c r="J27" s="151">
        <f>$B27+$C27+$D27+$E27-$F27-$G27-$H27-$I27</f>
        <v/>
      </c>
    </row>
    <row r="28" ht="15" customHeight="1" s="74">
      <c r="J28" s="151">
        <f>$B28+$C28+$D28+$E28-$F28-$G28-$H28-$I28</f>
        <v/>
      </c>
    </row>
    <row r="29" ht="15" customHeight="1" s="74">
      <c r="J29" s="151">
        <f>$B29+$C29+$D29+$E29-$F29-$G29-$H29-$I29</f>
        <v/>
      </c>
    </row>
    <row r="30" ht="15" customHeight="1" s="74">
      <c r="J30" s="151">
        <f>$B30+$C30+$D30+$E30-$F30-$G30-$H30-$I30</f>
        <v/>
      </c>
    </row>
    <row r="31" ht="15" customHeight="1" s="74">
      <c r="J31" s="151">
        <f>$B31+$C31+$D31+$E31-$F31-$G31-$H31-$I31</f>
        <v/>
      </c>
    </row>
    <row r="32" ht="15" customHeight="1" s="74">
      <c r="J32" s="151">
        <f>$B32+$C32+$D32+$E32-$F32-$G32-$H32-$I32</f>
        <v/>
      </c>
    </row>
    <row r="33" ht="15" customHeight="1" s="74">
      <c r="J33" s="151">
        <f>$B33+$C33+$D33+$E33-$F33-$G33-$H33-$I33</f>
        <v/>
      </c>
    </row>
    <row r="34" ht="15" customHeight="1" s="74">
      <c r="J34" s="151">
        <f>$B34+$C34+$D34+$E34-$F34-$G34-$H34-$I34</f>
        <v/>
      </c>
    </row>
    <row r="35" ht="15" customHeight="1" s="74">
      <c r="J35" s="151">
        <f>$B35+$C35+$D35+$E35-$F35-$G35-$H35-$I35</f>
        <v/>
      </c>
    </row>
    <row r="36" ht="15" customHeight="1" s="74">
      <c r="J36" s="151">
        <f>$B36+$C36+$D36+$E36-$F36-$G36-$H36-$I36</f>
        <v/>
      </c>
    </row>
    <row r="37" ht="15" customHeight="1" s="74">
      <c r="J37" s="151">
        <f>$B37+$C37+$D37+$E37-$F37-$G37-$H37-$I37</f>
        <v/>
      </c>
    </row>
    <row r="38" ht="15" customHeight="1" s="74">
      <c r="J38" s="151">
        <f>$B38+$C38+$D38+$E38-$F38-$G38-$H38-$I38</f>
        <v/>
      </c>
    </row>
    <row r="39" ht="15" customHeight="1" s="74">
      <c r="J39" s="151">
        <f>$B39+$C39+$D39+$E39-$F39-$G39-$H39-$I39</f>
        <v/>
      </c>
    </row>
    <row r="40" ht="15" customHeight="1" s="74">
      <c r="J40" s="151">
        <f>$B40+$C40+$D40+$E40-$F40-$G40-$H40-$I40</f>
        <v/>
      </c>
    </row>
    <row r="41" ht="15" customHeight="1" s="74">
      <c r="J41" s="151">
        <f>$B41+$C41+$D41+$E41-$F41-$G41-$H41-$I41</f>
        <v/>
      </c>
    </row>
    <row r="42" ht="15" customHeight="1" s="74">
      <c r="J42" s="151">
        <f>$B42+$C42+$D42+$E42-$F42-$G42-$H42-$I42</f>
        <v/>
      </c>
    </row>
    <row r="43" ht="15" customHeight="1" s="74">
      <c r="J43" s="151">
        <f>$B43+$C43+$D43+$E43-$F43-$G43-$H43-$I43</f>
        <v/>
      </c>
    </row>
    <row r="44" ht="15" customHeight="1" s="74">
      <c r="J44" s="151">
        <f>$B44+$C44+$D44+$E44-$F44-$G44-$H44-$I44</f>
        <v/>
      </c>
    </row>
    <row r="45" ht="15" customHeight="1" s="74">
      <c r="J45" s="151">
        <f>$B45+$C45+$D45+$E45-$F45-$G45-$H45-$I45</f>
        <v/>
      </c>
    </row>
    <row r="1006" ht="19.5" customHeight="1" s="74">
      <c r="A1006" s="12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0" min="1" max="1"/>
    <col width="28" customWidth="1" style="100" min="2" max="2"/>
    <col width="16" customWidth="1" style="100" min="3" max="3"/>
    <col width="28" customWidth="1" style="100" min="4" max="4"/>
  </cols>
  <sheetData>
    <row r="1" ht="15" customHeight="1" s="74">
      <c r="A1" s="100" t="inlineStr">
        <is>
          <t>ANAHTAR — KobiFinansYonetimPaketi</t>
        </is>
      </c>
    </row>
    <row r="3" ht="15" customHeight="1" s="74">
      <c r="A3" s="100" t="inlineStr">
        <is>
          <t>ham_anahtar</t>
        </is>
      </c>
      <c r="B3" s="100" t="inlineStr">
        <is>
          <t>norm_anahtar</t>
        </is>
      </c>
      <c r="C3" s="100" t="inlineStr">
        <is>
          <t>duplike_sayisi</t>
        </is>
      </c>
      <c r="D3" s="100" t="inlineStr">
        <is>
          <t>not</t>
        </is>
      </c>
    </row>
    <row r="4" ht="15" customHeight="1" s="74">
      <c r="A4" s="100" t="inlineStr">
        <is>
          <t>ORNEK-001</t>
        </is>
      </c>
      <c r="B4" s="100">
        <f>UPPER(SUBSTITUTE(A4," ",""))</f>
        <v/>
      </c>
      <c r="C4" s="100">
        <f>COUNTIF($A$4:$A$1000,A4)</f>
        <v/>
      </c>
      <c r="D4" s="100" t="inlineStr">
        <is>
          <t>normalize + duplike izi</t>
        </is>
      </c>
    </row>
    <row r="5" ht="15" customHeight="1" s="74">
      <c r="A5" s="100" t="inlineStr">
        <is>
          <t>ORNEK-002</t>
        </is>
      </c>
      <c r="B5" s="100">
        <f>UPPER(SUBSTITUTE(A5," ",""))</f>
        <v/>
      </c>
      <c r="C5" s="100">
        <f>COUNTIF($A$4:$A$1000,A5)</f>
        <v/>
      </c>
      <c r="D5" s="100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28" customWidth="1" style="100" min="2" max="2"/>
    <col width="12" customWidth="1" style="100" min="3" max="4"/>
  </cols>
  <sheetData>
    <row r="1" ht="15" customHeight="1" s="74">
      <c r="A1" s="100" t="inlineStr">
        <is>
          <t>ESLESTIRME — KobiFinansYonetimPaketi</t>
        </is>
      </c>
    </row>
    <row r="3" ht="15" customHeight="1" s="74">
      <c r="A3" s="100" t="inlineStr">
        <is>
          <t>kova</t>
        </is>
      </c>
      <c r="B3" s="100" t="inlineStr">
        <is>
          <t>aciklama</t>
        </is>
      </c>
      <c r="C3" s="100" t="inlineStr">
        <is>
          <t>tutar</t>
        </is>
      </c>
      <c r="D3" s="100" t="inlineStr">
        <is>
          <t>tolerans</t>
        </is>
      </c>
    </row>
    <row r="4" ht="15" customHeight="1" s="74">
      <c r="A4" s="100" t="inlineStr">
        <is>
          <t>ESLESEN</t>
        </is>
      </c>
      <c r="B4" s="100" t="inlineStr">
        <is>
          <t>Tam eşleşen kayıtlar</t>
        </is>
      </c>
      <c r="C4" s="152" t="n">
        <v>0</v>
      </c>
      <c r="D4" s="152" t="n">
        <v>0</v>
      </c>
    </row>
    <row r="5" ht="15" customHeight="1" s="74">
      <c r="A5" s="100" t="inlineStr">
        <is>
          <t>TOLERANS</t>
        </is>
      </c>
      <c r="B5" s="100" t="inlineStr">
        <is>
          <t>Tolerans içi fark</t>
        </is>
      </c>
      <c r="C5" s="152" t="n">
        <v>0</v>
      </c>
      <c r="D5" s="152" t="n">
        <v>0.01</v>
      </c>
    </row>
    <row r="6" ht="15" customHeight="1" s="74">
      <c r="A6" s="100" t="inlineStr">
        <is>
          <t>TUTARSIZ</t>
        </is>
      </c>
      <c r="B6" s="100" t="inlineStr">
        <is>
          <t>Tutar uyuşmazlığı</t>
        </is>
      </c>
      <c r="C6" s="152" t="n">
        <v>0</v>
      </c>
      <c r="D6" s="152" t="n">
        <v>0</v>
      </c>
    </row>
    <row r="7" ht="15" customHeight="1" s="74">
      <c r="A7" s="100" t="inlineStr">
        <is>
          <t>ESLESMEYEN</t>
        </is>
      </c>
      <c r="B7" s="100" t="inlineStr">
        <is>
          <t>Eşleşmeyen kayıtlar</t>
        </is>
      </c>
      <c r="C7" s="152" t="n">
        <v>0</v>
      </c>
      <c r="D7" s="152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42" customWidth="1" style="100" min="2" max="2"/>
    <col width="18" customWidth="1" style="100" min="3" max="3"/>
  </cols>
  <sheetData>
    <row r="1" ht="15" customHeight="1" s="74">
      <c r="A1" s="100" t="inlineStr">
        <is>
          <t>KOK_NEDEN — KobiFinansYonetimPaketi</t>
        </is>
      </c>
    </row>
    <row r="3" ht="15" customHeight="1" s="74">
      <c r="A3" s="100" t="inlineStr">
        <is>
          <t>kova</t>
        </is>
      </c>
      <c r="B3" s="100" t="inlineStr">
        <is>
          <t>kok_neden</t>
        </is>
      </c>
      <c r="C3" s="100" t="inlineStr">
        <is>
          <t>aksiyon</t>
        </is>
      </c>
    </row>
    <row r="4" ht="15" customHeight="1" s="74">
      <c r="A4" s="100" t="inlineStr">
        <is>
          <t>TANIMSIZ</t>
        </is>
      </c>
      <c r="B4" s="100" t="inlineStr">
        <is>
          <t>Sınıflandırılamayan kayıt — elle incele</t>
        </is>
      </c>
      <c r="C4" s="100" t="inlineStr">
        <is>
          <t>Manuel inceleme</t>
        </is>
      </c>
    </row>
    <row r="5" ht="15" customHeight="1" s="74">
      <c r="A5" s="100" t="inlineStr">
        <is>
          <t>ESLESMEYEN</t>
        </is>
      </c>
      <c r="B5" s="100" t="inlineStr">
        <is>
          <t>Karşı tarafta yok</t>
        </is>
      </c>
      <c r="C5" s="100" t="inlineStr">
        <is>
          <t>Veri tamamlama</t>
        </is>
      </c>
    </row>
    <row r="6" ht="15" customHeight="1" s="74">
      <c r="A6" s="100" t="inlineStr">
        <is>
          <t>TUTARSIZ</t>
        </is>
      </c>
      <c r="B6" s="100" t="inlineStr">
        <is>
          <t>Tutar farkı</t>
        </is>
      </c>
      <c r="C6" s="100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0" min="1" max="1"/>
    <col width="10" customWidth="1" style="100" min="2" max="2"/>
    <col width="40" customWidth="1" style="100" min="3" max="3"/>
    <col width="30" customWidth="1" style="100" min="4" max="4"/>
    <col width="14" customWidth="1" style="100" min="5" max="5"/>
  </cols>
  <sheetData>
    <row r="1" ht="25.5" customHeight="1" s="74">
      <c r="A1" s="101" t="inlineStr">
        <is>
          <t>DEGISIKLIK KAYDI — KOBİ Finans Yönetim Paketi</t>
        </is>
      </c>
    </row>
    <row r="3" ht="15" customHeight="1" s="74">
      <c r="A3" s="104" t="inlineStr">
        <is>
          <t>Değişiklik Kaydı</t>
        </is>
      </c>
    </row>
    <row r="4" ht="30" customHeight="1" s="74">
      <c r="A4" s="113" t="inlineStr">
        <is>
          <t>Tarih</t>
        </is>
      </c>
      <c r="B4" s="113" t="inlineStr">
        <is>
          <t>Sürüm</t>
        </is>
      </c>
      <c r="C4" s="113" t="inlineStr">
        <is>
          <t>Değişiklik</t>
        </is>
      </c>
      <c r="D4" s="113" t="inlineStr">
        <is>
          <t>Neden</t>
        </is>
      </c>
      <c r="E4" s="113" t="inlineStr">
        <is>
          <t>Yapan</t>
        </is>
      </c>
    </row>
    <row r="5" ht="15" customHeight="1" s="74">
      <c r="A5" s="149" t="inlineStr">
        <is>
          <t>01.08.2026</t>
        </is>
      </c>
      <c r="B5" s="149" t="inlineStr">
        <is>
          <t>1.0.0</t>
        </is>
      </c>
      <c r="C5" s="149" t="inlineStr">
        <is>
          <t>İlk üretim</t>
        </is>
      </c>
      <c r="D5" s="149" t="inlineStr">
        <is>
          <t>Ürünün yayına hazırlanması</t>
        </is>
      </c>
      <c r="E5" s="149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</cols>
  <sheetData>
    <row r="1" ht="25.5" customHeight="1" s="74">
      <c r="A1" s="101" t="inlineStr">
        <is>
          <t>LISTELER — KOBİ Finans Yönetim Paketi</t>
        </is>
      </c>
    </row>
    <row r="3" ht="15" customHeight="1" s="74">
      <c r="A3" s="104" t="inlineStr">
        <is>
          <t>Bağlı Listeler</t>
        </is>
      </c>
    </row>
    <row r="4" ht="54.75" customHeight="1" s="74">
      <c r="A4" s="103" t="inlineStr">
        <is>
          <t>Bu sayfadaki listeler açılır menüleri besler; yeni seçenek eklemek için sarı hücrelere yazın.</t>
        </is>
      </c>
    </row>
    <row r="6" ht="15" customHeight="1" s="74">
      <c r="A6" s="144" t="inlineStr">
        <is>
          <t>Dönem Önerileri</t>
        </is>
      </c>
    </row>
    <row r="7" ht="15" customHeight="1" s="74">
      <c r="A7" s="153" t="inlineStr">
        <is>
          <t>Ocak 2026</t>
        </is>
      </c>
    </row>
    <row r="8" ht="15" customHeight="1" s="74">
      <c r="A8" s="153" t="inlineStr">
        <is>
          <t>Şubat 2026</t>
        </is>
      </c>
    </row>
    <row r="9" ht="15" customHeight="1" s="74">
      <c r="A9" s="153" t="inlineStr">
        <is>
          <t>Mart 2026</t>
        </is>
      </c>
    </row>
    <row r="10" ht="15" customHeight="1" s="74">
      <c r="A10" s="153" t="inlineStr">
        <is>
          <t>Nisan 2026</t>
        </is>
      </c>
    </row>
    <row r="11" ht="15" customHeight="1" s="74">
      <c r="A11" s="153" t="inlineStr">
        <is>
          <t>Mayıs 2026</t>
        </is>
      </c>
    </row>
    <row r="12" ht="15" customHeight="1" s="74">
      <c r="A12" s="153" t="inlineStr">
        <is>
          <t>Haziran 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0" min="1" max="1"/>
    <col width="22" customWidth="1" style="100" min="2" max="2"/>
    <col width="10" customWidth="1" style="100" min="3" max="3"/>
    <col width="8" customWidth="1" style="100" min="4" max="5"/>
    <col width="50" customWidth="1" style="100" min="6" max="6"/>
    <col width="12" customWidth="1" style="100" min="7" max="7"/>
    <col width="14" customWidth="1" style="100" min="8" max="9"/>
  </cols>
  <sheetData>
    <row r="1" ht="25.5" customHeight="1" s="74">
      <c r="A1" s="101" t="inlineStr">
        <is>
          <t>AYARLAR — KOBİ Finans Yönetim Paketi</t>
        </is>
      </c>
    </row>
    <row r="3" ht="15" customHeight="1" s="74">
      <c r="A3" s="104" t="inlineStr">
        <is>
          <t>Sistem Ayarları ve Oranlar</t>
        </is>
      </c>
    </row>
    <row r="4" ht="54.75" customHeight="1" s="74">
      <c r="A4" s="103" t="inlineStr">
        <is>
          <t>Tüm sabitler bu sayfadadır. Eşikleri ve çarpanları kendi işletmenize göre güncelleyin. Değişen her değer tüm hesaplamalara anında yansır.</t>
        </is>
      </c>
    </row>
    <row r="6" ht="30" customHeight="1" s="74">
      <c r="A6" s="113" t="inlineStr">
        <is>
          <t>anahtar</t>
        </is>
      </c>
      <c r="B6" s="113" t="inlineStr">
        <is>
          <t>deger</t>
        </is>
      </c>
      <c r="C6" s="113" t="inlineStr">
        <is>
          <t>birim</t>
        </is>
      </c>
      <c r="D6" s="113" t="inlineStr">
        <is>
          <t>alt</t>
        </is>
      </c>
      <c r="E6" s="113" t="inlineStr">
        <is>
          <t>ust</t>
        </is>
      </c>
      <c r="F6" s="113" t="inlineStr">
        <is>
          <t>aciklama</t>
        </is>
      </c>
      <c r="G6" s="113" t="inlineStr">
        <is>
          <t>kaynak</t>
        </is>
      </c>
      <c r="H6" s="113" t="inlineStr">
        <is>
          <t>yururluk_tarihi</t>
        </is>
      </c>
      <c r="I6" s="113" t="inlineStr">
        <is>
          <t>dogrulama_tarihi</t>
        </is>
      </c>
    </row>
    <row r="7" ht="25.5" customHeight="1" s="74">
      <c r="A7" s="154" t="inlineStr">
        <is>
          <t>Firma Unvanı</t>
        </is>
      </c>
      <c r="B7" s="155" t="inlineStr">
        <is>
          <t>Örnek Firma A.Ş.</t>
        </is>
      </c>
      <c r="C7" s="107" t="inlineStr">
        <is>
          <t>Metin</t>
        </is>
      </c>
      <c r="D7" s="156" t="n"/>
      <c r="E7" s="156" t="n"/>
      <c r="F7" s="112" t="inlineStr">
        <is>
          <t>Rapor ve kapakta görünen firma adı.</t>
        </is>
      </c>
      <c r="G7" s="107" t="inlineStr">
        <is>
          <t>Kullanıcı</t>
        </is>
      </c>
      <c r="H7" s="157" t="n">
        <v>46023</v>
      </c>
      <c r="I7" s="157" t="n">
        <v>46244</v>
      </c>
    </row>
    <row r="8" ht="25.5" customHeight="1" s="74">
      <c r="A8" s="154" t="inlineStr">
        <is>
          <t>Rapor Tarihi</t>
        </is>
      </c>
      <c r="B8" s="158" t="n">
        <v>46242</v>
      </c>
      <c r="C8" s="107" t="inlineStr">
        <is>
          <t>Tarih</t>
        </is>
      </c>
      <c r="D8" s="156" t="n"/>
      <c r="E8" s="156" t="n"/>
      <c r="F8" s="112" t="inlineStr">
        <is>
          <t>Tüm hesapların ve kararın alındığı tarih.</t>
        </is>
      </c>
      <c r="G8" s="107" t="inlineStr">
        <is>
          <t>Kullanıcı</t>
        </is>
      </c>
      <c r="H8" s="157" t="n">
        <v>46023</v>
      </c>
      <c r="I8" s="157" t="n">
        <v>46244</v>
      </c>
    </row>
    <row r="9" ht="25.5" customHeight="1" s="74">
      <c r="A9" s="154" t="inlineStr">
        <is>
          <t>Raporu Hazırlayan</t>
        </is>
      </c>
      <c r="B9" s="155" t="inlineStr">
        <is>
          <t>Finans Direktörü</t>
        </is>
      </c>
      <c r="C9" s="107" t="inlineStr">
        <is>
          <t>Metin</t>
        </is>
      </c>
      <c r="D9" s="156" t="n"/>
      <c r="E9" s="156" t="n"/>
      <c r="F9" s="112" t="inlineStr">
        <is>
          <t>Raporu hazırlayan kişi/rol.</t>
        </is>
      </c>
      <c r="G9" s="107" t="inlineStr">
        <is>
          <t>Kullanıcı</t>
        </is>
      </c>
      <c r="H9" s="157" t="n">
        <v>46023</v>
      </c>
      <c r="I9" s="157" t="n">
        <v>46244</v>
      </c>
    </row>
    <row r="10" ht="25.5" customHeight="1" s="74">
      <c r="A10" s="154" t="inlineStr">
        <is>
          <t>Dosya Sürümü</t>
        </is>
      </c>
      <c r="B10" s="155" t="inlineStr">
        <is>
          <t>1.0.0</t>
        </is>
      </c>
      <c r="C10" s="107" t="inlineStr">
        <is>
          <t>Metin</t>
        </is>
      </c>
      <c r="D10" s="156" t="n"/>
      <c r="E10" s="156" t="n"/>
      <c r="F10" s="112" t="inlineStr">
        <is>
          <t>Ürün sürüm bilgisi; rapor alt bilgisinde görünür.</t>
        </is>
      </c>
      <c r="G10" s="107" t="inlineStr">
        <is>
          <t>Kullanıcı</t>
        </is>
      </c>
      <c r="H10" s="157" t="n">
        <v>46023</v>
      </c>
      <c r="I10" s="157" t="n">
        <v>46244</v>
      </c>
    </row>
    <row r="11" ht="25.5" customHeight="1" s="74">
      <c r="A11" s="154" t="inlineStr">
        <is>
          <t>Dönem Başı Nakit (₺)</t>
        </is>
      </c>
      <c r="B11" s="159" t="n">
        <v>250000</v>
      </c>
      <c r="C11" s="107" t="inlineStr">
        <is>
          <t>TL</t>
        </is>
      </c>
      <c r="D11" s="156" t="n">
        <v>0</v>
      </c>
      <c r="E11" s="156" t="n">
        <v>1000000000</v>
      </c>
      <c r="F11" s="112" t="inlineStr">
        <is>
          <t>İlk ayın kapanış nakdi bu tutardan başlar.</t>
        </is>
      </c>
      <c r="G11" s="107" t="inlineStr">
        <is>
          <t>Kullanıcı</t>
        </is>
      </c>
      <c r="H11" s="157" t="n">
        <v>46023</v>
      </c>
      <c r="I11" s="157" t="n">
        <v>46244</v>
      </c>
    </row>
    <row r="12" ht="25.5" customHeight="1" s="74">
      <c r="A12" s="154" t="inlineStr">
        <is>
          <t>Asgari Nakit Eşiği (₺)</t>
        </is>
      </c>
      <c r="B12" s="159" t="n">
        <v>100000</v>
      </c>
      <c r="C12" s="107" t="inlineStr">
        <is>
          <t>TL</t>
        </is>
      </c>
      <c r="D12" s="156" t="n">
        <v>0</v>
      </c>
      <c r="E12" s="156" t="n">
        <v>1000000000</v>
      </c>
      <c r="F12" s="112" t="inlineStr">
        <is>
          <t>Bu değerin altındaki kapanış riskli kabul edilir.</t>
        </is>
      </c>
      <c r="G12" s="107" t="inlineStr">
        <is>
          <t>Varsayım</t>
        </is>
      </c>
      <c r="H12" s="157" t="n">
        <v>46023</v>
      </c>
      <c r="I12" s="157" t="n">
        <v>46244</v>
      </c>
    </row>
    <row r="13" ht="25.5" customHeight="1" s="74">
      <c r="A13" s="154" t="inlineStr">
        <is>
          <t>Hedef Nakit Eşiği (₺)</t>
        </is>
      </c>
      <c r="B13" s="159" t="n">
        <v>300000</v>
      </c>
      <c r="C13" s="107" t="inlineStr">
        <is>
          <t>TL</t>
        </is>
      </c>
      <c r="D13" s="156" t="n">
        <v>0</v>
      </c>
      <c r="E13" s="156" t="n">
        <v>1000000000</v>
      </c>
      <c r="F13" s="112" t="inlineStr">
        <is>
          <t>Bu değerin üzerindeki kapanış hedef aralıktadır.</t>
        </is>
      </c>
      <c r="G13" s="107" t="inlineStr">
        <is>
          <t>Varsayım</t>
        </is>
      </c>
      <c r="H13" s="157" t="n">
        <v>46023</v>
      </c>
      <c r="I13" s="157" t="n">
        <v>46244</v>
      </c>
    </row>
    <row r="14" ht="25.5" customHeight="1" s="74">
      <c r="A14" s="154" t="inlineStr">
        <is>
          <t>Risk Skoru Eşiği</t>
        </is>
      </c>
      <c r="B14" s="160" t="n">
        <v>50</v>
      </c>
      <c r="C14" s="107" t="inlineStr">
        <is>
          <t>Skor</t>
        </is>
      </c>
      <c r="D14" s="156" t="n">
        <v>0</v>
      </c>
      <c r="E14" s="156" t="n">
        <v>100</v>
      </c>
      <c r="F14" s="112" t="inlineStr">
        <is>
          <t>Ortalama risk skoru bu eşiği aşarsa karar İNCELE olur.</t>
        </is>
      </c>
      <c r="G14" s="107" t="inlineStr">
        <is>
          <t>Varsayım</t>
        </is>
      </c>
      <c r="H14" s="157" t="n">
        <v>46023</v>
      </c>
      <c r="I14" s="157" t="n">
        <v>46244</v>
      </c>
    </row>
    <row r="15" ht="25.5" customHeight="1" s="74">
      <c r="A15" s="154" t="inlineStr">
        <is>
          <t>Maksimum Risk Skoru</t>
        </is>
      </c>
      <c r="B15" s="160" t="n">
        <v>100</v>
      </c>
      <c r="C15" s="107" t="inlineStr">
        <is>
          <t>Skor</t>
        </is>
      </c>
      <c r="D15" s="156" t="n">
        <v>0</v>
      </c>
      <c r="E15" s="156" t="n">
        <v>100</v>
      </c>
      <c r="F15" s="112" t="inlineStr">
        <is>
          <t>Kapanış sıfırsa atanacak en yüksek risk skoru.</t>
        </is>
      </c>
      <c r="G15" s="107" t="inlineStr">
        <is>
          <t>Varsayım</t>
        </is>
      </c>
      <c r="H15" s="157" t="n">
        <v>46023</v>
      </c>
      <c r="I15" s="157" t="n">
        <v>46244</v>
      </c>
    </row>
    <row r="16" ht="25.5" customHeight="1" s="74">
      <c r="A16" s="154" t="inlineStr">
        <is>
          <t>Yüksek Risk Skoru</t>
        </is>
      </c>
      <c r="B16" s="160" t="n">
        <v>80</v>
      </c>
      <c r="C16" s="107" t="inlineStr">
        <is>
          <t>Skor</t>
        </is>
      </c>
      <c r="D16" s="156" t="n">
        <v>0</v>
      </c>
      <c r="E16" s="156" t="n">
        <v>100</v>
      </c>
      <c r="F16" s="112" t="inlineStr">
        <is>
          <t>Asgari eşiğin altındaki kapanışa atanan risk skoru.</t>
        </is>
      </c>
      <c r="G16" s="107" t="inlineStr">
        <is>
          <t>Varsayım</t>
        </is>
      </c>
      <c r="H16" s="157" t="n">
        <v>46023</v>
      </c>
      <c r="I16" s="157" t="n">
        <v>46244</v>
      </c>
    </row>
    <row r="17" ht="25.5" customHeight="1" s="74">
      <c r="A17" s="154" t="inlineStr">
        <is>
          <t>Orta Risk Skoru</t>
        </is>
      </c>
      <c r="B17" s="160" t="n">
        <v>50</v>
      </c>
      <c r="C17" s="107" t="inlineStr">
        <is>
          <t>Skor</t>
        </is>
      </c>
      <c r="D17" s="156" t="n">
        <v>0</v>
      </c>
      <c r="E17" s="156" t="n">
        <v>100</v>
      </c>
      <c r="F17" s="112" t="inlineStr">
        <is>
          <t>Asgari-hedef aralığındaki kapanışa atanan risk skoru.</t>
        </is>
      </c>
      <c r="G17" s="107" t="inlineStr">
        <is>
          <t>Varsayım</t>
        </is>
      </c>
      <c r="H17" s="157" t="n">
        <v>46023</v>
      </c>
      <c r="I17" s="157" t="n">
        <v>46244</v>
      </c>
    </row>
    <row r="18" ht="25.5" customHeight="1" s="74">
      <c r="A18" s="154" t="inlineStr">
        <is>
          <t>Düşük Risk Skoru</t>
        </is>
      </c>
      <c r="B18" s="160" t="n">
        <v>20</v>
      </c>
      <c r="C18" s="107" t="inlineStr">
        <is>
          <t>Skor</t>
        </is>
      </c>
      <c r="D18" s="156" t="n">
        <v>0</v>
      </c>
      <c r="E18" s="156" t="n">
        <v>100</v>
      </c>
      <c r="F18" s="112" t="inlineStr">
        <is>
          <t>Hedefin üzerindeki kapanışa atanan risk skoru.</t>
        </is>
      </c>
      <c r="G18" s="107" t="inlineStr">
        <is>
          <t>Varsayım</t>
        </is>
      </c>
      <c r="H18" s="157" t="n">
        <v>46023</v>
      </c>
      <c r="I18" s="157" t="n">
        <v>46244</v>
      </c>
    </row>
    <row r="19" ht="25.5" customHeight="1" s="74">
      <c r="A19" s="154" t="inlineStr">
        <is>
          <t>İyimser Senaryo Çarpanı</t>
        </is>
      </c>
      <c r="B19" s="161" t="n">
        <v>1.05</v>
      </c>
      <c r="C19" s="107" t="inlineStr">
        <is>
          <t>Oran</t>
        </is>
      </c>
      <c r="D19" s="156" t="n">
        <v>0.5</v>
      </c>
      <c r="E19" s="156" t="n">
        <v>1.5</v>
      </c>
      <c r="F19" s="112" t="inlineStr">
        <is>
          <t>İyimser senaryoda nakit girişi bu çarpanla hesaplanır.</t>
        </is>
      </c>
      <c r="G19" s="107" t="inlineStr">
        <is>
          <t>Varsayım</t>
        </is>
      </c>
      <c r="H19" s="157" t="n">
        <v>46023</v>
      </c>
      <c r="I19" s="157" t="n">
        <v>46244</v>
      </c>
    </row>
    <row r="20" ht="25.5" customHeight="1" s="74">
      <c r="A20" s="154" t="inlineStr">
        <is>
          <t>Baz Senaryo Çarpanı</t>
        </is>
      </c>
      <c r="B20" s="161" t="n">
        <v>1</v>
      </c>
      <c r="C20" s="107" t="inlineStr">
        <is>
          <t>Oran</t>
        </is>
      </c>
      <c r="D20" s="156" t="n">
        <v>0.5</v>
      </c>
      <c r="E20" s="156" t="n">
        <v>1.5</v>
      </c>
      <c r="F20" s="112" t="inlineStr">
        <is>
          <t>Baz senaryoda nakit girişi bu çarpanla hesaplanır.</t>
        </is>
      </c>
      <c r="G20" s="107" t="inlineStr">
        <is>
          <t>Varsayım</t>
        </is>
      </c>
      <c r="H20" s="157" t="n">
        <v>46023</v>
      </c>
      <c r="I20" s="157" t="n">
        <v>46244</v>
      </c>
    </row>
    <row r="21" ht="25.5" customHeight="1" s="74">
      <c r="A21" s="154" t="inlineStr">
        <is>
          <t>Kötümser Senaryo Çarpanı</t>
        </is>
      </c>
      <c r="B21" s="161" t="n">
        <v>0.95</v>
      </c>
      <c r="C21" s="107" t="inlineStr">
        <is>
          <t>Oran</t>
        </is>
      </c>
      <c r="D21" s="156" t="n">
        <v>0.5</v>
      </c>
      <c r="E21" s="156" t="n">
        <v>1.5</v>
      </c>
      <c r="F21" s="112" t="inlineStr">
        <is>
          <t>Kötümser senaryoda nakit girişi bu çarpanla hesaplanır.</t>
        </is>
      </c>
      <c r="G21" s="107" t="inlineStr">
        <is>
          <t>Varsayım</t>
        </is>
      </c>
      <c r="H21" s="157" t="n">
        <v>46023</v>
      </c>
      <c r="I21" s="157" t="n">
        <v>46244</v>
      </c>
    </row>
    <row r="22" ht="25.5" customHeight="1" s="74">
      <c r="A22" s="154" t="inlineStr">
        <is>
          <t>Tornado Tahsilat Etkisi</t>
        </is>
      </c>
      <c r="B22" s="161" t="n">
        <v>0.01</v>
      </c>
      <c r="C22" s="107" t="inlineStr">
        <is>
          <t>Oran</t>
        </is>
      </c>
      <c r="D22" s="156" t="n">
        <v>0</v>
      </c>
      <c r="E22" s="156" t="n">
        <v>1</v>
      </c>
      <c r="F22" s="112" t="inlineStr">
        <is>
          <t>Tahsilatın %1 artışının kapanışa etkisi.</t>
        </is>
      </c>
      <c r="G22" s="107" t="inlineStr">
        <is>
          <t>Varsayım</t>
        </is>
      </c>
      <c r="H22" s="157" t="n">
        <v>46023</v>
      </c>
      <c r="I22" s="157" t="n">
        <v>46244</v>
      </c>
    </row>
    <row r="23" ht="25.5" customHeight="1" s="74">
      <c r="A23" s="154" t="inlineStr">
        <is>
          <t>Tornado Gider Etkisi</t>
        </is>
      </c>
      <c r="B23" s="161" t="n">
        <v>0.01</v>
      </c>
      <c r="C23" s="107" t="inlineStr">
        <is>
          <t>Oran</t>
        </is>
      </c>
      <c r="D23" s="156" t="n">
        <v>0</v>
      </c>
      <c r="E23" s="156" t="n">
        <v>1</v>
      </c>
      <c r="F23" s="112" t="inlineStr">
        <is>
          <t>Giderin %1 artışının kapanışa etkisi.</t>
        </is>
      </c>
      <c r="G23" s="107" t="inlineStr">
        <is>
          <t>Varsayım</t>
        </is>
      </c>
      <c r="H23" s="157" t="n">
        <v>46023</v>
      </c>
      <c r="I23" s="157" t="n">
        <v>46244</v>
      </c>
    </row>
    <row r="24" ht="25.5" customHeight="1" s="74">
      <c r="A24" s="154" t="inlineStr">
        <is>
          <t>Tahmin Çarpanı</t>
        </is>
      </c>
      <c r="B24" s="161" t="n">
        <v>1.645</v>
      </c>
      <c r="C24" s="107" t="inlineStr">
        <is>
          <t>Oran</t>
        </is>
      </c>
      <c r="D24" s="156" t="n">
        <v>0</v>
      </c>
      <c r="E24" s="156" t="n">
        <v>3</v>
      </c>
      <c r="F24" s="112" t="inlineStr">
        <is>
          <t>Tahmin bandı genişliği (standart sapma katı).</t>
        </is>
      </c>
      <c r="G24" s="107" t="inlineStr">
        <is>
          <t>Varsayım</t>
        </is>
      </c>
      <c r="H24" s="157" t="n">
        <v>46023</v>
      </c>
      <c r="I24" s="157" t="n">
        <v>46244</v>
      </c>
    </row>
    <row r="25" ht="25.5" customHeight="1" s="74">
      <c r="A25" s="154" t="inlineStr">
        <is>
          <t>Kalite Skoru İyi Eşiği</t>
        </is>
      </c>
      <c r="B25" s="160" t="n">
        <v>90</v>
      </c>
      <c r="C25" s="107" t="inlineStr">
        <is>
          <t>Skor</t>
        </is>
      </c>
      <c r="D25" s="156" t="n">
        <v>0</v>
      </c>
      <c r="E25" s="156" t="n">
        <v>100</v>
      </c>
      <c r="F25" s="112" t="inlineStr">
        <is>
          <t>Kalite skoru bu eşiğin üzerindeyse YÜKSEK kalite.</t>
        </is>
      </c>
      <c r="G25" s="107" t="inlineStr">
        <is>
          <t>Varsayım</t>
        </is>
      </c>
      <c r="H25" s="157" t="n">
        <v>46023</v>
      </c>
      <c r="I25" s="157" t="n">
        <v>46244</v>
      </c>
    </row>
    <row r="26" ht="25.5" customHeight="1" s="74">
      <c r="A26" s="154" t="inlineStr">
        <is>
          <t>Kalite Skoru Orta Eşiği</t>
        </is>
      </c>
      <c r="B26" s="160" t="n">
        <v>70</v>
      </c>
      <c r="C26" s="107" t="inlineStr">
        <is>
          <t>Skor</t>
        </is>
      </c>
      <c r="D26" s="156" t="n">
        <v>0</v>
      </c>
      <c r="E26" s="156" t="n">
        <v>100</v>
      </c>
      <c r="F26" s="112" t="inlineStr">
        <is>
          <t>Kalite skoru bu eşiğin üzerindeyse ORTA kalite.</t>
        </is>
      </c>
      <c r="G26" s="107" t="inlineStr">
        <is>
          <t>Varsayım</t>
        </is>
      </c>
      <c r="H26" s="157" t="n">
        <v>46023</v>
      </c>
      <c r="I26" s="157" t="n">
        <v>46244</v>
      </c>
    </row>
    <row r="27" ht="25.5" customHeight="1" s="74">
      <c r="A27" s="154" t="inlineStr">
        <is>
          <t>Aksiyon 1 Açıklaması</t>
        </is>
      </c>
      <c r="B27" s="162" t="inlineStr">
        <is>
          <t>Negatif kapanış ayı varsa ödeme planını yeniden yapılandırın ve tahsilatı hızlandırın.</t>
        </is>
      </c>
      <c r="C27" s="107" t="inlineStr">
        <is>
          <t>Metin</t>
        </is>
      </c>
      <c r="D27" s="156" t="n"/>
      <c r="E27" s="156" t="n"/>
      <c r="F27" s="112" t="inlineStr">
        <is>
          <t>DURDUR kararında gösterilen ilk öneri.</t>
        </is>
      </c>
      <c r="G27" s="107" t="inlineStr">
        <is>
          <t>Varsayım</t>
        </is>
      </c>
      <c r="H27" s="157" t="n">
        <v>46023</v>
      </c>
      <c r="I27" s="157" t="n">
        <v>46244</v>
      </c>
    </row>
    <row r="28" ht="25.5" customHeight="1" s="74">
      <c r="A28" s="154" t="inlineStr">
        <is>
          <t>Aksiyon 2 Açıklaması</t>
        </is>
      </c>
      <c r="B28" s="162" t="inlineStr">
        <is>
          <t>Risk skoru yüksekse stok ve operasyon giderlerini kısıp kredi taksitlerini gözden geçirin.</t>
        </is>
      </c>
      <c r="C28" s="107" t="inlineStr">
        <is>
          <t>Metin</t>
        </is>
      </c>
      <c r="D28" s="156" t="n"/>
      <c r="E28" s="156" t="n"/>
      <c r="F28" s="112" t="inlineStr">
        <is>
          <t>İNCELE kararında gösterilen ikinci öneri.</t>
        </is>
      </c>
      <c r="G28" s="107" t="inlineStr">
        <is>
          <t>Varsayım</t>
        </is>
      </c>
      <c r="H28" s="157" t="n">
        <v>46023</v>
      </c>
      <c r="I28" s="157" t="n">
        <v>46244</v>
      </c>
    </row>
    <row r="29" ht="25.5" customHeight="1" s="74">
      <c r="A29" s="154" t="inlineStr">
        <is>
          <t>Aksiyon 3 Açıklaması</t>
        </is>
      </c>
      <c r="B29" s="162" t="inlineStr">
        <is>
          <t>Net nakit değişimi negatifse tahsilat kanallarını ve gider kontrolünü birlikte inceleyin.</t>
        </is>
      </c>
      <c r="C29" s="107" t="inlineStr">
        <is>
          <t>Metin</t>
        </is>
      </c>
      <c r="D29" s="156" t="n"/>
      <c r="E29" s="156" t="n"/>
      <c r="F29" s="112" t="inlineStr">
        <is>
          <t>İNCELE kararında gösterilen üçüncü öneri.</t>
        </is>
      </c>
      <c r="G29" s="107" t="inlineStr">
        <is>
          <t>Varsayım</t>
        </is>
      </c>
      <c r="H29" s="157" t="n">
        <v>46023</v>
      </c>
      <c r="I29" s="157" t="n">
        <v>46244</v>
      </c>
    </row>
    <row r="30" ht="25.5" customHeight="1" s="74">
      <c r="A30" s="154" t="inlineStr">
        <is>
          <t>P90 Yüzdelik Oranı</t>
        </is>
      </c>
      <c r="B30" s="161" t="n">
        <v>0.9</v>
      </c>
      <c r="C30" s="107" t="inlineStr">
        <is>
          <t>Oran</t>
        </is>
      </c>
      <c r="D30" s="156" t="n">
        <v>0.5</v>
      </c>
      <c r="E30" s="156" t="n">
        <v>1</v>
      </c>
      <c r="F30" s="112" t="inlineStr">
        <is>
          <t>Kapanış dağılımında üst yüzdelik dilimin oranı.</t>
        </is>
      </c>
      <c r="G30" s="107" t="inlineStr">
        <is>
          <t>Varsayım</t>
        </is>
      </c>
      <c r="H30" s="157" t="n">
        <v>46023</v>
      </c>
      <c r="I30" s="157" t="n">
        <v>46244</v>
      </c>
    </row>
    <row r="32" ht="19.5" customHeight="1" s="74">
      <c r="A32" s="106" t="inlineStr">
        <is>
          <t>Panel Satır Numarası 1</t>
        </is>
      </c>
      <c r="B32" s="163" t="n">
        <v>1</v>
      </c>
      <c r="C32" s="107" t="inlineStr">
        <is>
          <t>Satır</t>
        </is>
      </c>
      <c r="F32" s="112" t="inlineStr">
        <is>
          <t>PANO'daki aylık grafik serisinin tablodaki veri satırı (1. ay).</t>
        </is>
      </c>
      <c r="G32" s="107" t="inlineStr">
        <is>
          <t>Kullanıcı</t>
        </is>
      </c>
      <c r="H32" s="157" t="n">
        <v>46023</v>
      </c>
      <c r="I32" s="157" t="n">
        <v>46244</v>
      </c>
    </row>
    <row r="33" ht="19.5" customHeight="1" s="74">
      <c r="A33" s="106" t="inlineStr">
        <is>
          <t>Panel Satır Numarası 2</t>
        </is>
      </c>
      <c r="B33" s="163" t="n">
        <v>2</v>
      </c>
      <c r="C33" s="107" t="inlineStr">
        <is>
          <t>Satır</t>
        </is>
      </c>
      <c r="F33" s="112" t="inlineStr">
        <is>
          <t>PANO'daki aylık grafik serisinin tablodaki veri satırı (2. ay).</t>
        </is>
      </c>
      <c r="G33" s="107" t="inlineStr">
        <is>
          <t>Kullanıcı</t>
        </is>
      </c>
      <c r="H33" s="157" t="n">
        <v>46023</v>
      </c>
      <c r="I33" s="157" t="n">
        <v>46244</v>
      </c>
    </row>
    <row r="34" ht="19.5" customHeight="1" s="74">
      <c r="A34" s="106" t="inlineStr">
        <is>
          <t>Panel Satır Numarası 3</t>
        </is>
      </c>
      <c r="B34" s="163" t="n">
        <v>3</v>
      </c>
      <c r="C34" s="107" t="inlineStr">
        <is>
          <t>Satır</t>
        </is>
      </c>
      <c r="F34" s="112" t="inlineStr">
        <is>
          <t>PANO'daki aylık grafik serisinin tablodaki veri satırı (3. ay).</t>
        </is>
      </c>
      <c r="G34" s="107" t="inlineStr">
        <is>
          <t>Kullanıcı</t>
        </is>
      </c>
      <c r="H34" s="157" t="n">
        <v>46023</v>
      </c>
      <c r="I34" s="157" t="n">
        <v>46244</v>
      </c>
    </row>
    <row r="35" ht="19.5" customHeight="1" s="74">
      <c r="A35" s="106" t="inlineStr">
        <is>
          <t>Panel Satır Numarası 4</t>
        </is>
      </c>
      <c r="B35" s="163" t="n">
        <v>4</v>
      </c>
      <c r="C35" s="107" t="inlineStr">
        <is>
          <t>Satır</t>
        </is>
      </c>
      <c r="F35" s="112" t="inlineStr">
        <is>
          <t>PANO'daki aylık grafik serisinin tablodaki veri satırı (4. ay).</t>
        </is>
      </c>
      <c r="G35" s="107" t="inlineStr">
        <is>
          <t>Kullanıcı</t>
        </is>
      </c>
      <c r="H35" s="157" t="n">
        <v>46023</v>
      </c>
      <c r="I35" s="157" t="n">
        <v>46244</v>
      </c>
    </row>
    <row r="36" ht="19.5" customHeight="1" s="74">
      <c r="A36" s="106" t="inlineStr">
        <is>
          <t>Panel Satır Numarası 5</t>
        </is>
      </c>
      <c r="B36" s="163" t="n">
        <v>5</v>
      </c>
      <c r="C36" s="107" t="inlineStr">
        <is>
          <t>Satır</t>
        </is>
      </c>
      <c r="F36" s="112" t="inlineStr">
        <is>
          <t>PANO'daki aylık grafik serisinin tablodaki veri satırı (5. ay).</t>
        </is>
      </c>
      <c r="G36" s="107" t="inlineStr">
        <is>
          <t>Kullanıcı</t>
        </is>
      </c>
      <c r="H36" s="157" t="n">
        <v>46023</v>
      </c>
      <c r="I36" s="157" t="n">
        <v>46244</v>
      </c>
    </row>
    <row r="37" ht="19.5" customHeight="1" s="74">
      <c r="A37" s="106" t="inlineStr">
        <is>
          <t>Panel Satır Numarası 6</t>
        </is>
      </c>
      <c r="B37" s="163" t="n">
        <v>6</v>
      </c>
      <c r="C37" s="107" t="inlineStr">
        <is>
          <t>Satır</t>
        </is>
      </c>
      <c r="F37" s="112" t="inlineStr">
        <is>
          <t>PANO'daki aylık grafik serisinin tablodaki veri satırı (6. ay).</t>
        </is>
      </c>
      <c r="G37" s="107" t="inlineStr">
        <is>
          <t>Kullanıcı</t>
        </is>
      </c>
      <c r="H37" s="157" t="n">
        <v>46023</v>
      </c>
      <c r="I37" s="157" t="n">
        <v>46244</v>
      </c>
    </row>
    <row r="38" ht="19.5" customHeight="1" s="74">
      <c r="A38" s="106" t="inlineStr">
        <is>
          <t>Panel Satır Numarası 7</t>
        </is>
      </c>
      <c r="B38" s="163" t="n">
        <v>7</v>
      </c>
      <c r="C38" s="107" t="inlineStr">
        <is>
          <t>Satır</t>
        </is>
      </c>
      <c r="F38" s="112" t="inlineStr">
        <is>
          <t>PANO'daki aylık grafik serisinin tablodaki veri satırı (7. ay).</t>
        </is>
      </c>
      <c r="G38" s="107" t="inlineStr">
        <is>
          <t>Kullanıcı</t>
        </is>
      </c>
      <c r="H38" s="157" t="n">
        <v>46023</v>
      </c>
      <c r="I38" s="157" t="n">
        <v>46244</v>
      </c>
    </row>
    <row r="39" ht="19.5" customHeight="1" s="74">
      <c r="A39" s="106" t="inlineStr">
        <is>
          <t>Panel Satır Numarası 8</t>
        </is>
      </c>
      <c r="B39" s="163" t="n">
        <v>8</v>
      </c>
      <c r="C39" s="107" t="inlineStr">
        <is>
          <t>Satır</t>
        </is>
      </c>
      <c r="F39" s="112" t="inlineStr">
        <is>
          <t>PANO'daki aylık grafik serisinin tablodaki veri satırı (8. ay).</t>
        </is>
      </c>
      <c r="G39" s="107" t="inlineStr">
        <is>
          <t>Kullanıcı</t>
        </is>
      </c>
      <c r="H39" s="157" t="n">
        <v>46023</v>
      </c>
      <c r="I39" s="157" t="n">
        <v>46244</v>
      </c>
    </row>
    <row r="40" ht="19.5" customHeight="1" s="74">
      <c r="A40" s="106" t="inlineStr">
        <is>
          <t>Panel Satır Numarası 9</t>
        </is>
      </c>
      <c r="B40" s="163" t="n">
        <v>9</v>
      </c>
      <c r="C40" s="107" t="inlineStr">
        <is>
          <t>Satır</t>
        </is>
      </c>
      <c r="F40" s="112" t="inlineStr">
        <is>
          <t>PANO'daki aylık grafik serisinin tablodaki veri satırı (9. ay).</t>
        </is>
      </c>
      <c r="G40" s="107" t="inlineStr">
        <is>
          <t>Kullanıcı</t>
        </is>
      </c>
      <c r="H40" s="157" t="n">
        <v>46023</v>
      </c>
      <c r="I40" s="157" t="n">
        <v>46244</v>
      </c>
    </row>
    <row r="41" ht="19.5" customHeight="1" s="74">
      <c r="A41" s="106" t="inlineStr">
        <is>
          <t>Panel Satır Numarası 10</t>
        </is>
      </c>
      <c r="B41" s="163" t="n">
        <v>10</v>
      </c>
      <c r="C41" s="107" t="inlineStr">
        <is>
          <t>Satır</t>
        </is>
      </c>
      <c r="F41" s="112" t="inlineStr">
        <is>
          <t>PANO'daki aylık grafik serisinin tablodaki veri satırı (10. ay).</t>
        </is>
      </c>
      <c r="G41" s="107" t="inlineStr">
        <is>
          <t>Kullanıcı</t>
        </is>
      </c>
      <c r="H41" s="157" t="n">
        <v>46023</v>
      </c>
      <c r="I41" s="157" t="n">
        <v>46244</v>
      </c>
    </row>
    <row r="42" ht="19.5" customHeight="1" s="74">
      <c r="A42" s="106" t="inlineStr">
        <is>
          <t>Panel Satır Numarası 11</t>
        </is>
      </c>
      <c r="B42" s="163" t="n">
        <v>11</v>
      </c>
      <c r="C42" s="107" t="inlineStr">
        <is>
          <t>Satır</t>
        </is>
      </c>
      <c r="F42" s="112" t="inlineStr">
        <is>
          <t>PANO'daki aylık grafik serisinin tablodaki veri satırı (11. ay).</t>
        </is>
      </c>
      <c r="G42" s="107" t="inlineStr">
        <is>
          <t>Kullanıcı</t>
        </is>
      </c>
      <c r="H42" s="157" t="n">
        <v>46023</v>
      </c>
      <c r="I42" s="157" t="n">
        <v>46244</v>
      </c>
    </row>
    <row r="43" ht="19.5" customHeight="1" s="74">
      <c r="A43" s="106" t="inlineStr">
        <is>
          <t>Panel Satır Numarası 12</t>
        </is>
      </c>
      <c r="B43" s="163" t="n">
        <v>12</v>
      </c>
      <c r="C43" s="107" t="inlineStr">
        <is>
          <t>Satır</t>
        </is>
      </c>
      <c r="F43" s="112" t="inlineStr">
        <is>
          <t>PANO'daki aylık grafik serisinin tablodaki veri satırı (12. ay).</t>
        </is>
      </c>
      <c r="G43" s="107" t="inlineStr">
        <is>
          <t>Kullanıcı</t>
        </is>
      </c>
      <c r="H43" s="157" t="n">
        <v>46023</v>
      </c>
      <c r="I43" s="157" t="n">
        <v>46244</v>
      </c>
    </row>
    <row r="45" ht="15" customHeight="1" s="74">
      <c r="B45" s="164" t="inlineStr">
        <is>
          <t>VARSAYIM AÇIKLAMALARI</t>
        </is>
      </c>
    </row>
    <row r="46" ht="60" customHeight="1" s="74">
      <c r="B46" s="165" t="inlineStr">
        <is>
          <t>Tüm eşikler ve çarpanlar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46:I46"/>
    <mergeCell ref="A1:AD1"/>
    <mergeCell ref="B45:I45"/>
  </mergeCells>
  <dataValidations count="24">
    <dataValidation sqref="B7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 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u Hazı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Dönem Başı Nakit (₺)" prompt="İlk ayın kapanış nakdi bu tutardan başlar." type="decimal" errorStyle="stop" operator="between">
      <formula1>0</formula1>
      <formula2>1000000000</formula2>
    </dataValidation>
    <dataValidation sqref="B12" showDropDown="0" showInputMessage="1" showErrorMessage="1" allowBlank="0" error="Değer geçersiz; alan açıklamasına uygun bir değer girin." promptTitle="Asgari Nakit Eşiği (₺)" prompt="Bu değerin altındaki kapanış riskli kabul edilir." type="decimal" errorStyle="stop" operator="between">
      <formula1>0</formula1>
      <formula2>1000000000</formula2>
    </dataValidation>
    <dataValidation sqref="B13" showDropDown="0" showInputMessage="1" showErrorMessage="1" allowBlank="0" error="Değer geçersiz; alan açıklamasına uygun bir değer girin." promptTitle="Hedef Nakit Eşiği (₺)" prompt="Bu değerin üzerindeki kapanış hedef aralıktadır." type="decimal" errorStyle="stop" operator="between">
      <formula1>0</formula1>
      <formula2>1000000000</formula2>
    </dataValidation>
    <dataValidation sqref="B14" showDropDown="0" showInputMessage="1" showErrorMessage="1" allowBlank="0" error="Değer geçersiz; alan açıklamasına uygun bir değer girin." promptTitle="Risk Skoru Eşiği" prompt="Ortalama risk skoru bu eşiği aşarsa karar İNCELE olu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Maksimum Risk Skoru" prompt="Kapanış sıfırsa atanacak en yüksek risk skoru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Yüksek Risk Skoru" prompt="Asgari eşiğin altındaki kapanışa atanan risk skoru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Orta Risk Skoru" prompt="Asgari-hedef aralığındaki kapanışa atanan risk skoru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Düşük Risk Skoru" prompt="Hedefin üzerindeki kapanışa atanan risk skoru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İyimser Senaryo Çarpanı" prompt="İyimser senaryoda nakit girişi bu çarpanla hesaplanır." type="decimal" errorStyle="stop" operator="between">
      <formula1>0.5</formula1>
      <formula2>1.5</formula2>
    </dataValidation>
    <dataValidation sqref="B20" showDropDown="0" showInputMessage="1" showErrorMessage="1" allowBlank="0" error="Değer geçersiz; alan açıklamasına uygun bir değer girin." promptTitle="Baz Senaryo Çarpanı" prompt="Baz senaryoda nakit girişi bu çarpanla hesaplanır." type="decimal" errorStyle="stop" operator="between">
      <formula1>0.5</formula1>
      <formula2>1.5</formula2>
    </dataValidation>
    <dataValidation sqref="B21" showDropDown="0" showInputMessage="1" showErrorMessage="1" allowBlank="0" error="Değer geçersiz; alan açıklamasına uygun bir değer girin." promptTitle="Kötümser Senaryo Çarpanı" prompt="Kötümser senaryoda nakit girişi bu çarpanla hesaplanır." type="decimal" errorStyle="stop" operator="between">
      <formula1>0.5</formula1>
      <formula2>1.5</formula2>
    </dataValidation>
    <dataValidation sqref="B22" showDropDown="0" showInputMessage="1" showErrorMessage="1" allowBlank="0" error="Değer geçersiz; alan açıklamasına uygun bir değer girin." promptTitle="Tornado Tahsilat Etkisi" prompt="Tahsilatın %1 artışının kapanışa etkisi." type="decimal" errorStyle="stop" operator="between">
      <formula1>0</formula1>
      <formula2>1</formula2>
    </dataValidation>
    <dataValidation sqref="B23" showDropDown="0" showInputMessage="1" showErrorMessage="1" allowBlank="0" error="Değer geçersiz; alan açıklamasına uygun bir değer girin." promptTitle="Tornado Gider Etkisi" prompt="Giderin %1 artışının kapanışa etkisi." type="decimal" errorStyle="stop" operator="between">
      <formula1>0</formula1>
      <formula2>1</formula2>
    </dataValidation>
    <dataValidation sqref="B24" showDropDown="0" showInputMessage="1" showErrorMessage="1" allowBlank="0" error="Değer geçersiz; alan açıklamasına uygun bir değer girin." promptTitle="Tahmin Çarpanı" prompt="Tahmin bandı genişliği (standart sapma katı)." type="decimal" errorStyle="stop" operator="between">
      <formula1>0</formula1>
      <formula2>3</formula2>
    </dataValidation>
    <dataValidation sqref="B25" showDropDown="0" showInputMessage="1" showErrorMessage="1" allowBlank="0" error="Değer geçersiz; alan açıklamasına uygun bir değer girin." promptTitle="Kalite Skoru İyi Eşiği" prompt="Kalite skoru bu eşiğin üzerindeyse YÜKSEK kalite." type="decimal" errorStyle="stop" operator="between">
      <formula1>0</formula1>
      <formula2>100</formula2>
    </dataValidation>
    <dataValidation sqref="B26" showDropDown="0" showInputMessage="1" showErrorMessage="1" allowBlank="0" error="Değer geçersiz; alan açıklamasına uygun bir değer girin." promptTitle="Kalite Skoru Orta Eşiği" prompt="Kalite skoru bu eşiğin üzerindeyse ORTA kalite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Aksiyon 1 Açıklaması" prompt="DURDUR kararında gösterilen ilk öneri." type="textLength" errorStyle="stop" operator="between">
      <formula1>1</formula1>
      <formula2>200</formula2>
    </dataValidation>
    <dataValidation sqref="B28" showDropDown="0" showInputMessage="1" showErrorMessage="1" allowBlank="0" error="Değer geçersiz; alan açıklamasına uygun bir değer girin." promptTitle="Aksiyon 2 Açıklaması" prompt="İNCELE kararında gösterilen ikinci öneri." type="textLength" errorStyle="stop" operator="between">
      <formula1>1</formula1>
      <formula2>200</formula2>
    </dataValidation>
    <dataValidation sqref="B29" showDropDown="0" showInputMessage="1" showErrorMessage="1" allowBlank="0" error="Değer geçersiz; alan açıklamasına uygun bir değer girin." promptTitle="Aksiyon 3 Açıklaması" prompt="İNCELE kararında gösterilen üçüncü öneri." type="textLength" errorStyle="stop" operator="between">
      <formula1>1</formula1>
      <formula2>200</formula2>
    </dataValidation>
    <dataValidation sqref="B30" showDropDown="0" showInputMessage="1" showErrorMessage="1" allowBlank="0" error="Değer geçersiz; alan açıklamasına uygun bir değer girin." promptTitle="P90 Yüzdelik Oranı" prompt="Kapanış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60" customWidth="1" style="100" min="2" max="2"/>
  </cols>
  <sheetData>
    <row r="1" ht="25.5" customHeight="1" s="74">
      <c r="A1" s="101" t="inlineStr">
        <is>
          <t>KILAVUZ — KOBİ Finans Yönetim Paketi</t>
        </is>
      </c>
    </row>
    <row r="3" ht="15.75" customHeight="1" s="74">
      <c r="A3" s="108" t="inlineStr">
        <is>
          <t>Kullanım Kılavuzu</t>
        </is>
      </c>
    </row>
    <row r="5" ht="15" customHeight="1" s="74">
      <c r="A5" s="109" t="inlineStr">
        <is>
          <t>Veri girişi</t>
        </is>
      </c>
      <c r="B5" s="105" t="inlineStr">
        <is>
          <t>AYLIK_VERI sayfasında sarı hücrelere dönem, kasa/banka/cari/POS tahsilat, stok alışı, operasyon gideri, maaş ve kredi taksidini girin. Her satır bir aydır.</t>
        </is>
      </c>
    </row>
    <row r="6" ht="15" customHeight="1" s="74">
      <c r="A6" s="109" t="inlineStr">
        <is>
          <t>Hesap katmanı</t>
        </is>
      </c>
      <c r="B6" s="105" t="inlineStr">
        <is>
          <t>HESAP sayfası konsolide nakit girişi, çıkışı, net değişim, kapanış nakit ve kâr tahmini kurar.</t>
        </is>
      </c>
    </row>
    <row r="7" ht="15" customHeight="1" s="74">
      <c r="A7" s="109" t="inlineStr">
        <is>
          <t>Karar ve rapor</t>
        </is>
      </c>
      <c r="B7" s="105" t="inlineStr">
        <is>
          <t>KARAR sayfası UYGUN/İNCELE/DURDUR kararını üretir; RAPOR yöneticiye sunulabilir.</t>
        </is>
      </c>
    </row>
    <row r="8" ht="15" customHeight="1" s="74">
      <c r="A8" s="109" t="inlineStr">
        <is>
          <t>Ayarlar</t>
        </is>
      </c>
      <c r="B8" s="105" t="inlineStr">
        <is>
          <t>AYARLAR sayfasındaki eşikleri ve çarpanları mali müşavir veya kendi tecrübenize göre güncelleyin.</t>
        </is>
      </c>
    </row>
    <row r="9" ht="15" customHeight="1" s="74">
      <c r="A9" s="109" t="inlineStr">
        <is>
          <t>Koruma</t>
        </is>
      </c>
      <c r="B9" s="105" t="inlineStr">
        <is>
          <t>Tüm sayfalar 1234 şifresiyle korunur; sarı hücreler serbesttir, formül hücreleri kilitlidir.</t>
        </is>
      </c>
    </row>
    <row r="11" ht="24.75" customHeight="1" s="74">
      <c r="A11" s="112" t="inlineStr">
        <is>
          <t>Bu dosya karar destek aracıdır; muhasebe kaydı ve vergi beyanı niteliği taşımaz.</t>
        </is>
      </c>
    </row>
    <row r="13" ht="15" customHeight="1" s="74">
      <c r="A13" s="104" t="inlineStr">
        <is>
          <t>Varsayım İşaretli Parametreler</t>
        </is>
      </c>
    </row>
    <row r="14" ht="41.25" customHeight="1" s="74">
      <c r="A14" s="105" t="inlineStr">
        <is>
          <t>Aşağıdaki eşik ve çarpanlar AYARLAR sayfasında kaynak=Varsayım olarak işaretlidir; mevzuat zorunluluğu yoktur ve işletmeye göre güncellenmelidir.</t>
        </is>
      </c>
      <c r="B14" s="100" t="n"/>
    </row>
    <row r="15" ht="15" customHeight="1" s="74">
      <c r="A15" s="166" t="inlineStr">
        <is>
          <t>• Asgari ve Hedef Nakit Eşiği (₺)</t>
        </is>
      </c>
    </row>
    <row r="16" ht="24.75" customHeight="1" s="74">
      <c r="A16" s="166" t="inlineStr">
        <is>
          <t>• Risk Skoru Eşiği ve Risk Skoru Ağırlıkları (Maks/Yüksek/Orta/Düşük)</t>
        </is>
      </c>
    </row>
    <row r="17" ht="15" customHeight="1" s="74">
      <c r="A17" s="166" t="inlineStr">
        <is>
          <t>• İyimser, Baz ve Kötümser Senaryo Çarpanları</t>
        </is>
      </c>
    </row>
    <row r="18" ht="15" customHeight="1" s="74">
      <c r="A18" s="166" t="inlineStr">
        <is>
          <t>• Tornado Tahsilat ve Gider Etkisi Oranları</t>
        </is>
      </c>
    </row>
    <row r="19" ht="15" customHeight="1" s="74">
      <c r="A19" s="166" t="inlineStr">
        <is>
          <t>• Tahmin Çarpanı (standart sapma katı)</t>
        </is>
      </c>
    </row>
    <row r="20" ht="15" customHeight="1" s="74">
      <c r="A20" s="166" t="inlineStr">
        <is>
          <t>• Kalite Skoru İyi ve Orta Eşikleri</t>
        </is>
      </c>
    </row>
    <row r="21" ht="15" customHeight="1" s="74">
      <c r="A21" s="166" t="inlineStr">
        <is>
          <t>• Aksiyon Önerisi Açıklamaları</t>
        </is>
      </c>
    </row>
    <row r="23" ht="24.75" customHeight="1" s="74">
      <c r="A23" s="112" t="inlineStr">
        <is>
          <t>Bu dosya tamamen çevrimdışı çalışır; verileriniz cihazınızdan çıkmaz. Makro ve dış bağlantı yoktur.</t>
        </is>
      </c>
      <c r="B23" s="10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23:T23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2026-08-10T09:58:25Z</dcterms:created>
  <dcterms:modified xmlns:dcterms="http://purl.org/dc/terms/" xmlns:xsi="http://www.w3.org/2001/XMLSchema-instance" xsi:type="dcterms:W3CDTF">2026-09-25T14:23:17Z</dcterms:modified>
  <cp:revision>0</cp:revision>
</cp:coreProperties>
</file>