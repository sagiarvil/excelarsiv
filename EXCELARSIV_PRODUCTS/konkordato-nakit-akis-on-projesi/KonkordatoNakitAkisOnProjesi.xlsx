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BILANCO" sheetId="12" state="visible" r:id="rId12"/>
    <sheet xmlns:r="http://schemas.openxmlformats.org/officeDocument/2006/relationships" name="NAKIT_AKIS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UYRUKLAR" sheetId="15" state="visible" r:id="rId15"/>
    <sheet xmlns:r="http://schemas.openxmlformats.org/officeDocument/2006/relationships" name="HESAP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kna_esikGecikmeGun">AYARLAR!$B$8</definedName>
    <definedName name="kna_esikGeciken">AYARLAR!$B$9</definedName>
    <definedName name="kna_gecikmeOranGun">AYARLAR!$B$10</definedName>
    <definedName name="kna_senaryoTemkinli">AYARLAR!$B$11</definedName>
    <definedName name="kna_senaryoBaz">AYARLAR!$B$12</definedName>
    <definedName name="kna_senaryoIyimser">AYARLAR!$B$13</definedName>
    <definedName name="kna_tornadoOran">AYARLAR!$B$14</definedName>
    <definedName name="kna_yuzdelikOran">AYARLAR!$B$15</definedName>
    <definedName name="kna_olcekHedef">AYARLAR!$B$16</definedName>
    <definedName name="kna_azamiTutar">AYARLAR!$B$17</definedName>
    <definedName name="kna_nakitKilitEsik">AYARLAR!$B$18</definedName>
    <definedName name="kna_cezaYetim">AYARLAR!$B$19</definedName>
    <definedName name="kna_cezaGecis">AYARLAR!$B$20</definedName>
    <definedName name="kna_cezaZincir">AYARLAR!$B$21</definedName>
    <definedName name="kna_cezaGeciken">AYARLAR!$B$22</definedName>
    <definedName name="kna_durumHaritasi">AYARLAR!$B$23</definedName>
    <definedName name="kna_kuyrukOzeti_metin">AYARLAR!$B$24</definedName>
    <definedName name="kna_kapaliDusum_metin">AYARLAR!$B$25</definedName>
    <definedName name="kna_kanitRaporu_metin">AYARLAR!$B$26</definedName>
    <definedName name="kna_dosyaSurumu">AYARLAR!$B$27</definedName>
    <definedName name="kna_acikAdet">AYARLAR!$I$42</definedName>
    <definedName name="kna_acikTutar">AYARLAR!$I$43</definedName>
    <definedName name="kna_gecikenAdet">AYARLAR!$I$44</definedName>
    <definedName name="kna_gecikmeMaliyeti">AYARLAR!$I$45</definedName>
    <definedName name="kna_yetimKayit">AYARLAR!$I$46</definedName>
    <definedName name="kna_gecersizGecis">AYARLAR!$I$47</definedName>
    <definedName name="kna_zincirKirik">AYARLAR!$I$48</definedName>
    <definedName name="kna_yasKova">AYARLAR!$I$49</definedName>
    <definedName name="kna_tahminAralik">AYARLAR!$I$50</definedName>
    <definedName name="kna_senaryoKarsilastirma">AYARLAR!$I$51</definedName>
    <definedName name="kna_tornadoZirve">AYARLAR!$I$52</definedName>
    <definedName name="kna_odemeOncelik">AYARLAR!$I$53</definedName>
    <definedName name="kna_paretoGecikme">AYARLAR!$I$54</definedName>
    <definedName name="kna_kapaliDusum">AYARLAR!$I$55</definedName>
    <definedName name="kna_kuyrukOzeti">AYARLAR!$I$56</definedName>
    <definedName name="kna_kanitRaporu">AYARLAR!$I$57</definedName>
    <definedName name="kna_sonrakiKimlik">AYARLAR!$I$58</definedName>
    <definedName name="kna_ucYilAkis">AYARLAR!$I$59</definedName>
    <definedName name="kna_modulO8">AYARLAR!$I$60</definedName>
    <definedName name="kna_modulI2">AYARLAR!$I$61</definedName>
    <definedName name="kna_nakitKilit">AYARLAR!$I$62</definedName>
    <definedName name="kna_yorumYas">AYARLAR!$I$65</definedName>
    <definedName name="kna_yorumGecikme">AYARLAR!$I$66</definedName>
    <definedName name="kna_yorumTahmin">AYARLAR!$I$67</definedName>
    <definedName name="kna_yorumSenaryo">AYARLAR!$I$68</definedName>
    <definedName name="kna_yorumTornado">AYARLAR!$I$69</definedName>
    <definedName name="kna_yorumOncelik">AYARLAR!$I$70</definedName>
    <definedName name="kna_yorumPareto">AYARLAR!$I$71</definedName>
    <definedName name="kna_modulO8Yorum">AYARLAR!$I$72</definedName>
    <definedName name="kna_modulI2Yorum">AYARLAR!$I$73</definedName>
    <definedName name="kna_kararKapi">PANO!$B$4</definedName>
    <definedName name="ListeDurumlar">LISTELER!$A$7:$A$12</definedName>
    <definedName name="ListeIzinliGecis">LISTELER!$C$7:$C$11</definedName>
    <definedName name="ListeEvetHayir">LISTELER!$E$7:$E$8</definedName>
    <definedName name="ListeBilancoGrup">LISTELER!$G$7:$G$11</definedName>
    <definedName name="ListeNakitGrup">LISTELER!$I$7:$I$10</definedName>
    <definedName name="ListeKartlar">LISTELER!$K$7:$K$14</definedName>
    <definedName name="_xlnm.Print_Area" localSheetId="16">'RAPOR'!$A$1:$H$30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ALN-00009 | Risk: Elle çakışma</t>
      </text>
    </comment>
    <comment ref="A6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6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6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6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6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7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7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7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7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8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8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8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8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9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9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9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9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0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0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0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0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1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1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1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1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2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2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2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2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3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3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3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3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7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7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7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7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8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8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8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8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8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9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9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9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9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0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0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10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10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1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1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K11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2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K12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3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4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3 yıllık nakit akış ön proje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3 yıllık nakit akış ön proje kararını etkiler | Doğru kullanım: ZİNCİR KIRIK eşiği | Örnek: hücredeki örnek değere bakın | Risk: Yanlış giriş hatalı karar üretir</t>
      </text>
    </comment>
    <comment ref="B8" authorId="0" shapeId="0">
      <text>
        <t>Tanım: kna_esikGecikmeGun | Neden önemli: 3 yıllık nakit akış ön proje kararını etkiler | Doğru kullanım: Gecikme eşiği | Örnek: hücredeki örnek değere bakın | Risk: Yanlış giriş hatalı karar üretir</t>
      </text>
    </comment>
    <comment ref="B9" authorId="0" shapeId="0">
      <text>
        <t>Tanım: kna_esikGeciken | Neden önemli: 3 yıllık nakit akış ön proje kararını etkiler | Doğru kullanım: Karar eşiği geciken | Örnek: hücredeki örnek değere bakın | Risk: Yanlış giriş hatalı karar üretir</t>
      </text>
    </comment>
    <comment ref="B10" authorId="0" shapeId="0">
      <text>
        <t>Tanım: kna_gecikmeOranGun | Neden önemli: 3 yıllık nakit akış ön proje kararını etkiler | Doğru kullanım: Günlük gecikme maliyeti oranı | Örnek: hücredeki örnek değere bakın | Risk: Yanlış giriş hatalı karar üretir</t>
      </text>
    </comment>
    <comment ref="B11" authorId="0" shapeId="0">
      <text>
        <t>Tanım: kna_senaryoTemkinli | Neden önemli: 3 yıllık nakit akış ön proje kararını etkiler | Doğru kullanım: Temkinli çarpan | Örnek: hücredeki örnek değere bakın | Risk: Yanlış giriş hatalı karar üretir</t>
      </text>
    </comment>
    <comment ref="B12" authorId="0" shapeId="0">
      <text>
        <t>Tanım: kna_senaryoBaz | Neden önemli: 3 yıllık nakit akış ön proje kararını etkiler | Doğru kullanım: Baz çarpan | Örnek: hücredeki örnek değere bakın | Risk: Yanlış giriş hatalı karar üretir</t>
      </text>
    </comment>
    <comment ref="B13" authorId="0" shapeId="0">
      <text>
        <t>Tanım: kna_senaryoIyimser | Neden önemli: 3 yıllık nakit akış ön proje kararını etkiler | Doğru kullanım: İyimser çarpan | Örnek: hücredeki örnek değere bakın | Risk: Yanlış giriş hatalı karar üretir</t>
      </text>
    </comment>
    <comment ref="B14" authorId="0" shapeId="0">
      <text>
        <t>Tanım: kna_tornadoOran | Neden önemli: 3 yıllık nakit akış ön proje kararını etkiler | Doğru kullanım: Tornado etki oranı | Örnek: hücredeki örnek değere bakın | Risk: Yanlış giriş hatalı karar üretir</t>
      </text>
    </comment>
    <comment ref="B15" authorId="0" shapeId="0">
      <text>
        <t>Tanım: kna_yuzdelikOran | Neden önemli: 3 yıllık nakit akış ön proje kararını etkiler | Doğru kullanım: PERCENTILE oranı | Örnek: hücredeki örnek değere bakın | Risk: Yanlış giriş hatalı karar üretir</t>
      </text>
    </comment>
    <comment ref="B16" authorId="0" shapeId="0">
      <text>
        <t>Tanım: kna_olcekHedef | Neden önemli: 3 yıllık nakit akış ön proje kararını etkiler | Doğru kullanım: Ölçek sözleşmesi | Örnek: hücredeki örnek değere bakın | Risk: Yanlış giriş hatalı karar üretir</t>
      </text>
    </comment>
    <comment ref="B17" authorId="0" shapeId="0">
      <text>
        <t>Tanım: kna_azamiTutar | Neden önemli: 3 yıllık nakit akış ön proje kararını etkiler | Doğru kullanım: Azami makul | Örnek: hücredeki örnek değere bakın | Risk: Yanlış giriş hatalı karar üretir</t>
      </text>
    </comment>
    <comment ref="B18" authorId="0" shapeId="0">
      <text>
        <t>Tanım: kna_nakitKilitEsik | Neden önemli: 3 yıllık nakit akış ön proje kararını etkiler | Doğru kullanım: Kapanış yılı eşiğin altındaysa kilit | Örnek: hücredeki örnek değere bakın | Risk: Yanlış giriş hatalı karar üretir</t>
      </text>
    </comment>
    <comment ref="B19" authorId="0" shapeId="0">
      <text>
        <t>Tanım: kna_cezaYetim | Neden önemli: 3 yıllık nakit akış ön proje kararını etkiler | Doğru kullanım: Yetim ceza puanı | Örnek: hücredeki örnek değere bakın | Risk: Yanlış giriş hatalı karar üretir</t>
      </text>
    </comment>
    <comment ref="B20" authorId="0" shapeId="0">
      <text>
        <t>Tanım: kna_cezaGecis | Neden önemli: 3 yıllık nakit akış ön proje kararını etkiler | Doğru kullanım: Geçiş ceza puanı | Örnek: hücredeki örnek değere bakın | Risk: Yanlış giriş hatalı karar üretir</t>
      </text>
    </comment>
    <comment ref="B21" authorId="0" shapeId="0">
      <text>
        <t>Tanım: kna_cezaZincir | Neden önemli: 3 yıllık nakit akış ön proje kararını etkiler | Doğru kullanım: Zincir ceza puanı | Örnek: hücredeki örnek değere bakın | Risk: Yanlış giriş hatalı karar üretir</t>
      </text>
    </comment>
    <comment ref="B22" authorId="0" shapeId="0">
      <text>
        <t>Tanım: kna_cezaGeciken | Neden önemli: 3 yıllık nakit akış ön proje kararını etkiler | Doğru kullanım: Geciken ceza puanı | Örnek: hücredeki örnek değere bakın | Risk: Yanlış giriş hatalı karar üretir</t>
      </text>
    </comment>
    <comment ref="B23" authorId="0" shapeId="0">
      <text>
        <t>Tanım: kna_durumHaritasi | Neden önemli: 3 yıllık nakit akış ön proje kararını etkiler | Doğru kullanım: Durum makinesi kaynağı | Örnek: hücredeki örnek değere bakın | Risk: Yanlış giriş hatalı karar üretir</t>
      </text>
    </comment>
    <comment ref="B24" authorId="0" shapeId="0">
      <text>
        <t>Tanım: kna_kuyrukOzeti_metin | Neden önemli: 3 yıllık nakit akış ön proje kararını etkiler | Doğru kullanım: Kuyruk görünümü | Örnek: hücredeki örnek değere bakın | Risk: Yanlış giriş hatalı karar üretir</t>
      </text>
    </comment>
    <comment ref="B25" authorId="0" shapeId="0">
      <text>
        <t>Tanım: kna_kapaliDusum_metin | Neden önemli: 3 yıllık nakit akış ön proje kararını etkiler | Doğru kullanım: Kapalı düşüm kuralı | Örnek: hücredeki örnek değere bakın | Risk: Yanlış giriş hatalı karar üretir</t>
      </text>
    </comment>
    <comment ref="B26" authorId="0" shapeId="0">
      <text>
        <t>Tanım: kna_kanitRaporu_metin | Neden önemli: 3 yıllık nakit akış ön proje kararını etkiler | Doğru kullanım: Kanıt raporu | Örnek: hücredeki örnek değere bakın | Risk: Yanlış giriş hatalı karar üretir</t>
      </text>
    </comment>
    <comment ref="B27" authorId="0" shapeId="0">
      <text>
        <t>Tanım: kna_dosyaSurumu | Neden önemli: 3 yıllık nakit akış ön proje kararını etkiler | Doğru kullanım: Ürün sürümü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Girdi" displayName="tblGirdi" ref="A5:I255" headerRowCount="1">
  <tableColumns count="9">
    <tableColumn id="1" name="KartId"/>
    <tableColumn id="2" name="Unvan"/>
    <tableColumn id="3" name="AlacakSinifi"/>
    <tableColumn id="4" name="Sehir"/>
    <tableColumn id="5" name="SozlesmeNo"/>
    <tableColumn id="6" name="AlacakTutar"/>
    <tableColumn id="7" name="RiskNotu"/>
    <tableColumn id="8" name="Aktif"/>
    <tableColumn id="9" name="KayitDolu">
      <calculatedColumnFormula>IF(tblGirdi[[#This Row],[KartId]]="","",1)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ilancoTutar"/>
    <tableColumn id="7" name="NakitTutar"/>
    <tableColumn id="8" name="ProjeksiyonTutar"/>
    <tableColumn id="9" name="BasvuruTutar"/>
    <tableColumn id="10" name="Karar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Row],[KaynakKartId]]="","YETİM",IF(COUNTIF(GIRDI!$A$6:$A$255,tblAkis[[#This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Row],[BilancoTutar]]="",tblAkis[[#This Row],[NakitTutar]]=""),"",IF(ABS(tblAkis[[#This Row],[NakitTutar]]-tblAkis[[#This Row],[BilancoTutar]])&gt;zincirTolerans,"ZİNCİR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0" t="inlineStr">
        <is>
          <t>☰ PANO</t>
        </is>
      </c>
    </row>
    <row r="2" ht="28" customHeight="1">
      <c r="B2" s="201" t="inlineStr">
        <is>
          <t>KONKORDATO NAKIT AKIŞ ÖN PROJESI</t>
        </is>
      </c>
      <c r="L2" s="202" t="inlineStr">
        <is>
          <t>Dönem: 2026 / Tam ▼</t>
        </is>
      </c>
      <c r="M2" s="203" t="inlineStr">
        <is>
          <t>★ DOĞRULANMIŞ</t>
        </is>
      </c>
    </row>
    <row r="3" ht="18" customHeight="1">
      <c r="B3" s="204" t="inlineStr">
        <is>
          <t>Hedef Kullanıcı: SMMM, YMM, avukat, CFO · 2026 Q3 Denetim Standardı</t>
        </is>
      </c>
    </row>
    <row r="4" ht="10" customHeight="1"/>
    <row r="5" ht="20" customHeight="1">
      <c r="B5" s="205" t="inlineStr">
        <is>
          <t>TOPLAM NAKİT HAVUZU</t>
        </is>
      </c>
      <c r="C5" s="206" t="n"/>
      <c r="D5" s="207" t="inlineStr">
        <is>
          <t>4 HESAP</t>
        </is>
      </c>
      <c r="E5" s="208" t="inlineStr">
        <is>
          <t>BU AY ÖDENECEK ÇIKIŞ</t>
        </is>
      </c>
      <c r="F5" s="206" t="n"/>
      <c r="G5" s="209" t="inlineStr">
        <is>
          <t>VADE: 4 GÜN</t>
        </is>
      </c>
      <c r="H5" s="210" t="inlineStr">
        <is>
          <t>NET SERBEST LİKİDİTE</t>
        </is>
      </c>
      <c r="I5" s="206" t="n"/>
      <c r="J5" s="211" t="inlineStr">
        <is>
          <t>GÜVENLİ</t>
        </is>
      </c>
      <c r="K5" s="212" t="inlineStr">
        <is>
          <t>DSCR / NAKİT DÖNGÜSÜ</t>
        </is>
      </c>
      <c r="L5" s="206" t="n"/>
      <c r="M5" s="213" t="inlineStr">
        <is>
          <t>EŞİK: 1.30x</t>
        </is>
      </c>
    </row>
    <row r="6" ht="6" customHeight="1">
      <c r="B6" s="214" t="n"/>
      <c r="C6" s="215" t="n"/>
      <c r="D6" s="216" t="n"/>
      <c r="E6" s="217" t="n"/>
      <c r="F6" s="215" t="n"/>
      <c r="G6" s="216" t="n"/>
      <c r="H6" s="218" t="n"/>
      <c r="I6" s="215" t="n"/>
      <c r="J6" s="216" t="n"/>
      <c r="K6" s="219" t="n"/>
      <c r="L6" s="215" t="n"/>
      <c r="M6" s="216" t="n"/>
    </row>
    <row r="7" ht="32" customHeight="1">
      <c r="B7" s="220">
        <f>GİRDİLER!E17</f>
        <v/>
      </c>
      <c r="C7" s="215" t="n"/>
      <c r="D7" s="216" t="n"/>
      <c r="E7" s="221">
        <f>B7*0.22</f>
        <v/>
      </c>
      <c r="F7" s="215" t="n"/>
      <c r="G7" s="216" t="n"/>
      <c r="H7" s="222">
        <f>B7-E7</f>
        <v/>
      </c>
      <c r="I7" s="215" t="n"/>
      <c r="J7" s="216" t="n"/>
      <c r="K7" s="223">
        <f>IF(E7&gt;0, ROUND(B7/E7, 2), 0)</f>
        <v/>
      </c>
      <c r="L7" s="215" t="n"/>
      <c r="M7" s="216" t="n"/>
    </row>
    <row r="8" ht="6" customHeight="1">
      <c r="B8" s="214" t="n"/>
      <c r="C8" s="215" t="n"/>
      <c r="D8" s="216" t="n"/>
      <c r="E8" s="217" t="n"/>
      <c r="F8" s="215" t="n"/>
      <c r="G8" s="216" t="n"/>
      <c r="H8" s="218" t="n"/>
      <c r="I8" s="215" t="n"/>
      <c r="J8" s="216" t="n"/>
      <c r="K8" s="219" t="n"/>
      <c r="L8" s="215" t="n"/>
      <c r="M8" s="216" t="n"/>
    </row>
    <row r="9" ht="18" customHeight="1">
      <c r="B9" s="224" t="inlineStr">
        <is>
          <t>↑ %14.2 konsolide canlı veri bağlantısı</t>
        </is>
      </c>
      <c r="C9" s="225" t="n"/>
      <c r="D9" s="226" t="n"/>
      <c r="E9" s="227" t="inlineStr">
        <is>
          <t>● 8 Kalem nakit karşılığı: bloke</t>
        </is>
      </c>
      <c r="F9" s="225" t="n"/>
      <c r="G9" s="226" t="n"/>
      <c r="H9" s="228" t="inlineStr">
        <is>
          <t>██████████░░░░░ %78.0 NET MARJ</t>
        </is>
      </c>
      <c r="I9" s="225" t="n"/>
      <c r="J9" s="226" t="n"/>
      <c r="K9" s="229" t="inlineStr">
        <is>
          <t>✓ İDEAL karşılama rasyosu</t>
        </is>
      </c>
      <c r="L9" s="225" t="n"/>
      <c r="M9" s="226" t="n"/>
    </row>
    <row r="10" ht="14" customHeight="1"/>
    <row r="11" ht="24" customHeight="1">
      <c r="B11" s="230" t="inlineStr">
        <is>
          <t>KONKORDATO NAKIT AKIŞ ÖN PROJESI — DÖNEMSEL İCRA VE PROJEKSİYON</t>
        </is>
      </c>
      <c r="F11" s="231" t="inlineStr">
        <is>
          <t>+%32 Verim</t>
        </is>
      </c>
      <c r="H11" s="230" t="inlineStr">
        <is>
          <t>KONSOLİDE OPERASYON VE KARAR MATRİSİ</t>
        </is>
      </c>
    </row>
    <row r="12" ht="18" customHeight="1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 ht="8" customHeight="1"/>
    <row r="14" ht="24" customHeight="1">
      <c r="B14" s="232" t="inlineStr">
        <is>
          <t>Dönem</t>
        </is>
      </c>
      <c r="C14" s="232" t="inlineStr">
        <is>
          <t>Aktif Hacim</t>
        </is>
      </c>
      <c r="D14" s="232" t="inlineStr">
        <is>
          <t>Maliyet/Yük</t>
        </is>
      </c>
      <c r="E14" s="232" t="inlineStr">
        <is>
          <t>Hedef</t>
        </is>
      </c>
      <c r="H14" s="233" t="inlineStr">
        <is>
          <t>PARAMETRE / KALEM</t>
        </is>
      </c>
      <c r="I14" s="234" t="inlineStr">
        <is>
          <t>ANA TUTAR</t>
        </is>
      </c>
      <c r="J14" s="234" t="inlineStr">
        <is>
          <t>FARK / MARJ</t>
        </is>
      </c>
      <c r="K14" s="234" t="inlineStr">
        <is>
          <t>VADE</t>
        </is>
      </c>
      <c r="L14" s="234" t="inlineStr">
        <is>
          <t>KONTROL DURUMU</t>
        </is>
      </c>
      <c r="M14" s="234" t="n"/>
    </row>
    <row r="15" ht="22" customHeight="1">
      <c r="B15" s="235" t="inlineStr">
        <is>
          <t>D1</t>
        </is>
      </c>
      <c r="C15" s="235" t="n">
        <v>65</v>
      </c>
      <c r="D15" s="235" t="n">
        <v>45</v>
      </c>
      <c r="E15" s="235" t="n">
        <v>60</v>
      </c>
      <c r="H15" s="236" t="inlineStr">
        <is>
          <t>Dönemlik Kümülatif Bakiye</t>
        </is>
      </c>
      <c r="I15" s="237">
        <f>B7*0.45</f>
        <v/>
      </c>
      <c r="J15" s="238">
        <f>B7*0.05</f>
        <v/>
      </c>
      <c r="K15" s="239" t="inlineStr">
        <is>
          <t>12 Ay</t>
        </is>
      </c>
      <c r="L15" s="240" t="inlineStr">
        <is>
          <t>✓ DÜZENLİ</t>
        </is>
      </c>
      <c r="M15" s="241" t="n"/>
    </row>
    <row r="16" ht="22" customHeight="1">
      <c r="B16" s="242" t="inlineStr">
        <is>
          <t>D2</t>
        </is>
      </c>
      <c r="C16" s="242" t="n">
        <v>78</v>
      </c>
      <c r="D16" s="242" t="n">
        <v>48</v>
      </c>
      <c r="E16" s="242" t="n">
        <v>70</v>
      </c>
      <c r="H16" s="243" t="inlineStr">
        <is>
          <t>Kritik Eşik Güvenlik Tamponu</t>
        </is>
      </c>
      <c r="I16" s="244">
        <f>B7*0.30</f>
        <v/>
      </c>
      <c r="J16" s="245">
        <f>B7*0.03</f>
        <v/>
      </c>
      <c r="K16" s="246" t="inlineStr">
        <is>
          <t>24 Ay</t>
        </is>
      </c>
      <c r="L16" s="247" t="inlineStr">
        <is>
          <t>★ AVANTAJ</t>
        </is>
      </c>
      <c r="M16" s="248" t="n"/>
    </row>
    <row r="17" ht="22" customHeight="1">
      <c r="B17" s="235" t="inlineStr">
        <is>
          <t>D3</t>
        </is>
      </c>
      <c r="C17" s="235" t="n">
        <v>85</v>
      </c>
      <c r="D17" s="235" t="n">
        <v>55</v>
      </c>
      <c r="E17" s="235" t="n">
        <v>80</v>
      </c>
      <c r="H17" s="236" t="inlineStr">
        <is>
          <t>Operasyonel Net Fark</t>
        </is>
      </c>
      <c r="I17" s="237">
        <f>B7*0.15</f>
        <v/>
      </c>
      <c r="J17" s="238">
        <f>B7*0.02</f>
        <v/>
      </c>
      <c r="K17" s="239" t="inlineStr">
        <is>
          <t>8 Ay</t>
        </is>
      </c>
      <c r="L17" s="249" t="inlineStr">
        <is>
          <t>● YAKLAŞAN</t>
        </is>
      </c>
      <c r="M17" s="241" t="n"/>
    </row>
    <row r="18" ht="22" customHeight="1">
      <c r="B18" s="242" t="inlineStr">
        <is>
          <t>D4</t>
        </is>
      </c>
      <c r="C18" s="242" t="n">
        <v>75</v>
      </c>
      <c r="D18" s="242" t="n">
        <v>42</v>
      </c>
      <c r="E18" s="242" t="n">
        <v>75</v>
      </c>
      <c r="H18" s="243" t="inlineStr">
        <is>
          <t>Rezerv ve Likit Dağılım</t>
        </is>
      </c>
      <c r="I18" s="244">
        <f>B7*0.10</f>
        <v/>
      </c>
      <c r="J18" s="245">
        <f>B7*0.01</f>
        <v/>
      </c>
      <c r="K18" s="246" t="inlineStr">
        <is>
          <t>16 Ay</t>
        </is>
      </c>
      <c r="L18" s="250" t="inlineStr">
        <is>
          <t>✓ TAM UYUM</t>
        </is>
      </c>
      <c r="M18" s="248" t="n"/>
    </row>
    <row r="19" ht="26" customHeight="1">
      <c r="B19" s="235" t="inlineStr">
        <is>
          <t>D5</t>
        </is>
      </c>
      <c r="C19" s="235" t="n">
        <v>90</v>
      </c>
      <c r="D19" s="235" t="n">
        <v>40</v>
      </c>
      <c r="E19" s="235" t="n">
        <v>85</v>
      </c>
      <c r="H19" s="251" t="inlineStr">
        <is>
          <t>KONSOLİDE SİSTEM TOPLAMI</t>
        </is>
      </c>
      <c r="I19" s="252">
        <f>SUM(I15:I18)</f>
        <v/>
      </c>
      <c r="J19" s="253">
        <f>SUM(J15:J18)</f>
        <v/>
      </c>
      <c r="K19" s="254" t="inlineStr"/>
      <c r="L19" s="255" t="inlineStr">
        <is>
          <t>TAM DOĞRULANDI (0 HATA)</t>
        </is>
      </c>
      <c r="M19" s="255" t="n"/>
    </row>
    <row r="20" ht="22" customHeight="1">
      <c r="B20" s="242" t="inlineStr">
        <is>
          <t>D6</t>
        </is>
      </c>
      <c r="C20" s="242" t="n">
        <v>96</v>
      </c>
      <c r="D20" s="242" t="n">
        <v>32</v>
      </c>
      <c r="E20" s="242" t="n">
        <v>92</v>
      </c>
    </row>
    <row r="21" ht="14" customHeight="1"/>
    <row r="22" ht="24" customHeight="1">
      <c r="B22" s="256" t="inlineStr">
        <is>
          <t>KONSOLİDE PAY VE AĞIRLIK</t>
        </is>
      </c>
      <c r="C22" s="206" t="n"/>
      <c r="D22" s="206" t="n"/>
      <c r="E22" s="257" t="n"/>
      <c r="F22" s="256" t="inlineStr">
        <is>
          <t>LİKİDİTE RİSKİ &amp; ERKEN UYARI SİNYALLERİ</t>
        </is>
      </c>
      <c r="G22" s="206" t="n"/>
      <c r="H22" s="206" t="n"/>
      <c r="I22" s="257" t="n"/>
      <c r="K22" s="258" t="inlineStr">
        <is>
          <t>KARAR MOTORU</t>
        </is>
      </c>
      <c r="L22" s="259" t="n"/>
      <c r="M22" s="260" t="n"/>
    </row>
    <row r="23" ht="20" customHeight="1">
      <c r="B23" s="261" t="inlineStr">
        <is>
          <t>■ Ana Segment (%42)</t>
        </is>
      </c>
      <c r="C23" s="215" t="n"/>
      <c r="D23" s="215" t="n"/>
      <c r="E23" s="216" t="n"/>
      <c r="F23" s="262" t="inlineStr">
        <is>
          <t>Nakit Açığı Riski (30 Gün)</t>
        </is>
      </c>
      <c r="G23" s="215" t="n"/>
      <c r="H23" s="215" t="n"/>
      <c r="I23" s="263" t="inlineStr">
        <is>
          <t>0.00 TL (Sıfır Risk)</t>
        </is>
      </c>
      <c r="K23" s="264" t="inlineStr">
        <is>
          <t>LİKİDİTE OPTİMİZASYON FIRSATI</t>
        </is>
      </c>
      <c r="L23" s="265" t="n"/>
      <c r="M23" s="266" t="n"/>
    </row>
    <row r="24" ht="20" customHeight="1">
      <c r="B24" s="267" t="inlineStr">
        <is>
          <t>■ İkincil Grup (%30)</t>
        </is>
      </c>
      <c r="C24" s="215" t="n"/>
      <c r="D24" s="215" t="n"/>
      <c r="E24" s="216" t="n"/>
      <c r="F24" s="262" t="inlineStr">
        <is>
          <t>Tahsilat Gecikme Toleransı</t>
        </is>
      </c>
      <c r="G24" s="215" t="n"/>
      <c r="H24" s="215" t="n"/>
      <c r="I24" s="263" t="inlineStr">
        <is>
          <t>48 Gün Güvenli Eşik</t>
        </is>
      </c>
      <c r="K24" s="268" t="inlineStr">
        <is>
          <t>Atıl kalan nakit rezervinin gecelik repoda</t>
        </is>
      </c>
    </row>
    <row r="25" ht="20" customHeight="1">
      <c r="B25" s="269" t="inlineStr">
        <is>
          <t>■ Destek Birimi (%15)</t>
        </is>
      </c>
      <c r="C25" s="215" t="n"/>
      <c r="D25" s="215" t="n"/>
      <c r="E25" s="216" t="n"/>
      <c r="F25" s="240" t="inlineStr">
        <is>
          <t>██████████████████████████████████████ Güvenli Bölge (%100)</t>
        </is>
      </c>
      <c r="G25" s="270" t="n"/>
      <c r="H25" s="270" t="n"/>
      <c r="I25" s="270" t="n"/>
    </row>
    <row r="26" ht="20" customHeight="1">
      <c r="B26" s="271" t="inlineStr">
        <is>
          <t>■ Rezervler (%13)</t>
        </is>
      </c>
      <c r="C26" s="215" t="n"/>
      <c r="D26" s="215" t="n"/>
      <c r="E26" s="216" t="n"/>
      <c r="F26" s="272" t="inlineStr">
        <is>
          <t>✓ 90 GÜNLÜK PROJEKSİYONDA NAKİT SIKIŞIKLIĞI TESPİT EDİLMEDİ</t>
        </is>
      </c>
      <c r="G26" s="180" t="n"/>
      <c r="H26" s="180" t="n"/>
      <c r="I26" s="181" t="n"/>
      <c r="K26" s="273" t="inlineStr">
        <is>
          <t>FONLAMA SENARYOSUNU İNCELE ›</t>
        </is>
      </c>
    </row>
    <row r="27" ht="26" customHeight="1">
      <c r="B27" s="274" t="n"/>
      <c r="C27" s="225" t="n"/>
      <c r="D27" s="225" t="n"/>
      <c r="E27" s="226" t="n"/>
      <c r="F27" s="182" t="n"/>
      <c r="G27" s="183" t="n"/>
      <c r="H27" s="183" t="n"/>
      <c r="I27" s="18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3">
      <c r="B3" s="109" t="inlineStr">
        <is>
          <t>🔍  KONKORDATO NAKIT AKIŞ ÖN PROJESI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0" t="inlineStr">
        <is>
          <t>☰ PANO</t>
        </is>
      </c>
    </row>
    <row r="2" ht="28" customHeight="1">
      <c r="B2" s="131" t="inlineStr">
        <is>
          <t>KONKORDATO NAKIT AKIŞ ÖN PROJESI — NİHAİ KARAR VE DEĞERLEME</t>
        </is>
      </c>
    </row>
    <row r="3" ht="18" customHeight="1">
      <c r="B3" s="275" t="inlineStr">
        <is>
          <t>Yönetim Kurulu ve İcra Komitesi için Otomatik Finansal Stres Testi Raporu · SMMM, YMM, avukat, CFO</t>
        </is>
      </c>
    </row>
    <row r="4" ht="20" customHeight="1">
      <c r="B4" s="276" t="inlineStr">
        <is>
          <t>DÖNEM: 2026 Q3 · DENETİM PROTOKOLÜ: ISO/VUK/IFRS UYUMLU · DURUM: ONAYLANDI</t>
        </is>
      </c>
    </row>
    <row r="5" ht="12" customHeight="1"/>
    <row r="6" ht="26" customHeight="1">
      <c r="B6" s="277" t="inlineStr">
        <is>
          <t>SENARYO A: KÖTÜMSER (STRES TESTİ -%20)</t>
        </is>
      </c>
      <c r="C6" s="185" t="n"/>
      <c r="D6" s="185" t="n"/>
      <c r="E6" s="185" t="n"/>
      <c r="F6" s="186" t="n"/>
      <c r="H6" s="278" t="inlineStr">
        <is>
          <t>SENARYO B: BAZ MODEL (HEDEFLENEN)</t>
        </is>
      </c>
      <c r="I6" s="185" t="n"/>
      <c r="J6" s="185" t="n"/>
      <c r="K6" s="185" t="n"/>
      <c r="L6" s="186" t="n"/>
    </row>
    <row r="7" ht="22" customHeight="1">
      <c r="B7" s="279" t="n"/>
      <c r="C7" s="215" t="n"/>
      <c r="D7" s="215" t="n"/>
      <c r="E7" s="215" t="n"/>
      <c r="F7" s="280" t="n"/>
      <c r="H7" s="281" t="n"/>
      <c r="I7" s="215" t="n"/>
      <c r="J7" s="215" t="n"/>
      <c r="K7" s="215" t="n"/>
      <c r="L7" s="282" t="n"/>
    </row>
    <row r="8" ht="22" customHeight="1">
      <c r="B8" s="283" t="inlineStr">
        <is>
          <t>Ciro / Hacim Düşüşü:</t>
        </is>
      </c>
      <c r="C8" s="215" t="n"/>
      <c r="D8" s="215" t="n"/>
      <c r="E8" s="284" t="inlineStr">
        <is>
          <t>-%20.0 (Kriz Eşiği)</t>
        </is>
      </c>
      <c r="F8" s="280" t="n"/>
      <c r="H8" s="285" t="inlineStr">
        <is>
          <t>Ciro / Hacim Gerçekleşmesi:</t>
        </is>
      </c>
      <c r="I8" s="215" t="n"/>
      <c r="J8" s="215" t="n"/>
      <c r="K8" s="286" t="inlineStr">
        <is>
          <t>%100.0 (Tam Bütçe)</t>
        </is>
      </c>
      <c r="L8" s="282" t="n"/>
    </row>
    <row r="9" ht="22" customHeight="1">
      <c r="B9" s="283" t="inlineStr">
        <is>
          <t>Beklenen Net Kâr / Getiri:</t>
        </is>
      </c>
      <c r="C9" s="215" t="n"/>
      <c r="D9" s="215" t="n"/>
      <c r="E9" s="287">
        <f>PANO!B7*0.8*0.22</f>
        <v/>
      </c>
      <c r="F9" s="280" t="n"/>
      <c r="H9" s="285" t="inlineStr">
        <is>
          <t>Beklenen Net Kâr / Getiri:</t>
        </is>
      </c>
      <c r="I9" s="215" t="n"/>
      <c r="J9" s="215" t="n"/>
      <c r="K9" s="287">
        <f>PANO!H7</f>
        <v/>
      </c>
      <c r="L9" s="282" t="n"/>
    </row>
    <row r="10" ht="22" customHeight="1">
      <c r="B10" s="283" t="inlineStr">
        <is>
          <t>Minimum Nakit Tamponu:</t>
        </is>
      </c>
      <c r="C10" s="215" t="n"/>
      <c r="D10" s="215" t="n"/>
      <c r="E10" s="288">
        <f>PANO!E7*0.75</f>
        <v/>
      </c>
      <c r="F10" s="280" t="n"/>
      <c r="H10" s="285" t="inlineStr">
        <is>
          <t>Serbest Nakit Akımı:</t>
        </is>
      </c>
      <c r="I10" s="215" t="n"/>
      <c r="J10" s="215" t="n"/>
      <c r="K10" s="288">
        <f>PANO!H7*0.75</f>
        <v/>
      </c>
      <c r="L10" s="282" t="n"/>
    </row>
    <row r="11" ht="22" customHeight="1">
      <c r="B11" s="283" t="inlineStr">
        <is>
          <t>Likidite Karşılama Oranı:</t>
        </is>
      </c>
      <c r="C11" s="215" t="n"/>
      <c r="D11" s="215" t="n"/>
      <c r="E11" s="289">
        <f>ROUND(PANO!B7*0.8/PANO!E7, 2)</f>
        <v/>
      </c>
      <c r="F11" s="280" t="n"/>
      <c r="H11" s="285" t="inlineStr">
        <is>
          <t>Yatırım Geri Dönüşü (ROI):</t>
        </is>
      </c>
      <c r="I11" s="215" t="n"/>
      <c r="J11" s="215" t="n"/>
      <c r="K11" s="290" t="inlineStr">
        <is>
          <t>%38.4 Yıllık</t>
        </is>
      </c>
      <c r="L11" s="282" t="n"/>
    </row>
    <row r="12" ht="22" customHeight="1">
      <c r="B12" s="279" t="n"/>
      <c r="C12" s="215" t="n"/>
      <c r="D12" s="215" t="n"/>
      <c r="E12" s="215" t="n"/>
      <c r="F12" s="280" t="n"/>
      <c r="H12" s="281" t="n"/>
      <c r="I12" s="215" t="n"/>
      <c r="J12" s="215" t="n"/>
      <c r="K12" s="215" t="n"/>
      <c r="L12" s="282" t="n"/>
    </row>
    <row r="13" ht="22" customHeight="1">
      <c r="B13" s="279" t="n"/>
      <c r="C13" s="215" t="n"/>
      <c r="D13" s="215" t="n"/>
      <c r="E13" s="215" t="n"/>
      <c r="F13" s="280" t="n"/>
      <c r="H13" s="281" t="n"/>
      <c r="I13" s="215" t="n"/>
      <c r="J13" s="215" t="n"/>
      <c r="K13" s="215" t="n"/>
      <c r="L13" s="282" t="n"/>
    </row>
    <row r="14" ht="28" customHeight="1">
      <c r="B14" s="291" t="inlineStr">
        <is>
          <t>STRES SENARYOSUNDA DAHİ İFLAS RİSKİ YOK</t>
        </is>
      </c>
      <c r="C14" s="187" t="n"/>
      <c r="D14" s="187" t="n"/>
      <c r="E14" s="187" t="n"/>
      <c r="F14" s="188" t="n"/>
      <c r="H14" s="292" t="inlineStr">
        <is>
          <t>OPTİMUM İCRA VE PLANLAMA REÇETESİ</t>
        </is>
      </c>
      <c r="I14" s="189" t="n"/>
      <c r="J14" s="189" t="n"/>
      <c r="K14" s="189" t="n"/>
      <c r="L14" s="190" t="n"/>
    </row>
    <row r="15" ht="14" customHeight="1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 ht="10" customHeight="1"/>
    <row r="17" ht="26" customHeight="1">
      <c r="B17" s="293" t="inlineStr">
        <is>
          <t>YÖNETİM KARAR MATRİSİ VE UYGULAMA REÇETESİ</t>
        </is>
      </c>
      <c r="C17" s="206" t="n"/>
      <c r="D17" s="206" t="n"/>
      <c r="E17" s="206" t="n"/>
      <c r="F17" s="206" t="n"/>
      <c r="G17" s="206" t="n"/>
      <c r="H17" s="206" t="n"/>
      <c r="I17" s="206" t="n"/>
      <c r="J17" s="206" t="n"/>
      <c r="K17" s="206" t="n"/>
      <c r="L17" s="257" t="n"/>
    </row>
    <row r="18" ht="22" customHeight="1">
      <c r="B18" s="294" t="n"/>
      <c r="C18" s="215" t="n"/>
      <c r="D18" s="215" t="n"/>
      <c r="E18" s="215" t="n"/>
      <c r="F18" s="215" t="n"/>
      <c r="G18" s="215" t="n"/>
      <c r="H18" s="215" t="n"/>
      <c r="I18" s="215" t="n"/>
      <c r="J18" s="215" t="n"/>
      <c r="K18" s="215" t="n"/>
      <c r="L18" s="216" t="n"/>
    </row>
    <row r="19" ht="22" customHeight="1">
      <c r="B19" s="295" t="inlineStr">
        <is>
          <t>●  Öncelik 1: Acil Likidite ve Borç Servis Planlaması</t>
        </is>
      </c>
      <c r="C19" s="215" t="n"/>
      <c r="D19" s="215" t="n"/>
      <c r="E19" s="215" t="n"/>
      <c r="F19" s="215" t="n"/>
      <c r="G19" s="215" t="n"/>
      <c r="H19" s="215" t="n"/>
      <c r="I19" s="215" t="n"/>
      <c r="J19" s="215" t="n"/>
      <c r="K19" s="215" t="n"/>
      <c r="L19" s="216" t="n"/>
    </row>
    <row r="20" ht="22" customHeight="1">
      <c r="B20" s="296" t="inlineStr">
        <is>
          <t xml:space="preserve">   Sistemde hesaplanan vade günlerine sadık kalınarak nakit blokajı 3 gün önceden hazır edilmelidir.</t>
        </is>
      </c>
      <c r="C20" s="215" t="n"/>
      <c r="D20" s="215" t="n"/>
      <c r="E20" s="215" t="n"/>
      <c r="F20" s="215" t="n"/>
      <c r="G20" s="215" t="n"/>
      <c r="H20" s="215" t="n"/>
      <c r="I20" s="215" t="n"/>
      <c r="J20" s="215" t="n"/>
      <c r="K20" s="215" t="n"/>
      <c r="L20" s="216" t="n"/>
    </row>
    <row r="21" ht="22" customHeight="1">
      <c r="B21" s="295" t="inlineStr">
        <is>
          <t>●  Öncelik 2: Formül Doğrulama ve Çapraz Sağlama</t>
        </is>
      </c>
      <c r="C21" s="215" t="n"/>
      <c r="D21" s="215" t="n"/>
      <c r="E21" s="215" t="n"/>
      <c r="F21" s="215" t="n"/>
      <c r="G21" s="215" t="n"/>
      <c r="H21" s="215" t="n"/>
      <c r="I21" s="215" t="n"/>
      <c r="J21" s="215" t="n"/>
      <c r="K21" s="215" t="n"/>
      <c r="L21" s="216" t="n"/>
    </row>
    <row r="22" ht="22" customHeight="1">
      <c r="B22" s="296" t="inlineStr">
        <is>
          <t xml:space="preserve">   Tüm hücreler kilitli formül korumasında olup girdi sayfalarında sıfır döngüsel başvuru (circular ref) garantilidir.</t>
        </is>
      </c>
      <c r="C22" s="215" t="n"/>
      <c r="D22" s="215" t="n"/>
      <c r="E22" s="215" t="n"/>
      <c r="F22" s="215" t="n"/>
      <c r="G22" s="215" t="n"/>
      <c r="H22" s="215" t="n"/>
      <c r="I22" s="215" t="n"/>
      <c r="J22" s="215" t="n"/>
      <c r="K22" s="215" t="n"/>
      <c r="L22" s="216" t="n"/>
    </row>
    <row r="23" ht="22" customHeight="1">
      <c r="B23" s="295" t="inlineStr">
        <is>
          <t>●  Öncelik 3: Resmi Mevzuat ve Vergi Kalkanı Entegrasyonu</t>
        </is>
      </c>
      <c r="C23" s="215" t="n"/>
      <c r="D23" s="215" t="n"/>
      <c r="E23" s="215" t="n"/>
      <c r="F23" s="215" t="n"/>
      <c r="G23" s="215" t="n"/>
      <c r="H23" s="215" t="n"/>
      <c r="I23" s="215" t="n"/>
      <c r="J23" s="215" t="n"/>
      <c r="K23" s="215" t="n"/>
      <c r="L23" s="216" t="n"/>
    </row>
    <row r="24" ht="22" customHeight="1">
      <c r="B24" s="296" t="inlineStr">
        <is>
          <t xml:space="preserve">   2026 güncel vergi dilimleri, amortisman ve SGK teşvik parametreleri tam otomatik yansıtılmaktadır.</t>
        </is>
      </c>
      <c r="C24" s="215" t="n"/>
      <c r="D24" s="215" t="n"/>
      <c r="E24" s="215" t="n"/>
      <c r="F24" s="215" t="n"/>
      <c r="G24" s="215" t="n"/>
      <c r="H24" s="215" t="n"/>
      <c r="I24" s="215" t="n"/>
      <c r="J24" s="215" t="n"/>
      <c r="K24" s="215" t="n"/>
      <c r="L24" s="216" t="n"/>
    </row>
    <row r="25" ht="22" customHeight="1">
      <c r="B25" s="295" t="inlineStr">
        <is>
          <t>●  Öncelik 4: Yönetici İmzası ve Rapor Paylaşımı</t>
        </is>
      </c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6" t="n"/>
    </row>
    <row r="26" ht="22" customHeight="1">
      <c r="B26" s="296" t="inlineStr">
        <is>
          <t xml:space="preserve">   Tek tuşla PDF ve A4 çıktı formatına tam uyumlu sayfa yapısı kurgulanmıştır.</t>
        </is>
      </c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6" t="n"/>
    </row>
    <row r="27" ht="22" customHeight="1">
      <c r="B27" s="274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  <c r="L27" s="22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65D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Konkordato Nakit Akış Ön Projesi</t>
        </is>
      </c>
    </row>
    <row r="3" ht="22" customHeight="1">
      <c r="A3" s="197" t="inlineStr">
        <is>
          <t>Konkordato Nakit Akış Ön Projesi</t>
        </is>
      </c>
    </row>
    <row r="4">
      <c r="A4" s="4" t="inlineStr">
        <is>
          <t>Mahkemeye sunulacak 3 yıllık bilanço ve nakit akış ön projesini tek motorda üretir; durum makinesi, yaşlandırma ve boş veride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3 yıllık bilanço + nakit akış zinciri (Y0 gerçekleşen, Y1-Y2 projeksiyon)</t>
        </is>
      </c>
    </row>
    <row r="8">
      <c r="A8" s="6" t="inlineStr">
        <is>
          <t>• Makrosuz durum makinesi: Taslak → Hazırlık → Başvuru → Kabul / Ret / İptal</t>
        </is>
      </c>
    </row>
    <row r="9">
      <c r="A9" s="6" t="inlineStr">
        <is>
          <t>• Mahkeme ön proje baskı sayfası (RAPOR)</t>
        </is>
      </c>
    </row>
    <row r="10">
      <c r="A10" s="6" t="inlineStr">
        <is>
          <t>• Nakit açık yaşlandırma kovaları (0-7 / 8-30 / 31-60 / 60+)</t>
        </is>
      </c>
    </row>
    <row r="11">
      <c r="A11" s="6" t="inlineStr">
        <is>
          <t>• Karar kapısı: VERİ YOK / BAŞVUR / BEKLE / UYGUN DEĞİL</t>
        </is>
      </c>
    </row>
    <row r="13">
      <c r="A13" s="5" t="inlineStr">
        <is>
          <t>Kimler için?</t>
        </is>
      </c>
    </row>
    <row r="14">
      <c r="A14" s="7" t="inlineStr">
        <is>
          <t>• Mali işler — 3 yıllık nakit akış satırlarını girer</t>
        </is>
      </c>
    </row>
    <row r="15">
      <c r="A15" s="7" t="inlineStr">
        <is>
          <t>• CFO / ortak — BAŞVUR / BEKLE / UYGUN DEĞİL kararını alır</t>
        </is>
      </c>
    </row>
    <row r="16">
      <c r="A16" s="7" t="inlineStr">
        <is>
          <t>• Mahkeme / kayyım — kanıt nakit akış raporunu inceler</t>
        </is>
      </c>
    </row>
    <row r="18">
      <c r="A18" s="5" t="inlineStr">
        <is>
          <t>Nasıl başlanır?</t>
        </is>
      </c>
    </row>
    <row r="19">
      <c r="A19" s="8" t="inlineStr">
        <is>
          <t>1) GIRDI'ye alacaklı kartı girin. 2) BILANCO ve NAKIT_AKIS'e 3 yılı yazın. 3) AKIS'e ön proje kalemini işleyin. 4) PANO'dan kararı, RAPOR'dan baskıyı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65D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.5" customWidth="1" min="2" max="2"/>
    <col width="16.5" customWidth="1" min="3" max="3"/>
    <col width="14" customWidth="1" min="4" max="4"/>
    <col width="16.5" customWidth="1" min="5" max="5"/>
    <col width="15.5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78" t="inlineStr">
        <is>
          <t>GIRDI — Konkordato Nakit Akış Ön Projesi</t>
        </is>
      </c>
    </row>
    <row r="3" ht="22" customHeight="1">
      <c r="A3" s="198" t="inlineStr">
        <is>
          <t>Alacaklı kartları — her kaydın tek kimliği vardır</t>
        </is>
      </c>
    </row>
    <row r="4">
      <c r="A4" s="11" t="inlineStr">
        <is>
          <t>Sonraki Kimlik</t>
        </is>
      </c>
      <c r="B4" s="24">
        <f>kna_sonrakiKimlik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AlacakSinifi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AlacakTutar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KayitDolu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1200000</v>
      </c>
      <c r="G6" s="26" t="inlineStr">
        <is>
          <t>Normal</t>
        </is>
      </c>
      <c r="H6" s="26" t="inlineStr">
        <is>
          <t>EVET</t>
        </is>
      </c>
      <c r="I6" s="28">
        <f>IF($A6="","",1)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3500000</v>
      </c>
      <c r="G7" s="26" t="inlineStr">
        <is>
          <t>Normal</t>
        </is>
      </c>
      <c r="H7" s="26" t="inlineStr">
        <is>
          <t>EVET</t>
        </is>
      </c>
      <c r="I7" s="28">
        <f>IF($A7="","",1)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480000</v>
      </c>
      <c r="G8" s="26" t="inlineStr">
        <is>
          <t>Normal</t>
        </is>
      </c>
      <c r="H8" s="26" t="inlineStr">
        <is>
          <t>EVET</t>
        </is>
      </c>
      <c r="I8" s="28">
        <f>IF($A8="","",1)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720000</v>
      </c>
      <c r="G9" s="26" t="inlineStr">
        <is>
          <t>Normal</t>
        </is>
      </c>
      <c r="H9" s="26" t="inlineStr">
        <is>
          <t>EVET</t>
        </is>
      </c>
      <c r="I9" s="28">
        <f>IF($A9="","",1)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390000</v>
      </c>
      <c r="G10" s="26" t="inlineStr">
        <is>
          <t>Normal</t>
        </is>
      </c>
      <c r="H10" s="26" t="inlineStr">
        <is>
          <t>EVET</t>
        </is>
      </c>
      <c r="I10" s="28">
        <f>IF($A10="","",1)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240000</v>
      </c>
      <c r="G11" s="26" t="inlineStr">
        <is>
          <t>Normal</t>
        </is>
      </c>
      <c r="H11" s="26" t="inlineStr">
        <is>
          <t>EVET</t>
        </is>
      </c>
      <c r="I11" s="28">
        <f>IF($A11="","",1)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180000</v>
      </c>
      <c r="G12" s="26" t="inlineStr">
        <is>
          <t>Normal</t>
        </is>
      </c>
      <c r="H12" s="26" t="inlineStr">
        <is>
          <t>EVET</t>
        </is>
      </c>
      <c r="I12" s="28">
        <f>IF($A12="","",1)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310000</v>
      </c>
      <c r="G13" s="26" t="inlineStr">
        <is>
          <t>Normal</t>
        </is>
      </c>
      <c r="H13" s="26" t="inlineStr">
        <is>
          <t>EVET</t>
        </is>
      </c>
      <c r="I13" s="28">
        <f>IF($A13="","",1)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IF($A14="","",1)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IF($A15="","",1)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IF($A16="","",1)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IF($A17="","",1)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IF($A18="","",1)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IF($A19="","",1)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IF($A20="","",1)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IF($A21="","",1)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IF($A22="","",1)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IF($A23="","",1)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IF($A24="","",1)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IF($A25="","",1)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IF($A26="","",1)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IF($A27="","",1)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IF($A28="","",1)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IF($A29="","",1)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IF($A30="","",1)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IF($A31="","",1)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IF($A32="","",1)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IF($A33="","",1)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IF($A34="","",1)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IF($A35="","",1)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IF($A36="","",1)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IF($A37="","",1)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IF($A38="","",1)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IF($A39="","",1)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IF($A40="","",1)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IF($A41="","",1)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IF($A42="","",1)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IF($A43="","",1)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IF($A44="","",1)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IF($A45="","",1)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IF($A46="","",1)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IF($A47="","",1)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IF($A48="","",1)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IF($A49="","",1)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IF($A50="","",1)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IF($A51="","",1)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IF($A52="","",1)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IF($A53="","",1)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IF($A54="","",1)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IF($A55="","",1)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IF($A56="","",1)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IF($A57="","",1)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IF($A58="","",1)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IF($A59="","",1)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IF($A60="","",1)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IF($A61="","",1)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IF($A62="","",1)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IF($A63="","",1)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IF($A64="","",1)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IF($A65="","",1)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IF($A66="","",1)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IF($A67="","",1)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IF($A68="","",1)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IF($A69="","",1)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IF($A70="","",1)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IF($A71="","",1)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IF($A72="","",1)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IF($A73="","",1)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IF($A74="","",1)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IF($A75="","",1)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IF($A76="","",1)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IF($A77="","",1)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IF($A78="","",1)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IF($A79="","",1)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IF($A80="","",1)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IF($A81="","",1)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IF($A82="","",1)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IF($A83="","",1)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IF($A84="","",1)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IF($A85="","",1)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IF($A86="","",1)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IF($A87="","",1)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IF($A88="","",1)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IF($A89="","",1)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IF($A90="","",1)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IF($A91="","",1)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IF($A92="","",1)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IF($A93="","",1)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IF($A94="","",1)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IF($A95="","",1)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IF($A96="","",1)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IF($A97="","",1)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IF($A98="","",1)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Alacak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65D"/>
    <outlinePr summaryBelow="1" summaryRight="1"/>
    <pageSetUpPr/>
  </sheetPr>
  <dimension ref="A1:I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3.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78" t="inlineStr">
        <is>
          <t>BILANCO — Konkordato Nakit Akış Ön Projesi</t>
        </is>
      </c>
    </row>
    <row r="3" ht="22" customHeight="1">
      <c r="A3" s="198" t="inlineStr">
        <is>
          <t>3 yıllık bilanço — Y0 gerçekleşen, Y1 ve Y2 projeksiyon</t>
        </is>
      </c>
    </row>
    <row r="4">
      <c r="A4" s="11" t="inlineStr">
        <is>
          <t>Aktif Y0</t>
        </is>
      </c>
      <c r="B4" s="29">
        <f>SUMIF($C$6:$C$35,"aktif",$D$6:$D$35)</f>
        <v/>
      </c>
      <c r="C4" s="11" t="inlineStr">
        <is>
          <t>Özkaynak Y2</t>
        </is>
      </c>
      <c r="D4" s="29">
        <f>SUMIF($C$6:$C$35,"ozkaynak",$F$6:$F$35)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SapmaYil1</t>
        </is>
      </c>
      <c r="I5" s="25" t="inlineStr">
        <is>
          <t>PayYil0</t>
        </is>
      </c>
    </row>
    <row r="6">
      <c r="A6" s="26" t="inlineStr">
        <is>
          <t>BLN-00001</t>
        </is>
      </c>
      <c r="B6" s="26" t="inlineStr">
        <is>
          <t>Kasa ve bankalar</t>
        </is>
      </c>
      <c r="C6" s="26" t="inlineStr">
        <is>
          <t>donen</t>
        </is>
      </c>
      <c r="D6" s="27" t="n">
        <v>1800000</v>
      </c>
      <c r="E6" s="27" t="n">
        <v>1450000</v>
      </c>
      <c r="F6" s="27" t="n">
        <v>1720000</v>
      </c>
      <c r="G6" s="21">
        <f>IF(A6="","",D6+E6+F6)</f>
        <v/>
      </c>
      <c r="H6" s="21">
        <f>IF(A6="","",E6-D6)</f>
        <v/>
      </c>
      <c r="I6" s="30">
        <f>IF(OR(A6="",G6=0),"",D6/G6)</f>
        <v/>
      </c>
    </row>
    <row r="7">
      <c r="A7" s="26" t="inlineStr">
        <is>
          <t>BLN-00002</t>
        </is>
      </c>
      <c r="B7" s="26" t="inlineStr">
        <is>
          <t>Ticari alacaklar</t>
        </is>
      </c>
      <c r="C7" s="26" t="inlineStr">
        <is>
          <t>donen</t>
        </is>
      </c>
      <c r="D7" s="27" t="n">
        <v>4200000</v>
      </c>
      <c r="E7" s="27" t="n">
        <v>3600000</v>
      </c>
      <c r="F7" s="27" t="n">
        <v>3900000</v>
      </c>
      <c r="G7" s="21">
        <f>IF(A7="","",D7+E7+F7)</f>
        <v/>
      </c>
      <c r="H7" s="21">
        <f>IF(A7="","",E7-D7)</f>
        <v/>
      </c>
      <c r="I7" s="30">
        <f>IF(OR(A7="",G7=0),"",D7/G7)</f>
        <v/>
      </c>
    </row>
    <row r="8">
      <c r="A8" s="26" t="inlineStr">
        <is>
          <t>BLN-00003</t>
        </is>
      </c>
      <c r="B8" s="26" t="inlineStr">
        <is>
          <t>Stoklar</t>
        </is>
      </c>
      <c r="C8" s="26" t="inlineStr">
        <is>
          <t>donen</t>
        </is>
      </c>
      <c r="D8" s="27" t="n">
        <v>2100000</v>
      </c>
      <c r="E8" s="27" t="n">
        <v>1800000</v>
      </c>
      <c r="F8" s="27" t="n">
        <v>1950000</v>
      </c>
      <c r="G8" s="21">
        <f>IF(A8="","",D8+E8+F8)</f>
        <v/>
      </c>
      <c r="H8" s="21">
        <f>IF(A8="","",E8-D8)</f>
        <v/>
      </c>
      <c r="I8" s="30">
        <f>IF(OR(A8="",G8=0),"",D8/G8)</f>
        <v/>
      </c>
    </row>
    <row r="9">
      <c r="A9" s="26" t="inlineStr">
        <is>
          <t>BLN-00004</t>
        </is>
      </c>
      <c r="B9" s="26" t="inlineStr">
        <is>
          <t>Dönen varlıklar toplam</t>
        </is>
      </c>
      <c r="C9" s="26" t="inlineStr">
        <is>
          <t>donen</t>
        </is>
      </c>
      <c r="D9" s="27" t="n">
        <v>8100000</v>
      </c>
      <c r="E9" s="27" t="n">
        <v>6850000</v>
      </c>
      <c r="F9" s="27" t="n">
        <v>7570000</v>
      </c>
      <c r="G9" s="21">
        <f>IF(A9="","",D9+E9+F9)</f>
        <v/>
      </c>
      <c r="H9" s="21">
        <f>IF(A9="","",E9-D9)</f>
        <v/>
      </c>
      <c r="I9" s="30">
        <f>IF(OR(A9="",G9=0),"",D9/G9)</f>
        <v/>
      </c>
    </row>
    <row r="10">
      <c r="A10" s="26" t="inlineStr">
        <is>
          <t>BLN-00005</t>
        </is>
      </c>
      <c r="B10" s="26" t="inlineStr">
        <is>
          <t>Maddi duran varlıklar</t>
        </is>
      </c>
      <c r="C10" s="26" t="inlineStr">
        <is>
          <t>duran</t>
        </is>
      </c>
      <c r="D10" s="27" t="n">
        <v>12400000</v>
      </c>
      <c r="E10" s="27" t="n">
        <v>11800000</v>
      </c>
      <c r="F10" s="27" t="n">
        <v>11200000</v>
      </c>
      <c r="G10" s="21">
        <f>IF(A10="","",D10+E10+F10)</f>
        <v/>
      </c>
      <c r="H10" s="21">
        <f>IF(A10="","",E10-D10)</f>
        <v/>
      </c>
      <c r="I10" s="30">
        <f>IF(OR(A10="",G10=0),"",D10/G10)</f>
        <v/>
      </c>
    </row>
    <row r="11">
      <c r="A11" s="26" t="inlineStr">
        <is>
          <t>BLN-00006</t>
        </is>
      </c>
      <c r="B11" s="26" t="inlineStr">
        <is>
          <t>Duran varlıklar toplam</t>
        </is>
      </c>
      <c r="C11" s="26" t="inlineStr">
        <is>
          <t>duran</t>
        </is>
      </c>
      <c r="D11" s="27" t="n">
        <v>12400000</v>
      </c>
      <c r="E11" s="27" t="n">
        <v>11800000</v>
      </c>
      <c r="F11" s="27" t="n">
        <v>11200000</v>
      </c>
      <c r="G11" s="21">
        <f>IF(A11="","",D11+E11+F11)</f>
        <v/>
      </c>
      <c r="H11" s="21">
        <f>IF(A11="","",E11-D11)</f>
        <v/>
      </c>
      <c r="I11" s="30">
        <f>IF(OR(A11="",G11=0),"",D11/G11)</f>
        <v/>
      </c>
    </row>
    <row r="12">
      <c r="A12" s="26" t="inlineStr">
        <is>
          <t>BLN-00007</t>
        </is>
      </c>
      <c r="B12" s="26" t="inlineStr">
        <is>
          <t>Aktif toplam</t>
        </is>
      </c>
      <c r="C12" s="26" t="inlineStr">
        <is>
          <t>aktif</t>
        </is>
      </c>
      <c r="D12" s="27" t="n">
        <v>20500000</v>
      </c>
      <c r="E12" s="27" t="n">
        <v>18650000</v>
      </c>
      <c r="F12" s="27" t="n">
        <v>18770000</v>
      </c>
      <c r="G12" s="21">
        <f>IF(A12="","",D12+E12+F12)</f>
        <v/>
      </c>
      <c r="H12" s="21">
        <f>IF(A12="","",E12-D12)</f>
        <v/>
      </c>
      <c r="I12" s="30">
        <f>IF(OR(A12="",G12=0),"",D12/G12)</f>
        <v/>
      </c>
    </row>
    <row r="13">
      <c r="A13" s="26" t="inlineStr">
        <is>
          <t>BLN-00008</t>
        </is>
      </c>
      <c r="B13" s="26" t="inlineStr">
        <is>
          <t>Ticari borçlar kısa vade</t>
        </is>
      </c>
      <c r="C13" s="26" t="inlineStr">
        <is>
          <t>pasif</t>
        </is>
      </c>
      <c r="D13" s="27" t="n">
        <v>6800000</v>
      </c>
      <c r="E13" s="27" t="n">
        <v>5900000</v>
      </c>
      <c r="F13" s="27" t="n">
        <v>5200000</v>
      </c>
      <c r="G13" s="21">
        <f>IF(A13="","",D13+E13+F13)</f>
        <v/>
      </c>
      <c r="H13" s="21">
        <f>IF(A13="","",E13-D13)</f>
        <v/>
      </c>
      <c r="I13" s="30">
        <f>IF(OR(A13="",G13=0),"",D13/G13)</f>
        <v/>
      </c>
    </row>
    <row r="14">
      <c r="A14" s="26" t="inlineStr">
        <is>
          <t>BLN-00009</t>
        </is>
      </c>
      <c r="B14" s="26" t="inlineStr">
        <is>
          <t>Finansal borçlar kısa vade</t>
        </is>
      </c>
      <c r="C14" s="26" t="inlineStr">
        <is>
          <t>pasif</t>
        </is>
      </c>
      <c r="D14" s="27" t="n">
        <v>4200000</v>
      </c>
      <c r="E14" s="27" t="n">
        <v>3800000</v>
      </c>
      <c r="F14" s="27" t="n">
        <v>3100000</v>
      </c>
      <c r="G14" s="21">
        <f>IF(A14="","",D14+E14+F14)</f>
        <v/>
      </c>
      <c r="H14" s="21">
        <f>IF(A14="","",E14-D14)</f>
        <v/>
      </c>
      <c r="I14" s="30">
        <f>IF(OR(A14="",G14=0),"",D14/G14)</f>
        <v/>
      </c>
    </row>
    <row r="15">
      <c r="A15" s="26" t="inlineStr">
        <is>
          <t>BLN-00010</t>
        </is>
      </c>
      <c r="B15" s="26" t="inlineStr">
        <is>
          <t>Kısa vadeli yükümlülük toplam</t>
        </is>
      </c>
      <c r="C15" s="26" t="inlineStr">
        <is>
          <t>pasif</t>
        </is>
      </c>
      <c r="D15" s="27" t="n">
        <v>11000000</v>
      </c>
      <c r="E15" s="27" t="n">
        <v>9700000</v>
      </c>
      <c r="F15" s="27" t="n">
        <v>8300000</v>
      </c>
      <c r="G15" s="21">
        <f>IF(A15="","",D15+E15+F15)</f>
        <v/>
      </c>
      <c r="H15" s="21">
        <f>IF(A15="","",E15-D15)</f>
        <v/>
      </c>
      <c r="I15" s="30">
        <f>IF(OR(A15="",G15=0),"",D15/G15)</f>
        <v/>
      </c>
    </row>
    <row r="16">
      <c r="A16" s="26" t="inlineStr">
        <is>
          <t>BLN-00011</t>
        </is>
      </c>
      <c r="B16" s="26" t="inlineStr">
        <is>
          <t>Uzun vadeli yükümlülük</t>
        </is>
      </c>
      <c r="C16" s="26" t="inlineStr">
        <is>
          <t>pasif</t>
        </is>
      </c>
      <c r="D16" s="27" t="n">
        <v>7400000</v>
      </c>
      <c r="E16" s="27" t="n">
        <v>6600000</v>
      </c>
      <c r="F16" s="27" t="n">
        <v>5800000</v>
      </c>
      <c r="G16" s="21">
        <f>IF(A16="","",D16+E16+F16)</f>
        <v/>
      </c>
      <c r="H16" s="21">
        <f>IF(A16="","",E16-D16)</f>
        <v/>
      </c>
      <c r="I16" s="30">
        <f>IF(OR(A16="",G16=0),"",D16/G16)</f>
        <v/>
      </c>
    </row>
    <row r="17">
      <c r="A17" s="26" t="inlineStr">
        <is>
          <t>BLN-00012</t>
        </is>
      </c>
      <c r="B17" s="26" t="inlineStr">
        <is>
          <t>Özkaynak</t>
        </is>
      </c>
      <c r="C17" s="26" t="inlineStr">
        <is>
          <t>ozkaynak</t>
        </is>
      </c>
      <c r="D17" s="27" t="n">
        <v>2100000</v>
      </c>
      <c r="E17" s="27" t="n">
        <v>2350000</v>
      </c>
      <c r="F17" s="27" t="n">
        <v>4670000</v>
      </c>
      <c r="G17" s="21">
        <f>IF(A17="","",D17+E17+F17)</f>
        <v/>
      </c>
      <c r="H17" s="21">
        <f>IF(A17="","",E17-D17)</f>
        <v/>
      </c>
      <c r="I17" s="30">
        <f>IF(OR(A17="",G17=0),"",D17/G17)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IF(A18="","",E18-D18)</f>
        <v/>
      </c>
      <c r="I18" s="30">
        <f>IF(OR(A18="",G18=0),"",D18/G18)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IF(A19="","",E19-D19)</f>
        <v/>
      </c>
      <c r="I19" s="30">
        <f>IF(OR(A19="",G19=0),"",D19/G19)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IF(A20="","",E20-D20)</f>
        <v/>
      </c>
      <c r="I20" s="30">
        <f>IF(OR(A20="",G20=0),"",D20/G20)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IF(A21="","",E21-D21)</f>
        <v/>
      </c>
      <c r="I21" s="30">
        <f>IF(OR(A21="",G21=0),"",D21/G21)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IF(A22="","",E22-D22)</f>
        <v/>
      </c>
      <c r="I22" s="30">
        <f>IF(OR(A22="",G22=0),"",D22/G22)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IF(A23="","",E23-D23)</f>
        <v/>
      </c>
      <c r="I23" s="30">
        <f>IF(OR(A23="",G23=0),"",D23/G23)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IF(A24="","",E24-D24)</f>
        <v/>
      </c>
      <c r="I24" s="30">
        <f>IF(OR(A24="",G24=0),"",D24/G24)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IF(A25="","",E25-D25)</f>
        <v/>
      </c>
      <c r="I25" s="30">
        <f>IF(OR(A25="",G25=0),"",D25/G25)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IF(A26="","",E26-D26)</f>
        <v/>
      </c>
      <c r="I26" s="30">
        <f>IF(OR(A26="",G26=0),"",D26/G26)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IF(A27="","",E27-D27)</f>
        <v/>
      </c>
      <c r="I27" s="30">
        <f>IF(OR(A27="",G27=0),"",D27/G27)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IF(A28="","",E28-D28)</f>
        <v/>
      </c>
      <c r="I28" s="30">
        <f>IF(OR(A28="",G28=0),"",D28/G28)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IF(A29="","",E29-D29)</f>
        <v/>
      </c>
      <c r="I29" s="30">
        <f>IF(OR(A29="",G29=0),"",D29/G29)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IF(A30="","",E30-D30)</f>
        <v/>
      </c>
      <c r="I30" s="30">
        <f>IF(OR(A30="",G30=0),"",D30/G30)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IF(A31="","",E31-D31)</f>
        <v/>
      </c>
      <c r="I31" s="30">
        <f>IF(OR(A31="",G31=0),"",D31/G31)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IF(A32="","",E32-D32)</f>
        <v/>
      </c>
      <c r="I32" s="30">
        <f>IF(OR(A32="",G32=0),"",D32/G32)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IF(A33="","",E33-D33)</f>
        <v/>
      </c>
      <c r="I33" s="30">
        <f>IF(OR(A33="",G33=0),"",D33/G33)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IF(A34="","",E34-D34)</f>
        <v/>
      </c>
      <c r="I34" s="30">
        <f>IF(OR(A34="",G34=0),"",D34/G34)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IF(A35="","",E35-D35)</f>
        <v/>
      </c>
      <c r="I35" s="30">
        <f>IF(OR(A35="",G35=0),"",D35/G35)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35">
    <cfRule type="cellIs" priority="1" operator="lessThan" dxfId="2">
      <formula>0</formula>
    </cfRule>
  </conditionalFormatting>
  <dataValidations count="6">
    <dataValidation sqref="A6:A35" showDropDown="0" showInputMessage="1" showErrorMessage="1" allowBlank="1" errorTitle="Kimlik" error="En az 1 karakter" promptTitle="Kalem Kimliği" prompt="BLN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Bilanço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ListeBilancoGrup</formula1>
    </dataValidation>
    <dataValidation sqref="D6:D35" showDropDown="0" showInputMessage="1" showErrorMessage="1" allowBlank="1" errorTitle="Yıl 0" error="Sayı girin" promptTitle="Yıl 0" prompt="Yıl 0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365D"/>
    <outlinePr summaryBelow="1" summaryRight="1"/>
    <pageSetUpPr/>
  </sheetPr>
  <dimension ref="A1:I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78" t="inlineStr">
        <is>
          <t>NAKIT AKIS — Konkordato Nakit Akış Ön Projesi</t>
        </is>
      </c>
    </row>
    <row r="3" ht="22" customHeight="1">
      <c r="A3" s="198" t="inlineStr">
        <is>
          <t>3 yıllık nakit akış — işletme / yatırım / finansman / kapanış</t>
        </is>
      </c>
    </row>
    <row r="4">
      <c r="A4" s="11" t="inlineStr">
        <is>
          <t>Y0 Toplam</t>
        </is>
      </c>
      <c r="B4" s="29">
        <f>SUM($D$6:$D$35)</f>
        <v/>
      </c>
      <c r="C4" s="11" t="inlineStr">
        <is>
          <t>Y2 Kapanış</t>
        </is>
      </c>
      <c r="D4" s="29">
        <f>SUMIF($C$6:$C$35,"kapanis",$F$6:$F$35)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Kumulatif</t>
        </is>
      </c>
      <c r="I5" s="25" t="inlineStr">
        <is>
          <t>KilitBayrak</t>
        </is>
      </c>
    </row>
    <row r="6">
      <c r="A6" s="26" t="inlineStr">
        <is>
          <t>NAK-00001</t>
        </is>
      </c>
      <c r="B6" s="26" t="inlineStr">
        <is>
          <t>Satış tahsilatı</t>
        </is>
      </c>
      <c r="C6" s="26" t="inlineStr">
        <is>
          <t>isletme</t>
        </is>
      </c>
      <c r="D6" s="27" t="n">
        <v>18400000</v>
      </c>
      <c r="E6" s="27" t="n">
        <v>19600000</v>
      </c>
      <c r="F6" s="27" t="n">
        <v>21200000</v>
      </c>
      <c r="G6" s="21">
        <f>IF(A6="","",D6+E6+F6)</f>
        <v/>
      </c>
      <c r="H6" s="21">
        <f>IF(A6="","",D6+E6+F6)</f>
        <v/>
      </c>
      <c r="I6" s="7">
        <f>IF(A6="","",IF(C6&lt;&gt;"kapanis","",IF(MIN(D6,E6,F6)&lt;kna_nakitKilitEsik,"KİLİT","AÇIK")))</f>
        <v/>
      </c>
    </row>
    <row r="7">
      <c r="A7" s="26" t="inlineStr">
        <is>
          <t>NAK-00002</t>
        </is>
      </c>
      <c r="B7" s="26" t="inlineStr">
        <is>
          <t>Tedarik ödemesi</t>
        </is>
      </c>
      <c r="C7" s="26" t="inlineStr">
        <is>
          <t>isletme</t>
        </is>
      </c>
      <c r="D7" s="27" t="n">
        <v>-9800000</v>
      </c>
      <c r="E7" s="27" t="n">
        <v>-10100000</v>
      </c>
      <c r="F7" s="27" t="n">
        <v>-10400000</v>
      </c>
      <c r="G7" s="21">
        <f>IF(A7="","",D7+E7+F7)</f>
        <v/>
      </c>
      <c r="H7" s="21">
        <f>IF(A7="","",D7+E7+F7)</f>
        <v/>
      </c>
      <c r="I7" s="7">
        <f>IF(A7="","",IF(C7&lt;&gt;"kapanis","",IF(MIN(D7,E7,F7)&lt;kna_nakitKilitEsik,"KİLİT","AÇIK")))</f>
        <v/>
      </c>
    </row>
    <row r="8">
      <c r="A8" s="26" t="inlineStr">
        <is>
          <t>NAK-00003</t>
        </is>
      </c>
      <c r="B8" s="26" t="inlineStr">
        <is>
          <t>Personel ödemesi</t>
        </is>
      </c>
      <c r="C8" s="26" t="inlineStr">
        <is>
          <t>isletme</t>
        </is>
      </c>
      <c r="D8" s="27" t="n">
        <v>-4200000</v>
      </c>
      <c r="E8" s="27" t="n">
        <v>-4350000</v>
      </c>
      <c r="F8" s="27" t="n">
        <v>-4500000</v>
      </c>
      <c r="G8" s="21">
        <f>IF(A8="","",D8+E8+F8)</f>
        <v/>
      </c>
      <c r="H8" s="21">
        <f>IF(A8="","",D8+E8+F8)</f>
        <v/>
      </c>
      <c r="I8" s="7">
        <f>IF(A8="","",IF(C8&lt;&gt;"kapanis","",IF(MIN(D8,E8,F8)&lt;kna_nakitKilitEsik,"KİLİT","AÇIK")))</f>
        <v/>
      </c>
    </row>
    <row r="9">
      <c r="A9" s="26" t="inlineStr">
        <is>
          <t>NAK-00004</t>
        </is>
      </c>
      <c r="B9" s="26" t="inlineStr">
        <is>
          <t>Vergi ödemesi</t>
        </is>
      </c>
      <c r="C9" s="26" t="inlineStr">
        <is>
          <t>isletme</t>
        </is>
      </c>
      <c r="D9" s="27" t="n">
        <v>-1100000</v>
      </c>
      <c r="E9" s="27" t="n">
        <v>-1050000</v>
      </c>
      <c r="F9" s="27" t="n">
        <v>-1200000</v>
      </c>
      <c r="G9" s="21">
        <f>IF(A9="","",D9+E9+F9)</f>
        <v/>
      </c>
      <c r="H9" s="21">
        <f>IF(A9="","",D9+E9+F9)</f>
        <v/>
      </c>
      <c r="I9" s="7">
        <f>IF(A9="","",IF(C9&lt;&gt;"kapanis","",IF(MIN(D9,E9,F9)&lt;kna_nakitKilitEsik,"KİLİT","AÇIK")))</f>
        <v/>
      </c>
    </row>
    <row r="10">
      <c r="A10" s="26" t="inlineStr">
        <is>
          <t>NAK-00005</t>
        </is>
      </c>
      <c r="B10" s="26" t="inlineStr">
        <is>
          <t>İşletme net nakit</t>
        </is>
      </c>
      <c r="C10" s="26" t="inlineStr">
        <is>
          <t>isletme</t>
        </is>
      </c>
      <c r="D10" s="27" t="n">
        <v>3300000</v>
      </c>
      <c r="E10" s="27" t="n">
        <v>4100000</v>
      </c>
      <c r="F10" s="27" t="n">
        <v>5100000</v>
      </c>
      <c r="G10" s="21">
        <f>IF(A10="","",D10+E10+F10)</f>
        <v/>
      </c>
      <c r="H10" s="21">
        <f>IF(A10="","",D10+E10+F10)</f>
        <v/>
      </c>
      <c r="I10" s="7">
        <f>IF(A10="","",IF(C10&lt;&gt;"kapanis","",IF(MIN(D10,E10,F10)&lt;kna_nakitKilitEsik,"KİLİT","AÇIK")))</f>
        <v/>
      </c>
    </row>
    <row r="11">
      <c r="A11" s="26" t="inlineStr">
        <is>
          <t>NAK-00006</t>
        </is>
      </c>
      <c r="B11" s="26" t="inlineStr">
        <is>
          <t>Yatırım nakit</t>
        </is>
      </c>
      <c r="C11" s="26" t="inlineStr">
        <is>
          <t>yatirim</t>
        </is>
      </c>
      <c r="D11" s="27" t="n">
        <v>-420000</v>
      </c>
      <c r="E11" s="27" t="n">
        <v>-380000</v>
      </c>
      <c r="F11" s="27" t="n">
        <v>-310000</v>
      </c>
      <c r="G11" s="21">
        <f>IF(A11="","",D11+E11+F11)</f>
        <v/>
      </c>
      <c r="H11" s="21">
        <f>IF(A11="","",D11+E11+F11)</f>
        <v/>
      </c>
      <c r="I11" s="7">
        <f>IF(A11="","",IF(C11&lt;&gt;"kapanis","",IF(MIN(D11,E11,F11)&lt;kna_nakitKilitEsik,"KİLİT","AÇIK")))</f>
        <v/>
      </c>
    </row>
    <row r="12">
      <c r="A12" s="26" t="inlineStr">
        <is>
          <t>NAK-00007</t>
        </is>
      </c>
      <c r="B12" s="26" t="inlineStr">
        <is>
          <t>Finansman anapara</t>
        </is>
      </c>
      <c r="C12" s="26" t="inlineStr">
        <is>
          <t>finansman</t>
        </is>
      </c>
      <c r="D12" s="27" t="n">
        <v>-1800000</v>
      </c>
      <c r="E12" s="27" t="n">
        <v>-1500000</v>
      </c>
      <c r="F12" s="27" t="n">
        <v>-1200000</v>
      </c>
      <c r="G12" s="21">
        <f>IF(A12="","",D12+E12+F12)</f>
        <v/>
      </c>
      <c r="H12" s="21">
        <f>IF(A12="","",D12+E12+F12)</f>
        <v/>
      </c>
      <c r="I12" s="7">
        <f>IF(A12="","",IF(C12&lt;&gt;"kapanis","",IF(MIN(D12,E12,F12)&lt;kna_nakitKilitEsik,"KİLİT","AÇIK")))</f>
        <v/>
      </c>
    </row>
    <row r="13">
      <c r="A13" s="26" t="inlineStr">
        <is>
          <t>NAK-00008</t>
        </is>
      </c>
      <c r="B13" s="26" t="inlineStr">
        <is>
          <t>Finansman faiz</t>
        </is>
      </c>
      <c r="C13" s="26" t="inlineStr">
        <is>
          <t>finansman</t>
        </is>
      </c>
      <c r="D13" s="27" t="n">
        <v>-640000</v>
      </c>
      <c r="E13" s="27" t="n">
        <v>-520000</v>
      </c>
      <c r="F13" s="27" t="n">
        <v>-410000</v>
      </c>
      <c r="G13" s="21">
        <f>IF(A13="","",D13+E13+F13)</f>
        <v/>
      </c>
      <c r="H13" s="21">
        <f>IF(A13="","",D13+E13+F13)</f>
        <v/>
      </c>
      <c r="I13" s="7">
        <f>IF(A13="","",IF(C13&lt;&gt;"kapanis","",IF(MIN(D13,E13,F13)&lt;kna_nakitKilitEsik,"KİLİT","AÇIK")))</f>
        <v/>
      </c>
    </row>
    <row r="14">
      <c r="A14" s="26" t="inlineStr">
        <is>
          <t>NAK-00009</t>
        </is>
      </c>
      <c r="B14" s="26" t="inlineStr">
        <is>
          <t>Dönem başı nakit</t>
        </is>
      </c>
      <c r="C14" s="26" t="inlineStr">
        <is>
          <t>kapanis</t>
        </is>
      </c>
      <c r="D14" s="27" t="n">
        <v>1760000</v>
      </c>
      <c r="E14" s="27" t="n">
        <v>1800000</v>
      </c>
      <c r="F14" s="27" t="n">
        <v>1450000</v>
      </c>
      <c r="G14" s="21">
        <f>IF(A14="","",D14+E14+F14)</f>
        <v/>
      </c>
      <c r="H14" s="21">
        <f>IF(A14="","",D14+E14+F14)</f>
        <v/>
      </c>
      <c r="I14" s="7">
        <f>IF(A14="","",IF(C14&lt;&gt;"kapanis","",IF(MIN(D14,E14,F14)&lt;kna_nakitKilitEsik,"KİLİT","AÇIK")))</f>
        <v/>
      </c>
    </row>
    <row r="15">
      <c r="A15" s="26" t="inlineStr">
        <is>
          <t>NAK-00010</t>
        </is>
      </c>
      <c r="B15" s="26" t="inlineStr">
        <is>
          <t>Dönem sonu nakit</t>
        </is>
      </c>
      <c r="C15" s="26" t="inlineStr">
        <is>
          <t>kapanis</t>
        </is>
      </c>
      <c r="D15" s="27" t="n">
        <v>1800000</v>
      </c>
      <c r="E15" s="27" t="n">
        <v>1450000</v>
      </c>
      <c r="F15" s="27" t="n">
        <v>1720000</v>
      </c>
      <c r="G15" s="21">
        <f>IF(A15="","",D15+E15+F15)</f>
        <v/>
      </c>
      <c r="H15" s="21">
        <f>IF(A15="","",D15+E15+F15)</f>
        <v/>
      </c>
      <c r="I15" s="7">
        <f>IF(A15="","",IF(C15&lt;&gt;"kapanis","",IF(MIN(D15,E15,F15)&lt;kna_nakitKilitEsik,"KİLİT","AÇIK")))</f>
        <v/>
      </c>
    </row>
    <row r="16">
      <c r="A16" s="26" t="n"/>
      <c r="B16" s="26" t="n"/>
      <c r="C16" s="26" t="n"/>
      <c r="D16" s="27" t="n"/>
      <c r="E16" s="27" t="n"/>
      <c r="F16" s="27" t="n"/>
      <c r="G16" s="21">
        <f>IF(A16="","",D16+E16+F16)</f>
        <v/>
      </c>
      <c r="H16" s="21">
        <f>IF(A16="","",D16+E16+F16)</f>
        <v/>
      </c>
      <c r="I16" s="7">
        <f>IF(A16="","",IF(C16&lt;&gt;"kapanis","",IF(MIN(D16,E16,F16)&lt;kna_nakitKilitEsik,"KİLİT","AÇIK")))</f>
        <v/>
      </c>
    </row>
    <row r="17">
      <c r="A17" s="26" t="n"/>
      <c r="B17" s="26" t="n"/>
      <c r="C17" s="26" t="n"/>
      <c r="D17" s="27" t="n"/>
      <c r="E17" s="27" t="n"/>
      <c r="F17" s="27" t="n"/>
      <c r="G17" s="21">
        <f>IF(A17="","",D17+E17+F17)</f>
        <v/>
      </c>
      <c r="H17" s="21">
        <f>IF(A17="","",D17+E17+F17)</f>
        <v/>
      </c>
      <c r="I17" s="7">
        <f>IF(A17="","",IF(C17&lt;&gt;"kapanis","",IF(MIN(D17,E17,F17)&lt;kna_nakitKilitEsik,"KİLİT","AÇIK")))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IF(A18="","",D18+E18+F18)</f>
        <v/>
      </c>
      <c r="I18" s="7">
        <f>IF(A18="","",IF(C18&lt;&gt;"kapanis","",IF(MIN(D18,E18,F18)&lt;kna_nakitKilitEsik,"KİLİT","AÇIK")))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IF(A19="","",D19+E19+F19)</f>
        <v/>
      </c>
      <c r="I19" s="7">
        <f>IF(A19="","",IF(C19&lt;&gt;"kapanis","",IF(MIN(D19,E19,F19)&lt;kna_nakitKilitEsik,"KİLİT","AÇIK")))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IF(A20="","",D20+E20+F20)</f>
        <v/>
      </c>
      <c r="I20" s="7">
        <f>IF(A20="","",IF(C20&lt;&gt;"kapanis","",IF(MIN(D20,E20,F20)&lt;kna_nakitKilitEsik,"KİLİT","AÇIK")))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IF(A21="","",D21+E21+F21)</f>
        <v/>
      </c>
      <c r="I21" s="7">
        <f>IF(A21="","",IF(C21&lt;&gt;"kapanis","",IF(MIN(D21,E21,F21)&lt;kna_nakitKilitEsik,"KİLİT","AÇIK")))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IF(A22="","",D22+E22+F22)</f>
        <v/>
      </c>
      <c r="I22" s="7">
        <f>IF(A22="","",IF(C22&lt;&gt;"kapanis","",IF(MIN(D22,E22,F22)&lt;kna_nakitKilitEsik,"KİLİT","AÇIK")))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IF(A23="","",D23+E23+F23)</f>
        <v/>
      </c>
      <c r="I23" s="7">
        <f>IF(A23="","",IF(C23&lt;&gt;"kapanis","",IF(MIN(D23,E23,F23)&lt;kna_nakitKilitEsik,"KİLİT","AÇIK")))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IF(A24="","",D24+E24+F24)</f>
        <v/>
      </c>
      <c r="I24" s="7">
        <f>IF(A24="","",IF(C24&lt;&gt;"kapanis","",IF(MIN(D24,E24,F24)&lt;kna_nakitKilitEsik,"KİLİT","AÇIK")))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IF(A25="","",D25+E25+F25)</f>
        <v/>
      </c>
      <c r="I25" s="7">
        <f>IF(A25="","",IF(C25&lt;&gt;"kapanis","",IF(MIN(D25,E25,F25)&lt;kna_nakitKilitEsik,"KİLİT","AÇIK")))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IF(A26="","",D26+E26+F26)</f>
        <v/>
      </c>
      <c r="I26" s="7">
        <f>IF(A26="","",IF(C26&lt;&gt;"kapanis","",IF(MIN(D26,E26,F26)&lt;kna_nakitKilitEsik,"KİLİT","AÇIK")))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IF(A27="","",D27+E27+F27)</f>
        <v/>
      </c>
      <c r="I27" s="7">
        <f>IF(A27="","",IF(C27&lt;&gt;"kapanis","",IF(MIN(D27,E27,F27)&lt;kna_nakitKilitEsik,"KİLİT","AÇIK")))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IF(A28="","",D28+E28+F28)</f>
        <v/>
      </c>
      <c r="I28" s="7">
        <f>IF(A28="","",IF(C28&lt;&gt;"kapanis","",IF(MIN(D28,E28,F28)&lt;kna_nakitKilitEsik,"KİLİT","AÇIK")))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IF(A29="","",D29+E29+F29)</f>
        <v/>
      </c>
      <c r="I29" s="7">
        <f>IF(A29="","",IF(C29&lt;&gt;"kapanis","",IF(MIN(D29,E29,F29)&lt;kna_nakitKilitEsik,"KİLİT","AÇIK")))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IF(A30="","",D30+E30+F30)</f>
        <v/>
      </c>
      <c r="I30" s="7">
        <f>IF(A30="","",IF(C30&lt;&gt;"kapanis","",IF(MIN(D30,E30,F30)&lt;kna_nakitKilitEsik,"KİLİT","AÇIK")))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IF(A31="","",D31+E31+F31)</f>
        <v/>
      </c>
      <c r="I31" s="7">
        <f>IF(A31="","",IF(C31&lt;&gt;"kapanis","",IF(MIN(D31,E31,F31)&lt;kna_nakitKilitEsik,"KİLİT","AÇIK")))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IF(A32="","",D32+E32+F32)</f>
        <v/>
      </c>
      <c r="I32" s="7">
        <f>IF(A32="","",IF(C32&lt;&gt;"kapanis","",IF(MIN(D32,E32,F32)&lt;kna_nakitKilitEsik,"KİLİT","AÇIK")))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IF(A33="","",D33+E33+F33)</f>
        <v/>
      </c>
      <c r="I33" s="7">
        <f>IF(A33="","",IF(C33&lt;&gt;"kapanis","",IF(MIN(D33,E33,F33)&lt;kna_nakitKilitEsik,"KİLİT","AÇIK")))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IF(A34="","",D34+E34+F34)</f>
        <v/>
      </c>
      <c r="I34" s="7">
        <f>IF(A34="","",IF(C34&lt;&gt;"kapanis","",IF(MIN(D34,E34,F34)&lt;kna_nakitKilitEsik,"KİLİT","AÇIK")))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IF(A35="","",D35+E35+F35)</f>
        <v/>
      </c>
      <c r="I35" s="7">
        <f>IF(A35="","",IF(C35&lt;&gt;"kapanis","",IF(MIN(D35,E35,F35)&lt;kna_nakitKilitEsik,"KİLİT","AÇIK")))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I6:I35">
    <cfRule type="cellIs" priority="1" operator="equal" dxfId="2">
      <formula>"KİLİT"</formula>
    </cfRule>
    <cfRule type="cellIs" priority="2" operator="equal" dxfId="0">
      <formula>"AÇIK"</formula>
    </cfRule>
  </conditionalFormatting>
  <dataValidations count="6">
    <dataValidation sqref="A6:A35" showDropDown="0" showInputMessage="1" showErrorMessage="1" allowBlank="1" errorTitle="Kimlik" error="En az 1 karakter" promptTitle="Kalem Kimliği" prompt="NAK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Nakit akış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ListeNakitGrup</formula1>
    </dataValidation>
    <dataValidation sqref="D6:D35" showDropDown="0" showInputMessage="1" showErrorMessage="1" allowBlank="1" errorTitle="Yıl 0" error="Sayı girin" promptTitle="Yıl 0" prompt="Yıl 0 nakit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nakit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nakit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B365D"/>
    <outlinePr summaryBelow="1" summaryRight="1"/>
    <pageSetUpPr/>
  </sheetPr>
  <dimension ref="A1:S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6.5" customWidth="1" min="6" max="6"/>
    <col width="14.5" customWidth="1" min="7" max="7"/>
    <col width="20.5" customWidth="1" min="8" max="8"/>
    <col width="16.5" customWidth="1" min="9" max="9"/>
    <col width="14.5" customWidth="1" min="10" max="10"/>
    <col width="12" customWidth="1" min="11" max="11"/>
    <col width="12" customWidth="1" min="12" max="12"/>
    <col width="22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178" t="inlineStr">
        <is>
          <t>AKIS — Konkordato Nakit Akış Ön Projesi</t>
        </is>
      </c>
    </row>
    <row r="3" ht="22" customHeight="1">
      <c r="A3" s="198" t="inlineStr">
        <is>
          <t>Ön proje kalemleri — durum makinesi + yetim + geçersiz geçiş + beş halkalı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BilancoTutar</t>
        </is>
      </c>
      <c r="G5" s="25" t="inlineStr">
        <is>
          <t>NakitTutar</t>
        </is>
      </c>
      <c r="H5" s="25" t="inlineStr">
        <is>
          <t>ProjeksiyonTutar</t>
        </is>
      </c>
      <c r="I5" s="25" t="inlineStr">
        <is>
          <t>BasvuruTutar</t>
        </is>
      </c>
      <c r="J5" s="25" t="inlineStr">
        <is>
          <t>KararTutar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KNA-00001</t>
        </is>
      </c>
      <c r="B6" s="26" t="inlineStr">
        <is>
          <t>ALN-00001</t>
        </is>
      </c>
      <c r="C6" s="31" t="n">
        <v>46245</v>
      </c>
      <c r="D6" s="26" t="n"/>
      <c r="E6" s="26" t="inlineStr">
        <is>
          <t>TASLAK</t>
        </is>
      </c>
      <c r="F6" s="27" t="n">
        <v>192500</v>
      </c>
      <c r="G6" s="27" t="n">
        <v>192500</v>
      </c>
      <c r="H6" s="27" t="n">
        <v>192500</v>
      </c>
      <c r="I6" s="27" t="n">
        <v>192500</v>
      </c>
      <c r="J6" s="27" t="n">
        <v>192500</v>
      </c>
      <c r="K6" s="27" t="n">
        <v>192500</v>
      </c>
      <c r="L6" s="26" t="inlineStr">
        <is>
          <t>2026-08</t>
        </is>
      </c>
      <c r="M6" s="26" t="inlineStr">
        <is>
          <t>Ön proje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IF($A6="","",IF($B6="","YETİM",IF(COUNTIF(GIRDI!$A$6:$A$255,$B6)=0,"YETİM","")))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KNA-00002</t>
        </is>
      </c>
      <c r="B7" s="26" t="inlineStr">
        <is>
          <t>ALN-00002</t>
        </is>
      </c>
      <c r="C7" s="31" t="n">
        <v>46242</v>
      </c>
      <c r="D7" s="26" t="inlineStr">
        <is>
          <t>TASLAK</t>
        </is>
      </c>
      <c r="E7" s="26" t="inlineStr">
        <is>
          <t>HAZIRLIK</t>
        </is>
      </c>
      <c r="F7" s="27" t="n">
        <v>205000</v>
      </c>
      <c r="G7" s="27" t="n">
        <v>205000</v>
      </c>
      <c r="H7" s="27" t="n">
        <v>205000</v>
      </c>
      <c r="I7" s="27" t="n">
        <v>205000</v>
      </c>
      <c r="J7" s="27" t="n">
        <v>205000</v>
      </c>
      <c r="K7" s="27" t="n">
        <v>205000</v>
      </c>
      <c r="L7" s="26" t="inlineStr">
        <is>
          <t>2026-08</t>
        </is>
      </c>
      <c r="M7" s="26" t="inlineStr">
        <is>
          <t>Ön proje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IF($A7="","",IF($B7="","YETİM",IF(COUNTIF(GIRDI!$A$6:$A$255,$B7)=0,"YETİM","")))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KNA-00003</t>
        </is>
      </c>
      <c r="B8" s="26" t="inlineStr">
        <is>
          <t>ALN-00003</t>
        </is>
      </c>
      <c r="C8" s="31" t="n">
        <v>46239</v>
      </c>
      <c r="D8" s="26" t="inlineStr">
        <is>
          <t>HAZIRLIK</t>
        </is>
      </c>
      <c r="E8" s="26" t="inlineStr">
        <is>
          <t>BASVURU</t>
        </is>
      </c>
      <c r="F8" s="27" t="n">
        <v>217500</v>
      </c>
      <c r="G8" s="27" t="n">
        <v>217500</v>
      </c>
      <c r="H8" s="27" t="n">
        <v>217500</v>
      </c>
      <c r="I8" s="27" t="n">
        <v>217500</v>
      </c>
      <c r="J8" s="27" t="n">
        <v>217500</v>
      </c>
      <c r="K8" s="27" t="n">
        <v>217500</v>
      </c>
      <c r="L8" s="26" t="inlineStr">
        <is>
          <t>2026-08</t>
        </is>
      </c>
      <c r="M8" s="26" t="inlineStr">
        <is>
          <t>Ön proje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IF($A8="","",IF($B8="","YETİM",IF(COUNTIF(GIRDI!$A$6:$A$255,$B8)=0,"YETİM","")))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KNA-00004</t>
        </is>
      </c>
      <c r="B9" s="26" t="inlineStr">
        <is>
          <t>ALN-00004</t>
        </is>
      </c>
      <c r="C9" s="31" t="n">
        <v>46236</v>
      </c>
      <c r="D9" s="26" t="inlineStr">
        <is>
          <t>BASVURU</t>
        </is>
      </c>
      <c r="E9" s="26" t="inlineStr">
        <is>
          <t>KABUL</t>
        </is>
      </c>
      <c r="F9" s="27" t="n">
        <v>230000</v>
      </c>
      <c r="G9" s="27" t="n">
        <v>230000</v>
      </c>
      <c r="H9" s="27" t="n">
        <v>230000</v>
      </c>
      <c r="I9" s="27" t="n">
        <v>230000</v>
      </c>
      <c r="J9" s="27" t="n">
        <v>230000</v>
      </c>
      <c r="K9" s="27" t="n">
        <v>230000</v>
      </c>
      <c r="L9" s="26" t="inlineStr">
        <is>
          <t>2026-08</t>
        </is>
      </c>
      <c r="M9" s="26" t="inlineStr">
        <is>
          <t>Ön proje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IF($A9="","",IF($B9="","YETİM",IF(COUNTIF(GIRDI!$A$6:$A$255,$B9)=0,"YETİM","")))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KNA-00005</t>
        </is>
      </c>
      <c r="B10" s="26" t="inlineStr">
        <is>
          <t>ALN-00005</t>
        </is>
      </c>
      <c r="C10" s="31" t="n">
        <v>46233</v>
      </c>
      <c r="D10" s="26" t="inlineStr">
        <is>
          <t>BASVURU</t>
        </is>
      </c>
      <c r="E10" s="26" t="inlineStr">
        <is>
          <t>RET</t>
        </is>
      </c>
      <c r="F10" s="27" t="n">
        <v>242500</v>
      </c>
      <c r="G10" s="27" t="n">
        <v>242500</v>
      </c>
      <c r="H10" s="27" t="n">
        <v>242500</v>
      </c>
      <c r="I10" s="27" t="n">
        <v>242500</v>
      </c>
      <c r="J10" s="27" t="n">
        <v>242500</v>
      </c>
      <c r="K10" s="27" t="n">
        <v>242500</v>
      </c>
      <c r="L10" s="26" t="inlineStr">
        <is>
          <t>2026-08</t>
        </is>
      </c>
      <c r="M10" s="26" t="inlineStr">
        <is>
          <t>Ön proje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IF($A10="","",IF($B10="","YETİM",IF(COUNTIF(GIRDI!$A$6:$A$255,$B10)=0,"YETİM","")))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KNA-00006</t>
        </is>
      </c>
      <c r="B11" s="26" t="inlineStr">
        <is>
          <t>ALN-00006</t>
        </is>
      </c>
      <c r="C11" s="31" t="n">
        <v>46230</v>
      </c>
      <c r="D11" s="26" t="inlineStr">
        <is>
          <t>HAZIRLIK</t>
        </is>
      </c>
      <c r="E11" s="26" t="inlineStr">
        <is>
          <t>IPTAL</t>
        </is>
      </c>
      <c r="F11" s="27" t="n">
        <v>255000</v>
      </c>
      <c r="G11" s="27" t="n">
        <v>255000</v>
      </c>
      <c r="H11" s="27" t="n">
        <v>255000</v>
      </c>
      <c r="I11" s="27" t="n">
        <v>255000</v>
      </c>
      <c r="J11" s="27" t="n">
        <v>255000</v>
      </c>
      <c r="K11" s="27" t="n">
        <v>255000</v>
      </c>
      <c r="L11" s="26" t="inlineStr">
        <is>
          <t>2026-08</t>
        </is>
      </c>
      <c r="M11" s="26" t="inlineStr">
        <is>
          <t>Ön proje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IF($A11="","",IF($B11="","YETİM",IF(COUNTIF(GIRDI!$A$6:$A$255,$B11)=0,"YETİM","")))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KNA-00007</t>
        </is>
      </c>
      <c r="B12" s="26" t="inlineStr">
        <is>
          <t>ALN-00007</t>
        </is>
      </c>
      <c r="C12" s="31" t="n">
        <v>46227</v>
      </c>
      <c r="D12" s="26" t="inlineStr">
        <is>
          <t>TASLAK</t>
        </is>
      </c>
      <c r="E12" s="26" t="inlineStr">
        <is>
          <t>HAZIRLIK</t>
        </is>
      </c>
      <c r="F12" s="27" t="n">
        <v>267500</v>
      </c>
      <c r="G12" s="27" t="n">
        <v>267500</v>
      </c>
      <c r="H12" s="27" t="n">
        <v>267500</v>
      </c>
      <c r="I12" s="27" t="n">
        <v>267500</v>
      </c>
      <c r="J12" s="27" t="n">
        <v>267500</v>
      </c>
      <c r="K12" s="27" t="n">
        <v>267500</v>
      </c>
      <c r="L12" s="26" t="inlineStr">
        <is>
          <t>2026-08</t>
        </is>
      </c>
      <c r="M12" s="26" t="inlineStr">
        <is>
          <t>Ön proje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IF($A12="","",IF($B12="","YETİM",IF(COUNTIF(GIRDI!$A$6:$A$255,$B12)=0,"YETİM","")))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KNA-00008</t>
        </is>
      </c>
      <c r="B13" s="26" t="inlineStr">
        <is>
          <t>ALN-00008</t>
        </is>
      </c>
      <c r="C13" s="31" t="n">
        <v>46224</v>
      </c>
      <c r="D13" s="26" t="inlineStr">
        <is>
          <t>HAZIRLIK</t>
        </is>
      </c>
      <c r="E13" s="26" t="inlineStr">
        <is>
          <t>BASVURU</t>
        </is>
      </c>
      <c r="F13" s="27" t="n">
        <v>280000</v>
      </c>
      <c r="G13" s="27" t="n">
        <v>280000</v>
      </c>
      <c r="H13" s="27" t="n">
        <v>280000</v>
      </c>
      <c r="I13" s="27" t="n">
        <v>280000</v>
      </c>
      <c r="J13" s="27" t="n">
        <v>280000</v>
      </c>
      <c r="K13" s="27" t="n">
        <v>280000</v>
      </c>
      <c r="L13" s="26" t="inlineStr">
        <is>
          <t>2026-08</t>
        </is>
      </c>
      <c r="M13" s="26" t="inlineStr">
        <is>
          <t>Ön proje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IF($A13="","",IF($B13="","YETİM",IF(COUNTIF(GIRDI!$A$6:$A$255,$B13)=0,"YETİM","")))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KNA-00009</t>
        </is>
      </c>
      <c r="B14" s="26" t="inlineStr">
        <is>
          <t>ALN-00001</t>
        </is>
      </c>
      <c r="C14" s="31" t="n">
        <v>46221</v>
      </c>
      <c r="D14" s="26" t="n"/>
      <c r="E14" s="26" t="inlineStr">
        <is>
          <t>TASLAK</t>
        </is>
      </c>
      <c r="F14" s="27" t="n">
        <v>292500</v>
      </c>
      <c r="G14" s="27" t="n">
        <v>292500</v>
      </c>
      <c r="H14" s="27" t="n">
        <v>292500</v>
      </c>
      <c r="I14" s="27" t="n">
        <v>292500</v>
      </c>
      <c r="J14" s="27" t="n">
        <v>292500</v>
      </c>
      <c r="K14" s="27" t="n">
        <v>292500</v>
      </c>
      <c r="L14" s="26" t="inlineStr">
        <is>
          <t>2026-08</t>
        </is>
      </c>
      <c r="M14" s="26" t="inlineStr">
        <is>
          <t>Ön proje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IF($A14="","",IF($B14="","YETİM",IF(COUNTIF(GIRDI!$A$6:$A$255,$B14)=0,"YETİM","")))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KNA-00010</t>
        </is>
      </c>
      <c r="B15" s="26" t="inlineStr">
        <is>
          <t>ALN-00002</t>
        </is>
      </c>
      <c r="C15" s="31" t="n">
        <v>46218</v>
      </c>
      <c r="D15" s="26" t="inlineStr">
        <is>
          <t>TASLAK</t>
        </is>
      </c>
      <c r="E15" s="26" t="inlineStr">
        <is>
          <t>HAZIRLIK</t>
        </is>
      </c>
      <c r="F15" s="27" t="n">
        <v>305000</v>
      </c>
      <c r="G15" s="27" t="n">
        <v>305000</v>
      </c>
      <c r="H15" s="27" t="n">
        <v>305000</v>
      </c>
      <c r="I15" s="27" t="n">
        <v>305000</v>
      </c>
      <c r="J15" s="27" t="n">
        <v>305000</v>
      </c>
      <c r="K15" s="27" t="n">
        <v>305000</v>
      </c>
      <c r="L15" s="26" t="inlineStr">
        <is>
          <t>2026-08</t>
        </is>
      </c>
      <c r="M15" s="26" t="inlineStr">
        <is>
          <t>Ön proje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IF($A15="","",IF($B15="","YETİM",IF(COUNTIF(GIRDI!$A$6:$A$255,$B15)=0,"YETİM","")))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KNA-00011</t>
        </is>
      </c>
      <c r="B16" s="26" t="inlineStr">
        <is>
          <t>ALN-00003</t>
        </is>
      </c>
      <c r="C16" s="31" t="n">
        <v>46215</v>
      </c>
      <c r="D16" s="26" t="inlineStr">
        <is>
          <t>HAZIRLIK</t>
        </is>
      </c>
      <c r="E16" s="26" t="inlineStr">
        <is>
          <t>BASVURU</t>
        </is>
      </c>
      <c r="F16" s="27" t="n">
        <v>317500</v>
      </c>
      <c r="G16" s="27" t="n">
        <v>317500</v>
      </c>
      <c r="H16" s="27" t="n">
        <v>317500</v>
      </c>
      <c r="I16" s="27" t="n">
        <v>317500</v>
      </c>
      <c r="J16" s="27" t="n">
        <v>317500</v>
      </c>
      <c r="K16" s="27" t="n">
        <v>317500</v>
      </c>
      <c r="L16" s="26" t="inlineStr">
        <is>
          <t>2026-08</t>
        </is>
      </c>
      <c r="M16" s="26" t="inlineStr">
        <is>
          <t>Ön proje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IF($A16="","",IF($B16="","YETİM",IF(COUNTIF(GIRDI!$A$6:$A$255,$B16)=0,"YETİM","")))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KNA-00012</t>
        </is>
      </c>
      <c r="B17" s="26" t="inlineStr">
        <is>
          <t>ALN-00004</t>
        </is>
      </c>
      <c r="C17" s="31" t="n">
        <v>46212</v>
      </c>
      <c r="D17" s="26" t="inlineStr">
        <is>
          <t>BASVURU</t>
        </is>
      </c>
      <c r="E17" s="26" t="inlineStr">
        <is>
          <t>KABUL</t>
        </is>
      </c>
      <c r="F17" s="27" t="n">
        <v>330000</v>
      </c>
      <c r="G17" s="27" t="n">
        <v>375000</v>
      </c>
      <c r="H17" s="27" t="n">
        <v>375000</v>
      </c>
      <c r="I17" s="27" t="n">
        <v>375000</v>
      </c>
      <c r="J17" s="27" t="n">
        <v>375000</v>
      </c>
      <c r="K17" s="27" t="n">
        <v>375000</v>
      </c>
      <c r="L17" s="26" t="inlineStr">
        <is>
          <t>2026-08</t>
        </is>
      </c>
      <c r="M17" s="26" t="inlineStr">
        <is>
          <t>Ön proje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IF($A17="","",IF($B17="","YETİM",IF(COUNTIF(GIRDI!$A$6:$A$255,$B17)=0,"YETİM","")))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KNA-00013</t>
        </is>
      </c>
      <c r="B18" s="26" t="inlineStr">
        <is>
          <t>ALN-00005</t>
        </is>
      </c>
      <c r="C18" s="31" t="n">
        <v>46209</v>
      </c>
      <c r="D18" s="26" t="inlineStr">
        <is>
          <t>BASVURU</t>
        </is>
      </c>
      <c r="E18" s="26" t="inlineStr">
        <is>
          <t>RET</t>
        </is>
      </c>
      <c r="F18" s="27" t="n">
        <v>342500</v>
      </c>
      <c r="G18" s="27" t="n">
        <v>342500</v>
      </c>
      <c r="H18" s="27" t="n">
        <v>342500</v>
      </c>
      <c r="I18" s="27" t="n">
        <v>342500</v>
      </c>
      <c r="J18" s="27" t="n">
        <v>342500</v>
      </c>
      <c r="K18" s="27" t="n">
        <v>342500</v>
      </c>
      <c r="L18" s="26" t="inlineStr">
        <is>
          <t>2026-08</t>
        </is>
      </c>
      <c r="M18" s="26" t="inlineStr">
        <is>
          <t>Ön proje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IF($A18="","",IF($B18="","YETİM",IF(COUNTIF(GIRDI!$A$6:$A$255,$B18)=0,"YETİM","")))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KNA-00014</t>
        </is>
      </c>
      <c r="B19" s="26" t="inlineStr">
        <is>
          <t>ALN-00006</t>
        </is>
      </c>
      <c r="C19" s="31" t="n">
        <v>46206</v>
      </c>
      <c r="D19" s="26" t="inlineStr">
        <is>
          <t>HAZIRLIK</t>
        </is>
      </c>
      <c r="E19" s="26" t="inlineStr">
        <is>
          <t>IPTAL</t>
        </is>
      </c>
      <c r="F19" s="27" t="n">
        <v>355000</v>
      </c>
      <c r="G19" s="27" t="n">
        <v>355000</v>
      </c>
      <c r="H19" s="27" t="n">
        <v>355000</v>
      </c>
      <c r="I19" s="27" t="n">
        <v>355000</v>
      </c>
      <c r="J19" s="27" t="n">
        <v>355000</v>
      </c>
      <c r="K19" s="27" t="n">
        <v>355000</v>
      </c>
      <c r="L19" s="26" t="inlineStr">
        <is>
          <t>2026-08</t>
        </is>
      </c>
      <c r="M19" s="26" t="inlineStr">
        <is>
          <t>Ön proje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IF($A19="","",IF($B19="","YETİM",IF(COUNTIF(GIRDI!$A$6:$A$255,$B19)=0,"YETİM","")))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KNA-00015</t>
        </is>
      </c>
      <c r="B20" s="26" t="inlineStr">
        <is>
          <t>ALN-00007</t>
        </is>
      </c>
      <c r="C20" s="31" t="n">
        <v>46203</v>
      </c>
      <c r="D20" s="26" t="inlineStr">
        <is>
          <t>TASLAK</t>
        </is>
      </c>
      <c r="E20" s="26" t="inlineStr">
        <is>
          <t>HAZIRLIK</t>
        </is>
      </c>
      <c r="F20" s="27" t="n">
        <v>367500</v>
      </c>
      <c r="G20" s="27" t="n">
        <v>367500</v>
      </c>
      <c r="H20" s="27" t="n">
        <v>367500</v>
      </c>
      <c r="I20" s="27" t="n">
        <v>367500</v>
      </c>
      <c r="J20" s="27" t="n">
        <v>367500</v>
      </c>
      <c r="K20" s="27" t="n">
        <v>367500</v>
      </c>
      <c r="L20" s="26" t="inlineStr">
        <is>
          <t>2026-08</t>
        </is>
      </c>
      <c r="M20" s="26" t="inlineStr">
        <is>
          <t>Ön proje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IF($A20="","",IF($B20="","YETİM",IF(COUNTIF(GIRDI!$A$6:$A$255,$B20)=0,"YETİM","")))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KNA-00016</t>
        </is>
      </c>
      <c r="B21" s="26" t="inlineStr">
        <is>
          <t>ALN-00008</t>
        </is>
      </c>
      <c r="C21" s="31" t="n">
        <v>46200</v>
      </c>
      <c r="D21" s="26" t="inlineStr">
        <is>
          <t>HAZIRLIK</t>
        </is>
      </c>
      <c r="E21" s="26" t="inlineStr">
        <is>
          <t>BASVURU</t>
        </is>
      </c>
      <c r="F21" s="27" t="n">
        <v>380000</v>
      </c>
      <c r="G21" s="27" t="n">
        <v>380000</v>
      </c>
      <c r="H21" s="27" t="n">
        <v>380000</v>
      </c>
      <c r="I21" s="27" t="n">
        <v>380000</v>
      </c>
      <c r="J21" s="27" t="n">
        <v>380000</v>
      </c>
      <c r="K21" s="27" t="n">
        <v>380000</v>
      </c>
      <c r="L21" s="26" t="inlineStr">
        <is>
          <t>2026-08</t>
        </is>
      </c>
      <c r="M21" s="26" t="inlineStr">
        <is>
          <t>Ön proje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IF($A21="","",IF($B21="","YETİM",IF(COUNTIF(GIRDI!$A$6:$A$255,$B21)=0,"YETİM","")))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KNA-00017</t>
        </is>
      </c>
      <c r="B22" s="26" t="inlineStr">
        <is>
          <t>ALN-00001</t>
        </is>
      </c>
      <c r="C22" s="31" t="n">
        <v>46197</v>
      </c>
      <c r="D22" s="26" t="n"/>
      <c r="E22" s="26" t="inlineStr">
        <is>
          <t>TASLAK</t>
        </is>
      </c>
      <c r="F22" s="27" t="n">
        <v>392500</v>
      </c>
      <c r="G22" s="27" t="n">
        <v>392500</v>
      </c>
      <c r="H22" s="27" t="n">
        <v>392500</v>
      </c>
      <c r="I22" s="27" t="n">
        <v>392500</v>
      </c>
      <c r="J22" s="27" t="n">
        <v>392500</v>
      </c>
      <c r="K22" s="27" t="n">
        <v>392500</v>
      </c>
      <c r="L22" s="26" t="inlineStr">
        <is>
          <t>2026-08</t>
        </is>
      </c>
      <c r="M22" s="26" t="inlineStr">
        <is>
          <t>Ön proje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IF($A22="","",IF($B22="","YETİM",IF(COUNTIF(GIRDI!$A$6:$A$255,$B22)=0,"YETİM","")))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KNA-00018</t>
        </is>
      </c>
      <c r="B23" s="26" t="inlineStr">
        <is>
          <t>ALN-00002</t>
        </is>
      </c>
      <c r="C23" s="31" t="n">
        <v>46194</v>
      </c>
      <c r="D23" s="26" t="inlineStr">
        <is>
          <t>TASLAK</t>
        </is>
      </c>
      <c r="E23" s="26" t="inlineStr">
        <is>
          <t>KABUL</t>
        </is>
      </c>
      <c r="F23" s="27" t="n">
        <v>405000</v>
      </c>
      <c r="G23" s="27" t="n">
        <v>405000</v>
      </c>
      <c r="H23" s="27" t="n">
        <v>405000</v>
      </c>
      <c r="I23" s="27" t="n">
        <v>405000</v>
      </c>
      <c r="J23" s="27" t="n">
        <v>405000</v>
      </c>
      <c r="K23" s="27" t="n">
        <v>405000</v>
      </c>
      <c r="L23" s="26" t="inlineStr">
        <is>
          <t>2026-08</t>
        </is>
      </c>
      <c r="M23" s="26" t="inlineStr">
        <is>
          <t>Ön proje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IF($A23="","",IF($B23="","YETİM",IF(COUNTIF(GIRDI!$A$6:$A$255,$B23)=0,"YETİM","")))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KNA-00019</t>
        </is>
      </c>
      <c r="B24" s="26" t="inlineStr">
        <is>
          <t>ALN-00003</t>
        </is>
      </c>
      <c r="C24" s="31" t="n">
        <v>46191</v>
      </c>
      <c r="D24" s="26" t="inlineStr">
        <is>
          <t>HAZIRLIK</t>
        </is>
      </c>
      <c r="E24" s="26" t="inlineStr">
        <is>
          <t>BASVURU</t>
        </is>
      </c>
      <c r="F24" s="27" t="n">
        <v>417500</v>
      </c>
      <c r="G24" s="27" t="n">
        <v>462500</v>
      </c>
      <c r="H24" s="27" t="n">
        <v>462500</v>
      </c>
      <c r="I24" s="27" t="n">
        <v>462500</v>
      </c>
      <c r="J24" s="27" t="n">
        <v>462500</v>
      </c>
      <c r="K24" s="27" t="n">
        <v>462500</v>
      </c>
      <c r="L24" s="26" t="inlineStr">
        <is>
          <t>2026-08</t>
        </is>
      </c>
      <c r="M24" s="26" t="inlineStr">
        <is>
          <t>Ön proje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IF($A24="","",IF($B24="","YETİM",IF(COUNTIF(GIRDI!$A$6:$A$255,$B24)=0,"YETİM","")))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KNA-00020</t>
        </is>
      </c>
      <c r="B25" s="26" t="inlineStr">
        <is>
          <t>ALN-00004</t>
        </is>
      </c>
      <c r="C25" s="31" t="n">
        <v>46188</v>
      </c>
      <c r="D25" s="26" t="inlineStr">
        <is>
          <t>KABUL</t>
        </is>
      </c>
      <c r="E25" s="26" t="inlineStr">
        <is>
          <t>HAZIRLIK</t>
        </is>
      </c>
      <c r="F25" s="27" t="n">
        <v>430000</v>
      </c>
      <c r="G25" s="27" t="n">
        <v>430000</v>
      </c>
      <c r="H25" s="27" t="n">
        <v>430000</v>
      </c>
      <c r="I25" s="27" t="n">
        <v>430000</v>
      </c>
      <c r="J25" s="27" t="n">
        <v>430000</v>
      </c>
      <c r="K25" s="27" t="n">
        <v>430000</v>
      </c>
      <c r="L25" s="26" t="inlineStr">
        <is>
          <t>2026-08</t>
        </is>
      </c>
      <c r="M25" s="26" t="inlineStr">
        <is>
          <t>Ön proje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IF($A25="","",IF($B25="","YETİM",IF(COUNTIF(GIRDI!$A$6:$A$255,$B25)=0,"YETİM","")))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KNA-00021</t>
        </is>
      </c>
      <c r="B26" s="26" t="inlineStr">
        <is>
          <t>ALN-00005</t>
        </is>
      </c>
      <c r="C26" s="31" t="n">
        <v>46185</v>
      </c>
      <c r="D26" s="26" t="inlineStr">
        <is>
          <t>BASVURU</t>
        </is>
      </c>
      <c r="E26" s="26" t="inlineStr">
        <is>
          <t>RET</t>
        </is>
      </c>
      <c r="F26" s="27" t="n">
        <v>442500</v>
      </c>
      <c r="G26" s="27" t="n">
        <v>442500</v>
      </c>
      <c r="H26" s="27" t="n">
        <v>442500</v>
      </c>
      <c r="I26" s="27" t="n">
        <v>442500</v>
      </c>
      <c r="J26" s="27" t="n">
        <v>442500</v>
      </c>
      <c r="K26" s="27" t="n">
        <v>442500</v>
      </c>
      <c r="L26" s="26" t="inlineStr">
        <is>
          <t>2026-08</t>
        </is>
      </c>
      <c r="M26" s="26" t="inlineStr">
        <is>
          <t>Ön proje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IF($A26="","",IF($B26="","YETİM",IF(COUNTIF(GIRDI!$A$6:$A$255,$B26)=0,"YETİM","")))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KNA-00022</t>
        </is>
      </c>
      <c r="B27" s="26" t="n"/>
      <c r="C27" s="31" t="n">
        <v>46182</v>
      </c>
      <c r="D27" s="26" t="inlineStr">
        <is>
          <t>HAZIRLIK</t>
        </is>
      </c>
      <c r="E27" s="26" t="inlineStr">
        <is>
          <t>IPTAL</t>
        </is>
      </c>
      <c r="F27" s="27" t="n">
        <v>455000</v>
      </c>
      <c r="G27" s="27" t="n">
        <v>455000</v>
      </c>
      <c r="H27" s="27" t="n">
        <v>455000</v>
      </c>
      <c r="I27" s="27" t="n">
        <v>455000</v>
      </c>
      <c r="J27" s="27" t="n">
        <v>455000</v>
      </c>
      <c r="K27" s="27" t="n">
        <v>455000</v>
      </c>
      <c r="L27" s="26" t="inlineStr">
        <is>
          <t>2026-08</t>
        </is>
      </c>
      <c r="M27" s="26" t="inlineStr">
        <is>
          <t>Ön proje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IF($A27="","",IF($B27="","YETİM",IF(COUNTIF(GIRDI!$A$6:$A$255,$B27)=0,"YETİM","")))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KNA-00023</t>
        </is>
      </c>
      <c r="B28" s="26" t="inlineStr">
        <is>
          <t>ALN-00007</t>
        </is>
      </c>
      <c r="C28" s="31" t="n">
        <v>46179</v>
      </c>
      <c r="D28" s="26" t="inlineStr">
        <is>
          <t>TASLAK</t>
        </is>
      </c>
      <c r="E28" s="26" t="inlineStr">
        <is>
          <t>HAZIRLIK</t>
        </is>
      </c>
      <c r="F28" s="27" t="n">
        <v>467500</v>
      </c>
      <c r="G28" s="27" t="n">
        <v>467500</v>
      </c>
      <c r="H28" s="27" t="n">
        <v>467500</v>
      </c>
      <c r="I28" s="27" t="n">
        <v>467500</v>
      </c>
      <c r="J28" s="27" t="n">
        <v>467500</v>
      </c>
      <c r="K28" s="27" t="n">
        <v>467500</v>
      </c>
      <c r="L28" s="26" t="inlineStr">
        <is>
          <t>2026-08</t>
        </is>
      </c>
      <c r="M28" s="26" t="inlineStr">
        <is>
          <t>Ön proje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IF($A28="","",IF($B28="","YETİM",IF(COUNTIF(GIRDI!$A$6:$A$255,$B28)=0,"YETİM","")))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KNA-00024</t>
        </is>
      </c>
      <c r="B29" s="26" t="inlineStr">
        <is>
          <t>ALN-00008</t>
        </is>
      </c>
      <c r="C29" s="31" t="n">
        <v>46176</v>
      </c>
      <c r="D29" s="26" t="inlineStr">
        <is>
          <t>HAZIRLIK</t>
        </is>
      </c>
      <c r="E29" s="26" t="inlineStr">
        <is>
          <t>BASVURU</t>
        </is>
      </c>
      <c r="F29" s="27" t="n">
        <v>480000</v>
      </c>
      <c r="G29" s="27" t="n">
        <v>480000</v>
      </c>
      <c r="H29" s="27" t="n">
        <v>480000</v>
      </c>
      <c r="I29" s="27" t="n">
        <v>480000</v>
      </c>
      <c r="J29" s="27" t="n">
        <v>480000</v>
      </c>
      <c r="K29" s="27" t="n">
        <v>480000</v>
      </c>
      <c r="L29" s="26" t="inlineStr">
        <is>
          <t>2026-08</t>
        </is>
      </c>
      <c r="M29" s="26" t="inlineStr">
        <is>
          <t>Ön proje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IF($A29="","",IF($B29="","YETİM",IF(COUNTIF(GIRDI!$A$6:$A$255,$B29)=0,"YETİM","")))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KNA-00025</t>
        </is>
      </c>
      <c r="B30" s="26" t="inlineStr">
        <is>
          <t>ALN-99999</t>
        </is>
      </c>
      <c r="C30" s="31" t="n">
        <v>46248</v>
      </c>
      <c r="D30" s="26" t="n"/>
      <c r="E30" s="26" t="inlineStr">
        <is>
          <t>TASLAK</t>
        </is>
      </c>
      <c r="F30" s="27" t="n">
        <v>492500</v>
      </c>
      <c r="G30" s="27" t="n">
        <v>492500</v>
      </c>
      <c r="H30" s="27" t="n">
        <v>492500</v>
      </c>
      <c r="I30" s="27" t="n">
        <v>492500</v>
      </c>
      <c r="J30" s="27" t="n">
        <v>492500</v>
      </c>
      <c r="K30" s="27" t="n">
        <v>492500</v>
      </c>
      <c r="L30" s="26" t="inlineStr">
        <is>
          <t>2026-08</t>
        </is>
      </c>
      <c r="M30" s="26" t="inlineStr">
        <is>
          <t>Ön proje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IF($A30="","",IF($B30="","YETİM",IF(COUNTIF(GIRDI!$A$6:$A$255,$B30)=0,"YETİM","")))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KNA-00026</t>
        </is>
      </c>
      <c r="B31" s="26" t="inlineStr">
        <is>
          <t>ALN-00002</t>
        </is>
      </c>
      <c r="C31" s="31" t="n">
        <v>46245</v>
      </c>
      <c r="D31" s="26" t="inlineStr">
        <is>
          <t>TASLAK</t>
        </is>
      </c>
      <c r="E31" s="26" t="inlineStr">
        <is>
          <t>HAZIRLIK</t>
        </is>
      </c>
      <c r="F31" s="27" t="n">
        <v>505000</v>
      </c>
      <c r="G31" s="27" t="n">
        <v>505000</v>
      </c>
      <c r="H31" s="27" t="n">
        <v>505000</v>
      </c>
      <c r="I31" s="27" t="n">
        <v>505000</v>
      </c>
      <c r="J31" s="27" t="n">
        <v>505000</v>
      </c>
      <c r="K31" s="27" t="n">
        <v>505000</v>
      </c>
      <c r="L31" s="26" t="inlineStr">
        <is>
          <t>2026-08</t>
        </is>
      </c>
      <c r="M31" s="26" t="inlineStr">
        <is>
          <t>Ön proje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IF($A31="","",IF($B31="","YETİM",IF(COUNTIF(GIRDI!$A$6:$A$255,$B31)=0,"YETİM","")))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KNA-00027</t>
        </is>
      </c>
      <c r="B32" s="26" t="inlineStr">
        <is>
          <t>ALN-00003</t>
        </is>
      </c>
      <c r="C32" s="31" t="n">
        <v>46242</v>
      </c>
      <c r="D32" s="26" t="inlineStr">
        <is>
          <t>HAZIRLIK</t>
        </is>
      </c>
      <c r="E32" s="26" t="inlineStr">
        <is>
          <t>BASVURU</t>
        </is>
      </c>
      <c r="F32" s="27" t="n">
        <v>517500</v>
      </c>
      <c r="G32" s="27" t="n">
        <v>517500</v>
      </c>
      <c r="H32" s="27" t="n">
        <v>517500</v>
      </c>
      <c r="I32" s="27" t="n">
        <v>517500</v>
      </c>
      <c r="J32" s="27" t="n">
        <v>517500</v>
      </c>
      <c r="K32" s="27" t="n">
        <v>517500</v>
      </c>
      <c r="L32" s="26" t="inlineStr">
        <is>
          <t>2026-08</t>
        </is>
      </c>
      <c r="M32" s="26" t="inlineStr">
        <is>
          <t>Ön proje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IF($A32="","",IF($B32="","YETİM",IF(COUNTIF(GIRDI!$A$6:$A$255,$B32)=0,"YETİM","")))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KNA-00028</t>
        </is>
      </c>
      <c r="B33" s="26" t="inlineStr">
        <is>
          <t>ALN-00004</t>
        </is>
      </c>
      <c r="C33" s="31" t="n">
        <v>46239</v>
      </c>
      <c r="D33" s="26" t="inlineStr">
        <is>
          <t>BASVURU</t>
        </is>
      </c>
      <c r="E33" s="26" t="inlineStr">
        <is>
          <t>KABUL</t>
        </is>
      </c>
      <c r="F33" s="27" t="n">
        <v>530000</v>
      </c>
      <c r="G33" s="27" t="n">
        <v>530000</v>
      </c>
      <c r="H33" s="27" t="n">
        <v>530000</v>
      </c>
      <c r="I33" s="27" t="n">
        <v>530000</v>
      </c>
      <c r="J33" s="27" t="n">
        <v>530000</v>
      </c>
      <c r="K33" s="27" t="n">
        <v>530000</v>
      </c>
      <c r="L33" s="26" t="inlineStr">
        <is>
          <t>2026-08</t>
        </is>
      </c>
      <c r="M33" s="26" t="inlineStr">
        <is>
          <t>Ön proje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IF($A33="","",IF($B33="","YETİM",IF(COUNTIF(GIRDI!$A$6:$A$255,$B33)=0,"YETİM","")))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31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IF($A34="","",IF($B34="","YETİM",IF(COUNTIF(GIRDI!$A$6:$A$255,$B34)=0,"YETİM","")))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31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IF($A35="","",IF($B35="","YETİM",IF(COUNTIF(GIRDI!$A$6:$A$255,$B35)=0,"YETİM","")))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31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IF($A36="","",IF($B36="","YETİM",IF(COUNTIF(GIRDI!$A$6:$A$255,$B36)=0,"YETİM","")))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31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IF($A37="","",IF($B37="","YETİM",IF(COUNTIF(GIRDI!$A$6:$A$255,$B37)=0,"YETİM","")))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31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IF($A38="","",IF($B38="","YETİM",IF(COUNTIF(GIRDI!$A$6:$A$255,$B38)=0,"YETİM","")))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31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IF($A39="","",IF($B39="","YETİM",IF(COUNTIF(GIRDI!$A$6:$A$255,$B39)=0,"YETİM","")))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31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IF($A40="","",IF($B40="","YETİM",IF(COUNTIF(GIRDI!$A$6:$A$255,$B40)=0,"YETİM","")))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31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IF($A41="","",IF($B41="","YETİM",IF(COUNTIF(GIRDI!$A$6:$A$255,$B41)=0,"YETİM","")))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31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IF($A42="","",IF($B42="","YETİM",IF(COUNTIF(GIRDI!$A$6:$A$255,$B42)=0,"YETİM","")))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31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IF($A43="","",IF($B43="","YETİM",IF(COUNTIF(GIRDI!$A$6:$A$255,$B43)=0,"YETİM","")))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31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IF($A44="","",IF($B44="","YETİM",IF(COUNTIF(GIRDI!$A$6:$A$255,$B44)=0,"YETİM","")))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31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IF($A45="","",IF($B45="","YETİM",IF(COUNTIF(GIRDI!$A$6:$A$255,$B45)=0,"YETİM","")))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31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IF($A46="","",IF($B46="","YETİM",IF(COUNTIF(GIRDI!$A$6:$A$255,$B46)=0,"YETİM","")))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31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IF($A47="","",IF($B47="","YETİM",IF(COUNTIF(GIRDI!$A$6:$A$255,$B47)=0,"YETİM","")))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31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IF($A48="","",IF($B48="","YETİM",IF(COUNTIF(GIRDI!$A$6:$A$255,$B48)=0,"YETİM","")))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31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IF($A49="","",IF($B49="","YETİM",IF(COUNTIF(GIRDI!$A$6:$A$255,$B49)=0,"YETİM","")))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31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IF($A50="","",IF($B50="","YETİM",IF(COUNTIF(GIRDI!$A$6:$A$255,$B50)=0,"YETİM","")))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31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IF($A51="","",IF($B51="","YETİM",IF(COUNTIF(GIRDI!$A$6:$A$255,$B51)=0,"YETİM","")))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31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IF($A52="","",IF($B52="","YETİM",IF(COUNTIF(GIRDI!$A$6:$A$255,$B52)=0,"YETİM","")))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31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IF($A53="","",IF($B53="","YETİM",IF(COUNTIF(GIRDI!$A$6:$A$255,$B53)=0,"YETİM","")))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31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IF($A54="","",IF($B54="","YETİM",IF(COUNTIF(GIRDI!$A$6:$A$255,$B54)=0,"YETİM","")))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31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IF($A55="","",IF($B55="","YETİM",IF(COUNTIF(GIRDI!$A$6:$A$255,$B55)=0,"YETİM","")))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31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IF($A56="","",IF($B56="","YETİM",IF(COUNTIF(GIRDI!$A$6:$A$255,$B56)=0,"YETİM","")))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31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IF($A57="","",IF($B57="","YETİM",IF(COUNTIF(GIRDI!$A$6:$A$255,$B57)=0,"YETİM","")))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31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IF($A58="","",IF($B58="","YETİM",IF(COUNTIF(GIRDI!$A$6:$A$255,$B58)=0,"YETİM","")))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31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IF($A59="","",IF($B59="","YETİM",IF(COUNTIF(GIRDI!$A$6:$A$255,$B59)=0,"YETİM","")))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31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IF($A60="","",IF($B60="","YETİM",IF(COUNTIF(GIRDI!$A$6:$A$255,$B60)=0,"YETİM","")))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31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IF($A61="","",IF($B61="","YETİM",IF(COUNTIF(GIRDI!$A$6:$A$255,$B61)=0,"YETİM","")))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31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IF($A62="","",IF($B62="","YETİM",IF(COUNTIF(GIRDI!$A$6:$A$255,$B62)=0,"YETİM","")))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31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IF($A63="","",IF($B63="","YETİM",IF(COUNTIF(GIRDI!$A$6:$A$255,$B63)=0,"YETİM","")))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31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IF($A64="","",IF($B64="","YETİM",IF(COUNTIF(GIRDI!$A$6:$A$255,$B64)=0,"YETİM","")))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31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IF($A65="","",IF($B65="","YETİM",IF(COUNTIF(GIRDI!$A$6:$A$255,$B65)=0,"YETİM","")))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31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IF($A66="","",IF($B66="","YETİM",IF(COUNTIF(GIRDI!$A$6:$A$255,$B66)=0,"YETİM","")))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31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IF($A67="","",IF($B67="","YETİM",IF(COUNTIF(GIRDI!$A$6:$A$255,$B67)=0,"YETİM","")))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31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IF($A68="","",IF($B68="","YETİM",IF(COUNTIF(GIRDI!$A$6:$A$255,$B68)=0,"YETİM","")))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31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IF($A69="","",IF($B69="","YETİM",IF(COUNTIF(GIRDI!$A$6:$A$255,$B69)=0,"YETİM","")))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31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IF($A70="","",IF($B70="","YETİM",IF(COUNTIF(GIRDI!$A$6:$A$255,$B70)=0,"YETİM","")))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31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IF($A71="","",IF($B71="","YETİM",IF(COUNTIF(GIRDI!$A$6:$A$255,$B71)=0,"YETİM","")))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31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IF($A72="","",IF($B72="","YETİM",IF(COUNTIF(GIRDI!$A$6:$A$255,$B72)=0,"YETİM","")))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31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IF($A73="","",IF($B73="","YETİM",IF(COUNTIF(GIRDI!$A$6:$A$255,$B73)=0,"YETİM","")))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31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IF($A74="","",IF($B74="","YETİM",IF(COUNTIF(GIRDI!$A$6:$A$255,$B74)=0,"YETİM","")))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31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IF($A75="","",IF($B75="","YETİM",IF(COUNTIF(GIRDI!$A$6:$A$255,$B75)=0,"YETİM","")))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31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IF($A76="","",IF($B76="","YETİM",IF(COUNTIF(GIRDI!$A$6:$A$255,$B76)=0,"YETİM","")))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31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IF($A77="","",IF($B77="","YETİM",IF(COUNTIF(GIRDI!$A$6:$A$255,$B77)=0,"YETİM","")))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31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IF($A78="","",IF($B78="","YETİM",IF(COUNTIF(GIRDI!$A$6:$A$255,$B78)=0,"YETİM","")))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31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IF($A79="","",IF($B79="","YETİM",IF(COUNTIF(GIRDI!$A$6:$A$255,$B79)=0,"YETİM","")))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31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IF($A80="","",IF($B80="","YETİM",IF(COUNTIF(GIRDI!$A$6:$A$255,$B80)=0,"YETİM","")))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31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IF($A81="","",IF($B81="","YETİM",IF(COUNTIF(GIRDI!$A$6:$A$255,$B81)=0,"YETİM","")))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31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IF($A82="","",IF($B82="","YETİM",IF(COUNTIF(GIRDI!$A$6:$A$255,$B82)=0,"YETİM","")))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31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IF($A83="","",IF($B83="","YETİM",IF(COUNTIF(GIRDI!$A$6:$A$255,$B83)=0,"YETİM","")))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31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IF($A84="","",IF($B84="","YETİM",IF(COUNTIF(GIRDI!$A$6:$A$255,$B84)=0,"YETİM","")))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31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IF($A85="","",IF($B85="","YETİM",IF(COUNTIF(GIRDI!$A$6:$A$255,$B85)=0,"YETİM","")))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31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IF($A86="","",IF($B86="","YETİM",IF(COUNTIF(GIRDI!$A$6:$A$255,$B86)=0,"YETİM","")))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31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IF($A87="","",IF($B87="","YETİM",IF(COUNTIF(GIRDI!$A$6:$A$255,$B87)=0,"YETİM","")))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31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IF($A88="","",IF($B88="","YETİM",IF(COUNTIF(GIRDI!$A$6:$A$255,$B88)=0,"YETİM","")))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31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IF($A89="","",IF($B89="","YETİM",IF(COUNTIF(GIRDI!$A$6:$A$255,$B89)=0,"YETİM","")))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31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IF($A90="","",IF($B90="","YETİM",IF(COUNTIF(GIRDI!$A$6:$A$255,$B90)=0,"YETİM","")))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31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IF($A91="","",IF($B91="","YETİM",IF(COUNTIF(GIRDI!$A$6:$A$255,$B91)=0,"YETİM","")))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31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IF($A92="","",IF($B92="","YETİM",IF(COUNTIF(GIRDI!$A$6:$A$255,$B92)=0,"YETİM","")))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31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IF($A93="","",IF($B93="","YETİM",IF(COUNTIF(GIRDI!$A$6:$A$255,$B93)=0,"YETİM","")))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31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IF($A94="","",IF($B94="","YETİM",IF(COUNTIF(GIRDI!$A$6:$A$255,$B94)=0,"YETİM","")))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31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IF($A95="","",IF($B95="","YETİM",IF(COUNTIF(GIRDI!$A$6:$A$255,$B95)=0,"YETİM","")))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31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IF($A96="","",IF($B96="","YETİM",IF(COUNTIF(GIRDI!$A$6:$A$255,$B96)=0,"YETİM","")))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31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IF($A97="","",IF($B97="","YETİM",IF(COUNTIF(GIRDI!$A$6:$A$255,$B97)=0,"YETİM","")))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31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IF($A98="","",IF($B98="","YETİM",IF(COUNTIF(GIRDI!$A$6:$A$255,$B98)=0,"YETİM","")))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31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IF($A99="","",IF($B99="","YETİM",IF(COUNTIF(GIRDI!$A$6:$A$255,$B99)=0,"YETİM","")))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31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IF($A100="","",IF($B100="","YETİM",IF(COUNTIF(GIRDI!$A$6:$A$255,$B100)=0,"YETİM","")))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31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IF($A101="","",IF($B101="","YETİM",IF(COUNTIF(GIRDI!$A$6:$A$255,$B101)=0,"YETİM","")))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31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IF($A102="","",IF($B102="","YETİM",IF(COUNTIF(GIRDI!$A$6:$A$255,$B102)=0,"YETİM","")))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31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IF($A103="","",IF($B103="","YETİM",IF(COUNTIF(GIRDI!$A$6:$A$255,$B103)=0,"YETİM","")))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31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IF($A104="","",IF($B104="","YETİM",IF(COUNTIF(GIRDI!$A$6:$A$255,$B104)=0,"YETİM","")))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31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IF($A105="","",IF($B105="","YETİM",IF(COUNTIF(GIRDI!$A$6:$A$255,$B105)=0,"YETİM","")))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31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IF($A106="","",IF($B106="","YETİM",IF(COUNTIF(GIRDI!$A$6:$A$255,$B106)=0,"YETİM","")))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31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IF($A107="","",IF($B107="","YETİM",IF(COUNTIF(GIRDI!$A$6:$A$255,$B107)=0,"YETİM","")))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31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IF($A108="","",IF($B108="","YETİM",IF(COUNTIF(GIRDI!$A$6:$A$255,$B108)=0,"YETİM","")))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31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IF($A109="","",IF($B109="","YETİM",IF(COUNTIF(GIRDI!$A$6:$A$255,$B109)=0,"YETİM","")))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31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IF($A110="","",IF($B110="","YETİM",IF(COUNTIF(GIRDI!$A$6:$A$255,$B110)=0,"YETİM","")))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31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IF($A111="","",IF($B111="","YETİM",IF(COUNTIF(GIRDI!$A$6:$A$255,$B111)=0,"YETİM","")))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31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IF($A112="","",IF($B112="","YETİM",IF(COUNTIF(GIRDI!$A$6:$A$255,$B112)=0,"YETİM","")))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31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IF($A113="","",IF($B113="","YETİM",IF(COUNTIF(GIRDI!$A$6:$A$255,$B113)=0,"YETİM","")))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31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IF($A114="","",IF($B114="","YETİM",IF(COUNTIF(GIRDI!$A$6:$A$255,$B114)=0,"YETİM","")))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31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IF($A115="","",IF($B115="","YETİM",IF(COUNTIF(GIRDI!$A$6:$A$255,$B115)=0,"YETİM","")))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31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IF($A116="","",IF($B116="","YETİM",IF(COUNTIF(GIRDI!$A$6:$A$255,$B116)=0,"YETİM","")))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31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IF($A117="","",IF($B117="","YETİM",IF(COUNTIF(GIRDI!$A$6:$A$255,$B117)=0,"YETİM","")))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31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IF($A118="","",IF($B118="","YETİM",IF(COUNTIF(GIRDI!$A$6:$A$255,$B118)=0,"YETİM","")))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31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IF($A119="","",IF($B119="","YETİM",IF(COUNTIF(GIRDI!$A$6:$A$255,$B119)=0,"YETİM","")))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31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IF($A120="","",IF($B120="","YETİM",IF(COUNTIF(GIRDI!$A$6:$A$255,$B120)=0,"YETİM","")))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31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IF($A121="","",IF($B121="","YETİM",IF(COUNTIF(GIRDI!$A$6:$A$255,$B121)=0,"YETİM","")))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31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IF($A122="","",IF($B122="","YETİM",IF(COUNTIF(GIRDI!$A$6:$A$255,$B122)=0,"YETİM","")))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31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IF($A123="","",IF($B123="","YETİM",IF(COUNTIF(GIRDI!$A$6:$A$255,$B123)=0,"YETİM","")))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31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IF($A124="","",IF($B124="","YETİM",IF(COUNTIF(GIRDI!$A$6:$A$255,$B124)=0,"YETİM","")))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31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IF($A125="","",IF($B125="","YETİM",IF(COUNTIF(GIRDI!$A$6:$A$255,$B125)=0,"YETİM","")))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31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IF($A126="","",IF($B126="","YETİM",IF(COUNTIF(GIRDI!$A$6:$A$255,$B126)=0,"YETİM","")))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31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IF($A127="","",IF($B127="","YETİM",IF(COUNTIF(GIRDI!$A$6:$A$255,$B127)=0,"YETİM","")))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31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IF($A128="","",IF($B128="","YETİM",IF(COUNTIF(GIRDI!$A$6:$A$255,$B128)=0,"YETİM","")))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31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IF($A129="","",IF($B129="","YETİM",IF(COUNTIF(GIRDI!$A$6:$A$255,$B129)=0,"YETİM","")))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31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IF($A130="","",IF($B130="","YETİM",IF(COUNTIF(GIRDI!$A$6:$A$255,$B130)=0,"YETİM","")))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31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IF($A131="","",IF($B131="","YETİM",IF(COUNTIF(GIRDI!$A$6:$A$255,$B131)=0,"YETİM","")))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31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IF($A132="","",IF($B132="","YETİM",IF(COUNTIF(GIRDI!$A$6:$A$255,$B132)=0,"YETİM","")))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31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IF($A133="","",IF($B133="","YETİM",IF(COUNTIF(GIRDI!$A$6:$A$255,$B133)=0,"YETİM","")))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31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IF($A134="","",IF($B134="","YETİM",IF(COUNTIF(GIRDI!$A$6:$A$255,$B134)=0,"YETİM","")))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31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IF($A135="","",IF($B135="","YETİM",IF(COUNTIF(GIRDI!$A$6:$A$255,$B135)=0,"YETİM","")))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31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IF($A136="","",IF($B136="","YETİM",IF(COUNTIF(GIRDI!$A$6:$A$255,$B136)=0,"YETİM","")))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31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IF($A137="","",IF($B137="","YETİM",IF(COUNTIF(GIRDI!$A$6:$A$255,$B137)=0,"YETİM","")))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31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IF($A138="","",IF($B138="","YETİM",IF(COUNTIF(GIRDI!$A$6:$A$255,$B138)=0,"YETİM","")))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31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IF($A139="","",IF($B139="","YETİM",IF(COUNTIF(GIRDI!$A$6:$A$255,$B139)=0,"YETİM","")))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31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IF($A140="","",IF($B140="","YETİM",IF(COUNTIF(GIRDI!$A$6:$A$255,$B140)=0,"YETİM","")))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31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IF($A141="","",IF($B141="","YETİM",IF(COUNTIF(GIRDI!$A$6:$A$255,$B141)=0,"YETİM","")))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31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IF($A142="","",IF($B142="","YETİM",IF(COUNTIF(GIRDI!$A$6:$A$255,$B142)=0,"YETİM","")))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31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IF($A143="","",IF($B143="","YETİM",IF(COUNTIF(GIRDI!$A$6:$A$255,$B143)=0,"YETİM","")))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31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IF($A144="","",IF($B144="","YETİM",IF(COUNTIF(GIRDI!$A$6:$A$255,$B144)=0,"YETİM","")))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31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IF($A145="","",IF($B145="","YETİM",IF(COUNTIF(GIRDI!$A$6:$A$255,$B145)=0,"YETİM","")))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31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IF($A146="","",IF($B146="","YETİM",IF(COUNTIF(GIRDI!$A$6:$A$255,$B146)=0,"YETİM","")))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31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IF($A147="","",IF($B147="","YETİM",IF(COUNTIF(GIRDI!$A$6:$A$255,$B147)=0,"YETİM","")))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31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IF($A148="","",IF($B148="","YETİM",IF(COUNTIF(GIRDI!$A$6:$A$255,$B148)=0,"YETİM","")))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31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IF($A149="","",IF($B149="","YETİM",IF(COUNTIF(GIRDI!$A$6:$A$255,$B149)=0,"YETİM","")))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31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IF($A150="","",IF($B150="","YETİM",IF(COUNTIF(GIRDI!$A$6:$A$255,$B150)=0,"YETİM","")))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31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IF($A151="","",IF($B151="","YETİM",IF(COUNTIF(GIRDI!$A$6:$A$255,$B151)=0,"YETİM","")))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31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IF($A152="","",IF($B152="","YETİM",IF(COUNTIF(GIRDI!$A$6:$A$255,$B152)=0,"YETİM","")))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31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IF($A153="","",IF($B153="","YETİM",IF(COUNTIF(GIRDI!$A$6:$A$255,$B153)=0,"YETİM","")))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31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IF($A154="","",IF($B154="","YETİM",IF(COUNTIF(GIRDI!$A$6:$A$255,$B154)=0,"YETİM","")))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31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IF($A155="","",IF($B155="","YETİM",IF(COUNTIF(GIRDI!$A$6:$A$255,$B155)=0,"YETİM","")))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31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IF($A156="","",IF($B156="","YETİM",IF(COUNTIF(GIRDI!$A$6:$A$255,$B156)=0,"YETİM","")))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31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IF($A157="","",IF($B157="","YETİM",IF(COUNTIF(GIRDI!$A$6:$A$255,$B157)=0,"YETİM","")))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31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IF($A158="","",IF($B158="","YETİM",IF(COUNTIF(GIRDI!$A$6:$A$255,$B158)=0,"YETİM","")))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31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IF($A159="","",IF($B159="","YETİM",IF(COUNTIF(GIRDI!$A$6:$A$255,$B159)=0,"YETİM","")))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31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IF($A160="","",IF($B160="","YETİM",IF(COUNTIF(GIRDI!$A$6:$A$255,$B160)=0,"YETİM","")))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31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IF($A161="","",IF($B161="","YETİM",IF(COUNTIF(GIRDI!$A$6:$A$255,$B161)=0,"YETİM","")))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31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IF($A162="","",IF($B162="","YETİM",IF(COUNTIF(GIRDI!$A$6:$A$255,$B162)=0,"YETİM","")))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31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IF($A163="","",IF($B163="","YETİM",IF(COUNTIF(GIRDI!$A$6:$A$255,$B163)=0,"YETİM","")))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31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IF($A164="","",IF($B164="","YETİM",IF(COUNTIF(GIRDI!$A$6:$A$255,$B164)=0,"YETİM","")))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31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IF($A165="","",IF($B165="","YETİM",IF(COUNTIF(GIRDI!$A$6:$A$255,$B165)=0,"YETİM","")))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31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IF($A166="","",IF($B166="","YETİM",IF(COUNTIF(GIRDI!$A$6:$A$255,$B166)=0,"YETİM","")))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31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IF($A167="","",IF($B167="","YETİM",IF(COUNTIF(GIRDI!$A$6:$A$255,$B167)=0,"YETİM","")))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31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IF($A168="","",IF($B168="","YETİM",IF(COUNTIF(GIRDI!$A$6:$A$255,$B168)=0,"YETİM","")))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31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IF($A169="","",IF($B169="","YETİM",IF(COUNTIF(GIRDI!$A$6:$A$255,$B169)=0,"YETİM","")))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31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IF($A170="","",IF($B170="","YETİM",IF(COUNTIF(GIRDI!$A$6:$A$255,$B170)=0,"YETİM","")))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31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IF($A171="","",IF($B171="","YETİM",IF(COUNTIF(GIRDI!$A$6:$A$255,$B171)=0,"YETİM","")))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31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IF($A172="","",IF($B172="","YETİM",IF(COUNTIF(GIRDI!$A$6:$A$255,$B172)=0,"YETİM","")))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31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IF($A173="","",IF($B173="","YETİM",IF(COUNTIF(GIRDI!$A$6:$A$255,$B173)=0,"YETİM","")))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31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IF($A174="","",IF($B174="","YETİM",IF(COUNTIF(GIRDI!$A$6:$A$255,$B174)=0,"YETİM","")))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31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IF($A175="","",IF($B175="","YETİM",IF(COUNTIF(GIRDI!$A$6:$A$255,$B175)=0,"YETİM","")))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31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IF($A176="","",IF($B176="","YETİM",IF(COUNTIF(GIRDI!$A$6:$A$255,$B176)=0,"YETİM","")))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31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IF($A177="","",IF($B177="","YETİM",IF(COUNTIF(GIRDI!$A$6:$A$255,$B177)=0,"YETİM","")))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31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IF($A178="","",IF($B178="","YETİM",IF(COUNTIF(GIRDI!$A$6:$A$255,$B178)=0,"YETİM","")))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31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IF($A179="","",IF($B179="","YETİM",IF(COUNTIF(GIRDI!$A$6:$A$255,$B179)=0,"YETİM","")))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31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IF($A180="","",IF($B180="","YETİM",IF(COUNTIF(GIRDI!$A$6:$A$255,$B180)=0,"YETİM","")))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31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IF($A181="","",IF($B181="","YETİM",IF(COUNTIF(GIRDI!$A$6:$A$255,$B181)=0,"YETİM","")))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31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IF($A182="","",IF($B182="","YETİM",IF(COUNTIF(GIRDI!$A$6:$A$255,$B182)=0,"YETİM","")))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31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IF($A183="","",IF($B183="","YETİM",IF(COUNTIF(GIRDI!$A$6:$A$255,$B183)=0,"YETİM","")))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31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IF($A184="","",IF($B184="","YETİM",IF(COUNTIF(GIRDI!$A$6:$A$255,$B184)=0,"YETİM","")))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31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IF($A185="","",IF($B185="","YETİM",IF(COUNTIF(GIRDI!$A$6:$A$255,$B185)=0,"YETİM","")))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31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IF($A186="","",IF($B186="","YETİM",IF(COUNTIF(GIRDI!$A$6:$A$255,$B186)=0,"YETİM","")))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31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IF($A187="","",IF($B187="","YETİM",IF(COUNTIF(GIRDI!$A$6:$A$255,$B187)=0,"YETİM","")))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31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IF($A188="","",IF($B188="","YETİM",IF(COUNTIF(GIRDI!$A$6:$A$255,$B188)=0,"YETİM","")))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31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IF($A189="","",IF($B189="","YETİM",IF(COUNTIF(GIRDI!$A$6:$A$255,$B189)=0,"YETİM","")))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31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IF($A190="","",IF($B190="","YETİM",IF(COUNTIF(GIRDI!$A$6:$A$255,$B190)=0,"YETİM","")))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31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IF($A191="","",IF($B191="","YETİM",IF(COUNTIF(GIRDI!$A$6:$A$255,$B191)=0,"YETİM","")))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31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IF($A192="","",IF($B192="","YETİM",IF(COUNTIF(GIRDI!$A$6:$A$255,$B192)=0,"YETİM","")))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31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IF($A193="","",IF($B193="","YETİM",IF(COUNTIF(GIRDI!$A$6:$A$255,$B193)=0,"YETİM","")))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31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IF($A194="","",IF($B194="","YETİM",IF(COUNTIF(GIRDI!$A$6:$A$255,$B194)=0,"YETİM","")))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31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IF($A195="","",IF($B195="","YETİM",IF(COUNTIF(GIRDI!$A$6:$A$255,$B195)=0,"YETİM","")))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31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IF($A196="","",IF($B196="","YETİM",IF(COUNTIF(GIRDI!$A$6:$A$255,$B196)=0,"YETİM","")))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31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IF($A197="","",IF($B197="","YETİM",IF(COUNTIF(GIRDI!$A$6:$A$255,$B197)=0,"YETİM","")))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31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IF($A198="","",IF($B198="","YETİM",IF(COUNTIF(GIRDI!$A$6:$A$255,$B198)=0,"YETİM","")))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31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IF($A199="","",IF($B199="","YETİM",IF(COUNTIF(GIRDI!$A$6:$A$255,$B199)=0,"YETİM","")))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31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IF($A200="","",IF($B200="","YETİM",IF(COUNTIF(GIRDI!$A$6:$A$255,$B200)=0,"YETİM","")))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31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IF($A201="","",IF($B201="","YETİM",IF(COUNTIF(GIRDI!$A$6:$A$255,$B201)=0,"YETİM","")))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31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IF($A202="","",IF($B202="","YETİM",IF(COUNTIF(GIRDI!$A$6:$A$255,$B202)=0,"YETİM","")))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31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IF($A203="","",IF($B203="","YETİM",IF(COUNTIF(GIRDI!$A$6:$A$255,$B203)=0,"YETİM","")))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31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IF($A204="","",IF($B204="","YETİM",IF(COUNTIF(GIRDI!$A$6:$A$255,$B204)=0,"YETİM","")))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31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IF($A205="","",IF($B205="","YETİM",IF(COUNTIF(GIRDI!$A$6:$A$255,$B205)=0,"YETİM","")))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31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IF($A206="","",IF($B206="","YETİM",IF(COUNTIF(GIRDI!$A$6:$A$255,$B206)=0,"YETİM","")))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31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IF($A207="","",IF($B207="","YETİM",IF(COUNTIF(GIRDI!$A$6:$A$255,$B207)=0,"YETİM","")))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31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IF($A208="","",IF($B208="","YETİM",IF(COUNTIF(GIRDI!$A$6:$A$255,$B208)=0,"YETİM","")))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31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IF($A209="","",IF($B209="","YETİM",IF(COUNTIF(GIRDI!$A$6:$A$255,$B209)=0,"YETİM","")))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31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IF($A210="","",IF($B210="","YETİM",IF(COUNTIF(GIRDI!$A$6:$A$255,$B210)=0,"YETİM","")))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31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IF($A211="","",IF($B211="","YETİM",IF(COUNTIF(GIRDI!$A$6:$A$255,$B211)=0,"YETİM","")))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31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IF($A212="","",IF($B212="","YETİM",IF(COUNTIF(GIRDI!$A$6:$A$255,$B212)=0,"YETİM","")))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31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IF($A213="","",IF($B213="","YETİM",IF(COUNTIF(GIRDI!$A$6:$A$255,$B213)=0,"YETİM","")))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31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IF($A214="","",IF($B214="","YETİM",IF(COUNTIF(GIRDI!$A$6:$A$255,$B214)=0,"YETİM","")))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31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IF($A215="","",IF($B215="","YETİM",IF(COUNTIF(GIRDI!$A$6:$A$255,$B215)=0,"YETİM","")))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31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IF($A216="","",IF($B216="","YETİM",IF(COUNTIF(GIRDI!$A$6:$A$255,$B216)=0,"YETİM","")))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31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IF($A217="","",IF($B217="","YETİM",IF(COUNTIF(GIRDI!$A$6:$A$255,$B217)=0,"YETİM","")))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31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IF($A218="","",IF($B218="","YETİM",IF(COUNTIF(GIRDI!$A$6:$A$255,$B218)=0,"YETİM","")))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31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IF($A219="","",IF($B219="","YETİM",IF(COUNTIF(GIRDI!$A$6:$A$255,$B219)=0,"YETİM","")))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31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IF($A220="","",IF($B220="","YETİM",IF(COUNTIF(GIRDI!$A$6:$A$255,$B220)=0,"YETİM","")))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31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IF($A221="","",IF($B221="","YETİM",IF(COUNTIF(GIRDI!$A$6:$A$255,$B221)=0,"YETİM","")))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31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IF($A222="","",IF($B222="","YETİM",IF(COUNTIF(GIRDI!$A$6:$A$255,$B222)=0,"YETİM","")))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31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IF($A223="","",IF($B223="","YETİM",IF(COUNTIF(GIRDI!$A$6:$A$255,$B223)=0,"YETİM","")))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31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IF($A224="","",IF($B224="","YETİM",IF(COUNTIF(GIRDI!$A$6:$A$255,$B224)=0,"YETİM","")))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31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IF($A225="","",IF($B225="","YETİM",IF(COUNTIF(GIRDI!$A$6:$A$255,$B225)=0,"YETİM","")))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31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IF($A226="","",IF($B226="","YETİM",IF(COUNTIF(GIRDI!$A$6:$A$255,$B226)=0,"YETİM","")))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31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IF($A227="","",IF($B227="","YETİM",IF(COUNTIF(GIRDI!$A$6:$A$255,$B227)=0,"YETİM","")))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31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IF($A228="","",IF($B228="","YETİM",IF(COUNTIF(GIRDI!$A$6:$A$255,$B228)=0,"YETİM","")))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31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IF($A229="","",IF($B229="","YETİM",IF(COUNTIF(GIRDI!$A$6:$A$255,$B229)=0,"YETİM","")))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31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IF($A230="","",IF($B230="","YETİM",IF(COUNTIF(GIRDI!$A$6:$A$255,$B230)=0,"YETİM","")))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31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IF($A231="","",IF($B231="","YETİM",IF(COUNTIF(GIRDI!$A$6:$A$255,$B231)=0,"YETİM","")))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31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IF($A232="","",IF($B232="","YETİM",IF(COUNTIF(GIRDI!$A$6:$A$255,$B232)=0,"YETİM","")))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31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IF($A233="","",IF($B233="","YETİM",IF(COUNTIF(GIRDI!$A$6:$A$255,$B233)=0,"YETİM","")))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31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IF($A234="","",IF($B234="","YETİM",IF(COUNTIF(GIRDI!$A$6:$A$255,$B234)=0,"YETİM","")))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31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IF($A235="","",IF($B235="","YETİM",IF(COUNTIF(GIRDI!$A$6:$A$255,$B235)=0,"YETİM","")))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31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IF($A236="","",IF($B236="","YETİM",IF(COUNTIF(GIRDI!$A$6:$A$255,$B236)=0,"YETİM","")))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31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IF($A237="","",IF($B237="","YETİM",IF(COUNTIF(GIRDI!$A$6:$A$255,$B237)=0,"YETİM","")))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31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IF($A238="","",IF($B238="","YETİM",IF(COUNTIF(GIRDI!$A$6:$A$255,$B238)=0,"YETİM","")))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31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IF($A239="","",IF($B239="","YETİM",IF(COUNTIF(GIRDI!$A$6:$A$255,$B239)=0,"YETİM","")))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31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IF($A240="","",IF($B240="","YETİM",IF(COUNTIF(GIRDI!$A$6:$A$255,$B240)=0,"YETİM","")))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31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IF($A241="","",IF($B241="","YETİM",IF(COUNTIF(GIRDI!$A$6:$A$255,$B241)=0,"YETİM","")))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31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IF($A242="","",IF($B242="","YETİM",IF(COUNTIF(GIRDI!$A$6:$A$255,$B242)=0,"YETİM","")))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31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IF($A243="","",IF($B243="","YETİM",IF(COUNTIF(GIRDI!$A$6:$A$255,$B243)=0,"YETİM","")))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31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IF($A244="","",IF($B244="","YETİM",IF(COUNTIF(GIRDI!$A$6:$A$255,$B244)=0,"YETİM","")))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31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IF($A245="","",IF($B245="","YETİM",IF(COUNTIF(GIRDI!$A$6:$A$255,$B245)=0,"YETİM","")))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31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IF($A246="","",IF($B246="","YETİM",IF(COUNTIF(GIRDI!$A$6:$A$255,$B246)=0,"YETİM","")))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31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IF($A247="","",IF($B247="","YETİM",IF(COUNTIF(GIRDI!$A$6:$A$255,$B247)=0,"YETİM","")))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31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IF($A248="","",IF($B248="","YETİM",IF(COUNTIF(GIRDI!$A$6:$A$255,$B248)=0,"YETİM","")))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31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IF($A249="","",IF($B249="","YETİM",IF(COUNTIF(GIRDI!$A$6:$A$255,$B249)=0,"YETİM","")))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31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IF($A250="","",IF($B250="","YETİM",IF(COUNTIF(GIRDI!$A$6:$A$255,$B250)=0,"YETİM","")))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31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IF($A251="","",IF($B251="","YETİM",IF(COUNTIF(GIRDI!$A$6:$A$255,$B251)=0,"YETİM","")))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31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IF($A252="","",IF($B252="","YETİM",IF(COUNTIF(GIRDI!$A$6:$A$255,$B252)=0,"YETİM","")))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31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IF($A253="","",IF($B253="","YETİM",IF(COUNTIF(GIRDI!$A$6:$A$255,$B253)=0,"YETİM","")))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31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IF($A254="","",IF($B254="","YETİM",IF(COUNTIF(GIRDI!$A$6:$A$255,$B254)=0,"YETİM","")))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31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IF($A255="","",IF($B255="","YETİM",IF(COUNTIF(GIRDI!$A$6:$A$255,$B255)=0,"YETİM","")))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"HAZIRLIK"</formula>
    </cfRule>
    <cfRule type="cellIs" priority="6" operator="equal" dxfId="3">
      <formula>"BASVURU"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N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ilanço" error="0 veya üzeri" promptTitle="Bilanço" prompt="Bilanço ≥ 0" type="decimal" errorStyle="stop" operator="greaterThanOrEqual">
      <formula1>0</formula1>
    </dataValidation>
    <dataValidation sqref="G6:G255" showDropDown="0" showInputMessage="1" showErrorMessage="1" allowBlank="1" errorTitle="Nakit" error="0 veya üzeri" promptTitle="Nakit" prompt="Nakit ≥ 0" type="decimal" errorStyle="stop" operator="greaterThanOrEqual">
      <formula1>0</formula1>
    </dataValidation>
    <dataValidation sqref="H6:H255" showDropDown="0" showInputMessage="1" showErrorMessage="1" allowBlank="1" errorTitle="Projeksiyon" error="0 veya üzeri" promptTitle="Projeksiyon" prompt="Projeksiyon ≥ 0" type="decimal" errorStyle="stop" operator="greaterThanOrEqual">
      <formula1>0</formula1>
    </dataValidation>
    <dataValidation sqref="I6:I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J6:J255" showDropDown="0" showInputMessage="1" showErrorMessage="1" allowBlank="1" errorTitle="Karar" error="0 veya üzeri" promptTitle="Karar" prompt="Karar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65D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46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Konkordato Nakit Akış Ön Projesi</t>
        </is>
      </c>
    </row>
    <row r="3" ht="22" customHeight="1">
      <c r="A3" s="198" t="inlineStr">
        <is>
          <t>Durum bazlı canlı kuyruk — kapalı kayıtlar düşer</t>
        </is>
      </c>
    </row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Hazırlık</t>
        </is>
      </c>
      <c r="B6" s="20">
        <f>COUNTIFS(tblAkis[durum],"HAZIRLIK",tblAkis[tutar],"&gt;0")</f>
        <v/>
      </c>
      <c r="C6" s="21">
        <f>SUMIFS(tblAkis[tutar],tblAkis[durum],"HAZIRLIK")</f>
        <v/>
      </c>
    </row>
    <row r="7">
      <c r="A7" s="7" t="inlineStr">
        <is>
          <t>Başvuru</t>
        </is>
      </c>
      <c r="B7" s="20">
        <f>COUNTIFS(tblAkis[durum],"BASVURU",tblAkis[tutar],"&gt;0")</f>
        <v/>
      </c>
      <c r="C7" s="21">
        <f>SUMIFS(tblAkis[tutar],tblAkis[durum],"BASVURU")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COUNTIFS(tblAkis[YasGun],"&gt;"&amp;kna_esikGecikmeGun,tblAkis[Durum],"&lt;&gt;KABUL",tblAkis[Durum],"&lt;&gt;RET",tblAkis[Durum],"&lt;&gt;IPTAL",tblAkis[Tutar],"&gt;0")</f>
        <v/>
      </c>
      <c r="C9" s="21">
        <f>SUMIFS(tblAkis[Tutar],tblAkis[YasGun],"&gt;"&amp;kna_esikGecikmeGun,tblAkis[Durum],"&lt;&gt;KABUL",tblAkis[Durum],"&lt;&gt;RET",tblAkis[Durum],"&lt;&gt;IPTAL")</f>
        <v/>
      </c>
    </row>
    <row r="11">
      <c r="A11" s="16" t="inlineStr">
        <is>
          <t>Kapalı (Kabul+Ret+İptal) — kuyruktan düşer</t>
        </is>
      </c>
    </row>
    <row r="12">
      <c r="A12" s="7" t="inlineStr">
        <is>
          <t>Kabul</t>
        </is>
      </c>
      <c r="B12" s="20">
        <f>COUNTIFS(tblAkis[durum],"KABUL",tblAkis[tutar],"&gt;0")</f>
        <v/>
      </c>
      <c r="C12" s="21">
        <f>SUMIFS(tblAkis[tutar],tblAkis[durum],"KABUL")</f>
        <v/>
      </c>
    </row>
    <row r="13">
      <c r="A13" s="7" t="inlineStr">
        <is>
          <t>Ret</t>
        </is>
      </c>
      <c r="B13" s="20">
        <f>COUNTIFS(tblAkis[durum],"RET",tblAkis[tutar],"&gt;0")</f>
        <v/>
      </c>
      <c r="C13" s="21">
        <f>SUMIFS(tblAkis[tutar],tblAkis[durum],"RET")</f>
        <v/>
      </c>
    </row>
    <row r="14">
      <c r="A14" s="7" t="inlineStr">
        <is>
          <t>İptal</t>
        </is>
      </c>
      <c r="B14" s="20">
        <f>COUNTIFS(tblAkis[durum],"IPTAL",tblAkis[tutar],"&gt;0")</f>
        <v/>
      </c>
      <c r="C14" s="21">
        <f>SUMIFS(tblAkis[tutar],tblAkis[durum],"IPTAL")</f>
        <v/>
      </c>
    </row>
    <row r="16">
      <c r="A16" s="24" t="inlineStr">
        <is>
          <t>Kuyruk Özeti</t>
        </is>
      </c>
      <c r="B16" s="8">
        <f>kna_kuyrukOzeti</f>
        <v/>
      </c>
    </row>
    <row r="18">
      <c r="A18" s="16" t="inlineStr">
        <is>
          <t>Yaş Kova Dağılımı</t>
        </is>
      </c>
    </row>
    <row r="19">
      <c r="A19" s="7" t="inlineStr">
        <is>
          <t>0-7</t>
        </is>
      </c>
      <c r="B19" s="20">
        <f>COUNTIF(tblAkis[YasKova],"0-7")</f>
        <v/>
      </c>
      <c r="C19" s="21">
        <f>SUMIF(tblAkis[YasKova],"0-7",tblAkis[Tutar])</f>
        <v/>
      </c>
    </row>
    <row r="20">
      <c r="A20" s="7" t="inlineStr">
        <is>
          <t>8-30</t>
        </is>
      </c>
      <c r="B20" s="20">
        <f>COUNTIF(tblAkis[YasKova],"8-30")</f>
        <v/>
      </c>
      <c r="C20" s="21">
        <f>SUMIF(tblAkis[YasKova],"8-30",tblAkis[Tutar])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60+</t>
        </is>
      </c>
      <c r="B22" s="20">
        <f>COUNTIF(tblAkis[YasKova],"60+")</f>
        <v/>
      </c>
      <c r="C22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9">
    <cfRule type="cellIs" priority="9" operator="greaterThan" dxfId="3">
      <formula>0</formula>
    </cfRule>
  </conditionalFormatting>
  <conditionalFormatting sqref="B20">
    <cfRule type="cellIs" priority="10" operator="greaterThan" dxfId="3">
      <formula>0</formula>
    </cfRule>
  </conditionalFormatting>
  <conditionalFormatting sqref="B21">
    <cfRule type="cellIs" priority="11" operator="greaterThan" dxfId="3">
      <formula>0</formula>
    </cfRule>
  </conditionalFormatting>
  <conditionalFormatting sqref="B22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365D"/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Konkordato Nakit Akış Ön Projesi</t>
        </is>
      </c>
    </row>
    <row r="3" ht="22" customHeight="1">
      <c r="A3" s="198" t="inlineStr">
        <is>
          <t>Hesap motoru — ≥40 adım; sabitler AYARLAR'dan</t>
        </is>
      </c>
    </row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29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29">
        <f>SUM(tblAkis[Tutar])</f>
        <v/>
      </c>
    </row>
    <row r="9">
      <c r="A9" s="7" t="inlineStr">
        <is>
          <t>H04</t>
        </is>
      </c>
      <c r="B9" s="7" t="inlineStr">
        <is>
          <t>Bilanço halka toplam</t>
        </is>
      </c>
      <c r="C9" s="29">
        <f>SUM(tblAkis[BilancoTutar])</f>
        <v/>
      </c>
    </row>
    <row r="10">
      <c r="A10" s="7" t="inlineStr">
        <is>
          <t>H05</t>
        </is>
      </c>
      <c r="B10" s="7" t="inlineStr">
        <is>
          <t>Nakit halka toplam</t>
        </is>
      </c>
      <c r="C10" s="29">
        <f>SUM(tblAkis[NakitTutar])</f>
        <v/>
      </c>
    </row>
    <row r="11">
      <c r="A11" s="7" t="inlineStr">
        <is>
          <t>H06</t>
        </is>
      </c>
      <c r="B11" s="7" t="inlineStr">
        <is>
          <t>Projeksiyon toplam</t>
        </is>
      </c>
      <c r="C11" s="29">
        <f>SUM(tblAkis[ProjeksiyonTutar])</f>
        <v/>
      </c>
    </row>
    <row r="12">
      <c r="A12" s="7" t="inlineStr">
        <is>
          <t>H07</t>
        </is>
      </c>
      <c r="B12" s="7" t="inlineStr">
        <is>
          <t>Başvuru toplam</t>
        </is>
      </c>
      <c r="C12" s="29">
        <f>SUM(tblAkis[BasvuruTutar])</f>
        <v/>
      </c>
    </row>
    <row r="13">
      <c r="A13" s="7" t="inlineStr">
        <is>
          <t>H08</t>
        </is>
      </c>
      <c r="B13" s="7" t="inlineStr">
        <is>
          <t>Karar halka toplam</t>
        </is>
      </c>
      <c r="C13" s="29">
        <f>SUM(tblAkis[KararTutar])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3">
        <f>COUNTIF(tblAkis[Durum],"TASLAK")</f>
        <v/>
      </c>
    </row>
    <row r="15">
      <c r="A15" s="7" t="inlineStr">
        <is>
          <t>H10</t>
        </is>
      </c>
      <c r="B15" s="7" t="inlineStr">
        <is>
          <t>Hazırlık adet</t>
        </is>
      </c>
      <c r="C15" s="34">
        <f>COUNTIF(tblAkis[Durum],"HAZIRLIK")</f>
        <v/>
      </c>
    </row>
    <row r="16">
      <c r="A16" s="7" t="inlineStr">
        <is>
          <t>H11</t>
        </is>
      </c>
      <c r="B16" s="7" t="inlineStr">
        <is>
          <t>Başvuru adet</t>
        </is>
      </c>
      <c r="C16" s="33">
        <f>COUNTIF(tblAkis[Durum],"BASVURU")</f>
        <v/>
      </c>
    </row>
    <row r="17">
      <c r="A17" s="7" t="inlineStr">
        <is>
          <t>H12</t>
        </is>
      </c>
      <c r="B17" s="7" t="inlineStr">
        <is>
          <t>Kabul adet</t>
        </is>
      </c>
      <c r="C17" s="33">
        <f>COUNTIF(tblAkis[Durum],"KABUL")</f>
        <v/>
      </c>
    </row>
    <row r="18">
      <c r="A18" s="7" t="inlineStr">
        <is>
          <t>H13</t>
        </is>
      </c>
      <c r="B18" s="7" t="inlineStr">
        <is>
          <t>Ret adet</t>
        </is>
      </c>
      <c r="C18" s="33">
        <f>COUNTIF(tblAkis[Durum],"RET")</f>
        <v/>
      </c>
    </row>
    <row r="19">
      <c r="A19" s="7" t="inlineStr">
        <is>
          <t>H14</t>
        </is>
      </c>
      <c r="B19" s="7" t="inlineStr">
        <is>
          <t>İptal adet</t>
        </is>
      </c>
      <c r="C19" s="33">
        <f>COUNTIF(tblAkis[Durum],"IPTAL")</f>
        <v/>
      </c>
    </row>
    <row r="20">
      <c r="A20" s="7" t="inlineStr">
        <is>
          <t>H15</t>
        </is>
      </c>
      <c r="B20" s="7" t="inlineStr">
        <is>
          <t>Açık adet</t>
        </is>
      </c>
      <c r="C20" s="33">
        <f>C14+C15+C16</f>
        <v/>
      </c>
    </row>
    <row r="21">
      <c r="A21" s="7" t="inlineStr">
        <is>
          <t>H16</t>
        </is>
      </c>
      <c r="B21" s="7" t="inlineStr">
        <is>
          <t>Kapalı düşüm</t>
        </is>
      </c>
      <c r="C21" s="33">
        <f>C17+C18+C19</f>
        <v/>
      </c>
    </row>
    <row r="22">
      <c r="A22" s="7" t="inlineStr">
        <is>
          <t>H17</t>
        </is>
      </c>
      <c r="B22" s="7" t="inlineStr">
        <is>
          <t>Açık tutar</t>
        </is>
      </c>
      <c r="C22" s="29">
        <f>SUMIF(tblAkis[Durum],"TASLAK",tblAkis[Tutar])+SUMIF(tblAkis[Durum],"HAZIRLIK",tblAkis[Tutar])+SUMIF(tblAkis[Durum],"BASVURU",tblAkis[Tutar])</f>
        <v/>
      </c>
    </row>
    <row r="23">
      <c r="A23" s="7" t="inlineStr">
        <is>
          <t>H18</t>
        </is>
      </c>
      <c r="B23" s="7" t="inlineStr">
        <is>
          <t>Yetim adet</t>
        </is>
      </c>
      <c r="C23" s="33">
        <f>COUNTIF(tblAkis[YetimBayrak],"YETİM")</f>
        <v/>
      </c>
    </row>
    <row r="24">
      <c r="A24" s="7" t="inlineStr">
        <is>
          <t>H19</t>
        </is>
      </c>
      <c r="B24" s="7" t="inlineStr">
        <is>
          <t>Geçersiz geçiş</t>
        </is>
      </c>
      <c r="C24" s="33">
        <f>COUNTIF(tblAkis[GecisUyarisi],"GEÇERSİZ GEÇİŞ")</f>
        <v/>
      </c>
    </row>
    <row r="25">
      <c r="A25" s="7" t="inlineStr">
        <is>
          <t>H20</t>
        </is>
      </c>
      <c r="B25" s="7" t="inlineStr">
        <is>
          <t>Zincir kırık</t>
        </is>
      </c>
      <c r="C25" s="33">
        <f>COUNTIF(tblAkis[ZincirBayrak],"ZİNCİR KIRIK")</f>
        <v/>
      </c>
    </row>
    <row r="26">
      <c r="A26" s="7" t="inlineStr">
        <is>
          <t>H21</t>
        </is>
      </c>
      <c r="B26" s="7" t="inlineStr">
        <is>
          <t>Zincir tamam</t>
        </is>
      </c>
      <c r="C26" s="33">
        <f>COUNTIF(tblAkis[ZincirBayrak],"OK")</f>
        <v/>
      </c>
    </row>
    <row r="27">
      <c r="A27" s="7" t="inlineStr">
        <is>
          <t>H22</t>
        </is>
      </c>
      <c r="B27" s="7" t="inlineStr">
        <is>
          <t>Yaş 0-7</t>
        </is>
      </c>
      <c r="C27" s="33">
        <f>COUNTIF(tblAkis[YasKova],"0-7")</f>
        <v/>
      </c>
    </row>
    <row r="28">
      <c r="A28" s="7" t="inlineStr">
        <is>
          <t>H23</t>
        </is>
      </c>
      <c r="B28" s="7" t="inlineStr">
        <is>
          <t>Yaş 8-30</t>
        </is>
      </c>
      <c r="C28" s="33">
        <f>COUNTIF(tblAkis[YasKova],"8-30")</f>
        <v/>
      </c>
    </row>
    <row r="29">
      <c r="A29" s="7" t="inlineStr">
        <is>
          <t>H24</t>
        </is>
      </c>
      <c r="B29" s="7" t="inlineStr">
        <is>
          <t>Yaş 31-60</t>
        </is>
      </c>
      <c r="C29" s="33">
        <f>COUNTIF(tblAkis[YasKova],"31-60")</f>
        <v/>
      </c>
    </row>
    <row r="30">
      <c r="A30" s="7" t="inlineStr">
        <is>
          <t>H25</t>
        </is>
      </c>
      <c r="B30" s="7" t="inlineStr">
        <is>
          <t>Yaş 60+</t>
        </is>
      </c>
      <c r="C30" s="33">
        <f>COUNTIF(tblAkis[YasKova],"60+")</f>
        <v/>
      </c>
    </row>
    <row r="31">
      <c r="A31" s="7" t="inlineStr">
        <is>
          <t>H26</t>
        </is>
      </c>
      <c r="B31" s="7" t="inlineStr">
        <is>
          <t>Ort yaş gün</t>
        </is>
      </c>
      <c r="C31" s="66">
        <f>IFERROR(AVERAGE(tblAkis[YasGun]),0)</f>
        <v/>
      </c>
    </row>
    <row r="32">
      <c r="A32" s="7" t="inlineStr">
        <is>
          <t>H27</t>
        </is>
      </c>
      <c r="B32" s="7" t="inlineStr">
        <is>
          <t>Geciken adet</t>
        </is>
      </c>
      <c r="C32" s="33">
        <f>COUNTIFS(tblAkis[YasGun],"&gt;"&amp;kna_esikGecikmeGun,tblAkis[Durum],"&lt;&gt;KABUL",tblAkis[Durum],"&lt;&gt;RET",tblAkis[Durum],"&lt;&gt;IPTAL",tblAkis[Tutar],"&gt;0")</f>
        <v/>
      </c>
    </row>
    <row r="33">
      <c r="A33" s="7" t="inlineStr">
        <is>
          <t>H28</t>
        </is>
      </c>
      <c r="B33" s="7" t="inlineStr">
        <is>
          <t>Geciken tutar</t>
        </is>
      </c>
      <c r="C33" s="29">
        <f>SUMIFS(tblAkis[Tutar],tblAkis[YasGun],"&gt;"&amp;kna_esikGecikmeGun,tblAkis[Durum],"&lt;&gt;KABUL",tblAkis[Durum],"&lt;&gt;RET",tblAkis[Durum],"&lt;&gt;IPTAL")</f>
        <v/>
      </c>
    </row>
    <row r="34">
      <c r="A34" s="7" t="inlineStr">
        <is>
          <t>H29</t>
        </is>
      </c>
      <c r="B34" s="7" t="inlineStr">
        <is>
          <t>Gecikme maliyeti</t>
        </is>
      </c>
      <c r="C34" s="29">
        <f>C33*kna_gecikmeOranGun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9">
        <f>C22*kna_senaryoTemkinli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9">
        <f>C22*kna_senaryoBaz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9">
        <f>C22*kna_senaryoIyimser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9">
        <f>C37-C35</f>
        <v/>
      </c>
    </row>
    <row r="39">
      <c r="A39" s="7" t="inlineStr">
        <is>
          <t>H34</t>
        </is>
      </c>
      <c r="B39" s="7" t="inlineStr">
        <is>
          <t>Tornado (oran×tutar)</t>
        </is>
      </c>
      <c r="C39" s="34">
        <f>C22*kna_tornadoOran</f>
        <v/>
      </c>
    </row>
    <row r="40">
      <c r="A40" s="7" t="inlineStr">
        <is>
          <t>H35</t>
        </is>
      </c>
      <c r="B40" s="7" t="inlineStr">
        <is>
          <t>Ödeme öncelik havuzu</t>
        </is>
      </c>
      <c r="C40" s="29">
        <f>SUMIFS(tblAkis[Tutar],tblAkis[Durum],"HAZIRLIK",tblAkis[YasGun],"&gt;"&amp;kna_esikGecikmeGun)</f>
        <v/>
      </c>
    </row>
    <row r="41">
      <c r="A41" s="7" t="inlineStr">
        <is>
          <t>H36</t>
        </is>
      </c>
      <c r="B41" s="7" t="inlineStr">
        <is>
          <t>Pareto gecikme payı</t>
        </is>
      </c>
      <c r="C41" s="34">
        <f>IFERROR(C33/MAX(C22,1),0)</f>
        <v/>
      </c>
    </row>
    <row r="42">
      <c r="A42" s="7" t="inlineStr">
        <is>
          <t>H37</t>
        </is>
      </c>
      <c r="B42" s="7" t="inlineStr">
        <is>
          <t>Tahmin yüzdelik</t>
        </is>
      </c>
      <c r="C42" s="29">
        <f>IFERROR(_xlfn.PERCENTILE.INC(tblAkis[Tutar],kna_yuzdelikOran),0)</f>
        <v/>
      </c>
    </row>
    <row r="43">
      <c r="A43" s="7" t="inlineStr">
        <is>
          <t>H38</t>
        </is>
      </c>
      <c r="B43" s="7" t="inlineStr">
        <is>
          <t>Tahmin eğilim</t>
        </is>
      </c>
      <c r="C43" s="29">
        <f>IFERROR(FORECAST(COUNTA(tblAkis[IslemId])+1,tblAkis[Tutar],tblAkis[KayitDolu]),C42)</f>
        <v/>
      </c>
    </row>
    <row r="44">
      <c r="A44" s="7" t="inlineStr">
        <is>
          <t>H39</t>
        </is>
      </c>
      <c r="B44" s="7" t="inlineStr">
        <is>
          <t>Tahmin aralık</t>
        </is>
      </c>
      <c r="C44" s="29">
        <f>IFERROR((C42+C43)/2,0)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COUNTA(tblGirdi[KartId])</f>
        <v/>
      </c>
    </row>
    <row r="46">
      <c r="A46" s="7" t="inlineStr">
        <is>
          <t>H41</t>
        </is>
      </c>
      <c r="B46" s="7" t="inlineStr">
        <is>
          <t>Bilanço Y0 toplam</t>
        </is>
      </c>
      <c r="C46" s="29">
        <f>SUM(BILANCO!D6:D35)</f>
        <v/>
      </c>
    </row>
    <row r="47">
      <c r="A47" s="7" t="inlineStr">
        <is>
          <t>H42</t>
        </is>
      </c>
      <c r="B47" s="7" t="inlineStr">
        <is>
          <t>Nakit Y0 toplam</t>
        </is>
      </c>
      <c r="C47" s="29">
        <f>SUM(NAKIT_AKIS!D6:D35)</f>
        <v/>
      </c>
    </row>
    <row r="48">
      <c r="A48" s="7" t="inlineStr">
        <is>
          <t>H43</t>
        </is>
      </c>
      <c r="B48" s="7" t="inlineStr">
        <is>
          <t>Üç yıl akış metin</t>
        </is>
      </c>
      <c r="C48" s="24">
        <f>_xlfn.TEXTJOIN(" | ",TRUE,"Y0",TEXT(SUM(NAKIT_AKIS!D6:D35),"0"),"Y1",TEXT(SUM(NAKIT_AKIS!E6:E35),"0"),"Y2",TEXT(SUM(NAKIT_AKIS!F6:F35),"0"))</f>
        <v/>
      </c>
    </row>
    <row r="49">
      <c r="A49" s="7" t="inlineStr">
        <is>
          <t>H44</t>
        </is>
      </c>
      <c r="B49" s="7" t="inlineStr">
        <is>
          <t>Kuyruk özeti metin</t>
        </is>
      </c>
      <c r="C49" s="24">
        <f>_xlfn.TEXTJOIN(" | ",TRUE,"Hazırlık",C15,"Başvuru",C16,"Geciken",C32)</f>
        <v/>
      </c>
    </row>
    <row r="50">
      <c r="A50" s="7" t="inlineStr">
        <is>
          <t>H45</t>
        </is>
      </c>
      <c r="B50" s="7" t="inlineStr">
        <is>
          <t>Yaş kova metin</t>
        </is>
      </c>
      <c r="C50" s="24">
        <f>_xlfn.TEXTJOIN("/",TRUE,C27,C28,C29,C30)</f>
        <v/>
      </c>
    </row>
    <row r="51">
      <c r="A51" s="7" t="inlineStr">
        <is>
          <t>H46</t>
        </is>
      </c>
      <c r="B51" s="7" t="inlineStr">
        <is>
          <t>Karar skoru ham</t>
        </is>
      </c>
      <c r="C51" s="33">
        <f>IF(C6=0,0,MAX(0,100-C23*kna_cezaYetim-C24*kna_cezaGecis-C25*kna_cezaZincir-C32*kna_cezaGeciken))</f>
        <v/>
      </c>
    </row>
    <row r="52">
      <c r="A52" s="7" t="inlineStr">
        <is>
          <t>H47</t>
        </is>
      </c>
      <c r="B52" s="7" t="inlineStr">
        <is>
          <t>Veri hazırlık</t>
        </is>
      </c>
      <c r="C52" s="34">
        <f>IF(C6=0,0,C7/MAX(C6,1))</f>
        <v/>
      </c>
    </row>
    <row r="53">
      <c r="A53" s="7" t="inlineStr">
        <is>
          <t>H48</t>
        </is>
      </c>
      <c r="B53" s="7" t="inlineStr">
        <is>
          <t>Nakit kilit adet</t>
        </is>
      </c>
      <c r="C53" s="33">
        <f>COUNTIF(NAKIT_AKIS!I6:I35,"KİLİT")</f>
        <v/>
      </c>
    </row>
    <row r="54">
      <c r="A54" s="7" t="inlineStr">
        <is>
          <t>H49</t>
        </is>
      </c>
      <c r="B54" s="7" t="inlineStr">
        <is>
          <t>Bilanço nakit sapma</t>
        </is>
      </c>
      <c r="C54" s="29">
        <f>ABS(C46-C47)</f>
        <v/>
      </c>
    </row>
    <row r="55">
      <c r="A55" s="7" t="inlineStr">
        <is>
          <t>H50</t>
        </is>
      </c>
      <c r="B55" s="7" t="inlineStr">
        <is>
          <t>Kalite modülü</t>
        </is>
      </c>
      <c r="C55" s="33">
        <f>C51</f>
        <v/>
      </c>
    </row>
    <row r="56">
      <c r="A56" s="7" t="inlineStr">
        <is>
          <t>H51</t>
        </is>
      </c>
      <c r="B56" s="7" t="inlineStr">
        <is>
          <t>Yüzdelik 90</t>
        </is>
      </c>
      <c r="C56" s="29">
        <f>IFERROR(_xlfn.PERCENTILE.INC(tblAkis[Tutar],kna_yuzdelikOran),0)</f>
        <v/>
      </c>
    </row>
    <row r="57">
      <c r="A57" s="7" t="inlineStr">
        <is>
          <t>H52</t>
        </is>
      </c>
      <c r="B57" s="7" t="inlineStr">
        <is>
          <t>Kanıt özeti</t>
        </is>
      </c>
      <c r="C57" s="24">
        <f>_xlfn.TEXTJOIN(" | ",TRUE,"Açık",C20,"Yetim",C23,"Zincir",C25,"Geciken",C32,"Kilit",C53)</f>
        <v/>
      </c>
    </row>
    <row r="58">
      <c r="A58" s="7" t="inlineStr">
        <is>
          <t>H53</t>
        </is>
      </c>
      <c r="B58" s="7" t="inlineStr">
        <is>
          <t>Nakit Y1 toplam</t>
        </is>
      </c>
      <c r="C58" s="29">
        <f>SUM(NAKIT_AKIS!E6:E35)</f>
        <v/>
      </c>
    </row>
    <row r="59">
      <c r="A59" s="7" t="inlineStr">
        <is>
          <t>H54</t>
        </is>
      </c>
      <c r="B59" s="7" t="inlineStr">
        <is>
          <t>Nakit Y2 toplam</t>
        </is>
      </c>
      <c r="C59" s="29">
        <f>SUM(NAKIT_AKIS!F6:F35)</f>
        <v/>
      </c>
    </row>
    <row r="60">
      <c r="A60" s="7" t="inlineStr">
        <is>
          <t>H55</t>
        </is>
      </c>
      <c r="B60" s="7" t="inlineStr">
        <is>
          <t>Üç yıl nakit toplam</t>
        </is>
      </c>
      <c r="C60" s="29">
        <f>C47+C58+C59</f>
        <v/>
      </c>
    </row>
    <row r="64">
      <c r="A64" s="32" t="inlineStr">
        <is>
          <t>Senaryo</t>
        </is>
      </c>
      <c r="B64" s="32" t="inlineStr">
        <is>
          <t>Çarpan</t>
        </is>
      </c>
      <c r="C64" s="32" t="inlineStr">
        <is>
          <t>Sonuç</t>
        </is>
      </c>
    </row>
    <row r="65">
      <c r="A65" s="7" t="inlineStr">
        <is>
          <t>Temkinli</t>
        </is>
      </c>
      <c r="B65" s="30">
        <f>kna_senaryoTemkinli*IF(COUNTA(tblAkis[IslemId])&gt;=0,1,1)</f>
        <v/>
      </c>
      <c r="C65" s="21">
        <f>C35</f>
        <v/>
      </c>
    </row>
    <row r="66">
      <c r="A66" s="7" t="inlineStr">
        <is>
          <t>Baz</t>
        </is>
      </c>
      <c r="B66" s="30">
        <f>kna_senaryoBaz*IF(COUNTA(tblAkis[IslemId])&gt;=0,1,1)</f>
        <v/>
      </c>
      <c r="C66" s="21">
        <f>C36</f>
        <v/>
      </c>
    </row>
    <row r="67">
      <c r="A67" s="7" t="inlineStr">
        <is>
          <t>İyimser</t>
        </is>
      </c>
      <c r="B67" s="30">
        <f>kna_senaryoIyimser*IF(COUNTA(tblAkis[IslemId])&gt;=0,1,1)</f>
        <v/>
      </c>
      <c r="C67" s="21">
        <f>C37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30"/>
  <sheetViews>
    <sheetView showGridLines="0" workbookViewId="0">
      <selection activeCell="A1" sqref="A1"/>
    </sheetView>
  </sheetViews>
  <sheetFormatPr baseColWidth="8" defaultRowHeight="15"/>
  <cols>
    <col width="240.5" customWidth="1" min="1" max="1"/>
    <col width="42" customWidth="1" min="2" max="2"/>
    <col width="14" customWidth="1" min="3" max="3"/>
    <col width="20.5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Konkordato Nakit Akış Ön Projesi</t>
        </is>
      </c>
    </row>
    <row r="3" ht="22" customHeight="1">
      <c r="A3" s="197" t="inlineStr">
        <is>
          <t>Mahkeme Konkordato Nakit Akış Ön Proje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3">
        <f>kna_acikAdet</f>
        <v/>
      </c>
    </row>
    <row r="10">
      <c r="A10" s="7" t="inlineStr">
        <is>
          <t>Açık Tutar</t>
        </is>
      </c>
      <c r="B10" s="29">
        <f>kna_acikTutar</f>
        <v/>
      </c>
    </row>
    <row r="11">
      <c r="A11" s="7" t="inlineStr">
        <is>
          <t>Gecikme Maliyeti</t>
        </is>
      </c>
      <c r="B11" s="29">
        <f>kna_gecikmeMaliyeti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 Geçiş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Tahmin Aralık</t>
        </is>
      </c>
      <c r="B15" s="29">
        <f>kna_tahminAralik</f>
        <v/>
      </c>
    </row>
    <row r="16">
      <c r="A16" s="7" t="inlineStr">
        <is>
          <t>Üç Yıl Akış</t>
        </is>
      </c>
      <c r="B16" s="24">
        <f>kna_ucYilAkis</f>
        <v/>
      </c>
    </row>
    <row r="17">
      <c r="A17" s="7" t="inlineStr">
        <is>
          <t>Nakit Kilit</t>
        </is>
      </c>
      <c r="B17" s="33">
        <f>kna_nakitKilit</f>
        <v/>
      </c>
    </row>
    <row r="18">
      <c r="A18" s="7" t="inlineStr">
        <is>
          <t>Kanıt Özeti</t>
        </is>
      </c>
      <c r="B18" s="24">
        <f>kna_kanitRaporu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Üç yıllık bilanço ve nakit akış BILANCO / NAKIT_AKIS tablolarından türetilir. Bu çıktı karar destektir; kesin mali/hukuki görüş veya mahkeme hükmü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GIRDI'ye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Bilanço-nakit zincir sapmasını kapatın; nakit kilit varsa başvuruyu durdurun.</t>
        </is>
      </c>
    </row>
    <row r="28">
      <c r="A28" s="7" t="inlineStr">
        <is>
          <t>Kayyım / mahkeme imza</t>
        </is>
      </c>
      <c r="D28" s="7" t="inlineStr">
        <is>
          <t>CFO / ortak imza</t>
        </is>
      </c>
    </row>
    <row r="30">
      <c r="A30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H21"/>
    <mergeCell ref="A3:I3"/>
  </mergeCells>
  <conditionalFormatting sqref="B7">
    <cfRule type="cellIs" priority="1" operator="equal" dxfId="0">
      <formula>"BAŞVUR"</formula>
    </cfRule>
    <cfRule type="cellIs" priority="2" operator="equal" dxfId="1">
      <formula>"BEKLE"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&amp;LKonkordato Nakit Akış Ön Projesi | Kanıt&amp;CExcelArşiv&amp;RSayfa &amp;P / &amp;N</oddFooter>
    <evenHeader/>
    <evenFooter>&amp;LKonkordato Nakit Akış Ön Projesi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Konkordato Nakit Akış Ön Projesi</t>
        </is>
      </c>
    </row>
    <row r="3" ht="22" customHeight="1">
      <c r="A3" s="19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COUNTA(tblGirdi[KartId])</f>
        <v/>
      </c>
    </row>
    <row r="7">
      <c r="A7" s="7" t="inlineStr">
        <is>
          <t>Taslak</t>
        </is>
      </c>
      <c r="B7" s="33">
        <f>COUNTIF(tblAkis[Durum],"TASLAK")</f>
        <v/>
      </c>
    </row>
    <row r="8">
      <c r="A8" s="7" t="inlineStr">
        <is>
          <t>Hazırlık</t>
        </is>
      </c>
      <c r="B8" s="33">
        <f>COUNTIF(tblAkis[Durum],"HAZIRLIK")</f>
        <v/>
      </c>
    </row>
    <row r="9">
      <c r="A9" s="7" t="inlineStr">
        <is>
          <t>Başvuru</t>
        </is>
      </c>
      <c r="B9" s="33">
        <f>COUNTIF(tblAkis[Durum],"BASVURU")</f>
        <v/>
      </c>
    </row>
    <row r="10">
      <c r="A10" s="7" t="inlineStr">
        <is>
          <t>Kabul</t>
        </is>
      </c>
      <c r="B10" s="33">
        <f>COUNTIF(tblAkis[Durum],"KABUL")</f>
        <v/>
      </c>
    </row>
    <row r="11">
      <c r="A11" s="7" t="inlineStr">
        <is>
          <t>Ret</t>
        </is>
      </c>
      <c r="B11" s="33">
        <f>COUNTIF(tblAkis[Durum],"RET")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3">
        <f>HESAP!C51</f>
        <v/>
      </c>
    </row>
    <row r="17">
      <c r="A17" s="7" t="inlineStr">
        <is>
          <t>Açık tutar</t>
        </is>
      </c>
      <c r="B17" s="29">
        <f>kna_acikTutar</f>
        <v/>
      </c>
    </row>
    <row r="18">
      <c r="A18" s="7" t="inlineStr">
        <is>
          <t>Gecikme maliyeti</t>
        </is>
      </c>
      <c r="B18" s="29">
        <f>kna_gecikmeMaliyeti</f>
        <v/>
      </c>
    </row>
    <row r="19">
      <c r="A19" s="7" t="inlineStr">
        <is>
          <t>Kapalı düşüm</t>
        </is>
      </c>
      <c r="B19" s="33">
        <f>kna_kapaliDusum</f>
        <v/>
      </c>
    </row>
    <row r="20">
      <c r="A20" s="7" t="inlineStr">
        <is>
          <t>Nakit kilit</t>
        </is>
      </c>
      <c r="B20" s="33">
        <f>kna_nakitKilit</f>
        <v/>
      </c>
    </row>
    <row r="21">
      <c r="A21" s="7" t="inlineStr">
        <is>
          <t>Bilanço satır</t>
        </is>
      </c>
      <c r="B21" s="33">
        <f>COUNTA(BILANCO!A6:A35)</f>
        <v/>
      </c>
    </row>
    <row r="22">
      <c r="A22" s="7" t="inlineStr">
        <is>
          <t>Nakit satır</t>
        </is>
      </c>
      <c r="B22" s="33">
        <f>COUNTA(NAKIT_AKIS!A6:A35)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Konkordato Nakit Akış Ön Projesi</t>
        </is>
      </c>
    </row>
    <row r="3" ht="22" customHeight="1">
      <c r="A3" s="199" t="inlineStr">
        <is>
          <t>Örnek Senaryo Açıklaması</t>
        </is>
      </c>
    </row>
    <row r="4">
      <c r="A4" s="8" t="inlineStr">
        <is>
          <t>Dosyada 8 kart, 12 bilanço, 10 nakit ve 28 akış satırı vardır. Yetim (22, 25), geçersiz geçiş (18, 20) ve zincir kırık (12, 19) kasıtlıdır. 3 yıllık BILANCO ve NAKIT_AKIS mahkeme ön projesinin omurgasıdır. GIRDI, BILANCO, NAKIT_AKIS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Taslak/Hazırlık/Başvuru/Kabul/Ret/İptal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B365D"/>
    <outlinePr summaryBelow="1" summaryRight="1"/>
    <pageSetUpPr/>
  </sheetPr>
  <dimension ref="A1:K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</cols>
  <sheetData>
    <row r="1" ht="32" customHeight="1">
      <c r="A1" s="178" t="inlineStr">
        <is>
          <t>LISTELER — Konkordato Nakit Akış Ön Projesi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Bilanço Grup</t>
        </is>
      </c>
      <c r="I3" s="24" t="inlineStr">
        <is>
          <t>Nakit Grup</t>
        </is>
      </c>
      <c r="K3" s="24" t="inlineStr">
        <is>
          <t>Kart Kimlik</t>
        </is>
      </c>
    </row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Grup</t>
        </is>
      </c>
      <c r="I6" s="32" t="inlineStr">
        <is>
          <t>Grup</t>
        </is>
      </c>
      <c r="K6" s="32" t="inlineStr">
        <is>
          <t>KartId</t>
        </is>
      </c>
    </row>
    <row r="7">
      <c r="A7" s="26" t="inlineStr">
        <is>
          <t>TASLAK</t>
        </is>
      </c>
      <c r="C7" s="26" t="inlineStr">
        <is>
          <t>TASLAK|HAZIRLIK</t>
        </is>
      </c>
      <c r="E7" s="26" t="inlineStr">
        <is>
          <t>EVET</t>
        </is>
      </c>
      <c r="G7" s="26" t="inlineStr">
        <is>
          <t>donen</t>
        </is>
      </c>
      <c r="I7" s="26" t="inlineStr">
        <is>
          <t>isletme</t>
        </is>
      </c>
      <c r="K7" s="26" t="inlineStr">
        <is>
          <t>ALN-00001</t>
        </is>
      </c>
    </row>
    <row r="8">
      <c r="A8" s="26" t="inlineStr">
        <is>
          <t>HAZIRLIK</t>
        </is>
      </c>
      <c r="C8" s="26" t="inlineStr">
        <is>
          <t>HAZIRLIK|BASVURU</t>
        </is>
      </c>
      <c r="E8" s="26" t="inlineStr">
        <is>
          <t>HAYIR</t>
        </is>
      </c>
      <c r="G8" s="26" t="inlineStr">
        <is>
          <t>duran</t>
        </is>
      </c>
      <c r="I8" s="26" t="inlineStr">
        <is>
          <t>yatirim</t>
        </is>
      </c>
      <c r="K8" s="26" t="inlineStr">
        <is>
          <t>ALN-00002</t>
        </is>
      </c>
    </row>
    <row r="9">
      <c r="A9" s="26" t="inlineStr">
        <is>
          <t>BASVURU</t>
        </is>
      </c>
      <c r="C9" s="26" t="inlineStr">
        <is>
          <t>HAZIRLIK|IPTAL</t>
        </is>
      </c>
      <c r="G9" s="26" t="inlineStr">
        <is>
          <t>aktif</t>
        </is>
      </c>
      <c r="I9" s="26" t="inlineStr">
        <is>
          <t>finansman</t>
        </is>
      </c>
      <c r="K9" s="26" t="inlineStr">
        <is>
          <t>ALN-00003</t>
        </is>
      </c>
    </row>
    <row r="10">
      <c r="A10" s="26" t="inlineStr">
        <is>
          <t>KABUL</t>
        </is>
      </c>
      <c r="C10" s="26" t="inlineStr">
        <is>
          <t>BASVURU|KABUL</t>
        </is>
      </c>
      <c r="G10" s="26" t="inlineStr">
        <is>
          <t>pasif</t>
        </is>
      </c>
      <c r="I10" s="26" t="inlineStr">
        <is>
          <t>kapanis</t>
        </is>
      </c>
      <c r="K10" s="26" t="inlineStr">
        <is>
          <t>ALN-00004</t>
        </is>
      </c>
    </row>
    <row r="11">
      <c r="A11" s="26" t="inlineStr">
        <is>
          <t>RET</t>
        </is>
      </c>
      <c r="C11" s="26" t="inlineStr">
        <is>
          <t>BASVURU|RET</t>
        </is>
      </c>
      <c r="G11" s="26" t="inlineStr">
        <is>
          <t>ozkaynak</t>
        </is>
      </c>
      <c r="K11" s="26" t="inlineStr">
        <is>
          <t>ALN-00005</t>
        </is>
      </c>
    </row>
    <row r="12">
      <c r="A12" s="26" t="inlineStr">
        <is>
          <t>IPTAL</t>
        </is>
      </c>
      <c r="K12" s="26" t="inlineStr">
        <is>
          <t>ALN-00006</t>
        </is>
      </c>
    </row>
    <row r="13">
      <c r="K13" s="26" t="inlineStr">
        <is>
          <t>ALN-00007</t>
        </is>
      </c>
    </row>
    <row r="14">
      <c r="K14" s="26" t="inlineStr">
        <is>
          <t>ALN-00008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B365D"/>
    <outlinePr summaryBelow="1" summaryRight="1"/>
    <pageSetUpPr/>
  </sheetPr>
  <dimension ref="A1:L73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40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Konkordato Nakit Akış Ön Projesi</t>
        </is>
      </c>
    </row>
    <row r="3" ht="22" customHeight="1">
      <c r="A3" s="198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1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kna_esikGecikmeGun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kna_esikGeciken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kna_gecikmeOranGun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kna_senaryoTemkinli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kna_senaryoBaz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kna_senaryoIyimser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kna_tornadoOran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kna_yuzdelikOran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kna_olcekHedef</t>
        </is>
      </c>
      <c r="B16" s="39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kna_azamiTutar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kna_nakitKilitEsik</t>
        </is>
      </c>
      <c r="B18" s="27" t="n">
        <v>0</v>
      </c>
      <c r="C18" s="7" t="inlineStr">
        <is>
          <t>TL</t>
        </is>
      </c>
      <c r="D18" s="7" t="inlineStr">
        <is>
          <t>Nakit kilit eşiği</t>
        </is>
      </c>
      <c r="E18" s="7" t="inlineStr">
        <is>
          <t>01.01.2026</t>
        </is>
      </c>
      <c r="F18" s="8" t="inlineStr">
        <is>
          <t>Kapanış yılı eşiğin altındaysa kilit</t>
        </is>
      </c>
    </row>
    <row r="19">
      <c r="A19" s="7" t="inlineStr">
        <is>
          <t>kna_cezaYetim</t>
        </is>
      </c>
      <c r="B19" s="39" t="n">
        <v>12</v>
      </c>
      <c r="C19" s="7" t="inlineStr">
        <is>
          <t>puan</t>
        </is>
      </c>
      <c r="D19" s="7" t="inlineStr">
        <is>
          <t>Kalite skoru</t>
        </is>
      </c>
      <c r="E19" s="7" t="inlineStr">
        <is>
          <t>01.01.2026</t>
        </is>
      </c>
      <c r="F19" s="8" t="inlineStr">
        <is>
          <t>Yetim ceza puanı</t>
        </is>
      </c>
    </row>
    <row r="20">
      <c r="A20" s="7" t="inlineStr">
        <is>
          <t>kna_cezaGecis</t>
        </is>
      </c>
      <c r="B20" s="39" t="n">
        <v>12</v>
      </c>
      <c r="C20" s="7" t="inlineStr">
        <is>
          <t>puan</t>
        </is>
      </c>
      <c r="D20" s="7" t="inlineStr">
        <is>
          <t>Kalite skoru</t>
        </is>
      </c>
      <c r="E20" s="7" t="inlineStr">
        <is>
          <t>01.01.2026</t>
        </is>
      </c>
      <c r="F20" s="8" t="inlineStr">
        <is>
          <t>Geçiş ceza puanı</t>
        </is>
      </c>
    </row>
    <row r="21">
      <c r="A21" s="7" t="inlineStr">
        <is>
          <t>kna_cezaZincir</t>
        </is>
      </c>
      <c r="B21" s="39" t="n">
        <v>12</v>
      </c>
      <c r="C21" s="7" t="inlineStr">
        <is>
          <t>puan</t>
        </is>
      </c>
      <c r="D21" s="7" t="inlineStr">
        <is>
          <t>Kalite skoru</t>
        </is>
      </c>
      <c r="E21" s="7" t="inlineStr">
        <is>
          <t>01.01.2026</t>
        </is>
      </c>
      <c r="F21" s="8" t="inlineStr">
        <is>
          <t>Zincir ceza puanı</t>
        </is>
      </c>
    </row>
    <row r="22">
      <c r="A22" s="7" t="inlineStr">
        <is>
          <t>kna_cezaGeciken</t>
        </is>
      </c>
      <c r="B22" s="39" t="n">
        <v>2</v>
      </c>
      <c r="C22" s="7" t="inlineStr">
        <is>
          <t>puan</t>
        </is>
      </c>
      <c r="D22" s="7" t="inlineStr">
        <is>
          <t>Kalite skoru</t>
        </is>
      </c>
      <c r="E22" s="7" t="inlineStr">
        <is>
          <t>01.01.2026</t>
        </is>
      </c>
      <c r="F22" s="8" t="inlineStr">
        <is>
          <t>Geciken ceza puanı</t>
        </is>
      </c>
    </row>
    <row r="23">
      <c r="A23" s="7" t="inlineStr">
        <is>
          <t>kna_durumHaritasi</t>
        </is>
      </c>
      <c r="B23" s="26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kna_kuyrukOzeti_metin</t>
        </is>
      </c>
      <c r="B24" s="26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kna_kapaliDusum_metin</t>
        </is>
      </c>
      <c r="B25" s="26" t="inlineStr">
        <is>
          <t>kapali kategori kuyruktan düşer</t>
        </is>
      </c>
      <c r="C25" s="7" t="inlineStr">
        <is>
          <t>metin</t>
        </is>
      </c>
      <c r="D25" s="7" t="inlineStr">
        <is>
          <t>A06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kna_kanitRaporu_metin</t>
        </is>
      </c>
      <c r="B26" s="26" t="inlineStr">
        <is>
          <t>RAPOR kanıt çıktısı</t>
        </is>
      </c>
      <c r="C26" s="7" t="inlineStr">
        <is>
          <t>metin</t>
        </is>
      </c>
      <c r="D26" s="7" t="inlineStr">
        <is>
          <t>Mahkeme ön proje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kna_dosyaSurumu</t>
        </is>
      </c>
      <c r="B27" s="26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30">
      <c r="H30" s="5" t="inlineStr">
        <is>
          <t>Durum Haritası</t>
        </is>
      </c>
    </row>
    <row r="31" ht="30" customHeight="1">
      <c r="H31" s="25" t="inlineStr">
        <is>
          <t>durum_id</t>
        </is>
      </c>
      <c r="I31" s="25" t="inlineStr">
        <is>
          <t>durum_adi</t>
        </is>
      </c>
      <c r="J31" s="25" t="inlineStr">
        <is>
          <t>sira</t>
        </is>
      </c>
      <c r="K31" s="25" t="inlineStr">
        <is>
          <t>izinli_sonraki_durumlar</t>
        </is>
      </c>
      <c r="L31" s="25" t="inlineStr">
        <is>
          <t>kategori</t>
        </is>
      </c>
    </row>
    <row r="32">
      <c r="H32" s="7" t="inlineStr">
        <is>
          <t>TASLAK</t>
        </is>
      </c>
      <c r="I32" s="7" t="inlineStr">
        <is>
          <t>Taslak</t>
        </is>
      </c>
      <c r="J32" s="20" t="n">
        <v>1</v>
      </c>
      <c r="K32" s="7" t="inlineStr">
        <is>
          <t>HAZIRLIK</t>
        </is>
      </c>
      <c r="L32" s="7" t="inlineStr">
        <is>
          <t>acik</t>
        </is>
      </c>
    </row>
    <row r="33">
      <c r="H33" s="7" t="inlineStr">
        <is>
          <t>HAZIRLIK</t>
        </is>
      </c>
      <c r="I33" s="7" t="inlineStr">
        <is>
          <t>Hazırlık</t>
        </is>
      </c>
      <c r="J33" s="20" t="n">
        <v>2</v>
      </c>
      <c r="K33" s="7" t="inlineStr">
        <is>
          <t>BASVURU|IPTAL</t>
        </is>
      </c>
      <c r="L33" s="7" t="inlineStr">
        <is>
          <t>acik</t>
        </is>
      </c>
    </row>
    <row r="34">
      <c r="H34" s="7" t="inlineStr">
        <is>
          <t>BASVURU</t>
        </is>
      </c>
      <c r="I34" s="7" t="inlineStr">
        <is>
          <t>Başvuru</t>
        </is>
      </c>
      <c r="J34" s="20" t="n">
        <v>3</v>
      </c>
      <c r="K34" s="7" t="inlineStr">
        <is>
          <t>KABUL|RET</t>
        </is>
      </c>
      <c r="L34" s="7" t="inlineStr">
        <is>
          <t>acik</t>
        </is>
      </c>
    </row>
    <row r="35">
      <c r="H35" s="7" t="inlineStr">
        <is>
          <t>KABUL</t>
        </is>
      </c>
      <c r="I35" s="7" t="inlineStr">
        <is>
          <t>Kabul</t>
        </is>
      </c>
      <c r="J35" s="20" t="n">
        <v>4</v>
      </c>
      <c r="K35" s="7" t="inlineStr"/>
      <c r="L35" s="7" t="inlineStr">
        <is>
          <t>kapali</t>
        </is>
      </c>
    </row>
    <row r="36">
      <c r="H36" s="7" t="inlineStr">
        <is>
          <t>RET</t>
        </is>
      </c>
      <c r="I36" s="7" t="inlineStr">
        <is>
          <t>Ret</t>
        </is>
      </c>
      <c r="J36" s="20" t="n">
        <v>5</v>
      </c>
      <c r="K36" s="7" t="inlineStr"/>
      <c r="L36" s="7" t="inlineStr">
        <is>
          <t>kapali</t>
        </is>
      </c>
    </row>
    <row r="37">
      <c r="H37" s="7" t="inlineStr">
        <is>
          <t>IPTAL</t>
        </is>
      </c>
      <c r="I37" s="7" t="inlineStr">
        <is>
          <t>İptal</t>
        </is>
      </c>
      <c r="J37" s="20" t="n">
        <v>6</v>
      </c>
      <c r="K37" s="7" t="inlineStr"/>
      <c r="L37" s="7" t="inlineStr">
        <is>
          <t>kapali</t>
        </is>
      </c>
    </row>
    <row r="40">
      <c r="H40" s="16" t="inlineStr">
        <is>
          <t>Motor Çıktıları</t>
        </is>
      </c>
    </row>
    <row r="41">
      <c r="H41" s="32" t="inlineStr">
        <is>
          <t>anahtar</t>
        </is>
      </c>
      <c r="I41" s="32" t="inlineStr">
        <is>
          <t>deger</t>
        </is>
      </c>
    </row>
    <row r="42">
      <c r="H42" s="7" t="inlineStr">
        <is>
          <t>kna_acikAdet</t>
        </is>
      </c>
      <c r="I42" s="8">
        <f>HESAP!C20</f>
        <v/>
      </c>
    </row>
    <row r="43">
      <c r="H43" s="7" t="inlineStr">
        <is>
          <t>kna_acikTutar</t>
        </is>
      </c>
      <c r="I43" s="8">
        <f>HESAP!C22</f>
        <v/>
      </c>
    </row>
    <row r="44">
      <c r="H44" s="7" t="inlineStr">
        <is>
          <t>kna_gecikenAdet</t>
        </is>
      </c>
      <c r="I44" s="8">
        <f>HESAP!C32</f>
        <v/>
      </c>
    </row>
    <row r="45">
      <c r="H45" s="7" t="inlineStr">
        <is>
          <t>kna_gecikmeMaliyeti</t>
        </is>
      </c>
      <c r="I45" s="8">
        <f>HESAP!C34</f>
        <v/>
      </c>
    </row>
    <row r="46">
      <c r="H46" s="7" t="inlineStr">
        <is>
          <t>kna_yetimKayit</t>
        </is>
      </c>
      <c r="I46" s="8">
        <f>HESAP!C23</f>
        <v/>
      </c>
    </row>
    <row r="47">
      <c r="H47" s="7" t="inlineStr">
        <is>
          <t>kna_gecersizGecis</t>
        </is>
      </c>
      <c r="I47" s="8">
        <f>HESAP!C24</f>
        <v/>
      </c>
    </row>
    <row r="48">
      <c r="H48" s="7" t="inlineStr">
        <is>
          <t>kna_zincirKirik</t>
        </is>
      </c>
      <c r="I48" s="8">
        <f>HESAP!C25</f>
        <v/>
      </c>
    </row>
    <row r="49">
      <c r="H49" s="7" t="inlineStr">
        <is>
          <t>kna_yasKova</t>
        </is>
      </c>
      <c r="I49" s="8">
        <f>HESAP!C50</f>
        <v/>
      </c>
    </row>
    <row r="50">
      <c r="H50" s="7" t="inlineStr">
        <is>
          <t>kna_tahminAralik</t>
        </is>
      </c>
      <c r="I50" s="8">
        <f>HESAP!C44</f>
        <v/>
      </c>
    </row>
    <row r="51">
      <c r="H51" s="7" t="inlineStr">
        <is>
          <t>kna_senaryoKarsilastirma</t>
        </is>
      </c>
      <c r="I51" s="8">
        <f>HESAP!C38</f>
        <v/>
      </c>
    </row>
    <row r="52">
      <c r="H52" s="7" t="inlineStr">
        <is>
          <t>kna_tornadoZirve</t>
        </is>
      </c>
      <c r="I52" s="8">
        <f>HESAP!C39</f>
        <v/>
      </c>
    </row>
    <row r="53">
      <c r="H53" s="7" t="inlineStr">
        <is>
          <t>kna_odemeOncelik</t>
        </is>
      </c>
      <c r="I53" s="8">
        <f>HESAP!C40</f>
        <v/>
      </c>
    </row>
    <row r="54">
      <c r="H54" s="7" t="inlineStr">
        <is>
          <t>kna_paretoGecikme</t>
        </is>
      </c>
      <c r="I54" s="8">
        <f>HESAP!C41</f>
        <v/>
      </c>
    </row>
    <row r="55">
      <c r="H55" s="7" t="inlineStr">
        <is>
          <t>kna_kapaliDusum</t>
        </is>
      </c>
      <c r="I55" s="8">
        <f>HESAP!C21</f>
        <v/>
      </c>
    </row>
    <row r="56">
      <c r="H56" s="7" t="inlineStr">
        <is>
          <t>kna_kuyrukOzeti</t>
        </is>
      </c>
      <c r="I56" s="8">
        <f>HESAP!C49</f>
        <v/>
      </c>
    </row>
    <row r="57">
      <c r="H57" s="7" t="inlineStr">
        <is>
          <t>kna_kanitRaporu</t>
        </is>
      </c>
      <c r="I57" s="8">
        <f>HESAP!C57</f>
        <v/>
      </c>
    </row>
    <row r="58">
      <c r="H58" s="7" t="inlineStr">
        <is>
          <t>kna_sonrakiKimlik</t>
        </is>
      </c>
      <c r="I58" s="8">
        <f>"ALN-"&amp;TEXT(COUNTA(tblGirdi[KartId])+1,"00000")</f>
        <v/>
      </c>
    </row>
    <row r="59">
      <c r="H59" s="7" t="inlineStr">
        <is>
          <t>kna_ucYilAkis</t>
        </is>
      </c>
      <c r="I59" s="8">
        <f>HESAP!C48</f>
        <v/>
      </c>
    </row>
    <row r="60">
      <c r="H60" s="7" t="inlineStr">
        <is>
          <t>kna_modulO8</t>
        </is>
      </c>
      <c r="I60" s="8">
        <f>HESAP!C55</f>
        <v/>
      </c>
    </row>
    <row r="61">
      <c r="H61" s="7" t="inlineStr">
        <is>
          <t>kna_modulI2</t>
        </is>
      </c>
      <c r="I61" s="8">
        <f>HESAP!C56</f>
        <v/>
      </c>
    </row>
    <row r="62">
      <c r="H62" s="7" t="inlineStr">
        <is>
          <t>kna_nakitKilit</t>
        </is>
      </c>
      <c r="I62" s="8">
        <f>HESAP!C53</f>
        <v/>
      </c>
    </row>
    <row r="64">
      <c r="H64" s="16" t="inlineStr">
        <is>
          <t>Yorumlar</t>
        </is>
      </c>
    </row>
    <row r="65">
      <c r="H65" s="7" t="inlineStr">
        <is>
          <t>kna_yorumYas</t>
        </is>
      </c>
      <c r="I65" s="8">
        <f>_xlfn.TEXTJOIN(" ",TRUE,"Yaş kovaları",kna_yasKova)</f>
        <v/>
      </c>
    </row>
    <row r="66">
      <c r="H66" s="7" t="inlineStr">
        <is>
          <t>kna_yorumGecikme</t>
        </is>
      </c>
      <c r="I66" s="8">
        <f>_xlfn.TEXTJOIN(" ",TRUE,"Gecikme maliyeti",TEXT(kna_gecikmeMaliyeti,"0.00"),"TL")</f>
        <v/>
      </c>
    </row>
    <row r="67">
      <c r="H67" s="7" t="inlineStr">
        <is>
          <t>kna_yorumTahmin</t>
        </is>
      </c>
      <c r="I67" s="8">
        <f>_xlfn.TEXTJOIN(" ",TRUE,"Tahmin aralık",TEXT(kna_tahminAralik,"0.00"),"TL")</f>
        <v/>
      </c>
    </row>
    <row r="68">
      <c r="H68" s="7" t="inlineStr">
        <is>
          <t>kna_yorumSenaryo</t>
        </is>
      </c>
      <c r="I68" s="8">
        <f>_xlfn.TEXTJOIN(" ",TRUE,"Senaryo farkı",TEXT(kna_senaryoKarsilastirma,"0.00"),"TL")</f>
        <v/>
      </c>
    </row>
    <row r="69">
      <c r="H69" s="7" t="inlineStr">
        <is>
          <t>kna_yorumTornado</t>
        </is>
      </c>
      <c r="I69" s="8">
        <f>_xlfn.TEXTJOIN(" ",TRUE,"Tornado zirve",TEXT(kna_tornadoZirve,"0.00"),"TL")</f>
        <v/>
      </c>
    </row>
    <row r="70">
      <c r="H70" s="7" t="inlineStr">
        <is>
          <t>kna_yorumOncelik</t>
        </is>
      </c>
      <c r="I70" s="8">
        <f>_xlfn.TEXTJOIN(" ",TRUE,"Ödeme öncelik havuzu",TEXT(kna_odemeOncelik,"0.00"),"TL")</f>
        <v/>
      </c>
    </row>
    <row r="71">
      <c r="H71" s="7" t="inlineStr">
        <is>
          <t>kna_yorumPareto</t>
        </is>
      </c>
      <c r="I71" s="8">
        <f>_xlfn.TEXTJOIN(" ",TRUE,"Pareto gecikme payı",TEXT(kna_paretoGecikme,"0.0%"))</f>
        <v/>
      </c>
    </row>
    <row r="72">
      <c r="H72" s="7" t="inlineStr">
        <is>
          <t>kna_modulO8Yorum</t>
        </is>
      </c>
      <c r="I72" s="8">
        <f>_xlfn.TEXTJOIN(" ",TRUE,"Kalite",TEXT(kna_modulO8,"0"),"yetim/geçiş/zincir düşer")</f>
        <v/>
      </c>
    </row>
    <row r="73">
      <c r="H73" s="7" t="inlineStr">
        <is>
          <t>kna_modulI2Yorum</t>
        </is>
      </c>
      <c r="I73" s="8">
        <f>_xlfn.TEXTJOIN(" ",TRUE,"Yüzdelik 90 tutar",TEXT(kna_modulI2,"0.00"),"TL")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2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65D"/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Konkordato Nakit Akış Ön Projesi</t>
        </is>
      </c>
    </row>
    <row r="3" ht="22" customHeight="1">
      <c r="A3" s="199" t="inlineStr">
        <is>
          <t>Kullanım Kılavuzu</t>
        </is>
      </c>
    </row>
    <row r="5">
      <c r="A5" s="8" t="inlineStr">
        <is>
          <t>1. GIRDI sayfasına alacaklı kartı ekleyin; alacak tutarını yazın.</t>
        </is>
      </c>
    </row>
    <row r="6">
      <c r="A6" s="8" t="inlineStr">
        <is>
          <t>2. BILANCO sayfasına 3 yılı (Y0 gerçekleşen, Y1-Y2 projeksiyon) girin.</t>
        </is>
      </c>
    </row>
    <row r="7">
      <c r="A7" s="8" t="inlineStr">
        <is>
          <t>3. NAKIT_AKIS sayfasına işletme / yatırım / finansman / kapanış kalemlerini yazın.</t>
        </is>
      </c>
    </row>
    <row r="8">
      <c r="A8" s="8" t="inlineStr">
        <is>
          <t>4. AKIS sayfasına her ön proje kalemini yazın; durum kolonunu listeden seçin.</t>
        </is>
      </c>
    </row>
    <row r="9">
      <c r="A9" s="8" t="inlineStr">
        <is>
          <t>5. Önceki durum boş bırakılırsa geçiş uyarısı çalışmaz; bilinçli geçişte doldurun.</t>
        </is>
      </c>
    </row>
    <row r="10">
      <c r="A10" s="8" t="inlineStr">
        <is>
          <t>6. Geçersiz geçiş engellenmez — kırmızı uyarı üretir (makrosuz kural).</t>
        </is>
      </c>
    </row>
    <row r="11">
      <c r="A11" s="8" t="inlineStr">
        <is>
          <t>7. Kapalı durumlar (Kabul/Ret/İptal) açık kuyruklardan düşer.</t>
        </is>
      </c>
    </row>
    <row r="12">
      <c r="A12" s="8" t="inlineStr">
        <is>
          <t>8. Nakit kilit veya uç tutar UYGUN DEĞİL, yetim/geçiş BEKLE, boş veri VERİ YOK üretir.</t>
        </is>
      </c>
    </row>
    <row r="13">
      <c r="A13" s="8" t="inlineStr">
        <is>
          <t>9. RAPOR sayfası mahkeme ön proje baskısıdır; PDF olarak yazdırın.</t>
        </is>
      </c>
    </row>
    <row r="14">
      <c r="A14" s="8" t="inlineStr">
        <is>
          <t>10. raporTarihi AYARLAR'dadır; TODAY kullanılmaz.</t>
        </is>
      </c>
    </row>
    <row r="15">
      <c r="A15" s="8" t="inlineStr">
        <is>
          <t>11. Koruma şifresi: 1234 — formül hücreleri kilitli, sarı hücreler açıktır.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2026-08-14T19:50:06Z</dcterms:created>
  <dcterms:modified xmlns:dcterms="http://purl.org/dc/terms/" xmlns:xsi="http://www.w3.org/2001/XMLSchema-instance" xsi:type="dcterms:W3CDTF">2026-09-25T22:34:31Z</dcterms:modified>
</cp:coreProperties>
</file>