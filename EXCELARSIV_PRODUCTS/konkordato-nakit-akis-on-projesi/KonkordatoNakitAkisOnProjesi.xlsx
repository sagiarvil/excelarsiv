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worksheets/sheet21.xml" ContentType="application/vnd.openxmlformats-officedocument.spreadsheetml.worksheet+xml"/>
  <Override PartName="/xl/comments/comment6.xml" ContentType="application/vnd.openxmlformats-officedocument.spreadsheetml.comments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GIRDI" sheetId="11" state="visible" r:id="rId11"/>
    <sheet xmlns:r="http://schemas.openxmlformats.org/officeDocument/2006/relationships" name="BILANCO" sheetId="12" state="visible" r:id="rId12"/>
    <sheet xmlns:r="http://schemas.openxmlformats.org/officeDocument/2006/relationships" name="NAKIT_AKIS" sheetId="13" state="visible" r:id="rId13"/>
    <sheet xmlns:r="http://schemas.openxmlformats.org/officeDocument/2006/relationships" name="AKIS" sheetId="14" state="visible" r:id="rId14"/>
    <sheet xmlns:r="http://schemas.openxmlformats.org/officeDocument/2006/relationships" name="KUYRUKLAR" sheetId="15" state="visible" r:id="rId15"/>
    <sheet xmlns:r="http://schemas.openxmlformats.org/officeDocument/2006/relationships" name="HESAP" sheetId="16" state="visible" r:id="rId16"/>
    <sheet xmlns:r="http://schemas.openxmlformats.org/officeDocument/2006/relationships" name="RAPOR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raporTarihi">AYARLAR!$B$6</definedName>
    <definedName name="zincirTolerans">AYARLAR!$B$7</definedName>
    <definedName name="kna_esikGecikmeGun">AYARLAR!$B$8</definedName>
    <definedName name="kna_esikGeciken">AYARLAR!$B$9</definedName>
    <definedName name="kna_gecikmeOranGun">AYARLAR!$B$10</definedName>
    <definedName name="kna_senaryoTemkinli">AYARLAR!$B$11</definedName>
    <definedName name="kna_senaryoBaz">AYARLAR!$B$12</definedName>
    <definedName name="kna_senaryoIyimser">AYARLAR!$B$13</definedName>
    <definedName name="kna_tornadoOran">AYARLAR!$B$14</definedName>
    <definedName name="kna_yuzdelikOran">AYARLAR!$B$15</definedName>
    <definedName name="kna_olcekHedef">AYARLAR!$B$16</definedName>
    <definedName name="kna_azamiTutar">AYARLAR!$B$17</definedName>
    <definedName name="kna_nakitKilitEsik">AYARLAR!$B$18</definedName>
    <definedName name="kna_cezaYetim">AYARLAR!$B$19</definedName>
    <definedName name="kna_cezaGecis">AYARLAR!$B$20</definedName>
    <definedName name="kna_cezaZincir">AYARLAR!$B$21</definedName>
    <definedName name="kna_cezaGeciken">AYARLAR!$B$22</definedName>
    <definedName name="kna_durumHaritasi">AYARLAR!$B$23</definedName>
    <definedName name="kna_kuyrukOzeti_metin">AYARLAR!$B$24</definedName>
    <definedName name="kna_kapaliDusum_metin">AYARLAR!$B$25</definedName>
    <definedName name="kna_kanitRaporu_metin">AYARLAR!$B$26</definedName>
    <definedName name="kna_dosyaSurumu">AYARLAR!$B$27</definedName>
    <definedName name="kna_acikAdet">AYARLAR!$I$42</definedName>
    <definedName name="kna_acikTutar">AYARLAR!$I$43</definedName>
    <definedName name="kna_gecikenAdet">AYARLAR!$I$44</definedName>
    <definedName name="kna_gecikmeMaliyeti">AYARLAR!$I$45</definedName>
    <definedName name="kna_yetimKayit">AYARLAR!$I$46</definedName>
    <definedName name="kna_gecersizGecis">AYARLAR!$I$47</definedName>
    <definedName name="kna_zincirKirik">AYARLAR!$I$48</definedName>
    <definedName name="kna_yasKova">AYARLAR!$I$49</definedName>
    <definedName name="kna_tahminAralik">AYARLAR!$I$50</definedName>
    <definedName name="kna_senaryoKarsilastirma">AYARLAR!$I$51</definedName>
    <definedName name="kna_tornadoZirve">AYARLAR!$I$52</definedName>
    <definedName name="kna_odemeOncelik">AYARLAR!$I$53</definedName>
    <definedName name="kna_paretoGecikme">AYARLAR!$I$54</definedName>
    <definedName name="kna_kapaliDusum">AYARLAR!$I$55</definedName>
    <definedName name="kna_kuyrukOzeti">AYARLAR!$I$56</definedName>
    <definedName name="kna_kanitRaporu">AYARLAR!$I$57</definedName>
    <definedName name="kna_sonrakiKimlik">AYARLAR!$I$58</definedName>
    <definedName name="kna_ucYilAkis">AYARLAR!$I$59</definedName>
    <definedName name="kna_modulO8">AYARLAR!$I$60</definedName>
    <definedName name="kna_modulI2">AYARLAR!$I$61</definedName>
    <definedName name="kna_nakitKilit">AYARLAR!$I$62</definedName>
    <definedName name="kna_yorumYas">AYARLAR!$I$65</definedName>
    <definedName name="kna_yorumGecikme">AYARLAR!$I$66</definedName>
    <definedName name="kna_yorumTahmin">AYARLAR!$I$67</definedName>
    <definedName name="kna_yorumSenaryo">AYARLAR!$I$68</definedName>
    <definedName name="kna_yorumTornado">AYARLAR!$I$69</definedName>
    <definedName name="kna_yorumOncelik">AYARLAR!$I$70</definedName>
    <definedName name="kna_yorumPareto">AYARLAR!$I$71</definedName>
    <definedName name="kna_modulO8Yorum">AYARLAR!$I$72</definedName>
    <definedName name="kna_modulI2Yorum">AYARLAR!$I$73</definedName>
    <definedName name="kna_kararKapi">PANO!$B$4</definedName>
    <definedName name="ListeDurumlar">LISTELER!$A$7:$A$12</definedName>
    <definedName name="ListeIzinliGecis">LISTELER!$C$7:$C$11</definedName>
    <definedName name="ListeEvetHayir">LISTELER!$E$7:$E$8</definedName>
    <definedName name="ListeBilancoGrup">LISTELER!$G$7:$G$11</definedName>
    <definedName name="ListeNakitGrup">LISTELER!$I$7:$I$10</definedName>
    <definedName name="ListeKartlar">LISTELER!$K$7:$K$14</definedName>
    <definedName name="_xlnm.Print_Area" localSheetId="16">'RAPOR'!$A$1:$H$30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8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Kimlik disiplini | Doğru kullanım: Yeni kartta kullanın | Örnek: ALN-00009 | Risk: Elle çakışma</t>
      </text>
    </comment>
    <comment ref="A6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6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6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6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6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6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6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7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7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7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7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7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7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8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8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8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8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8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8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9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9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9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9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9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9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10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10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10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10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10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10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11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11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11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11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11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11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12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12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12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12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12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12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13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13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13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13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13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13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6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6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6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6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6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7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7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7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7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7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7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8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8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8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8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8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8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9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9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9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9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9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9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0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0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0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0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0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0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1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1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1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1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1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1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2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2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2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2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2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2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3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3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3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3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3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3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4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4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4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4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4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4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5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5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5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5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5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5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6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6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6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6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6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6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7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7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7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7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7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7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8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8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8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8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8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8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19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9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9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9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9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9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0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0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0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0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0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0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1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1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1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1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1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1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2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2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2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2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2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2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3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3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3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3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3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3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4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4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4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4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4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4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5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5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5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5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5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5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6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6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6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6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6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6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7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7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7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7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7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7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8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8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8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8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8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8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9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9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9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9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9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9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0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0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0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0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0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0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1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1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1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1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1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1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2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2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2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2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2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2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3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3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3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3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3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3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4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4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4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4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4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4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5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5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5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5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5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5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6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6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6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6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6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7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7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7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7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7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7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8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8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8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8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8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8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9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9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9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9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9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9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0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0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0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0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0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0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1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1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1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1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1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1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2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2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2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2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2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2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3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3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3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3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3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3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4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4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4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4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4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4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5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5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5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5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5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5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6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6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6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6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6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6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17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7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7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7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7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7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18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8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8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8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8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8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19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9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9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9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9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9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0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0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0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0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0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0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1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1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1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1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1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1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2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2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2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2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2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2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3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3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3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3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3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3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4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4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4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4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4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4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5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5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5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5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5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5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6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6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6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6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6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6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7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7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7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7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7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7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8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8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8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8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8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8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9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9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9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9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9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9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0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0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0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0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0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0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1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1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1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1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1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1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2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2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2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2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2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2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3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3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3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3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3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3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4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4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4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4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4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4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5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5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5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5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5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5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6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6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6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6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6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6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6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6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6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6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6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6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7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7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7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7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7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7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7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7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7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7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7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7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8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8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8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8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8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8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8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8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8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8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8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8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9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9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9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9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9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9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9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9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9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9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9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9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0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0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0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0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0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0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0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0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0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0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0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0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1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1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1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1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1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1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1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1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1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1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1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1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2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2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2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2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2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2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2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2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2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2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2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2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3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3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3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3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3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3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3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3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3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3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3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3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4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4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4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4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4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4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4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4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4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4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4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4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5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5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5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5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5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5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5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5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5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5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5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5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6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6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6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6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6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6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6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6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6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6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6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6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7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7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7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7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7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7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7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7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7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7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7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7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8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8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8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8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8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8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8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8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8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8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8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8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9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9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9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9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9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9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9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9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9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9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9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9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0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0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0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0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0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0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0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0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0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0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0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0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1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1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1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1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1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1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1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1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1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1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1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1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2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2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2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2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2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2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2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2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2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2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2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2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3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3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3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3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3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3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3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3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3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3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3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3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4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4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4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4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4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4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4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4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4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4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4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4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5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5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5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5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5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5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5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5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5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5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5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5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6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6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6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6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6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6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6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6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6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6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6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6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7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7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7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7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7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7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7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7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7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7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7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7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8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8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8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8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8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8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8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8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8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8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8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8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9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9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9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9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9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9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9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9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9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9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9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9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30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30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30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30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30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30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30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30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30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30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30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30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31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31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31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31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31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31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31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31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31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31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31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31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32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32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32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32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32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32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32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32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32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32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32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32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33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33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33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33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33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33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33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33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33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33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33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33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E7" authorId="0" shapeId="0">
      <text>
        <t>Tanım: Seçim | Neden önemli: 3 yıllık nakit akış ön proje kararını etkiler | Doğru kullanım: EVET/HAYIR | Örnek: hücredeki örnek değere bakın | Risk: Yanlış giriş hatalı karar üretir</t>
      </text>
    </comment>
    <comment ref="G7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I7" authorId="0" shapeId="0">
      <text>
        <t>Tanım: Grup | Neden önemli: 3 yıllık nakit akış ön proje kararını etkiler | Doğru kullanım: Nakit grubu | Örnek: hücredeki örnek değere bakın | Risk: Yanlış giriş hatalı karar üretir</t>
      </text>
    </comment>
    <comment ref="K7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8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E8" authorId="0" shapeId="0">
      <text>
        <t>Tanım: Seçim | Neden önemli: 3 yıllık nakit akış ön proje kararını etkiler | Doğru kullanım: EVET/HAYIR | Örnek: hücredeki örnek değere bakın | Risk: Yanlış giriş hatalı karar üretir</t>
      </text>
    </comment>
    <comment ref="G8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I8" authorId="0" shapeId="0">
      <text>
        <t>Tanım: Grup | Neden önemli: 3 yıllık nakit akış ön proje kararını etkiler | Doğru kullanım: Nakit grubu | Örnek: hücredeki örnek değere bakın | Risk: Yanlış giriş hatalı karar üretir</t>
      </text>
    </comment>
    <comment ref="K8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9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G9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I9" authorId="0" shapeId="0">
      <text>
        <t>Tanım: Grup | Neden önemli: 3 yıllık nakit akış ön proje kararını etkiler | Doğru kullanım: Nakit grubu | Örnek: hücredeki örnek değere bakın | Risk: Yanlış giriş hatalı karar üretir</t>
      </text>
    </comment>
    <comment ref="K9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10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G10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I10" authorId="0" shapeId="0">
      <text>
        <t>Tanım: Grup | Neden önemli: 3 yıllık nakit akış ön proje kararını etkiler | Doğru kullanım: Nakit grubu | Örnek: hücredeki örnek değere bakın | Risk: Yanlış giriş hatalı karar üretir</t>
      </text>
    </comment>
    <comment ref="K10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11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G11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K11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12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K12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K13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K14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3 yıllık nakit akış ön proje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3 yıllık nakit akış ön proje kararını etkiler | Doğru kullanım: ZİNCİR KIRIK eşiği | Örnek: hücredeki örnek değere bakın | Risk: Yanlış giriş hatalı karar üretir</t>
      </text>
    </comment>
    <comment ref="B8" authorId="0" shapeId="0">
      <text>
        <t>Tanım: kna_esikGecikmeGun | Neden önemli: 3 yıllık nakit akış ön proje kararını etkiler | Doğru kullanım: Gecikme eşiği | Örnek: hücredeki örnek değere bakın | Risk: Yanlış giriş hatalı karar üretir</t>
      </text>
    </comment>
    <comment ref="B9" authorId="0" shapeId="0">
      <text>
        <t>Tanım: kna_esikGeciken | Neden önemli: 3 yıllık nakit akış ön proje kararını etkiler | Doğru kullanım: Karar eşiği geciken | Örnek: hücredeki örnek değere bakın | Risk: Yanlış giriş hatalı karar üretir</t>
      </text>
    </comment>
    <comment ref="B10" authorId="0" shapeId="0">
      <text>
        <t>Tanım: kna_gecikmeOranGun | Neden önemli: 3 yıllık nakit akış ön proje kararını etkiler | Doğru kullanım: Günlük gecikme maliyeti oranı | Örnek: hücredeki örnek değere bakın | Risk: Yanlış giriş hatalı karar üretir</t>
      </text>
    </comment>
    <comment ref="B11" authorId="0" shapeId="0">
      <text>
        <t>Tanım: kna_senaryoTemkinli | Neden önemli: 3 yıllık nakit akış ön proje kararını etkiler | Doğru kullanım: Temkinli çarpan | Örnek: hücredeki örnek değere bakın | Risk: Yanlış giriş hatalı karar üretir</t>
      </text>
    </comment>
    <comment ref="B12" authorId="0" shapeId="0">
      <text>
        <t>Tanım: kna_senaryoBaz | Neden önemli: 3 yıllık nakit akış ön proje kararını etkiler | Doğru kullanım: Baz çarpan | Örnek: hücredeki örnek değere bakın | Risk: Yanlış giriş hatalı karar üretir</t>
      </text>
    </comment>
    <comment ref="B13" authorId="0" shapeId="0">
      <text>
        <t>Tanım: kna_senaryoIyimser | Neden önemli: 3 yıllık nakit akış ön proje kararını etkiler | Doğru kullanım: İyimser çarpan | Örnek: hücredeki örnek değere bakın | Risk: Yanlış giriş hatalı karar üretir</t>
      </text>
    </comment>
    <comment ref="B14" authorId="0" shapeId="0">
      <text>
        <t>Tanım: kna_tornadoOran | Neden önemli: 3 yıllık nakit akış ön proje kararını etkiler | Doğru kullanım: Tornado etki oranı | Örnek: hücredeki örnek değere bakın | Risk: Yanlış giriş hatalı karar üretir</t>
      </text>
    </comment>
    <comment ref="B15" authorId="0" shapeId="0">
      <text>
        <t>Tanım: kna_yuzdelikOran | Neden önemli: 3 yıllık nakit akış ön proje kararını etkiler | Doğru kullanım: PERCENTILE oranı | Örnek: hücredeki örnek değere bakın | Risk: Yanlış giriş hatalı karar üretir</t>
      </text>
    </comment>
    <comment ref="B16" authorId="0" shapeId="0">
      <text>
        <t>Tanım: kna_olcekHedef | Neden önemli: 3 yıllık nakit akış ön proje kararını etkiler | Doğru kullanım: Ölçek sözleşmesi | Örnek: hücredeki örnek değere bakın | Risk: Yanlış giriş hatalı karar üretir</t>
      </text>
    </comment>
    <comment ref="B17" authorId="0" shapeId="0">
      <text>
        <t>Tanım: kna_azamiTutar | Neden önemli: 3 yıllık nakit akış ön proje kararını etkiler | Doğru kullanım: Azami makul | Örnek: hücredeki örnek değere bakın | Risk: Yanlış giriş hatalı karar üretir</t>
      </text>
    </comment>
    <comment ref="B18" authorId="0" shapeId="0">
      <text>
        <t>Tanım: kna_nakitKilitEsik | Neden önemli: 3 yıllık nakit akış ön proje kararını etkiler | Doğru kullanım: Kapanış yılı eşiğin altındaysa kilit | Örnek: hücredeki örnek değere bakın | Risk: Yanlış giriş hatalı karar üretir</t>
      </text>
    </comment>
    <comment ref="B19" authorId="0" shapeId="0">
      <text>
        <t>Tanım: kna_cezaYetim | Neden önemli: 3 yıllık nakit akış ön proje kararını etkiler | Doğru kullanım: Yetim ceza puanı | Örnek: hücredeki örnek değere bakın | Risk: Yanlış giriş hatalı karar üretir</t>
      </text>
    </comment>
    <comment ref="B20" authorId="0" shapeId="0">
      <text>
        <t>Tanım: kna_cezaGecis | Neden önemli: 3 yıllık nakit akış ön proje kararını etkiler | Doğru kullanım: Geçiş ceza puanı | Örnek: hücredeki örnek değere bakın | Risk: Yanlış giriş hatalı karar üretir</t>
      </text>
    </comment>
    <comment ref="B21" authorId="0" shapeId="0">
      <text>
        <t>Tanım: kna_cezaZincir | Neden önemli: 3 yıllık nakit akış ön proje kararını etkiler | Doğru kullanım: Zincir ceza puanı | Örnek: hücredeki örnek değere bakın | Risk: Yanlış giriş hatalı karar üretir</t>
      </text>
    </comment>
    <comment ref="B22" authorId="0" shapeId="0">
      <text>
        <t>Tanım: kna_cezaGeciken | Neden önemli: 3 yıllık nakit akış ön proje kararını etkiler | Doğru kullanım: Geciken ceza puanı | Örnek: hücredeki örnek değere bakın | Risk: Yanlış giriş hatalı karar üretir</t>
      </text>
    </comment>
    <comment ref="B23" authorId="0" shapeId="0">
      <text>
        <t>Tanım: kna_durumHaritasi | Neden önemli: 3 yıllık nakit akış ön proje kararını etkiler | Doğru kullanım: Durum makinesi kaynağı | Örnek: hücredeki örnek değere bakın | Risk: Yanlış giriş hatalı karar üretir</t>
      </text>
    </comment>
    <comment ref="B24" authorId="0" shapeId="0">
      <text>
        <t>Tanım: kna_kuyrukOzeti_metin | Neden önemli: 3 yıllık nakit akış ön proje kararını etkiler | Doğru kullanım: Kuyruk görünümü | Örnek: hücredeki örnek değere bakın | Risk: Yanlış giriş hatalı karar üretir</t>
      </text>
    </comment>
    <comment ref="B25" authorId="0" shapeId="0">
      <text>
        <t>Tanım: kna_kapaliDusum_metin | Neden önemli: 3 yıllık nakit akış ön proje kararını etkiler | Doğru kullanım: Kapalı düşüm kuralı | Örnek: hücredeki örnek değere bakın | Risk: Yanlış giriş hatalı karar üretir</t>
      </text>
    </comment>
    <comment ref="B26" authorId="0" shapeId="0">
      <text>
        <t>Tanım: kna_kanitRaporu_metin | Neden önemli: 3 yıllık nakit akış ön proje kararını etkiler | Doğru kullanım: Kanıt raporu | Örnek: hücredeki örnek değere bakın | Risk: Yanlış giriş hatalı karar üretir</t>
      </text>
    </comment>
    <comment ref="B27" authorId="0" shapeId="0">
      <text>
        <t>Tanım: kna_dosyaSurumu | Neden önemli: 3 yıllık nakit akış ön proje kararını etkiler | Doğru kullanım: Ürün sürümü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Girdi" displayName="tblGirdi" ref="A5:I255" headerRowCount="1">
  <tableColumns count="9">
    <tableColumn id="1" name="KartId"/>
    <tableColumn id="2" name="Unvan"/>
    <tableColumn id="3" name="AlacakSinifi"/>
    <tableColumn id="4" name="Sehir"/>
    <tableColumn id="5" name="SozlesmeNo"/>
    <tableColumn id="6" name="AlacakTutar"/>
    <tableColumn id="7" name="RiskNotu"/>
    <tableColumn id="8" name="Aktif"/>
    <tableColumn id="9" name="KayitDolu">
      <calculatedColumnFormula>IF(tblGirdi[[#This Row],[KartId]]="","",1)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BilancoTutar"/>
    <tableColumn id="7" name="NakitTutar"/>
    <tableColumn id="8" name="ProjeksiyonTutar"/>
    <tableColumn id="9" name="BasvuruTutar"/>
    <tableColumn id="10" name="KararTutar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Row],[KaynakKartId]]="","YETİM",IF(COUNTIF(GIRDI!$A$6:$A$255,tblAkis[[#This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Row],[BilancoTutar]]="",tblAkis[[#This Row],[NakitTutar]]=""),"",IF(ABS(tblAkis[[#This Row],[NakitTutar]]-tblAkis[[#This Row],[BilancoTutar]])&gt;zincirTolerans,"ZİNCİR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EXCELARŞİV KARAR SİSTEMİ v15.1 — ÜRETİM REFERANSI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5"/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7.5" customWidth="1" min="2" max="2"/>
    <col width="15" customWidth="1" min="3" max="3"/>
    <col width="15.5" customWidth="1" min="4" max="4"/>
    <col width="36.5" customWidth="1" min="5" max="5"/>
    <col width="18" customWidth="1" min="6" max="6"/>
    <col width="15.5" customWidth="1" min="7" max="7"/>
    <col width="75.5" customWidth="1" min="8" max="8"/>
    <col width="15" customWidth="1" min="9" max="9"/>
    <col width="15.5" customWidth="1" min="10" max="10"/>
    <col width="79.5" customWidth="1" min="11" max="11"/>
    <col width="18" customWidth="1" min="12" max="12"/>
    <col width="18" customWidth="1" min="13" max="13"/>
    <col width="13" customWidth="1" min="14" max="14"/>
  </cols>
  <sheetData>
    <row r="1">
      <c r="A1" s="50" t="inlineStr">
        <is>
          <t>☰ PANO</t>
        </is>
      </c>
    </row>
    <row r="2">
      <c r="B2" s="67" t="inlineStr">
        <is>
          <t>KONKORDATO NAKIT AKIŞ ÖN PROJESI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Hedef Kullanıcı: SMMM, YMM, avukat, CFO · 2026 Q3 Denetim Standardı</t>
        </is>
      </c>
    </row>
    <row r="4"/>
    <row r="5">
      <c r="B5" s="71" t="inlineStr">
        <is>
          <t>TOPLAM NAKİT HAVUZU</t>
        </is>
      </c>
      <c r="C5" s="72" t="n"/>
      <c r="D5" s="73" t="inlineStr">
        <is>
          <t>4 HESAP</t>
        </is>
      </c>
      <c r="E5" s="74" t="inlineStr">
        <is>
          <t>BU AY ÖDENECEK ÇIKIŞ</t>
        </is>
      </c>
      <c r="F5" s="72" t="n"/>
      <c r="G5" s="75" t="inlineStr">
        <is>
          <t>VADE: 4 GÜN</t>
        </is>
      </c>
      <c r="H5" s="71" t="inlineStr">
        <is>
          <t>NET SERBEST LİKİDİTE</t>
        </is>
      </c>
      <c r="I5" s="72" t="n"/>
      <c r="J5" s="76" t="inlineStr">
        <is>
          <t>GÜVENLİ</t>
        </is>
      </c>
      <c r="K5" s="77" t="inlineStr">
        <is>
          <t>DSCR / NAKİT DÖNGÜSÜ</t>
        </is>
      </c>
      <c r="L5" s="72" t="n"/>
      <c r="M5" s="73" t="inlineStr">
        <is>
          <t>EŞİK: 1.30x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168">
        <f>GİRDİLER!E17</f>
        <v/>
      </c>
      <c r="C7" s="72" t="n"/>
      <c r="D7" s="72" t="n"/>
      <c r="E7" s="169">
        <f>B7*0.22</f>
        <v/>
      </c>
      <c r="F7" s="72" t="n"/>
      <c r="G7" s="72" t="n"/>
      <c r="H7" s="168">
        <f>B7-E7</f>
        <v/>
      </c>
      <c r="I7" s="72" t="n"/>
      <c r="J7" s="72" t="n"/>
      <c r="K7" s="83">
        <f>EĞER(E7&gt;0; YUVARLA(B7/E7; 2); 0)</f>
        <v/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%14.2 konsolide canlı veri bağlantısı</t>
        </is>
      </c>
      <c r="C9" s="72" t="n"/>
      <c r="D9" s="72" t="n"/>
      <c r="E9" s="85" t="inlineStr">
        <is>
          <t>● 8 Kalem nakit karşılığı: bloke</t>
        </is>
      </c>
      <c r="F9" s="72" t="n"/>
      <c r="G9" s="72" t="n"/>
      <c r="H9" s="84" t="inlineStr">
        <is>
          <t>██████████░░░░░ %78.0 NET MARJ</t>
        </is>
      </c>
      <c r="I9" s="72" t="n"/>
      <c r="J9" s="72" t="n"/>
      <c r="K9" s="86" t="inlineStr">
        <is>
          <t>✓ İDEAL karşılama rasyosu</t>
        </is>
      </c>
      <c r="L9" s="72" t="n"/>
      <c r="M9" s="72" t="n"/>
    </row>
    <row r="10"/>
    <row r="11">
      <c r="B11" s="64" t="inlineStr">
        <is>
          <t>KONKORDATO NAKIT AKIŞ ÖN PROJESI — DÖNEMSEL İCRA VE PROJEKSİYON</t>
        </is>
      </c>
      <c r="F11" s="87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Hacim vs. Operasyonel Maliyet ve Net Kâr Eğilimi</t>
        </is>
      </c>
      <c r="H12" s="63" t="inlineStr">
        <is>
          <t>Anlık Hesaplama Sonuçları, Dinamik Formül Çıktıları ve Durum Puanlaması</t>
        </is>
      </c>
    </row>
    <row r="13"/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0" t="inlineStr">
        <is>
          <t>Dönemlik Kümülatif Bakiye</t>
        </is>
      </c>
      <c r="I15" s="170">
        <f>B7*0.45</f>
        <v/>
      </c>
      <c r="J15" s="171">
        <f>B7*0.05</f>
        <v/>
      </c>
      <c r="K15" s="92" t="inlineStr">
        <is>
          <t>12 Ay</t>
        </is>
      </c>
      <c r="L15" s="76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0" t="inlineStr">
        <is>
          <t>Kritik Eşik Güvenlik Tamponu</t>
        </is>
      </c>
      <c r="I16" s="170">
        <f>B7*0.30</f>
        <v/>
      </c>
      <c r="J16" s="171">
        <f>B7*0.03</f>
        <v/>
      </c>
      <c r="K16" s="92" t="inlineStr">
        <is>
          <t>24 Ay</t>
        </is>
      </c>
      <c r="L16" s="73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0" t="inlineStr">
        <is>
          <t>Operasyonel Net Fark</t>
        </is>
      </c>
      <c r="I17" s="170">
        <f>B7*0.15</f>
        <v/>
      </c>
      <c r="J17" s="171">
        <f>B7*0.02</f>
        <v/>
      </c>
      <c r="K17" s="92" t="inlineStr">
        <is>
          <t>8 Ay</t>
        </is>
      </c>
      <c r="L17" s="93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0" t="inlineStr">
        <is>
          <t>Rezerv ve Likit Dağılım</t>
        </is>
      </c>
      <c r="I18" s="170">
        <f>B7*0.10</f>
        <v/>
      </c>
      <c r="J18" s="171">
        <f>B7*0.01</f>
        <v/>
      </c>
      <c r="K18" s="92" t="inlineStr">
        <is>
          <t>16 Ay</t>
        </is>
      </c>
      <c r="L18" s="76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94" t="inlineStr">
        <is>
          <t>KONSOLİDE SİSTEM TOPLAMI</t>
        </is>
      </c>
      <c r="I19" s="172">
        <f>TOPLA(I15:I18)</f>
        <v/>
      </c>
      <c r="J19" s="173">
        <f>TOPLA(J15:J18)</f>
        <v/>
      </c>
      <c r="K19" s="97" t="inlineStr"/>
      <c r="L19" s="98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1"/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LİKİDİTE OPTİMİZASYON FIRSATI</t>
        </is>
      </c>
      <c r="L23" s="101" t="n"/>
      <c r="M23" s="101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Atıl kalan nakit rezervinin değerlendirilmesiyle ek finansal getiri imkanı.</t>
        </is>
      </c>
    </row>
    <row r="25">
      <c r="B25" s="105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G26" s="180" t="n"/>
      <c r="H26" s="180" t="n"/>
      <c r="I26" s="181" t="n"/>
      <c r="K26" s="108" t="inlineStr">
        <is>
          <t>FONLAMA SENARYOSUNU İNCELE &gt;</t>
        </is>
      </c>
    </row>
    <row r="27">
      <c r="F27" s="182" t="n"/>
      <c r="G27" s="183" t="n"/>
      <c r="H27" s="183" t="n"/>
      <c r="I27" s="184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0" t="inlineStr">
        <is>
          <t>☰ PANO</t>
        </is>
      </c>
    </row>
    <row r="2"/>
    <row r="3">
      <c r="B3" s="109" t="inlineStr">
        <is>
          <t>🔍  KONKORDATO NAKIT AKIŞ ÖN PROJESI — Kayıt veya hesap ara...</t>
        </is>
      </c>
      <c r="C3" s="185" t="n"/>
      <c r="D3" s="185" t="n"/>
      <c r="E3" s="186" t="n"/>
      <c r="G3" s="110" t="inlineStr">
        <is>
          <t>TOPLAM: 1.450 KAYIT</t>
        </is>
      </c>
      <c r="I3" s="111" t="inlineStr">
        <is>
          <t>HATALI HÜCRE: 0 ADET</t>
        </is>
      </c>
    </row>
    <row r="4"/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6"/>
    <row r="17">
      <c r="B17" s="129" t="inlineStr">
        <is>
          <t>SAYFA TOPLAMI (10 / 1.450 KAYIT)</t>
        </is>
      </c>
      <c r="E17" s="130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0" t="inlineStr">
        <is>
          <t>☰ PANO</t>
        </is>
      </c>
    </row>
    <row r="2">
      <c r="B2" s="131" t="inlineStr">
        <is>
          <t>KONKORDATO NAKIT AKIŞ ÖN PROJESI — NİHAİ KARAR VE DEĞERLEME</t>
        </is>
      </c>
    </row>
    <row r="3">
      <c r="B3" s="132" t="inlineStr">
        <is>
          <t>Yönetim Kurulu ve İcra Komitesi için Otomatik Finansal Stres Testi Raporu · SMMM, YMM, avukat, CFO</t>
        </is>
      </c>
    </row>
    <row r="4">
      <c r="B4" s="133" t="inlineStr">
        <is>
          <t>DÖNEM: 2026 Q3 · DENETİM PROTOKOLÜ: ISO/VUK/IFRS UYUMLU · DURUM: ONAYLANDI</t>
        </is>
      </c>
    </row>
    <row r="5"/>
    <row r="6">
      <c r="B6" s="134" t="inlineStr">
        <is>
          <t>SENARYO A: KÖTÜMSER (STRES TESTİ -%20)</t>
        </is>
      </c>
      <c r="C6" s="185" t="n"/>
      <c r="D6" s="185" t="n"/>
      <c r="E6" s="185" t="n"/>
      <c r="F6" s="186" t="n"/>
      <c r="H6" s="135" t="inlineStr">
        <is>
          <t>SENARYO B: BAZ MODEL (HEDEFLENEN)</t>
        </is>
      </c>
      <c r="I6" s="185" t="n"/>
      <c r="J6" s="185" t="n"/>
      <c r="K6" s="185" t="n"/>
      <c r="L6" s="186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75">
        <f>PANO!B7*0.8*0.22</f>
        <v/>
      </c>
      <c r="F9" s="72" t="n"/>
      <c r="H9" s="136" t="inlineStr">
        <is>
          <t>Beklenen Net Kâr / Getiri:</t>
        </is>
      </c>
      <c r="I9" s="72" t="n"/>
      <c r="J9" s="72" t="n"/>
      <c r="K9" s="175">
        <f>PANO!H7</f>
        <v/>
      </c>
      <c r="L9" s="72" t="n"/>
    </row>
    <row r="10">
      <c r="B10" s="136" t="inlineStr">
        <is>
          <t>Minimum Nakit Tamponu:</t>
        </is>
      </c>
      <c r="C10" s="72" t="n"/>
      <c r="D10" s="72" t="n"/>
      <c r="E10" s="176">
        <f>PANO!E7*0.75</f>
        <v/>
      </c>
      <c r="F10" s="72" t="n"/>
      <c r="H10" s="136" t="inlineStr">
        <is>
          <t>Serbest Nakit Akımı:</t>
        </is>
      </c>
      <c r="I10" s="72" t="n"/>
      <c r="J10" s="72" t="n"/>
      <c r="K10" s="176">
        <f>PANO!H7*0.75</f>
        <v/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77">
        <f>YUVARLA(PANO!B7*0.8/PANO!E7; 2)</f>
        <v/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187" t="n"/>
      <c r="D14" s="187" t="n"/>
      <c r="E14" s="187" t="n"/>
      <c r="F14" s="188" t="n"/>
      <c r="H14" s="142" t="inlineStr">
        <is>
          <t>OPTİMUM İCRA VE PLANLAMA REÇETESİ</t>
        </is>
      </c>
      <c r="I14" s="189" t="n"/>
      <c r="J14" s="189" t="n"/>
      <c r="K14" s="189" t="n"/>
      <c r="L14" s="190" t="n"/>
    </row>
    <row r="15">
      <c r="B15" s="191" t="n"/>
      <c r="C15" s="192" t="n"/>
      <c r="D15" s="192" t="n"/>
      <c r="E15" s="192" t="n"/>
      <c r="F15" s="193" t="n"/>
      <c r="H15" s="194" t="n"/>
      <c r="I15" s="195" t="n"/>
      <c r="J15" s="195" t="n"/>
      <c r="K15" s="195" t="n"/>
      <c r="L15" s="196" t="n"/>
    </row>
    <row r="16"/>
    <row r="17">
      <c r="B17" s="51" t="inlineStr">
        <is>
          <t>YÖNETİM KARAR MATRİSİ VE UYGULAMA REÇETESİ</t>
        </is>
      </c>
    </row>
    <row r="18"/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YÜRÜTME ÇEKİRDEĞİ — ZORUNLU ÜRETİM SIRASI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NİHAİ KONTROL LİSTESİ — KANITSIZ GEÇİŞ YOK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GÖRSEL TASARIM VE PREMIUM EXCEL STANDARDI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TÜRKİYE MUHASEBE VE TEKDÜZEN HESAP PLANI STANDARDI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KARAR, GÜVEN VE SATIŞA HAZIRLIK STANDARDI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365D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KAPAK — Konkordato Nakit Akış Ön Projesi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7" t="inlineStr">
        <is>
          <t>Konkordato Nakit Akış Ön Projesi</t>
        </is>
      </c>
    </row>
    <row r="4">
      <c r="A4" s="4" t="inlineStr">
        <is>
          <t>Mahkemeye sunulacak 3 yıllık bilanço ve nakit akış ön projesini tek motorda üretir; durum makinesi, yaşlandırma ve boş veride VERİ YOK kararı verir.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3 yıllık bilanço + nakit akış zinciri (Y0 gerçekleşen, Y1-Y2 projeksiyon)</t>
        </is>
      </c>
    </row>
    <row r="8">
      <c r="A8" s="6" t="inlineStr">
        <is>
          <t>• Makrosuz durum makinesi: Taslak → Hazırlık → Başvuru → Kabul / Ret / İptal</t>
        </is>
      </c>
    </row>
    <row r="9">
      <c r="A9" s="6" t="inlineStr">
        <is>
          <t>• Mahkeme ön proje baskı sayfası (RAPOR)</t>
        </is>
      </c>
    </row>
    <row r="10">
      <c r="A10" s="6" t="inlineStr">
        <is>
          <t>• Nakit açık yaşlandırma kovaları (0-7 / 8-30 / 31-60 / 60+)</t>
        </is>
      </c>
    </row>
    <row r="11">
      <c r="A11" s="6" t="inlineStr">
        <is>
          <t>• Karar kapısı: VERİ YOK / BAŞVUR / BEKLE / UYGUN DEĞİL</t>
        </is>
      </c>
    </row>
    <row r="12"/>
    <row r="13">
      <c r="A13" s="5" t="inlineStr">
        <is>
          <t>Kimler için?</t>
        </is>
      </c>
    </row>
    <row r="14">
      <c r="A14" s="7" t="inlineStr">
        <is>
          <t>• Mali işler — 3 yıllık nakit akış satırlarını girer</t>
        </is>
      </c>
    </row>
    <row r="15">
      <c r="A15" s="7" t="inlineStr">
        <is>
          <t>• CFO / ortak — BAŞVUR / BEKLE / UYGUN DEĞİL kararını alır</t>
        </is>
      </c>
    </row>
    <row r="16">
      <c r="A16" s="7" t="inlineStr">
        <is>
          <t>• Mahkeme / kayyım — kanıt nakit akış raporunu inceler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GIRDI'ye alacaklı kartı girin. 2) BILANCO ve NAKIT_AKIS'e 3 yılı yazın. 3) AKIS'e ön proje kalemini işleyin. 4) PANO'dan kararı, RAPOR'dan baskıyı alın.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365D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.5" customWidth="1" min="2" max="2"/>
    <col width="16.5" customWidth="1" min="3" max="3"/>
    <col width="14" customWidth="1" min="4" max="4"/>
    <col width="16.5" customWidth="1" min="5" max="5"/>
    <col width="15.5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2" customHeight="1">
      <c r="A1" s="178" t="inlineStr">
        <is>
          <t>GIRDI — Konkordato Nakit Akış Ön Projesi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Alacaklı kartları — her kaydın tek kimliği vardır</t>
        </is>
      </c>
    </row>
    <row r="4">
      <c r="A4" s="11" t="inlineStr">
        <is>
          <t>Sonraki Kimlik</t>
        </is>
      </c>
      <c r="B4" s="24">
        <f>kna_sonrakiKimlik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AlacakSinifi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AlacakTutar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KayitDolu</t>
        </is>
      </c>
    </row>
    <row r="6">
      <c r="A6" s="26" t="inlineStr">
        <is>
          <t>ALN-00001</t>
        </is>
      </c>
      <c r="B6" s="26" t="inlineStr">
        <is>
          <t>Atlas Tedarik Ltd.</t>
        </is>
      </c>
      <c r="C6" s="26" t="inlineStr">
        <is>
          <t>Tedarikçi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1200000</v>
      </c>
      <c r="G6" s="26" t="inlineStr">
        <is>
          <t>Normal</t>
        </is>
      </c>
      <c r="H6" s="26" t="inlineStr">
        <is>
          <t>EVET</t>
        </is>
      </c>
      <c r="I6" s="28">
        <f>IF($A6="","",1)</f>
        <v/>
      </c>
    </row>
    <row r="7">
      <c r="A7" s="26" t="inlineStr">
        <is>
          <t>ALN-00002</t>
        </is>
      </c>
      <c r="B7" s="26" t="inlineStr">
        <is>
          <t>Demir Finans A.Ş.</t>
        </is>
      </c>
      <c r="C7" s="26" t="inlineStr">
        <is>
          <t>Kredi</t>
        </is>
      </c>
      <c r="D7" s="26" t="inlineStr">
        <is>
          <t>Ankara</t>
        </is>
      </c>
      <c r="E7" s="26" t="inlineStr">
        <is>
          <t>SZL-2026-002</t>
        </is>
      </c>
      <c r="F7" s="27" t="n">
        <v>3500000</v>
      </c>
      <c r="G7" s="26" t="inlineStr">
        <is>
          <t>Normal</t>
        </is>
      </c>
      <c r="H7" s="26" t="inlineStr">
        <is>
          <t>EVET</t>
        </is>
      </c>
      <c r="I7" s="28">
        <f>IF($A7="","",1)</f>
        <v/>
      </c>
    </row>
    <row r="8">
      <c r="A8" s="26" t="inlineStr">
        <is>
          <t>ALN-00003</t>
        </is>
      </c>
      <c r="B8" s="26" t="inlineStr">
        <is>
          <t>Nova Enerji</t>
        </is>
      </c>
      <c r="C8" s="26" t="inlineStr">
        <is>
          <t>Enerji</t>
        </is>
      </c>
      <c r="D8" s="26" t="inlineStr">
        <is>
          <t>İzmir</t>
        </is>
      </c>
      <c r="E8" s="26" t="inlineStr">
        <is>
          <t>SZL-2026-003</t>
        </is>
      </c>
      <c r="F8" s="27" t="n">
        <v>480000</v>
      </c>
      <c r="G8" s="26" t="inlineStr">
        <is>
          <t>Normal</t>
        </is>
      </c>
      <c r="H8" s="26" t="inlineStr">
        <is>
          <t>EVET</t>
        </is>
      </c>
      <c r="I8" s="28">
        <f>IF($A8="","",1)</f>
        <v/>
      </c>
    </row>
    <row r="9">
      <c r="A9" s="26" t="inlineStr">
        <is>
          <t>ALN-00004</t>
        </is>
      </c>
      <c r="B9" s="26" t="inlineStr">
        <is>
          <t>Proje Personel</t>
        </is>
      </c>
      <c r="C9" s="26" t="inlineStr">
        <is>
          <t>Bordro</t>
        </is>
      </c>
      <c r="D9" s="26" t="inlineStr">
        <is>
          <t>Bursa</t>
        </is>
      </c>
      <c r="E9" s="26" t="inlineStr">
        <is>
          <t>SZL-2026-004</t>
        </is>
      </c>
      <c r="F9" s="27" t="n">
        <v>720000</v>
      </c>
      <c r="G9" s="26" t="inlineStr">
        <is>
          <t>Normal</t>
        </is>
      </c>
      <c r="H9" s="26" t="inlineStr">
        <is>
          <t>EVET</t>
        </is>
      </c>
      <c r="I9" s="28">
        <f>IF($A9="","",1)</f>
        <v/>
      </c>
    </row>
    <row r="10">
      <c r="A10" s="26" t="inlineStr">
        <is>
          <t>ALN-00005</t>
        </is>
      </c>
      <c r="B10" s="26" t="inlineStr">
        <is>
          <t>Su Vergi Büro</t>
        </is>
      </c>
      <c r="C10" s="26" t="inlineStr">
        <is>
          <t>Vergi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390000</v>
      </c>
      <c r="G10" s="26" t="inlineStr">
        <is>
          <t>Normal</t>
        </is>
      </c>
      <c r="H10" s="26" t="inlineStr">
        <is>
          <t>EVET</t>
        </is>
      </c>
      <c r="I10" s="28">
        <f>IF($A10="","",1)</f>
        <v/>
      </c>
    </row>
    <row r="11">
      <c r="A11" s="26" t="inlineStr">
        <is>
          <t>ALN-00006</t>
        </is>
      </c>
      <c r="B11" s="26" t="inlineStr">
        <is>
          <t>Cephe Kira A.Ş.</t>
        </is>
      </c>
      <c r="C11" s="26" t="inlineStr">
        <is>
          <t>Kira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240000</v>
      </c>
      <c r="G11" s="26" t="inlineStr">
        <is>
          <t>Normal</t>
        </is>
      </c>
      <c r="H11" s="26" t="inlineStr">
        <is>
          <t>EVET</t>
        </is>
      </c>
      <c r="I11" s="28">
        <f>IF($A11="","",1)</f>
        <v/>
      </c>
    </row>
    <row r="12">
      <c r="A12" s="26" t="inlineStr">
        <is>
          <t>ALN-00007</t>
        </is>
      </c>
      <c r="B12" s="26" t="inlineStr">
        <is>
          <t>Zemin Sigorta</t>
        </is>
      </c>
      <c r="C12" s="26" t="inlineStr">
        <is>
          <t>Sigorta</t>
        </is>
      </c>
      <c r="D12" s="26" t="inlineStr">
        <is>
          <t>Adana</t>
        </is>
      </c>
      <c r="E12" s="26" t="inlineStr">
        <is>
          <t>SZL-2026-007</t>
        </is>
      </c>
      <c r="F12" s="27" t="n">
        <v>180000</v>
      </c>
      <c r="G12" s="26" t="inlineStr">
        <is>
          <t>Normal</t>
        </is>
      </c>
      <c r="H12" s="26" t="inlineStr">
        <is>
          <t>EVET</t>
        </is>
      </c>
      <c r="I12" s="28">
        <f>IF($A12="","",1)</f>
        <v/>
      </c>
    </row>
    <row r="13">
      <c r="A13" s="26" t="inlineStr">
        <is>
          <t>ALN-00008</t>
        </is>
      </c>
      <c r="B13" s="26" t="inlineStr">
        <is>
          <t>İskele Lojistik</t>
        </is>
      </c>
      <c r="C13" s="26" t="inlineStr">
        <is>
          <t>Lojistik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310000</v>
      </c>
      <c r="G13" s="26" t="inlineStr">
        <is>
          <t>Normal</t>
        </is>
      </c>
      <c r="H13" s="26" t="inlineStr">
        <is>
          <t>EVET</t>
        </is>
      </c>
      <c r="I13" s="28">
        <f>IF($A13="","",1)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IF($A14="","",1)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IF($A15="","",1)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IF($A16="","",1)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IF($A17="","",1)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IF($A18="","",1)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IF($A19="","",1)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IF($A20="","",1)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IF($A21="","",1)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IF($A22="","",1)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IF($A23="","",1)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IF($A24="","",1)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IF($A25="","",1)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IF($A26="","",1)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IF($A27="","",1)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IF($A28="","",1)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IF($A29="","",1)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IF($A30="","",1)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IF($A31="","",1)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IF($A32="","",1)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IF($A33="","",1)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IF($A34="","",1)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IF($A35="","",1)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IF($A36="","",1)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IF($A37="","",1)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IF($A38="","",1)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IF($A39="","",1)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IF($A40="","",1)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IF($A41="","",1)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IF($A42="","",1)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IF($A43="","",1)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IF($A44="","",1)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IF($A45="","",1)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IF($A46="","",1)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IF($A47="","",1)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IF($A48="","",1)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IF($A49="","",1)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IF($A50="","",1)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IF($A51="","",1)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IF($A52="","",1)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IF($A53="","",1)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IF($A54="","",1)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IF($A55="","",1)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IF($A56="","",1)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IF($A57="","",1)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IF($A58="","",1)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IF($A59="","",1)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IF($A60="","",1)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IF($A61="","",1)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IF($A62="","",1)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IF($A63="","",1)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IF($A64="","",1)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IF($A65="","",1)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IF($A66="","",1)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IF($A67="","",1)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IF($A68="","",1)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IF($A69="","",1)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IF($A70="","",1)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IF($A71="","",1)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IF($A72="","",1)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IF($A73="","",1)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IF($A74="","",1)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IF($A75="","",1)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IF($A76="","",1)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IF($A77="","",1)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IF($A78="","",1)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IF($A79="","",1)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IF($A80="","",1)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IF($A81="","",1)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IF($A82="","",1)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IF($A83="","",1)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IF($A84="","",1)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IF($A85="","",1)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IF($A86="","",1)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IF($A87="","",1)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IF($A88="","",1)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IF($A89="","",1)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IF($A90="","",1)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IF($A91="","",1)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IF($A92="","",1)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IF($A93="","",1)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IF($A94="","",1)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IF($A95="","",1)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IF($A96="","",1)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IF($A97="","",1)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IF($A98="","",1)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IF($A99="","",1)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IF($A100="","",1)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IF($A101="","",1)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IF($A102="","",1)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IF($A103="","",1)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IF($A104="","",1)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IF($A105="","",1)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IF($A106="","",1)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IF($A107="","",1)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IF($A108="","",1)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IF($A109="","",1)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IF($A110="","",1)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IF($A111="","",1)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IF($A112="","",1)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IF($A113="","",1)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IF($A114="","",1)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IF($A115="","",1)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IF($A116="","",1)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IF($A117="","",1)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IF($A118="","",1)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IF($A119="","",1)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IF($A120="","",1)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IF($A121="","",1)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IF($A122="","",1)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IF($A123="","",1)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IF($A124="","",1)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IF($A125="","",1)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IF($A126="","",1)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IF($A127="","",1)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IF($A128="","",1)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IF($A129="","",1)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IF($A130="","",1)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IF($A131="","",1)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IF($A132="","",1)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IF($A133="","",1)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IF($A134="","",1)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IF($A135="","",1)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IF($A136="","",1)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IF($A137="","",1)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IF($A138="","",1)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IF($A139="","",1)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IF($A140="","",1)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IF($A141="","",1)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IF($A142="","",1)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IF($A143="","",1)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IF($A144="","",1)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IF($A145="","",1)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IF($A146="","",1)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IF($A147="","",1)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IF($A148="","",1)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IF($A149="","",1)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IF($A150="","",1)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IF($A151="","",1)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IF($A152="","",1)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IF($A153="","",1)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IF($A154="","",1)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IF($A155="","",1)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IF($A156="","",1)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IF($A157="","",1)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IF($A158="","",1)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IF($A159="","",1)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IF($A160="","",1)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IF($A161="","",1)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IF($A162="","",1)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IF($A163="","",1)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IF($A164="","",1)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IF($A165="","",1)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IF($A166="","",1)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IF($A167="","",1)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IF($A168="","",1)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IF($A169="","",1)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IF($A170="","",1)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IF($A171="","",1)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IF($A172="","",1)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IF($A173="","",1)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IF($A174="","",1)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IF($A175="","",1)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IF($A176="","",1)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IF($A177="","",1)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IF($A178="","",1)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IF($A179="","",1)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IF($A180="","",1)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IF($A181="","",1)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IF($A182="","",1)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IF($A183="","",1)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IF($A184="","",1)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IF($A185="","",1)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IF($A186="","",1)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IF($A187="","",1)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IF($A188="","",1)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IF($A189="","",1)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IF($A190="","",1)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IF($A191="","",1)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IF($A192="","",1)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IF($A193="","",1)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IF($A194="","",1)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IF($A195="","",1)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IF($A196="","",1)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IF($A197="","",1)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IF($A198="","",1)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IF($A199="","",1)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IF($A200="","",1)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IF($A201="","",1)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IF($A202="","",1)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IF($A203="","",1)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IF($A204="","",1)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IF($A205="","",1)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IF($A206="","",1)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IF($A207="","",1)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IF($A208="","",1)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IF($A209="","",1)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IF($A210="","",1)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IF($A211="","",1)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IF($A212="","",1)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IF($A213="","",1)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IF($A214="","",1)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IF($A215="","",1)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IF($A216="","",1)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IF($A217="","",1)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IF($A218="","",1)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IF($A219="","",1)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IF($A220="","",1)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IF($A221="","",1)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IF($A222="","",1)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IF($A223="","",1)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IF($A224="","",1)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IF($A225="","",1)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IF($A226="","",1)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IF($A227="","",1)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IF($A228="","",1)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IF($A229="","",1)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IF($A230="","",1)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IF($A231="","",1)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IF($A232="","",1)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IF($A233="","",1)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IF($A234="","",1)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IF($A235="","",1)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IF($A236="","",1)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IF($A237="","",1)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IF($A238="","",1)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IF($A239="","",1)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IF($A240="","",1)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IF($A241="","",1)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IF($A242="","",1)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IF($A243="","",1)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IF($A244="","",1)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IF($A245="","",1)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IF($A246="","",1)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IF($A247="","",1)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IF($A248="","",1)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IF($A249="","",1)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IF($A250="","",1)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IF($A251="","",1)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IF($A252="","",1)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IF($A253="","",1)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IF($A254="","",1)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0</formula>
    </cfRule>
  </conditionalFormatting>
  <dataValidations count="8">
    <dataValidation sqref="A6:A255" showDropDown="0" showInputMessage="1" showErrorMessage="1" allowBlank="1" errorTitle="Kimlik" error="En az 1 karakter" promptTitle="Kart Kimliği" prompt="ALN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Sınıf" error="Geçersiz" promptTitle="Sınıf" prompt="Sınıf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Tutar" error="0 veya üzeri" promptTitle="Alacak Tutarı" prompt="Tutar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B365D"/>
    <outlinePr summaryBelow="1" summaryRight="1"/>
    <pageSetUpPr/>
  </sheetPr>
  <dimension ref="A1:AC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33.5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3" customWidth="1" min="10" max="10"/>
  </cols>
  <sheetData>
    <row r="1" ht="32" customHeight="1">
      <c r="A1" s="178" t="inlineStr">
        <is>
          <t>BILANCO — Konkordato Nakit Akış Ön Projesi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3 yıllık bilanço — Y0 gerçekleşen, Y1 ve Y2 projeksiyon</t>
        </is>
      </c>
    </row>
    <row r="4">
      <c r="A4" s="11" t="inlineStr">
        <is>
          <t>Aktif Y0</t>
        </is>
      </c>
      <c r="B4" s="29">
        <f>SUMIF($C$6:$C$35,"aktif",$D$6:$D$35)</f>
        <v/>
      </c>
      <c r="C4" s="11" t="inlineStr">
        <is>
          <t>Özkaynak Y2</t>
        </is>
      </c>
      <c r="D4" s="29">
        <f>SUMIF($C$6:$C$35,"ozkaynak",$F$6:$F$35)</f>
        <v/>
      </c>
    </row>
    <row r="5" ht="30" customHeight="1">
      <c r="A5" s="25" t="inlineStr">
        <is>
          <t>KalemId</t>
        </is>
      </c>
      <c r="B5" s="25" t="inlineStr">
        <is>
          <t>KalemAdi</t>
        </is>
      </c>
      <c r="C5" s="25" t="inlineStr">
        <is>
          <t>Grup</t>
        </is>
      </c>
      <c r="D5" s="25" t="inlineStr">
        <is>
          <t>Yil0</t>
        </is>
      </c>
      <c r="E5" s="25" t="inlineStr">
        <is>
          <t>Yil1</t>
        </is>
      </c>
      <c r="F5" s="25" t="inlineStr">
        <is>
          <t>Yil2</t>
        </is>
      </c>
      <c r="G5" s="25" t="inlineStr">
        <is>
          <t>ToplamUcYil</t>
        </is>
      </c>
      <c r="H5" s="25" t="inlineStr">
        <is>
          <t>SapmaYil1</t>
        </is>
      </c>
      <c r="I5" s="25" t="inlineStr">
        <is>
          <t>PayYil0</t>
        </is>
      </c>
    </row>
    <row r="6">
      <c r="A6" s="26" t="inlineStr">
        <is>
          <t>BLN-00001</t>
        </is>
      </c>
      <c r="B6" s="26" t="inlineStr">
        <is>
          <t>Kasa ve bankalar</t>
        </is>
      </c>
      <c r="C6" s="26" t="inlineStr">
        <is>
          <t>donen</t>
        </is>
      </c>
      <c r="D6" s="27" t="n">
        <v>1800000</v>
      </c>
      <c r="E6" s="27" t="n">
        <v>1450000</v>
      </c>
      <c r="F6" s="27" t="n">
        <v>1720000</v>
      </c>
      <c r="G6" s="21">
        <f>IF(A6="","",D6+E6+F6)</f>
        <v/>
      </c>
      <c r="H6" s="21">
        <f>IF(A6="","",E6-D6)</f>
        <v/>
      </c>
      <c r="I6" s="30">
        <f>IF(OR(A6="",G6=0),"",D6/G6)</f>
        <v/>
      </c>
    </row>
    <row r="7">
      <c r="A7" s="26" t="inlineStr">
        <is>
          <t>BLN-00002</t>
        </is>
      </c>
      <c r="B7" s="26" t="inlineStr">
        <is>
          <t>Ticari alacaklar</t>
        </is>
      </c>
      <c r="C7" s="26" t="inlineStr">
        <is>
          <t>donen</t>
        </is>
      </c>
      <c r="D7" s="27" t="n">
        <v>4200000</v>
      </c>
      <c r="E7" s="27" t="n">
        <v>3600000</v>
      </c>
      <c r="F7" s="27" t="n">
        <v>3900000</v>
      </c>
      <c r="G7" s="21">
        <f>IF(A7="","",D7+E7+F7)</f>
        <v/>
      </c>
      <c r="H7" s="21">
        <f>IF(A7="","",E7-D7)</f>
        <v/>
      </c>
      <c r="I7" s="30">
        <f>IF(OR(A7="",G7=0),"",D7/G7)</f>
        <v/>
      </c>
    </row>
    <row r="8">
      <c r="A8" s="26" t="inlineStr">
        <is>
          <t>BLN-00003</t>
        </is>
      </c>
      <c r="B8" s="26" t="inlineStr">
        <is>
          <t>Stoklar</t>
        </is>
      </c>
      <c r="C8" s="26" t="inlineStr">
        <is>
          <t>donen</t>
        </is>
      </c>
      <c r="D8" s="27" t="n">
        <v>2100000</v>
      </c>
      <c r="E8" s="27" t="n">
        <v>1800000</v>
      </c>
      <c r="F8" s="27" t="n">
        <v>1950000</v>
      </c>
      <c r="G8" s="21">
        <f>IF(A8="","",D8+E8+F8)</f>
        <v/>
      </c>
      <c r="H8" s="21">
        <f>IF(A8="","",E8-D8)</f>
        <v/>
      </c>
      <c r="I8" s="30">
        <f>IF(OR(A8="",G8=0),"",D8/G8)</f>
        <v/>
      </c>
    </row>
    <row r="9">
      <c r="A9" s="26" t="inlineStr">
        <is>
          <t>BLN-00004</t>
        </is>
      </c>
      <c r="B9" s="26" t="inlineStr">
        <is>
          <t>Dönen varlıklar toplam</t>
        </is>
      </c>
      <c r="C9" s="26" t="inlineStr">
        <is>
          <t>donen</t>
        </is>
      </c>
      <c r="D9" s="27" t="n">
        <v>8100000</v>
      </c>
      <c r="E9" s="27" t="n">
        <v>6850000</v>
      </c>
      <c r="F9" s="27" t="n">
        <v>7570000</v>
      </c>
      <c r="G9" s="21">
        <f>IF(A9="","",D9+E9+F9)</f>
        <v/>
      </c>
      <c r="H9" s="21">
        <f>IF(A9="","",E9-D9)</f>
        <v/>
      </c>
      <c r="I9" s="30">
        <f>IF(OR(A9="",G9=0),"",D9/G9)</f>
        <v/>
      </c>
    </row>
    <row r="10">
      <c r="A10" s="26" t="inlineStr">
        <is>
          <t>BLN-00005</t>
        </is>
      </c>
      <c r="B10" s="26" t="inlineStr">
        <is>
          <t>Maddi duran varlıklar</t>
        </is>
      </c>
      <c r="C10" s="26" t="inlineStr">
        <is>
          <t>duran</t>
        </is>
      </c>
      <c r="D10" s="27" t="n">
        <v>12400000</v>
      </c>
      <c r="E10" s="27" t="n">
        <v>11800000</v>
      </c>
      <c r="F10" s="27" t="n">
        <v>11200000</v>
      </c>
      <c r="G10" s="21">
        <f>IF(A10="","",D10+E10+F10)</f>
        <v/>
      </c>
      <c r="H10" s="21">
        <f>IF(A10="","",E10-D10)</f>
        <v/>
      </c>
      <c r="I10" s="30">
        <f>IF(OR(A10="",G10=0),"",D10/G10)</f>
        <v/>
      </c>
    </row>
    <row r="11">
      <c r="A11" s="26" t="inlineStr">
        <is>
          <t>BLN-00006</t>
        </is>
      </c>
      <c r="B11" s="26" t="inlineStr">
        <is>
          <t>Duran varlıklar toplam</t>
        </is>
      </c>
      <c r="C11" s="26" t="inlineStr">
        <is>
          <t>duran</t>
        </is>
      </c>
      <c r="D11" s="27" t="n">
        <v>12400000</v>
      </c>
      <c r="E11" s="27" t="n">
        <v>11800000</v>
      </c>
      <c r="F11" s="27" t="n">
        <v>11200000</v>
      </c>
      <c r="G11" s="21">
        <f>IF(A11="","",D11+E11+F11)</f>
        <v/>
      </c>
      <c r="H11" s="21">
        <f>IF(A11="","",E11-D11)</f>
        <v/>
      </c>
      <c r="I11" s="30">
        <f>IF(OR(A11="",G11=0),"",D11/G11)</f>
        <v/>
      </c>
    </row>
    <row r="12">
      <c r="A12" s="26" t="inlineStr">
        <is>
          <t>BLN-00007</t>
        </is>
      </c>
      <c r="B12" s="26" t="inlineStr">
        <is>
          <t>Aktif toplam</t>
        </is>
      </c>
      <c r="C12" s="26" t="inlineStr">
        <is>
          <t>aktif</t>
        </is>
      </c>
      <c r="D12" s="27" t="n">
        <v>20500000</v>
      </c>
      <c r="E12" s="27" t="n">
        <v>18650000</v>
      </c>
      <c r="F12" s="27" t="n">
        <v>18770000</v>
      </c>
      <c r="G12" s="21">
        <f>IF(A12="","",D12+E12+F12)</f>
        <v/>
      </c>
      <c r="H12" s="21">
        <f>IF(A12="","",E12-D12)</f>
        <v/>
      </c>
      <c r="I12" s="30">
        <f>IF(OR(A12="",G12=0),"",D12/G12)</f>
        <v/>
      </c>
    </row>
    <row r="13">
      <c r="A13" s="26" t="inlineStr">
        <is>
          <t>BLN-00008</t>
        </is>
      </c>
      <c r="B13" s="26" t="inlineStr">
        <is>
          <t>Ticari borçlar kısa vade</t>
        </is>
      </c>
      <c r="C13" s="26" t="inlineStr">
        <is>
          <t>pasif</t>
        </is>
      </c>
      <c r="D13" s="27" t="n">
        <v>6800000</v>
      </c>
      <c r="E13" s="27" t="n">
        <v>5900000</v>
      </c>
      <c r="F13" s="27" t="n">
        <v>5200000</v>
      </c>
      <c r="G13" s="21">
        <f>IF(A13="","",D13+E13+F13)</f>
        <v/>
      </c>
      <c r="H13" s="21">
        <f>IF(A13="","",E13-D13)</f>
        <v/>
      </c>
      <c r="I13" s="30">
        <f>IF(OR(A13="",G13=0),"",D13/G13)</f>
        <v/>
      </c>
    </row>
    <row r="14">
      <c r="A14" s="26" t="inlineStr">
        <is>
          <t>BLN-00009</t>
        </is>
      </c>
      <c r="B14" s="26" t="inlineStr">
        <is>
          <t>Finansal borçlar kısa vade</t>
        </is>
      </c>
      <c r="C14" s="26" t="inlineStr">
        <is>
          <t>pasif</t>
        </is>
      </c>
      <c r="D14" s="27" t="n">
        <v>4200000</v>
      </c>
      <c r="E14" s="27" t="n">
        <v>3800000</v>
      </c>
      <c r="F14" s="27" t="n">
        <v>3100000</v>
      </c>
      <c r="G14" s="21">
        <f>IF(A14="","",D14+E14+F14)</f>
        <v/>
      </c>
      <c r="H14" s="21">
        <f>IF(A14="","",E14-D14)</f>
        <v/>
      </c>
      <c r="I14" s="30">
        <f>IF(OR(A14="",G14=0),"",D14/G14)</f>
        <v/>
      </c>
    </row>
    <row r="15">
      <c r="A15" s="26" t="inlineStr">
        <is>
          <t>BLN-00010</t>
        </is>
      </c>
      <c r="B15" s="26" t="inlineStr">
        <is>
          <t>Kısa vadeli yükümlülük toplam</t>
        </is>
      </c>
      <c r="C15" s="26" t="inlineStr">
        <is>
          <t>pasif</t>
        </is>
      </c>
      <c r="D15" s="27" t="n">
        <v>11000000</v>
      </c>
      <c r="E15" s="27" t="n">
        <v>9700000</v>
      </c>
      <c r="F15" s="27" t="n">
        <v>8300000</v>
      </c>
      <c r="G15" s="21">
        <f>IF(A15="","",D15+E15+F15)</f>
        <v/>
      </c>
      <c r="H15" s="21">
        <f>IF(A15="","",E15-D15)</f>
        <v/>
      </c>
      <c r="I15" s="30">
        <f>IF(OR(A15="",G15=0),"",D15/G15)</f>
        <v/>
      </c>
    </row>
    <row r="16">
      <c r="A16" s="26" t="inlineStr">
        <is>
          <t>BLN-00011</t>
        </is>
      </c>
      <c r="B16" s="26" t="inlineStr">
        <is>
          <t>Uzun vadeli yükümlülük</t>
        </is>
      </c>
      <c r="C16" s="26" t="inlineStr">
        <is>
          <t>pasif</t>
        </is>
      </c>
      <c r="D16" s="27" t="n">
        <v>7400000</v>
      </c>
      <c r="E16" s="27" t="n">
        <v>6600000</v>
      </c>
      <c r="F16" s="27" t="n">
        <v>5800000</v>
      </c>
      <c r="G16" s="21">
        <f>IF(A16="","",D16+E16+F16)</f>
        <v/>
      </c>
      <c r="H16" s="21">
        <f>IF(A16="","",E16-D16)</f>
        <v/>
      </c>
      <c r="I16" s="30">
        <f>IF(OR(A16="",G16=0),"",D16/G16)</f>
        <v/>
      </c>
    </row>
    <row r="17">
      <c r="A17" s="26" t="inlineStr">
        <is>
          <t>BLN-00012</t>
        </is>
      </c>
      <c r="B17" s="26" t="inlineStr">
        <is>
          <t>Özkaynak</t>
        </is>
      </c>
      <c r="C17" s="26" t="inlineStr">
        <is>
          <t>ozkaynak</t>
        </is>
      </c>
      <c r="D17" s="27" t="n">
        <v>2100000</v>
      </c>
      <c r="E17" s="27" t="n">
        <v>2350000</v>
      </c>
      <c r="F17" s="27" t="n">
        <v>4670000</v>
      </c>
      <c r="G17" s="21">
        <f>IF(A17="","",D17+E17+F17)</f>
        <v/>
      </c>
      <c r="H17" s="21">
        <f>IF(A17="","",E17-D17)</f>
        <v/>
      </c>
      <c r="I17" s="30">
        <f>IF(OR(A17="",G17=0),"",D17/G17)</f>
        <v/>
      </c>
    </row>
    <row r="18">
      <c r="A18" s="26" t="n"/>
      <c r="B18" s="26" t="n"/>
      <c r="C18" s="26" t="n"/>
      <c r="D18" s="27" t="n"/>
      <c r="E18" s="27" t="n"/>
      <c r="F18" s="27" t="n"/>
      <c r="G18" s="21">
        <f>IF(A18="","",D18+E18+F18)</f>
        <v/>
      </c>
      <c r="H18" s="21">
        <f>IF(A18="","",E18-D18)</f>
        <v/>
      </c>
      <c r="I18" s="30">
        <f>IF(OR(A18="",G18=0),"",D18/G18)</f>
        <v/>
      </c>
    </row>
    <row r="19">
      <c r="A19" s="26" t="n"/>
      <c r="B19" s="26" t="n"/>
      <c r="C19" s="26" t="n"/>
      <c r="D19" s="27" t="n"/>
      <c r="E19" s="27" t="n"/>
      <c r="F19" s="27" t="n"/>
      <c r="G19" s="21">
        <f>IF(A19="","",D19+E19+F19)</f>
        <v/>
      </c>
      <c r="H19" s="21">
        <f>IF(A19="","",E19-D19)</f>
        <v/>
      </c>
      <c r="I19" s="30">
        <f>IF(OR(A19="",G19=0),"",D19/G19)</f>
        <v/>
      </c>
    </row>
    <row r="20">
      <c r="A20" s="26" t="n"/>
      <c r="B20" s="26" t="n"/>
      <c r="C20" s="26" t="n"/>
      <c r="D20" s="27" t="n"/>
      <c r="E20" s="27" t="n"/>
      <c r="F20" s="27" t="n"/>
      <c r="G20" s="21">
        <f>IF(A20="","",D20+E20+F20)</f>
        <v/>
      </c>
      <c r="H20" s="21">
        <f>IF(A20="","",E20-D20)</f>
        <v/>
      </c>
      <c r="I20" s="30">
        <f>IF(OR(A20="",G20=0),"",D20/G20)</f>
        <v/>
      </c>
    </row>
    <row r="21">
      <c r="A21" s="26" t="n"/>
      <c r="B21" s="26" t="n"/>
      <c r="C21" s="26" t="n"/>
      <c r="D21" s="27" t="n"/>
      <c r="E21" s="27" t="n"/>
      <c r="F21" s="27" t="n"/>
      <c r="G21" s="21">
        <f>IF(A21="","",D21+E21+F21)</f>
        <v/>
      </c>
      <c r="H21" s="21">
        <f>IF(A21="","",E21-D21)</f>
        <v/>
      </c>
      <c r="I21" s="30">
        <f>IF(OR(A21="",G21=0),"",D21/G21)</f>
        <v/>
      </c>
    </row>
    <row r="22">
      <c r="A22" s="26" t="n"/>
      <c r="B22" s="26" t="n"/>
      <c r="C22" s="26" t="n"/>
      <c r="D22" s="27" t="n"/>
      <c r="E22" s="27" t="n"/>
      <c r="F22" s="27" t="n"/>
      <c r="G22" s="21">
        <f>IF(A22="","",D22+E22+F22)</f>
        <v/>
      </c>
      <c r="H22" s="21">
        <f>IF(A22="","",E22-D22)</f>
        <v/>
      </c>
      <c r="I22" s="30">
        <f>IF(OR(A22="",G22=0),"",D22/G22)</f>
        <v/>
      </c>
    </row>
    <row r="23">
      <c r="A23" s="26" t="n"/>
      <c r="B23" s="26" t="n"/>
      <c r="C23" s="26" t="n"/>
      <c r="D23" s="27" t="n"/>
      <c r="E23" s="27" t="n"/>
      <c r="F23" s="27" t="n"/>
      <c r="G23" s="21">
        <f>IF(A23="","",D23+E23+F23)</f>
        <v/>
      </c>
      <c r="H23" s="21">
        <f>IF(A23="","",E23-D23)</f>
        <v/>
      </c>
      <c r="I23" s="30">
        <f>IF(OR(A23="",G23=0),"",D23/G23)</f>
        <v/>
      </c>
    </row>
    <row r="24">
      <c r="A24" s="26" t="n"/>
      <c r="B24" s="26" t="n"/>
      <c r="C24" s="26" t="n"/>
      <c r="D24" s="27" t="n"/>
      <c r="E24" s="27" t="n"/>
      <c r="F24" s="27" t="n"/>
      <c r="G24" s="21">
        <f>IF(A24="","",D24+E24+F24)</f>
        <v/>
      </c>
      <c r="H24" s="21">
        <f>IF(A24="","",E24-D24)</f>
        <v/>
      </c>
      <c r="I24" s="30">
        <f>IF(OR(A24="",G24=0),"",D24/G24)</f>
        <v/>
      </c>
    </row>
    <row r="25">
      <c r="A25" s="26" t="n"/>
      <c r="B25" s="26" t="n"/>
      <c r="C25" s="26" t="n"/>
      <c r="D25" s="27" t="n"/>
      <c r="E25" s="27" t="n"/>
      <c r="F25" s="27" t="n"/>
      <c r="G25" s="21">
        <f>IF(A25="","",D25+E25+F25)</f>
        <v/>
      </c>
      <c r="H25" s="21">
        <f>IF(A25="","",E25-D25)</f>
        <v/>
      </c>
      <c r="I25" s="30">
        <f>IF(OR(A25="",G25=0),"",D25/G25)</f>
        <v/>
      </c>
    </row>
    <row r="26">
      <c r="A26" s="26" t="n"/>
      <c r="B26" s="26" t="n"/>
      <c r="C26" s="26" t="n"/>
      <c r="D26" s="27" t="n"/>
      <c r="E26" s="27" t="n"/>
      <c r="F26" s="27" t="n"/>
      <c r="G26" s="21">
        <f>IF(A26="","",D26+E26+F26)</f>
        <v/>
      </c>
      <c r="H26" s="21">
        <f>IF(A26="","",E26-D26)</f>
        <v/>
      </c>
      <c r="I26" s="30">
        <f>IF(OR(A26="",G26=0),"",D26/G26)</f>
        <v/>
      </c>
    </row>
    <row r="27">
      <c r="A27" s="26" t="n"/>
      <c r="B27" s="26" t="n"/>
      <c r="C27" s="26" t="n"/>
      <c r="D27" s="27" t="n"/>
      <c r="E27" s="27" t="n"/>
      <c r="F27" s="27" t="n"/>
      <c r="G27" s="21">
        <f>IF(A27="","",D27+E27+F27)</f>
        <v/>
      </c>
      <c r="H27" s="21">
        <f>IF(A27="","",E27-D27)</f>
        <v/>
      </c>
      <c r="I27" s="30">
        <f>IF(OR(A27="",G27=0),"",D27/G27)</f>
        <v/>
      </c>
    </row>
    <row r="28">
      <c r="A28" s="26" t="n"/>
      <c r="B28" s="26" t="n"/>
      <c r="C28" s="26" t="n"/>
      <c r="D28" s="27" t="n"/>
      <c r="E28" s="27" t="n"/>
      <c r="F28" s="27" t="n"/>
      <c r="G28" s="21">
        <f>IF(A28="","",D28+E28+F28)</f>
        <v/>
      </c>
      <c r="H28" s="21">
        <f>IF(A28="","",E28-D28)</f>
        <v/>
      </c>
      <c r="I28" s="30">
        <f>IF(OR(A28="",G28=0),"",D28/G28)</f>
        <v/>
      </c>
    </row>
    <row r="29">
      <c r="A29" s="26" t="n"/>
      <c r="B29" s="26" t="n"/>
      <c r="C29" s="26" t="n"/>
      <c r="D29" s="27" t="n"/>
      <c r="E29" s="27" t="n"/>
      <c r="F29" s="27" t="n"/>
      <c r="G29" s="21">
        <f>IF(A29="","",D29+E29+F29)</f>
        <v/>
      </c>
      <c r="H29" s="21">
        <f>IF(A29="","",E29-D29)</f>
        <v/>
      </c>
      <c r="I29" s="30">
        <f>IF(OR(A29="",G29=0),"",D29/G29)</f>
        <v/>
      </c>
    </row>
    <row r="30">
      <c r="A30" s="26" t="n"/>
      <c r="B30" s="26" t="n"/>
      <c r="C30" s="26" t="n"/>
      <c r="D30" s="27" t="n"/>
      <c r="E30" s="27" t="n"/>
      <c r="F30" s="27" t="n"/>
      <c r="G30" s="21">
        <f>IF(A30="","",D30+E30+F30)</f>
        <v/>
      </c>
      <c r="H30" s="21">
        <f>IF(A30="","",E30-D30)</f>
        <v/>
      </c>
      <c r="I30" s="30">
        <f>IF(OR(A30="",G30=0),"",D30/G30)</f>
        <v/>
      </c>
    </row>
    <row r="31">
      <c r="A31" s="26" t="n"/>
      <c r="B31" s="26" t="n"/>
      <c r="C31" s="26" t="n"/>
      <c r="D31" s="27" t="n"/>
      <c r="E31" s="27" t="n"/>
      <c r="F31" s="27" t="n"/>
      <c r="G31" s="21">
        <f>IF(A31="","",D31+E31+F31)</f>
        <v/>
      </c>
      <c r="H31" s="21">
        <f>IF(A31="","",E31-D31)</f>
        <v/>
      </c>
      <c r="I31" s="30">
        <f>IF(OR(A31="",G31=0),"",D31/G31)</f>
        <v/>
      </c>
    </row>
    <row r="32">
      <c r="A32" s="26" t="n"/>
      <c r="B32" s="26" t="n"/>
      <c r="C32" s="26" t="n"/>
      <c r="D32" s="27" t="n"/>
      <c r="E32" s="27" t="n"/>
      <c r="F32" s="27" t="n"/>
      <c r="G32" s="21">
        <f>IF(A32="","",D32+E32+F32)</f>
        <v/>
      </c>
      <c r="H32" s="21">
        <f>IF(A32="","",E32-D32)</f>
        <v/>
      </c>
      <c r="I32" s="30">
        <f>IF(OR(A32="",G32=0),"",D32/G32)</f>
        <v/>
      </c>
    </row>
    <row r="33">
      <c r="A33" s="26" t="n"/>
      <c r="B33" s="26" t="n"/>
      <c r="C33" s="26" t="n"/>
      <c r="D33" s="27" t="n"/>
      <c r="E33" s="27" t="n"/>
      <c r="F33" s="27" t="n"/>
      <c r="G33" s="21">
        <f>IF(A33="","",D33+E33+F33)</f>
        <v/>
      </c>
      <c r="H33" s="21">
        <f>IF(A33="","",E33-D33)</f>
        <v/>
      </c>
      <c r="I33" s="30">
        <f>IF(OR(A33="",G33=0),"",D33/G33)</f>
        <v/>
      </c>
    </row>
    <row r="34">
      <c r="A34" s="26" t="n"/>
      <c r="B34" s="26" t="n"/>
      <c r="C34" s="26" t="n"/>
      <c r="D34" s="27" t="n"/>
      <c r="E34" s="27" t="n"/>
      <c r="F34" s="27" t="n"/>
      <c r="G34" s="21">
        <f>IF(A34="","",D34+E34+F34)</f>
        <v/>
      </c>
      <c r="H34" s="21">
        <f>IF(A34="","",E34-D34)</f>
        <v/>
      </c>
      <c r="I34" s="30">
        <f>IF(OR(A34="",G34=0),"",D34/G34)</f>
        <v/>
      </c>
    </row>
    <row r="35">
      <c r="A35" s="26" t="n"/>
      <c r="B35" s="26" t="n"/>
      <c r="C35" s="26" t="n"/>
      <c r="D35" s="27" t="n"/>
      <c r="E35" s="27" t="n"/>
      <c r="F35" s="27" t="n"/>
      <c r="G35" s="21">
        <f>IF(A35="","",D35+E35+F35)</f>
        <v/>
      </c>
      <c r="H35" s="21">
        <f>IF(A35="","",E35-D35)</f>
        <v/>
      </c>
      <c r="I35" s="30">
        <f>IF(OR(A35="",G35=0),"",D35/G35)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H6:H35">
    <cfRule type="cellIs" priority="1" operator="lessThan" dxfId="2">
      <formula>0</formula>
    </cfRule>
  </conditionalFormatting>
  <dataValidations count="6">
    <dataValidation sqref="A6:A35" showDropDown="0" showInputMessage="1" showErrorMessage="1" allowBlank="1" errorTitle="Kimlik" error="En az 1 karakter" promptTitle="Kalem Kimliği" prompt="BLN-##### girin" type="textLength" errorStyle="stop" operator="greaterThan">
      <formula1>1</formula1>
      <formula2>40</formula2>
    </dataValidation>
    <dataValidation sqref="B6:B35" showDropDown="0" showInputMessage="1" showErrorMessage="1" allowBlank="1" errorTitle="Ad" error="Geçersiz" promptTitle="Kalem Adı" prompt="Bilanço kalemi adı" type="textLength" errorStyle="stop" operator="greaterThanOrEqual">
      <formula1>0</formula1>
      <formula2>80</formula2>
    </dataValidation>
    <dataValidation sqref="C6:C35" showDropDown="0" showInputMessage="1" showErrorMessage="1" allowBlank="1" errorTitle="Liste" error="Listeden seçin" promptTitle="Grup" prompt="Listeden seçin" type="list" errorStyle="stop">
      <formula1>ListeBilancoGrup</formula1>
    </dataValidation>
    <dataValidation sqref="D6:D35" showDropDown="0" showInputMessage="1" showErrorMessage="1" allowBlank="1" errorTitle="Yıl 0" error="Sayı girin" promptTitle="Yıl 0" prompt="Yıl 0 tutarını TL girin" type="decimal" errorStyle="stop" operator="between">
      <formula1>-999999999999</formula1>
      <formula2>999999999999</formula2>
    </dataValidation>
    <dataValidation sqref="E6:E35" showDropDown="0" showInputMessage="1" showErrorMessage="1" allowBlank="1" errorTitle="Yıl 1" error="Sayı girin" promptTitle="Yıl 1" prompt="Yıl 1 tutarını TL girin" type="decimal" errorStyle="stop" operator="between">
      <formula1>-999999999999</formula1>
      <formula2>999999999999</formula2>
    </dataValidation>
    <dataValidation sqref="F6:F35" showDropDown="0" showInputMessage="1" showErrorMessage="1" allowBlank="1" errorTitle="Yıl 2" error="Sayı girin" promptTitle="Yıl 2" prompt="Yıl 2 tutarını TL girin" type="decimal" errorStyle="stop" operator="between">
      <formula1>-999999999999</formula1>
      <formula2>999999999999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B365D"/>
    <outlinePr summaryBelow="1" summaryRight="1"/>
    <pageSetUpPr/>
  </sheetPr>
  <dimension ref="A1:AC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3" customWidth="1" min="10" max="10"/>
  </cols>
  <sheetData>
    <row r="1" ht="32" customHeight="1">
      <c r="A1" s="178" t="inlineStr">
        <is>
          <t>NAKIT AKIS — Konkordato Nakit Akış Ön Projesi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3 yıllık nakit akış — işletme / yatırım / finansman / kapanış</t>
        </is>
      </c>
    </row>
    <row r="4">
      <c r="A4" s="11" t="inlineStr">
        <is>
          <t>Y0 Toplam</t>
        </is>
      </c>
      <c r="B4" s="29">
        <f>SUM($D$6:$D$35)</f>
        <v/>
      </c>
      <c r="C4" s="11" t="inlineStr">
        <is>
          <t>Y2 Kapanış</t>
        </is>
      </c>
      <c r="D4" s="29">
        <f>SUMIF($C$6:$C$35,"kapanis",$F$6:$F$35)</f>
        <v/>
      </c>
    </row>
    <row r="5" ht="30" customHeight="1">
      <c r="A5" s="25" t="inlineStr">
        <is>
          <t>KalemId</t>
        </is>
      </c>
      <c r="B5" s="25" t="inlineStr">
        <is>
          <t>KalemAdi</t>
        </is>
      </c>
      <c r="C5" s="25" t="inlineStr">
        <is>
          <t>Grup</t>
        </is>
      </c>
      <c r="D5" s="25" t="inlineStr">
        <is>
          <t>Yil0</t>
        </is>
      </c>
      <c r="E5" s="25" t="inlineStr">
        <is>
          <t>Yil1</t>
        </is>
      </c>
      <c r="F5" s="25" t="inlineStr">
        <is>
          <t>Yil2</t>
        </is>
      </c>
      <c r="G5" s="25" t="inlineStr">
        <is>
          <t>ToplamUcYil</t>
        </is>
      </c>
      <c r="H5" s="25" t="inlineStr">
        <is>
          <t>Kumulatif</t>
        </is>
      </c>
      <c r="I5" s="25" t="inlineStr">
        <is>
          <t>KilitBayrak</t>
        </is>
      </c>
    </row>
    <row r="6">
      <c r="A6" s="26" t="inlineStr">
        <is>
          <t>NAK-00001</t>
        </is>
      </c>
      <c r="B6" s="26" t="inlineStr">
        <is>
          <t>Satış tahsilatı</t>
        </is>
      </c>
      <c r="C6" s="26" t="inlineStr">
        <is>
          <t>isletme</t>
        </is>
      </c>
      <c r="D6" s="27" t="n">
        <v>18400000</v>
      </c>
      <c r="E6" s="27" t="n">
        <v>19600000</v>
      </c>
      <c r="F6" s="27" t="n">
        <v>21200000</v>
      </c>
      <c r="G6" s="21">
        <f>IF(A6="","",D6+E6+F6)</f>
        <v/>
      </c>
      <c r="H6" s="21">
        <f>IF(A6="","",D6+E6+F6)</f>
        <v/>
      </c>
      <c r="I6" s="7">
        <f>IF(A6="","",IF(C6&lt;&gt;"kapanis","",IF(MIN(D6,E6,F6)&lt;kna_nakitKilitEsik,"KİLİT","AÇIK")))</f>
        <v/>
      </c>
    </row>
    <row r="7">
      <c r="A7" s="26" t="inlineStr">
        <is>
          <t>NAK-00002</t>
        </is>
      </c>
      <c r="B7" s="26" t="inlineStr">
        <is>
          <t>Tedarik ödemesi</t>
        </is>
      </c>
      <c r="C7" s="26" t="inlineStr">
        <is>
          <t>isletme</t>
        </is>
      </c>
      <c r="D7" s="27" t="n">
        <v>-9800000</v>
      </c>
      <c r="E7" s="27" t="n">
        <v>-10100000</v>
      </c>
      <c r="F7" s="27" t="n">
        <v>-10400000</v>
      </c>
      <c r="G7" s="21">
        <f>IF(A7="","",D7+E7+F7)</f>
        <v/>
      </c>
      <c r="H7" s="21">
        <f>IF(A7="","",D7+E7+F7)</f>
        <v/>
      </c>
      <c r="I7" s="7">
        <f>IF(A7="","",IF(C7&lt;&gt;"kapanis","",IF(MIN(D7,E7,F7)&lt;kna_nakitKilitEsik,"KİLİT","AÇIK")))</f>
        <v/>
      </c>
    </row>
    <row r="8">
      <c r="A8" s="26" t="inlineStr">
        <is>
          <t>NAK-00003</t>
        </is>
      </c>
      <c r="B8" s="26" t="inlineStr">
        <is>
          <t>Personel ödemesi</t>
        </is>
      </c>
      <c r="C8" s="26" t="inlineStr">
        <is>
          <t>isletme</t>
        </is>
      </c>
      <c r="D8" s="27" t="n">
        <v>-4200000</v>
      </c>
      <c r="E8" s="27" t="n">
        <v>-4350000</v>
      </c>
      <c r="F8" s="27" t="n">
        <v>-4500000</v>
      </c>
      <c r="G8" s="21">
        <f>IF(A8="","",D8+E8+F8)</f>
        <v/>
      </c>
      <c r="H8" s="21">
        <f>IF(A8="","",D8+E8+F8)</f>
        <v/>
      </c>
      <c r="I8" s="7">
        <f>IF(A8="","",IF(C8&lt;&gt;"kapanis","",IF(MIN(D8,E8,F8)&lt;kna_nakitKilitEsik,"KİLİT","AÇIK")))</f>
        <v/>
      </c>
    </row>
    <row r="9">
      <c r="A9" s="26" t="inlineStr">
        <is>
          <t>NAK-00004</t>
        </is>
      </c>
      <c r="B9" s="26" t="inlineStr">
        <is>
          <t>Vergi ödemesi</t>
        </is>
      </c>
      <c r="C9" s="26" t="inlineStr">
        <is>
          <t>isletme</t>
        </is>
      </c>
      <c r="D9" s="27" t="n">
        <v>-1100000</v>
      </c>
      <c r="E9" s="27" t="n">
        <v>-1050000</v>
      </c>
      <c r="F9" s="27" t="n">
        <v>-1200000</v>
      </c>
      <c r="G9" s="21">
        <f>IF(A9="","",D9+E9+F9)</f>
        <v/>
      </c>
      <c r="H9" s="21">
        <f>IF(A9="","",D9+E9+F9)</f>
        <v/>
      </c>
      <c r="I9" s="7">
        <f>IF(A9="","",IF(C9&lt;&gt;"kapanis","",IF(MIN(D9,E9,F9)&lt;kna_nakitKilitEsik,"KİLİT","AÇIK")))</f>
        <v/>
      </c>
    </row>
    <row r="10">
      <c r="A10" s="26" t="inlineStr">
        <is>
          <t>NAK-00005</t>
        </is>
      </c>
      <c r="B10" s="26" t="inlineStr">
        <is>
          <t>İşletme net nakit</t>
        </is>
      </c>
      <c r="C10" s="26" t="inlineStr">
        <is>
          <t>isletme</t>
        </is>
      </c>
      <c r="D10" s="27" t="n">
        <v>3300000</v>
      </c>
      <c r="E10" s="27" t="n">
        <v>4100000</v>
      </c>
      <c r="F10" s="27" t="n">
        <v>5100000</v>
      </c>
      <c r="G10" s="21">
        <f>IF(A10="","",D10+E10+F10)</f>
        <v/>
      </c>
      <c r="H10" s="21">
        <f>IF(A10="","",D10+E10+F10)</f>
        <v/>
      </c>
      <c r="I10" s="7">
        <f>IF(A10="","",IF(C10&lt;&gt;"kapanis","",IF(MIN(D10,E10,F10)&lt;kna_nakitKilitEsik,"KİLİT","AÇIK")))</f>
        <v/>
      </c>
    </row>
    <row r="11">
      <c r="A11" s="26" t="inlineStr">
        <is>
          <t>NAK-00006</t>
        </is>
      </c>
      <c r="B11" s="26" t="inlineStr">
        <is>
          <t>Yatırım nakit</t>
        </is>
      </c>
      <c r="C11" s="26" t="inlineStr">
        <is>
          <t>yatirim</t>
        </is>
      </c>
      <c r="D11" s="27" t="n">
        <v>-420000</v>
      </c>
      <c r="E11" s="27" t="n">
        <v>-380000</v>
      </c>
      <c r="F11" s="27" t="n">
        <v>-310000</v>
      </c>
      <c r="G11" s="21">
        <f>IF(A11="","",D11+E11+F11)</f>
        <v/>
      </c>
      <c r="H11" s="21">
        <f>IF(A11="","",D11+E11+F11)</f>
        <v/>
      </c>
      <c r="I11" s="7">
        <f>IF(A11="","",IF(C11&lt;&gt;"kapanis","",IF(MIN(D11,E11,F11)&lt;kna_nakitKilitEsik,"KİLİT","AÇIK")))</f>
        <v/>
      </c>
    </row>
    <row r="12">
      <c r="A12" s="26" t="inlineStr">
        <is>
          <t>NAK-00007</t>
        </is>
      </c>
      <c r="B12" s="26" t="inlineStr">
        <is>
          <t>Finansman anapara</t>
        </is>
      </c>
      <c r="C12" s="26" t="inlineStr">
        <is>
          <t>finansman</t>
        </is>
      </c>
      <c r="D12" s="27" t="n">
        <v>-1800000</v>
      </c>
      <c r="E12" s="27" t="n">
        <v>-1500000</v>
      </c>
      <c r="F12" s="27" t="n">
        <v>-1200000</v>
      </c>
      <c r="G12" s="21">
        <f>IF(A12="","",D12+E12+F12)</f>
        <v/>
      </c>
      <c r="H12" s="21">
        <f>IF(A12="","",D12+E12+F12)</f>
        <v/>
      </c>
      <c r="I12" s="7">
        <f>IF(A12="","",IF(C12&lt;&gt;"kapanis","",IF(MIN(D12,E12,F12)&lt;kna_nakitKilitEsik,"KİLİT","AÇIK")))</f>
        <v/>
      </c>
    </row>
    <row r="13">
      <c r="A13" s="26" t="inlineStr">
        <is>
          <t>NAK-00008</t>
        </is>
      </c>
      <c r="B13" s="26" t="inlineStr">
        <is>
          <t>Finansman faiz</t>
        </is>
      </c>
      <c r="C13" s="26" t="inlineStr">
        <is>
          <t>finansman</t>
        </is>
      </c>
      <c r="D13" s="27" t="n">
        <v>-640000</v>
      </c>
      <c r="E13" s="27" t="n">
        <v>-520000</v>
      </c>
      <c r="F13" s="27" t="n">
        <v>-410000</v>
      </c>
      <c r="G13" s="21">
        <f>IF(A13="","",D13+E13+F13)</f>
        <v/>
      </c>
      <c r="H13" s="21">
        <f>IF(A13="","",D13+E13+F13)</f>
        <v/>
      </c>
      <c r="I13" s="7">
        <f>IF(A13="","",IF(C13&lt;&gt;"kapanis","",IF(MIN(D13,E13,F13)&lt;kna_nakitKilitEsik,"KİLİT","AÇIK")))</f>
        <v/>
      </c>
    </row>
    <row r="14">
      <c r="A14" s="26" t="inlineStr">
        <is>
          <t>NAK-00009</t>
        </is>
      </c>
      <c r="B14" s="26" t="inlineStr">
        <is>
          <t>Dönem başı nakit</t>
        </is>
      </c>
      <c r="C14" s="26" t="inlineStr">
        <is>
          <t>kapanis</t>
        </is>
      </c>
      <c r="D14" s="27" t="n">
        <v>1760000</v>
      </c>
      <c r="E14" s="27" t="n">
        <v>1800000</v>
      </c>
      <c r="F14" s="27" t="n">
        <v>1450000</v>
      </c>
      <c r="G14" s="21">
        <f>IF(A14="","",D14+E14+F14)</f>
        <v/>
      </c>
      <c r="H14" s="21">
        <f>IF(A14="","",D14+E14+F14)</f>
        <v/>
      </c>
      <c r="I14" s="7">
        <f>IF(A14="","",IF(C14&lt;&gt;"kapanis","",IF(MIN(D14,E14,F14)&lt;kna_nakitKilitEsik,"KİLİT","AÇIK")))</f>
        <v/>
      </c>
    </row>
    <row r="15">
      <c r="A15" s="26" t="inlineStr">
        <is>
          <t>NAK-00010</t>
        </is>
      </c>
      <c r="B15" s="26" t="inlineStr">
        <is>
          <t>Dönem sonu nakit</t>
        </is>
      </c>
      <c r="C15" s="26" t="inlineStr">
        <is>
          <t>kapanis</t>
        </is>
      </c>
      <c r="D15" s="27" t="n">
        <v>1800000</v>
      </c>
      <c r="E15" s="27" t="n">
        <v>1450000</v>
      </c>
      <c r="F15" s="27" t="n">
        <v>1720000</v>
      </c>
      <c r="G15" s="21">
        <f>IF(A15="","",D15+E15+F15)</f>
        <v/>
      </c>
      <c r="H15" s="21">
        <f>IF(A15="","",D15+E15+F15)</f>
        <v/>
      </c>
      <c r="I15" s="7">
        <f>IF(A15="","",IF(C15&lt;&gt;"kapanis","",IF(MIN(D15,E15,F15)&lt;kna_nakitKilitEsik,"KİLİT","AÇIK")))</f>
        <v/>
      </c>
    </row>
    <row r="16">
      <c r="A16" s="26" t="n"/>
      <c r="B16" s="26" t="n"/>
      <c r="C16" s="26" t="n"/>
      <c r="D16" s="27" t="n"/>
      <c r="E16" s="27" t="n"/>
      <c r="F16" s="27" t="n"/>
      <c r="G16" s="21">
        <f>IF(A16="","",D16+E16+F16)</f>
        <v/>
      </c>
      <c r="H16" s="21">
        <f>IF(A16="","",D16+E16+F16)</f>
        <v/>
      </c>
      <c r="I16" s="7">
        <f>IF(A16="","",IF(C16&lt;&gt;"kapanis","",IF(MIN(D16,E16,F16)&lt;kna_nakitKilitEsik,"KİLİT","AÇIK")))</f>
        <v/>
      </c>
    </row>
    <row r="17">
      <c r="A17" s="26" t="n"/>
      <c r="B17" s="26" t="n"/>
      <c r="C17" s="26" t="n"/>
      <c r="D17" s="27" t="n"/>
      <c r="E17" s="27" t="n"/>
      <c r="F17" s="27" t="n"/>
      <c r="G17" s="21">
        <f>IF(A17="","",D17+E17+F17)</f>
        <v/>
      </c>
      <c r="H17" s="21">
        <f>IF(A17="","",D17+E17+F17)</f>
        <v/>
      </c>
      <c r="I17" s="7">
        <f>IF(A17="","",IF(C17&lt;&gt;"kapanis","",IF(MIN(D17,E17,F17)&lt;kna_nakitKilitEsik,"KİLİT","AÇIK")))</f>
        <v/>
      </c>
    </row>
    <row r="18">
      <c r="A18" s="26" t="n"/>
      <c r="B18" s="26" t="n"/>
      <c r="C18" s="26" t="n"/>
      <c r="D18" s="27" t="n"/>
      <c r="E18" s="27" t="n"/>
      <c r="F18" s="27" t="n"/>
      <c r="G18" s="21">
        <f>IF(A18="","",D18+E18+F18)</f>
        <v/>
      </c>
      <c r="H18" s="21">
        <f>IF(A18="","",D18+E18+F18)</f>
        <v/>
      </c>
      <c r="I18" s="7">
        <f>IF(A18="","",IF(C18&lt;&gt;"kapanis","",IF(MIN(D18,E18,F18)&lt;kna_nakitKilitEsik,"KİLİT","AÇIK")))</f>
        <v/>
      </c>
    </row>
    <row r="19">
      <c r="A19" s="26" t="n"/>
      <c r="B19" s="26" t="n"/>
      <c r="C19" s="26" t="n"/>
      <c r="D19" s="27" t="n"/>
      <c r="E19" s="27" t="n"/>
      <c r="F19" s="27" t="n"/>
      <c r="G19" s="21">
        <f>IF(A19="","",D19+E19+F19)</f>
        <v/>
      </c>
      <c r="H19" s="21">
        <f>IF(A19="","",D19+E19+F19)</f>
        <v/>
      </c>
      <c r="I19" s="7">
        <f>IF(A19="","",IF(C19&lt;&gt;"kapanis","",IF(MIN(D19,E19,F19)&lt;kna_nakitKilitEsik,"KİLİT","AÇIK")))</f>
        <v/>
      </c>
    </row>
    <row r="20">
      <c r="A20" s="26" t="n"/>
      <c r="B20" s="26" t="n"/>
      <c r="C20" s="26" t="n"/>
      <c r="D20" s="27" t="n"/>
      <c r="E20" s="27" t="n"/>
      <c r="F20" s="27" t="n"/>
      <c r="G20" s="21">
        <f>IF(A20="","",D20+E20+F20)</f>
        <v/>
      </c>
      <c r="H20" s="21">
        <f>IF(A20="","",D20+E20+F20)</f>
        <v/>
      </c>
      <c r="I20" s="7">
        <f>IF(A20="","",IF(C20&lt;&gt;"kapanis","",IF(MIN(D20,E20,F20)&lt;kna_nakitKilitEsik,"KİLİT","AÇIK")))</f>
        <v/>
      </c>
    </row>
    <row r="21">
      <c r="A21" s="26" t="n"/>
      <c r="B21" s="26" t="n"/>
      <c r="C21" s="26" t="n"/>
      <c r="D21" s="27" t="n"/>
      <c r="E21" s="27" t="n"/>
      <c r="F21" s="27" t="n"/>
      <c r="G21" s="21">
        <f>IF(A21="","",D21+E21+F21)</f>
        <v/>
      </c>
      <c r="H21" s="21">
        <f>IF(A21="","",D21+E21+F21)</f>
        <v/>
      </c>
      <c r="I21" s="7">
        <f>IF(A21="","",IF(C21&lt;&gt;"kapanis","",IF(MIN(D21,E21,F21)&lt;kna_nakitKilitEsik,"KİLİT","AÇIK")))</f>
        <v/>
      </c>
    </row>
    <row r="22">
      <c r="A22" s="26" t="n"/>
      <c r="B22" s="26" t="n"/>
      <c r="C22" s="26" t="n"/>
      <c r="D22" s="27" t="n"/>
      <c r="E22" s="27" t="n"/>
      <c r="F22" s="27" t="n"/>
      <c r="G22" s="21">
        <f>IF(A22="","",D22+E22+F22)</f>
        <v/>
      </c>
      <c r="H22" s="21">
        <f>IF(A22="","",D22+E22+F22)</f>
        <v/>
      </c>
      <c r="I22" s="7">
        <f>IF(A22="","",IF(C22&lt;&gt;"kapanis","",IF(MIN(D22,E22,F22)&lt;kna_nakitKilitEsik,"KİLİT","AÇIK")))</f>
        <v/>
      </c>
    </row>
    <row r="23">
      <c r="A23" s="26" t="n"/>
      <c r="B23" s="26" t="n"/>
      <c r="C23" s="26" t="n"/>
      <c r="D23" s="27" t="n"/>
      <c r="E23" s="27" t="n"/>
      <c r="F23" s="27" t="n"/>
      <c r="G23" s="21">
        <f>IF(A23="","",D23+E23+F23)</f>
        <v/>
      </c>
      <c r="H23" s="21">
        <f>IF(A23="","",D23+E23+F23)</f>
        <v/>
      </c>
      <c r="I23" s="7">
        <f>IF(A23="","",IF(C23&lt;&gt;"kapanis","",IF(MIN(D23,E23,F23)&lt;kna_nakitKilitEsik,"KİLİT","AÇIK")))</f>
        <v/>
      </c>
    </row>
    <row r="24">
      <c r="A24" s="26" t="n"/>
      <c r="B24" s="26" t="n"/>
      <c r="C24" s="26" t="n"/>
      <c r="D24" s="27" t="n"/>
      <c r="E24" s="27" t="n"/>
      <c r="F24" s="27" t="n"/>
      <c r="G24" s="21">
        <f>IF(A24="","",D24+E24+F24)</f>
        <v/>
      </c>
      <c r="H24" s="21">
        <f>IF(A24="","",D24+E24+F24)</f>
        <v/>
      </c>
      <c r="I24" s="7">
        <f>IF(A24="","",IF(C24&lt;&gt;"kapanis","",IF(MIN(D24,E24,F24)&lt;kna_nakitKilitEsik,"KİLİT","AÇIK")))</f>
        <v/>
      </c>
    </row>
    <row r="25">
      <c r="A25" s="26" t="n"/>
      <c r="B25" s="26" t="n"/>
      <c r="C25" s="26" t="n"/>
      <c r="D25" s="27" t="n"/>
      <c r="E25" s="27" t="n"/>
      <c r="F25" s="27" t="n"/>
      <c r="G25" s="21">
        <f>IF(A25="","",D25+E25+F25)</f>
        <v/>
      </c>
      <c r="H25" s="21">
        <f>IF(A25="","",D25+E25+F25)</f>
        <v/>
      </c>
      <c r="I25" s="7">
        <f>IF(A25="","",IF(C25&lt;&gt;"kapanis","",IF(MIN(D25,E25,F25)&lt;kna_nakitKilitEsik,"KİLİT","AÇIK")))</f>
        <v/>
      </c>
    </row>
    <row r="26">
      <c r="A26" s="26" t="n"/>
      <c r="B26" s="26" t="n"/>
      <c r="C26" s="26" t="n"/>
      <c r="D26" s="27" t="n"/>
      <c r="E26" s="27" t="n"/>
      <c r="F26" s="27" t="n"/>
      <c r="G26" s="21">
        <f>IF(A26="","",D26+E26+F26)</f>
        <v/>
      </c>
      <c r="H26" s="21">
        <f>IF(A26="","",D26+E26+F26)</f>
        <v/>
      </c>
      <c r="I26" s="7">
        <f>IF(A26="","",IF(C26&lt;&gt;"kapanis","",IF(MIN(D26,E26,F26)&lt;kna_nakitKilitEsik,"KİLİT","AÇIK")))</f>
        <v/>
      </c>
    </row>
    <row r="27">
      <c r="A27" s="26" t="n"/>
      <c r="B27" s="26" t="n"/>
      <c r="C27" s="26" t="n"/>
      <c r="D27" s="27" t="n"/>
      <c r="E27" s="27" t="n"/>
      <c r="F27" s="27" t="n"/>
      <c r="G27" s="21">
        <f>IF(A27="","",D27+E27+F27)</f>
        <v/>
      </c>
      <c r="H27" s="21">
        <f>IF(A27="","",D27+E27+F27)</f>
        <v/>
      </c>
      <c r="I27" s="7">
        <f>IF(A27="","",IF(C27&lt;&gt;"kapanis","",IF(MIN(D27,E27,F27)&lt;kna_nakitKilitEsik,"KİLİT","AÇIK")))</f>
        <v/>
      </c>
    </row>
    <row r="28">
      <c r="A28" s="26" t="n"/>
      <c r="B28" s="26" t="n"/>
      <c r="C28" s="26" t="n"/>
      <c r="D28" s="27" t="n"/>
      <c r="E28" s="27" t="n"/>
      <c r="F28" s="27" t="n"/>
      <c r="G28" s="21">
        <f>IF(A28="","",D28+E28+F28)</f>
        <v/>
      </c>
      <c r="H28" s="21">
        <f>IF(A28="","",D28+E28+F28)</f>
        <v/>
      </c>
      <c r="I28" s="7">
        <f>IF(A28="","",IF(C28&lt;&gt;"kapanis","",IF(MIN(D28,E28,F28)&lt;kna_nakitKilitEsik,"KİLİT","AÇIK")))</f>
        <v/>
      </c>
    </row>
    <row r="29">
      <c r="A29" s="26" t="n"/>
      <c r="B29" s="26" t="n"/>
      <c r="C29" s="26" t="n"/>
      <c r="D29" s="27" t="n"/>
      <c r="E29" s="27" t="n"/>
      <c r="F29" s="27" t="n"/>
      <c r="G29" s="21">
        <f>IF(A29="","",D29+E29+F29)</f>
        <v/>
      </c>
      <c r="H29" s="21">
        <f>IF(A29="","",D29+E29+F29)</f>
        <v/>
      </c>
      <c r="I29" s="7">
        <f>IF(A29="","",IF(C29&lt;&gt;"kapanis","",IF(MIN(D29,E29,F29)&lt;kna_nakitKilitEsik,"KİLİT","AÇIK")))</f>
        <v/>
      </c>
    </row>
    <row r="30">
      <c r="A30" s="26" t="n"/>
      <c r="B30" s="26" t="n"/>
      <c r="C30" s="26" t="n"/>
      <c r="D30" s="27" t="n"/>
      <c r="E30" s="27" t="n"/>
      <c r="F30" s="27" t="n"/>
      <c r="G30" s="21">
        <f>IF(A30="","",D30+E30+F30)</f>
        <v/>
      </c>
      <c r="H30" s="21">
        <f>IF(A30="","",D30+E30+F30)</f>
        <v/>
      </c>
      <c r="I30" s="7">
        <f>IF(A30="","",IF(C30&lt;&gt;"kapanis","",IF(MIN(D30,E30,F30)&lt;kna_nakitKilitEsik,"KİLİT","AÇIK")))</f>
        <v/>
      </c>
    </row>
    <row r="31">
      <c r="A31" s="26" t="n"/>
      <c r="B31" s="26" t="n"/>
      <c r="C31" s="26" t="n"/>
      <c r="D31" s="27" t="n"/>
      <c r="E31" s="27" t="n"/>
      <c r="F31" s="27" t="n"/>
      <c r="G31" s="21">
        <f>IF(A31="","",D31+E31+F31)</f>
        <v/>
      </c>
      <c r="H31" s="21">
        <f>IF(A31="","",D31+E31+F31)</f>
        <v/>
      </c>
      <c r="I31" s="7">
        <f>IF(A31="","",IF(C31&lt;&gt;"kapanis","",IF(MIN(D31,E31,F31)&lt;kna_nakitKilitEsik,"KİLİT","AÇIK")))</f>
        <v/>
      </c>
    </row>
    <row r="32">
      <c r="A32" s="26" t="n"/>
      <c r="B32" s="26" t="n"/>
      <c r="C32" s="26" t="n"/>
      <c r="D32" s="27" t="n"/>
      <c r="E32" s="27" t="n"/>
      <c r="F32" s="27" t="n"/>
      <c r="G32" s="21">
        <f>IF(A32="","",D32+E32+F32)</f>
        <v/>
      </c>
      <c r="H32" s="21">
        <f>IF(A32="","",D32+E32+F32)</f>
        <v/>
      </c>
      <c r="I32" s="7">
        <f>IF(A32="","",IF(C32&lt;&gt;"kapanis","",IF(MIN(D32,E32,F32)&lt;kna_nakitKilitEsik,"KİLİT","AÇIK")))</f>
        <v/>
      </c>
    </row>
    <row r="33">
      <c r="A33" s="26" t="n"/>
      <c r="B33" s="26" t="n"/>
      <c r="C33" s="26" t="n"/>
      <c r="D33" s="27" t="n"/>
      <c r="E33" s="27" t="n"/>
      <c r="F33" s="27" t="n"/>
      <c r="G33" s="21">
        <f>IF(A33="","",D33+E33+F33)</f>
        <v/>
      </c>
      <c r="H33" s="21">
        <f>IF(A33="","",D33+E33+F33)</f>
        <v/>
      </c>
      <c r="I33" s="7">
        <f>IF(A33="","",IF(C33&lt;&gt;"kapanis","",IF(MIN(D33,E33,F33)&lt;kna_nakitKilitEsik,"KİLİT","AÇIK")))</f>
        <v/>
      </c>
    </row>
    <row r="34">
      <c r="A34" s="26" t="n"/>
      <c r="B34" s="26" t="n"/>
      <c r="C34" s="26" t="n"/>
      <c r="D34" s="27" t="n"/>
      <c r="E34" s="27" t="n"/>
      <c r="F34" s="27" t="n"/>
      <c r="G34" s="21">
        <f>IF(A34="","",D34+E34+F34)</f>
        <v/>
      </c>
      <c r="H34" s="21">
        <f>IF(A34="","",D34+E34+F34)</f>
        <v/>
      </c>
      <c r="I34" s="7">
        <f>IF(A34="","",IF(C34&lt;&gt;"kapanis","",IF(MIN(D34,E34,F34)&lt;kna_nakitKilitEsik,"KİLİT","AÇIK")))</f>
        <v/>
      </c>
    </row>
    <row r="35">
      <c r="A35" s="26" t="n"/>
      <c r="B35" s="26" t="n"/>
      <c r="C35" s="26" t="n"/>
      <c r="D35" s="27" t="n"/>
      <c r="E35" s="27" t="n"/>
      <c r="F35" s="27" t="n"/>
      <c r="G35" s="21">
        <f>IF(A35="","",D35+E35+F35)</f>
        <v/>
      </c>
      <c r="H35" s="21">
        <f>IF(A35="","",D35+E35+F35)</f>
        <v/>
      </c>
      <c r="I35" s="7">
        <f>IF(A35="","",IF(C35&lt;&gt;"kapanis","",IF(MIN(D35,E35,F35)&lt;kna_nakitKilitEsik,"KİLİT","AÇIK")))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I6:I35">
    <cfRule type="cellIs" priority="1" operator="equal" dxfId="2">
      <formula>"KİLİT"</formula>
    </cfRule>
    <cfRule type="cellIs" priority="2" operator="equal" dxfId="0">
      <formula>"AÇIK"</formula>
    </cfRule>
  </conditionalFormatting>
  <dataValidations count="6">
    <dataValidation sqref="A6:A35" showDropDown="0" showInputMessage="1" showErrorMessage="1" allowBlank="1" errorTitle="Kimlik" error="En az 1 karakter" promptTitle="Kalem Kimliği" prompt="NAK-##### girin" type="textLength" errorStyle="stop" operator="greaterThan">
      <formula1>1</formula1>
      <formula2>40</formula2>
    </dataValidation>
    <dataValidation sqref="B6:B35" showDropDown="0" showInputMessage="1" showErrorMessage="1" allowBlank="1" errorTitle="Ad" error="Geçersiz" promptTitle="Kalem Adı" prompt="Nakit akış kalemi adı" type="textLength" errorStyle="stop" operator="greaterThanOrEqual">
      <formula1>0</formula1>
      <formula2>80</formula2>
    </dataValidation>
    <dataValidation sqref="C6:C35" showDropDown="0" showInputMessage="1" showErrorMessage="1" allowBlank="1" errorTitle="Liste" error="Listeden seçin" promptTitle="Grup" prompt="Listeden seçin" type="list" errorStyle="stop">
      <formula1>ListeNakitGrup</formula1>
    </dataValidation>
    <dataValidation sqref="D6:D35" showDropDown="0" showInputMessage="1" showErrorMessage="1" allowBlank="1" errorTitle="Yıl 0" error="Sayı girin" promptTitle="Yıl 0" prompt="Yıl 0 nakit tutarını TL girin" type="decimal" errorStyle="stop" operator="between">
      <formula1>-999999999999</formula1>
      <formula2>999999999999</formula2>
    </dataValidation>
    <dataValidation sqref="E6:E35" showDropDown="0" showInputMessage="1" showErrorMessage="1" allowBlank="1" errorTitle="Yıl 1" error="Sayı girin" promptTitle="Yıl 1" prompt="Yıl 1 nakit tutarını TL girin" type="decimal" errorStyle="stop" operator="between">
      <formula1>-999999999999</formula1>
      <formula2>999999999999</formula2>
    </dataValidation>
    <dataValidation sqref="F6:F35" showDropDown="0" showInputMessage="1" showErrorMessage="1" allowBlank="1" errorTitle="Yıl 2" error="Sayı girin" promptTitle="Yıl 2" prompt="Yıl 2 nakit tutarını TL girin" type="decimal" errorStyle="stop" operator="between">
      <formula1>-999999999999</formula1>
      <formula2>999999999999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B365D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6.5" customWidth="1" min="2" max="2"/>
    <col width="23.5" customWidth="1" min="3" max="3"/>
    <col width="15.5" customWidth="1" min="4" max="4"/>
    <col width="12.5" customWidth="1" min="5" max="5"/>
    <col width="16.5" customWidth="1" min="6" max="6"/>
    <col width="14.5" customWidth="1" min="7" max="7"/>
    <col width="20.5" customWidth="1" min="8" max="8"/>
    <col width="16.5" customWidth="1" min="9" max="9"/>
    <col width="14.5" customWidth="1" min="10" max="10"/>
    <col width="12" customWidth="1" min="11" max="11"/>
    <col width="12" customWidth="1" min="12" max="12"/>
    <col width="22.5" customWidth="1" min="13" max="13"/>
    <col width="12" customWidth="1" min="14" max="14"/>
    <col width="12" customWidth="1" min="15" max="15"/>
    <col width="15.5" customWidth="1" min="16" max="16"/>
    <col width="16.5" customWidth="1" min="17" max="17"/>
    <col width="16.5" customWidth="1" min="18" max="18"/>
    <col width="13.5" customWidth="1" min="19" max="19"/>
    <col width="13" customWidth="1" min="20" max="20"/>
  </cols>
  <sheetData>
    <row r="1" ht="32" customHeight="1">
      <c r="A1" s="178" t="inlineStr">
        <is>
          <t>AKIS — Konkordato Nakit Akış Ön Projesi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  <c r="P1" s="179" t="n"/>
      <c r="Q1" s="179" t="n"/>
      <c r="R1" s="179" t="n"/>
      <c r="S1" s="179" t="n"/>
    </row>
    <row r="2"/>
    <row r="3" ht="22" customHeight="1">
      <c r="A3" s="198" t="inlineStr">
        <is>
          <t>Ön proje kalemleri — durum makinesi + yetim + geçersiz geçiş + beş halkalı zincir</t>
        </is>
      </c>
    </row>
    <row r="4"/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BilancoTutar</t>
        </is>
      </c>
      <c r="G5" s="25" t="inlineStr">
        <is>
          <t>NakitTutar</t>
        </is>
      </c>
      <c r="H5" s="25" t="inlineStr">
        <is>
          <t>ProjeksiyonTutar</t>
        </is>
      </c>
      <c r="I5" s="25" t="inlineStr">
        <is>
          <t>BasvuruTutar</t>
        </is>
      </c>
      <c r="J5" s="25" t="inlineStr">
        <is>
          <t>KararTutar</t>
        </is>
      </c>
      <c r="K5" s="25" t="inlineStr">
        <is>
          <t>Tutar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KNA-00001</t>
        </is>
      </c>
      <c r="B6" s="26" t="inlineStr">
        <is>
          <t>ALN-00001</t>
        </is>
      </c>
      <c r="C6" s="31" t="n">
        <v>46245</v>
      </c>
      <c r="D6" s="26" t="n"/>
      <c r="E6" s="26" t="inlineStr">
        <is>
          <t>TASLAK</t>
        </is>
      </c>
      <c r="F6" s="27" t="n">
        <v>192500</v>
      </c>
      <c r="G6" s="27" t="n">
        <v>192500</v>
      </c>
      <c r="H6" s="27" t="n">
        <v>192500</v>
      </c>
      <c r="I6" s="27" t="n">
        <v>192500</v>
      </c>
      <c r="J6" s="27" t="n">
        <v>192500</v>
      </c>
      <c r="K6" s="27" t="n">
        <v>192500</v>
      </c>
      <c r="L6" s="26" t="inlineStr">
        <is>
          <t>2026-08</t>
        </is>
      </c>
      <c r="M6" s="26" t="inlineStr">
        <is>
          <t>Ön proje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IF($A6="","",IF($B6="","YETİM",IF(COUNTIF(GIRDI!$A$6:$A$255,$B6)=0,"YETİM","")))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IF($A6="","",IF(OR($F6="",$G6=""),"",IF(ABS($G6-$F6)&gt;zincirTolerans,"ZİNCİR KIRIK","OK")))</f>
        <v/>
      </c>
      <c r="S6" s="28">
        <f>IF($A6="","",1)</f>
        <v/>
      </c>
    </row>
    <row r="7">
      <c r="A7" s="26" t="inlineStr">
        <is>
          <t>KNA-00002</t>
        </is>
      </c>
      <c r="B7" s="26" t="inlineStr">
        <is>
          <t>ALN-00002</t>
        </is>
      </c>
      <c r="C7" s="31" t="n">
        <v>46242</v>
      </c>
      <c r="D7" s="26" t="inlineStr">
        <is>
          <t>TASLAK</t>
        </is>
      </c>
      <c r="E7" s="26" t="inlineStr">
        <is>
          <t>HAZIRLIK</t>
        </is>
      </c>
      <c r="F7" s="27" t="n">
        <v>205000</v>
      </c>
      <c r="G7" s="27" t="n">
        <v>205000</v>
      </c>
      <c r="H7" s="27" t="n">
        <v>205000</v>
      </c>
      <c r="I7" s="27" t="n">
        <v>205000</v>
      </c>
      <c r="J7" s="27" t="n">
        <v>205000</v>
      </c>
      <c r="K7" s="27" t="n">
        <v>205000</v>
      </c>
      <c r="L7" s="26" t="inlineStr">
        <is>
          <t>2026-08</t>
        </is>
      </c>
      <c r="M7" s="26" t="inlineStr">
        <is>
          <t>Ön proje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IF($A7="","",IF($B7="","YETİM",IF(COUNTIF(GIRDI!$A$6:$A$255,$B7)=0,"YETİM","")))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IF($A7="","",IF(OR($F7="",$G7=""),"",IF(ABS($G7-$F7)&gt;zincirTolerans,"ZİNCİR KIRIK","OK")))</f>
        <v/>
      </c>
      <c r="S7" s="28">
        <f>IF($A7="","",1)</f>
        <v/>
      </c>
    </row>
    <row r="8">
      <c r="A8" s="26" t="inlineStr">
        <is>
          <t>KNA-00003</t>
        </is>
      </c>
      <c r="B8" s="26" t="inlineStr">
        <is>
          <t>ALN-00003</t>
        </is>
      </c>
      <c r="C8" s="31" t="n">
        <v>46239</v>
      </c>
      <c r="D8" s="26" t="inlineStr">
        <is>
          <t>HAZIRLIK</t>
        </is>
      </c>
      <c r="E8" s="26" t="inlineStr">
        <is>
          <t>BASVURU</t>
        </is>
      </c>
      <c r="F8" s="27" t="n">
        <v>217500</v>
      </c>
      <c r="G8" s="27" t="n">
        <v>217500</v>
      </c>
      <c r="H8" s="27" t="n">
        <v>217500</v>
      </c>
      <c r="I8" s="27" t="n">
        <v>217500</v>
      </c>
      <c r="J8" s="27" t="n">
        <v>217500</v>
      </c>
      <c r="K8" s="27" t="n">
        <v>217500</v>
      </c>
      <c r="L8" s="26" t="inlineStr">
        <is>
          <t>2026-08</t>
        </is>
      </c>
      <c r="M8" s="26" t="inlineStr">
        <is>
          <t>Ön proje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IF($A8="","",IF($B8="","YETİM",IF(COUNTIF(GIRDI!$A$6:$A$255,$B8)=0,"YETİM","")))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IF($A8="","",IF(OR($F8="",$G8=""),"",IF(ABS($G8-$F8)&gt;zincirTolerans,"ZİNCİR KIRIK","OK")))</f>
        <v/>
      </c>
      <c r="S8" s="28">
        <f>IF($A8="","",1)</f>
        <v/>
      </c>
    </row>
    <row r="9">
      <c r="A9" s="26" t="inlineStr">
        <is>
          <t>KNA-00004</t>
        </is>
      </c>
      <c r="B9" s="26" t="inlineStr">
        <is>
          <t>ALN-00004</t>
        </is>
      </c>
      <c r="C9" s="31" t="n">
        <v>46236</v>
      </c>
      <c r="D9" s="26" t="inlineStr">
        <is>
          <t>BASVURU</t>
        </is>
      </c>
      <c r="E9" s="26" t="inlineStr">
        <is>
          <t>KABUL</t>
        </is>
      </c>
      <c r="F9" s="27" t="n">
        <v>230000</v>
      </c>
      <c r="G9" s="27" t="n">
        <v>230000</v>
      </c>
      <c r="H9" s="27" t="n">
        <v>230000</v>
      </c>
      <c r="I9" s="27" t="n">
        <v>230000</v>
      </c>
      <c r="J9" s="27" t="n">
        <v>230000</v>
      </c>
      <c r="K9" s="27" t="n">
        <v>230000</v>
      </c>
      <c r="L9" s="26" t="inlineStr">
        <is>
          <t>2026-08</t>
        </is>
      </c>
      <c r="M9" s="26" t="inlineStr">
        <is>
          <t>Ön proje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IF($A9="","",IF($B9="","YETİM",IF(COUNTIF(GIRDI!$A$6:$A$255,$B9)=0,"YETİM","")))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IF($A9="","",IF(OR($F9="",$G9=""),"",IF(ABS($G9-$F9)&gt;zincirTolerans,"ZİNCİR KIRIK","OK")))</f>
        <v/>
      </c>
      <c r="S9" s="28">
        <f>IF($A9="","",1)</f>
        <v/>
      </c>
    </row>
    <row r="10">
      <c r="A10" s="26" t="inlineStr">
        <is>
          <t>KNA-00005</t>
        </is>
      </c>
      <c r="B10" s="26" t="inlineStr">
        <is>
          <t>ALN-00005</t>
        </is>
      </c>
      <c r="C10" s="31" t="n">
        <v>46233</v>
      </c>
      <c r="D10" s="26" t="inlineStr">
        <is>
          <t>BASVURU</t>
        </is>
      </c>
      <c r="E10" s="26" t="inlineStr">
        <is>
          <t>RET</t>
        </is>
      </c>
      <c r="F10" s="27" t="n">
        <v>242500</v>
      </c>
      <c r="G10" s="27" t="n">
        <v>242500</v>
      </c>
      <c r="H10" s="27" t="n">
        <v>242500</v>
      </c>
      <c r="I10" s="27" t="n">
        <v>242500</v>
      </c>
      <c r="J10" s="27" t="n">
        <v>242500</v>
      </c>
      <c r="K10" s="27" t="n">
        <v>242500</v>
      </c>
      <c r="L10" s="26" t="inlineStr">
        <is>
          <t>2026-08</t>
        </is>
      </c>
      <c r="M10" s="26" t="inlineStr">
        <is>
          <t>Ön proje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IF($A10="","",IF($B10="","YETİM",IF(COUNTIF(GIRDI!$A$6:$A$255,$B10)=0,"YETİM","")))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IF($A10="","",IF(OR($F10="",$G10=""),"",IF(ABS($G10-$F10)&gt;zincirTolerans,"ZİNCİR KIRIK","OK")))</f>
        <v/>
      </c>
      <c r="S10" s="28">
        <f>IF($A10="","",1)</f>
        <v/>
      </c>
    </row>
    <row r="11">
      <c r="A11" s="26" t="inlineStr">
        <is>
          <t>KNA-00006</t>
        </is>
      </c>
      <c r="B11" s="26" t="inlineStr">
        <is>
          <t>ALN-00006</t>
        </is>
      </c>
      <c r="C11" s="31" t="n">
        <v>46230</v>
      </c>
      <c r="D11" s="26" t="inlineStr">
        <is>
          <t>HAZIRLIK</t>
        </is>
      </c>
      <c r="E11" s="26" t="inlineStr">
        <is>
          <t>IPTAL</t>
        </is>
      </c>
      <c r="F11" s="27" t="n">
        <v>255000</v>
      </c>
      <c r="G11" s="27" t="n">
        <v>255000</v>
      </c>
      <c r="H11" s="27" t="n">
        <v>255000</v>
      </c>
      <c r="I11" s="27" t="n">
        <v>255000</v>
      </c>
      <c r="J11" s="27" t="n">
        <v>255000</v>
      </c>
      <c r="K11" s="27" t="n">
        <v>255000</v>
      </c>
      <c r="L11" s="26" t="inlineStr">
        <is>
          <t>2026-08</t>
        </is>
      </c>
      <c r="M11" s="26" t="inlineStr">
        <is>
          <t>Ön proje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IF($A11="","",IF($B11="","YETİM",IF(COUNTIF(GIRDI!$A$6:$A$255,$B11)=0,"YETİM","")))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IF($A11="","",IF(OR($F11="",$G11=""),"",IF(ABS($G11-$F11)&gt;zincirTolerans,"ZİNCİR KIRIK","OK")))</f>
        <v/>
      </c>
      <c r="S11" s="28">
        <f>IF($A11="","",1)</f>
        <v/>
      </c>
    </row>
    <row r="12">
      <c r="A12" s="26" t="inlineStr">
        <is>
          <t>KNA-00007</t>
        </is>
      </c>
      <c r="B12" s="26" t="inlineStr">
        <is>
          <t>ALN-00007</t>
        </is>
      </c>
      <c r="C12" s="31" t="n">
        <v>46227</v>
      </c>
      <c r="D12" s="26" t="inlineStr">
        <is>
          <t>TASLAK</t>
        </is>
      </c>
      <c r="E12" s="26" t="inlineStr">
        <is>
          <t>HAZIRLIK</t>
        </is>
      </c>
      <c r="F12" s="27" t="n">
        <v>267500</v>
      </c>
      <c r="G12" s="27" t="n">
        <v>267500</v>
      </c>
      <c r="H12" s="27" t="n">
        <v>267500</v>
      </c>
      <c r="I12" s="27" t="n">
        <v>267500</v>
      </c>
      <c r="J12" s="27" t="n">
        <v>267500</v>
      </c>
      <c r="K12" s="27" t="n">
        <v>267500</v>
      </c>
      <c r="L12" s="26" t="inlineStr">
        <is>
          <t>2026-08</t>
        </is>
      </c>
      <c r="M12" s="26" t="inlineStr">
        <is>
          <t>Ön proje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IF($A12="","",IF($B12="","YETİM",IF(COUNTIF(GIRDI!$A$6:$A$255,$B12)=0,"YETİM","")))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IF($A12="","",IF(OR($F12="",$G12=""),"",IF(ABS($G12-$F12)&gt;zincirTolerans,"ZİNCİR KIRIK","OK")))</f>
        <v/>
      </c>
      <c r="S12" s="28">
        <f>IF($A12="","",1)</f>
        <v/>
      </c>
    </row>
    <row r="13">
      <c r="A13" s="26" t="inlineStr">
        <is>
          <t>KNA-00008</t>
        </is>
      </c>
      <c r="B13" s="26" t="inlineStr">
        <is>
          <t>ALN-00008</t>
        </is>
      </c>
      <c r="C13" s="31" t="n">
        <v>46224</v>
      </c>
      <c r="D13" s="26" t="inlineStr">
        <is>
          <t>HAZIRLIK</t>
        </is>
      </c>
      <c r="E13" s="26" t="inlineStr">
        <is>
          <t>BASVURU</t>
        </is>
      </c>
      <c r="F13" s="27" t="n">
        <v>280000</v>
      </c>
      <c r="G13" s="27" t="n">
        <v>280000</v>
      </c>
      <c r="H13" s="27" t="n">
        <v>280000</v>
      </c>
      <c r="I13" s="27" t="n">
        <v>280000</v>
      </c>
      <c r="J13" s="27" t="n">
        <v>280000</v>
      </c>
      <c r="K13" s="27" t="n">
        <v>280000</v>
      </c>
      <c r="L13" s="26" t="inlineStr">
        <is>
          <t>2026-08</t>
        </is>
      </c>
      <c r="M13" s="26" t="inlineStr">
        <is>
          <t>Ön proje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IF($A13="","",IF($B13="","YETİM",IF(COUNTIF(GIRDI!$A$6:$A$255,$B13)=0,"YETİM","")))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IF($A13="","",IF(OR($F13="",$G13=""),"",IF(ABS($G13-$F13)&gt;zincirTolerans,"ZİNCİR KIRIK","OK")))</f>
        <v/>
      </c>
      <c r="S13" s="28">
        <f>IF($A13="","",1)</f>
        <v/>
      </c>
    </row>
    <row r="14">
      <c r="A14" s="26" t="inlineStr">
        <is>
          <t>KNA-00009</t>
        </is>
      </c>
      <c r="B14" s="26" t="inlineStr">
        <is>
          <t>ALN-00001</t>
        </is>
      </c>
      <c r="C14" s="31" t="n">
        <v>46221</v>
      </c>
      <c r="D14" s="26" t="n"/>
      <c r="E14" s="26" t="inlineStr">
        <is>
          <t>TASLAK</t>
        </is>
      </c>
      <c r="F14" s="27" t="n">
        <v>292500</v>
      </c>
      <c r="G14" s="27" t="n">
        <v>292500</v>
      </c>
      <c r="H14" s="27" t="n">
        <v>292500</v>
      </c>
      <c r="I14" s="27" t="n">
        <v>292500</v>
      </c>
      <c r="J14" s="27" t="n">
        <v>292500</v>
      </c>
      <c r="K14" s="27" t="n">
        <v>292500</v>
      </c>
      <c r="L14" s="26" t="inlineStr">
        <is>
          <t>2026-08</t>
        </is>
      </c>
      <c r="M14" s="26" t="inlineStr">
        <is>
          <t>Ön proje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IF($A14="","",IF($B14="","YETİM",IF(COUNTIF(GIRDI!$A$6:$A$255,$B14)=0,"YETİM","")))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IF($A14="","",IF(OR($F14="",$G14=""),"",IF(ABS($G14-$F14)&gt;zincirTolerans,"ZİNCİR KIRIK","OK")))</f>
        <v/>
      </c>
      <c r="S14" s="28">
        <f>IF($A14="","",1)</f>
        <v/>
      </c>
    </row>
    <row r="15">
      <c r="A15" s="26" t="inlineStr">
        <is>
          <t>KNA-00010</t>
        </is>
      </c>
      <c r="B15" s="26" t="inlineStr">
        <is>
          <t>ALN-00002</t>
        </is>
      </c>
      <c r="C15" s="31" t="n">
        <v>46218</v>
      </c>
      <c r="D15" s="26" t="inlineStr">
        <is>
          <t>TASLAK</t>
        </is>
      </c>
      <c r="E15" s="26" t="inlineStr">
        <is>
          <t>HAZIRLIK</t>
        </is>
      </c>
      <c r="F15" s="27" t="n">
        <v>305000</v>
      </c>
      <c r="G15" s="27" t="n">
        <v>305000</v>
      </c>
      <c r="H15" s="27" t="n">
        <v>305000</v>
      </c>
      <c r="I15" s="27" t="n">
        <v>305000</v>
      </c>
      <c r="J15" s="27" t="n">
        <v>305000</v>
      </c>
      <c r="K15" s="27" t="n">
        <v>305000</v>
      </c>
      <c r="L15" s="26" t="inlineStr">
        <is>
          <t>2026-08</t>
        </is>
      </c>
      <c r="M15" s="26" t="inlineStr">
        <is>
          <t>Ön proje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IF($A15="","",IF($B15="","YETİM",IF(COUNTIF(GIRDI!$A$6:$A$255,$B15)=0,"YETİM","")))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IF($A15="","",IF(OR($F15="",$G15=""),"",IF(ABS($G15-$F15)&gt;zincirTolerans,"ZİNCİR KIRIK","OK")))</f>
        <v/>
      </c>
      <c r="S15" s="28">
        <f>IF($A15="","",1)</f>
        <v/>
      </c>
    </row>
    <row r="16">
      <c r="A16" s="26" t="inlineStr">
        <is>
          <t>KNA-00011</t>
        </is>
      </c>
      <c r="B16" s="26" t="inlineStr">
        <is>
          <t>ALN-00003</t>
        </is>
      </c>
      <c r="C16" s="31" t="n">
        <v>46215</v>
      </c>
      <c r="D16" s="26" t="inlineStr">
        <is>
          <t>HAZIRLIK</t>
        </is>
      </c>
      <c r="E16" s="26" t="inlineStr">
        <is>
          <t>BASVURU</t>
        </is>
      </c>
      <c r="F16" s="27" t="n">
        <v>317500</v>
      </c>
      <c r="G16" s="27" t="n">
        <v>317500</v>
      </c>
      <c r="H16" s="27" t="n">
        <v>317500</v>
      </c>
      <c r="I16" s="27" t="n">
        <v>317500</v>
      </c>
      <c r="J16" s="27" t="n">
        <v>317500</v>
      </c>
      <c r="K16" s="27" t="n">
        <v>317500</v>
      </c>
      <c r="L16" s="26" t="inlineStr">
        <is>
          <t>2026-08</t>
        </is>
      </c>
      <c r="M16" s="26" t="inlineStr">
        <is>
          <t>Ön proje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IF($A16="","",IF($B16="","YETİM",IF(COUNTIF(GIRDI!$A$6:$A$255,$B16)=0,"YETİM","")))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IF($A16="","",IF(OR($F16="",$G16=""),"",IF(ABS($G16-$F16)&gt;zincirTolerans,"ZİNCİR KIRIK","OK")))</f>
        <v/>
      </c>
      <c r="S16" s="28">
        <f>IF($A16="","",1)</f>
        <v/>
      </c>
    </row>
    <row r="17">
      <c r="A17" s="26" t="inlineStr">
        <is>
          <t>KNA-00012</t>
        </is>
      </c>
      <c r="B17" s="26" t="inlineStr">
        <is>
          <t>ALN-00004</t>
        </is>
      </c>
      <c r="C17" s="31" t="n">
        <v>46212</v>
      </c>
      <c r="D17" s="26" t="inlineStr">
        <is>
          <t>BASVURU</t>
        </is>
      </c>
      <c r="E17" s="26" t="inlineStr">
        <is>
          <t>KABUL</t>
        </is>
      </c>
      <c r="F17" s="27" t="n">
        <v>330000</v>
      </c>
      <c r="G17" s="27" t="n">
        <v>375000</v>
      </c>
      <c r="H17" s="27" t="n">
        <v>375000</v>
      </c>
      <c r="I17" s="27" t="n">
        <v>375000</v>
      </c>
      <c r="J17" s="27" t="n">
        <v>375000</v>
      </c>
      <c r="K17" s="27" t="n">
        <v>375000</v>
      </c>
      <c r="L17" s="26" t="inlineStr">
        <is>
          <t>2026-08</t>
        </is>
      </c>
      <c r="M17" s="26" t="inlineStr">
        <is>
          <t>Ön proje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IF($A17="","",IF($B17="","YETİM",IF(COUNTIF(GIRDI!$A$6:$A$255,$B17)=0,"YETİM","")))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IF($A17="","",IF(OR($F17="",$G17=""),"",IF(ABS($G17-$F17)&gt;zincirTolerans,"ZİNCİR KIRIK","OK")))</f>
        <v/>
      </c>
      <c r="S17" s="28">
        <f>IF($A17="","",1)</f>
        <v/>
      </c>
    </row>
    <row r="18">
      <c r="A18" s="26" t="inlineStr">
        <is>
          <t>KNA-00013</t>
        </is>
      </c>
      <c r="B18" s="26" t="inlineStr">
        <is>
          <t>ALN-00005</t>
        </is>
      </c>
      <c r="C18" s="31" t="n">
        <v>46209</v>
      </c>
      <c r="D18" s="26" t="inlineStr">
        <is>
          <t>BASVURU</t>
        </is>
      </c>
      <c r="E18" s="26" t="inlineStr">
        <is>
          <t>RET</t>
        </is>
      </c>
      <c r="F18" s="27" t="n">
        <v>342500</v>
      </c>
      <c r="G18" s="27" t="n">
        <v>342500</v>
      </c>
      <c r="H18" s="27" t="n">
        <v>342500</v>
      </c>
      <c r="I18" s="27" t="n">
        <v>342500</v>
      </c>
      <c r="J18" s="27" t="n">
        <v>342500</v>
      </c>
      <c r="K18" s="27" t="n">
        <v>342500</v>
      </c>
      <c r="L18" s="26" t="inlineStr">
        <is>
          <t>2026-08</t>
        </is>
      </c>
      <c r="M18" s="26" t="inlineStr">
        <is>
          <t>Ön proje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IF($A18="","",IF($B18="","YETİM",IF(COUNTIF(GIRDI!$A$6:$A$255,$B18)=0,"YETİM","")))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IF($A18="","",IF(OR($F18="",$G18=""),"",IF(ABS($G18-$F18)&gt;zincirTolerans,"ZİNCİR KIRIK","OK")))</f>
        <v/>
      </c>
      <c r="S18" s="28">
        <f>IF($A18="","",1)</f>
        <v/>
      </c>
    </row>
    <row r="19">
      <c r="A19" s="26" t="inlineStr">
        <is>
          <t>KNA-00014</t>
        </is>
      </c>
      <c r="B19" s="26" t="inlineStr">
        <is>
          <t>ALN-00006</t>
        </is>
      </c>
      <c r="C19" s="31" t="n">
        <v>46206</v>
      </c>
      <c r="D19" s="26" t="inlineStr">
        <is>
          <t>HAZIRLIK</t>
        </is>
      </c>
      <c r="E19" s="26" t="inlineStr">
        <is>
          <t>IPTAL</t>
        </is>
      </c>
      <c r="F19" s="27" t="n">
        <v>355000</v>
      </c>
      <c r="G19" s="27" t="n">
        <v>355000</v>
      </c>
      <c r="H19" s="27" t="n">
        <v>355000</v>
      </c>
      <c r="I19" s="27" t="n">
        <v>355000</v>
      </c>
      <c r="J19" s="27" t="n">
        <v>355000</v>
      </c>
      <c r="K19" s="27" t="n">
        <v>355000</v>
      </c>
      <c r="L19" s="26" t="inlineStr">
        <is>
          <t>2026-08</t>
        </is>
      </c>
      <c r="M19" s="26" t="inlineStr">
        <is>
          <t>Ön proje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IF($A19="","",IF($B19="","YETİM",IF(COUNTIF(GIRDI!$A$6:$A$255,$B19)=0,"YETİM","")))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IF($A19="","",IF(OR($F19="",$G19=""),"",IF(ABS($G19-$F19)&gt;zincirTolerans,"ZİNCİR KIRIK","OK")))</f>
        <v/>
      </c>
      <c r="S19" s="28">
        <f>IF($A19="","",1)</f>
        <v/>
      </c>
    </row>
    <row r="20">
      <c r="A20" s="26" t="inlineStr">
        <is>
          <t>KNA-00015</t>
        </is>
      </c>
      <c r="B20" s="26" t="inlineStr">
        <is>
          <t>ALN-00007</t>
        </is>
      </c>
      <c r="C20" s="31" t="n">
        <v>46203</v>
      </c>
      <c r="D20" s="26" t="inlineStr">
        <is>
          <t>TASLAK</t>
        </is>
      </c>
      <c r="E20" s="26" t="inlineStr">
        <is>
          <t>HAZIRLIK</t>
        </is>
      </c>
      <c r="F20" s="27" t="n">
        <v>367500</v>
      </c>
      <c r="G20" s="27" t="n">
        <v>367500</v>
      </c>
      <c r="H20" s="27" t="n">
        <v>367500</v>
      </c>
      <c r="I20" s="27" t="n">
        <v>367500</v>
      </c>
      <c r="J20" s="27" t="n">
        <v>367500</v>
      </c>
      <c r="K20" s="27" t="n">
        <v>367500</v>
      </c>
      <c r="L20" s="26" t="inlineStr">
        <is>
          <t>2026-08</t>
        </is>
      </c>
      <c r="M20" s="26" t="inlineStr">
        <is>
          <t>Ön proje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IF($A20="","",IF($B20="","YETİM",IF(COUNTIF(GIRDI!$A$6:$A$255,$B20)=0,"YETİM","")))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IF($A20="","",IF(OR($F20="",$G20=""),"",IF(ABS($G20-$F20)&gt;zincirTolerans,"ZİNCİR KIRIK","OK")))</f>
        <v/>
      </c>
      <c r="S20" s="28">
        <f>IF($A20="","",1)</f>
        <v/>
      </c>
    </row>
    <row r="21">
      <c r="A21" s="26" t="inlineStr">
        <is>
          <t>KNA-00016</t>
        </is>
      </c>
      <c r="B21" s="26" t="inlineStr">
        <is>
          <t>ALN-00008</t>
        </is>
      </c>
      <c r="C21" s="31" t="n">
        <v>46200</v>
      </c>
      <c r="D21" s="26" t="inlineStr">
        <is>
          <t>HAZIRLIK</t>
        </is>
      </c>
      <c r="E21" s="26" t="inlineStr">
        <is>
          <t>BASVURU</t>
        </is>
      </c>
      <c r="F21" s="27" t="n">
        <v>380000</v>
      </c>
      <c r="G21" s="27" t="n">
        <v>380000</v>
      </c>
      <c r="H21" s="27" t="n">
        <v>380000</v>
      </c>
      <c r="I21" s="27" t="n">
        <v>380000</v>
      </c>
      <c r="J21" s="27" t="n">
        <v>380000</v>
      </c>
      <c r="K21" s="27" t="n">
        <v>380000</v>
      </c>
      <c r="L21" s="26" t="inlineStr">
        <is>
          <t>2026-08</t>
        </is>
      </c>
      <c r="M21" s="26" t="inlineStr">
        <is>
          <t>Ön proje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IF($A21="","",IF($B21="","YETİM",IF(COUNTIF(GIRDI!$A$6:$A$255,$B21)=0,"YETİM","")))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IF($A21="","",IF(OR($F21="",$G21=""),"",IF(ABS($G21-$F21)&gt;zincirTolerans,"ZİNCİR KIRIK","OK")))</f>
        <v/>
      </c>
      <c r="S21" s="28">
        <f>IF($A21="","",1)</f>
        <v/>
      </c>
    </row>
    <row r="22">
      <c r="A22" s="26" t="inlineStr">
        <is>
          <t>KNA-00017</t>
        </is>
      </c>
      <c r="B22" s="26" t="inlineStr">
        <is>
          <t>ALN-00001</t>
        </is>
      </c>
      <c r="C22" s="31" t="n">
        <v>46197</v>
      </c>
      <c r="D22" s="26" t="n"/>
      <c r="E22" s="26" t="inlineStr">
        <is>
          <t>TASLAK</t>
        </is>
      </c>
      <c r="F22" s="27" t="n">
        <v>392500</v>
      </c>
      <c r="G22" s="27" t="n">
        <v>392500</v>
      </c>
      <c r="H22" s="27" t="n">
        <v>392500</v>
      </c>
      <c r="I22" s="27" t="n">
        <v>392500</v>
      </c>
      <c r="J22" s="27" t="n">
        <v>392500</v>
      </c>
      <c r="K22" s="27" t="n">
        <v>392500</v>
      </c>
      <c r="L22" s="26" t="inlineStr">
        <is>
          <t>2026-08</t>
        </is>
      </c>
      <c r="M22" s="26" t="inlineStr">
        <is>
          <t>Ön proje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IF($A22="","",IF($B22="","YETİM",IF(COUNTIF(GIRDI!$A$6:$A$255,$B22)=0,"YETİM","")))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IF($A22="","",IF(OR($F22="",$G22=""),"",IF(ABS($G22-$F22)&gt;zincirTolerans,"ZİNCİR KIRIK","OK")))</f>
        <v/>
      </c>
      <c r="S22" s="28">
        <f>IF($A22="","",1)</f>
        <v/>
      </c>
    </row>
    <row r="23">
      <c r="A23" s="26" t="inlineStr">
        <is>
          <t>KNA-00018</t>
        </is>
      </c>
      <c r="B23" s="26" t="inlineStr">
        <is>
          <t>ALN-00002</t>
        </is>
      </c>
      <c r="C23" s="31" t="n">
        <v>46194</v>
      </c>
      <c r="D23" s="26" t="inlineStr">
        <is>
          <t>TASLAK</t>
        </is>
      </c>
      <c r="E23" s="26" t="inlineStr">
        <is>
          <t>KABUL</t>
        </is>
      </c>
      <c r="F23" s="27" t="n">
        <v>405000</v>
      </c>
      <c r="G23" s="27" t="n">
        <v>405000</v>
      </c>
      <c r="H23" s="27" t="n">
        <v>405000</v>
      </c>
      <c r="I23" s="27" t="n">
        <v>405000</v>
      </c>
      <c r="J23" s="27" t="n">
        <v>405000</v>
      </c>
      <c r="K23" s="27" t="n">
        <v>405000</v>
      </c>
      <c r="L23" s="26" t="inlineStr">
        <is>
          <t>2026-08</t>
        </is>
      </c>
      <c r="M23" s="26" t="inlineStr">
        <is>
          <t>Ön proje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IF($A23="","",IF($B23="","YETİM",IF(COUNTIF(GIRDI!$A$6:$A$255,$B23)=0,"YETİM","")))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IF($A23="","",IF(OR($F23="",$G23=""),"",IF(ABS($G23-$F23)&gt;zincirTolerans,"ZİNCİR KIRIK","OK")))</f>
        <v/>
      </c>
      <c r="S23" s="28">
        <f>IF($A23="","",1)</f>
        <v/>
      </c>
    </row>
    <row r="24">
      <c r="A24" s="26" t="inlineStr">
        <is>
          <t>KNA-00019</t>
        </is>
      </c>
      <c r="B24" s="26" t="inlineStr">
        <is>
          <t>ALN-00003</t>
        </is>
      </c>
      <c r="C24" s="31" t="n">
        <v>46191</v>
      </c>
      <c r="D24" s="26" t="inlineStr">
        <is>
          <t>HAZIRLIK</t>
        </is>
      </c>
      <c r="E24" s="26" t="inlineStr">
        <is>
          <t>BASVURU</t>
        </is>
      </c>
      <c r="F24" s="27" t="n">
        <v>417500</v>
      </c>
      <c r="G24" s="27" t="n">
        <v>462500</v>
      </c>
      <c r="H24" s="27" t="n">
        <v>462500</v>
      </c>
      <c r="I24" s="27" t="n">
        <v>462500</v>
      </c>
      <c r="J24" s="27" t="n">
        <v>462500</v>
      </c>
      <c r="K24" s="27" t="n">
        <v>462500</v>
      </c>
      <c r="L24" s="26" t="inlineStr">
        <is>
          <t>2026-08</t>
        </is>
      </c>
      <c r="M24" s="26" t="inlineStr">
        <is>
          <t>Ön proje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IF($A24="","",IF($B24="","YETİM",IF(COUNTIF(GIRDI!$A$6:$A$255,$B24)=0,"YETİM","")))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IF($A24="","",IF(OR($F24="",$G24=""),"",IF(ABS($G24-$F24)&gt;zincirTolerans,"ZİNCİR KIRIK","OK")))</f>
        <v/>
      </c>
      <c r="S24" s="28">
        <f>IF($A24="","",1)</f>
        <v/>
      </c>
    </row>
    <row r="25">
      <c r="A25" s="26" t="inlineStr">
        <is>
          <t>KNA-00020</t>
        </is>
      </c>
      <c r="B25" s="26" t="inlineStr">
        <is>
          <t>ALN-00004</t>
        </is>
      </c>
      <c r="C25" s="31" t="n">
        <v>46188</v>
      </c>
      <c r="D25" s="26" t="inlineStr">
        <is>
          <t>KABUL</t>
        </is>
      </c>
      <c r="E25" s="26" t="inlineStr">
        <is>
          <t>HAZIRLIK</t>
        </is>
      </c>
      <c r="F25" s="27" t="n">
        <v>430000</v>
      </c>
      <c r="G25" s="27" t="n">
        <v>430000</v>
      </c>
      <c r="H25" s="27" t="n">
        <v>430000</v>
      </c>
      <c r="I25" s="27" t="n">
        <v>430000</v>
      </c>
      <c r="J25" s="27" t="n">
        <v>430000</v>
      </c>
      <c r="K25" s="27" t="n">
        <v>430000</v>
      </c>
      <c r="L25" s="26" t="inlineStr">
        <is>
          <t>2026-08</t>
        </is>
      </c>
      <c r="M25" s="26" t="inlineStr">
        <is>
          <t>Ön proje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IF($A25="","",IF($B25="","YETİM",IF(COUNTIF(GIRDI!$A$6:$A$255,$B25)=0,"YETİM","")))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IF($A25="","",IF(OR($F25="",$G25=""),"",IF(ABS($G25-$F25)&gt;zincirTolerans,"ZİNCİR KIRIK","OK")))</f>
        <v/>
      </c>
      <c r="S25" s="28">
        <f>IF($A25="","",1)</f>
        <v/>
      </c>
    </row>
    <row r="26">
      <c r="A26" s="26" t="inlineStr">
        <is>
          <t>KNA-00021</t>
        </is>
      </c>
      <c r="B26" s="26" t="inlineStr">
        <is>
          <t>ALN-00005</t>
        </is>
      </c>
      <c r="C26" s="31" t="n">
        <v>46185</v>
      </c>
      <c r="D26" s="26" t="inlineStr">
        <is>
          <t>BASVURU</t>
        </is>
      </c>
      <c r="E26" s="26" t="inlineStr">
        <is>
          <t>RET</t>
        </is>
      </c>
      <c r="F26" s="27" t="n">
        <v>442500</v>
      </c>
      <c r="G26" s="27" t="n">
        <v>442500</v>
      </c>
      <c r="H26" s="27" t="n">
        <v>442500</v>
      </c>
      <c r="I26" s="27" t="n">
        <v>442500</v>
      </c>
      <c r="J26" s="27" t="n">
        <v>442500</v>
      </c>
      <c r="K26" s="27" t="n">
        <v>442500</v>
      </c>
      <c r="L26" s="26" t="inlineStr">
        <is>
          <t>2026-08</t>
        </is>
      </c>
      <c r="M26" s="26" t="inlineStr">
        <is>
          <t>Ön proje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IF($A26="","",IF($B26="","YETİM",IF(COUNTIF(GIRDI!$A$6:$A$255,$B26)=0,"YETİM","")))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IF($A26="","",IF(OR($F26="",$G26=""),"",IF(ABS($G26-$F26)&gt;zincirTolerans,"ZİNCİR KIRIK","OK")))</f>
        <v/>
      </c>
      <c r="S26" s="28">
        <f>IF($A26="","",1)</f>
        <v/>
      </c>
    </row>
    <row r="27">
      <c r="A27" s="26" t="inlineStr">
        <is>
          <t>KNA-00022</t>
        </is>
      </c>
      <c r="B27" s="26" t="n"/>
      <c r="C27" s="31" t="n">
        <v>46182</v>
      </c>
      <c r="D27" s="26" t="inlineStr">
        <is>
          <t>HAZIRLIK</t>
        </is>
      </c>
      <c r="E27" s="26" t="inlineStr">
        <is>
          <t>IPTAL</t>
        </is>
      </c>
      <c r="F27" s="27" t="n">
        <v>455000</v>
      </c>
      <c r="G27" s="27" t="n">
        <v>455000</v>
      </c>
      <c r="H27" s="27" t="n">
        <v>455000</v>
      </c>
      <c r="I27" s="27" t="n">
        <v>455000</v>
      </c>
      <c r="J27" s="27" t="n">
        <v>455000</v>
      </c>
      <c r="K27" s="27" t="n">
        <v>455000</v>
      </c>
      <c r="L27" s="26" t="inlineStr">
        <is>
          <t>2026-08</t>
        </is>
      </c>
      <c r="M27" s="26" t="inlineStr">
        <is>
          <t>Ön proje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IF($A27="","",IF($B27="","YETİM",IF(COUNTIF(GIRDI!$A$6:$A$255,$B27)=0,"YETİM","")))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IF($A27="","",IF(OR($F27="",$G27=""),"",IF(ABS($G27-$F27)&gt;zincirTolerans,"ZİNCİR KIRIK","OK")))</f>
        <v/>
      </c>
      <c r="S27" s="28">
        <f>IF($A27="","",1)</f>
        <v/>
      </c>
    </row>
    <row r="28">
      <c r="A28" s="26" t="inlineStr">
        <is>
          <t>KNA-00023</t>
        </is>
      </c>
      <c r="B28" s="26" t="inlineStr">
        <is>
          <t>ALN-00007</t>
        </is>
      </c>
      <c r="C28" s="31" t="n">
        <v>46179</v>
      </c>
      <c r="D28" s="26" t="inlineStr">
        <is>
          <t>TASLAK</t>
        </is>
      </c>
      <c r="E28" s="26" t="inlineStr">
        <is>
          <t>HAZIRLIK</t>
        </is>
      </c>
      <c r="F28" s="27" t="n">
        <v>467500</v>
      </c>
      <c r="G28" s="27" t="n">
        <v>467500</v>
      </c>
      <c r="H28" s="27" t="n">
        <v>467500</v>
      </c>
      <c r="I28" s="27" t="n">
        <v>467500</v>
      </c>
      <c r="J28" s="27" t="n">
        <v>467500</v>
      </c>
      <c r="K28" s="27" t="n">
        <v>467500</v>
      </c>
      <c r="L28" s="26" t="inlineStr">
        <is>
          <t>2026-08</t>
        </is>
      </c>
      <c r="M28" s="26" t="inlineStr">
        <is>
          <t>Ön proje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IF($A28="","",IF($B28="","YETİM",IF(COUNTIF(GIRDI!$A$6:$A$255,$B28)=0,"YETİM","")))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IF($A28="","",IF(OR($F28="",$G28=""),"",IF(ABS($G28-$F28)&gt;zincirTolerans,"ZİNCİR KIRIK","OK")))</f>
        <v/>
      </c>
      <c r="S28" s="28">
        <f>IF($A28="","",1)</f>
        <v/>
      </c>
    </row>
    <row r="29">
      <c r="A29" s="26" t="inlineStr">
        <is>
          <t>KNA-00024</t>
        </is>
      </c>
      <c r="B29" s="26" t="inlineStr">
        <is>
          <t>ALN-00008</t>
        </is>
      </c>
      <c r="C29" s="31" t="n">
        <v>46176</v>
      </c>
      <c r="D29" s="26" t="inlineStr">
        <is>
          <t>HAZIRLIK</t>
        </is>
      </c>
      <c r="E29" s="26" t="inlineStr">
        <is>
          <t>BASVURU</t>
        </is>
      </c>
      <c r="F29" s="27" t="n">
        <v>480000</v>
      </c>
      <c r="G29" s="27" t="n">
        <v>480000</v>
      </c>
      <c r="H29" s="27" t="n">
        <v>480000</v>
      </c>
      <c r="I29" s="27" t="n">
        <v>480000</v>
      </c>
      <c r="J29" s="27" t="n">
        <v>480000</v>
      </c>
      <c r="K29" s="27" t="n">
        <v>480000</v>
      </c>
      <c r="L29" s="26" t="inlineStr">
        <is>
          <t>2026-08</t>
        </is>
      </c>
      <c r="M29" s="26" t="inlineStr">
        <is>
          <t>Ön proje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IF($A29="","",IF($B29="","YETİM",IF(COUNTIF(GIRDI!$A$6:$A$255,$B29)=0,"YETİM","")))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IF($A29="","",IF(OR($F29="",$G29=""),"",IF(ABS($G29-$F29)&gt;zincirTolerans,"ZİNCİR KIRIK","OK")))</f>
        <v/>
      </c>
      <c r="S29" s="28">
        <f>IF($A29="","",1)</f>
        <v/>
      </c>
    </row>
    <row r="30">
      <c r="A30" s="26" t="inlineStr">
        <is>
          <t>KNA-00025</t>
        </is>
      </c>
      <c r="B30" s="26" t="inlineStr">
        <is>
          <t>ALN-99999</t>
        </is>
      </c>
      <c r="C30" s="31" t="n">
        <v>46248</v>
      </c>
      <c r="D30" s="26" t="n"/>
      <c r="E30" s="26" t="inlineStr">
        <is>
          <t>TASLAK</t>
        </is>
      </c>
      <c r="F30" s="27" t="n">
        <v>492500</v>
      </c>
      <c r="G30" s="27" t="n">
        <v>492500</v>
      </c>
      <c r="H30" s="27" t="n">
        <v>492500</v>
      </c>
      <c r="I30" s="27" t="n">
        <v>492500</v>
      </c>
      <c r="J30" s="27" t="n">
        <v>492500</v>
      </c>
      <c r="K30" s="27" t="n">
        <v>492500</v>
      </c>
      <c r="L30" s="26" t="inlineStr">
        <is>
          <t>2026-08</t>
        </is>
      </c>
      <c r="M30" s="26" t="inlineStr">
        <is>
          <t>Ön proje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IF($A30="","",IF($B30="","YETİM",IF(COUNTIF(GIRDI!$A$6:$A$255,$B30)=0,"YETİM","")))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IF($A30="","",IF(OR($F30="",$G30=""),"",IF(ABS($G30-$F30)&gt;zincirTolerans,"ZİNCİR KIRIK","OK")))</f>
        <v/>
      </c>
      <c r="S30" s="28">
        <f>IF($A30="","",1)</f>
        <v/>
      </c>
    </row>
    <row r="31">
      <c r="A31" s="26" t="inlineStr">
        <is>
          <t>KNA-00026</t>
        </is>
      </c>
      <c r="B31" s="26" t="inlineStr">
        <is>
          <t>ALN-00002</t>
        </is>
      </c>
      <c r="C31" s="31" t="n">
        <v>46245</v>
      </c>
      <c r="D31" s="26" t="inlineStr">
        <is>
          <t>TASLAK</t>
        </is>
      </c>
      <c r="E31" s="26" t="inlineStr">
        <is>
          <t>HAZIRLIK</t>
        </is>
      </c>
      <c r="F31" s="27" t="n">
        <v>505000</v>
      </c>
      <c r="G31" s="27" t="n">
        <v>505000</v>
      </c>
      <c r="H31" s="27" t="n">
        <v>505000</v>
      </c>
      <c r="I31" s="27" t="n">
        <v>505000</v>
      </c>
      <c r="J31" s="27" t="n">
        <v>505000</v>
      </c>
      <c r="K31" s="27" t="n">
        <v>505000</v>
      </c>
      <c r="L31" s="26" t="inlineStr">
        <is>
          <t>2026-08</t>
        </is>
      </c>
      <c r="M31" s="26" t="inlineStr">
        <is>
          <t>Ön proje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IF($A31="","",IF($B31="","YETİM",IF(COUNTIF(GIRDI!$A$6:$A$255,$B31)=0,"YETİM","")))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IF($A31="","",IF(OR($F31="",$G31=""),"",IF(ABS($G31-$F31)&gt;zincirTolerans,"ZİNCİR KIRIK","OK")))</f>
        <v/>
      </c>
      <c r="S31" s="28">
        <f>IF($A31="","",1)</f>
        <v/>
      </c>
    </row>
    <row r="32">
      <c r="A32" s="26" t="inlineStr">
        <is>
          <t>KNA-00027</t>
        </is>
      </c>
      <c r="B32" s="26" t="inlineStr">
        <is>
          <t>ALN-00003</t>
        </is>
      </c>
      <c r="C32" s="31" t="n">
        <v>46242</v>
      </c>
      <c r="D32" s="26" t="inlineStr">
        <is>
          <t>HAZIRLIK</t>
        </is>
      </c>
      <c r="E32" s="26" t="inlineStr">
        <is>
          <t>BASVURU</t>
        </is>
      </c>
      <c r="F32" s="27" t="n">
        <v>517500</v>
      </c>
      <c r="G32" s="27" t="n">
        <v>517500</v>
      </c>
      <c r="H32" s="27" t="n">
        <v>517500</v>
      </c>
      <c r="I32" s="27" t="n">
        <v>517500</v>
      </c>
      <c r="J32" s="27" t="n">
        <v>517500</v>
      </c>
      <c r="K32" s="27" t="n">
        <v>517500</v>
      </c>
      <c r="L32" s="26" t="inlineStr">
        <is>
          <t>2026-08</t>
        </is>
      </c>
      <c r="M32" s="26" t="inlineStr">
        <is>
          <t>Ön proje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IF($A32="","",IF($B32="","YETİM",IF(COUNTIF(GIRDI!$A$6:$A$255,$B32)=0,"YETİM","")))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IF($A32="","",IF(OR($F32="",$G32=""),"",IF(ABS($G32-$F32)&gt;zincirTolerans,"ZİNCİR KIRIK","OK")))</f>
        <v/>
      </c>
      <c r="S32" s="28">
        <f>IF($A32="","",1)</f>
        <v/>
      </c>
    </row>
    <row r="33">
      <c r="A33" s="26" t="inlineStr">
        <is>
          <t>KNA-00028</t>
        </is>
      </c>
      <c r="B33" s="26" t="inlineStr">
        <is>
          <t>ALN-00004</t>
        </is>
      </c>
      <c r="C33" s="31" t="n">
        <v>46239</v>
      </c>
      <c r="D33" s="26" t="inlineStr">
        <is>
          <t>BASVURU</t>
        </is>
      </c>
      <c r="E33" s="26" t="inlineStr">
        <is>
          <t>KABUL</t>
        </is>
      </c>
      <c r="F33" s="27" t="n">
        <v>530000</v>
      </c>
      <c r="G33" s="27" t="n">
        <v>530000</v>
      </c>
      <c r="H33" s="27" t="n">
        <v>530000</v>
      </c>
      <c r="I33" s="27" t="n">
        <v>530000</v>
      </c>
      <c r="J33" s="27" t="n">
        <v>530000</v>
      </c>
      <c r="K33" s="27" t="n">
        <v>530000</v>
      </c>
      <c r="L33" s="26" t="inlineStr">
        <is>
          <t>2026-08</t>
        </is>
      </c>
      <c r="M33" s="26" t="inlineStr">
        <is>
          <t>Ön proje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IF($A33="","",IF($B33="","YETİM",IF(COUNTIF(GIRDI!$A$6:$A$255,$B33)=0,"YETİM","")))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IF($A33="","",IF(OR($F33="",$G33=""),"",IF(ABS($G33-$F33)&gt;zincirTolerans,"ZİNCİR KIRIK","OK")))</f>
        <v/>
      </c>
      <c r="S33" s="28">
        <f>IF($A33="","",1)</f>
        <v/>
      </c>
    </row>
    <row r="34">
      <c r="A34" s="26" t="n"/>
      <c r="B34" s="26" t="n"/>
      <c r="C34" s="31" t="n"/>
      <c r="D34" s="26" t="n"/>
      <c r="E34" s="26" t="n"/>
      <c r="F34" s="27" t="n"/>
      <c r="G34" s="27" t="n"/>
      <c r="H34" s="27" t="n"/>
      <c r="I34" s="27" t="n"/>
      <c r="J34" s="27" t="n"/>
      <c r="K34" s="27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IF($A34="","",IF($B34="","YETİM",IF(COUNTIF(GIRDI!$A$6:$A$255,$B34)=0,"YETİM","")))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IF($A34="","",IF(OR($F34="",$G34=""),"",IF(ABS($G34-$F34)&gt;zincirTolerans,"ZİNCİR KIRIK","OK")))</f>
        <v/>
      </c>
      <c r="S34" s="28">
        <f>IF($A34="","",1)</f>
        <v/>
      </c>
    </row>
    <row r="35">
      <c r="A35" s="26" t="n"/>
      <c r="B35" s="26" t="n"/>
      <c r="C35" s="31" t="n"/>
      <c r="D35" s="26" t="n"/>
      <c r="E35" s="26" t="n"/>
      <c r="F35" s="27" t="n"/>
      <c r="G35" s="27" t="n"/>
      <c r="H35" s="27" t="n"/>
      <c r="I35" s="27" t="n"/>
      <c r="J35" s="27" t="n"/>
      <c r="K35" s="27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IF($A35="","",IF($B35="","YETİM",IF(COUNTIF(GIRDI!$A$6:$A$255,$B35)=0,"YETİM","")))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IF($A35="","",IF(OR($F35="",$G35=""),"",IF(ABS($G35-$F35)&gt;zincirTolerans,"ZİNCİR KIRIK","OK")))</f>
        <v/>
      </c>
      <c r="S35" s="28">
        <f>IF($A35="","",1)</f>
        <v/>
      </c>
    </row>
    <row r="36">
      <c r="A36" s="26" t="n"/>
      <c r="B36" s="26" t="n"/>
      <c r="C36" s="31" t="n"/>
      <c r="D36" s="26" t="n"/>
      <c r="E36" s="26" t="n"/>
      <c r="F36" s="27" t="n"/>
      <c r="G36" s="27" t="n"/>
      <c r="H36" s="27" t="n"/>
      <c r="I36" s="27" t="n"/>
      <c r="J36" s="27" t="n"/>
      <c r="K36" s="27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IF($A36="","",IF($B36="","YETİM",IF(COUNTIF(GIRDI!$A$6:$A$255,$B36)=0,"YETİM","")))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IF($A36="","",IF(OR($F36="",$G36=""),"",IF(ABS($G36-$F36)&gt;zincirTolerans,"ZİNCİR KIRIK","OK")))</f>
        <v/>
      </c>
      <c r="S36" s="28">
        <f>IF($A36="","",1)</f>
        <v/>
      </c>
    </row>
    <row r="37">
      <c r="A37" s="26" t="n"/>
      <c r="B37" s="26" t="n"/>
      <c r="C37" s="31" t="n"/>
      <c r="D37" s="26" t="n"/>
      <c r="E37" s="26" t="n"/>
      <c r="F37" s="27" t="n"/>
      <c r="G37" s="27" t="n"/>
      <c r="H37" s="27" t="n"/>
      <c r="I37" s="27" t="n"/>
      <c r="J37" s="27" t="n"/>
      <c r="K37" s="27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IF($A37="","",IF($B37="","YETİM",IF(COUNTIF(GIRDI!$A$6:$A$255,$B37)=0,"YETİM","")))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IF($A37="","",IF(OR($F37="",$G37=""),"",IF(ABS($G37-$F37)&gt;zincirTolerans,"ZİNCİR KIRIK","OK")))</f>
        <v/>
      </c>
      <c r="S37" s="28">
        <f>IF($A37="","",1)</f>
        <v/>
      </c>
    </row>
    <row r="38">
      <c r="A38" s="26" t="n"/>
      <c r="B38" s="26" t="n"/>
      <c r="C38" s="31" t="n"/>
      <c r="D38" s="26" t="n"/>
      <c r="E38" s="26" t="n"/>
      <c r="F38" s="27" t="n"/>
      <c r="G38" s="27" t="n"/>
      <c r="H38" s="27" t="n"/>
      <c r="I38" s="27" t="n"/>
      <c r="J38" s="27" t="n"/>
      <c r="K38" s="27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IF($A38="","",IF($B38="","YETİM",IF(COUNTIF(GIRDI!$A$6:$A$255,$B38)=0,"YETİM","")))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IF($A38="","",IF(OR($F38="",$G38=""),"",IF(ABS($G38-$F38)&gt;zincirTolerans,"ZİNCİR KIRIK","OK")))</f>
        <v/>
      </c>
      <c r="S38" s="28">
        <f>IF($A38="","",1)</f>
        <v/>
      </c>
    </row>
    <row r="39">
      <c r="A39" s="26" t="n"/>
      <c r="B39" s="26" t="n"/>
      <c r="C39" s="31" t="n"/>
      <c r="D39" s="26" t="n"/>
      <c r="E39" s="26" t="n"/>
      <c r="F39" s="27" t="n"/>
      <c r="G39" s="27" t="n"/>
      <c r="H39" s="27" t="n"/>
      <c r="I39" s="27" t="n"/>
      <c r="J39" s="27" t="n"/>
      <c r="K39" s="27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IF($A39="","",IF($B39="","YETİM",IF(COUNTIF(GIRDI!$A$6:$A$255,$B39)=0,"YETİM","")))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IF($A39="","",IF(OR($F39="",$G39=""),"",IF(ABS($G39-$F39)&gt;zincirTolerans,"ZİNCİR KIRIK","OK")))</f>
        <v/>
      </c>
      <c r="S39" s="28">
        <f>IF($A39="","",1)</f>
        <v/>
      </c>
    </row>
    <row r="40">
      <c r="A40" s="26" t="n"/>
      <c r="B40" s="26" t="n"/>
      <c r="C40" s="31" t="n"/>
      <c r="D40" s="26" t="n"/>
      <c r="E40" s="26" t="n"/>
      <c r="F40" s="27" t="n"/>
      <c r="G40" s="27" t="n"/>
      <c r="H40" s="27" t="n"/>
      <c r="I40" s="27" t="n"/>
      <c r="J40" s="27" t="n"/>
      <c r="K40" s="27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IF($A40="","",IF($B40="","YETİM",IF(COUNTIF(GIRDI!$A$6:$A$255,$B40)=0,"YETİM","")))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IF($A40="","",IF(OR($F40="",$G40=""),"",IF(ABS($G40-$F40)&gt;zincirTolerans,"ZİNCİR KIRIK","OK")))</f>
        <v/>
      </c>
      <c r="S40" s="28">
        <f>IF($A40="","",1)</f>
        <v/>
      </c>
    </row>
    <row r="41">
      <c r="A41" s="26" t="n"/>
      <c r="B41" s="26" t="n"/>
      <c r="C41" s="31" t="n"/>
      <c r="D41" s="26" t="n"/>
      <c r="E41" s="26" t="n"/>
      <c r="F41" s="27" t="n"/>
      <c r="G41" s="27" t="n"/>
      <c r="H41" s="27" t="n"/>
      <c r="I41" s="27" t="n"/>
      <c r="J41" s="27" t="n"/>
      <c r="K41" s="27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IF($A41="","",IF($B41="","YETİM",IF(COUNTIF(GIRDI!$A$6:$A$255,$B41)=0,"YETİM","")))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IF($A41="","",IF(OR($F41="",$G41=""),"",IF(ABS($G41-$F41)&gt;zincirTolerans,"ZİNCİR KIRIK","OK")))</f>
        <v/>
      </c>
      <c r="S41" s="28">
        <f>IF($A41="","",1)</f>
        <v/>
      </c>
    </row>
    <row r="42">
      <c r="A42" s="26" t="n"/>
      <c r="B42" s="26" t="n"/>
      <c r="C42" s="31" t="n"/>
      <c r="D42" s="26" t="n"/>
      <c r="E42" s="26" t="n"/>
      <c r="F42" s="27" t="n"/>
      <c r="G42" s="27" t="n"/>
      <c r="H42" s="27" t="n"/>
      <c r="I42" s="27" t="n"/>
      <c r="J42" s="27" t="n"/>
      <c r="K42" s="27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IF($A42="","",IF($B42="","YETİM",IF(COUNTIF(GIRDI!$A$6:$A$255,$B42)=0,"YETİM","")))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IF($A42="","",IF(OR($F42="",$G42=""),"",IF(ABS($G42-$F42)&gt;zincirTolerans,"ZİNCİR KIRIK","OK")))</f>
        <v/>
      </c>
      <c r="S42" s="28">
        <f>IF($A42="","",1)</f>
        <v/>
      </c>
    </row>
    <row r="43">
      <c r="A43" s="26" t="n"/>
      <c r="B43" s="26" t="n"/>
      <c r="C43" s="31" t="n"/>
      <c r="D43" s="26" t="n"/>
      <c r="E43" s="26" t="n"/>
      <c r="F43" s="27" t="n"/>
      <c r="G43" s="27" t="n"/>
      <c r="H43" s="27" t="n"/>
      <c r="I43" s="27" t="n"/>
      <c r="J43" s="27" t="n"/>
      <c r="K43" s="27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IF($A43="","",IF($B43="","YETİM",IF(COUNTIF(GIRDI!$A$6:$A$255,$B43)=0,"YETİM","")))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IF($A43="","",IF(OR($F43="",$G43=""),"",IF(ABS($G43-$F43)&gt;zincirTolerans,"ZİNCİR KIRIK","OK")))</f>
        <v/>
      </c>
      <c r="S43" s="28">
        <f>IF($A43="","",1)</f>
        <v/>
      </c>
    </row>
    <row r="44">
      <c r="A44" s="26" t="n"/>
      <c r="B44" s="26" t="n"/>
      <c r="C44" s="31" t="n"/>
      <c r="D44" s="26" t="n"/>
      <c r="E44" s="26" t="n"/>
      <c r="F44" s="27" t="n"/>
      <c r="G44" s="27" t="n"/>
      <c r="H44" s="27" t="n"/>
      <c r="I44" s="27" t="n"/>
      <c r="J44" s="27" t="n"/>
      <c r="K44" s="27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IF($A44="","",IF($B44="","YETİM",IF(COUNTIF(GIRDI!$A$6:$A$255,$B44)=0,"YETİM","")))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IF($A44="","",IF(OR($F44="",$G44=""),"",IF(ABS($G44-$F44)&gt;zincirTolerans,"ZİNCİR KIRIK","OK")))</f>
        <v/>
      </c>
      <c r="S44" s="28">
        <f>IF($A44="","",1)</f>
        <v/>
      </c>
    </row>
    <row r="45">
      <c r="A45" s="26" t="n"/>
      <c r="B45" s="26" t="n"/>
      <c r="C45" s="31" t="n"/>
      <c r="D45" s="26" t="n"/>
      <c r="E45" s="26" t="n"/>
      <c r="F45" s="27" t="n"/>
      <c r="G45" s="27" t="n"/>
      <c r="H45" s="27" t="n"/>
      <c r="I45" s="27" t="n"/>
      <c r="J45" s="27" t="n"/>
      <c r="K45" s="27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IF($A45="","",IF($B45="","YETİM",IF(COUNTIF(GIRDI!$A$6:$A$255,$B45)=0,"YETİM","")))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IF($A45="","",IF(OR($F45="",$G45=""),"",IF(ABS($G45-$F45)&gt;zincirTolerans,"ZİNCİR KIRIK","OK")))</f>
        <v/>
      </c>
      <c r="S45" s="28">
        <f>IF($A45="","",1)</f>
        <v/>
      </c>
    </row>
    <row r="46">
      <c r="A46" s="26" t="n"/>
      <c r="B46" s="26" t="n"/>
      <c r="C46" s="31" t="n"/>
      <c r="D46" s="26" t="n"/>
      <c r="E46" s="26" t="n"/>
      <c r="F46" s="27" t="n"/>
      <c r="G46" s="27" t="n"/>
      <c r="H46" s="27" t="n"/>
      <c r="I46" s="27" t="n"/>
      <c r="J46" s="27" t="n"/>
      <c r="K46" s="27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IF($A46="","",IF($B46="","YETİM",IF(COUNTIF(GIRDI!$A$6:$A$255,$B46)=0,"YETİM","")))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IF($A46="","",IF(OR($F46="",$G46=""),"",IF(ABS($G46-$F46)&gt;zincirTolerans,"ZİNCİR KIRIK","OK")))</f>
        <v/>
      </c>
      <c r="S46" s="28">
        <f>IF($A46="","",1)</f>
        <v/>
      </c>
    </row>
    <row r="47">
      <c r="A47" s="26" t="n"/>
      <c r="B47" s="26" t="n"/>
      <c r="C47" s="31" t="n"/>
      <c r="D47" s="26" t="n"/>
      <c r="E47" s="26" t="n"/>
      <c r="F47" s="27" t="n"/>
      <c r="G47" s="27" t="n"/>
      <c r="H47" s="27" t="n"/>
      <c r="I47" s="27" t="n"/>
      <c r="J47" s="27" t="n"/>
      <c r="K47" s="27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IF($A47="","",IF($B47="","YETİM",IF(COUNTIF(GIRDI!$A$6:$A$255,$B47)=0,"YETİM","")))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IF($A47="","",IF(OR($F47="",$G47=""),"",IF(ABS($G47-$F47)&gt;zincirTolerans,"ZİNCİR KIRIK","OK")))</f>
        <v/>
      </c>
      <c r="S47" s="28">
        <f>IF($A47="","",1)</f>
        <v/>
      </c>
    </row>
    <row r="48">
      <c r="A48" s="26" t="n"/>
      <c r="B48" s="26" t="n"/>
      <c r="C48" s="31" t="n"/>
      <c r="D48" s="26" t="n"/>
      <c r="E48" s="26" t="n"/>
      <c r="F48" s="27" t="n"/>
      <c r="G48" s="27" t="n"/>
      <c r="H48" s="27" t="n"/>
      <c r="I48" s="27" t="n"/>
      <c r="J48" s="27" t="n"/>
      <c r="K48" s="27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IF($A48="","",IF($B48="","YETİM",IF(COUNTIF(GIRDI!$A$6:$A$255,$B48)=0,"YETİM","")))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IF($A48="","",IF(OR($F48="",$G48=""),"",IF(ABS($G48-$F48)&gt;zincirTolerans,"ZİNCİR KIRIK","OK")))</f>
        <v/>
      </c>
      <c r="S48" s="28">
        <f>IF($A48="","",1)</f>
        <v/>
      </c>
    </row>
    <row r="49">
      <c r="A49" s="26" t="n"/>
      <c r="B49" s="26" t="n"/>
      <c r="C49" s="31" t="n"/>
      <c r="D49" s="26" t="n"/>
      <c r="E49" s="26" t="n"/>
      <c r="F49" s="27" t="n"/>
      <c r="G49" s="27" t="n"/>
      <c r="H49" s="27" t="n"/>
      <c r="I49" s="27" t="n"/>
      <c r="J49" s="27" t="n"/>
      <c r="K49" s="27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IF($A49="","",IF($B49="","YETİM",IF(COUNTIF(GIRDI!$A$6:$A$255,$B49)=0,"YETİM","")))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IF($A49="","",IF(OR($F49="",$G49=""),"",IF(ABS($G49-$F49)&gt;zincirTolerans,"ZİNCİR KIRIK","OK")))</f>
        <v/>
      </c>
      <c r="S49" s="28">
        <f>IF($A49="","",1)</f>
        <v/>
      </c>
    </row>
    <row r="50">
      <c r="A50" s="26" t="n"/>
      <c r="B50" s="26" t="n"/>
      <c r="C50" s="31" t="n"/>
      <c r="D50" s="26" t="n"/>
      <c r="E50" s="26" t="n"/>
      <c r="F50" s="27" t="n"/>
      <c r="G50" s="27" t="n"/>
      <c r="H50" s="27" t="n"/>
      <c r="I50" s="27" t="n"/>
      <c r="J50" s="27" t="n"/>
      <c r="K50" s="27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IF($A50="","",IF($B50="","YETİM",IF(COUNTIF(GIRDI!$A$6:$A$255,$B50)=0,"YETİM","")))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IF($A50="","",IF(OR($F50="",$G50=""),"",IF(ABS($G50-$F50)&gt;zincirTolerans,"ZİNCİR KIRIK","OK")))</f>
        <v/>
      </c>
      <c r="S50" s="28">
        <f>IF($A50="","",1)</f>
        <v/>
      </c>
    </row>
    <row r="51">
      <c r="A51" s="26" t="n"/>
      <c r="B51" s="26" t="n"/>
      <c r="C51" s="31" t="n"/>
      <c r="D51" s="26" t="n"/>
      <c r="E51" s="26" t="n"/>
      <c r="F51" s="27" t="n"/>
      <c r="G51" s="27" t="n"/>
      <c r="H51" s="27" t="n"/>
      <c r="I51" s="27" t="n"/>
      <c r="J51" s="27" t="n"/>
      <c r="K51" s="27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IF($A51="","",IF($B51="","YETİM",IF(COUNTIF(GIRDI!$A$6:$A$255,$B51)=0,"YETİM","")))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IF($A51="","",IF(OR($F51="",$G51=""),"",IF(ABS($G51-$F51)&gt;zincirTolerans,"ZİNCİR KIRIK","OK")))</f>
        <v/>
      </c>
      <c r="S51" s="28">
        <f>IF($A51="","",1)</f>
        <v/>
      </c>
    </row>
    <row r="52">
      <c r="A52" s="26" t="n"/>
      <c r="B52" s="26" t="n"/>
      <c r="C52" s="31" t="n"/>
      <c r="D52" s="26" t="n"/>
      <c r="E52" s="26" t="n"/>
      <c r="F52" s="27" t="n"/>
      <c r="G52" s="27" t="n"/>
      <c r="H52" s="27" t="n"/>
      <c r="I52" s="27" t="n"/>
      <c r="J52" s="27" t="n"/>
      <c r="K52" s="27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IF($A52="","",IF($B52="","YETİM",IF(COUNTIF(GIRDI!$A$6:$A$255,$B52)=0,"YETİM","")))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IF($A52="","",IF(OR($F52="",$G52=""),"",IF(ABS($G52-$F52)&gt;zincirTolerans,"ZİNCİR KIRIK","OK")))</f>
        <v/>
      </c>
      <c r="S52" s="28">
        <f>IF($A52="","",1)</f>
        <v/>
      </c>
    </row>
    <row r="53">
      <c r="A53" s="26" t="n"/>
      <c r="B53" s="26" t="n"/>
      <c r="C53" s="31" t="n"/>
      <c r="D53" s="26" t="n"/>
      <c r="E53" s="26" t="n"/>
      <c r="F53" s="27" t="n"/>
      <c r="G53" s="27" t="n"/>
      <c r="H53" s="27" t="n"/>
      <c r="I53" s="27" t="n"/>
      <c r="J53" s="27" t="n"/>
      <c r="K53" s="27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IF($A53="","",IF($B53="","YETİM",IF(COUNTIF(GIRDI!$A$6:$A$255,$B53)=0,"YETİM","")))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IF($A53="","",IF(OR($F53="",$G53=""),"",IF(ABS($G53-$F53)&gt;zincirTolerans,"ZİNCİR KIRIK","OK")))</f>
        <v/>
      </c>
      <c r="S53" s="28">
        <f>IF($A53="","",1)</f>
        <v/>
      </c>
    </row>
    <row r="54">
      <c r="A54" s="26" t="n"/>
      <c r="B54" s="26" t="n"/>
      <c r="C54" s="31" t="n"/>
      <c r="D54" s="26" t="n"/>
      <c r="E54" s="26" t="n"/>
      <c r="F54" s="27" t="n"/>
      <c r="G54" s="27" t="n"/>
      <c r="H54" s="27" t="n"/>
      <c r="I54" s="27" t="n"/>
      <c r="J54" s="27" t="n"/>
      <c r="K54" s="27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IF($A54="","",IF($B54="","YETİM",IF(COUNTIF(GIRDI!$A$6:$A$255,$B54)=0,"YETİM","")))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IF($A54="","",IF(OR($F54="",$G54=""),"",IF(ABS($G54-$F54)&gt;zincirTolerans,"ZİNCİR KIRIK","OK")))</f>
        <v/>
      </c>
      <c r="S54" s="28">
        <f>IF($A54="","",1)</f>
        <v/>
      </c>
    </row>
    <row r="55">
      <c r="A55" s="26" t="n"/>
      <c r="B55" s="26" t="n"/>
      <c r="C55" s="31" t="n"/>
      <c r="D55" s="26" t="n"/>
      <c r="E55" s="26" t="n"/>
      <c r="F55" s="27" t="n"/>
      <c r="G55" s="27" t="n"/>
      <c r="H55" s="27" t="n"/>
      <c r="I55" s="27" t="n"/>
      <c r="J55" s="27" t="n"/>
      <c r="K55" s="27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IF($A55="","",IF($B55="","YETİM",IF(COUNTIF(GIRDI!$A$6:$A$255,$B55)=0,"YETİM","")))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IF($A55="","",IF(OR($F55="",$G55=""),"",IF(ABS($G55-$F55)&gt;zincirTolerans,"ZİNCİR KIRIK","OK")))</f>
        <v/>
      </c>
      <c r="S55" s="28">
        <f>IF($A55="","",1)</f>
        <v/>
      </c>
    </row>
    <row r="56">
      <c r="A56" s="26" t="n"/>
      <c r="B56" s="26" t="n"/>
      <c r="C56" s="31" t="n"/>
      <c r="D56" s="26" t="n"/>
      <c r="E56" s="26" t="n"/>
      <c r="F56" s="27" t="n"/>
      <c r="G56" s="27" t="n"/>
      <c r="H56" s="27" t="n"/>
      <c r="I56" s="27" t="n"/>
      <c r="J56" s="27" t="n"/>
      <c r="K56" s="27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IF($A56="","",IF($B56="","YETİM",IF(COUNTIF(GIRDI!$A$6:$A$255,$B56)=0,"YETİM","")))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IF($A56="","",IF(OR($F56="",$G56=""),"",IF(ABS($G56-$F56)&gt;zincirTolerans,"ZİNCİR KIRIK","OK")))</f>
        <v/>
      </c>
      <c r="S56" s="28">
        <f>IF($A56="","",1)</f>
        <v/>
      </c>
    </row>
    <row r="57">
      <c r="A57" s="26" t="n"/>
      <c r="B57" s="26" t="n"/>
      <c r="C57" s="31" t="n"/>
      <c r="D57" s="26" t="n"/>
      <c r="E57" s="26" t="n"/>
      <c r="F57" s="27" t="n"/>
      <c r="G57" s="27" t="n"/>
      <c r="H57" s="27" t="n"/>
      <c r="I57" s="27" t="n"/>
      <c r="J57" s="27" t="n"/>
      <c r="K57" s="27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IF($A57="","",IF($B57="","YETİM",IF(COUNTIF(GIRDI!$A$6:$A$255,$B57)=0,"YETİM","")))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IF($A57="","",IF(OR($F57="",$G57=""),"",IF(ABS($G57-$F57)&gt;zincirTolerans,"ZİNCİR KIRIK","OK")))</f>
        <v/>
      </c>
      <c r="S57" s="28">
        <f>IF($A57="","",1)</f>
        <v/>
      </c>
    </row>
    <row r="58">
      <c r="A58" s="26" t="n"/>
      <c r="B58" s="26" t="n"/>
      <c r="C58" s="31" t="n"/>
      <c r="D58" s="26" t="n"/>
      <c r="E58" s="26" t="n"/>
      <c r="F58" s="27" t="n"/>
      <c r="G58" s="27" t="n"/>
      <c r="H58" s="27" t="n"/>
      <c r="I58" s="27" t="n"/>
      <c r="J58" s="27" t="n"/>
      <c r="K58" s="27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IF($A58="","",IF($B58="","YETİM",IF(COUNTIF(GIRDI!$A$6:$A$255,$B58)=0,"YETİM","")))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IF($A58="","",IF(OR($F58="",$G58=""),"",IF(ABS($G58-$F58)&gt;zincirTolerans,"ZİNCİR KIRIK","OK")))</f>
        <v/>
      </c>
      <c r="S58" s="28">
        <f>IF($A58="","",1)</f>
        <v/>
      </c>
    </row>
    <row r="59">
      <c r="A59" s="26" t="n"/>
      <c r="B59" s="26" t="n"/>
      <c r="C59" s="31" t="n"/>
      <c r="D59" s="26" t="n"/>
      <c r="E59" s="26" t="n"/>
      <c r="F59" s="27" t="n"/>
      <c r="G59" s="27" t="n"/>
      <c r="H59" s="27" t="n"/>
      <c r="I59" s="27" t="n"/>
      <c r="J59" s="27" t="n"/>
      <c r="K59" s="27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IF($A59="","",IF($B59="","YETİM",IF(COUNTIF(GIRDI!$A$6:$A$255,$B59)=0,"YETİM","")))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IF($A59="","",IF(OR($F59="",$G59=""),"",IF(ABS($G59-$F59)&gt;zincirTolerans,"ZİNCİR KIRIK","OK")))</f>
        <v/>
      </c>
      <c r="S59" s="28">
        <f>IF($A59="","",1)</f>
        <v/>
      </c>
    </row>
    <row r="60">
      <c r="A60" s="26" t="n"/>
      <c r="B60" s="26" t="n"/>
      <c r="C60" s="31" t="n"/>
      <c r="D60" s="26" t="n"/>
      <c r="E60" s="26" t="n"/>
      <c r="F60" s="27" t="n"/>
      <c r="G60" s="27" t="n"/>
      <c r="H60" s="27" t="n"/>
      <c r="I60" s="27" t="n"/>
      <c r="J60" s="27" t="n"/>
      <c r="K60" s="27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IF($A60="","",IF($B60="","YETİM",IF(COUNTIF(GIRDI!$A$6:$A$255,$B60)=0,"YETİM","")))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IF($A60="","",IF(OR($F60="",$G60=""),"",IF(ABS($G60-$F60)&gt;zincirTolerans,"ZİNCİR KIRIK","OK")))</f>
        <v/>
      </c>
      <c r="S60" s="28">
        <f>IF($A60="","",1)</f>
        <v/>
      </c>
    </row>
    <row r="61">
      <c r="A61" s="26" t="n"/>
      <c r="B61" s="26" t="n"/>
      <c r="C61" s="31" t="n"/>
      <c r="D61" s="26" t="n"/>
      <c r="E61" s="26" t="n"/>
      <c r="F61" s="27" t="n"/>
      <c r="G61" s="27" t="n"/>
      <c r="H61" s="27" t="n"/>
      <c r="I61" s="27" t="n"/>
      <c r="J61" s="27" t="n"/>
      <c r="K61" s="27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IF($A61="","",IF($B61="","YETİM",IF(COUNTIF(GIRDI!$A$6:$A$255,$B61)=0,"YETİM","")))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IF($A61="","",IF(OR($F61="",$G61=""),"",IF(ABS($G61-$F61)&gt;zincirTolerans,"ZİNCİR KIRIK","OK")))</f>
        <v/>
      </c>
      <c r="S61" s="28">
        <f>IF($A61="","",1)</f>
        <v/>
      </c>
    </row>
    <row r="62">
      <c r="A62" s="26" t="n"/>
      <c r="B62" s="26" t="n"/>
      <c r="C62" s="31" t="n"/>
      <c r="D62" s="26" t="n"/>
      <c r="E62" s="26" t="n"/>
      <c r="F62" s="27" t="n"/>
      <c r="G62" s="27" t="n"/>
      <c r="H62" s="27" t="n"/>
      <c r="I62" s="27" t="n"/>
      <c r="J62" s="27" t="n"/>
      <c r="K62" s="27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IF($A62="","",IF($B62="","YETİM",IF(COUNTIF(GIRDI!$A$6:$A$255,$B62)=0,"YETİM","")))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IF($A62="","",IF(OR($F62="",$G62=""),"",IF(ABS($G62-$F62)&gt;zincirTolerans,"ZİNCİR KIRIK","OK")))</f>
        <v/>
      </c>
      <c r="S62" s="28">
        <f>IF($A62="","",1)</f>
        <v/>
      </c>
    </row>
    <row r="63">
      <c r="A63" s="26" t="n"/>
      <c r="B63" s="26" t="n"/>
      <c r="C63" s="31" t="n"/>
      <c r="D63" s="26" t="n"/>
      <c r="E63" s="26" t="n"/>
      <c r="F63" s="27" t="n"/>
      <c r="G63" s="27" t="n"/>
      <c r="H63" s="27" t="n"/>
      <c r="I63" s="27" t="n"/>
      <c r="J63" s="27" t="n"/>
      <c r="K63" s="27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IF($A63="","",IF($B63="","YETİM",IF(COUNTIF(GIRDI!$A$6:$A$255,$B63)=0,"YETİM","")))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IF($A63="","",IF(OR($F63="",$G63=""),"",IF(ABS($G63-$F63)&gt;zincirTolerans,"ZİNCİR KIRIK","OK")))</f>
        <v/>
      </c>
      <c r="S63" s="28">
        <f>IF($A63="","",1)</f>
        <v/>
      </c>
    </row>
    <row r="64">
      <c r="A64" s="26" t="n"/>
      <c r="B64" s="26" t="n"/>
      <c r="C64" s="31" t="n"/>
      <c r="D64" s="26" t="n"/>
      <c r="E64" s="26" t="n"/>
      <c r="F64" s="27" t="n"/>
      <c r="G64" s="27" t="n"/>
      <c r="H64" s="27" t="n"/>
      <c r="I64" s="27" t="n"/>
      <c r="J64" s="27" t="n"/>
      <c r="K64" s="27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IF($A64="","",IF($B64="","YETİM",IF(COUNTIF(GIRDI!$A$6:$A$255,$B64)=0,"YETİM","")))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IF($A64="","",IF(OR($F64="",$G64=""),"",IF(ABS($G64-$F64)&gt;zincirTolerans,"ZİNCİR KIRIK","OK")))</f>
        <v/>
      </c>
      <c r="S64" s="28">
        <f>IF($A64="","",1)</f>
        <v/>
      </c>
    </row>
    <row r="65">
      <c r="A65" s="26" t="n"/>
      <c r="B65" s="26" t="n"/>
      <c r="C65" s="31" t="n"/>
      <c r="D65" s="26" t="n"/>
      <c r="E65" s="26" t="n"/>
      <c r="F65" s="27" t="n"/>
      <c r="G65" s="27" t="n"/>
      <c r="H65" s="27" t="n"/>
      <c r="I65" s="27" t="n"/>
      <c r="J65" s="27" t="n"/>
      <c r="K65" s="27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IF($A65="","",IF($B65="","YETİM",IF(COUNTIF(GIRDI!$A$6:$A$255,$B65)=0,"YETİM","")))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IF($A65="","",IF(OR($F65="",$G65=""),"",IF(ABS($G65-$F65)&gt;zincirTolerans,"ZİNCİR KIRIK","OK")))</f>
        <v/>
      </c>
      <c r="S65" s="28">
        <f>IF($A65="","",1)</f>
        <v/>
      </c>
    </row>
    <row r="66">
      <c r="A66" s="26" t="n"/>
      <c r="B66" s="26" t="n"/>
      <c r="C66" s="31" t="n"/>
      <c r="D66" s="26" t="n"/>
      <c r="E66" s="26" t="n"/>
      <c r="F66" s="27" t="n"/>
      <c r="G66" s="27" t="n"/>
      <c r="H66" s="27" t="n"/>
      <c r="I66" s="27" t="n"/>
      <c r="J66" s="27" t="n"/>
      <c r="K66" s="27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IF($A66="","",IF($B66="","YETİM",IF(COUNTIF(GIRDI!$A$6:$A$255,$B66)=0,"YETİM","")))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IF($A66="","",IF(OR($F66="",$G66=""),"",IF(ABS($G66-$F66)&gt;zincirTolerans,"ZİNCİR KIRIK","OK")))</f>
        <v/>
      </c>
      <c r="S66" s="28">
        <f>IF($A66="","",1)</f>
        <v/>
      </c>
    </row>
    <row r="67">
      <c r="A67" s="26" t="n"/>
      <c r="B67" s="26" t="n"/>
      <c r="C67" s="31" t="n"/>
      <c r="D67" s="26" t="n"/>
      <c r="E67" s="26" t="n"/>
      <c r="F67" s="27" t="n"/>
      <c r="G67" s="27" t="n"/>
      <c r="H67" s="27" t="n"/>
      <c r="I67" s="27" t="n"/>
      <c r="J67" s="27" t="n"/>
      <c r="K67" s="27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IF($A67="","",IF($B67="","YETİM",IF(COUNTIF(GIRDI!$A$6:$A$255,$B67)=0,"YETİM","")))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IF($A67="","",IF(OR($F67="",$G67=""),"",IF(ABS($G67-$F67)&gt;zincirTolerans,"ZİNCİR KIRIK","OK")))</f>
        <v/>
      </c>
      <c r="S67" s="28">
        <f>IF($A67="","",1)</f>
        <v/>
      </c>
    </row>
    <row r="68">
      <c r="A68" s="26" t="n"/>
      <c r="B68" s="26" t="n"/>
      <c r="C68" s="31" t="n"/>
      <c r="D68" s="26" t="n"/>
      <c r="E68" s="26" t="n"/>
      <c r="F68" s="27" t="n"/>
      <c r="G68" s="27" t="n"/>
      <c r="H68" s="27" t="n"/>
      <c r="I68" s="27" t="n"/>
      <c r="J68" s="27" t="n"/>
      <c r="K68" s="27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IF($A68="","",IF($B68="","YETİM",IF(COUNTIF(GIRDI!$A$6:$A$255,$B68)=0,"YETİM","")))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IF($A68="","",IF(OR($F68="",$G68=""),"",IF(ABS($G68-$F68)&gt;zincirTolerans,"ZİNCİR KIRIK","OK")))</f>
        <v/>
      </c>
      <c r="S68" s="28">
        <f>IF($A68="","",1)</f>
        <v/>
      </c>
    </row>
    <row r="69">
      <c r="A69" s="26" t="n"/>
      <c r="B69" s="26" t="n"/>
      <c r="C69" s="31" t="n"/>
      <c r="D69" s="26" t="n"/>
      <c r="E69" s="26" t="n"/>
      <c r="F69" s="27" t="n"/>
      <c r="G69" s="27" t="n"/>
      <c r="H69" s="27" t="n"/>
      <c r="I69" s="27" t="n"/>
      <c r="J69" s="27" t="n"/>
      <c r="K69" s="27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IF($A69="","",IF($B69="","YETİM",IF(COUNTIF(GIRDI!$A$6:$A$255,$B69)=0,"YETİM","")))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IF($A69="","",IF(OR($F69="",$G69=""),"",IF(ABS($G69-$F69)&gt;zincirTolerans,"ZİNCİR KIRIK","OK")))</f>
        <v/>
      </c>
      <c r="S69" s="28">
        <f>IF($A69="","",1)</f>
        <v/>
      </c>
    </row>
    <row r="70">
      <c r="A70" s="26" t="n"/>
      <c r="B70" s="26" t="n"/>
      <c r="C70" s="31" t="n"/>
      <c r="D70" s="26" t="n"/>
      <c r="E70" s="26" t="n"/>
      <c r="F70" s="27" t="n"/>
      <c r="G70" s="27" t="n"/>
      <c r="H70" s="27" t="n"/>
      <c r="I70" s="27" t="n"/>
      <c r="J70" s="27" t="n"/>
      <c r="K70" s="27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IF($A70="","",IF($B70="","YETİM",IF(COUNTIF(GIRDI!$A$6:$A$255,$B70)=0,"YETİM","")))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IF($A70="","",IF(OR($F70="",$G70=""),"",IF(ABS($G70-$F70)&gt;zincirTolerans,"ZİNCİR KIRIK","OK")))</f>
        <v/>
      </c>
      <c r="S70" s="28">
        <f>IF($A70="","",1)</f>
        <v/>
      </c>
    </row>
    <row r="71">
      <c r="A71" s="26" t="n"/>
      <c r="B71" s="26" t="n"/>
      <c r="C71" s="31" t="n"/>
      <c r="D71" s="26" t="n"/>
      <c r="E71" s="26" t="n"/>
      <c r="F71" s="27" t="n"/>
      <c r="G71" s="27" t="n"/>
      <c r="H71" s="27" t="n"/>
      <c r="I71" s="27" t="n"/>
      <c r="J71" s="27" t="n"/>
      <c r="K71" s="27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IF($A71="","",IF($B71="","YETİM",IF(COUNTIF(GIRDI!$A$6:$A$255,$B71)=0,"YETİM","")))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IF($A71="","",IF(OR($F71="",$G71=""),"",IF(ABS($G71-$F71)&gt;zincirTolerans,"ZİNCİR KIRIK","OK")))</f>
        <v/>
      </c>
      <c r="S71" s="28">
        <f>IF($A71="","",1)</f>
        <v/>
      </c>
    </row>
    <row r="72">
      <c r="A72" s="26" t="n"/>
      <c r="B72" s="26" t="n"/>
      <c r="C72" s="31" t="n"/>
      <c r="D72" s="26" t="n"/>
      <c r="E72" s="26" t="n"/>
      <c r="F72" s="27" t="n"/>
      <c r="G72" s="27" t="n"/>
      <c r="H72" s="27" t="n"/>
      <c r="I72" s="27" t="n"/>
      <c r="J72" s="27" t="n"/>
      <c r="K72" s="27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IF($A72="","",IF($B72="","YETİM",IF(COUNTIF(GIRDI!$A$6:$A$255,$B72)=0,"YETİM","")))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IF($A72="","",IF(OR($F72="",$G72=""),"",IF(ABS($G72-$F72)&gt;zincirTolerans,"ZİNCİR KIRIK","OK")))</f>
        <v/>
      </c>
      <c r="S72" s="28">
        <f>IF($A72="","",1)</f>
        <v/>
      </c>
    </row>
    <row r="73">
      <c r="A73" s="26" t="n"/>
      <c r="B73" s="26" t="n"/>
      <c r="C73" s="31" t="n"/>
      <c r="D73" s="26" t="n"/>
      <c r="E73" s="26" t="n"/>
      <c r="F73" s="27" t="n"/>
      <c r="G73" s="27" t="n"/>
      <c r="H73" s="27" t="n"/>
      <c r="I73" s="27" t="n"/>
      <c r="J73" s="27" t="n"/>
      <c r="K73" s="27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IF($A73="","",IF($B73="","YETİM",IF(COUNTIF(GIRDI!$A$6:$A$255,$B73)=0,"YETİM","")))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IF($A73="","",IF(OR($F73="",$G73=""),"",IF(ABS($G73-$F73)&gt;zincirTolerans,"ZİNCİR KIRIK","OK")))</f>
        <v/>
      </c>
      <c r="S73" s="28">
        <f>IF($A73="","",1)</f>
        <v/>
      </c>
    </row>
    <row r="74">
      <c r="A74" s="26" t="n"/>
      <c r="B74" s="26" t="n"/>
      <c r="C74" s="31" t="n"/>
      <c r="D74" s="26" t="n"/>
      <c r="E74" s="26" t="n"/>
      <c r="F74" s="27" t="n"/>
      <c r="G74" s="27" t="n"/>
      <c r="H74" s="27" t="n"/>
      <c r="I74" s="27" t="n"/>
      <c r="J74" s="27" t="n"/>
      <c r="K74" s="27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IF($A74="","",IF($B74="","YETİM",IF(COUNTIF(GIRDI!$A$6:$A$255,$B74)=0,"YETİM","")))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IF($A74="","",IF(OR($F74="",$G74=""),"",IF(ABS($G74-$F74)&gt;zincirTolerans,"ZİNCİR KIRIK","OK")))</f>
        <v/>
      </c>
      <c r="S74" s="28">
        <f>IF($A74="","",1)</f>
        <v/>
      </c>
    </row>
    <row r="75">
      <c r="A75" s="26" t="n"/>
      <c r="B75" s="26" t="n"/>
      <c r="C75" s="31" t="n"/>
      <c r="D75" s="26" t="n"/>
      <c r="E75" s="26" t="n"/>
      <c r="F75" s="27" t="n"/>
      <c r="G75" s="27" t="n"/>
      <c r="H75" s="27" t="n"/>
      <c r="I75" s="27" t="n"/>
      <c r="J75" s="27" t="n"/>
      <c r="K75" s="27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IF($A75="","",IF($B75="","YETİM",IF(COUNTIF(GIRDI!$A$6:$A$255,$B75)=0,"YETİM","")))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IF($A75="","",IF(OR($F75="",$G75=""),"",IF(ABS($G75-$F75)&gt;zincirTolerans,"ZİNCİR KIRIK","OK")))</f>
        <v/>
      </c>
      <c r="S75" s="28">
        <f>IF($A75="","",1)</f>
        <v/>
      </c>
    </row>
    <row r="76">
      <c r="A76" s="26" t="n"/>
      <c r="B76" s="26" t="n"/>
      <c r="C76" s="31" t="n"/>
      <c r="D76" s="26" t="n"/>
      <c r="E76" s="26" t="n"/>
      <c r="F76" s="27" t="n"/>
      <c r="G76" s="27" t="n"/>
      <c r="H76" s="27" t="n"/>
      <c r="I76" s="27" t="n"/>
      <c r="J76" s="27" t="n"/>
      <c r="K76" s="27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IF($A76="","",IF($B76="","YETİM",IF(COUNTIF(GIRDI!$A$6:$A$255,$B76)=0,"YETİM","")))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IF($A76="","",IF(OR($F76="",$G76=""),"",IF(ABS($G76-$F76)&gt;zincirTolerans,"ZİNCİR KIRIK","OK")))</f>
        <v/>
      </c>
      <c r="S76" s="28">
        <f>IF($A76="","",1)</f>
        <v/>
      </c>
    </row>
    <row r="77">
      <c r="A77" s="26" t="n"/>
      <c r="B77" s="26" t="n"/>
      <c r="C77" s="31" t="n"/>
      <c r="D77" s="26" t="n"/>
      <c r="E77" s="26" t="n"/>
      <c r="F77" s="27" t="n"/>
      <c r="G77" s="27" t="n"/>
      <c r="H77" s="27" t="n"/>
      <c r="I77" s="27" t="n"/>
      <c r="J77" s="27" t="n"/>
      <c r="K77" s="27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IF($A77="","",IF($B77="","YETİM",IF(COUNTIF(GIRDI!$A$6:$A$255,$B77)=0,"YETİM","")))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IF($A77="","",IF(OR($F77="",$G77=""),"",IF(ABS($G77-$F77)&gt;zincirTolerans,"ZİNCİR KIRIK","OK")))</f>
        <v/>
      </c>
      <c r="S77" s="28">
        <f>IF($A77="","",1)</f>
        <v/>
      </c>
    </row>
    <row r="78">
      <c r="A78" s="26" t="n"/>
      <c r="B78" s="26" t="n"/>
      <c r="C78" s="31" t="n"/>
      <c r="D78" s="26" t="n"/>
      <c r="E78" s="26" t="n"/>
      <c r="F78" s="27" t="n"/>
      <c r="G78" s="27" t="n"/>
      <c r="H78" s="27" t="n"/>
      <c r="I78" s="27" t="n"/>
      <c r="J78" s="27" t="n"/>
      <c r="K78" s="27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IF($A78="","",IF($B78="","YETİM",IF(COUNTIF(GIRDI!$A$6:$A$255,$B78)=0,"YETİM","")))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IF($A78="","",IF(OR($F78="",$G78=""),"",IF(ABS($G78-$F78)&gt;zincirTolerans,"ZİNCİR KIRIK","OK")))</f>
        <v/>
      </c>
      <c r="S78" s="28">
        <f>IF($A78="","",1)</f>
        <v/>
      </c>
    </row>
    <row r="79">
      <c r="A79" s="26" t="n"/>
      <c r="B79" s="26" t="n"/>
      <c r="C79" s="31" t="n"/>
      <c r="D79" s="26" t="n"/>
      <c r="E79" s="26" t="n"/>
      <c r="F79" s="27" t="n"/>
      <c r="G79" s="27" t="n"/>
      <c r="H79" s="27" t="n"/>
      <c r="I79" s="27" t="n"/>
      <c r="J79" s="27" t="n"/>
      <c r="K79" s="27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IF($A79="","",IF($B79="","YETİM",IF(COUNTIF(GIRDI!$A$6:$A$255,$B79)=0,"YETİM","")))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IF($A79="","",IF(OR($F79="",$G79=""),"",IF(ABS($G79-$F79)&gt;zincirTolerans,"ZİNCİR KIRIK","OK")))</f>
        <v/>
      </c>
      <c r="S79" s="28">
        <f>IF($A79="","",1)</f>
        <v/>
      </c>
    </row>
    <row r="80">
      <c r="A80" s="26" t="n"/>
      <c r="B80" s="26" t="n"/>
      <c r="C80" s="31" t="n"/>
      <c r="D80" s="26" t="n"/>
      <c r="E80" s="26" t="n"/>
      <c r="F80" s="27" t="n"/>
      <c r="G80" s="27" t="n"/>
      <c r="H80" s="27" t="n"/>
      <c r="I80" s="27" t="n"/>
      <c r="J80" s="27" t="n"/>
      <c r="K80" s="27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IF($A80="","",IF($B80="","YETİM",IF(COUNTIF(GIRDI!$A$6:$A$255,$B80)=0,"YETİM","")))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IF($A80="","",IF(OR($F80="",$G80=""),"",IF(ABS($G80-$F80)&gt;zincirTolerans,"ZİNCİR KIRIK","OK")))</f>
        <v/>
      </c>
      <c r="S80" s="28">
        <f>IF($A80="","",1)</f>
        <v/>
      </c>
    </row>
    <row r="81">
      <c r="A81" s="26" t="n"/>
      <c r="B81" s="26" t="n"/>
      <c r="C81" s="31" t="n"/>
      <c r="D81" s="26" t="n"/>
      <c r="E81" s="26" t="n"/>
      <c r="F81" s="27" t="n"/>
      <c r="G81" s="27" t="n"/>
      <c r="H81" s="27" t="n"/>
      <c r="I81" s="27" t="n"/>
      <c r="J81" s="27" t="n"/>
      <c r="K81" s="27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IF($A81="","",IF($B81="","YETİM",IF(COUNTIF(GIRDI!$A$6:$A$255,$B81)=0,"YETİM","")))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IF($A81="","",IF(OR($F81="",$G81=""),"",IF(ABS($G81-$F81)&gt;zincirTolerans,"ZİNCİR KIRIK","OK")))</f>
        <v/>
      </c>
      <c r="S81" s="28">
        <f>IF($A81="","",1)</f>
        <v/>
      </c>
    </row>
    <row r="82">
      <c r="A82" s="26" t="n"/>
      <c r="B82" s="26" t="n"/>
      <c r="C82" s="31" t="n"/>
      <c r="D82" s="26" t="n"/>
      <c r="E82" s="26" t="n"/>
      <c r="F82" s="27" t="n"/>
      <c r="G82" s="27" t="n"/>
      <c r="H82" s="27" t="n"/>
      <c r="I82" s="27" t="n"/>
      <c r="J82" s="27" t="n"/>
      <c r="K82" s="27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IF($A82="","",IF($B82="","YETİM",IF(COUNTIF(GIRDI!$A$6:$A$255,$B82)=0,"YETİM","")))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IF($A82="","",IF(OR($F82="",$G82=""),"",IF(ABS($G82-$F82)&gt;zincirTolerans,"ZİNCİR KIRIK","OK")))</f>
        <v/>
      </c>
      <c r="S82" s="28">
        <f>IF($A82="","",1)</f>
        <v/>
      </c>
    </row>
    <row r="83">
      <c r="A83" s="26" t="n"/>
      <c r="B83" s="26" t="n"/>
      <c r="C83" s="31" t="n"/>
      <c r="D83" s="26" t="n"/>
      <c r="E83" s="26" t="n"/>
      <c r="F83" s="27" t="n"/>
      <c r="G83" s="27" t="n"/>
      <c r="H83" s="27" t="n"/>
      <c r="I83" s="27" t="n"/>
      <c r="J83" s="27" t="n"/>
      <c r="K83" s="27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IF($A83="","",IF($B83="","YETİM",IF(COUNTIF(GIRDI!$A$6:$A$255,$B83)=0,"YETİM","")))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IF($A83="","",IF(OR($F83="",$G83=""),"",IF(ABS($G83-$F83)&gt;zincirTolerans,"ZİNCİR KIRIK","OK")))</f>
        <v/>
      </c>
      <c r="S83" s="28">
        <f>IF($A83="","",1)</f>
        <v/>
      </c>
    </row>
    <row r="84">
      <c r="A84" s="26" t="n"/>
      <c r="B84" s="26" t="n"/>
      <c r="C84" s="31" t="n"/>
      <c r="D84" s="26" t="n"/>
      <c r="E84" s="26" t="n"/>
      <c r="F84" s="27" t="n"/>
      <c r="G84" s="27" t="n"/>
      <c r="H84" s="27" t="n"/>
      <c r="I84" s="27" t="n"/>
      <c r="J84" s="27" t="n"/>
      <c r="K84" s="27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IF($A84="","",IF($B84="","YETİM",IF(COUNTIF(GIRDI!$A$6:$A$255,$B84)=0,"YETİM","")))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IF($A84="","",IF(OR($F84="",$G84=""),"",IF(ABS($G84-$F84)&gt;zincirTolerans,"ZİNCİR KIRIK","OK")))</f>
        <v/>
      </c>
      <c r="S84" s="28">
        <f>IF($A84="","",1)</f>
        <v/>
      </c>
    </row>
    <row r="85">
      <c r="A85" s="26" t="n"/>
      <c r="B85" s="26" t="n"/>
      <c r="C85" s="31" t="n"/>
      <c r="D85" s="26" t="n"/>
      <c r="E85" s="26" t="n"/>
      <c r="F85" s="27" t="n"/>
      <c r="G85" s="27" t="n"/>
      <c r="H85" s="27" t="n"/>
      <c r="I85" s="27" t="n"/>
      <c r="J85" s="27" t="n"/>
      <c r="K85" s="27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IF($A85="","",IF($B85="","YETİM",IF(COUNTIF(GIRDI!$A$6:$A$255,$B85)=0,"YETİM","")))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IF($A85="","",IF(OR($F85="",$G85=""),"",IF(ABS($G85-$F85)&gt;zincirTolerans,"ZİNCİR KIRIK","OK")))</f>
        <v/>
      </c>
      <c r="S85" s="28">
        <f>IF($A85="","",1)</f>
        <v/>
      </c>
    </row>
    <row r="86">
      <c r="A86" s="26" t="n"/>
      <c r="B86" s="26" t="n"/>
      <c r="C86" s="31" t="n"/>
      <c r="D86" s="26" t="n"/>
      <c r="E86" s="26" t="n"/>
      <c r="F86" s="27" t="n"/>
      <c r="G86" s="27" t="n"/>
      <c r="H86" s="27" t="n"/>
      <c r="I86" s="27" t="n"/>
      <c r="J86" s="27" t="n"/>
      <c r="K86" s="27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IF($A86="","",IF($B86="","YETİM",IF(COUNTIF(GIRDI!$A$6:$A$255,$B86)=0,"YETİM","")))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IF($A86="","",IF(OR($F86="",$G86=""),"",IF(ABS($G86-$F86)&gt;zincirTolerans,"ZİNCİR KIRIK","OK")))</f>
        <v/>
      </c>
      <c r="S86" s="28">
        <f>IF($A86="","",1)</f>
        <v/>
      </c>
    </row>
    <row r="87">
      <c r="A87" s="26" t="n"/>
      <c r="B87" s="26" t="n"/>
      <c r="C87" s="31" t="n"/>
      <c r="D87" s="26" t="n"/>
      <c r="E87" s="26" t="n"/>
      <c r="F87" s="27" t="n"/>
      <c r="G87" s="27" t="n"/>
      <c r="H87" s="27" t="n"/>
      <c r="I87" s="27" t="n"/>
      <c r="J87" s="27" t="n"/>
      <c r="K87" s="27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IF($A87="","",IF($B87="","YETİM",IF(COUNTIF(GIRDI!$A$6:$A$255,$B87)=0,"YETİM","")))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IF($A87="","",IF(OR($F87="",$G87=""),"",IF(ABS($G87-$F87)&gt;zincirTolerans,"ZİNCİR KIRIK","OK")))</f>
        <v/>
      </c>
      <c r="S87" s="28">
        <f>IF($A87="","",1)</f>
        <v/>
      </c>
    </row>
    <row r="88">
      <c r="A88" s="26" t="n"/>
      <c r="B88" s="26" t="n"/>
      <c r="C88" s="31" t="n"/>
      <c r="D88" s="26" t="n"/>
      <c r="E88" s="26" t="n"/>
      <c r="F88" s="27" t="n"/>
      <c r="G88" s="27" t="n"/>
      <c r="H88" s="27" t="n"/>
      <c r="I88" s="27" t="n"/>
      <c r="J88" s="27" t="n"/>
      <c r="K88" s="27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IF($A88="","",IF($B88="","YETİM",IF(COUNTIF(GIRDI!$A$6:$A$255,$B88)=0,"YETİM","")))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IF($A88="","",IF(OR($F88="",$G88=""),"",IF(ABS($G88-$F88)&gt;zincirTolerans,"ZİNCİR KIRIK","OK")))</f>
        <v/>
      </c>
      <c r="S88" s="28">
        <f>IF($A88="","",1)</f>
        <v/>
      </c>
    </row>
    <row r="89">
      <c r="A89" s="26" t="n"/>
      <c r="B89" s="26" t="n"/>
      <c r="C89" s="31" t="n"/>
      <c r="D89" s="26" t="n"/>
      <c r="E89" s="26" t="n"/>
      <c r="F89" s="27" t="n"/>
      <c r="G89" s="27" t="n"/>
      <c r="H89" s="27" t="n"/>
      <c r="I89" s="27" t="n"/>
      <c r="J89" s="27" t="n"/>
      <c r="K89" s="27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IF($A89="","",IF($B89="","YETİM",IF(COUNTIF(GIRDI!$A$6:$A$255,$B89)=0,"YETİM","")))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IF($A89="","",IF(OR($F89="",$G89=""),"",IF(ABS($G89-$F89)&gt;zincirTolerans,"ZİNCİR KIRIK","OK")))</f>
        <v/>
      </c>
      <c r="S89" s="28">
        <f>IF($A89="","",1)</f>
        <v/>
      </c>
    </row>
    <row r="90">
      <c r="A90" s="26" t="n"/>
      <c r="B90" s="26" t="n"/>
      <c r="C90" s="31" t="n"/>
      <c r="D90" s="26" t="n"/>
      <c r="E90" s="26" t="n"/>
      <c r="F90" s="27" t="n"/>
      <c r="G90" s="27" t="n"/>
      <c r="H90" s="27" t="n"/>
      <c r="I90" s="27" t="n"/>
      <c r="J90" s="27" t="n"/>
      <c r="K90" s="27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IF($A90="","",IF($B90="","YETİM",IF(COUNTIF(GIRDI!$A$6:$A$255,$B90)=0,"YETİM","")))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IF($A90="","",IF(OR($F90="",$G90=""),"",IF(ABS($G90-$F90)&gt;zincirTolerans,"ZİNCİR KIRIK","OK")))</f>
        <v/>
      </c>
      <c r="S90" s="28">
        <f>IF($A90="","",1)</f>
        <v/>
      </c>
    </row>
    <row r="91">
      <c r="A91" s="26" t="n"/>
      <c r="B91" s="26" t="n"/>
      <c r="C91" s="31" t="n"/>
      <c r="D91" s="26" t="n"/>
      <c r="E91" s="26" t="n"/>
      <c r="F91" s="27" t="n"/>
      <c r="G91" s="27" t="n"/>
      <c r="H91" s="27" t="n"/>
      <c r="I91" s="27" t="n"/>
      <c r="J91" s="27" t="n"/>
      <c r="K91" s="27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IF($A91="","",IF($B91="","YETİM",IF(COUNTIF(GIRDI!$A$6:$A$255,$B91)=0,"YETİM","")))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IF($A91="","",IF(OR($F91="",$G91=""),"",IF(ABS($G91-$F91)&gt;zincirTolerans,"ZİNCİR KIRIK","OK")))</f>
        <v/>
      </c>
      <c r="S91" s="28">
        <f>IF($A91="","",1)</f>
        <v/>
      </c>
    </row>
    <row r="92">
      <c r="A92" s="26" t="n"/>
      <c r="B92" s="26" t="n"/>
      <c r="C92" s="31" t="n"/>
      <c r="D92" s="26" t="n"/>
      <c r="E92" s="26" t="n"/>
      <c r="F92" s="27" t="n"/>
      <c r="G92" s="27" t="n"/>
      <c r="H92" s="27" t="n"/>
      <c r="I92" s="27" t="n"/>
      <c r="J92" s="27" t="n"/>
      <c r="K92" s="27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IF($A92="","",IF($B92="","YETİM",IF(COUNTIF(GIRDI!$A$6:$A$255,$B92)=0,"YETİM","")))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IF($A92="","",IF(OR($F92="",$G92=""),"",IF(ABS($G92-$F92)&gt;zincirTolerans,"ZİNCİR KIRIK","OK")))</f>
        <v/>
      </c>
      <c r="S92" s="28">
        <f>IF($A92="","",1)</f>
        <v/>
      </c>
    </row>
    <row r="93">
      <c r="A93" s="26" t="n"/>
      <c r="B93" s="26" t="n"/>
      <c r="C93" s="31" t="n"/>
      <c r="D93" s="26" t="n"/>
      <c r="E93" s="26" t="n"/>
      <c r="F93" s="27" t="n"/>
      <c r="G93" s="27" t="n"/>
      <c r="H93" s="27" t="n"/>
      <c r="I93" s="27" t="n"/>
      <c r="J93" s="27" t="n"/>
      <c r="K93" s="27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IF($A93="","",IF($B93="","YETİM",IF(COUNTIF(GIRDI!$A$6:$A$255,$B93)=0,"YETİM","")))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IF($A93="","",IF(OR($F93="",$G93=""),"",IF(ABS($G93-$F93)&gt;zincirTolerans,"ZİNCİR KIRIK","OK")))</f>
        <v/>
      </c>
      <c r="S93" s="28">
        <f>IF($A93="","",1)</f>
        <v/>
      </c>
    </row>
    <row r="94">
      <c r="A94" s="26" t="n"/>
      <c r="B94" s="26" t="n"/>
      <c r="C94" s="31" t="n"/>
      <c r="D94" s="26" t="n"/>
      <c r="E94" s="26" t="n"/>
      <c r="F94" s="27" t="n"/>
      <c r="G94" s="27" t="n"/>
      <c r="H94" s="27" t="n"/>
      <c r="I94" s="27" t="n"/>
      <c r="J94" s="27" t="n"/>
      <c r="K94" s="27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IF($A94="","",IF($B94="","YETİM",IF(COUNTIF(GIRDI!$A$6:$A$255,$B94)=0,"YETİM","")))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IF($A94="","",IF(OR($F94="",$G94=""),"",IF(ABS($G94-$F94)&gt;zincirTolerans,"ZİNCİR KIRIK","OK")))</f>
        <v/>
      </c>
      <c r="S94" s="28">
        <f>IF($A94="","",1)</f>
        <v/>
      </c>
    </row>
    <row r="95">
      <c r="A95" s="26" t="n"/>
      <c r="B95" s="26" t="n"/>
      <c r="C95" s="31" t="n"/>
      <c r="D95" s="26" t="n"/>
      <c r="E95" s="26" t="n"/>
      <c r="F95" s="27" t="n"/>
      <c r="G95" s="27" t="n"/>
      <c r="H95" s="27" t="n"/>
      <c r="I95" s="27" t="n"/>
      <c r="J95" s="27" t="n"/>
      <c r="K95" s="27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IF($A95="","",IF($B95="","YETİM",IF(COUNTIF(GIRDI!$A$6:$A$255,$B95)=0,"YETİM","")))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IF($A95="","",IF(OR($F95="",$G95=""),"",IF(ABS($G95-$F95)&gt;zincirTolerans,"ZİNCİR KIRIK","OK")))</f>
        <v/>
      </c>
      <c r="S95" s="28">
        <f>IF($A95="","",1)</f>
        <v/>
      </c>
    </row>
    <row r="96">
      <c r="A96" s="26" t="n"/>
      <c r="B96" s="26" t="n"/>
      <c r="C96" s="31" t="n"/>
      <c r="D96" s="26" t="n"/>
      <c r="E96" s="26" t="n"/>
      <c r="F96" s="27" t="n"/>
      <c r="G96" s="27" t="n"/>
      <c r="H96" s="27" t="n"/>
      <c r="I96" s="27" t="n"/>
      <c r="J96" s="27" t="n"/>
      <c r="K96" s="27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IF($A96="","",IF($B96="","YETİM",IF(COUNTIF(GIRDI!$A$6:$A$255,$B96)=0,"YETİM","")))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IF($A96="","",IF(OR($F96="",$G96=""),"",IF(ABS($G96-$F96)&gt;zincirTolerans,"ZİNCİR KIRIK","OK")))</f>
        <v/>
      </c>
      <c r="S96" s="28">
        <f>IF($A96="","",1)</f>
        <v/>
      </c>
    </row>
    <row r="97">
      <c r="A97" s="26" t="n"/>
      <c r="B97" s="26" t="n"/>
      <c r="C97" s="31" t="n"/>
      <c r="D97" s="26" t="n"/>
      <c r="E97" s="26" t="n"/>
      <c r="F97" s="27" t="n"/>
      <c r="G97" s="27" t="n"/>
      <c r="H97" s="27" t="n"/>
      <c r="I97" s="27" t="n"/>
      <c r="J97" s="27" t="n"/>
      <c r="K97" s="27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IF($A97="","",IF($B97="","YETİM",IF(COUNTIF(GIRDI!$A$6:$A$255,$B97)=0,"YETİM","")))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IF($A97="","",IF(OR($F97="",$G97=""),"",IF(ABS($G97-$F97)&gt;zincirTolerans,"ZİNCİR KIRIK","OK")))</f>
        <v/>
      </c>
      <c r="S97" s="28">
        <f>IF($A97="","",1)</f>
        <v/>
      </c>
    </row>
    <row r="98">
      <c r="A98" s="26" t="n"/>
      <c r="B98" s="26" t="n"/>
      <c r="C98" s="31" t="n"/>
      <c r="D98" s="26" t="n"/>
      <c r="E98" s="26" t="n"/>
      <c r="F98" s="27" t="n"/>
      <c r="G98" s="27" t="n"/>
      <c r="H98" s="27" t="n"/>
      <c r="I98" s="27" t="n"/>
      <c r="J98" s="27" t="n"/>
      <c r="K98" s="27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IF($A98="","",IF($B98="","YETİM",IF(COUNTIF(GIRDI!$A$6:$A$255,$B98)=0,"YETİM","")))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IF($A98="","",IF(OR($F98="",$G98=""),"",IF(ABS($G98-$F98)&gt;zincirTolerans,"ZİNCİR KIRIK","OK")))</f>
        <v/>
      </c>
      <c r="S98" s="28">
        <f>IF($A98="","",1)</f>
        <v/>
      </c>
    </row>
    <row r="99">
      <c r="A99" s="26" t="n"/>
      <c r="B99" s="26" t="n"/>
      <c r="C99" s="31" t="n"/>
      <c r="D99" s="26" t="n"/>
      <c r="E99" s="26" t="n"/>
      <c r="F99" s="27" t="n"/>
      <c r="G99" s="27" t="n"/>
      <c r="H99" s="27" t="n"/>
      <c r="I99" s="27" t="n"/>
      <c r="J99" s="27" t="n"/>
      <c r="K99" s="27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IF($A99="","",IF($B99="","YETİM",IF(COUNTIF(GIRDI!$A$6:$A$255,$B99)=0,"YETİM","")))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IF($A99="","",IF(OR($F99="",$G99=""),"",IF(ABS($G99-$F99)&gt;zincirTolerans,"ZİNCİR KIRIK","OK")))</f>
        <v/>
      </c>
      <c r="S99" s="28">
        <f>IF($A99="","",1)</f>
        <v/>
      </c>
    </row>
    <row r="100">
      <c r="A100" s="26" t="n"/>
      <c r="B100" s="26" t="n"/>
      <c r="C100" s="31" t="n"/>
      <c r="D100" s="26" t="n"/>
      <c r="E100" s="26" t="n"/>
      <c r="F100" s="27" t="n"/>
      <c r="G100" s="27" t="n"/>
      <c r="H100" s="27" t="n"/>
      <c r="I100" s="27" t="n"/>
      <c r="J100" s="27" t="n"/>
      <c r="K100" s="27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IF($A100="","",IF($B100="","YETİM",IF(COUNTIF(GIRDI!$A$6:$A$255,$B100)=0,"YETİM","")))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IF($A100="","",IF(OR($F100="",$G100=""),"",IF(ABS($G100-$F100)&gt;zincirTolerans,"ZİNCİR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31" t="n"/>
      <c r="D101" s="26" t="n"/>
      <c r="E101" s="26" t="n"/>
      <c r="F101" s="27" t="n"/>
      <c r="G101" s="27" t="n"/>
      <c r="H101" s="27" t="n"/>
      <c r="I101" s="27" t="n"/>
      <c r="J101" s="27" t="n"/>
      <c r="K101" s="27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IF($A101="","",IF($B101="","YETİM",IF(COUNTIF(GIRDI!$A$6:$A$255,$B101)=0,"YETİM","")))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IF($A101="","",IF(OR($F101="",$G101=""),"",IF(ABS($G101-$F101)&gt;zincirTolerans,"ZİNCİR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31" t="n"/>
      <c r="D102" s="26" t="n"/>
      <c r="E102" s="26" t="n"/>
      <c r="F102" s="27" t="n"/>
      <c r="G102" s="27" t="n"/>
      <c r="H102" s="27" t="n"/>
      <c r="I102" s="27" t="n"/>
      <c r="J102" s="27" t="n"/>
      <c r="K102" s="27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IF($A102="","",IF($B102="","YETİM",IF(COUNTIF(GIRDI!$A$6:$A$255,$B102)=0,"YETİM","")))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IF($A102="","",IF(OR($F102="",$G102=""),"",IF(ABS($G102-$F102)&gt;zincirTolerans,"ZİNCİR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31" t="n"/>
      <c r="D103" s="26" t="n"/>
      <c r="E103" s="26" t="n"/>
      <c r="F103" s="27" t="n"/>
      <c r="G103" s="27" t="n"/>
      <c r="H103" s="27" t="n"/>
      <c r="I103" s="27" t="n"/>
      <c r="J103" s="27" t="n"/>
      <c r="K103" s="27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IF($A103="","",IF($B103="","YETİM",IF(COUNTIF(GIRDI!$A$6:$A$255,$B103)=0,"YETİM","")))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IF($A103="","",IF(OR($F103="",$G103=""),"",IF(ABS($G103-$F103)&gt;zincirTolerans,"ZİNCİR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31" t="n"/>
      <c r="D104" s="26" t="n"/>
      <c r="E104" s="26" t="n"/>
      <c r="F104" s="27" t="n"/>
      <c r="G104" s="27" t="n"/>
      <c r="H104" s="27" t="n"/>
      <c r="I104" s="27" t="n"/>
      <c r="J104" s="27" t="n"/>
      <c r="K104" s="27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IF($A104="","",IF($B104="","YETİM",IF(COUNTIF(GIRDI!$A$6:$A$255,$B104)=0,"YETİM","")))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IF($A104="","",IF(OR($F104="",$G104=""),"",IF(ABS($G104-$F104)&gt;zincirTolerans,"ZİNCİR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31" t="n"/>
      <c r="D105" s="26" t="n"/>
      <c r="E105" s="26" t="n"/>
      <c r="F105" s="27" t="n"/>
      <c r="G105" s="27" t="n"/>
      <c r="H105" s="27" t="n"/>
      <c r="I105" s="27" t="n"/>
      <c r="J105" s="27" t="n"/>
      <c r="K105" s="27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IF($A105="","",IF($B105="","YETİM",IF(COUNTIF(GIRDI!$A$6:$A$255,$B105)=0,"YETİM","")))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IF($A105="","",IF(OR($F105="",$G105=""),"",IF(ABS($G105-$F105)&gt;zincirTolerans,"ZİNCİR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31" t="n"/>
      <c r="D106" s="26" t="n"/>
      <c r="E106" s="26" t="n"/>
      <c r="F106" s="27" t="n"/>
      <c r="G106" s="27" t="n"/>
      <c r="H106" s="27" t="n"/>
      <c r="I106" s="27" t="n"/>
      <c r="J106" s="27" t="n"/>
      <c r="K106" s="27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IF($A106="","",IF($B106="","YETİM",IF(COUNTIF(GIRDI!$A$6:$A$255,$B106)=0,"YETİM","")))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IF($A106="","",IF(OR($F106="",$G106=""),"",IF(ABS($G106-$F106)&gt;zincirTolerans,"ZİNCİR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31" t="n"/>
      <c r="D107" s="26" t="n"/>
      <c r="E107" s="26" t="n"/>
      <c r="F107" s="27" t="n"/>
      <c r="G107" s="27" t="n"/>
      <c r="H107" s="27" t="n"/>
      <c r="I107" s="27" t="n"/>
      <c r="J107" s="27" t="n"/>
      <c r="K107" s="27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IF($A107="","",IF($B107="","YETİM",IF(COUNTIF(GIRDI!$A$6:$A$255,$B107)=0,"YETİM","")))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IF($A107="","",IF(OR($F107="",$G107=""),"",IF(ABS($G107-$F107)&gt;zincirTolerans,"ZİNCİR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31" t="n"/>
      <c r="D108" s="26" t="n"/>
      <c r="E108" s="26" t="n"/>
      <c r="F108" s="27" t="n"/>
      <c r="G108" s="27" t="n"/>
      <c r="H108" s="27" t="n"/>
      <c r="I108" s="27" t="n"/>
      <c r="J108" s="27" t="n"/>
      <c r="K108" s="27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IF($A108="","",IF($B108="","YETİM",IF(COUNTIF(GIRDI!$A$6:$A$255,$B108)=0,"YETİM","")))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IF($A108="","",IF(OR($F108="",$G108=""),"",IF(ABS($G108-$F108)&gt;zincirTolerans,"ZİNCİR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31" t="n"/>
      <c r="D109" s="26" t="n"/>
      <c r="E109" s="26" t="n"/>
      <c r="F109" s="27" t="n"/>
      <c r="G109" s="27" t="n"/>
      <c r="H109" s="27" t="n"/>
      <c r="I109" s="27" t="n"/>
      <c r="J109" s="27" t="n"/>
      <c r="K109" s="27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IF($A109="","",IF($B109="","YETİM",IF(COUNTIF(GIRDI!$A$6:$A$255,$B109)=0,"YETİM","")))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IF($A109="","",IF(OR($F109="",$G109=""),"",IF(ABS($G109-$F109)&gt;zincirTolerans,"ZİNCİR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31" t="n"/>
      <c r="D110" s="26" t="n"/>
      <c r="E110" s="26" t="n"/>
      <c r="F110" s="27" t="n"/>
      <c r="G110" s="27" t="n"/>
      <c r="H110" s="27" t="n"/>
      <c r="I110" s="27" t="n"/>
      <c r="J110" s="27" t="n"/>
      <c r="K110" s="27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IF($A110="","",IF($B110="","YETİM",IF(COUNTIF(GIRDI!$A$6:$A$255,$B110)=0,"YETİM","")))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IF($A110="","",IF(OR($F110="",$G110=""),"",IF(ABS($G110-$F110)&gt;zincirTolerans,"ZİNCİR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31" t="n"/>
      <c r="D111" s="26" t="n"/>
      <c r="E111" s="26" t="n"/>
      <c r="F111" s="27" t="n"/>
      <c r="G111" s="27" t="n"/>
      <c r="H111" s="27" t="n"/>
      <c r="I111" s="27" t="n"/>
      <c r="J111" s="27" t="n"/>
      <c r="K111" s="27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IF($A111="","",IF($B111="","YETİM",IF(COUNTIF(GIRDI!$A$6:$A$255,$B111)=0,"YETİM","")))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IF($A111="","",IF(OR($F111="",$G111=""),"",IF(ABS($G111-$F111)&gt;zincirTolerans,"ZİNCİR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31" t="n"/>
      <c r="D112" s="26" t="n"/>
      <c r="E112" s="26" t="n"/>
      <c r="F112" s="27" t="n"/>
      <c r="G112" s="27" t="n"/>
      <c r="H112" s="27" t="n"/>
      <c r="I112" s="27" t="n"/>
      <c r="J112" s="27" t="n"/>
      <c r="K112" s="27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IF($A112="","",IF($B112="","YETİM",IF(COUNTIF(GIRDI!$A$6:$A$255,$B112)=0,"YETİM","")))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IF($A112="","",IF(OR($F112="",$G112=""),"",IF(ABS($G112-$F112)&gt;zincirTolerans,"ZİNCİR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31" t="n"/>
      <c r="D113" s="26" t="n"/>
      <c r="E113" s="26" t="n"/>
      <c r="F113" s="27" t="n"/>
      <c r="G113" s="27" t="n"/>
      <c r="H113" s="27" t="n"/>
      <c r="I113" s="27" t="n"/>
      <c r="J113" s="27" t="n"/>
      <c r="K113" s="27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IF($A113="","",IF($B113="","YETİM",IF(COUNTIF(GIRDI!$A$6:$A$255,$B113)=0,"YETİM","")))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IF($A113="","",IF(OR($F113="",$G113=""),"",IF(ABS($G113-$F113)&gt;zincirTolerans,"ZİNCİR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31" t="n"/>
      <c r="D114" s="26" t="n"/>
      <c r="E114" s="26" t="n"/>
      <c r="F114" s="27" t="n"/>
      <c r="G114" s="27" t="n"/>
      <c r="H114" s="27" t="n"/>
      <c r="I114" s="27" t="n"/>
      <c r="J114" s="27" t="n"/>
      <c r="K114" s="27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IF($A114="","",IF($B114="","YETİM",IF(COUNTIF(GIRDI!$A$6:$A$255,$B114)=0,"YETİM","")))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IF($A114="","",IF(OR($F114="",$G114=""),"",IF(ABS($G114-$F114)&gt;zincirTolerans,"ZİNCİR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31" t="n"/>
      <c r="D115" s="26" t="n"/>
      <c r="E115" s="26" t="n"/>
      <c r="F115" s="27" t="n"/>
      <c r="G115" s="27" t="n"/>
      <c r="H115" s="27" t="n"/>
      <c r="I115" s="27" t="n"/>
      <c r="J115" s="27" t="n"/>
      <c r="K115" s="27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IF($A115="","",IF($B115="","YETİM",IF(COUNTIF(GIRDI!$A$6:$A$255,$B115)=0,"YETİM","")))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IF($A115="","",IF(OR($F115="",$G115=""),"",IF(ABS($G115-$F115)&gt;zincirTolerans,"ZİNCİR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31" t="n"/>
      <c r="D116" s="26" t="n"/>
      <c r="E116" s="26" t="n"/>
      <c r="F116" s="27" t="n"/>
      <c r="G116" s="27" t="n"/>
      <c r="H116" s="27" t="n"/>
      <c r="I116" s="27" t="n"/>
      <c r="J116" s="27" t="n"/>
      <c r="K116" s="27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IF($A116="","",IF($B116="","YETİM",IF(COUNTIF(GIRDI!$A$6:$A$255,$B116)=0,"YETİM","")))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IF($A116="","",IF(OR($F116="",$G116=""),"",IF(ABS($G116-$F116)&gt;zincirTolerans,"ZİNCİR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31" t="n"/>
      <c r="D117" s="26" t="n"/>
      <c r="E117" s="26" t="n"/>
      <c r="F117" s="27" t="n"/>
      <c r="G117" s="27" t="n"/>
      <c r="H117" s="27" t="n"/>
      <c r="I117" s="27" t="n"/>
      <c r="J117" s="27" t="n"/>
      <c r="K117" s="27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IF($A117="","",IF($B117="","YETİM",IF(COUNTIF(GIRDI!$A$6:$A$255,$B117)=0,"YETİM","")))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IF($A117="","",IF(OR($F117="",$G117=""),"",IF(ABS($G117-$F117)&gt;zincirTolerans,"ZİNCİR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31" t="n"/>
      <c r="D118" s="26" t="n"/>
      <c r="E118" s="26" t="n"/>
      <c r="F118" s="27" t="n"/>
      <c r="G118" s="27" t="n"/>
      <c r="H118" s="27" t="n"/>
      <c r="I118" s="27" t="n"/>
      <c r="J118" s="27" t="n"/>
      <c r="K118" s="27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IF($A118="","",IF($B118="","YETİM",IF(COUNTIF(GIRDI!$A$6:$A$255,$B118)=0,"YETİM","")))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IF($A118="","",IF(OR($F118="",$G118=""),"",IF(ABS($G118-$F118)&gt;zincirTolerans,"ZİNCİR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31" t="n"/>
      <c r="D119" s="26" t="n"/>
      <c r="E119" s="26" t="n"/>
      <c r="F119" s="27" t="n"/>
      <c r="G119" s="27" t="n"/>
      <c r="H119" s="27" t="n"/>
      <c r="I119" s="27" t="n"/>
      <c r="J119" s="27" t="n"/>
      <c r="K119" s="27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IF($A119="","",IF($B119="","YETİM",IF(COUNTIF(GIRDI!$A$6:$A$255,$B119)=0,"YETİM","")))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IF($A119="","",IF(OR($F119="",$G119=""),"",IF(ABS($G119-$F119)&gt;zincirTolerans,"ZİNCİR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31" t="n"/>
      <c r="D120" s="26" t="n"/>
      <c r="E120" s="26" t="n"/>
      <c r="F120" s="27" t="n"/>
      <c r="G120" s="27" t="n"/>
      <c r="H120" s="27" t="n"/>
      <c r="I120" s="27" t="n"/>
      <c r="J120" s="27" t="n"/>
      <c r="K120" s="27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IF($A120="","",IF($B120="","YETİM",IF(COUNTIF(GIRDI!$A$6:$A$255,$B120)=0,"YETİM","")))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IF($A120="","",IF(OR($F120="",$G120=""),"",IF(ABS($G120-$F120)&gt;zincirTolerans,"ZİNCİR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31" t="n"/>
      <c r="D121" s="26" t="n"/>
      <c r="E121" s="26" t="n"/>
      <c r="F121" s="27" t="n"/>
      <c r="G121" s="27" t="n"/>
      <c r="H121" s="27" t="n"/>
      <c r="I121" s="27" t="n"/>
      <c r="J121" s="27" t="n"/>
      <c r="K121" s="27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IF($A121="","",IF($B121="","YETİM",IF(COUNTIF(GIRDI!$A$6:$A$255,$B121)=0,"YETİM","")))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IF($A121="","",IF(OR($F121="",$G121=""),"",IF(ABS($G121-$F121)&gt;zincirTolerans,"ZİNCİR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31" t="n"/>
      <c r="D122" s="26" t="n"/>
      <c r="E122" s="26" t="n"/>
      <c r="F122" s="27" t="n"/>
      <c r="G122" s="27" t="n"/>
      <c r="H122" s="27" t="n"/>
      <c r="I122" s="27" t="n"/>
      <c r="J122" s="27" t="n"/>
      <c r="K122" s="27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IF($A122="","",IF($B122="","YETİM",IF(COUNTIF(GIRDI!$A$6:$A$255,$B122)=0,"YETİM","")))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IF($A122="","",IF(OR($F122="",$G122=""),"",IF(ABS($G122-$F122)&gt;zincirTolerans,"ZİNCİR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31" t="n"/>
      <c r="D123" s="26" t="n"/>
      <c r="E123" s="26" t="n"/>
      <c r="F123" s="27" t="n"/>
      <c r="G123" s="27" t="n"/>
      <c r="H123" s="27" t="n"/>
      <c r="I123" s="27" t="n"/>
      <c r="J123" s="27" t="n"/>
      <c r="K123" s="27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IF($A123="","",IF($B123="","YETİM",IF(COUNTIF(GIRDI!$A$6:$A$255,$B123)=0,"YETİM","")))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IF($A123="","",IF(OR($F123="",$G123=""),"",IF(ABS($G123-$F123)&gt;zincirTolerans,"ZİNCİR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31" t="n"/>
      <c r="D124" s="26" t="n"/>
      <c r="E124" s="26" t="n"/>
      <c r="F124" s="27" t="n"/>
      <c r="G124" s="27" t="n"/>
      <c r="H124" s="27" t="n"/>
      <c r="I124" s="27" t="n"/>
      <c r="J124" s="27" t="n"/>
      <c r="K124" s="27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IF($A124="","",IF($B124="","YETİM",IF(COUNTIF(GIRDI!$A$6:$A$255,$B124)=0,"YETİM","")))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IF($A124="","",IF(OR($F124="",$G124=""),"",IF(ABS($G124-$F124)&gt;zincirTolerans,"ZİNCİR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31" t="n"/>
      <c r="D125" s="26" t="n"/>
      <c r="E125" s="26" t="n"/>
      <c r="F125" s="27" t="n"/>
      <c r="G125" s="27" t="n"/>
      <c r="H125" s="27" t="n"/>
      <c r="I125" s="27" t="n"/>
      <c r="J125" s="27" t="n"/>
      <c r="K125" s="27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IF($A125="","",IF($B125="","YETİM",IF(COUNTIF(GIRDI!$A$6:$A$255,$B125)=0,"YETİM","")))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IF($A125="","",IF(OR($F125="",$G125=""),"",IF(ABS($G125-$F125)&gt;zincirTolerans,"ZİNCİR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31" t="n"/>
      <c r="D126" s="26" t="n"/>
      <c r="E126" s="26" t="n"/>
      <c r="F126" s="27" t="n"/>
      <c r="G126" s="27" t="n"/>
      <c r="H126" s="27" t="n"/>
      <c r="I126" s="27" t="n"/>
      <c r="J126" s="27" t="n"/>
      <c r="K126" s="27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IF($A126="","",IF($B126="","YETİM",IF(COUNTIF(GIRDI!$A$6:$A$255,$B126)=0,"YETİM","")))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IF($A126="","",IF(OR($F126="",$G126=""),"",IF(ABS($G126-$F126)&gt;zincirTolerans,"ZİNCİR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31" t="n"/>
      <c r="D127" s="26" t="n"/>
      <c r="E127" s="26" t="n"/>
      <c r="F127" s="27" t="n"/>
      <c r="G127" s="27" t="n"/>
      <c r="H127" s="27" t="n"/>
      <c r="I127" s="27" t="n"/>
      <c r="J127" s="27" t="n"/>
      <c r="K127" s="27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IF($A127="","",IF($B127="","YETİM",IF(COUNTIF(GIRDI!$A$6:$A$255,$B127)=0,"YETİM","")))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IF($A127="","",IF(OR($F127="",$G127=""),"",IF(ABS($G127-$F127)&gt;zincirTolerans,"ZİNCİR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31" t="n"/>
      <c r="D128" s="26" t="n"/>
      <c r="E128" s="26" t="n"/>
      <c r="F128" s="27" t="n"/>
      <c r="G128" s="27" t="n"/>
      <c r="H128" s="27" t="n"/>
      <c r="I128" s="27" t="n"/>
      <c r="J128" s="27" t="n"/>
      <c r="K128" s="27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IF($A128="","",IF($B128="","YETİM",IF(COUNTIF(GIRDI!$A$6:$A$255,$B128)=0,"YETİM","")))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IF($A128="","",IF(OR($F128="",$G128=""),"",IF(ABS($G128-$F128)&gt;zincirTolerans,"ZİNCİR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31" t="n"/>
      <c r="D129" s="26" t="n"/>
      <c r="E129" s="26" t="n"/>
      <c r="F129" s="27" t="n"/>
      <c r="G129" s="27" t="n"/>
      <c r="H129" s="27" t="n"/>
      <c r="I129" s="27" t="n"/>
      <c r="J129" s="27" t="n"/>
      <c r="K129" s="27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IF($A129="","",IF($B129="","YETİM",IF(COUNTIF(GIRDI!$A$6:$A$255,$B129)=0,"YETİM","")))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IF($A129="","",IF(OR($F129="",$G129=""),"",IF(ABS($G129-$F129)&gt;zincirTolerans,"ZİNCİR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31" t="n"/>
      <c r="D130" s="26" t="n"/>
      <c r="E130" s="26" t="n"/>
      <c r="F130" s="27" t="n"/>
      <c r="G130" s="27" t="n"/>
      <c r="H130" s="27" t="n"/>
      <c r="I130" s="27" t="n"/>
      <c r="J130" s="27" t="n"/>
      <c r="K130" s="27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IF($A130="","",IF($B130="","YETİM",IF(COUNTIF(GIRDI!$A$6:$A$255,$B130)=0,"YETİM","")))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IF($A130="","",IF(OR($F130="",$G130=""),"",IF(ABS($G130-$F130)&gt;zincirTolerans,"ZİNCİR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31" t="n"/>
      <c r="D131" s="26" t="n"/>
      <c r="E131" s="26" t="n"/>
      <c r="F131" s="27" t="n"/>
      <c r="G131" s="27" t="n"/>
      <c r="H131" s="27" t="n"/>
      <c r="I131" s="27" t="n"/>
      <c r="J131" s="27" t="n"/>
      <c r="K131" s="27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IF($A131="","",IF($B131="","YETİM",IF(COUNTIF(GIRDI!$A$6:$A$255,$B131)=0,"YETİM","")))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IF($A131="","",IF(OR($F131="",$G131=""),"",IF(ABS($G131-$F131)&gt;zincirTolerans,"ZİNCİR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31" t="n"/>
      <c r="D132" s="26" t="n"/>
      <c r="E132" s="26" t="n"/>
      <c r="F132" s="27" t="n"/>
      <c r="G132" s="27" t="n"/>
      <c r="H132" s="27" t="n"/>
      <c r="I132" s="27" t="n"/>
      <c r="J132" s="27" t="n"/>
      <c r="K132" s="27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IF($A132="","",IF($B132="","YETİM",IF(COUNTIF(GIRDI!$A$6:$A$255,$B132)=0,"YETİM","")))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IF($A132="","",IF(OR($F132="",$G132=""),"",IF(ABS($G132-$F132)&gt;zincirTolerans,"ZİNCİR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31" t="n"/>
      <c r="D133" s="26" t="n"/>
      <c r="E133" s="26" t="n"/>
      <c r="F133" s="27" t="n"/>
      <c r="G133" s="27" t="n"/>
      <c r="H133" s="27" t="n"/>
      <c r="I133" s="27" t="n"/>
      <c r="J133" s="27" t="n"/>
      <c r="K133" s="27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IF($A133="","",IF($B133="","YETİM",IF(COUNTIF(GIRDI!$A$6:$A$255,$B133)=0,"YETİM","")))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IF($A133="","",IF(OR($F133="",$G133=""),"",IF(ABS($G133-$F133)&gt;zincirTolerans,"ZİNCİR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31" t="n"/>
      <c r="D134" s="26" t="n"/>
      <c r="E134" s="26" t="n"/>
      <c r="F134" s="27" t="n"/>
      <c r="G134" s="27" t="n"/>
      <c r="H134" s="27" t="n"/>
      <c r="I134" s="27" t="n"/>
      <c r="J134" s="27" t="n"/>
      <c r="K134" s="27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IF($A134="","",IF($B134="","YETİM",IF(COUNTIF(GIRDI!$A$6:$A$255,$B134)=0,"YETİM","")))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IF($A134="","",IF(OR($F134="",$G134=""),"",IF(ABS($G134-$F134)&gt;zincirTolerans,"ZİNCİR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31" t="n"/>
      <c r="D135" s="26" t="n"/>
      <c r="E135" s="26" t="n"/>
      <c r="F135" s="27" t="n"/>
      <c r="G135" s="27" t="n"/>
      <c r="H135" s="27" t="n"/>
      <c r="I135" s="27" t="n"/>
      <c r="J135" s="27" t="n"/>
      <c r="K135" s="27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IF($A135="","",IF($B135="","YETİM",IF(COUNTIF(GIRDI!$A$6:$A$255,$B135)=0,"YETİM","")))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IF($A135="","",IF(OR($F135="",$G135=""),"",IF(ABS($G135-$F135)&gt;zincirTolerans,"ZİNCİR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31" t="n"/>
      <c r="D136" s="26" t="n"/>
      <c r="E136" s="26" t="n"/>
      <c r="F136" s="27" t="n"/>
      <c r="G136" s="27" t="n"/>
      <c r="H136" s="27" t="n"/>
      <c r="I136" s="27" t="n"/>
      <c r="J136" s="27" t="n"/>
      <c r="K136" s="27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IF($A136="","",IF($B136="","YETİM",IF(COUNTIF(GIRDI!$A$6:$A$255,$B136)=0,"YETİM","")))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IF($A136="","",IF(OR($F136="",$G136=""),"",IF(ABS($G136-$F136)&gt;zincirTolerans,"ZİNCİR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31" t="n"/>
      <c r="D137" s="26" t="n"/>
      <c r="E137" s="26" t="n"/>
      <c r="F137" s="27" t="n"/>
      <c r="G137" s="27" t="n"/>
      <c r="H137" s="27" t="n"/>
      <c r="I137" s="27" t="n"/>
      <c r="J137" s="27" t="n"/>
      <c r="K137" s="27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IF($A137="","",IF($B137="","YETİM",IF(COUNTIF(GIRDI!$A$6:$A$255,$B137)=0,"YETİM","")))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IF($A137="","",IF(OR($F137="",$G137=""),"",IF(ABS($G137-$F137)&gt;zincirTolerans,"ZİNCİR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31" t="n"/>
      <c r="D138" s="26" t="n"/>
      <c r="E138" s="26" t="n"/>
      <c r="F138" s="27" t="n"/>
      <c r="G138" s="27" t="n"/>
      <c r="H138" s="27" t="n"/>
      <c r="I138" s="27" t="n"/>
      <c r="J138" s="27" t="n"/>
      <c r="K138" s="27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IF($A138="","",IF($B138="","YETİM",IF(COUNTIF(GIRDI!$A$6:$A$255,$B138)=0,"YETİM","")))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IF($A138="","",IF(OR($F138="",$G138=""),"",IF(ABS($G138-$F138)&gt;zincirTolerans,"ZİNCİR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31" t="n"/>
      <c r="D139" s="26" t="n"/>
      <c r="E139" s="26" t="n"/>
      <c r="F139" s="27" t="n"/>
      <c r="G139" s="27" t="n"/>
      <c r="H139" s="27" t="n"/>
      <c r="I139" s="27" t="n"/>
      <c r="J139" s="27" t="n"/>
      <c r="K139" s="27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IF($A139="","",IF($B139="","YETİM",IF(COUNTIF(GIRDI!$A$6:$A$255,$B139)=0,"YETİM","")))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IF($A139="","",IF(OR($F139="",$G139=""),"",IF(ABS($G139-$F139)&gt;zincirTolerans,"ZİNCİR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31" t="n"/>
      <c r="D140" s="26" t="n"/>
      <c r="E140" s="26" t="n"/>
      <c r="F140" s="27" t="n"/>
      <c r="G140" s="27" t="n"/>
      <c r="H140" s="27" t="n"/>
      <c r="I140" s="27" t="n"/>
      <c r="J140" s="27" t="n"/>
      <c r="K140" s="27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IF($A140="","",IF($B140="","YETİM",IF(COUNTIF(GIRDI!$A$6:$A$255,$B140)=0,"YETİM","")))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IF($A140="","",IF(OR($F140="",$G140=""),"",IF(ABS($G140-$F140)&gt;zincirTolerans,"ZİNCİR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31" t="n"/>
      <c r="D141" s="26" t="n"/>
      <c r="E141" s="26" t="n"/>
      <c r="F141" s="27" t="n"/>
      <c r="G141" s="27" t="n"/>
      <c r="H141" s="27" t="n"/>
      <c r="I141" s="27" t="n"/>
      <c r="J141" s="27" t="n"/>
      <c r="K141" s="27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IF($A141="","",IF($B141="","YETİM",IF(COUNTIF(GIRDI!$A$6:$A$255,$B141)=0,"YETİM","")))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IF($A141="","",IF(OR($F141="",$G141=""),"",IF(ABS($G141-$F141)&gt;zincirTolerans,"ZİNCİR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31" t="n"/>
      <c r="D142" s="26" t="n"/>
      <c r="E142" s="26" t="n"/>
      <c r="F142" s="27" t="n"/>
      <c r="G142" s="27" t="n"/>
      <c r="H142" s="27" t="n"/>
      <c r="I142" s="27" t="n"/>
      <c r="J142" s="27" t="n"/>
      <c r="K142" s="27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IF($A142="","",IF($B142="","YETİM",IF(COUNTIF(GIRDI!$A$6:$A$255,$B142)=0,"YETİM","")))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IF($A142="","",IF(OR($F142="",$G142=""),"",IF(ABS($G142-$F142)&gt;zincirTolerans,"ZİNCİR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31" t="n"/>
      <c r="D143" s="26" t="n"/>
      <c r="E143" s="26" t="n"/>
      <c r="F143" s="27" t="n"/>
      <c r="G143" s="27" t="n"/>
      <c r="H143" s="27" t="n"/>
      <c r="I143" s="27" t="n"/>
      <c r="J143" s="27" t="n"/>
      <c r="K143" s="27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IF($A143="","",IF($B143="","YETİM",IF(COUNTIF(GIRDI!$A$6:$A$255,$B143)=0,"YETİM","")))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IF($A143="","",IF(OR($F143="",$G143=""),"",IF(ABS($G143-$F143)&gt;zincirTolerans,"ZİNCİR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31" t="n"/>
      <c r="D144" s="26" t="n"/>
      <c r="E144" s="26" t="n"/>
      <c r="F144" s="27" t="n"/>
      <c r="G144" s="27" t="n"/>
      <c r="H144" s="27" t="n"/>
      <c r="I144" s="27" t="n"/>
      <c r="J144" s="27" t="n"/>
      <c r="K144" s="27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IF($A144="","",IF($B144="","YETİM",IF(COUNTIF(GIRDI!$A$6:$A$255,$B144)=0,"YETİM","")))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IF($A144="","",IF(OR($F144="",$G144=""),"",IF(ABS($G144-$F144)&gt;zincirTolerans,"ZİNCİR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31" t="n"/>
      <c r="D145" s="26" t="n"/>
      <c r="E145" s="26" t="n"/>
      <c r="F145" s="27" t="n"/>
      <c r="G145" s="27" t="n"/>
      <c r="H145" s="27" t="n"/>
      <c r="I145" s="27" t="n"/>
      <c r="J145" s="27" t="n"/>
      <c r="K145" s="27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IF($A145="","",IF($B145="","YETİM",IF(COUNTIF(GIRDI!$A$6:$A$255,$B145)=0,"YETİM","")))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IF($A145="","",IF(OR($F145="",$G145=""),"",IF(ABS($G145-$F145)&gt;zincirTolerans,"ZİNCİR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31" t="n"/>
      <c r="D146" s="26" t="n"/>
      <c r="E146" s="26" t="n"/>
      <c r="F146" s="27" t="n"/>
      <c r="G146" s="27" t="n"/>
      <c r="H146" s="27" t="n"/>
      <c r="I146" s="27" t="n"/>
      <c r="J146" s="27" t="n"/>
      <c r="K146" s="27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IF($A146="","",IF($B146="","YETİM",IF(COUNTIF(GIRDI!$A$6:$A$255,$B146)=0,"YETİM","")))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IF($A146="","",IF(OR($F146="",$G146=""),"",IF(ABS($G146-$F146)&gt;zincirTolerans,"ZİNCİR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31" t="n"/>
      <c r="D147" s="26" t="n"/>
      <c r="E147" s="26" t="n"/>
      <c r="F147" s="27" t="n"/>
      <c r="G147" s="27" t="n"/>
      <c r="H147" s="27" t="n"/>
      <c r="I147" s="27" t="n"/>
      <c r="J147" s="27" t="n"/>
      <c r="K147" s="27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IF($A147="","",IF($B147="","YETİM",IF(COUNTIF(GIRDI!$A$6:$A$255,$B147)=0,"YETİM","")))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IF($A147="","",IF(OR($F147="",$G147=""),"",IF(ABS($G147-$F147)&gt;zincirTolerans,"ZİNCİR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31" t="n"/>
      <c r="D148" s="26" t="n"/>
      <c r="E148" s="26" t="n"/>
      <c r="F148" s="27" t="n"/>
      <c r="G148" s="27" t="n"/>
      <c r="H148" s="27" t="n"/>
      <c r="I148" s="27" t="n"/>
      <c r="J148" s="27" t="n"/>
      <c r="K148" s="27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IF($A148="","",IF($B148="","YETİM",IF(COUNTIF(GIRDI!$A$6:$A$255,$B148)=0,"YETİM","")))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IF($A148="","",IF(OR($F148="",$G148=""),"",IF(ABS($G148-$F148)&gt;zincirTolerans,"ZİNCİR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31" t="n"/>
      <c r="D149" s="26" t="n"/>
      <c r="E149" s="26" t="n"/>
      <c r="F149" s="27" t="n"/>
      <c r="G149" s="27" t="n"/>
      <c r="H149" s="27" t="n"/>
      <c r="I149" s="27" t="n"/>
      <c r="J149" s="27" t="n"/>
      <c r="K149" s="27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IF($A149="","",IF($B149="","YETİM",IF(COUNTIF(GIRDI!$A$6:$A$255,$B149)=0,"YETİM","")))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IF($A149="","",IF(OR($F149="",$G149=""),"",IF(ABS($G149-$F149)&gt;zincirTolerans,"ZİNCİR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31" t="n"/>
      <c r="D150" s="26" t="n"/>
      <c r="E150" s="26" t="n"/>
      <c r="F150" s="27" t="n"/>
      <c r="G150" s="27" t="n"/>
      <c r="H150" s="27" t="n"/>
      <c r="I150" s="27" t="n"/>
      <c r="J150" s="27" t="n"/>
      <c r="K150" s="27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IF($A150="","",IF($B150="","YETİM",IF(COUNTIF(GIRDI!$A$6:$A$255,$B150)=0,"YETİM","")))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IF($A150="","",IF(OR($F150="",$G150=""),"",IF(ABS($G150-$F150)&gt;zincirTolerans,"ZİNCİR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31" t="n"/>
      <c r="D151" s="26" t="n"/>
      <c r="E151" s="26" t="n"/>
      <c r="F151" s="27" t="n"/>
      <c r="G151" s="27" t="n"/>
      <c r="H151" s="27" t="n"/>
      <c r="I151" s="27" t="n"/>
      <c r="J151" s="27" t="n"/>
      <c r="K151" s="27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IF($A151="","",IF($B151="","YETİM",IF(COUNTIF(GIRDI!$A$6:$A$255,$B151)=0,"YETİM","")))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IF($A151="","",IF(OR($F151="",$G151=""),"",IF(ABS($G151-$F151)&gt;zincirTolerans,"ZİNCİR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31" t="n"/>
      <c r="D152" s="26" t="n"/>
      <c r="E152" s="26" t="n"/>
      <c r="F152" s="27" t="n"/>
      <c r="G152" s="27" t="n"/>
      <c r="H152" s="27" t="n"/>
      <c r="I152" s="27" t="n"/>
      <c r="J152" s="27" t="n"/>
      <c r="K152" s="27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IF($A152="","",IF($B152="","YETİM",IF(COUNTIF(GIRDI!$A$6:$A$255,$B152)=0,"YETİM","")))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IF($A152="","",IF(OR($F152="",$G152=""),"",IF(ABS($G152-$F152)&gt;zincirTolerans,"ZİNCİR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31" t="n"/>
      <c r="D153" s="26" t="n"/>
      <c r="E153" s="26" t="n"/>
      <c r="F153" s="27" t="n"/>
      <c r="G153" s="27" t="n"/>
      <c r="H153" s="27" t="n"/>
      <c r="I153" s="27" t="n"/>
      <c r="J153" s="27" t="n"/>
      <c r="K153" s="27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IF($A153="","",IF($B153="","YETİM",IF(COUNTIF(GIRDI!$A$6:$A$255,$B153)=0,"YETİM","")))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IF($A153="","",IF(OR($F153="",$G153=""),"",IF(ABS($G153-$F153)&gt;zincirTolerans,"ZİNCİR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31" t="n"/>
      <c r="D154" s="26" t="n"/>
      <c r="E154" s="26" t="n"/>
      <c r="F154" s="27" t="n"/>
      <c r="G154" s="27" t="n"/>
      <c r="H154" s="27" t="n"/>
      <c r="I154" s="27" t="n"/>
      <c r="J154" s="27" t="n"/>
      <c r="K154" s="27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IF($A154="","",IF($B154="","YETİM",IF(COUNTIF(GIRDI!$A$6:$A$255,$B154)=0,"YETİM","")))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IF($A154="","",IF(OR($F154="",$G154=""),"",IF(ABS($G154-$F154)&gt;zincirTolerans,"ZİNCİR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31" t="n"/>
      <c r="D155" s="26" t="n"/>
      <c r="E155" s="26" t="n"/>
      <c r="F155" s="27" t="n"/>
      <c r="G155" s="27" t="n"/>
      <c r="H155" s="27" t="n"/>
      <c r="I155" s="27" t="n"/>
      <c r="J155" s="27" t="n"/>
      <c r="K155" s="27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IF($A155="","",IF($B155="","YETİM",IF(COUNTIF(GIRDI!$A$6:$A$255,$B155)=0,"YETİM","")))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IF($A155="","",IF(OR($F155="",$G155=""),"",IF(ABS($G155-$F155)&gt;zincirTolerans,"ZİNCİR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31" t="n"/>
      <c r="D156" s="26" t="n"/>
      <c r="E156" s="26" t="n"/>
      <c r="F156" s="27" t="n"/>
      <c r="G156" s="27" t="n"/>
      <c r="H156" s="27" t="n"/>
      <c r="I156" s="27" t="n"/>
      <c r="J156" s="27" t="n"/>
      <c r="K156" s="27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IF($A156="","",IF($B156="","YETİM",IF(COUNTIF(GIRDI!$A$6:$A$255,$B156)=0,"YETİM","")))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IF($A156="","",IF(OR($F156="",$G156=""),"",IF(ABS($G156-$F156)&gt;zincirTolerans,"ZİNCİR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31" t="n"/>
      <c r="D157" s="26" t="n"/>
      <c r="E157" s="26" t="n"/>
      <c r="F157" s="27" t="n"/>
      <c r="G157" s="27" t="n"/>
      <c r="H157" s="27" t="n"/>
      <c r="I157" s="27" t="n"/>
      <c r="J157" s="27" t="n"/>
      <c r="K157" s="27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IF($A157="","",IF($B157="","YETİM",IF(COUNTIF(GIRDI!$A$6:$A$255,$B157)=0,"YETİM","")))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IF($A157="","",IF(OR($F157="",$G157=""),"",IF(ABS($G157-$F157)&gt;zincirTolerans,"ZİNCİR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31" t="n"/>
      <c r="D158" s="26" t="n"/>
      <c r="E158" s="26" t="n"/>
      <c r="F158" s="27" t="n"/>
      <c r="G158" s="27" t="n"/>
      <c r="H158" s="27" t="n"/>
      <c r="I158" s="27" t="n"/>
      <c r="J158" s="27" t="n"/>
      <c r="K158" s="27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IF($A158="","",IF($B158="","YETİM",IF(COUNTIF(GIRDI!$A$6:$A$255,$B158)=0,"YETİM","")))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IF($A158="","",IF(OR($F158="",$G158=""),"",IF(ABS($G158-$F158)&gt;zincirTolerans,"ZİNCİR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31" t="n"/>
      <c r="D159" s="26" t="n"/>
      <c r="E159" s="26" t="n"/>
      <c r="F159" s="27" t="n"/>
      <c r="G159" s="27" t="n"/>
      <c r="H159" s="27" t="n"/>
      <c r="I159" s="27" t="n"/>
      <c r="J159" s="27" t="n"/>
      <c r="K159" s="27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IF($A159="","",IF($B159="","YETİM",IF(COUNTIF(GIRDI!$A$6:$A$255,$B159)=0,"YETİM","")))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IF($A159="","",IF(OR($F159="",$G159=""),"",IF(ABS($G159-$F159)&gt;zincirTolerans,"ZİNCİR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31" t="n"/>
      <c r="D160" s="26" t="n"/>
      <c r="E160" s="26" t="n"/>
      <c r="F160" s="27" t="n"/>
      <c r="G160" s="27" t="n"/>
      <c r="H160" s="27" t="n"/>
      <c r="I160" s="27" t="n"/>
      <c r="J160" s="27" t="n"/>
      <c r="K160" s="27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IF($A160="","",IF($B160="","YETİM",IF(COUNTIF(GIRDI!$A$6:$A$255,$B160)=0,"YETİM","")))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IF($A160="","",IF(OR($F160="",$G160=""),"",IF(ABS($G160-$F160)&gt;zincirTolerans,"ZİNCİR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31" t="n"/>
      <c r="D161" s="26" t="n"/>
      <c r="E161" s="26" t="n"/>
      <c r="F161" s="27" t="n"/>
      <c r="G161" s="27" t="n"/>
      <c r="H161" s="27" t="n"/>
      <c r="I161" s="27" t="n"/>
      <c r="J161" s="27" t="n"/>
      <c r="K161" s="27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IF($A161="","",IF($B161="","YETİM",IF(COUNTIF(GIRDI!$A$6:$A$255,$B161)=0,"YETİM","")))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IF($A161="","",IF(OR($F161="",$G161=""),"",IF(ABS($G161-$F161)&gt;zincirTolerans,"ZİNCİR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31" t="n"/>
      <c r="D162" s="26" t="n"/>
      <c r="E162" s="26" t="n"/>
      <c r="F162" s="27" t="n"/>
      <c r="G162" s="27" t="n"/>
      <c r="H162" s="27" t="n"/>
      <c r="I162" s="27" t="n"/>
      <c r="J162" s="27" t="n"/>
      <c r="K162" s="27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IF($A162="","",IF($B162="","YETİM",IF(COUNTIF(GIRDI!$A$6:$A$255,$B162)=0,"YETİM","")))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IF($A162="","",IF(OR($F162="",$G162=""),"",IF(ABS($G162-$F162)&gt;zincirTolerans,"ZİNCİR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31" t="n"/>
      <c r="D163" s="26" t="n"/>
      <c r="E163" s="26" t="n"/>
      <c r="F163" s="27" t="n"/>
      <c r="G163" s="27" t="n"/>
      <c r="H163" s="27" t="n"/>
      <c r="I163" s="27" t="n"/>
      <c r="J163" s="27" t="n"/>
      <c r="K163" s="27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IF($A163="","",IF($B163="","YETİM",IF(COUNTIF(GIRDI!$A$6:$A$255,$B163)=0,"YETİM","")))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IF($A163="","",IF(OR($F163="",$G163=""),"",IF(ABS($G163-$F163)&gt;zincirTolerans,"ZİNCİR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31" t="n"/>
      <c r="D164" s="26" t="n"/>
      <c r="E164" s="26" t="n"/>
      <c r="F164" s="27" t="n"/>
      <c r="G164" s="27" t="n"/>
      <c r="H164" s="27" t="n"/>
      <c r="I164" s="27" t="n"/>
      <c r="J164" s="27" t="n"/>
      <c r="K164" s="27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IF($A164="","",IF($B164="","YETİM",IF(COUNTIF(GIRDI!$A$6:$A$255,$B164)=0,"YETİM","")))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IF($A164="","",IF(OR($F164="",$G164=""),"",IF(ABS($G164-$F164)&gt;zincirTolerans,"ZİNCİR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31" t="n"/>
      <c r="D165" s="26" t="n"/>
      <c r="E165" s="26" t="n"/>
      <c r="F165" s="27" t="n"/>
      <c r="G165" s="27" t="n"/>
      <c r="H165" s="27" t="n"/>
      <c r="I165" s="27" t="n"/>
      <c r="J165" s="27" t="n"/>
      <c r="K165" s="27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IF($A165="","",IF($B165="","YETİM",IF(COUNTIF(GIRDI!$A$6:$A$255,$B165)=0,"YETİM","")))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IF($A165="","",IF(OR($F165="",$G165=""),"",IF(ABS($G165-$F165)&gt;zincirTolerans,"ZİNCİR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31" t="n"/>
      <c r="D166" s="26" t="n"/>
      <c r="E166" s="26" t="n"/>
      <c r="F166" s="27" t="n"/>
      <c r="G166" s="27" t="n"/>
      <c r="H166" s="27" t="n"/>
      <c r="I166" s="27" t="n"/>
      <c r="J166" s="27" t="n"/>
      <c r="K166" s="27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IF($A166="","",IF($B166="","YETİM",IF(COUNTIF(GIRDI!$A$6:$A$255,$B166)=0,"YETİM","")))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IF($A166="","",IF(OR($F166="",$G166=""),"",IF(ABS($G166-$F166)&gt;zincirTolerans,"ZİNCİR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31" t="n"/>
      <c r="D167" s="26" t="n"/>
      <c r="E167" s="26" t="n"/>
      <c r="F167" s="27" t="n"/>
      <c r="G167" s="27" t="n"/>
      <c r="H167" s="27" t="n"/>
      <c r="I167" s="27" t="n"/>
      <c r="J167" s="27" t="n"/>
      <c r="K167" s="27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IF($A167="","",IF($B167="","YETİM",IF(COUNTIF(GIRDI!$A$6:$A$255,$B167)=0,"YETİM","")))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IF($A167="","",IF(OR($F167="",$G167=""),"",IF(ABS($G167-$F167)&gt;zincirTolerans,"ZİNCİR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31" t="n"/>
      <c r="D168" s="26" t="n"/>
      <c r="E168" s="26" t="n"/>
      <c r="F168" s="27" t="n"/>
      <c r="G168" s="27" t="n"/>
      <c r="H168" s="27" t="n"/>
      <c r="I168" s="27" t="n"/>
      <c r="J168" s="27" t="n"/>
      <c r="K168" s="27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IF($A168="","",IF($B168="","YETİM",IF(COUNTIF(GIRDI!$A$6:$A$255,$B168)=0,"YETİM","")))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IF($A168="","",IF(OR($F168="",$G168=""),"",IF(ABS($G168-$F168)&gt;zincirTolerans,"ZİNCİR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31" t="n"/>
      <c r="D169" s="26" t="n"/>
      <c r="E169" s="26" t="n"/>
      <c r="F169" s="27" t="n"/>
      <c r="G169" s="27" t="n"/>
      <c r="H169" s="27" t="n"/>
      <c r="I169" s="27" t="n"/>
      <c r="J169" s="27" t="n"/>
      <c r="K169" s="27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IF($A169="","",IF($B169="","YETİM",IF(COUNTIF(GIRDI!$A$6:$A$255,$B169)=0,"YETİM","")))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IF($A169="","",IF(OR($F169="",$G169=""),"",IF(ABS($G169-$F169)&gt;zincirTolerans,"ZİNCİR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31" t="n"/>
      <c r="D170" s="26" t="n"/>
      <c r="E170" s="26" t="n"/>
      <c r="F170" s="27" t="n"/>
      <c r="G170" s="27" t="n"/>
      <c r="H170" s="27" t="n"/>
      <c r="I170" s="27" t="n"/>
      <c r="J170" s="27" t="n"/>
      <c r="K170" s="27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IF($A170="","",IF($B170="","YETİM",IF(COUNTIF(GIRDI!$A$6:$A$255,$B170)=0,"YETİM","")))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IF($A170="","",IF(OR($F170="",$G170=""),"",IF(ABS($G170-$F170)&gt;zincirTolerans,"ZİNCİR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31" t="n"/>
      <c r="D171" s="26" t="n"/>
      <c r="E171" s="26" t="n"/>
      <c r="F171" s="27" t="n"/>
      <c r="G171" s="27" t="n"/>
      <c r="H171" s="27" t="n"/>
      <c r="I171" s="27" t="n"/>
      <c r="J171" s="27" t="n"/>
      <c r="K171" s="27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IF($A171="","",IF($B171="","YETİM",IF(COUNTIF(GIRDI!$A$6:$A$255,$B171)=0,"YETİM","")))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IF($A171="","",IF(OR($F171="",$G171=""),"",IF(ABS($G171-$F171)&gt;zincirTolerans,"ZİNCİR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31" t="n"/>
      <c r="D172" s="26" t="n"/>
      <c r="E172" s="26" t="n"/>
      <c r="F172" s="27" t="n"/>
      <c r="G172" s="27" t="n"/>
      <c r="H172" s="27" t="n"/>
      <c r="I172" s="27" t="n"/>
      <c r="J172" s="27" t="n"/>
      <c r="K172" s="27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IF($A172="","",IF($B172="","YETİM",IF(COUNTIF(GIRDI!$A$6:$A$255,$B172)=0,"YETİM","")))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IF($A172="","",IF(OR($F172="",$G172=""),"",IF(ABS($G172-$F172)&gt;zincirTolerans,"ZİNCİR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31" t="n"/>
      <c r="D173" s="26" t="n"/>
      <c r="E173" s="26" t="n"/>
      <c r="F173" s="27" t="n"/>
      <c r="G173" s="27" t="n"/>
      <c r="H173" s="27" t="n"/>
      <c r="I173" s="27" t="n"/>
      <c r="J173" s="27" t="n"/>
      <c r="K173" s="27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IF($A173="","",IF($B173="","YETİM",IF(COUNTIF(GIRDI!$A$6:$A$255,$B173)=0,"YETİM","")))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IF($A173="","",IF(OR($F173="",$G173=""),"",IF(ABS($G173-$F173)&gt;zincirTolerans,"ZİNCİR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31" t="n"/>
      <c r="D174" s="26" t="n"/>
      <c r="E174" s="26" t="n"/>
      <c r="F174" s="27" t="n"/>
      <c r="G174" s="27" t="n"/>
      <c r="H174" s="27" t="n"/>
      <c r="I174" s="27" t="n"/>
      <c r="J174" s="27" t="n"/>
      <c r="K174" s="27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IF($A174="","",IF($B174="","YETİM",IF(COUNTIF(GIRDI!$A$6:$A$255,$B174)=0,"YETİM","")))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IF($A174="","",IF(OR($F174="",$G174=""),"",IF(ABS($G174-$F174)&gt;zincirTolerans,"ZİNCİR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31" t="n"/>
      <c r="D175" s="26" t="n"/>
      <c r="E175" s="26" t="n"/>
      <c r="F175" s="27" t="n"/>
      <c r="G175" s="27" t="n"/>
      <c r="H175" s="27" t="n"/>
      <c r="I175" s="27" t="n"/>
      <c r="J175" s="27" t="n"/>
      <c r="K175" s="27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IF($A175="","",IF($B175="","YETİM",IF(COUNTIF(GIRDI!$A$6:$A$255,$B175)=0,"YETİM","")))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IF($A175="","",IF(OR($F175="",$G175=""),"",IF(ABS($G175-$F175)&gt;zincirTolerans,"ZİNCİR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31" t="n"/>
      <c r="D176" s="26" t="n"/>
      <c r="E176" s="26" t="n"/>
      <c r="F176" s="27" t="n"/>
      <c r="G176" s="27" t="n"/>
      <c r="H176" s="27" t="n"/>
      <c r="I176" s="27" t="n"/>
      <c r="J176" s="27" t="n"/>
      <c r="K176" s="27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IF($A176="","",IF($B176="","YETİM",IF(COUNTIF(GIRDI!$A$6:$A$255,$B176)=0,"YETİM","")))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IF($A176="","",IF(OR($F176="",$G176=""),"",IF(ABS($G176-$F176)&gt;zincirTolerans,"ZİNCİR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31" t="n"/>
      <c r="D177" s="26" t="n"/>
      <c r="E177" s="26" t="n"/>
      <c r="F177" s="27" t="n"/>
      <c r="G177" s="27" t="n"/>
      <c r="H177" s="27" t="n"/>
      <c r="I177" s="27" t="n"/>
      <c r="J177" s="27" t="n"/>
      <c r="K177" s="27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IF($A177="","",IF($B177="","YETİM",IF(COUNTIF(GIRDI!$A$6:$A$255,$B177)=0,"YETİM","")))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IF($A177="","",IF(OR($F177="",$G177=""),"",IF(ABS($G177-$F177)&gt;zincirTolerans,"ZİNCİR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31" t="n"/>
      <c r="D178" s="26" t="n"/>
      <c r="E178" s="26" t="n"/>
      <c r="F178" s="27" t="n"/>
      <c r="G178" s="27" t="n"/>
      <c r="H178" s="27" t="n"/>
      <c r="I178" s="27" t="n"/>
      <c r="J178" s="27" t="n"/>
      <c r="K178" s="27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IF($A178="","",IF($B178="","YETİM",IF(COUNTIF(GIRDI!$A$6:$A$255,$B178)=0,"YETİM","")))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IF($A178="","",IF(OR($F178="",$G178=""),"",IF(ABS($G178-$F178)&gt;zincirTolerans,"ZİNCİR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31" t="n"/>
      <c r="D179" s="26" t="n"/>
      <c r="E179" s="26" t="n"/>
      <c r="F179" s="27" t="n"/>
      <c r="G179" s="27" t="n"/>
      <c r="H179" s="27" t="n"/>
      <c r="I179" s="27" t="n"/>
      <c r="J179" s="27" t="n"/>
      <c r="K179" s="27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IF($A179="","",IF($B179="","YETİM",IF(COUNTIF(GIRDI!$A$6:$A$255,$B179)=0,"YETİM","")))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IF($A179="","",IF(OR($F179="",$G179=""),"",IF(ABS($G179-$F179)&gt;zincirTolerans,"ZİNCİR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31" t="n"/>
      <c r="D180" s="26" t="n"/>
      <c r="E180" s="26" t="n"/>
      <c r="F180" s="27" t="n"/>
      <c r="G180" s="27" t="n"/>
      <c r="H180" s="27" t="n"/>
      <c r="I180" s="27" t="n"/>
      <c r="J180" s="27" t="n"/>
      <c r="K180" s="27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IF($A180="","",IF($B180="","YETİM",IF(COUNTIF(GIRDI!$A$6:$A$255,$B180)=0,"YETİM","")))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IF($A180="","",IF(OR($F180="",$G180=""),"",IF(ABS($G180-$F180)&gt;zincirTolerans,"ZİNCİR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31" t="n"/>
      <c r="D181" s="26" t="n"/>
      <c r="E181" s="26" t="n"/>
      <c r="F181" s="27" t="n"/>
      <c r="G181" s="27" t="n"/>
      <c r="H181" s="27" t="n"/>
      <c r="I181" s="27" t="n"/>
      <c r="J181" s="27" t="n"/>
      <c r="K181" s="27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IF($A181="","",IF($B181="","YETİM",IF(COUNTIF(GIRDI!$A$6:$A$255,$B181)=0,"YETİM","")))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IF($A181="","",IF(OR($F181="",$G181=""),"",IF(ABS($G181-$F181)&gt;zincirTolerans,"ZİNCİR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31" t="n"/>
      <c r="D182" s="26" t="n"/>
      <c r="E182" s="26" t="n"/>
      <c r="F182" s="27" t="n"/>
      <c r="G182" s="27" t="n"/>
      <c r="H182" s="27" t="n"/>
      <c r="I182" s="27" t="n"/>
      <c r="J182" s="27" t="n"/>
      <c r="K182" s="27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IF($A182="","",IF($B182="","YETİM",IF(COUNTIF(GIRDI!$A$6:$A$255,$B182)=0,"YETİM","")))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IF($A182="","",IF(OR($F182="",$G182=""),"",IF(ABS($G182-$F182)&gt;zincirTolerans,"ZİNCİR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31" t="n"/>
      <c r="D183" s="26" t="n"/>
      <c r="E183" s="26" t="n"/>
      <c r="F183" s="27" t="n"/>
      <c r="G183" s="27" t="n"/>
      <c r="H183" s="27" t="n"/>
      <c r="I183" s="27" t="n"/>
      <c r="J183" s="27" t="n"/>
      <c r="K183" s="27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IF($A183="","",IF($B183="","YETİM",IF(COUNTIF(GIRDI!$A$6:$A$255,$B183)=0,"YETİM","")))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IF($A183="","",IF(OR($F183="",$G183=""),"",IF(ABS($G183-$F183)&gt;zincirTolerans,"ZİNCİR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31" t="n"/>
      <c r="D184" s="26" t="n"/>
      <c r="E184" s="26" t="n"/>
      <c r="F184" s="27" t="n"/>
      <c r="G184" s="27" t="n"/>
      <c r="H184" s="27" t="n"/>
      <c r="I184" s="27" t="n"/>
      <c r="J184" s="27" t="n"/>
      <c r="K184" s="27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IF($A184="","",IF($B184="","YETİM",IF(COUNTIF(GIRDI!$A$6:$A$255,$B184)=0,"YETİM","")))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IF($A184="","",IF(OR($F184="",$G184=""),"",IF(ABS($G184-$F184)&gt;zincirTolerans,"ZİNCİR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31" t="n"/>
      <c r="D185" s="26" t="n"/>
      <c r="E185" s="26" t="n"/>
      <c r="F185" s="27" t="n"/>
      <c r="G185" s="27" t="n"/>
      <c r="H185" s="27" t="n"/>
      <c r="I185" s="27" t="n"/>
      <c r="J185" s="27" t="n"/>
      <c r="K185" s="27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IF($A185="","",IF($B185="","YETİM",IF(COUNTIF(GIRDI!$A$6:$A$255,$B185)=0,"YETİM","")))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IF($A185="","",IF(OR($F185="",$G185=""),"",IF(ABS($G185-$F185)&gt;zincirTolerans,"ZİNCİR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31" t="n"/>
      <c r="D186" s="26" t="n"/>
      <c r="E186" s="26" t="n"/>
      <c r="F186" s="27" t="n"/>
      <c r="G186" s="27" t="n"/>
      <c r="H186" s="27" t="n"/>
      <c r="I186" s="27" t="n"/>
      <c r="J186" s="27" t="n"/>
      <c r="K186" s="27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IF($A186="","",IF($B186="","YETİM",IF(COUNTIF(GIRDI!$A$6:$A$255,$B186)=0,"YETİM","")))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IF($A186="","",IF(OR($F186="",$G186=""),"",IF(ABS($G186-$F186)&gt;zincirTolerans,"ZİNCİR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31" t="n"/>
      <c r="D187" s="26" t="n"/>
      <c r="E187" s="26" t="n"/>
      <c r="F187" s="27" t="n"/>
      <c r="G187" s="27" t="n"/>
      <c r="H187" s="27" t="n"/>
      <c r="I187" s="27" t="n"/>
      <c r="J187" s="27" t="n"/>
      <c r="K187" s="27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IF($A187="","",IF($B187="","YETİM",IF(COUNTIF(GIRDI!$A$6:$A$255,$B187)=0,"YETİM","")))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IF($A187="","",IF(OR($F187="",$G187=""),"",IF(ABS($G187-$F187)&gt;zincirTolerans,"ZİNCİR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31" t="n"/>
      <c r="D188" s="26" t="n"/>
      <c r="E188" s="26" t="n"/>
      <c r="F188" s="27" t="n"/>
      <c r="G188" s="27" t="n"/>
      <c r="H188" s="27" t="n"/>
      <c r="I188" s="27" t="n"/>
      <c r="J188" s="27" t="n"/>
      <c r="K188" s="27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IF($A188="","",IF($B188="","YETİM",IF(COUNTIF(GIRDI!$A$6:$A$255,$B188)=0,"YETİM","")))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IF($A188="","",IF(OR($F188="",$G188=""),"",IF(ABS($G188-$F188)&gt;zincirTolerans,"ZİNCİR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31" t="n"/>
      <c r="D189" s="26" t="n"/>
      <c r="E189" s="26" t="n"/>
      <c r="F189" s="27" t="n"/>
      <c r="G189" s="27" t="n"/>
      <c r="H189" s="27" t="n"/>
      <c r="I189" s="27" t="n"/>
      <c r="J189" s="27" t="n"/>
      <c r="K189" s="27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IF($A189="","",IF($B189="","YETİM",IF(COUNTIF(GIRDI!$A$6:$A$255,$B189)=0,"YETİM","")))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IF($A189="","",IF(OR($F189="",$G189=""),"",IF(ABS($G189-$F189)&gt;zincirTolerans,"ZİNCİR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31" t="n"/>
      <c r="D190" s="26" t="n"/>
      <c r="E190" s="26" t="n"/>
      <c r="F190" s="27" t="n"/>
      <c r="G190" s="27" t="n"/>
      <c r="H190" s="27" t="n"/>
      <c r="I190" s="27" t="n"/>
      <c r="J190" s="27" t="n"/>
      <c r="K190" s="27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IF($A190="","",IF($B190="","YETİM",IF(COUNTIF(GIRDI!$A$6:$A$255,$B190)=0,"YETİM","")))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IF($A190="","",IF(OR($F190="",$G190=""),"",IF(ABS($G190-$F190)&gt;zincirTolerans,"ZİNCİR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31" t="n"/>
      <c r="D191" s="26" t="n"/>
      <c r="E191" s="26" t="n"/>
      <c r="F191" s="27" t="n"/>
      <c r="G191" s="27" t="n"/>
      <c r="H191" s="27" t="n"/>
      <c r="I191" s="27" t="n"/>
      <c r="J191" s="27" t="n"/>
      <c r="K191" s="27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IF($A191="","",IF($B191="","YETİM",IF(COUNTIF(GIRDI!$A$6:$A$255,$B191)=0,"YETİM","")))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IF($A191="","",IF(OR($F191="",$G191=""),"",IF(ABS($G191-$F191)&gt;zincirTolerans,"ZİNCİR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31" t="n"/>
      <c r="D192" s="26" t="n"/>
      <c r="E192" s="26" t="n"/>
      <c r="F192" s="27" t="n"/>
      <c r="G192" s="27" t="n"/>
      <c r="H192" s="27" t="n"/>
      <c r="I192" s="27" t="n"/>
      <c r="J192" s="27" t="n"/>
      <c r="K192" s="27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IF($A192="","",IF($B192="","YETİM",IF(COUNTIF(GIRDI!$A$6:$A$255,$B192)=0,"YETİM","")))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IF($A192="","",IF(OR($F192="",$G192=""),"",IF(ABS($G192-$F192)&gt;zincirTolerans,"ZİNCİR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31" t="n"/>
      <c r="D193" s="26" t="n"/>
      <c r="E193" s="26" t="n"/>
      <c r="F193" s="27" t="n"/>
      <c r="G193" s="27" t="n"/>
      <c r="H193" s="27" t="n"/>
      <c r="I193" s="27" t="n"/>
      <c r="J193" s="27" t="n"/>
      <c r="K193" s="27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IF($A193="","",IF($B193="","YETİM",IF(COUNTIF(GIRDI!$A$6:$A$255,$B193)=0,"YETİM","")))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IF($A193="","",IF(OR($F193="",$G193=""),"",IF(ABS($G193-$F193)&gt;zincirTolerans,"ZİNCİR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31" t="n"/>
      <c r="D194" s="26" t="n"/>
      <c r="E194" s="26" t="n"/>
      <c r="F194" s="27" t="n"/>
      <c r="G194" s="27" t="n"/>
      <c r="H194" s="27" t="n"/>
      <c r="I194" s="27" t="n"/>
      <c r="J194" s="27" t="n"/>
      <c r="K194" s="27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IF($A194="","",IF($B194="","YETİM",IF(COUNTIF(GIRDI!$A$6:$A$255,$B194)=0,"YETİM","")))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IF($A194="","",IF(OR($F194="",$G194=""),"",IF(ABS($G194-$F194)&gt;zincirTolerans,"ZİNCİR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31" t="n"/>
      <c r="D195" s="26" t="n"/>
      <c r="E195" s="26" t="n"/>
      <c r="F195" s="27" t="n"/>
      <c r="G195" s="27" t="n"/>
      <c r="H195" s="27" t="n"/>
      <c r="I195" s="27" t="n"/>
      <c r="J195" s="27" t="n"/>
      <c r="K195" s="27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IF($A195="","",IF($B195="","YETİM",IF(COUNTIF(GIRDI!$A$6:$A$255,$B195)=0,"YETİM","")))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IF($A195="","",IF(OR($F195="",$G195=""),"",IF(ABS($G195-$F195)&gt;zincirTolerans,"ZİNCİR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31" t="n"/>
      <c r="D196" s="26" t="n"/>
      <c r="E196" s="26" t="n"/>
      <c r="F196" s="27" t="n"/>
      <c r="G196" s="27" t="n"/>
      <c r="H196" s="27" t="n"/>
      <c r="I196" s="27" t="n"/>
      <c r="J196" s="27" t="n"/>
      <c r="K196" s="27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IF($A196="","",IF($B196="","YETİM",IF(COUNTIF(GIRDI!$A$6:$A$255,$B196)=0,"YETİM","")))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IF($A196="","",IF(OR($F196="",$G196=""),"",IF(ABS($G196-$F196)&gt;zincirTolerans,"ZİNCİR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31" t="n"/>
      <c r="D197" s="26" t="n"/>
      <c r="E197" s="26" t="n"/>
      <c r="F197" s="27" t="n"/>
      <c r="G197" s="27" t="n"/>
      <c r="H197" s="27" t="n"/>
      <c r="I197" s="27" t="n"/>
      <c r="J197" s="27" t="n"/>
      <c r="K197" s="27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IF($A197="","",IF($B197="","YETİM",IF(COUNTIF(GIRDI!$A$6:$A$255,$B197)=0,"YETİM","")))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IF($A197="","",IF(OR($F197="",$G197=""),"",IF(ABS($G197-$F197)&gt;zincirTolerans,"ZİNCİR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31" t="n"/>
      <c r="D198" s="26" t="n"/>
      <c r="E198" s="26" t="n"/>
      <c r="F198" s="27" t="n"/>
      <c r="G198" s="27" t="n"/>
      <c r="H198" s="27" t="n"/>
      <c r="I198" s="27" t="n"/>
      <c r="J198" s="27" t="n"/>
      <c r="K198" s="27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IF($A198="","",IF($B198="","YETİM",IF(COUNTIF(GIRDI!$A$6:$A$255,$B198)=0,"YETİM","")))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IF($A198="","",IF(OR($F198="",$G198=""),"",IF(ABS($G198-$F198)&gt;zincirTolerans,"ZİNCİR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31" t="n"/>
      <c r="D199" s="26" t="n"/>
      <c r="E199" s="26" t="n"/>
      <c r="F199" s="27" t="n"/>
      <c r="G199" s="27" t="n"/>
      <c r="H199" s="27" t="n"/>
      <c r="I199" s="27" t="n"/>
      <c r="J199" s="27" t="n"/>
      <c r="K199" s="27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IF($A199="","",IF($B199="","YETİM",IF(COUNTIF(GIRDI!$A$6:$A$255,$B199)=0,"YETİM","")))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IF($A199="","",IF(OR($F199="",$G199=""),"",IF(ABS($G199-$F199)&gt;zincirTolerans,"ZİNCİR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31" t="n"/>
      <c r="D200" s="26" t="n"/>
      <c r="E200" s="26" t="n"/>
      <c r="F200" s="27" t="n"/>
      <c r="G200" s="27" t="n"/>
      <c r="H200" s="27" t="n"/>
      <c r="I200" s="27" t="n"/>
      <c r="J200" s="27" t="n"/>
      <c r="K200" s="27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IF($A200="","",IF($B200="","YETİM",IF(COUNTIF(GIRDI!$A$6:$A$255,$B200)=0,"YETİM","")))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IF($A200="","",IF(OR($F200="",$G200=""),"",IF(ABS($G200-$F200)&gt;zincirTolerans,"ZİNCİR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31" t="n"/>
      <c r="D201" s="26" t="n"/>
      <c r="E201" s="26" t="n"/>
      <c r="F201" s="27" t="n"/>
      <c r="G201" s="27" t="n"/>
      <c r="H201" s="27" t="n"/>
      <c r="I201" s="27" t="n"/>
      <c r="J201" s="27" t="n"/>
      <c r="K201" s="27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IF($A201="","",IF($B201="","YETİM",IF(COUNTIF(GIRDI!$A$6:$A$255,$B201)=0,"YETİM","")))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IF($A201="","",IF(OR($F201="",$G201=""),"",IF(ABS($G201-$F201)&gt;zincirTolerans,"ZİNCİR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31" t="n"/>
      <c r="D202" s="26" t="n"/>
      <c r="E202" s="26" t="n"/>
      <c r="F202" s="27" t="n"/>
      <c r="G202" s="27" t="n"/>
      <c r="H202" s="27" t="n"/>
      <c r="I202" s="27" t="n"/>
      <c r="J202" s="27" t="n"/>
      <c r="K202" s="27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IF($A202="","",IF($B202="","YETİM",IF(COUNTIF(GIRDI!$A$6:$A$255,$B202)=0,"YETİM","")))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IF($A202="","",IF(OR($F202="",$G202=""),"",IF(ABS($G202-$F202)&gt;zincirTolerans,"ZİNCİR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31" t="n"/>
      <c r="D203" s="26" t="n"/>
      <c r="E203" s="26" t="n"/>
      <c r="F203" s="27" t="n"/>
      <c r="G203" s="27" t="n"/>
      <c r="H203" s="27" t="n"/>
      <c r="I203" s="27" t="n"/>
      <c r="J203" s="27" t="n"/>
      <c r="K203" s="27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IF($A203="","",IF($B203="","YETİM",IF(COUNTIF(GIRDI!$A$6:$A$255,$B203)=0,"YETİM","")))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IF($A203="","",IF(OR($F203="",$G203=""),"",IF(ABS($G203-$F203)&gt;zincirTolerans,"ZİNCİR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31" t="n"/>
      <c r="D204" s="26" t="n"/>
      <c r="E204" s="26" t="n"/>
      <c r="F204" s="27" t="n"/>
      <c r="G204" s="27" t="n"/>
      <c r="H204" s="27" t="n"/>
      <c r="I204" s="27" t="n"/>
      <c r="J204" s="27" t="n"/>
      <c r="K204" s="27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IF($A204="","",IF($B204="","YETİM",IF(COUNTIF(GIRDI!$A$6:$A$255,$B204)=0,"YETİM","")))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IF($A204="","",IF(OR($F204="",$G204=""),"",IF(ABS($G204-$F204)&gt;zincirTolerans,"ZİNCİR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31" t="n"/>
      <c r="D205" s="26" t="n"/>
      <c r="E205" s="26" t="n"/>
      <c r="F205" s="27" t="n"/>
      <c r="G205" s="27" t="n"/>
      <c r="H205" s="27" t="n"/>
      <c r="I205" s="27" t="n"/>
      <c r="J205" s="27" t="n"/>
      <c r="K205" s="27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IF($A205="","",IF($B205="","YETİM",IF(COUNTIF(GIRDI!$A$6:$A$255,$B205)=0,"YETİM","")))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IF($A205="","",IF(OR($F205="",$G205=""),"",IF(ABS($G205-$F205)&gt;zincirTolerans,"ZİNCİR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31" t="n"/>
      <c r="D206" s="26" t="n"/>
      <c r="E206" s="26" t="n"/>
      <c r="F206" s="27" t="n"/>
      <c r="G206" s="27" t="n"/>
      <c r="H206" s="27" t="n"/>
      <c r="I206" s="27" t="n"/>
      <c r="J206" s="27" t="n"/>
      <c r="K206" s="27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IF($A206="","",IF($B206="","YETİM",IF(COUNTIF(GIRDI!$A$6:$A$255,$B206)=0,"YETİM","")))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IF($A206="","",IF(OR($F206="",$G206=""),"",IF(ABS($G206-$F206)&gt;zincirTolerans,"ZİNCİR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31" t="n"/>
      <c r="D207" s="26" t="n"/>
      <c r="E207" s="26" t="n"/>
      <c r="F207" s="27" t="n"/>
      <c r="G207" s="27" t="n"/>
      <c r="H207" s="27" t="n"/>
      <c r="I207" s="27" t="n"/>
      <c r="J207" s="27" t="n"/>
      <c r="K207" s="27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IF($A207="","",IF($B207="","YETİM",IF(COUNTIF(GIRDI!$A$6:$A$255,$B207)=0,"YETİM","")))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IF($A207="","",IF(OR($F207="",$G207=""),"",IF(ABS($G207-$F207)&gt;zincirTolerans,"ZİNCİR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31" t="n"/>
      <c r="D208" s="26" t="n"/>
      <c r="E208" s="26" t="n"/>
      <c r="F208" s="27" t="n"/>
      <c r="G208" s="27" t="n"/>
      <c r="H208" s="27" t="n"/>
      <c r="I208" s="27" t="n"/>
      <c r="J208" s="27" t="n"/>
      <c r="K208" s="27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IF($A208="","",IF($B208="","YETİM",IF(COUNTIF(GIRDI!$A$6:$A$255,$B208)=0,"YETİM","")))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IF($A208="","",IF(OR($F208="",$G208=""),"",IF(ABS($G208-$F208)&gt;zincirTolerans,"ZİNCİR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31" t="n"/>
      <c r="D209" s="26" t="n"/>
      <c r="E209" s="26" t="n"/>
      <c r="F209" s="27" t="n"/>
      <c r="G209" s="27" t="n"/>
      <c r="H209" s="27" t="n"/>
      <c r="I209" s="27" t="n"/>
      <c r="J209" s="27" t="n"/>
      <c r="K209" s="27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IF($A209="","",IF($B209="","YETİM",IF(COUNTIF(GIRDI!$A$6:$A$255,$B209)=0,"YETİM","")))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IF($A209="","",IF(OR($F209="",$G209=""),"",IF(ABS($G209-$F209)&gt;zincirTolerans,"ZİNCİR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31" t="n"/>
      <c r="D210" s="26" t="n"/>
      <c r="E210" s="26" t="n"/>
      <c r="F210" s="27" t="n"/>
      <c r="G210" s="27" t="n"/>
      <c r="H210" s="27" t="n"/>
      <c r="I210" s="27" t="n"/>
      <c r="J210" s="27" t="n"/>
      <c r="K210" s="27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IF($A210="","",IF($B210="","YETİM",IF(COUNTIF(GIRDI!$A$6:$A$255,$B210)=0,"YETİM","")))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IF($A210="","",IF(OR($F210="",$G210=""),"",IF(ABS($G210-$F210)&gt;zincirTolerans,"ZİNCİR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31" t="n"/>
      <c r="D211" s="26" t="n"/>
      <c r="E211" s="26" t="n"/>
      <c r="F211" s="27" t="n"/>
      <c r="G211" s="27" t="n"/>
      <c r="H211" s="27" t="n"/>
      <c r="I211" s="27" t="n"/>
      <c r="J211" s="27" t="n"/>
      <c r="K211" s="27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IF($A211="","",IF($B211="","YETİM",IF(COUNTIF(GIRDI!$A$6:$A$255,$B211)=0,"YETİM","")))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IF($A211="","",IF(OR($F211="",$G211=""),"",IF(ABS($G211-$F211)&gt;zincirTolerans,"ZİNCİR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31" t="n"/>
      <c r="D212" s="26" t="n"/>
      <c r="E212" s="26" t="n"/>
      <c r="F212" s="27" t="n"/>
      <c r="G212" s="27" t="n"/>
      <c r="H212" s="27" t="n"/>
      <c r="I212" s="27" t="n"/>
      <c r="J212" s="27" t="n"/>
      <c r="K212" s="27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IF($A212="","",IF($B212="","YETİM",IF(COUNTIF(GIRDI!$A$6:$A$255,$B212)=0,"YETİM","")))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IF($A212="","",IF(OR($F212="",$G212=""),"",IF(ABS($G212-$F212)&gt;zincirTolerans,"ZİNCİR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31" t="n"/>
      <c r="D213" s="26" t="n"/>
      <c r="E213" s="26" t="n"/>
      <c r="F213" s="27" t="n"/>
      <c r="G213" s="27" t="n"/>
      <c r="H213" s="27" t="n"/>
      <c r="I213" s="27" t="n"/>
      <c r="J213" s="27" t="n"/>
      <c r="K213" s="27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IF($A213="","",IF($B213="","YETİM",IF(COUNTIF(GIRDI!$A$6:$A$255,$B213)=0,"YETİM","")))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IF($A213="","",IF(OR($F213="",$G213=""),"",IF(ABS($G213-$F213)&gt;zincirTolerans,"ZİNCİR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31" t="n"/>
      <c r="D214" s="26" t="n"/>
      <c r="E214" s="26" t="n"/>
      <c r="F214" s="27" t="n"/>
      <c r="G214" s="27" t="n"/>
      <c r="H214" s="27" t="n"/>
      <c r="I214" s="27" t="n"/>
      <c r="J214" s="27" t="n"/>
      <c r="K214" s="27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IF($A214="","",IF($B214="","YETİM",IF(COUNTIF(GIRDI!$A$6:$A$255,$B214)=0,"YETİM","")))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IF($A214="","",IF(OR($F214="",$G214=""),"",IF(ABS($G214-$F214)&gt;zincirTolerans,"ZİNCİR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31" t="n"/>
      <c r="D215" s="26" t="n"/>
      <c r="E215" s="26" t="n"/>
      <c r="F215" s="27" t="n"/>
      <c r="G215" s="27" t="n"/>
      <c r="H215" s="27" t="n"/>
      <c r="I215" s="27" t="n"/>
      <c r="J215" s="27" t="n"/>
      <c r="K215" s="27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IF($A215="","",IF($B215="","YETİM",IF(COUNTIF(GIRDI!$A$6:$A$255,$B215)=0,"YETİM","")))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IF($A215="","",IF(OR($F215="",$G215=""),"",IF(ABS($G215-$F215)&gt;zincirTolerans,"ZİNCİR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31" t="n"/>
      <c r="D216" s="26" t="n"/>
      <c r="E216" s="26" t="n"/>
      <c r="F216" s="27" t="n"/>
      <c r="G216" s="27" t="n"/>
      <c r="H216" s="27" t="n"/>
      <c r="I216" s="27" t="n"/>
      <c r="J216" s="27" t="n"/>
      <c r="K216" s="27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IF($A216="","",IF($B216="","YETİM",IF(COUNTIF(GIRDI!$A$6:$A$255,$B216)=0,"YETİM","")))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IF($A216="","",IF(OR($F216="",$G216=""),"",IF(ABS($G216-$F216)&gt;zincirTolerans,"ZİNCİR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31" t="n"/>
      <c r="D217" s="26" t="n"/>
      <c r="E217" s="26" t="n"/>
      <c r="F217" s="27" t="n"/>
      <c r="G217" s="27" t="n"/>
      <c r="H217" s="27" t="n"/>
      <c r="I217" s="27" t="n"/>
      <c r="J217" s="27" t="n"/>
      <c r="K217" s="27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IF($A217="","",IF($B217="","YETİM",IF(COUNTIF(GIRDI!$A$6:$A$255,$B217)=0,"YETİM","")))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IF($A217="","",IF(OR($F217="",$G217=""),"",IF(ABS($G217-$F217)&gt;zincirTolerans,"ZİNCİR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31" t="n"/>
      <c r="D218" s="26" t="n"/>
      <c r="E218" s="26" t="n"/>
      <c r="F218" s="27" t="n"/>
      <c r="G218" s="27" t="n"/>
      <c r="H218" s="27" t="n"/>
      <c r="I218" s="27" t="n"/>
      <c r="J218" s="27" t="n"/>
      <c r="K218" s="27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IF($A218="","",IF($B218="","YETİM",IF(COUNTIF(GIRDI!$A$6:$A$255,$B218)=0,"YETİM","")))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IF($A218="","",IF(OR($F218="",$G218=""),"",IF(ABS($G218-$F218)&gt;zincirTolerans,"ZİNCİR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31" t="n"/>
      <c r="D219" s="26" t="n"/>
      <c r="E219" s="26" t="n"/>
      <c r="F219" s="27" t="n"/>
      <c r="G219" s="27" t="n"/>
      <c r="H219" s="27" t="n"/>
      <c r="I219" s="27" t="n"/>
      <c r="J219" s="27" t="n"/>
      <c r="K219" s="27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IF($A219="","",IF($B219="","YETİM",IF(COUNTIF(GIRDI!$A$6:$A$255,$B219)=0,"YETİM","")))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IF($A219="","",IF(OR($F219="",$G219=""),"",IF(ABS($G219-$F219)&gt;zincirTolerans,"ZİNCİR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31" t="n"/>
      <c r="D220" s="26" t="n"/>
      <c r="E220" s="26" t="n"/>
      <c r="F220" s="27" t="n"/>
      <c r="G220" s="27" t="n"/>
      <c r="H220" s="27" t="n"/>
      <c r="I220" s="27" t="n"/>
      <c r="J220" s="27" t="n"/>
      <c r="K220" s="27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IF($A220="","",IF($B220="","YETİM",IF(COUNTIF(GIRDI!$A$6:$A$255,$B220)=0,"YETİM","")))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IF($A220="","",IF(OR($F220="",$G220=""),"",IF(ABS($G220-$F220)&gt;zincirTolerans,"ZİNCİR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31" t="n"/>
      <c r="D221" s="26" t="n"/>
      <c r="E221" s="26" t="n"/>
      <c r="F221" s="27" t="n"/>
      <c r="G221" s="27" t="n"/>
      <c r="H221" s="27" t="n"/>
      <c r="I221" s="27" t="n"/>
      <c r="J221" s="27" t="n"/>
      <c r="K221" s="27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IF($A221="","",IF($B221="","YETİM",IF(COUNTIF(GIRDI!$A$6:$A$255,$B221)=0,"YETİM","")))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IF($A221="","",IF(OR($F221="",$G221=""),"",IF(ABS($G221-$F221)&gt;zincirTolerans,"ZİNCİR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31" t="n"/>
      <c r="D222" s="26" t="n"/>
      <c r="E222" s="26" t="n"/>
      <c r="F222" s="27" t="n"/>
      <c r="G222" s="27" t="n"/>
      <c r="H222" s="27" t="n"/>
      <c r="I222" s="27" t="n"/>
      <c r="J222" s="27" t="n"/>
      <c r="K222" s="27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IF($A222="","",IF($B222="","YETİM",IF(COUNTIF(GIRDI!$A$6:$A$255,$B222)=0,"YETİM","")))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IF($A222="","",IF(OR($F222="",$G222=""),"",IF(ABS($G222-$F222)&gt;zincirTolerans,"ZİNCİR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31" t="n"/>
      <c r="D223" s="26" t="n"/>
      <c r="E223" s="26" t="n"/>
      <c r="F223" s="27" t="n"/>
      <c r="G223" s="27" t="n"/>
      <c r="H223" s="27" t="n"/>
      <c r="I223" s="27" t="n"/>
      <c r="J223" s="27" t="n"/>
      <c r="K223" s="27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IF($A223="","",IF($B223="","YETİM",IF(COUNTIF(GIRDI!$A$6:$A$255,$B223)=0,"YETİM","")))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IF($A223="","",IF(OR($F223="",$G223=""),"",IF(ABS($G223-$F223)&gt;zincirTolerans,"ZİNCİR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31" t="n"/>
      <c r="D224" s="26" t="n"/>
      <c r="E224" s="26" t="n"/>
      <c r="F224" s="27" t="n"/>
      <c r="G224" s="27" t="n"/>
      <c r="H224" s="27" t="n"/>
      <c r="I224" s="27" t="n"/>
      <c r="J224" s="27" t="n"/>
      <c r="K224" s="27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IF($A224="","",IF($B224="","YETİM",IF(COUNTIF(GIRDI!$A$6:$A$255,$B224)=0,"YETİM","")))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IF($A224="","",IF(OR($F224="",$G224=""),"",IF(ABS($G224-$F224)&gt;zincirTolerans,"ZİNCİR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31" t="n"/>
      <c r="D225" s="26" t="n"/>
      <c r="E225" s="26" t="n"/>
      <c r="F225" s="27" t="n"/>
      <c r="G225" s="27" t="n"/>
      <c r="H225" s="27" t="n"/>
      <c r="I225" s="27" t="n"/>
      <c r="J225" s="27" t="n"/>
      <c r="K225" s="27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IF($A225="","",IF($B225="","YETİM",IF(COUNTIF(GIRDI!$A$6:$A$255,$B225)=0,"YETİM","")))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IF($A225="","",IF(OR($F225="",$G225=""),"",IF(ABS($G225-$F225)&gt;zincirTolerans,"ZİNCİR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31" t="n"/>
      <c r="D226" s="26" t="n"/>
      <c r="E226" s="26" t="n"/>
      <c r="F226" s="27" t="n"/>
      <c r="G226" s="27" t="n"/>
      <c r="H226" s="27" t="n"/>
      <c r="I226" s="27" t="n"/>
      <c r="J226" s="27" t="n"/>
      <c r="K226" s="27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IF($A226="","",IF($B226="","YETİM",IF(COUNTIF(GIRDI!$A$6:$A$255,$B226)=0,"YETİM","")))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IF($A226="","",IF(OR($F226="",$G226=""),"",IF(ABS($G226-$F226)&gt;zincirTolerans,"ZİNCİR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31" t="n"/>
      <c r="D227" s="26" t="n"/>
      <c r="E227" s="26" t="n"/>
      <c r="F227" s="27" t="n"/>
      <c r="G227" s="27" t="n"/>
      <c r="H227" s="27" t="n"/>
      <c r="I227" s="27" t="n"/>
      <c r="J227" s="27" t="n"/>
      <c r="K227" s="27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IF($A227="","",IF($B227="","YETİM",IF(COUNTIF(GIRDI!$A$6:$A$255,$B227)=0,"YETİM","")))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IF($A227="","",IF(OR($F227="",$G227=""),"",IF(ABS($G227-$F227)&gt;zincirTolerans,"ZİNCİR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31" t="n"/>
      <c r="D228" s="26" t="n"/>
      <c r="E228" s="26" t="n"/>
      <c r="F228" s="27" t="n"/>
      <c r="G228" s="27" t="n"/>
      <c r="H228" s="27" t="n"/>
      <c r="I228" s="27" t="n"/>
      <c r="J228" s="27" t="n"/>
      <c r="K228" s="27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IF($A228="","",IF($B228="","YETİM",IF(COUNTIF(GIRDI!$A$6:$A$255,$B228)=0,"YETİM","")))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IF($A228="","",IF(OR($F228="",$G228=""),"",IF(ABS($G228-$F228)&gt;zincirTolerans,"ZİNCİR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31" t="n"/>
      <c r="D229" s="26" t="n"/>
      <c r="E229" s="26" t="n"/>
      <c r="F229" s="27" t="n"/>
      <c r="G229" s="27" t="n"/>
      <c r="H229" s="27" t="n"/>
      <c r="I229" s="27" t="n"/>
      <c r="J229" s="27" t="n"/>
      <c r="K229" s="27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IF($A229="","",IF($B229="","YETİM",IF(COUNTIF(GIRDI!$A$6:$A$255,$B229)=0,"YETİM","")))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IF($A229="","",IF(OR($F229="",$G229=""),"",IF(ABS($G229-$F229)&gt;zincirTolerans,"ZİNCİR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31" t="n"/>
      <c r="D230" s="26" t="n"/>
      <c r="E230" s="26" t="n"/>
      <c r="F230" s="27" t="n"/>
      <c r="G230" s="27" t="n"/>
      <c r="H230" s="27" t="n"/>
      <c r="I230" s="27" t="n"/>
      <c r="J230" s="27" t="n"/>
      <c r="K230" s="27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IF($A230="","",IF($B230="","YETİM",IF(COUNTIF(GIRDI!$A$6:$A$255,$B230)=0,"YETİM","")))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IF($A230="","",IF(OR($F230="",$G230=""),"",IF(ABS($G230-$F230)&gt;zincirTolerans,"ZİNCİR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31" t="n"/>
      <c r="D231" s="26" t="n"/>
      <c r="E231" s="26" t="n"/>
      <c r="F231" s="27" t="n"/>
      <c r="G231" s="27" t="n"/>
      <c r="H231" s="27" t="n"/>
      <c r="I231" s="27" t="n"/>
      <c r="J231" s="27" t="n"/>
      <c r="K231" s="27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IF($A231="","",IF($B231="","YETİM",IF(COUNTIF(GIRDI!$A$6:$A$255,$B231)=0,"YETİM","")))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IF($A231="","",IF(OR($F231="",$G231=""),"",IF(ABS($G231-$F231)&gt;zincirTolerans,"ZİNCİR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31" t="n"/>
      <c r="D232" s="26" t="n"/>
      <c r="E232" s="26" t="n"/>
      <c r="F232" s="27" t="n"/>
      <c r="G232" s="27" t="n"/>
      <c r="H232" s="27" t="n"/>
      <c r="I232" s="27" t="n"/>
      <c r="J232" s="27" t="n"/>
      <c r="K232" s="27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IF($A232="","",IF($B232="","YETİM",IF(COUNTIF(GIRDI!$A$6:$A$255,$B232)=0,"YETİM","")))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IF($A232="","",IF(OR($F232="",$G232=""),"",IF(ABS($G232-$F232)&gt;zincirTolerans,"ZİNCİR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31" t="n"/>
      <c r="D233" s="26" t="n"/>
      <c r="E233" s="26" t="n"/>
      <c r="F233" s="27" t="n"/>
      <c r="G233" s="27" t="n"/>
      <c r="H233" s="27" t="n"/>
      <c r="I233" s="27" t="n"/>
      <c r="J233" s="27" t="n"/>
      <c r="K233" s="27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IF($A233="","",IF($B233="","YETİM",IF(COUNTIF(GIRDI!$A$6:$A$255,$B233)=0,"YETİM","")))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IF($A233="","",IF(OR($F233="",$G233=""),"",IF(ABS($G233-$F233)&gt;zincirTolerans,"ZİNCİR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31" t="n"/>
      <c r="D234" s="26" t="n"/>
      <c r="E234" s="26" t="n"/>
      <c r="F234" s="27" t="n"/>
      <c r="G234" s="27" t="n"/>
      <c r="H234" s="27" t="n"/>
      <c r="I234" s="27" t="n"/>
      <c r="J234" s="27" t="n"/>
      <c r="K234" s="27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IF($A234="","",IF($B234="","YETİM",IF(COUNTIF(GIRDI!$A$6:$A$255,$B234)=0,"YETİM","")))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IF($A234="","",IF(OR($F234="",$G234=""),"",IF(ABS($G234-$F234)&gt;zincirTolerans,"ZİNCİR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31" t="n"/>
      <c r="D235" s="26" t="n"/>
      <c r="E235" s="26" t="n"/>
      <c r="F235" s="27" t="n"/>
      <c r="G235" s="27" t="n"/>
      <c r="H235" s="27" t="n"/>
      <c r="I235" s="27" t="n"/>
      <c r="J235" s="27" t="n"/>
      <c r="K235" s="27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IF($A235="","",IF($B235="","YETİM",IF(COUNTIF(GIRDI!$A$6:$A$255,$B235)=0,"YETİM","")))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IF($A235="","",IF(OR($F235="",$G235=""),"",IF(ABS($G235-$F235)&gt;zincirTolerans,"ZİNCİR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31" t="n"/>
      <c r="D236" s="26" t="n"/>
      <c r="E236" s="26" t="n"/>
      <c r="F236" s="27" t="n"/>
      <c r="G236" s="27" t="n"/>
      <c r="H236" s="27" t="n"/>
      <c r="I236" s="27" t="n"/>
      <c r="J236" s="27" t="n"/>
      <c r="K236" s="27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IF($A236="","",IF($B236="","YETİM",IF(COUNTIF(GIRDI!$A$6:$A$255,$B236)=0,"YETİM","")))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IF($A236="","",IF(OR($F236="",$G236=""),"",IF(ABS($G236-$F236)&gt;zincirTolerans,"ZİNCİR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31" t="n"/>
      <c r="D237" s="26" t="n"/>
      <c r="E237" s="26" t="n"/>
      <c r="F237" s="27" t="n"/>
      <c r="G237" s="27" t="n"/>
      <c r="H237" s="27" t="n"/>
      <c r="I237" s="27" t="n"/>
      <c r="J237" s="27" t="n"/>
      <c r="K237" s="27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IF($A237="","",IF($B237="","YETİM",IF(COUNTIF(GIRDI!$A$6:$A$255,$B237)=0,"YETİM","")))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IF($A237="","",IF(OR($F237="",$G237=""),"",IF(ABS($G237-$F237)&gt;zincirTolerans,"ZİNCİR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31" t="n"/>
      <c r="D238" s="26" t="n"/>
      <c r="E238" s="26" t="n"/>
      <c r="F238" s="27" t="n"/>
      <c r="G238" s="27" t="n"/>
      <c r="H238" s="27" t="n"/>
      <c r="I238" s="27" t="n"/>
      <c r="J238" s="27" t="n"/>
      <c r="K238" s="27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IF($A238="","",IF($B238="","YETİM",IF(COUNTIF(GIRDI!$A$6:$A$255,$B238)=0,"YETİM","")))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IF($A238="","",IF(OR($F238="",$G238=""),"",IF(ABS($G238-$F238)&gt;zincirTolerans,"ZİNCİR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31" t="n"/>
      <c r="D239" s="26" t="n"/>
      <c r="E239" s="26" t="n"/>
      <c r="F239" s="27" t="n"/>
      <c r="G239" s="27" t="n"/>
      <c r="H239" s="27" t="n"/>
      <c r="I239" s="27" t="n"/>
      <c r="J239" s="27" t="n"/>
      <c r="K239" s="27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IF($A239="","",IF($B239="","YETİM",IF(COUNTIF(GIRDI!$A$6:$A$255,$B239)=0,"YETİM","")))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IF($A239="","",IF(OR($F239="",$G239=""),"",IF(ABS($G239-$F239)&gt;zincirTolerans,"ZİNCİR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31" t="n"/>
      <c r="D240" s="26" t="n"/>
      <c r="E240" s="26" t="n"/>
      <c r="F240" s="27" t="n"/>
      <c r="G240" s="27" t="n"/>
      <c r="H240" s="27" t="n"/>
      <c r="I240" s="27" t="n"/>
      <c r="J240" s="27" t="n"/>
      <c r="K240" s="27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IF($A240="","",IF($B240="","YETİM",IF(COUNTIF(GIRDI!$A$6:$A$255,$B240)=0,"YETİM","")))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IF($A240="","",IF(OR($F240="",$G240=""),"",IF(ABS($G240-$F240)&gt;zincirTolerans,"ZİNCİR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31" t="n"/>
      <c r="D241" s="26" t="n"/>
      <c r="E241" s="26" t="n"/>
      <c r="F241" s="27" t="n"/>
      <c r="G241" s="27" t="n"/>
      <c r="H241" s="27" t="n"/>
      <c r="I241" s="27" t="n"/>
      <c r="J241" s="27" t="n"/>
      <c r="K241" s="27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IF($A241="","",IF($B241="","YETİM",IF(COUNTIF(GIRDI!$A$6:$A$255,$B241)=0,"YETİM","")))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IF($A241="","",IF(OR($F241="",$G241=""),"",IF(ABS($G241-$F241)&gt;zincirTolerans,"ZİNCİR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31" t="n"/>
      <c r="D242" s="26" t="n"/>
      <c r="E242" s="26" t="n"/>
      <c r="F242" s="27" t="n"/>
      <c r="G242" s="27" t="n"/>
      <c r="H242" s="27" t="n"/>
      <c r="I242" s="27" t="n"/>
      <c r="J242" s="27" t="n"/>
      <c r="K242" s="27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IF($A242="","",IF($B242="","YETİM",IF(COUNTIF(GIRDI!$A$6:$A$255,$B242)=0,"YETİM","")))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IF($A242="","",IF(OR($F242="",$G242=""),"",IF(ABS($G242-$F242)&gt;zincirTolerans,"ZİNCİR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31" t="n"/>
      <c r="D243" s="26" t="n"/>
      <c r="E243" s="26" t="n"/>
      <c r="F243" s="27" t="n"/>
      <c r="G243" s="27" t="n"/>
      <c r="H243" s="27" t="n"/>
      <c r="I243" s="27" t="n"/>
      <c r="J243" s="27" t="n"/>
      <c r="K243" s="27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IF($A243="","",IF($B243="","YETİM",IF(COUNTIF(GIRDI!$A$6:$A$255,$B243)=0,"YETİM","")))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IF($A243="","",IF(OR($F243="",$G243=""),"",IF(ABS($G243-$F243)&gt;zincirTolerans,"ZİNCİR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31" t="n"/>
      <c r="D244" s="26" t="n"/>
      <c r="E244" s="26" t="n"/>
      <c r="F244" s="27" t="n"/>
      <c r="G244" s="27" t="n"/>
      <c r="H244" s="27" t="n"/>
      <c r="I244" s="27" t="n"/>
      <c r="J244" s="27" t="n"/>
      <c r="K244" s="27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IF($A244="","",IF($B244="","YETİM",IF(COUNTIF(GIRDI!$A$6:$A$255,$B244)=0,"YETİM","")))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IF($A244="","",IF(OR($F244="",$G244=""),"",IF(ABS($G244-$F244)&gt;zincirTolerans,"ZİNCİR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31" t="n"/>
      <c r="D245" s="26" t="n"/>
      <c r="E245" s="26" t="n"/>
      <c r="F245" s="27" t="n"/>
      <c r="G245" s="27" t="n"/>
      <c r="H245" s="27" t="n"/>
      <c r="I245" s="27" t="n"/>
      <c r="J245" s="27" t="n"/>
      <c r="K245" s="27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IF($A245="","",IF($B245="","YETİM",IF(COUNTIF(GIRDI!$A$6:$A$255,$B245)=0,"YETİM","")))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IF($A245="","",IF(OR($F245="",$G245=""),"",IF(ABS($G245-$F245)&gt;zincirTolerans,"ZİNCİR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31" t="n"/>
      <c r="D246" s="26" t="n"/>
      <c r="E246" s="26" t="n"/>
      <c r="F246" s="27" t="n"/>
      <c r="G246" s="27" t="n"/>
      <c r="H246" s="27" t="n"/>
      <c r="I246" s="27" t="n"/>
      <c r="J246" s="27" t="n"/>
      <c r="K246" s="27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IF($A246="","",IF($B246="","YETİM",IF(COUNTIF(GIRDI!$A$6:$A$255,$B246)=0,"YETİM","")))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IF($A246="","",IF(OR($F246="",$G246=""),"",IF(ABS($G246-$F246)&gt;zincirTolerans,"ZİNCİR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31" t="n"/>
      <c r="D247" s="26" t="n"/>
      <c r="E247" s="26" t="n"/>
      <c r="F247" s="27" t="n"/>
      <c r="G247" s="27" t="n"/>
      <c r="H247" s="27" t="n"/>
      <c r="I247" s="27" t="n"/>
      <c r="J247" s="27" t="n"/>
      <c r="K247" s="27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IF($A247="","",IF($B247="","YETİM",IF(COUNTIF(GIRDI!$A$6:$A$255,$B247)=0,"YETİM","")))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IF($A247="","",IF(OR($F247="",$G247=""),"",IF(ABS($G247-$F247)&gt;zincirTolerans,"ZİNCİR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31" t="n"/>
      <c r="D248" s="26" t="n"/>
      <c r="E248" s="26" t="n"/>
      <c r="F248" s="27" t="n"/>
      <c r="G248" s="27" t="n"/>
      <c r="H248" s="27" t="n"/>
      <c r="I248" s="27" t="n"/>
      <c r="J248" s="27" t="n"/>
      <c r="K248" s="27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IF($A248="","",IF($B248="","YETİM",IF(COUNTIF(GIRDI!$A$6:$A$255,$B248)=0,"YETİM","")))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IF($A248="","",IF(OR($F248="",$G248=""),"",IF(ABS($G248-$F248)&gt;zincirTolerans,"ZİNCİR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31" t="n"/>
      <c r="D249" s="26" t="n"/>
      <c r="E249" s="26" t="n"/>
      <c r="F249" s="27" t="n"/>
      <c r="G249" s="27" t="n"/>
      <c r="H249" s="27" t="n"/>
      <c r="I249" s="27" t="n"/>
      <c r="J249" s="27" t="n"/>
      <c r="K249" s="27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IF($A249="","",IF($B249="","YETİM",IF(COUNTIF(GIRDI!$A$6:$A$255,$B249)=0,"YETİM","")))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IF($A249="","",IF(OR($F249="",$G249=""),"",IF(ABS($G249-$F249)&gt;zincirTolerans,"ZİNCİR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31" t="n"/>
      <c r="D250" s="26" t="n"/>
      <c r="E250" s="26" t="n"/>
      <c r="F250" s="27" t="n"/>
      <c r="G250" s="27" t="n"/>
      <c r="H250" s="27" t="n"/>
      <c r="I250" s="27" t="n"/>
      <c r="J250" s="27" t="n"/>
      <c r="K250" s="27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IF($A250="","",IF($B250="","YETİM",IF(COUNTIF(GIRDI!$A$6:$A$255,$B250)=0,"YETİM","")))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IF($A250="","",IF(OR($F250="",$G250=""),"",IF(ABS($G250-$F250)&gt;zincirTolerans,"ZİNCİR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31" t="n"/>
      <c r="D251" s="26" t="n"/>
      <c r="E251" s="26" t="n"/>
      <c r="F251" s="27" t="n"/>
      <c r="G251" s="27" t="n"/>
      <c r="H251" s="27" t="n"/>
      <c r="I251" s="27" t="n"/>
      <c r="J251" s="27" t="n"/>
      <c r="K251" s="27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IF($A251="","",IF($B251="","YETİM",IF(COUNTIF(GIRDI!$A$6:$A$255,$B251)=0,"YETİM","")))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IF($A251="","",IF(OR($F251="",$G251=""),"",IF(ABS($G251-$F251)&gt;zincirTolerans,"ZİNCİR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31" t="n"/>
      <c r="D252" s="26" t="n"/>
      <c r="E252" s="26" t="n"/>
      <c r="F252" s="27" t="n"/>
      <c r="G252" s="27" t="n"/>
      <c r="H252" s="27" t="n"/>
      <c r="I252" s="27" t="n"/>
      <c r="J252" s="27" t="n"/>
      <c r="K252" s="27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IF($A252="","",IF($B252="","YETİM",IF(COUNTIF(GIRDI!$A$6:$A$255,$B252)=0,"YETİM","")))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IF($A252="","",IF(OR($F252="",$G252=""),"",IF(ABS($G252-$F252)&gt;zincirTolerans,"ZİNCİR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31" t="n"/>
      <c r="D253" s="26" t="n"/>
      <c r="E253" s="26" t="n"/>
      <c r="F253" s="27" t="n"/>
      <c r="G253" s="27" t="n"/>
      <c r="H253" s="27" t="n"/>
      <c r="I253" s="27" t="n"/>
      <c r="J253" s="27" t="n"/>
      <c r="K253" s="27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IF($A253="","",IF($B253="","YETİM",IF(COUNTIF(GIRDI!$A$6:$A$255,$B253)=0,"YETİM","")))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IF($A253="","",IF(OR($F253="",$G253=""),"",IF(ABS($G253-$F253)&gt;zincirTolerans,"ZİNCİR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31" t="n"/>
      <c r="D254" s="26" t="n"/>
      <c r="E254" s="26" t="n"/>
      <c r="F254" s="27" t="n"/>
      <c r="G254" s="27" t="n"/>
      <c r="H254" s="27" t="n"/>
      <c r="I254" s="27" t="n"/>
      <c r="J254" s="27" t="n"/>
      <c r="K254" s="27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IF($A254="","",IF($B254="","YETİM",IF(COUNTIF(GIRDI!$A$6:$A$255,$B254)=0,"YETİM","")))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IF($A254="","",IF(OR($F254="",$G254=""),"",IF(ABS($G254-$F254)&gt;zincirTolerans,"ZİNCİR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31" t="n"/>
      <c r="D255" s="26" t="n"/>
      <c r="E255" s="26" t="n"/>
      <c r="F255" s="27" t="n"/>
      <c r="G255" s="27" t="n"/>
      <c r="H255" s="27" t="n"/>
      <c r="I255" s="27" t="n"/>
      <c r="J255" s="27" t="n"/>
      <c r="K255" s="27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IF($A255="","",IF($B255="","YETİM",IF(COUNTIF(GIRDI!$A$6:$A$255,$B255)=0,"YETİM","")))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IF($A255="","",IF(OR($F255="",$G255=""),"",IF(ABS($G255-$F255)&gt;zincirTolerans,"ZİNCİR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S3"/>
    <mergeCell ref="A1:S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"HAZIRLIK"</formula>
    </cfRule>
    <cfRule type="cellIs" priority="6" operator="equal" dxfId="3">
      <formula>"BASVURU"</formula>
    </cfRule>
    <cfRule type="cellIs" priority="7" operator="equal" dxfId="4">
      <formula>"IPTAL"</formula>
    </cfRule>
  </conditionalFormatting>
  <dataValidations count="13">
    <dataValidation sqref="A6:A255" showDropDown="0" showInputMessage="1" showErrorMessage="1" allowBlank="1" errorTitle="Kimlik" error="Boş olamaz" promptTitle="İşlem Kimliği" prompt="KNA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Bilanço" error="0 veya üzeri" promptTitle="Bilanço" prompt="Bilanço ≥ 0" type="decimal" errorStyle="stop" operator="greaterThanOrEqual">
      <formula1>0</formula1>
    </dataValidation>
    <dataValidation sqref="G6:G255" showDropDown="0" showInputMessage="1" showErrorMessage="1" allowBlank="1" errorTitle="Nakit" error="0 veya üzeri" promptTitle="Nakit" prompt="Nakit ≥ 0" type="decimal" errorStyle="stop" operator="greaterThanOrEqual">
      <formula1>0</formula1>
    </dataValidation>
    <dataValidation sqref="H6:H255" showDropDown="0" showInputMessage="1" showErrorMessage="1" allowBlank="1" errorTitle="Projeksiyon" error="0 veya üzeri" promptTitle="Projeksiyon" prompt="Projeksiyon ≥ 0" type="decimal" errorStyle="stop" operator="greaterThanOrEqual">
      <formula1>0</formula1>
    </dataValidation>
    <dataValidation sqref="I6:I255" showDropDown="0" showInputMessage="1" showErrorMessage="1" allowBlank="1" errorTitle="Başvuru" error="0 veya üzeri" promptTitle="Başvuru" prompt="Başvuru ≥ 0" type="decimal" errorStyle="stop" operator="greaterThanOrEqual">
      <formula1>0</formula1>
    </dataValidation>
    <dataValidation sqref="J6:J255" showDropDown="0" showInputMessage="1" showErrorMessage="1" allowBlank="1" errorTitle="Karar" error="0 veya üzeri" promptTitle="Karar" prompt="Karar ≥ 0" type="decimal" errorStyle="stop" operator="greaterThanOrEqual">
      <formula1>0</formula1>
    </dataValidation>
    <dataValidation sqref="K6:K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L6:L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B365D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46.5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KUYRUKLAR — Konkordato Nakit Akış Ön Projesi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Durum bazlı canlı kuyruk — kapalı kayıtlar düşer</t>
        </is>
      </c>
    </row>
    <row r="4"/>
    <row r="5">
      <c r="A5" s="32" t="inlineStr">
        <is>
          <t>Kuyruk</t>
        </is>
      </c>
      <c r="B5" s="32" t="inlineStr">
        <is>
          <t>Adet</t>
        </is>
      </c>
      <c r="C5" s="32" t="inlineStr">
        <is>
          <t>Tutar</t>
        </is>
      </c>
    </row>
    <row r="6">
      <c r="A6" s="7" t="inlineStr">
        <is>
          <t>Hazırlık</t>
        </is>
      </c>
      <c r="B6" s="20">
        <f>COUNTIFS(tblAkis[durum],"HAZIRLIK",tblAkis[tutar],"&gt;0")</f>
        <v/>
      </c>
      <c r="C6" s="21">
        <f>SUMIFS(tblAkis[tutar],tblAkis[durum],"HAZIRLIK")</f>
        <v/>
      </c>
    </row>
    <row r="7">
      <c r="A7" s="7" t="inlineStr">
        <is>
          <t>Başvuru</t>
        </is>
      </c>
      <c r="B7" s="20">
        <f>COUNTIFS(tblAkis[durum],"BASVURU",tblAkis[tutar],"&gt;0")</f>
        <v/>
      </c>
      <c r="C7" s="21">
        <f>SUMIFS(tblAkis[tutar],tblAkis[durum],"BASVURU")</f>
        <v/>
      </c>
    </row>
    <row r="8">
      <c r="A8" s="7" t="inlineStr">
        <is>
          <t>Taslak</t>
        </is>
      </c>
      <c r="B8" s="20">
        <f>COUNTIFS(tblAkis[durum],"TASLAK",tblAkis[tutar],"&gt;0")</f>
        <v/>
      </c>
      <c r="C8" s="21">
        <f>SUMIFS(tblAkis[tutar],tblAkis[durum],"TASLAK")</f>
        <v/>
      </c>
    </row>
    <row r="9">
      <c r="A9" s="7" t="inlineStr">
        <is>
          <t>Geciken (açık, yaş&gt;eşik)</t>
        </is>
      </c>
      <c r="B9" s="20">
        <f>COUNTIFS(tblAkis[YasGun],"&gt;"&amp;kna_esikGecikmeGun,tblAkis[Durum],"&lt;&gt;KABUL",tblAkis[Durum],"&lt;&gt;RET",tblAkis[Durum],"&lt;&gt;IPTAL",tblAkis[Tutar],"&gt;0")</f>
        <v/>
      </c>
      <c r="C9" s="21">
        <f>SUMIFS(tblAkis[Tutar],tblAkis[YasGun],"&gt;"&amp;kna_esikGecikmeGun,tblAkis[Durum],"&lt;&gt;KABUL",tblAkis[Durum],"&lt;&gt;RET",tblAkis[Durum],"&lt;&gt;IPTAL")</f>
        <v/>
      </c>
    </row>
    <row r="10"/>
    <row r="11">
      <c r="A11" s="16" t="inlineStr">
        <is>
          <t>Kapalı (Kabul+Ret+İptal) — kuyruktan düşer</t>
        </is>
      </c>
    </row>
    <row r="12">
      <c r="A12" s="7" t="inlineStr">
        <is>
          <t>Kabul</t>
        </is>
      </c>
      <c r="B12" s="20">
        <f>COUNTIFS(tblAkis[durum],"KABUL",tblAkis[tutar],"&gt;0")</f>
        <v/>
      </c>
      <c r="C12" s="21">
        <f>SUMIFS(tblAkis[tutar],tblAkis[durum],"KABUL")</f>
        <v/>
      </c>
    </row>
    <row r="13">
      <c r="A13" s="7" t="inlineStr">
        <is>
          <t>Ret</t>
        </is>
      </c>
      <c r="B13" s="20">
        <f>COUNTIFS(tblAkis[durum],"RET",tblAkis[tutar],"&gt;0")</f>
        <v/>
      </c>
      <c r="C13" s="21">
        <f>SUMIFS(tblAkis[tutar],tblAkis[durum],"RET")</f>
        <v/>
      </c>
    </row>
    <row r="14">
      <c r="A14" s="7" t="inlineStr">
        <is>
          <t>İptal</t>
        </is>
      </c>
      <c r="B14" s="20">
        <f>COUNTIFS(tblAkis[durum],"IPTAL",tblAkis[tutar],"&gt;0")</f>
        <v/>
      </c>
      <c r="C14" s="21">
        <f>SUMIFS(tblAkis[tutar],tblAkis[durum],"IPTAL")</f>
        <v/>
      </c>
    </row>
    <row r="15"/>
    <row r="16">
      <c r="A16" s="24" t="inlineStr">
        <is>
          <t>Kuyruk Özeti</t>
        </is>
      </c>
      <c r="B16" s="8">
        <f>kna_kuyrukOzeti</f>
        <v/>
      </c>
    </row>
    <row r="17"/>
    <row r="18">
      <c r="A18" s="16" t="inlineStr">
        <is>
          <t>Yaş Kova Dağılımı</t>
        </is>
      </c>
    </row>
    <row r="19">
      <c r="A19" s="7" t="inlineStr">
        <is>
          <t>0-7</t>
        </is>
      </c>
      <c r="B19" s="20">
        <f>COUNTIF(tblAkis[YasKova],"0-7")</f>
        <v/>
      </c>
      <c r="C19" s="21">
        <f>SUMIF(tblAkis[YasKova],"0-7",tblAkis[Tutar])</f>
        <v/>
      </c>
    </row>
    <row r="20">
      <c r="A20" s="7" t="inlineStr">
        <is>
          <t>8-30</t>
        </is>
      </c>
      <c r="B20" s="20">
        <f>COUNTIF(tblAkis[YasKova],"8-30")</f>
        <v/>
      </c>
      <c r="C20" s="21">
        <f>SUMIF(tblAkis[YasKova],"8-30",tblAkis[Tutar])</f>
        <v/>
      </c>
    </row>
    <row r="21">
      <c r="A21" s="7" t="inlineStr">
        <is>
          <t>31-60</t>
        </is>
      </c>
      <c r="B21" s="20">
        <f>COUNTIF(tblAkis[YasKova],"31-60")</f>
        <v/>
      </c>
      <c r="C21" s="21">
        <f>SUMIF(tblAkis[YasKova],"31-60",tblAkis[Tutar])</f>
        <v/>
      </c>
    </row>
    <row r="22">
      <c r="A22" s="7" t="inlineStr">
        <is>
          <t>60+</t>
        </is>
      </c>
      <c r="B22" s="20">
        <f>COUNTIF(tblAkis[YasKova],"60+")</f>
        <v/>
      </c>
      <c r="C22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6:F16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9">
    <cfRule type="cellIs" priority="9" operator="greaterThan" dxfId="3">
      <formula>0</formula>
    </cfRule>
  </conditionalFormatting>
  <conditionalFormatting sqref="B20">
    <cfRule type="cellIs" priority="10" operator="greaterThan" dxfId="3">
      <formula>0</formula>
    </cfRule>
  </conditionalFormatting>
  <conditionalFormatting sqref="B21">
    <cfRule type="cellIs" priority="11" operator="greaterThan" dxfId="3">
      <formula>0</formula>
    </cfRule>
  </conditionalFormatting>
  <conditionalFormatting sqref="B22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B365D"/>
    <outlinePr summaryBelow="1" summaryRight="1"/>
    <pageSetUpPr/>
  </sheetPr>
  <dimension ref="A1:AC6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5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HESAP — Konkordato Nakit Akış Ön Projesi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Hesap motoru — ≥40 adım; sabitler AYARLAR'dan</t>
        </is>
      </c>
    </row>
    <row r="4"/>
    <row r="5">
      <c r="A5" s="32" t="inlineStr">
        <is>
          <t>Adım</t>
        </is>
      </c>
      <c r="B5" s="32" t="inlineStr">
        <is>
          <t>Açıklama</t>
        </is>
      </c>
      <c r="C5" s="32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29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3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29">
        <f>SUM(tblAkis[Tutar])</f>
        <v/>
      </c>
    </row>
    <row r="9">
      <c r="A9" s="7" t="inlineStr">
        <is>
          <t>H04</t>
        </is>
      </c>
      <c r="B9" s="7" t="inlineStr">
        <is>
          <t>Bilanço halka toplam</t>
        </is>
      </c>
      <c r="C9" s="29">
        <f>SUM(tblAkis[BilancoTutar])</f>
        <v/>
      </c>
    </row>
    <row r="10">
      <c r="A10" s="7" t="inlineStr">
        <is>
          <t>H05</t>
        </is>
      </c>
      <c r="B10" s="7" t="inlineStr">
        <is>
          <t>Nakit halka toplam</t>
        </is>
      </c>
      <c r="C10" s="29">
        <f>SUM(tblAkis[NakitTutar])</f>
        <v/>
      </c>
    </row>
    <row r="11">
      <c r="A11" s="7" t="inlineStr">
        <is>
          <t>H06</t>
        </is>
      </c>
      <c r="B11" s="7" t="inlineStr">
        <is>
          <t>Projeksiyon toplam</t>
        </is>
      </c>
      <c r="C11" s="29">
        <f>SUM(tblAkis[ProjeksiyonTutar])</f>
        <v/>
      </c>
    </row>
    <row r="12">
      <c r="A12" s="7" t="inlineStr">
        <is>
          <t>H07</t>
        </is>
      </c>
      <c r="B12" s="7" t="inlineStr">
        <is>
          <t>Başvuru toplam</t>
        </is>
      </c>
      <c r="C12" s="29">
        <f>SUM(tblAkis[BasvuruTutar])</f>
        <v/>
      </c>
    </row>
    <row r="13">
      <c r="A13" s="7" t="inlineStr">
        <is>
          <t>H08</t>
        </is>
      </c>
      <c r="B13" s="7" t="inlineStr">
        <is>
          <t>Karar halka toplam</t>
        </is>
      </c>
      <c r="C13" s="29">
        <f>SUM(tblAkis[KararTutar])</f>
        <v/>
      </c>
    </row>
    <row r="14">
      <c r="A14" s="7" t="inlineStr">
        <is>
          <t>H09</t>
        </is>
      </c>
      <c r="B14" s="7" t="inlineStr">
        <is>
          <t>Taslak adet</t>
        </is>
      </c>
      <c r="C14" s="33">
        <f>COUNTIF(tblAkis[Durum],"TASLAK")</f>
        <v/>
      </c>
    </row>
    <row r="15">
      <c r="A15" s="7" t="inlineStr">
        <is>
          <t>H10</t>
        </is>
      </c>
      <c r="B15" s="7" t="inlineStr">
        <is>
          <t>Hazırlık adet</t>
        </is>
      </c>
      <c r="C15" s="34">
        <f>COUNTIF(tblAkis[Durum],"HAZIRLIK")</f>
        <v/>
      </c>
    </row>
    <row r="16">
      <c r="A16" s="7" t="inlineStr">
        <is>
          <t>H11</t>
        </is>
      </c>
      <c r="B16" s="7" t="inlineStr">
        <is>
          <t>Başvuru adet</t>
        </is>
      </c>
      <c r="C16" s="33">
        <f>COUNTIF(tblAkis[Durum],"BASVURU")</f>
        <v/>
      </c>
    </row>
    <row r="17">
      <c r="A17" s="7" t="inlineStr">
        <is>
          <t>H12</t>
        </is>
      </c>
      <c r="B17" s="7" t="inlineStr">
        <is>
          <t>Kabul adet</t>
        </is>
      </c>
      <c r="C17" s="33">
        <f>COUNTIF(tblAkis[Durum],"KABUL")</f>
        <v/>
      </c>
    </row>
    <row r="18">
      <c r="A18" s="7" t="inlineStr">
        <is>
          <t>H13</t>
        </is>
      </c>
      <c r="B18" s="7" t="inlineStr">
        <is>
          <t>Ret adet</t>
        </is>
      </c>
      <c r="C18" s="33">
        <f>COUNTIF(tblAkis[Durum],"RET")</f>
        <v/>
      </c>
    </row>
    <row r="19">
      <c r="A19" s="7" t="inlineStr">
        <is>
          <t>H14</t>
        </is>
      </c>
      <c r="B19" s="7" t="inlineStr">
        <is>
          <t>İptal adet</t>
        </is>
      </c>
      <c r="C19" s="33">
        <f>COUNTIF(tblAkis[Durum],"IPTAL")</f>
        <v/>
      </c>
    </row>
    <row r="20">
      <c r="A20" s="7" t="inlineStr">
        <is>
          <t>H15</t>
        </is>
      </c>
      <c r="B20" s="7" t="inlineStr">
        <is>
          <t>Açık adet</t>
        </is>
      </c>
      <c r="C20" s="33">
        <f>C14+C15+C16</f>
        <v/>
      </c>
    </row>
    <row r="21">
      <c r="A21" s="7" t="inlineStr">
        <is>
          <t>H16</t>
        </is>
      </c>
      <c r="B21" s="7" t="inlineStr">
        <is>
          <t>Kapalı düşüm</t>
        </is>
      </c>
      <c r="C21" s="33">
        <f>C17+C18+C19</f>
        <v/>
      </c>
    </row>
    <row r="22">
      <c r="A22" s="7" t="inlineStr">
        <is>
          <t>H17</t>
        </is>
      </c>
      <c r="B22" s="7" t="inlineStr">
        <is>
          <t>Açık tutar</t>
        </is>
      </c>
      <c r="C22" s="29">
        <f>SUMIF(tblAkis[Durum],"TASLAK",tblAkis[Tutar])+SUMIF(tblAkis[Durum],"HAZIRLIK",tblAkis[Tutar])+SUMIF(tblAkis[Durum],"BASVURU",tblAkis[Tutar])</f>
        <v/>
      </c>
    </row>
    <row r="23">
      <c r="A23" s="7" t="inlineStr">
        <is>
          <t>H18</t>
        </is>
      </c>
      <c r="B23" s="7" t="inlineStr">
        <is>
          <t>Yetim adet</t>
        </is>
      </c>
      <c r="C23" s="33">
        <f>COUNTIF(tblAkis[YetimBayrak],"YETİM")</f>
        <v/>
      </c>
    </row>
    <row r="24">
      <c r="A24" s="7" t="inlineStr">
        <is>
          <t>H19</t>
        </is>
      </c>
      <c r="B24" s="7" t="inlineStr">
        <is>
          <t>Geçersiz geçiş</t>
        </is>
      </c>
      <c r="C24" s="33">
        <f>COUNTIF(tblAkis[GecisUyarisi],"GEÇERSİZ GEÇİŞ")</f>
        <v/>
      </c>
    </row>
    <row r="25">
      <c r="A25" s="7" t="inlineStr">
        <is>
          <t>H20</t>
        </is>
      </c>
      <c r="B25" s="7" t="inlineStr">
        <is>
          <t>Zincir kırık</t>
        </is>
      </c>
      <c r="C25" s="33">
        <f>COUNTIF(tblAkis[ZincirBayrak],"ZİNCİR KIRIK")</f>
        <v/>
      </c>
    </row>
    <row r="26">
      <c r="A26" s="7" t="inlineStr">
        <is>
          <t>H21</t>
        </is>
      </c>
      <c r="B26" s="7" t="inlineStr">
        <is>
          <t>Zincir tamam</t>
        </is>
      </c>
      <c r="C26" s="33">
        <f>COUNTIF(tblAkis[ZincirBayrak],"OK")</f>
        <v/>
      </c>
    </row>
    <row r="27">
      <c r="A27" s="7" t="inlineStr">
        <is>
          <t>H22</t>
        </is>
      </c>
      <c r="B27" s="7" t="inlineStr">
        <is>
          <t>Yaş 0-7</t>
        </is>
      </c>
      <c r="C27" s="33">
        <f>COUNTIF(tblAkis[YasKova],"0-7")</f>
        <v/>
      </c>
    </row>
    <row r="28">
      <c r="A28" s="7" t="inlineStr">
        <is>
          <t>H23</t>
        </is>
      </c>
      <c r="B28" s="7" t="inlineStr">
        <is>
          <t>Yaş 8-30</t>
        </is>
      </c>
      <c r="C28" s="33">
        <f>COUNTIF(tblAkis[YasKova],"8-30")</f>
        <v/>
      </c>
    </row>
    <row r="29">
      <c r="A29" s="7" t="inlineStr">
        <is>
          <t>H24</t>
        </is>
      </c>
      <c r="B29" s="7" t="inlineStr">
        <is>
          <t>Yaş 31-60</t>
        </is>
      </c>
      <c r="C29" s="33">
        <f>COUNTIF(tblAkis[YasKova],"31-60")</f>
        <v/>
      </c>
    </row>
    <row r="30">
      <c r="A30" s="7" t="inlineStr">
        <is>
          <t>H25</t>
        </is>
      </c>
      <c r="B30" s="7" t="inlineStr">
        <is>
          <t>Yaş 60+</t>
        </is>
      </c>
      <c r="C30" s="33">
        <f>COUNTIF(tblAkis[YasKova],"60+")</f>
        <v/>
      </c>
    </row>
    <row r="31">
      <c r="A31" s="7" t="inlineStr">
        <is>
          <t>H26</t>
        </is>
      </c>
      <c r="B31" s="7" t="inlineStr">
        <is>
          <t>Ort yaş gün</t>
        </is>
      </c>
      <c r="C31" s="66">
        <f>IFERROR(AVERAGE(tblAkis[YasGun]),0)</f>
        <v/>
      </c>
    </row>
    <row r="32">
      <c r="A32" s="7" t="inlineStr">
        <is>
          <t>H27</t>
        </is>
      </c>
      <c r="B32" s="7" t="inlineStr">
        <is>
          <t>Geciken adet</t>
        </is>
      </c>
      <c r="C32" s="33">
        <f>COUNTIFS(tblAkis[YasGun],"&gt;"&amp;kna_esikGecikmeGun,tblAkis[Durum],"&lt;&gt;KABUL",tblAkis[Durum],"&lt;&gt;RET",tblAkis[Durum],"&lt;&gt;IPTAL",tblAkis[Tutar],"&gt;0")</f>
        <v/>
      </c>
    </row>
    <row r="33">
      <c r="A33" s="7" t="inlineStr">
        <is>
          <t>H28</t>
        </is>
      </c>
      <c r="B33" s="7" t="inlineStr">
        <is>
          <t>Geciken tutar</t>
        </is>
      </c>
      <c r="C33" s="29">
        <f>SUMIFS(tblAkis[Tutar],tblAkis[YasGun],"&gt;"&amp;kna_esikGecikmeGun,tblAkis[Durum],"&lt;&gt;KABUL",tblAkis[Durum],"&lt;&gt;RET",tblAkis[Durum],"&lt;&gt;IPTAL")</f>
        <v/>
      </c>
    </row>
    <row r="34">
      <c r="A34" s="7" t="inlineStr">
        <is>
          <t>H29</t>
        </is>
      </c>
      <c r="B34" s="7" t="inlineStr">
        <is>
          <t>Gecikme maliyeti</t>
        </is>
      </c>
      <c r="C34" s="29">
        <f>C33*kna_gecikmeOranGun</f>
        <v/>
      </c>
    </row>
    <row r="35">
      <c r="A35" s="7" t="inlineStr">
        <is>
          <t>H30</t>
        </is>
      </c>
      <c r="B35" s="7" t="inlineStr">
        <is>
          <t>Temkinli senaryo</t>
        </is>
      </c>
      <c r="C35" s="29">
        <f>C22*kna_senaryoTemkinli</f>
        <v/>
      </c>
    </row>
    <row r="36">
      <c r="A36" s="7" t="inlineStr">
        <is>
          <t>H31</t>
        </is>
      </c>
      <c r="B36" s="7" t="inlineStr">
        <is>
          <t>Baz senaryo</t>
        </is>
      </c>
      <c r="C36" s="29">
        <f>C22*kna_senaryoBaz</f>
        <v/>
      </c>
    </row>
    <row r="37">
      <c r="A37" s="7" t="inlineStr">
        <is>
          <t>H32</t>
        </is>
      </c>
      <c r="B37" s="7" t="inlineStr">
        <is>
          <t>İyimser senaryo</t>
        </is>
      </c>
      <c r="C37" s="29">
        <f>C22*kna_senaryoIyimser</f>
        <v/>
      </c>
    </row>
    <row r="38">
      <c r="A38" s="7" t="inlineStr">
        <is>
          <t>H33</t>
        </is>
      </c>
      <c r="B38" s="7" t="inlineStr">
        <is>
          <t>Senaryo farkı</t>
        </is>
      </c>
      <c r="C38" s="29">
        <f>C37-C35</f>
        <v/>
      </c>
    </row>
    <row r="39">
      <c r="A39" s="7" t="inlineStr">
        <is>
          <t>H34</t>
        </is>
      </c>
      <c r="B39" s="7" t="inlineStr">
        <is>
          <t>Tornado (oran×tutar)</t>
        </is>
      </c>
      <c r="C39" s="34">
        <f>C22*kna_tornadoOran</f>
        <v/>
      </c>
    </row>
    <row r="40">
      <c r="A40" s="7" t="inlineStr">
        <is>
          <t>H35</t>
        </is>
      </c>
      <c r="B40" s="7" t="inlineStr">
        <is>
          <t>Ödeme öncelik havuzu</t>
        </is>
      </c>
      <c r="C40" s="29">
        <f>SUMIFS(tblAkis[Tutar],tblAkis[Durum],"HAZIRLIK",tblAkis[YasGun],"&gt;"&amp;kna_esikGecikmeGun)</f>
        <v/>
      </c>
    </row>
    <row r="41">
      <c r="A41" s="7" t="inlineStr">
        <is>
          <t>H36</t>
        </is>
      </c>
      <c r="B41" s="7" t="inlineStr">
        <is>
          <t>Pareto gecikme payı</t>
        </is>
      </c>
      <c r="C41" s="34">
        <f>IFERROR(C33/MAX(C22,1),0)</f>
        <v/>
      </c>
    </row>
    <row r="42">
      <c r="A42" s="7" t="inlineStr">
        <is>
          <t>H37</t>
        </is>
      </c>
      <c r="B42" s="7" t="inlineStr">
        <is>
          <t>Tahmin yüzdelik</t>
        </is>
      </c>
      <c r="C42" s="29">
        <f>IFERROR(_xlfn.PERCENTILE.INC(tblAkis[Tutar],kna_yuzdelikOran),0)</f>
        <v/>
      </c>
    </row>
    <row r="43">
      <c r="A43" s="7" t="inlineStr">
        <is>
          <t>H38</t>
        </is>
      </c>
      <c r="B43" s="7" t="inlineStr">
        <is>
          <t>Tahmin eğilim</t>
        </is>
      </c>
      <c r="C43" s="29">
        <f>IFERROR(FORECAST(COUNTA(tblAkis[IslemId])+1,tblAkis[Tutar],tblAkis[KayitDolu]),C42)</f>
        <v/>
      </c>
    </row>
    <row r="44">
      <c r="A44" s="7" t="inlineStr">
        <is>
          <t>H39</t>
        </is>
      </c>
      <c r="B44" s="7" t="inlineStr">
        <is>
          <t>Tahmin aralık</t>
        </is>
      </c>
      <c r="C44" s="29">
        <f>IFERROR((C42+C43)/2,0)</f>
        <v/>
      </c>
    </row>
    <row r="45">
      <c r="A45" s="7" t="inlineStr">
        <is>
          <t>H40</t>
        </is>
      </c>
      <c r="B45" s="7" t="inlineStr">
        <is>
          <t>Kart sayısı</t>
        </is>
      </c>
      <c r="C45" s="33">
        <f>COUNTA(tblGirdi[KartId])</f>
        <v/>
      </c>
    </row>
    <row r="46">
      <c r="A46" s="7" t="inlineStr">
        <is>
          <t>H41</t>
        </is>
      </c>
      <c r="B46" s="7" t="inlineStr">
        <is>
          <t>Bilanço Y0 toplam</t>
        </is>
      </c>
      <c r="C46" s="29">
        <f>SUM(BILANCO!D6:D35)</f>
        <v/>
      </c>
    </row>
    <row r="47">
      <c r="A47" s="7" t="inlineStr">
        <is>
          <t>H42</t>
        </is>
      </c>
      <c r="B47" s="7" t="inlineStr">
        <is>
          <t>Nakit Y0 toplam</t>
        </is>
      </c>
      <c r="C47" s="29">
        <f>SUM(NAKIT_AKIS!D6:D35)</f>
        <v/>
      </c>
    </row>
    <row r="48">
      <c r="A48" s="7" t="inlineStr">
        <is>
          <t>H43</t>
        </is>
      </c>
      <c r="B48" s="7" t="inlineStr">
        <is>
          <t>Üç yıl akış metin</t>
        </is>
      </c>
      <c r="C48" s="24">
        <f>_xlfn.TEXTJOIN(" | ",TRUE,"Y0",TEXT(SUM(NAKIT_AKIS!D6:D35),"0"),"Y1",TEXT(SUM(NAKIT_AKIS!E6:E35),"0"),"Y2",TEXT(SUM(NAKIT_AKIS!F6:F35),"0"))</f>
        <v/>
      </c>
    </row>
    <row r="49">
      <c r="A49" s="7" t="inlineStr">
        <is>
          <t>H44</t>
        </is>
      </c>
      <c r="B49" s="7" t="inlineStr">
        <is>
          <t>Kuyruk özeti metin</t>
        </is>
      </c>
      <c r="C49" s="24">
        <f>_xlfn.TEXTJOIN(" | ",TRUE,"Hazırlık",C15,"Başvuru",C16,"Geciken",C32)</f>
        <v/>
      </c>
    </row>
    <row r="50">
      <c r="A50" s="7" t="inlineStr">
        <is>
          <t>H45</t>
        </is>
      </c>
      <c r="B50" s="7" t="inlineStr">
        <is>
          <t>Yaş kova metin</t>
        </is>
      </c>
      <c r="C50" s="24">
        <f>_xlfn.TEXTJOIN("/",TRUE,C27,C28,C29,C30)</f>
        <v/>
      </c>
    </row>
    <row r="51">
      <c r="A51" s="7" t="inlineStr">
        <is>
          <t>H46</t>
        </is>
      </c>
      <c r="B51" s="7" t="inlineStr">
        <is>
          <t>Karar skoru ham</t>
        </is>
      </c>
      <c r="C51" s="33">
        <f>IF(C6=0,0,MAX(0,100-C23*kna_cezaYetim-C24*kna_cezaGecis-C25*kna_cezaZincir-C32*kna_cezaGeciken))</f>
        <v/>
      </c>
    </row>
    <row r="52">
      <c r="A52" s="7" t="inlineStr">
        <is>
          <t>H47</t>
        </is>
      </c>
      <c r="B52" s="7" t="inlineStr">
        <is>
          <t>Veri hazırlık</t>
        </is>
      </c>
      <c r="C52" s="34">
        <f>IF(C6=0,0,C7/MAX(C6,1))</f>
        <v/>
      </c>
    </row>
    <row r="53">
      <c r="A53" s="7" t="inlineStr">
        <is>
          <t>H48</t>
        </is>
      </c>
      <c r="B53" s="7" t="inlineStr">
        <is>
          <t>Nakit kilit adet</t>
        </is>
      </c>
      <c r="C53" s="33">
        <f>COUNTIF(NAKIT_AKIS!I6:I35,"KİLİT")</f>
        <v/>
      </c>
    </row>
    <row r="54">
      <c r="A54" s="7" t="inlineStr">
        <is>
          <t>H49</t>
        </is>
      </c>
      <c r="B54" s="7" t="inlineStr">
        <is>
          <t>Bilanço nakit sapma</t>
        </is>
      </c>
      <c r="C54" s="29">
        <f>ABS(C46-C47)</f>
        <v/>
      </c>
    </row>
    <row r="55">
      <c r="A55" s="7" t="inlineStr">
        <is>
          <t>H50</t>
        </is>
      </c>
      <c r="B55" s="7" t="inlineStr">
        <is>
          <t>Kalite modülü</t>
        </is>
      </c>
      <c r="C55" s="33">
        <f>C51</f>
        <v/>
      </c>
    </row>
    <row r="56">
      <c r="A56" s="7" t="inlineStr">
        <is>
          <t>H51</t>
        </is>
      </c>
      <c r="B56" s="7" t="inlineStr">
        <is>
          <t>Yüzdelik 90</t>
        </is>
      </c>
      <c r="C56" s="29">
        <f>IFERROR(_xlfn.PERCENTILE.INC(tblAkis[Tutar],kna_yuzdelikOran),0)</f>
        <v/>
      </c>
    </row>
    <row r="57">
      <c r="A57" s="7" t="inlineStr">
        <is>
          <t>H52</t>
        </is>
      </c>
      <c r="B57" s="7" t="inlineStr">
        <is>
          <t>Kanıt özeti</t>
        </is>
      </c>
      <c r="C57" s="24">
        <f>_xlfn.TEXTJOIN(" | ",TRUE,"Açık",C20,"Yetim",C23,"Zincir",C25,"Geciken",C32,"Kilit",C53)</f>
        <v/>
      </c>
    </row>
    <row r="58">
      <c r="A58" s="7" t="inlineStr">
        <is>
          <t>H53</t>
        </is>
      </c>
      <c r="B58" s="7" t="inlineStr">
        <is>
          <t>Nakit Y1 toplam</t>
        </is>
      </c>
      <c r="C58" s="29">
        <f>SUM(NAKIT_AKIS!E6:E35)</f>
        <v/>
      </c>
    </row>
    <row r="59">
      <c r="A59" s="7" t="inlineStr">
        <is>
          <t>H54</t>
        </is>
      </c>
      <c r="B59" s="7" t="inlineStr">
        <is>
          <t>Nakit Y2 toplam</t>
        </is>
      </c>
      <c r="C59" s="29">
        <f>SUM(NAKIT_AKIS!F6:F35)</f>
        <v/>
      </c>
    </row>
    <row r="60">
      <c r="A60" s="7" t="inlineStr">
        <is>
          <t>H55</t>
        </is>
      </c>
      <c r="B60" s="7" t="inlineStr">
        <is>
          <t>Üç yıl nakit toplam</t>
        </is>
      </c>
      <c r="C60" s="29">
        <f>C47+C58+C59</f>
        <v/>
      </c>
    </row>
    <row r="61"/>
    <row r="62"/>
    <row r="63"/>
    <row r="64">
      <c r="A64" s="32" t="inlineStr">
        <is>
          <t>Senaryo</t>
        </is>
      </c>
      <c r="B64" s="32" t="inlineStr">
        <is>
          <t>Çarpan</t>
        </is>
      </c>
      <c r="C64" s="32" t="inlineStr">
        <is>
          <t>Sonuç</t>
        </is>
      </c>
    </row>
    <row r="65">
      <c r="A65" s="7" t="inlineStr">
        <is>
          <t>Temkinli</t>
        </is>
      </c>
      <c r="B65" s="30">
        <f>kna_senaryoTemkinli*IF(COUNTA(tblAkis[IslemId])&gt;=0,1,1)</f>
        <v/>
      </c>
      <c r="C65" s="21">
        <f>C35</f>
        <v/>
      </c>
    </row>
    <row r="66">
      <c r="A66" s="7" t="inlineStr">
        <is>
          <t>Baz</t>
        </is>
      </c>
      <c r="B66" s="30">
        <f>kna_senaryoBaz*IF(COUNTA(tblAkis[IslemId])&gt;=0,1,1)</f>
        <v/>
      </c>
      <c r="C66" s="21">
        <f>C36</f>
        <v/>
      </c>
    </row>
    <row r="67">
      <c r="A67" s="7" t="inlineStr">
        <is>
          <t>İyimser</t>
        </is>
      </c>
      <c r="B67" s="30">
        <f>kna_senaryoIyimser*IF(COUNTA(tblAkis[IslemId])&gt;=0,1,1)</f>
        <v/>
      </c>
      <c r="C67" s="21">
        <f>C37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AC30"/>
  <sheetViews>
    <sheetView showGridLines="0" workbookViewId="0">
      <selection activeCell="A1" sqref="A1"/>
    </sheetView>
  </sheetViews>
  <sheetFormatPr baseColWidth="8" defaultRowHeight="15"/>
  <cols>
    <col width="240.5" customWidth="1" min="1" max="1"/>
    <col width="42" customWidth="1" min="2" max="2"/>
    <col width="14" customWidth="1" min="3" max="3"/>
    <col width="20.5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RAPOR — Konkordato Nakit Akış Ön Projesi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7" t="inlineStr">
        <is>
          <t>Mahkeme Konkordato Nakit Akış Ön Proje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24" t="inlineStr">
        <is>
          <t>KARAR</t>
        </is>
      </c>
      <c r="B7" s="37">
        <f>PANO!B4</f>
        <v/>
      </c>
    </row>
    <row r="8"/>
    <row r="9">
      <c r="A9" s="7" t="inlineStr">
        <is>
          <t>Açık Kuyruk</t>
        </is>
      </c>
      <c r="B9" s="33">
        <f>kna_acikAdet</f>
        <v/>
      </c>
    </row>
    <row r="10">
      <c r="A10" s="7" t="inlineStr">
        <is>
          <t>Açık Tutar</t>
        </is>
      </c>
      <c r="B10" s="29">
        <f>kna_acikTutar</f>
        <v/>
      </c>
    </row>
    <row r="11">
      <c r="A11" s="7" t="inlineStr">
        <is>
          <t>Gecikme Maliyeti</t>
        </is>
      </c>
      <c r="B11" s="29">
        <f>kna_gecikmeMaliyeti</f>
        <v/>
      </c>
    </row>
    <row r="12">
      <c r="A12" s="7" t="inlineStr">
        <is>
          <t>Yetim</t>
        </is>
      </c>
      <c r="B12" s="33">
        <f>kna_yetimKayit</f>
        <v/>
      </c>
    </row>
    <row r="13">
      <c r="A13" s="7" t="inlineStr">
        <is>
          <t>Geçersiz Geçiş</t>
        </is>
      </c>
      <c r="B13" s="33">
        <f>kna_gecersizGecis</f>
        <v/>
      </c>
    </row>
    <row r="14">
      <c r="A14" s="7" t="inlineStr">
        <is>
          <t>Zincir Kırık</t>
        </is>
      </c>
      <c r="B14" s="33">
        <f>kna_zincirKirik</f>
        <v/>
      </c>
    </row>
    <row r="15">
      <c r="A15" s="7" t="inlineStr">
        <is>
          <t>Tahmin Aralık</t>
        </is>
      </c>
      <c r="B15" s="29">
        <f>kna_tahminAralik</f>
        <v/>
      </c>
    </row>
    <row r="16">
      <c r="A16" s="7" t="inlineStr">
        <is>
          <t>Üç Yıl Akış</t>
        </is>
      </c>
      <c r="B16" s="24">
        <f>kna_ucYilAkis</f>
        <v/>
      </c>
    </row>
    <row r="17">
      <c r="A17" s="7" t="inlineStr">
        <is>
          <t>Nakit Kilit</t>
        </is>
      </c>
      <c r="B17" s="33">
        <f>kna_nakitKilit</f>
        <v/>
      </c>
    </row>
    <row r="18">
      <c r="A18" s="7" t="inlineStr">
        <is>
          <t>Kanıt Özeti</t>
        </is>
      </c>
      <c r="B18" s="24">
        <f>kna_kanitRaporu</f>
        <v/>
      </c>
    </row>
    <row r="19"/>
    <row r="20">
      <c r="A20" s="16" t="inlineStr">
        <is>
          <t>Varsayımlar</t>
        </is>
      </c>
    </row>
    <row r="21">
      <c r="A21" s="8" t="inlineStr">
        <is>
          <t>Durum haritası AYARLAR'dadır. Geçersiz geçiş engellenmez, görünür kılınır. Üç yıllık bilanço ve nakit akış BILANCO / NAKIT_AKIS tablolarından türetilir. Bu çıktı karar destektir; kesin mali/hukuki görüş veya mahkeme hükmü yerine geçmez.</t>
        </is>
      </c>
    </row>
    <row r="22"/>
    <row r="23">
      <c r="A23" s="16" t="inlineStr">
        <is>
          <t>Önerilen Aksiyonlar</t>
        </is>
      </c>
    </row>
    <row r="24">
      <c r="A24" s="7" t="inlineStr">
        <is>
          <t>1. Yetim kayıtları GIRDI'ye bağlayın veya satırı düzeltin.</t>
        </is>
      </c>
    </row>
    <row r="25">
      <c r="A25" s="7" t="inlineStr">
        <is>
          <t>2. Geçersiz geçişleri durum haritasına uygun ilerletin.</t>
        </is>
      </c>
    </row>
    <row r="26">
      <c r="A26" s="7" t="inlineStr">
        <is>
          <t>3. Bilanço-nakit zincir sapmasını kapatın; nakit kilit varsa başvuruyu durdurun.</t>
        </is>
      </c>
    </row>
    <row r="27"/>
    <row r="28">
      <c r="A28" s="7" t="inlineStr">
        <is>
          <t>Kayyım / mahkeme imza</t>
        </is>
      </c>
      <c r="D28" s="7" t="inlineStr">
        <is>
          <t>CFO / ortak imza</t>
        </is>
      </c>
    </row>
    <row r="29"/>
    <row r="30">
      <c r="A30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H21"/>
    <mergeCell ref="A3:I3"/>
  </mergeCells>
  <conditionalFormatting sqref="B7">
    <cfRule type="cellIs" priority="1" operator="equal" dxfId="0">
      <formula>"BAŞVUR"</formula>
    </cfRule>
    <cfRule type="cellIs" priority="2" operator="equal" dxfId="1">
      <formula>"BEKLE"</formula>
    </cfRule>
    <cfRule type="cellIs" priority="3" operator="equal" dxfId="2">
      <formula>"UYGUN DEĞİL"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conditionalFormatting sqref="B17">
    <cfRule type="cellIs" priority="13" operator="greaterThan" dxfId="3">
      <formula>0</formula>
    </cfRule>
  </conditionalFormatting>
  <conditionalFormatting sqref="B18">
    <cfRule type="cellIs" priority="14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5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6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&amp;LKonkordato Nakit Akış Ön Projesi | Kanıt&amp;CExcelArşiv&amp;RSayfa &amp;P / &amp;N</oddFooter>
    <evenHeader/>
    <evenFooter>&amp;LKonkordato Nakit Akış Ön Projesi | Kanıt&amp;CExcelArşiv&amp;RSayfa &amp;P / &amp;N</evenFooter>
    <firstHeader/>
    <firstFooter/>
  </headerFooter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KONTROLLER — Konkordato Nakit Akış Ön Projesi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9" t="inlineStr">
        <is>
          <t>Canlı Kontrol Paneli</t>
        </is>
      </c>
    </row>
    <row r="4"/>
    <row r="5">
      <c r="A5" s="7" t="inlineStr">
        <is>
          <t>İşlem sayısı</t>
        </is>
      </c>
      <c r="B5" s="33">
        <f>COUNTA(tblAkis[IslemId])</f>
        <v/>
      </c>
    </row>
    <row r="6">
      <c r="A6" s="7" t="inlineStr">
        <is>
          <t>Kart sayısı</t>
        </is>
      </c>
      <c r="B6" s="33">
        <f>COUNTA(tblGirdi[KartId])</f>
        <v/>
      </c>
    </row>
    <row r="7">
      <c r="A7" s="7" t="inlineStr">
        <is>
          <t>Taslak</t>
        </is>
      </c>
      <c r="B7" s="33">
        <f>COUNTIF(tblAkis[Durum],"TASLAK")</f>
        <v/>
      </c>
    </row>
    <row r="8">
      <c r="A8" s="7" t="inlineStr">
        <is>
          <t>Hazırlık</t>
        </is>
      </c>
      <c r="B8" s="33">
        <f>COUNTIF(tblAkis[Durum],"HAZIRLIK")</f>
        <v/>
      </c>
    </row>
    <row r="9">
      <c r="A9" s="7" t="inlineStr">
        <is>
          <t>Başvuru</t>
        </is>
      </c>
      <c r="B9" s="33">
        <f>COUNTIF(tblAkis[Durum],"BASVURU")</f>
        <v/>
      </c>
    </row>
    <row r="10">
      <c r="A10" s="7" t="inlineStr">
        <is>
          <t>Kabul</t>
        </is>
      </c>
      <c r="B10" s="33">
        <f>COUNTIF(tblAkis[Durum],"KABUL")</f>
        <v/>
      </c>
    </row>
    <row r="11">
      <c r="A11" s="7" t="inlineStr">
        <is>
          <t>Ret</t>
        </is>
      </c>
      <c r="B11" s="33">
        <f>COUNTIF(tblAkis[Durum],"RET")</f>
        <v/>
      </c>
    </row>
    <row r="12">
      <c r="A12" s="7" t="inlineStr">
        <is>
          <t>Yetim</t>
        </is>
      </c>
      <c r="B12" s="33">
        <f>kna_yetimKayit</f>
        <v/>
      </c>
    </row>
    <row r="13">
      <c r="A13" s="7" t="inlineStr">
        <is>
          <t>Geçersiz</t>
        </is>
      </c>
      <c r="B13" s="33">
        <f>kna_gecersizGecis</f>
        <v/>
      </c>
    </row>
    <row r="14">
      <c r="A14" s="7" t="inlineStr">
        <is>
          <t>Zincir kırık</t>
        </is>
      </c>
      <c r="B14" s="33">
        <f>kna_zincirKirik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33">
        <f>HESAP!C51</f>
        <v/>
      </c>
    </row>
    <row r="17">
      <c r="A17" s="7" t="inlineStr">
        <is>
          <t>Açık tutar</t>
        </is>
      </c>
      <c r="B17" s="29">
        <f>kna_acikTutar</f>
        <v/>
      </c>
    </row>
    <row r="18">
      <c r="A18" s="7" t="inlineStr">
        <is>
          <t>Gecikme maliyeti</t>
        </is>
      </c>
      <c r="B18" s="29">
        <f>kna_gecikmeMaliyeti</f>
        <v/>
      </c>
    </row>
    <row r="19">
      <c r="A19" s="7" t="inlineStr">
        <is>
          <t>Kapalı düşüm</t>
        </is>
      </c>
      <c r="B19" s="33">
        <f>kna_kapaliDusum</f>
        <v/>
      </c>
    </row>
    <row r="20">
      <c r="A20" s="7" t="inlineStr">
        <is>
          <t>Nakit kilit</t>
        </is>
      </c>
      <c r="B20" s="33">
        <f>kna_nakitKilit</f>
        <v/>
      </c>
    </row>
    <row r="21">
      <c r="A21" s="7" t="inlineStr">
        <is>
          <t>Bilanço satır</t>
        </is>
      </c>
      <c r="B21" s="33">
        <f>COUNTA(BILANCO!A6:A35)</f>
        <v/>
      </c>
    </row>
    <row r="22">
      <c r="A22" s="7" t="inlineStr">
        <is>
          <t>Nakit satır</t>
        </is>
      </c>
      <c r="B22" s="33">
        <f>COUNTA(NAKIT_AKIS!A6:A35)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C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ORNEK VERI — Konkordato Nakit Akış Ön Projesi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9" t="inlineStr">
        <is>
          <t>Örnek Senaryo Açıklaması</t>
        </is>
      </c>
    </row>
    <row r="4">
      <c r="A4" s="8" t="inlineStr">
        <is>
          <t>Dosyada 8 kart, 12 bilanço, 10 nakit ve 28 akış satırı vardır. Yetim (22, 25), geçersiz geçiş (18, 20) ve zincir kırık (12, 19) kasıtlıdır. 3 yıllık BILANCO ve NAKIT_AKIS mahkeme ön projesinin omurgasıdır. GIRDI, BILANCO, NAKIT_AKIS ve AKIS'i temizleyip kendi verinizi girebilirsiniz.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Durumlar: Taslak/Hazırlık/Başvuru/Kabul/Ret/İptal — kapalılar kuyruktan düşer</t>
        </is>
      </c>
    </row>
    <row r="8"/>
    <row r="9">
      <c r="A9" s="7" t="inlineStr">
        <is>
          <t>Ölçek sözleşmesi</t>
        </is>
      </c>
      <c r="B9" s="20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B365D"/>
    <outlinePr summaryBelow="1" summaryRight="1"/>
    <pageSetUpPr/>
  </sheetPr>
  <dimension ref="A1:AC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0" customWidth="1" min="3" max="3"/>
    <col width="13" customWidth="1" min="4" max="4"/>
    <col width="12" customWidth="1" min="5" max="5"/>
    <col width="13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</cols>
  <sheetData>
    <row r="1" ht="32" customHeight="1">
      <c r="A1" s="178" t="inlineStr">
        <is>
          <t>LISTELER — Konkordato Nakit Akış Ön Projesi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</row>
    <row r="2"/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Bilanço Grup</t>
        </is>
      </c>
      <c r="I3" s="24" t="inlineStr">
        <is>
          <t>Nakit Grup</t>
        </is>
      </c>
      <c r="K3" s="24" t="inlineStr">
        <is>
          <t>Kart Kimlik</t>
        </is>
      </c>
    </row>
    <row r="4"/>
    <row r="5"/>
    <row r="6">
      <c r="A6" s="32" t="inlineStr">
        <is>
          <t>DurumId</t>
        </is>
      </c>
      <c r="C6" s="32" t="inlineStr">
        <is>
          <t>Gecis</t>
        </is>
      </c>
      <c r="E6" s="32" t="inlineStr">
        <is>
          <t>Secim</t>
        </is>
      </c>
      <c r="G6" s="32" t="inlineStr">
        <is>
          <t>Grup</t>
        </is>
      </c>
      <c r="I6" s="32" t="inlineStr">
        <is>
          <t>Grup</t>
        </is>
      </c>
      <c r="K6" s="32" t="inlineStr">
        <is>
          <t>KartId</t>
        </is>
      </c>
    </row>
    <row r="7">
      <c r="A7" s="26" t="inlineStr">
        <is>
          <t>TASLAK</t>
        </is>
      </c>
      <c r="C7" s="26" t="inlineStr">
        <is>
          <t>TASLAK|HAZIRLIK</t>
        </is>
      </c>
      <c r="E7" s="26" t="inlineStr">
        <is>
          <t>EVET</t>
        </is>
      </c>
      <c r="G7" s="26" t="inlineStr">
        <is>
          <t>donen</t>
        </is>
      </c>
      <c r="I7" s="26" t="inlineStr">
        <is>
          <t>isletme</t>
        </is>
      </c>
      <c r="K7" s="26" t="inlineStr">
        <is>
          <t>ALN-00001</t>
        </is>
      </c>
    </row>
    <row r="8">
      <c r="A8" s="26" t="inlineStr">
        <is>
          <t>HAZIRLIK</t>
        </is>
      </c>
      <c r="C8" s="26" t="inlineStr">
        <is>
          <t>HAZIRLIK|BASVURU</t>
        </is>
      </c>
      <c r="E8" s="26" t="inlineStr">
        <is>
          <t>HAYIR</t>
        </is>
      </c>
      <c r="G8" s="26" t="inlineStr">
        <is>
          <t>duran</t>
        </is>
      </c>
      <c r="I8" s="26" t="inlineStr">
        <is>
          <t>yatirim</t>
        </is>
      </c>
      <c r="K8" s="26" t="inlineStr">
        <is>
          <t>ALN-00002</t>
        </is>
      </c>
    </row>
    <row r="9">
      <c r="A9" s="26" t="inlineStr">
        <is>
          <t>BASVURU</t>
        </is>
      </c>
      <c r="C9" s="26" t="inlineStr">
        <is>
          <t>HAZIRLIK|IPTAL</t>
        </is>
      </c>
      <c r="G9" s="26" t="inlineStr">
        <is>
          <t>aktif</t>
        </is>
      </c>
      <c r="I9" s="26" t="inlineStr">
        <is>
          <t>finansman</t>
        </is>
      </c>
      <c r="K9" s="26" t="inlineStr">
        <is>
          <t>ALN-00003</t>
        </is>
      </c>
    </row>
    <row r="10">
      <c r="A10" s="26" t="inlineStr">
        <is>
          <t>KABUL</t>
        </is>
      </c>
      <c r="C10" s="26" t="inlineStr">
        <is>
          <t>BASVURU|KABUL</t>
        </is>
      </c>
      <c r="G10" s="26" t="inlineStr">
        <is>
          <t>pasif</t>
        </is>
      </c>
      <c r="I10" s="26" t="inlineStr">
        <is>
          <t>kapanis</t>
        </is>
      </c>
      <c r="K10" s="26" t="inlineStr">
        <is>
          <t>ALN-00004</t>
        </is>
      </c>
    </row>
    <row r="11">
      <c r="A11" s="26" t="inlineStr">
        <is>
          <t>RET</t>
        </is>
      </c>
      <c r="C11" s="26" t="inlineStr">
        <is>
          <t>BASVURU|RET</t>
        </is>
      </c>
      <c r="G11" s="26" t="inlineStr">
        <is>
          <t>ozkaynak</t>
        </is>
      </c>
      <c r="K11" s="26" t="inlineStr">
        <is>
          <t>ALN-00005</t>
        </is>
      </c>
    </row>
    <row r="12">
      <c r="A12" s="26" t="inlineStr">
        <is>
          <t>IPTAL</t>
        </is>
      </c>
      <c r="K12" s="26" t="inlineStr">
        <is>
          <t>ALN-00006</t>
        </is>
      </c>
    </row>
    <row r="13">
      <c r="K13" s="26" t="inlineStr">
        <is>
          <t>ALN-00007</t>
        </is>
      </c>
    </row>
    <row r="14">
      <c r="K14" s="26" t="inlineStr">
        <is>
          <t>ALN-00008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1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2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B365D"/>
    <outlinePr summaryBelow="1" summaryRight="1"/>
    <pageSetUpPr/>
  </sheetPr>
  <dimension ref="A1:AC73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35.5" customWidth="1" min="2" max="2"/>
    <col width="10" customWidth="1" min="3" max="3"/>
    <col width="30.5" customWidth="1" min="4" max="4"/>
    <col width="19.5" customWidth="1" min="5" max="5"/>
    <col width="40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8" t="inlineStr">
        <is>
          <t>AYARLAR — Konkordato Nakit Akış Ön Projesi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Tek kaynak parametreler + durum haritası (A01/A06)</t>
        </is>
      </c>
    </row>
    <row r="4"/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31" t="n">
        <v>46248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kna_esikGecikmeGun</t>
        </is>
      </c>
      <c r="B8" s="39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kna_esikGeciken</t>
        </is>
      </c>
      <c r="B9" s="39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kna_gecikmeOranGun</t>
        </is>
      </c>
      <c r="B10" s="40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kna_senaryoTemkinli</t>
        </is>
      </c>
      <c r="B11" s="40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kna_senaryoBaz</t>
        </is>
      </c>
      <c r="B12" s="40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kna_senaryoIyimser</t>
        </is>
      </c>
      <c r="B13" s="39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kna_tornadoOran</t>
        </is>
      </c>
      <c r="B14" s="40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kna_yuzdelikOran</t>
        </is>
      </c>
      <c r="B15" s="40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kna_olcekHedef</t>
        </is>
      </c>
      <c r="B16" s="39" t="n">
        <v>5000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kna_azamiTutar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kna_nakitKilitEsik</t>
        </is>
      </c>
      <c r="B18" s="27" t="n">
        <v>0</v>
      </c>
      <c r="C18" s="7" t="inlineStr">
        <is>
          <t>TL</t>
        </is>
      </c>
      <c r="D18" s="7" t="inlineStr">
        <is>
          <t>Nakit kilit eşiği</t>
        </is>
      </c>
      <c r="E18" s="7" t="inlineStr">
        <is>
          <t>01.01.2026</t>
        </is>
      </c>
      <c r="F18" s="8" t="inlineStr">
        <is>
          <t>Kapanış yılı eşiğin altındaysa kilit</t>
        </is>
      </c>
    </row>
    <row r="19">
      <c r="A19" s="7" t="inlineStr">
        <is>
          <t>kna_cezaYetim</t>
        </is>
      </c>
      <c r="B19" s="39" t="n">
        <v>12</v>
      </c>
      <c r="C19" s="7" t="inlineStr">
        <is>
          <t>puan</t>
        </is>
      </c>
      <c r="D19" s="7" t="inlineStr">
        <is>
          <t>Kalite skoru</t>
        </is>
      </c>
      <c r="E19" s="7" t="inlineStr">
        <is>
          <t>01.01.2026</t>
        </is>
      </c>
      <c r="F19" s="8" t="inlineStr">
        <is>
          <t>Yetim ceza puanı</t>
        </is>
      </c>
    </row>
    <row r="20">
      <c r="A20" s="7" t="inlineStr">
        <is>
          <t>kna_cezaGecis</t>
        </is>
      </c>
      <c r="B20" s="39" t="n">
        <v>12</v>
      </c>
      <c r="C20" s="7" t="inlineStr">
        <is>
          <t>puan</t>
        </is>
      </c>
      <c r="D20" s="7" t="inlineStr">
        <is>
          <t>Kalite skoru</t>
        </is>
      </c>
      <c r="E20" s="7" t="inlineStr">
        <is>
          <t>01.01.2026</t>
        </is>
      </c>
      <c r="F20" s="8" t="inlineStr">
        <is>
          <t>Geçiş ceza puanı</t>
        </is>
      </c>
    </row>
    <row r="21">
      <c r="A21" s="7" t="inlineStr">
        <is>
          <t>kna_cezaZincir</t>
        </is>
      </c>
      <c r="B21" s="39" t="n">
        <v>12</v>
      </c>
      <c r="C21" s="7" t="inlineStr">
        <is>
          <t>puan</t>
        </is>
      </c>
      <c r="D21" s="7" t="inlineStr">
        <is>
          <t>Kalite skoru</t>
        </is>
      </c>
      <c r="E21" s="7" t="inlineStr">
        <is>
          <t>01.01.2026</t>
        </is>
      </c>
      <c r="F21" s="8" t="inlineStr">
        <is>
          <t>Zincir ceza puanı</t>
        </is>
      </c>
    </row>
    <row r="22">
      <c r="A22" s="7" t="inlineStr">
        <is>
          <t>kna_cezaGeciken</t>
        </is>
      </c>
      <c r="B22" s="39" t="n">
        <v>2</v>
      </c>
      <c r="C22" s="7" t="inlineStr">
        <is>
          <t>puan</t>
        </is>
      </c>
      <c r="D22" s="7" t="inlineStr">
        <is>
          <t>Kalite skoru</t>
        </is>
      </c>
      <c r="E22" s="7" t="inlineStr">
        <is>
          <t>01.01.2026</t>
        </is>
      </c>
      <c r="F22" s="8" t="inlineStr">
        <is>
          <t>Geciken ceza puanı</t>
        </is>
      </c>
    </row>
    <row r="23">
      <c r="A23" s="7" t="inlineStr">
        <is>
          <t>kna_durumHaritasi</t>
        </is>
      </c>
      <c r="B23" s="26" t="inlineStr">
        <is>
          <t>AYARLAR durum tablosu</t>
        </is>
      </c>
      <c r="C23" s="7" t="inlineStr">
        <is>
          <t>metin</t>
        </is>
      </c>
      <c r="D23" s="7" t="inlineStr">
        <is>
          <t>SPEC akis.durum_haritasi</t>
        </is>
      </c>
      <c r="E23" s="7" t="inlineStr">
        <is>
          <t>01.01.2026</t>
        </is>
      </c>
      <c r="F23" s="8" t="inlineStr">
        <is>
          <t>Durum makinesi kaynağı</t>
        </is>
      </c>
    </row>
    <row r="24">
      <c r="A24" s="7" t="inlineStr">
        <is>
          <t>kna_kuyrukOzeti_metin</t>
        </is>
      </c>
      <c r="B24" s="26" t="inlineStr">
        <is>
          <t>KUYRUKLAR canlı özet</t>
        </is>
      </c>
      <c r="C24" s="7" t="inlineStr">
        <is>
          <t>metin</t>
        </is>
      </c>
      <c r="D24" s="7" t="inlineStr">
        <is>
          <t>A05 kuyruk</t>
        </is>
      </c>
      <c r="E24" s="7" t="inlineStr">
        <is>
          <t>01.01.2026</t>
        </is>
      </c>
      <c r="F24" s="8" t="inlineStr">
        <is>
          <t>Kuyruk görünümü</t>
        </is>
      </c>
    </row>
    <row r="25">
      <c r="A25" s="7" t="inlineStr">
        <is>
          <t>kna_kapaliDusum_metin</t>
        </is>
      </c>
      <c r="B25" s="26" t="inlineStr">
        <is>
          <t>kapali kategori kuyruktan düşer</t>
        </is>
      </c>
      <c r="C25" s="7" t="inlineStr">
        <is>
          <t>metin</t>
        </is>
      </c>
      <c r="D25" s="7" t="inlineStr">
        <is>
          <t>A06</t>
        </is>
      </c>
      <c r="E25" s="7" t="inlineStr">
        <is>
          <t>01.01.2026</t>
        </is>
      </c>
      <c r="F25" s="8" t="inlineStr">
        <is>
          <t>Kapalı düşüm kuralı</t>
        </is>
      </c>
    </row>
    <row r="26">
      <c r="A26" s="7" t="inlineStr">
        <is>
          <t>kna_kanitRaporu_metin</t>
        </is>
      </c>
      <c r="B26" s="26" t="inlineStr">
        <is>
          <t>RAPOR kanıt çıktısı</t>
        </is>
      </c>
      <c r="C26" s="7" t="inlineStr">
        <is>
          <t>metin</t>
        </is>
      </c>
      <c r="D26" s="7" t="inlineStr">
        <is>
          <t>Mahkeme ön proje</t>
        </is>
      </c>
      <c r="E26" s="7" t="inlineStr">
        <is>
          <t>01.01.2026</t>
        </is>
      </c>
      <c r="F26" s="8" t="inlineStr">
        <is>
          <t>Kanıt raporu</t>
        </is>
      </c>
    </row>
    <row r="27">
      <c r="A27" s="7" t="inlineStr">
        <is>
          <t>kna_dosyaSurumu</t>
        </is>
      </c>
      <c r="B27" s="26" t="inlineStr">
        <is>
          <t>1.0.0</t>
        </is>
      </c>
      <c r="C27" s="7" t="inlineStr">
        <is>
          <t>metin</t>
        </is>
      </c>
      <c r="D27" s="7" t="inlineStr">
        <is>
          <t>Sürüm yönetimi</t>
        </is>
      </c>
      <c r="E27" s="7" t="inlineStr">
        <is>
          <t>01.01.2026</t>
        </is>
      </c>
      <c r="F27" s="8" t="inlineStr">
        <is>
          <t>Ürün sürümü</t>
        </is>
      </c>
    </row>
    <row r="28"/>
    <row r="29"/>
    <row r="30">
      <c r="H30" s="5" t="inlineStr">
        <is>
          <t>Durum Haritası</t>
        </is>
      </c>
    </row>
    <row r="31" ht="30" customHeight="1">
      <c r="H31" s="25" t="inlineStr">
        <is>
          <t>durum_id</t>
        </is>
      </c>
      <c r="I31" s="25" t="inlineStr">
        <is>
          <t>durum_adi</t>
        </is>
      </c>
      <c r="J31" s="25" t="inlineStr">
        <is>
          <t>sira</t>
        </is>
      </c>
      <c r="K31" s="25" t="inlineStr">
        <is>
          <t>izinli_sonraki_durumlar</t>
        </is>
      </c>
      <c r="L31" s="25" t="inlineStr">
        <is>
          <t>kategori</t>
        </is>
      </c>
    </row>
    <row r="32">
      <c r="H32" s="7" t="inlineStr">
        <is>
          <t>TASLAK</t>
        </is>
      </c>
      <c r="I32" s="7" t="inlineStr">
        <is>
          <t>Taslak</t>
        </is>
      </c>
      <c r="J32" s="20" t="n">
        <v>1</v>
      </c>
      <c r="K32" s="7" t="inlineStr">
        <is>
          <t>HAZIRLIK</t>
        </is>
      </c>
      <c r="L32" s="7" t="inlineStr">
        <is>
          <t>acik</t>
        </is>
      </c>
    </row>
    <row r="33">
      <c r="H33" s="7" t="inlineStr">
        <is>
          <t>HAZIRLIK</t>
        </is>
      </c>
      <c r="I33" s="7" t="inlineStr">
        <is>
          <t>Hazırlık</t>
        </is>
      </c>
      <c r="J33" s="20" t="n">
        <v>2</v>
      </c>
      <c r="K33" s="7" t="inlineStr">
        <is>
          <t>BASVURU|IPTAL</t>
        </is>
      </c>
      <c r="L33" s="7" t="inlineStr">
        <is>
          <t>acik</t>
        </is>
      </c>
    </row>
    <row r="34">
      <c r="H34" s="7" t="inlineStr">
        <is>
          <t>BASVURU</t>
        </is>
      </c>
      <c r="I34" s="7" t="inlineStr">
        <is>
          <t>Başvuru</t>
        </is>
      </c>
      <c r="J34" s="20" t="n">
        <v>3</v>
      </c>
      <c r="K34" s="7" t="inlineStr">
        <is>
          <t>KABUL|RET</t>
        </is>
      </c>
      <c r="L34" s="7" t="inlineStr">
        <is>
          <t>acik</t>
        </is>
      </c>
    </row>
    <row r="35">
      <c r="H35" s="7" t="inlineStr">
        <is>
          <t>KABUL</t>
        </is>
      </c>
      <c r="I35" s="7" t="inlineStr">
        <is>
          <t>Kabul</t>
        </is>
      </c>
      <c r="J35" s="20" t="n">
        <v>4</v>
      </c>
      <c r="K35" s="7" t="inlineStr"/>
      <c r="L35" s="7" t="inlineStr">
        <is>
          <t>kapali</t>
        </is>
      </c>
    </row>
    <row r="36">
      <c r="H36" s="7" t="inlineStr">
        <is>
          <t>RET</t>
        </is>
      </c>
      <c r="I36" s="7" t="inlineStr">
        <is>
          <t>Ret</t>
        </is>
      </c>
      <c r="J36" s="20" t="n">
        <v>5</v>
      </c>
      <c r="K36" s="7" t="inlineStr"/>
      <c r="L36" s="7" t="inlineStr">
        <is>
          <t>kapali</t>
        </is>
      </c>
    </row>
    <row r="37">
      <c r="H37" s="7" t="inlineStr">
        <is>
          <t>IPTAL</t>
        </is>
      </c>
      <c r="I37" s="7" t="inlineStr">
        <is>
          <t>İptal</t>
        </is>
      </c>
      <c r="J37" s="20" t="n">
        <v>6</v>
      </c>
      <c r="K37" s="7" t="inlineStr"/>
      <c r="L37" s="7" t="inlineStr">
        <is>
          <t>kapali</t>
        </is>
      </c>
    </row>
    <row r="38"/>
    <row r="39"/>
    <row r="40">
      <c r="H40" s="16" t="inlineStr">
        <is>
          <t>Motor Çıktıları</t>
        </is>
      </c>
    </row>
    <row r="41">
      <c r="H41" s="32" t="inlineStr">
        <is>
          <t>anahtar</t>
        </is>
      </c>
      <c r="I41" s="32" t="inlineStr">
        <is>
          <t>deger</t>
        </is>
      </c>
    </row>
    <row r="42">
      <c r="H42" s="7" t="inlineStr">
        <is>
          <t>kna_acikAdet</t>
        </is>
      </c>
      <c r="I42" s="8">
        <f>HESAP!C20</f>
        <v/>
      </c>
    </row>
    <row r="43">
      <c r="H43" s="7" t="inlineStr">
        <is>
          <t>kna_acikTutar</t>
        </is>
      </c>
      <c r="I43" s="8">
        <f>HESAP!C22</f>
        <v/>
      </c>
    </row>
    <row r="44">
      <c r="H44" s="7" t="inlineStr">
        <is>
          <t>kna_gecikenAdet</t>
        </is>
      </c>
      <c r="I44" s="8">
        <f>HESAP!C32</f>
        <v/>
      </c>
    </row>
    <row r="45">
      <c r="H45" s="7" t="inlineStr">
        <is>
          <t>kna_gecikmeMaliyeti</t>
        </is>
      </c>
      <c r="I45" s="8">
        <f>HESAP!C34</f>
        <v/>
      </c>
    </row>
    <row r="46">
      <c r="H46" s="7" t="inlineStr">
        <is>
          <t>kna_yetimKayit</t>
        </is>
      </c>
      <c r="I46" s="8">
        <f>HESAP!C23</f>
        <v/>
      </c>
    </row>
    <row r="47">
      <c r="H47" s="7" t="inlineStr">
        <is>
          <t>kna_gecersizGecis</t>
        </is>
      </c>
      <c r="I47" s="8">
        <f>HESAP!C24</f>
        <v/>
      </c>
    </row>
    <row r="48">
      <c r="H48" s="7" t="inlineStr">
        <is>
          <t>kna_zincirKirik</t>
        </is>
      </c>
      <c r="I48" s="8">
        <f>HESAP!C25</f>
        <v/>
      </c>
    </row>
    <row r="49">
      <c r="H49" s="7" t="inlineStr">
        <is>
          <t>kna_yasKova</t>
        </is>
      </c>
      <c r="I49" s="8">
        <f>HESAP!C50</f>
        <v/>
      </c>
    </row>
    <row r="50">
      <c r="H50" s="7" t="inlineStr">
        <is>
          <t>kna_tahminAralik</t>
        </is>
      </c>
      <c r="I50" s="8">
        <f>HESAP!C44</f>
        <v/>
      </c>
    </row>
    <row r="51">
      <c r="H51" s="7" t="inlineStr">
        <is>
          <t>kna_senaryoKarsilastirma</t>
        </is>
      </c>
      <c r="I51" s="8">
        <f>HESAP!C38</f>
        <v/>
      </c>
    </row>
    <row r="52">
      <c r="H52" s="7" t="inlineStr">
        <is>
          <t>kna_tornadoZirve</t>
        </is>
      </c>
      <c r="I52" s="8">
        <f>HESAP!C39</f>
        <v/>
      </c>
    </row>
    <row r="53">
      <c r="H53" s="7" t="inlineStr">
        <is>
          <t>kna_odemeOncelik</t>
        </is>
      </c>
      <c r="I53" s="8">
        <f>HESAP!C40</f>
        <v/>
      </c>
    </row>
    <row r="54">
      <c r="H54" s="7" t="inlineStr">
        <is>
          <t>kna_paretoGecikme</t>
        </is>
      </c>
      <c r="I54" s="8">
        <f>HESAP!C41</f>
        <v/>
      </c>
    </row>
    <row r="55">
      <c r="H55" s="7" t="inlineStr">
        <is>
          <t>kna_kapaliDusum</t>
        </is>
      </c>
      <c r="I55" s="8">
        <f>HESAP!C21</f>
        <v/>
      </c>
    </row>
    <row r="56">
      <c r="H56" s="7" t="inlineStr">
        <is>
          <t>kna_kuyrukOzeti</t>
        </is>
      </c>
      <c r="I56" s="8">
        <f>HESAP!C49</f>
        <v/>
      </c>
    </row>
    <row r="57">
      <c r="H57" s="7" t="inlineStr">
        <is>
          <t>kna_kanitRaporu</t>
        </is>
      </c>
      <c r="I57" s="8">
        <f>HESAP!C57</f>
        <v/>
      </c>
    </row>
    <row r="58">
      <c r="H58" s="7" t="inlineStr">
        <is>
          <t>kna_sonrakiKimlik</t>
        </is>
      </c>
      <c r="I58" s="8">
        <f>"ALN-"&amp;TEXT(COUNTA(tblGirdi[KartId])+1,"00000")</f>
        <v/>
      </c>
    </row>
    <row r="59">
      <c r="H59" s="7" t="inlineStr">
        <is>
          <t>kna_ucYilAkis</t>
        </is>
      </c>
      <c r="I59" s="8">
        <f>HESAP!C48</f>
        <v/>
      </c>
    </row>
    <row r="60">
      <c r="H60" s="7" t="inlineStr">
        <is>
          <t>kna_modulO8</t>
        </is>
      </c>
      <c r="I60" s="8">
        <f>HESAP!C55</f>
        <v/>
      </c>
    </row>
    <row r="61">
      <c r="H61" s="7" t="inlineStr">
        <is>
          <t>kna_modulI2</t>
        </is>
      </c>
      <c r="I61" s="8">
        <f>HESAP!C56</f>
        <v/>
      </c>
    </row>
    <row r="62">
      <c r="H62" s="7" t="inlineStr">
        <is>
          <t>kna_nakitKilit</t>
        </is>
      </c>
      <c r="I62" s="8">
        <f>HESAP!C53</f>
        <v/>
      </c>
    </row>
    <row r="63"/>
    <row r="64">
      <c r="H64" s="16" t="inlineStr">
        <is>
          <t>Yorumlar</t>
        </is>
      </c>
    </row>
    <row r="65">
      <c r="H65" s="7" t="inlineStr">
        <is>
          <t>kna_yorumYas</t>
        </is>
      </c>
      <c r="I65" s="8">
        <f>_xlfn.TEXTJOIN(" ",TRUE,"Yaş kovaları",kna_yasKova)</f>
        <v/>
      </c>
    </row>
    <row r="66">
      <c r="H66" s="7" t="inlineStr">
        <is>
          <t>kna_yorumGecikme</t>
        </is>
      </c>
      <c r="I66" s="8">
        <f>_xlfn.TEXTJOIN(" ",TRUE,"Gecikme maliyeti",TEXT(kna_gecikmeMaliyeti,"0.00"),"TL")</f>
        <v/>
      </c>
    </row>
    <row r="67">
      <c r="H67" s="7" t="inlineStr">
        <is>
          <t>kna_yorumTahmin</t>
        </is>
      </c>
      <c r="I67" s="8">
        <f>_xlfn.TEXTJOIN(" ",TRUE,"Tahmin aralık",TEXT(kna_tahminAralik,"0.00"),"TL")</f>
        <v/>
      </c>
    </row>
    <row r="68">
      <c r="H68" s="7" t="inlineStr">
        <is>
          <t>kna_yorumSenaryo</t>
        </is>
      </c>
      <c r="I68" s="8">
        <f>_xlfn.TEXTJOIN(" ",TRUE,"Senaryo farkı",TEXT(kna_senaryoKarsilastirma,"0.00"),"TL")</f>
        <v/>
      </c>
    </row>
    <row r="69">
      <c r="H69" s="7" t="inlineStr">
        <is>
          <t>kna_yorumTornado</t>
        </is>
      </c>
      <c r="I69" s="8">
        <f>_xlfn.TEXTJOIN(" ",TRUE,"Tornado zirve",TEXT(kna_tornadoZirve,"0.00"),"TL")</f>
        <v/>
      </c>
    </row>
    <row r="70">
      <c r="H70" s="7" t="inlineStr">
        <is>
          <t>kna_yorumOncelik</t>
        </is>
      </c>
      <c r="I70" s="8">
        <f>_xlfn.TEXTJOIN(" ",TRUE,"Ödeme öncelik havuzu",TEXT(kna_odemeOncelik,"0.00"),"TL")</f>
        <v/>
      </c>
    </row>
    <row r="71">
      <c r="H71" s="7" t="inlineStr">
        <is>
          <t>kna_yorumPareto</t>
        </is>
      </c>
      <c r="I71" s="8">
        <f>_xlfn.TEXTJOIN(" ",TRUE,"Pareto gecikme payı",TEXT(kna_paretoGecikme,"0.0%"))</f>
        <v/>
      </c>
    </row>
    <row r="72">
      <c r="H72" s="7" t="inlineStr">
        <is>
          <t>kna_modulO8Yorum</t>
        </is>
      </c>
      <c r="I72" s="8">
        <f>_xlfn.TEXTJOIN(" ",TRUE,"Kalite",TEXT(kna_modulO8,"0"),"yetim/geçiş/zincir düşer")</f>
        <v/>
      </c>
    </row>
    <row r="73">
      <c r="H73" s="7" t="inlineStr">
        <is>
          <t>kna_modulI2Yorum</t>
        </is>
      </c>
      <c r="I73" s="8">
        <f>_xlfn.TEXTJOIN(" ",TRUE,"Yüzdelik 90 tutar",TEXT(kna_modulI2,"0.00"),"TL")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2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B365D"/>
    <outlinePr summaryBelow="1" summaryRight="1"/>
    <pageSetUpPr/>
  </sheetPr>
  <dimension ref="A1:AC16"/>
  <sheetViews>
    <sheetView showGridLines="0" workbookViewId="0">
      <selection activeCell="A1" sqref="A1"/>
    </sheetView>
  </sheetViews>
  <sheetFormatPr baseColWidth="8" defaultRowHeight="15"/>
  <cols>
    <col width="90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KILAVUZ — Konkordato Nakit Akış Ön Projesi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9" t="inlineStr">
        <is>
          <t>Kullanım Kılavuzu</t>
        </is>
      </c>
    </row>
    <row r="4"/>
    <row r="5">
      <c r="A5" s="8" t="inlineStr">
        <is>
          <t>1. GIRDI sayfasına alacaklı kartı ekleyin; alacak tutarını yazın.</t>
        </is>
      </c>
    </row>
    <row r="6">
      <c r="A6" s="8" t="inlineStr">
        <is>
          <t>2. BILANCO sayfasına 3 yılı (Y0 gerçekleşen, Y1-Y2 projeksiyon) girin.</t>
        </is>
      </c>
    </row>
    <row r="7">
      <c r="A7" s="8" t="inlineStr">
        <is>
          <t>3. NAKIT_AKIS sayfasına işletme / yatırım / finansman / kapanış kalemlerini yazın.</t>
        </is>
      </c>
    </row>
    <row r="8">
      <c r="A8" s="8" t="inlineStr">
        <is>
          <t>4. AKIS sayfasına her ön proje kalemini yazın; durum kolonunu listeden seçin.</t>
        </is>
      </c>
    </row>
    <row r="9">
      <c r="A9" s="8" t="inlineStr">
        <is>
          <t>5. Önceki durum boş bırakılırsa geçiş uyarısı çalışmaz; bilinçli geçişte doldurun.</t>
        </is>
      </c>
    </row>
    <row r="10">
      <c r="A10" s="8" t="inlineStr">
        <is>
          <t>6. Geçersiz geçiş engellenmez — kırmızı uyarı üretir (makrosuz kural).</t>
        </is>
      </c>
    </row>
    <row r="11">
      <c r="A11" s="8" t="inlineStr">
        <is>
          <t>7. Kapalı durumlar (Kabul/Ret/İptal) açık kuyruklardan düşer.</t>
        </is>
      </c>
    </row>
    <row r="12">
      <c r="A12" s="8" t="inlineStr">
        <is>
          <t>8. Nakit kilit veya uç tutar UYGUN DEĞİL, yetim/geçiş BEKLE, boş veri VERİ YOK üretir.</t>
        </is>
      </c>
    </row>
    <row r="13">
      <c r="A13" s="8" t="inlineStr">
        <is>
          <t>9. RAPOR sayfası mahkeme ön proje baskısıdır; PDF olarak yazdırın.</t>
        </is>
      </c>
    </row>
    <row r="14">
      <c r="A14" s="8" t="inlineStr">
        <is>
          <t>10. raporTarihi AYARLAR'dadır; TODAY kullanılmaz.</t>
        </is>
      </c>
    </row>
    <row r="15">
      <c r="A15" s="8" t="inlineStr">
        <is>
          <t>11. Koruma şifresi: 1234 — formül hücreleri kilitli, sarı hücreler açıktır.</t>
        </is>
      </c>
    </row>
    <row r="16">
      <c r="A16" s="8" t="inlineStr">
        <is>
          <t>12.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5:J5"/>
    <mergeCell ref="A8:J8"/>
    <mergeCell ref="A14:J14"/>
    <mergeCell ref="A6:J6"/>
    <mergeCell ref="A9:J9"/>
    <mergeCell ref="A1:I1"/>
    <mergeCell ref="A12:J12"/>
    <mergeCell ref="A7:J7"/>
    <mergeCell ref="A15:J15"/>
    <mergeCell ref="A3:I3"/>
    <mergeCell ref="A16:J16"/>
    <mergeCell ref="A10:J10"/>
    <mergeCell ref="A13:J13"/>
    <mergeCell ref="A11:J11"/>
  </mergeCells>
  <dataValidations count="12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2026-08-14T19:50:06Z</dcterms:created>
  <dcterms:modified xmlns:dcterms="http://purl.org/dc/terms/" xmlns:xsi="http://www.w3.org/2001/XMLSchema-instance" xsi:type="dcterms:W3CDTF">2026-09-25T20:45:04Z</dcterms:modified>
</cp:coreProperties>
</file>