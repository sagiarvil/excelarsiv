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1.xml" ContentType="application/vnd.openxmlformats-officedocument.spreadsheetml.comments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comments/comment2.xml" ContentType="application/vnd.openxmlformats-officedocument.spreadsheetml.comments+xml"/>
  <Override PartName="/xl/tables/table1.xml" ContentType="application/vnd.openxmlformats-officedocument.spreadsheetml.table+xml"/>
  <Override PartName="/xl/worksheets/sheet8.xml" ContentType="application/vnd.openxmlformats-officedocument.spreadsheetml.worksheet+xml"/>
  <Override PartName="/xl/comments/comment3.xml" ContentType="application/vnd.openxmlformats-officedocument.spreadsheetml.comments+xml"/>
  <Override PartName="/xl/tables/table2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2.xml" ContentType="application/vnd.openxmlformats-officedocument.drawing+xml"/>
  <Override PartName="/xl/worksheets/sheet11.xml" ContentType="application/vnd.openxmlformats-officedocument.spreadsheetml.worksheet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worksheets/sheet12.xml" ContentType="application/vnd.openxmlformats-officedocument.spreadsheetml.worksheet+xml"/>
  <Override PartName="/xl/comments/comment4.xml" ContentType="application/vnd.openxmlformats-officedocument.spreadsheetml.comments+xml"/>
  <Override PartName="/xl/worksheets/sheet13.xml" ContentType="application/vnd.openxmlformats-officedocument.spreadsheetml.worksheet+xml"/>
  <Override PartName="/xl/comments/comment5.xml" ContentType="application/vnd.openxmlformats-officedocument.spreadsheetml.comments+xml"/>
  <Override PartName="/xl/worksheets/sheet14.xml" ContentType="application/vnd.openxmlformats-officedocument.spreadsheetml.worksheet+xml"/>
  <Override PartName="/xl/drawings/drawing4.xml" ContentType="application/vnd.openxmlformats-officedocument.drawing+xml"/>
  <Override PartName="/xl/comments/comment6.xml" ContentType="application/vnd.openxmlformats-officedocument.spreadsheetml.comments+xml"/>
  <Override PartName="/xl/tables/table4.xml" ContentType="application/vnd.openxmlformats-officedocument.spreadsheetml.table+xml"/>
  <Override PartName="/xl/worksheets/sheet15.xml" ContentType="application/vnd.openxmlformats-officedocument.spreadsheetml.worksheet+xml"/>
  <Override PartName="/xl/comments/comment7.xml" ContentType="application/vnd.openxmlformats-officedocument.spreadsheetml.comments+xml"/>
  <Override PartName="/xl/worksheets/sheet16.xml" ContentType="application/vnd.openxmlformats-officedocument.spreadsheetml.worksheet+xml"/>
  <Override PartName="/xl/comments/comment8.xml" ContentType="application/vnd.openxmlformats-officedocument.spreadsheetml.comments+xml"/>
  <Override PartName="/xl/worksheets/sheet1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KOKPIT" sheetId="1" state="visible" r:id="rId1"/>
    <sheet xmlns:r="http://schemas.openxmlformats.org/officeDocument/2006/relationships" name="02_GIRDI" sheetId="2" state="visible" r:id="rId2"/>
    <sheet xmlns:r="http://schemas.openxmlformats.org/officeDocument/2006/relationships" name="03_KARAR_RAPORU" sheetId="3" state="visible" r:id="rId3"/>
    <sheet xmlns:r="http://schemas.openxmlformats.org/officeDocument/2006/relationships" name="KAPAK" sheetId="4" state="hidden" r:id="rId4"/>
    <sheet xmlns:r="http://schemas.openxmlformats.org/officeDocument/2006/relationships" name="HIZLI_BASLANGIC" sheetId="5" state="hidden" r:id="rId5"/>
    <sheet xmlns:r="http://schemas.openxmlformats.org/officeDocument/2006/relationships" name="PANO" sheetId="6" state="hidden" r:id="rId6"/>
    <sheet xmlns:r="http://schemas.openxmlformats.org/officeDocument/2006/relationships" name="GIRDI" sheetId="7" state="hidden" r:id="rId7"/>
    <sheet xmlns:r="http://schemas.openxmlformats.org/officeDocument/2006/relationships" name="KURALLAR" sheetId="8" state="hidden" r:id="rId8"/>
    <sheet xmlns:r="http://schemas.openxmlformats.org/officeDocument/2006/relationships" name="MOTOR" sheetId="9" state="hidden" r:id="rId9"/>
    <sheet xmlns:r="http://schemas.openxmlformats.org/officeDocument/2006/relationships" name="SENARYO" sheetId="10" state="hidden" r:id="rId10"/>
    <sheet xmlns:r="http://schemas.openxmlformats.org/officeDocument/2006/relationships" name="VAKALAR" sheetId="11" state="hidden" r:id="rId11"/>
    <sheet xmlns:r="http://schemas.openxmlformats.org/officeDocument/2006/relationships" name="KANIT_RAPORU" sheetId="12" state="hidden" r:id="rId12"/>
    <sheet xmlns:r="http://schemas.openxmlformats.org/officeDocument/2006/relationships" name="KONTROLLER" sheetId="13" state="hidden" r:id="rId13"/>
    <sheet xmlns:r="http://schemas.openxmlformats.org/officeDocument/2006/relationships" name="ORNEK_VERI" sheetId="14" state="hidden" r:id="rId14"/>
    <sheet xmlns:r="http://schemas.openxmlformats.org/officeDocument/2006/relationships" name="LISTELER" sheetId="15" state="hidden" r:id="rId15"/>
    <sheet xmlns:r="http://schemas.openxmlformats.org/officeDocument/2006/relationships" name="AYARLAR" sheetId="16" state="hidden" r:id="rId16"/>
    <sheet xmlns:r="http://schemas.openxmlformats.org/officeDocument/2006/relationships" name="KILAVUZ" sheetId="17" state="hidden" r:id="rId17"/>
  </sheets>
  <definedNames>
    <definedName name="hesapYili">GIRDI!$B$8</definedName>
    <definedName name="raporTarihi">AYARLAR!$B$7</definedName>
    <definedName name="ktk_ozKaynak">MOTOR!$G$28</definedName>
    <definedName name="ktk_eksikSermaye">MOTOR!$G$30</definedName>
    <definedName name="ktk_kritikAcik">MOTOR!$G$30</definedName>
    <definedName name="ktk_kacirilan">MOTOR!$G$30</definedName>
    <definedName name="ktk_kararMetni">MOTOR!$G$34</definedName>
    <definedName name="ktk_kararGerekce">MOTOR!$G$35</definedName>
    <definedName name="ktk_maddeAtifMetni">MOTOR!$G$52</definedName>
    <definedName name="ktk_kanitRaporu">MOTOR!$G$53</definedName>
    <definedName name="ktk_kuralYilMatris">KURALLAR!$B$17</definedName>
    <definedName name="ktk_parmakIzi">AYARLAR!$B$19</definedName>
    <definedName name="ktk_senaryoKarsilastirma">SENARYO!$B$11</definedName>
    <definedName name="ktk_yorumSenaryo">SENARYO!$B$12</definedName>
    <definedName name="ktk_duyarlilikSira">SENARYO!$B$19</definedName>
    <definedName name="ktk_yorumDuyarlilik">SENARYO!$B$20</definedName>
    <definedName name="ktk_kuralDegisimSenaryo">SENARYO!$B$22</definedName>
    <definedName name="ktk_yorumKuralDegisim">SENARYO!$B$23</definedName>
    <definedName name="ktk_tahminAralik">SENARYO!$B$32</definedName>
    <definedName name="ktk_yorumTahmin">SENARYO!$B$33</definedName>
    <definedName name="ktk_vakaDurum">VAKALAR!$B$12</definedName>
    <definedName name="ktk_vakaFark">VAKALAR!$B$13</definedName>
    <definedName name="ktk_tolerans">AYARLAR!$B$8</definedName>
    <definedName name="ktk_kacirilanEsik">AYARLAR!$B$9</definedName>
    <definedName name="ktk_senaryoIyi">AYARLAR!$B$10</definedName>
    <definedName name="ktk_senaryoKotu">AYARLAR!$B$11</definedName>
    <definedName name="ktk_oranArtisPuan">AYARLAR!$B$12</definedName>
    <definedName name="ktk_tahminAlt">AYARLAR!$B$13</definedName>
    <definedName name="ktk_tahminUst">AYARLAR!$B$14</definedName>
    <definedName name="ktk_tornadoMatrah">AYARLAR!$B$15</definedName>
    <definedName name="ktk_tornadoMevcut">AYARLAR!$B$16</definedName>
    <definedName name="ktk_isverenOran">AYARLAR!$B$17</definedName>
    <definedName name="ktk_yuzdelikOran">AYARLAR!$B$18</definedName>
    <definedName name="ktk_girisBeklenen">AYARLAR!$B$21</definedName>
    <definedName name="ktk_riskDusuk">AYARLAR!$B$22</definedName>
    <definedName name="ktk_riskOrta">AYARLAR!$B$23</definedName>
    <definedName name="ktk_riskYuksek">AYARLAR!$B$24</definedName>
    <definedName name="ktk_riskEsikOran">AYARLAR!$B$25</definedName>
    <definedName name="ktk_yilTaban">AYARLAR!$B$26</definedName>
    <definedName name="ktk_yuvarMax">AYARLAR!$B$27</definedName>
    <definedName name="ktk_dayanakCarpan">AYARLAR!$B$28</definedName>
    <definedName name="ktk_bazCarpan">AYARLAR!$B$29</definedName>
    <definedName name="ktk_sifirCarpan">AYARLAR!$B$30</definedName>
    <definedName name="ktk_siraBir">AYARLAR!$B$31</definedName>
    <definedName name="ktk_siraIki">AYARLAR!$B$32</definedName>
    <definedName name="ktk_siraUc">AYARLAR!$B$33</definedName>
    <definedName name="ktk_tahminX">AYARLAR!$B$34</definedName>
    <definedName name="vaka_matrah_1">AYARLAR!$B$35</definedName>
    <definedName name="vaka_matrah_2">AYARLAR!$B$36</definedName>
    <definedName name="vaka_tavan">AYARLAR!$B$37</definedName>
    <definedName name="vaka_endeks_orani">AYARLAR!$B$38</definedName>
    <definedName name="ktk_modulT1">PANO!$C$11</definedName>
    <definedName name="ktk_modulT1Yorum">PANO!$D$11</definedName>
    <definedName name="ktk_modulT2">PANO!$C$12</definedName>
    <definedName name="ktk_modulT2Yorum">PANO!$D$12</definedName>
    <definedName name="ktk_modulO1">PANO!$C$13</definedName>
    <definedName name="ktk_modulO1Yorum">PANO!$D$13</definedName>
    <definedName name="ktk_modulO6">PANO!$C$16</definedName>
    <definedName name="ktk_modulO6Yorum">PANO!$D$16</definedName>
    <definedName name="ktk_modulO8">PANO!$C$17</definedName>
    <definedName name="ktk_modulO8Yorum">PANO!$D$17</definedName>
    <definedName name="ktk_modulI2">PANO!$C$20</definedName>
    <definedName name="ktk_modulI2Yorum">PANO!$D$20</definedName>
    <definedName name="ListeYillar">LISTELER!$A$6:$A$8</definedName>
    <definedName name="ListeYorumAB">LISTELER!$C$6:$C$7</definedName>
    <definedName name="ListeEvetHayir">LISTELER!$E$6:$E$7</definedName>
    <definedName name="_xlnm.Print_Area" localSheetId="5">'PANO'!$A$1:$F$34</definedName>
    <definedName name="_xlnm.Print_Area" localSheetId="11">'KANIT_RAPORU'!$A$1:$F$33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.0%;[Red](0.0%);-"/>
    <numFmt numFmtId="165" formatCode="₺ #,##0;[Red](₺ #,##0);-"/>
    <numFmt numFmtId="166" formatCode="dd.mm.yyyy"/>
    <numFmt numFmtId="167" formatCode="#,##0 &quot;TL&quot;"/>
    <numFmt numFmtId="168" formatCode="0.0%"/>
  </numFmts>
  <fonts count="41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FFFFFF"/>
      <sz val="18"/>
    </font>
    <font>
      <name val="Segoe UI"/>
      <color rgb="00595959"/>
      <sz val="10"/>
    </font>
    <font>
      <name val="Segoe UI"/>
      <b val="1"/>
      <color rgb="000F2742"/>
      <sz val="12"/>
    </font>
    <font>
      <name val="Segoe UI"/>
      <color rgb="00333333"/>
      <sz val="10"/>
    </font>
    <font>
      <name val="Segoe UI"/>
      <color rgb="00595959"/>
      <sz val="9"/>
    </font>
    <font>
      <name val="Segoe UI"/>
      <b val="1"/>
      <color rgb="000F2742"/>
      <sz val="13"/>
    </font>
    <font>
      <name val="Segoe UI"/>
      <b val="1"/>
      <color rgb="000F2742"/>
      <sz val="10"/>
    </font>
    <font>
      <name val="Segoe UI"/>
      <b val="1"/>
      <color rgb="00B3261E"/>
      <sz val="10"/>
    </font>
    <font>
      <name val="Segoe UI"/>
      <color rgb="00B3261E"/>
      <sz val="10"/>
    </font>
    <font>
      <name val="Segoe UI"/>
      <b val="1"/>
      <color rgb="000F2742"/>
      <sz val="14"/>
    </font>
    <font>
      <name val="Segoe UI"/>
      <b val="1"/>
      <color rgb="00FFFFFF"/>
      <sz val="9"/>
    </font>
    <font>
      <name val="Segoe UI"/>
      <b val="1"/>
      <color rgb="00006100"/>
      <sz val="11"/>
    </font>
    <font>
      <name val="Segoe UI"/>
      <b val="1"/>
      <color rgb="00006100"/>
      <sz val="14"/>
    </font>
    <font>
      <name val="Segoe UI"/>
      <color rgb="00006100"/>
      <sz val="10"/>
    </font>
    <font>
      <name val="Segoe UI"/>
      <b val="1"/>
      <color rgb="00FFFFFF"/>
      <sz val="10"/>
    </font>
    <font>
      <name val="Segoe UI"/>
      <b val="1"/>
      <color rgb="00B08948"/>
      <sz val="10"/>
    </font>
    <font>
      <name val="Segoe UI"/>
      <color rgb="00000000"/>
      <sz val="10"/>
    </font>
    <font>
      <name val="Segoe UI"/>
      <color rgb="001F4E79"/>
      <sz val="10"/>
    </font>
    <font>
      <name val="Segoe UI"/>
      <b val="1"/>
      <color rgb="00006100"/>
      <sz val="10"/>
    </font>
    <font>
      <name val="Segoe UI"/>
      <b val="1"/>
      <color rgb="00006100"/>
      <sz val="12"/>
    </font>
    <font>
      <name val="Segoe UI"/>
      <b val="1"/>
      <color rgb="00B3261E"/>
      <sz val="12"/>
    </font>
    <font>
      <name val="Segoe UI"/>
      <b val="1"/>
      <color rgb="00FFFFFF"/>
      <sz val="13"/>
    </font>
    <font>
      <name val="Segoe UI"/>
      <color rgb="0064748B"/>
      <sz val="9"/>
    </font>
    <font>
      <name val="Segoe UI"/>
      <b val="1"/>
      <color rgb="0064748B"/>
      <sz val="9"/>
    </font>
    <font>
      <name val="Segoe UI"/>
      <b val="1"/>
      <color rgb="000F172A"/>
      <sz val="18"/>
    </font>
    <font>
      <name val="Segoe UI"/>
      <b val="1"/>
      <color rgb="0010B981"/>
      <sz val="8"/>
    </font>
    <font>
      <name val="Segoe UI"/>
      <b val="1"/>
      <color rgb="002563EB"/>
      <sz val="8"/>
    </font>
    <font>
      <name val="Segoe UI"/>
      <b val="1"/>
      <color rgb="0010B981"/>
      <sz val="16"/>
    </font>
    <font>
      <name val="Segoe UI"/>
      <b val="1"/>
      <color rgb="0064748B"/>
      <sz val="8"/>
    </font>
    <font>
      <name val="Segoe UI"/>
      <b val="1"/>
      <color rgb="00991B1B"/>
      <sz val="9"/>
    </font>
    <font>
      <name val="Segoe UI"/>
      <b val="1"/>
      <color rgb="000F172A"/>
      <sz val="11"/>
    </font>
    <font>
      <name val="Segoe UI"/>
      <sz val="9"/>
    </font>
    <font>
      <name val="Segoe UI"/>
      <b val="1"/>
      <sz val="9"/>
    </font>
    <font>
      <name val="Segoe UI"/>
      <b val="1"/>
      <color rgb="002563EB"/>
      <sz val="9"/>
    </font>
    <font>
      <name val="Segoe UI"/>
      <b val="1"/>
      <color rgb="0010B981"/>
      <sz val="9"/>
    </font>
    <font>
      <name val="Segoe UI"/>
      <b val="1"/>
      <color rgb="00FFFFFF"/>
      <sz val="12"/>
    </font>
    <font>
      <name val="Segoe UI"/>
      <b val="1"/>
      <color rgb="001D4ED8"/>
      <sz val="10"/>
    </font>
    <font>
      <name val="Segoe UI"/>
      <color rgb="0064748B"/>
      <sz val="8"/>
    </font>
    <font>
      <name val="Segoe UI"/>
      <b val="1"/>
      <color rgb="000F172A"/>
      <sz val="10"/>
    </font>
  </fonts>
  <fills count="10">
    <fill>
      <patternFill/>
    </fill>
    <fill>
      <patternFill patternType="gray125"/>
    </fill>
    <fill>
      <patternFill patternType="solid">
        <fgColor rgb="000F2742"/>
        <bgColor rgb="000F2742"/>
      </patternFill>
    </fill>
    <fill>
      <patternFill patternType="solid">
        <fgColor rgb="001F4E79"/>
        <bgColor rgb="001F4E79"/>
      </patternFill>
    </fill>
    <fill>
      <patternFill patternType="solid">
        <fgColor rgb="FFFFF2CC"/>
        <bgColor rgb="FFFFF2CC"/>
      </patternFill>
    </fill>
    <fill>
      <patternFill patternType="solid">
        <fgColor rgb="00DDEBF7"/>
        <bgColor rgb="00DDEBF7"/>
      </patternFill>
    </fill>
    <fill>
      <patternFill patternType="solid">
        <fgColor rgb="00EEF2F7"/>
        <bgColor rgb="00EEF2F7"/>
      </patternFill>
    </fill>
    <fill>
      <patternFill patternType="solid">
        <fgColor rgb="000F172A"/>
        <bgColor rgb="000F172A"/>
      </patternFill>
    </fill>
    <fill>
      <patternFill patternType="solid">
        <fgColor rgb="00FEE2E2"/>
        <bgColor rgb="00FEE2E2"/>
      </patternFill>
    </fill>
    <fill>
      <patternFill patternType="solid">
        <fgColor rgb="00FFFBEB"/>
        <bgColor rgb="00FFFBEB"/>
      </patternFill>
    </fill>
  </fills>
  <borders count="3">
    <border>
      <left/>
      <right/>
      <top/>
      <bottom/>
      <diagonal/>
    </border>
    <border/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93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2" borderId="0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/>
    </xf>
    <xf numFmtId="0" fontId="12" fillId="2" borderId="0" applyAlignment="1" pivotButton="0" quotePrefix="0" xfId="0">
      <alignment horizontal="center" vertical="center" wrapText="1"/>
    </xf>
    <xf numFmtId="164" fontId="13" fillId="0" borderId="0" applyAlignment="1" pivotButton="0" quotePrefix="0" xfId="0">
      <alignment horizontal="center" vertical="center"/>
    </xf>
    <xf numFmtId="165" fontId="13" fillId="0" borderId="0" applyAlignment="1" pivotButton="0" quotePrefix="0" xfId="0">
      <alignment horizontal="center" vertical="center"/>
    </xf>
    <xf numFmtId="3" fontId="13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left" vertical="center"/>
    </xf>
    <xf numFmtId="0" fontId="15" fillId="0" borderId="0" applyAlignment="1" pivotButton="0" quotePrefix="0" xfId="0">
      <alignment horizontal="left" vertical="center" wrapText="1"/>
    </xf>
    <xf numFmtId="0" fontId="16" fillId="3" borderId="1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left" vertical="center" wrapText="1"/>
    </xf>
    <xf numFmtId="164" fontId="15" fillId="0" borderId="0" applyAlignment="1" pivotButton="0" quotePrefix="0" xfId="0">
      <alignment horizontal="left" vertical="center"/>
    </xf>
    <xf numFmtId="165" fontId="15" fillId="0" borderId="0" applyAlignment="1" pivotButton="0" quotePrefix="0" xfId="0">
      <alignment horizontal="left" vertical="center"/>
    </xf>
    <xf numFmtId="0" fontId="15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165" fontId="3" fillId="0" borderId="0" applyAlignment="1" pivotButton="0" quotePrefix="0" xfId="0">
      <alignment horizontal="left" vertical="center"/>
    </xf>
    <xf numFmtId="0" fontId="16" fillId="3" borderId="0" applyAlignment="1" pivotButton="0" quotePrefix="0" xfId="0">
      <alignment horizontal="center" vertical="center"/>
    </xf>
    <xf numFmtId="0" fontId="19" fillId="4" borderId="0" applyAlignment="1" applyProtection="1" pivotButton="0" quotePrefix="0" xfId="0">
      <alignment horizontal="left" vertical="center"/>
      <protection locked="0" hidden="0"/>
    </xf>
    <xf numFmtId="3" fontId="19" fillId="4" borderId="0" applyAlignment="1" applyProtection="1" pivotButton="0" quotePrefix="0" xfId="0">
      <alignment horizontal="left" vertical="center"/>
      <protection locked="0" hidden="0"/>
    </xf>
    <xf numFmtId="165" fontId="19" fillId="4" borderId="0" applyAlignment="1" applyProtection="1" pivotButton="0" quotePrefix="0" xfId="0">
      <alignment horizontal="left" vertical="center"/>
      <protection locked="0" hidden="0"/>
    </xf>
    <xf numFmtId="165" fontId="20" fillId="0" borderId="0" applyAlignment="1" pivotButton="0" quotePrefix="0" xfId="0">
      <alignment horizontal="left" vertical="center"/>
    </xf>
    <xf numFmtId="3" fontId="15" fillId="0" borderId="0" applyAlignment="1" pivotButton="0" quotePrefix="0" xfId="0">
      <alignment horizontal="left" vertical="center"/>
    </xf>
    <xf numFmtId="0" fontId="0" fillId="4" borderId="0" applyProtection="1" pivotButton="0" quotePrefix="0" xfId="0">
      <protection locked="0" hidden="0"/>
    </xf>
    <xf numFmtId="0" fontId="0" fillId="6" borderId="0" pivotButton="0" quotePrefix="0" xfId="0"/>
    <xf numFmtId="3" fontId="0" fillId="4" borderId="0" applyProtection="1" pivotButton="0" quotePrefix="0" xfId="0">
      <protection locked="0" hidden="0"/>
    </xf>
    <xf numFmtId="165" fontId="0" fillId="4" borderId="0" applyProtection="1" pivotButton="0" quotePrefix="0" xfId="0">
      <protection locked="0" hidden="0"/>
    </xf>
    <xf numFmtId="0" fontId="19" fillId="5" borderId="0" applyAlignment="1" pivotButton="0" quotePrefix="0" xfId="0">
      <alignment horizontal="left" vertical="center" indent="1"/>
    </xf>
    <xf numFmtId="0" fontId="0" fillId="5" borderId="0" pivotButton="0" quotePrefix="0" xfId="0"/>
    <xf numFmtId="0" fontId="7" fillId="0" borderId="0" applyAlignment="1" pivotButton="0" quotePrefix="0" xfId="0">
      <alignment horizontal="left" vertical="center" wrapText="1"/>
    </xf>
    <xf numFmtId="164" fontId="5" fillId="4" borderId="0" applyAlignment="1" applyProtection="1" pivotButton="0" quotePrefix="0" xfId="0">
      <alignment horizontal="left" vertical="center"/>
      <protection locked="0" hidden="0"/>
    </xf>
    <xf numFmtId="3" fontId="5" fillId="4" borderId="0" applyAlignment="1" applyProtection="1" pivotButton="0" quotePrefix="0" xfId="0">
      <alignment horizontal="left" vertical="center"/>
      <protection locked="0" hidden="0"/>
    </xf>
    <xf numFmtId="3" fontId="18" fillId="0" borderId="0" applyAlignment="1" pivotButton="0" quotePrefix="0" xfId="0">
      <alignment horizontal="center" vertical="center"/>
    </xf>
    <xf numFmtId="3" fontId="15" fillId="0" borderId="0" applyAlignment="1" pivotButton="0" quotePrefix="0" xfId="0">
      <alignment horizontal="left" vertical="center" wrapText="1"/>
    </xf>
    <xf numFmtId="0" fontId="18" fillId="0" borderId="0" applyAlignment="1" pivotButton="0" quotePrefix="0" xfId="0">
      <alignment horizontal="center" vertical="center"/>
    </xf>
    <xf numFmtId="164" fontId="15" fillId="0" borderId="0" applyAlignment="1" pivotButton="0" quotePrefix="0" xfId="0">
      <alignment horizontal="left" vertical="center" wrapText="1"/>
    </xf>
    <xf numFmtId="165" fontId="15" fillId="0" borderId="0" applyAlignment="1" pivotButton="0" quotePrefix="0" xfId="0">
      <alignment horizontal="left" vertical="center" wrapText="1"/>
    </xf>
    <xf numFmtId="0" fontId="16" fillId="3" borderId="0" applyAlignment="1" pivotButton="0" quotePrefix="0" xfId="0">
      <alignment horizontal="left" vertical="center"/>
    </xf>
    <xf numFmtId="3" fontId="18" fillId="0" borderId="0" applyAlignment="1" pivotButton="0" quotePrefix="0" xfId="0">
      <alignment horizontal="left" vertical="center"/>
    </xf>
    <xf numFmtId="165" fontId="5" fillId="0" borderId="0" applyAlignment="1" pivotButton="0" quotePrefix="0" xfId="0">
      <alignment horizontal="left" vertical="center"/>
    </xf>
    <xf numFmtId="165" fontId="15" fillId="6" borderId="0" applyAlignment="1" pivotButton="0" quotePrefix="0" xfId="0">
      <alignment horizontal="left" vertical="center"/>
    </xf>
    <xf numFmtId="0" fontId="15" fillId="6" borderId="0" applyAlignment="1" pivotButton="0" quotePrefix="0" xfId="0">
      <alignment horizontal="left" vertical="center"/>
    </xf>
    <xf numFmtId="0" fontId="20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 wrapText="1"/>
    </xf>
    <xf numFmtId="166" fontId="15" fillId="0" borderId="0" applyAlignment="1" pivotButton="0" quotePrefix="0" xfId="0">
      <alignment horizontal="left" vertical="center"/>
    </xf>
    <xf numFmtId="0" fontId="21" fillId="0" borderId="0" applyAlignment="1" pivotButton="0" quotePrefix="0" xfId="0">
      <alignment horizontal="left" vertical="center"/>
    </xf>
    <xf numFmtId="0" fontId="18" fillId="4" borderId="0" applyAlignment="1" applyProtection="1" pivotButton="0" quotePrefix="0" xfId="0">
      <alignment horizontal="left" vertical="center"/>
      <protection locked="0" hidden="0"/>
    </xf>
    <xf numFmtId="3" fontId="20" fillId="0" borderId="0" applyAlignment="1" pivotButton="0" quotePrefix="0" xfId="0">
      <alignment horizontal="left" vertical="center"/>
    </xf>
    <xf numFmtId="3" fontId="18" fillId="4" borderId="0" applyAlignment="1" applyProtection="1" pivotButton="0" quotePrefix="0" xfId="0">
      <alignment horizontal="left" vertical="center"/>
      <protection locked="0" hidden="0"/>
    </xf>
    <xf numFmtId="0" fontId="15" fillId="0" borderId="0" applyAlignment="1" pivotButton="0" quotePrefix="0" xfId="0">
      <alignment horizontal="center" vertical="center"/>
    </xf>
    <xf numFmtId="166" fontId="5" fillId="4" borderId="0" applyAlignment="1" applyProtection="1" pivotButton="0" quotePrefix="0" xfId="0">
      <alignment horizontal="left" vertical="center"/>
      <protection locked="0" hidden="0"/>
    </xf>
    <xf numFmtId="165" fontId="5" fillId="4" borderId="0" applyAlignment="1" applyProtection="1" pivotButton="0" quotePrefix="0" xfId="0">
      <alignment horizontal="left" vertical="center"/>
      <protection locked="0" hidden="0"/>
    </xf>
    <xf numFmtId="0" fontId="5" fillId="4" borderId="0" applyAlignment="1" applyProtection="1" pivotButton="0" quotePrefix="0" xfId="0">
      <alignment horizontal="left" vertical="center"/>
      <protection locked="0" hidden="0"/>
    </xf>
    <xf numFmtId="0" fontId="8" fillId="0" borderId="0" applyAlignment="1" pivotButton="0" quotePrefix="0" xfId="0">
      <alignment horizontal="left" vertical="center" wrapText="1"/>
    </xf>
    <xf numFmtId="0" fontId="22" fillId="0" borderId="0" applyAlignment="1" pivotButton="0" quotePrefix="0" xfId="0">
      <alignment horizontal="left" vertical="center"/>
    </xf>
    <xf numFmtId="0" fontId="23" fillId="7" borderId="0" applyAlignment="1" pivotButton="0" quotePrefix="0" xfId="0">
      <alignment horizontal="center" vertical="center"/>
    </xf>
    <xf numFmtId="0" fontId="24" fillId="0" borderId="0" applyAlignment="1" pivotButton="0" quotePrefix="0" xfId="0">
      <alignment horizontal="center" vertical="center"/>
    </xf>
    <xf numFmtId="0" fontId="25" fillId="0" borderId="0" pivotButton="0" quotePrefix="0" xfId="0"/>
    <xf numFmtId="0" fontId="31" fillId="0" borderId="0" pivotButton="0" quotePrefix="0" xfId="0"/>
    <xf numFmtId="0" fontId="26" fillId="0" borderId="0" applyAlignment="1" pivotButton="0" quotePrefix="0" xfId="0">
      <alignment vertical="center"/>
    </xf>
    <xf numFmtId="0" fontId="29" fillId="0" borderId="0" applyAlignment="1" pivotButton="0" quotePrefix="0" xfId="0">
      <alignment vertical="center"/>
    </xf>
    <xf numFmtId="0" fontId="31" fillId="8" borderId="0" applyAlignment="1" pivotButton="0" quotePrefix="0" xfId="0">
      <alignment horizontal="center" vertical="center" wrapText="1"/>
    </xf>
    <xf numFmtId="0" fontId="27" fillId="0" borderId="0" pivotButton="0" quotePrefix="0" xfId="0"/>
    <xf numFmtId="0" fontId="28" fillId="0" borderId="0" pivotButton="0" quotePrefix="0" xfId="0"/>
    <xf numFmtId="0" fontId="30" fillId="0" borderId="0" pivotButton="0" quotePrefix="0" xfId="0"/>
    <xf numFmtId="0" fontId="32" fillId="0" borderId="0" pivotButton="0" quotePrefix="0" xfId="0"/>
    <xf numFmtId="0" fontId="12" fillId="7" borderId="0" applyAlignment="1" pivotButton="0" quotePrefix="0" xfId="0">
      <alignment horizontal="center" vertical="center"/>
    </xf>
    <xf numFmtId="0" fontId="33" fillId="0" borderId="0" pivotButton="0" quotePrefix="0" xfId="0"/>
    <xf numFmtId="167" fontId="33" fillId="0" borderId="0" pivotButton="0" quotePrefix="0" xfId="0"/>
    <xf numFmtId="167" fontId="34" fillId="0" borderId="0" pivotButton="0" quotePrefix="0" xfId="0"/>
    <xf numFmtId="168" fontId="33" fillId="0" borderId="0" pivotButton="0" quotePrefix="0" xfId="0"/>
    <xf numFmtId="0" fontId="35" fillId="0" borderId="0" pivotButton="0" quotePrefix="0" xfId="0"/>
    <xf numFmtId="0" fontId="36" fillId="0" borderId="0" pivotButton="0" quotePrefix="0" xfId="0"/>
    <xf numFmtId="0" fontId="37" fillId="7" borderId="0" applyAlignment="1" pivotButton="0" quotePrefix="0" xfId="0">
      <alignment horizontal="center" vertical="center"/>
    </xf>
    <xf numFmtId="0" fontId="12" fillId="7" borderId="0" applyAlignment="1" pivotButton="0" quotePrefix="0" xfId="0">
      <alignment horizontal="center"/>
    </xf>
    <xf numFmtId="0" fontId="34" fillId="0" borderId="0" pivotButton="0" quotePrefix="0" xfId="0"/>
    <xf numFmtId="0" fontId="38" fillId="9" borderId="2" pivotButton="0" quotePrefix="0" xfId="0"/>
    <xf numFmtId="0" fontId="39" fillId="0" borderId="0" pivotButton="0" quotePrefix="0" xfId="0"/>
    <xf numFmtId="0" fontId="40" fillId="0" borderId="0" pivotButton="0" quotePrefix="0" xfId="0"/>
    <xf numFmtId="0" fontId="33" fillId="0" borderId="0" applyAlignment="1" pivotButton="0" quotePrefix="0" xfId="0">
      <alignment wrapText="1"/>
    </xf>
  </cellXfs>
  <cellStyles count="1">
    <cellStyle name="Normal" xfId="0" builtinId="0" hidden="0"/>
  </cellStyles>
  <dxfs count="7">
    <dxf>
      <font>
        <b val="1"/>
        <color rgb="001F7A4D"/>
      </font>
      <fill>
        <patternFill patternType="solid">
          <fgColor rgb="00E2EFDA"/>
        </patternFill>
      </fill>
    </dxf>
    <dxf>
      <font>
        <b val="1"/>
        <color rgb="00B7791F"/>
      </font>
      <fill>
        <patternFill patternType="solid">
          <fgColor rgb="00FFF2CC"/>
        </patternFill>
      </fill>
    </dxf>
    <dxf>
      <font>
        <b val="1"/>
        <color rgb="00B3261E"/>
      </font>
      <fill>
        <patternFill patternType="solid">
          <fgColor rgb="00FDE9E9"/>
        </patternFill>
      </fill>
    </dxf>
    <dxf>
      <font>
        <b val="1"/>
        <color rgb="00B3261E"/>
      </font>
    </dxf>
    <dxf>
      <font>
        <b val="1"/>
        <color rgb="001F7A4D"/>
      </font>
    </dxf>
    <dxf>
      <font>
        <b val="1"/>
        <color rgb="00B7791F"/>
      </font>
    </dxf>
    <dxf>
      <font>
        <b val="1"/>
        <color rgb="00B08948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Sermaye Bileşenleri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'PANO'!B23</f>
            </strRef>
          </tx>
          <spPr>
            <a:ln xmlns:a="http://schemas.openxmlformats.org/drawingml/2006/main">
              <a:prstDash val="solid"/>
            </a:ln>
          </spPr>
          <cat>
            <numRef>
              <f>'PANO'!$A$24:$A$28</f>
            </numRef>
          </cat>
          <val>
            <numRef>
              <f>'PANO'!$B$24:$B$28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Özkaynak / Sermaye / Senaryo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'PANO'!E23</f>
            </strRef>
          </tx>
          <spPr>
            <a:ln xmlns:a="http://schemas.openxmlformats.org/drawingml/2006/main">
              <a:prstDash val="solid"/>
            </a:ln>
          </spPr>
          <cat>
            <numRef>
              <f>'PANO'!$D$24:$D$28</f>
            </numRef>
          </cat>
          <val>
            <numRef>
              <f>'PANO'!$E$24:$E$28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Özkaynak Çizgisi</a:t>
            </a:r>
          </a:p>
        </rich>
      </tx>
    </title>
    <plotArea>
      <lineChart>
        <grouping val="standard"/>
        <ser>
          <idx val="0"/>
          <order val="0"/>
          <tx>
            <strRef>
              <f>'PANO'!E23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'PANO'!$D$24:$D$28</f>
            </numRef>
          </cat>
          <val>
            <numRef>
              <f>'PANO'!$E$24:$E$28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KPI Özkaynak / Eksik / Sermaye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'PANO'!B30</f>
            </strRef>
          </tx>
          <spPr>
            <a:ln xmlns:a="http://schemas.openxmlformats.org/drawingml/2006/main">
              <a:prstDash val="solid"/>
            </a:ln>
          </spPr>
          <cat>
            <numRef>
              <f>'PANO'!$A$31:$A$33</f>
            </numRef>
          </cat>
          <val>
            <numRef>
              <f>'PANO'!$B$31:$B$33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Senaryo Eksik Sermaye Karşılaştırması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'SENARYO'!G5</f>
            </strRef>
          </tx>
          <spPr>
            <a:ln xmlns:a="http://schemas.openxmlformats.org/drawingml/2006/main">
              <a:prstDash val="solid"/>
            </a:ln>
          </spPr>
          <cat>
            <numRef>
              <f>'SENARYO'!$A$6:$A$9</f>
            </numRef>
          </cat>
          <val>
            <numRef>
              <f>'SENARYO'!$G$6:$G$9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Duyarlılık Tornado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'SENARYO'!E15</f>
            </strRef>
          </tx>
          <spPr>
            <a:ln xmlns:a="http://schemas.openxmlformats.org/drawingml/2006/main">
              <a:prstDash val="solid"/>
            </a:ln>
          </spPr>
          <cat>
            <numRef>
              <f>'SENARYO'!$A$16:$A$18</f>
            </numRef>
          </cat>
          <val>
            <numRef>
              <f>'SENARYO'!$E$16:$E$18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Senaryo Eksik Sermaye Trendi</a:t>
            </a:r>
          </a:p>
        </rich>
      </tx>
    </title>
    <plotArea>
      <lineChart>
        <grouping val="standard"/>
        <ser>
          <idx val="0"/>
          <order val="0"/>
          <tx>
            <strRef>
              <f>'SENARYO'!D27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'SENARYO'!$A$28:$A$31</f>
            </numRef>
          </cat>
          <val>
            <numRef>
              <f>'SENARYO'!$D$28:$D$31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Vaka Beklenen vs Hesaplanan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'VAKALAR'!J5</f>
            </strRef>
          </tx>
          <spPr>
            <a:ln xmlns:a="http://schemas.openxmlformats.org/drawingml/2006/main">
              <a:prstDash val="solid"/>
            </a:ln>
          </spPr>
          <cat>
            <numRef>
              <f>'VAKALAR'!$A$6:$A$9</f>
            </numRef>
          </cat>
          <val>
            <numRef>
              <f>'VAKALAR'!$J$6:$J$9</f>
            </numRef>
          </val>
        </ser>
        <ser>
          <idx val="1"/>
          <order val="1"/>
          <tx>
            <strRef>
              <f>'VAKALAR'!K5</f>
            </strRef>
          </tx>
          <spPr>
            <a:ln xmlns:a="http://schemas.openxmlformats.org/drawingml/2006/main">
              <a:prstDash val="solid"/>
            </a:ln>
          </spPr>
          <cat>
            <numRef>
              <f>'VAKALAR'!$A$6:$A$9</f>
            </numRef>
          </cat>
          <val>
            <numRef>
              <f>'VAKALAR'!$K$6:$K$9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Örnek Senaryo Özkaynak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'ORNEK_VERI'!L5</f>
            </strRef>
          </tx>
          <spPr>
            <a:ln xmlns:a="http://schemas.openxmlformats.org/drawingml/2006/main">
              <a:prstDash val="solid"/>
            </a:ln>
          </spPr>
          <cat>
            <numRef>
              <f>'ORNEK_VERI'!$A$6:$A$10</f>
            </numRef>
          </cat>
          <val>
            <numRef>
              <f>'ORNEK_VERI'!$L$6:$L$10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ExcelArşiv</author>
  </authors>
  <commentList>
    <comment ref="A5" authorId="0" shapeId="0">
      <text>
        <t>Tanım: Adım 1 — Girdiler | Neden önemli: TTK 376 / konkordato kriz kararını etkiler | Doğru kullanım: Sırayla izleyin | Örnek: demo satırına bakın | Yanlışsa: Özkaynak oranı ve karar bozulur | Kaynak: TTK 376</t>
      </text>
    </comment>
    <comment ref="A6" authorId="0" shapeId="0">
      <text>
        <t>Tanım: Adım 2 — Karar | Neden önemli: TTK 376 / konkordato kriz kararını etkiler | Doğru kullanım: Sırayla izleyin | Örnek: demo satırına bakın | Yanlışsa: Özkaynak oranı ve karar bozulur | Kaynak: TTK 376</t>
      </text>
    </comment>
    <comment ref="A7" authorId="0" shapeId="0">
      <text>
        <t>Tanım: Adım 3 — Kanıt | Neden önemli: TTK 376 / konkordato kriz kararını etkiler | Doğru kullanım: Sırayla izleyin | Örnek: demo satırına bakın | Yanlışsa: Özkaynak oranı ve karar bozulur | Kaynak: TTK 376</t>
      </text>
    </comment>
  </commentList>
</comments>
</file>

<file path=xl/comments/comment2.xml><?xml version="1.0" encoding="utf-8"?>
<comments xmlns="http://schemas.openxmlformats.org/spreadsheetml/2006/main">
  <authors>
    <author>ExcelArşiv</author>
  </authors>
  <commentList>
    <comment ref="B6" authorId="0" shapeId="0">
      <text>
        <t>Tanım: Şirket Adı | Neden önemli: TTK 376 / konkordato kriz kararını etkiler | Doğru kullanım: Şirket unvanını yazın. | Örnek: demo satırına bakın | Yanlışsa: Özkaynak oranı ve karar bozulur | Kaynak: TTK 376</t>
      </text>
    </comment>
    <comment ref="B7" authorId="0" shapeId="0">
      <text>
        <t>Tanım: Bilanço Dönemi | Neden önemli: TTK 376 / konkordato kriz kararını etkiler | Doğru kullanım: Ara dönem veya yıl sonu bilanço referansını yazın. | Örnek: demo satırına bakın | Yanlışsa: Özkaynak oranı ve karar bozulur | Kaynak: TTK 376</t>
      </text>
    </comment>
    <comment ref="B8" authorId="0" shapeId="0">
      <text>
        <t>Tanım: Hesap Yılı | Neden önemli: TTK 376 / konkordato kriz kararını etkiler | Doğru kullanım: 2025, 2026 veya 2027 seçin. | Örnek: demo satırına bakın | Yanlışsa: Özkaynak oranı ve karar bozulur | Kaynak: TTK 376</t>
      </text>
    </comment>
    <comment ref="B9" authorId="0" shapeId="0">
      <text>
        <t>Tanım: Ödenmiş Sermaye [₺] | Neden önemli: TTK 376 / konkordato kriz kararını etkiler | Doğru kullanım: Ödenmiş sermaye tutarını TL girin. | Örnek: demo satırına bakın | Yanlışsa: Özkaynak oranı ve karar bozulur | Kaynak: TTK 376</t>
      </text>
    </comment>
    <comment ref="B10" authorId="0" shapeId="0">
      <text>
        <t>Tanım: Sermaye Yedekleri [₺] | Neden önemli: TTK 376 / konkordato kriz kararını etkiler | Doğru kullanım: Sermaye yedekleri toplamını TL girin. | Örnek: demo satırına bakın | Yanlışsa: Özkaynak oranı ve karar bozulur | Kaynak: TTK 376</t>
      </text>
    </comment>
    <comment ref="B11" authorId="0" shapeId="0">
      <text>
        <t>Tanım: Geçmiş Yıl Zararları [₺] | Neden önemli: TTK 376 / konkordato kriz kararını etkiler | Doğru kullanım: Birikmiş geçmiş yıl zararını pozitif tutar olarak girin. | Örnek: demo satırına bakın | Yanlışsa: Özkaynak oranı ve karar bozulur | Kaynak: TTK 376</t>
      </text>
    </comment>
    <comment ref="B12" authorId="0" shapeId="0">
      <text>
        <t>Tanım: Dönem Net Kâr/Zarar [₺] | Neden önemli: TTK 376 / konkordato kriz kararını etkiler | Doğru kullanım: Dönem net kârı pozitif, zararı negatif girin. | Örnek: demo satırına bakın | Yanlışsa: Özkaynak oranı ve karar bozulur | Kaynak: TTK 376</t>
      </text>
    </comment>
    <comment ref="B13" authorId="0" shapeId="0">
      <text>
        <t>Tanım: Toplam Varlık [₺] | Neden önemli: TTK 376 / konkordato kriz kararını etkiler | Doğru kullanım: Bilanço toplam varlık tutarını TL girin. | Örnek: demo satırına bakın | Yanlışsa: Özkaynak oranı ve karar bozulur | Kaynak: TTK 376</t>
      </text>
    </comment>
    <comment ref="B14" authorId="0" shapeId="0">
      <text>
        <t>Tanım: Kısa Vadeli Borç [₺] | Neden önemli: TTK 376 / konkordato kriz kararını etkiler | Doğru kullanım: Kısa vadeli yabancı kaynakları TL girin. | Örnek: demo satırına bakın | Yanlışsa: Özkaynak oranı ve karar bozulur | Kaynak: TTK 376</t>
      </text>
    </comment>
    <comment ref="B15" authorId="0" shapeId="0">
      <text>
        <t>Tanım: Uzun Vadeli Borç [₺] | Neden önemli: TTK 376 / konkordato kriz kararını etkiler | Doğru kullanım: Uzun vadeli yabancı kaynakları TL girin. | Örnek: demo satırına bakın | Yanlışsa: Özkaynak oranı ve karar bozulur | Kaynak: TTK 376</t>
      </text>
    </comment>
    <comment ref="B16" authorId="0" shapeId="0">
      <text>
        <t>Tanım: Yorum Modu (A/B) | Neden önemli: TTK 376 / konkordato kriz kararını etkiler | Doğru kullanım: Sermaye tamamlama süresi yorumu A (standart) veya B (sıkı) seçin. | Örnek: demo satırına bakın | Yanlışsa: Özkaynak oranı ve karar bozulur | Kaynak: TTK 376</t>
      </text>
    </comment>
    <comment ref="A24" authorId="0" shapeId="0">
      <text>
        <t>Tanım: sirket_adi | Neden önemli: TTK 376 / konkordato kriz kararını etkiler | Doğru kullanım: Tablo girişi; PANO ile senkron tutun | Örnek: demo satırına bakın | Yanlışsa: Özkaynak oranı ve karar bozulur | Kaynak: TTK 376</t>
      </text>
    </comment>
    <comment ref="B24" authorId="0" shapeId="0">
      <text>
        <t>Tanım: sirket_adi | Neden önemli: TTK 376 / konkordato kriz kararını etkiler | Doğru kullanım: Tablo girişi; PANO ile senkron tutun | Örnek: demo satırına bakın | Yanlışsa: Özkaynak oranı ve karar bozulur | Kaynak: TTK 376</t>
      </text>
    </comment>
    <comment ref="C24" authorId="0" shapeId="0">
      <text>
        <t>Tanım: sirket_adi | Neden önemli: TTK 376 / konkordato kriz kararını etkiler | Doğru kullanım: Tablo girişi; PANO ile senkron tutun | Örnek: demo satırına bakın | Yanlışsa: Özkaynak oranı ve karar bozulur | Kaynak: TTK 376</t>
      </text>
    </comment>
    <comment ref="D24" authorId="0" shapeId="0">
      <text>
        <t>Tanım: sirket_adi | Neden önemli: TTK 376 / konkordato kriz kararını etkiler | Doğru kullanım: Tablo girişi; PANO ile senkron tutun | Örnek: demo satırına bakın | Yanlışsa: Özkaynak oranı ve karar bozulur | Kaynak: TTK 376</t>
      </text>
    </comment>
    <comment ref="E24" authorId="0" shapeId="0">
      <text>
        <t>Tanım: sirket_adi | Neden önemli: TTK 376 / konkordato kriz kararını etkiler | Doğru kullanım: Tablo girişi; PANO ile senkron tutun | Örnek: demo satırına bakın | Yanlışsa: Özkaynak oranı ve karar bozulur | Kaynak: TTK 376</t>
      </text>
    </comment>
    <comment ref="A25" authorId="0" shapeId="0">
      <text>
        <t>Tanım: donem | Neden önemli: TTK 376 / konkordato kriz kararını etkiler | Doğru kullanım: Tablo girişi; PANO ile senkron tutun | Örnek: demo satırına bakın | Yanlışsa: Özkaynak oranı ve karar bozulur | Kaynak: TTK 376</t>
      </text>
    </comment>
    <comment ref="B25" authorId="0" shapeId="0">
      <text>
        <t>Tanım: donem | Neden önemli: TTK 376 / konkordato kriz kararını etkiler | Doğru kullanım: Tablo girişi; PANO ile senkron tutun | Örnek: demo satırına bakın | Yanlışsa: Özkaynak oranı ve karar bozulur | Kaynak: TTK 376</t>
      </text>
    </comment>
    <comment ref="C25" authorId="0" shapeId="0">
      <text>
        <t>Tanım: donem | Neden önemli: TTK 376 / konkordato kriz kararını etkiler | Doğru kullanım: Tablo girişi; PANO ile senkron tutun | Örnek: demo satırına bakın | Yanlışsa: Özkaynak oranı ve karar bozulur | Kaynak: TTK 376</t>
      </text>
    </comment>
    <comment ref="D25" authorId="0" shapeId="0">
      <text>
        <t>Tanım: donem | Neden önemli: TTK 376 / konkordato kriz kararını etkiler | Doğru kullanım: Tablo girişi; PANO ile senkron tutun | Örnek: demo satırına bakın | Yanlışsa: Özkaynak oranı ve karar bozulur | Kaynak: TTK 376</t>
      </text>
    </comment>
    <comment ref="E25" authorId="0" shapeId="0">
      <text>
        <t>Tanım: donem | Neden önemli: TTK 376 / konkordato kriz kararını etkiler | Doğru kullanım: Tablo girişi; PANO ile senkron tutun | Örnek: demo satırına bakın | Yanlışsa: Özkaynak oranı ve karar bozulur | Kaynak: TTK 376</t>
      </text>
    </comment>
    <comment ref="A26" authorId="0" shapeId="0">
      <text>
        <t>Tanım: hesapYili | Neden önemli: TTK 376 / konkordato kriz kararını etkiler | Doğru kullanım: Tablo girişi; PANO ile senkron tutun | Örnek: demo satırına bakın | Yanlışsa: Özkaynak oranı ve karar bozulur | Kaynak: TTK 376</t>
      </text>
    </comment>
    <comment ref="B26" authorId="0" shapeId="0">
      <text>
        <t>Tanım: hesapYili | Neden önemli: TTK 376 / konkordato kriz kararını etkiler | Doğru kullanım: Tablo girişi; PANO ile senkron tutun | Örnek: demo satırına bakın | Yanlışsa: Özkaynak oranı ve karar bozulur | Kaynak: TTK 376</t>
      </text>
    </comment>
    <comment ref="C26" authorId="0" shapeId="0">
      <text>
        <t>Tanım: hesapYili | Neden önemli: TTK 376 / konkordato kriz kararını etkiler | Doğru kullanım: Tablo girişi; PANO ile senkron tutun | Örnek: demo satırına bakın | Yanlışsa: Özkaynak oranı ve karar bozulur | Kaynak: TTK 376</t>
      </text>
    </comment>
    <comment ref="D26" authorId="0" shapeId="0">
      <text>
        <t>Tanım: hesapYili | Neden önemli: TTK 376 / konkordato kriz kararını etkiler | Doğru kullanım: Tablo girişi; PANO ile senkron tutun | Örnek: demo satırına bakın | Yanlışsa: Özkaynak oranı ve karar bozulur | Kaynak: TTK 376</t>
      </text>
    </comment>
    <comment ref="E26" authorId="0" shapeId="0">
      <text>
        <t>Tanım: hesapYili | Neden önemli: TTK 376 / konkordato kriz kararını etkiler | Doğru kullanım: Tablo girişi; PANO ile senkron tutun | Örnek: demo satırına bakın | Yanlışsa: Özkaynak oranı ve karar bozulur | Kaynak: TTK 376</t>
      </text>
    </comment>
    <comment ref="A27" authorId="0" shapeId="0">
      <text>
        <t>Tanım: odenmis_sermaye | Neden önemli: TTK 376 / konkordato kriz kararını etkiler | Doğru kullanım: Tablo girişi; PANO ile senkron tutun | Örnek: demo satırına bakın | Yanlışsa: Özkaynak oranı ve karar bozulur | Kaynak: TTK 376</t>
      </text>
    </comment>
    <comment ref="B27" authorId="0" shapeId="0">
      <text>
        <t>Tanım: odenmis_sermaye | Neden önemli: TTK 376 / konkordato kriz kararını etkiler | Doğru kullanım: Tablo girişi; PANO ile senkron tutun | Örnek: demo satırına bakın | Yanlışsa: Özkaynak oranı ve karar bozulur | Kaynak: TTK 376</t>
      </text>
    </comment>
    <comment ref="C27" authorId="0" shapeId="0">
      <text>
        <t>Tanım: odenmis_sermaye | Neden önemli: TTK 376 / konkordato kriz kararını etkiler | Doğru kullanım: Tablo girişi; PANO ile senkron tutun | Örnek: demo satırına bakın | Yanlışsa: Özkaynak oranı ve karar bozulur | Kaynak: TTK 376</t>
      </text>
    </comment>
    <comment ref="D27" authorId="0" shapeId="0">
      <text>
        <t>Tanım: odenmis_sermaye | Neden önemli: TTK 376 / konkordato kriz kararını etkiler | Doğru kullanım: Tablo girişi; PANO ile senkron tutun | Örnek: demo satırına bakın | Yanlışsa: Özkaynak oranı ve karar bozulur | Kaynak: TTK 376</t>
      </text>
    </comment>
    <comment ref="E27" authorId="0" shapeId="0">
      <text>
        <t>Tanım: odenmis_sermaye | Neden önemli: TTK 376 / konkordato kriz kararını etkiler | Doğru kullanım: Tablo girişi; PANO ile senkron tutun | Örnek: demo satırına bakın | Yanlışsa: Özkaynak oranı ve karar bozulur | Kaynak: TTK 376</t>
      </text>
    </comment>
    <comment ref="A28" authorId="0" shapeId="0">
      <text>
        <t>Tanım: sermaye_yedekleri | Neden önemli: TTK 376 / konkordato kriz kararını etkiler | Doğru kullanım: Tablo girişi; PANO ile senkron tutun | Örnek: demo satırına bakın | Yanlışsa: Özkaynak oranı ve karar bozulur | Kaynak: TTK 376</t>
      </text>
    </comment>
    <comment ref="B28" authorId="0" shapeId="0">
      <text>
        <t>Tanım: sermaye_yedekleri | Neden önemli: TTK 376 / konkordato kriz kararını etkiler | Doğru kullanım: Tablo girişi; PANO ile senkron tutun | Örnek: demo satırına bakın | Yanlışsa: Özkaynak oranı ve karar bozulur | Kaynak: TTK 376</t>
      </text>
    </comment>
    <comment ref="C28" authorId="0" shapeId="0">
      <text>
        <t>Tanım: sermaye_yedekleri | Neden önemli: TTK 376 / konkordato kriz kararını etkiler | Doğru kullanım: Tablo girişi; PANO ile senkron tutun | Örnek: demo satırına bakın | Yanlışsa: Özkaynak oranı ve karar bozulur | Kaynak: TTK 376</t>
      </text>
    </comment>
    <comment ref="D28" authorId="0" shapeId="0">
      <text>
        <t>Tanım: sermaye_yedekleri | Neden önemli: TTK 376 / konkordato kriz kararını etkiler | Doğru kullanım: Tablo girişi; PANO ile senkron tutun | Örnek: demo satırına bakın | Yanlışsa: Özkaynak oranı ve karar bozulur | Kaynak: TTK 376</t>
      </text>
    </comment>
    <comment ref="E28" authorId="0" shapeId="0">
      <text>
        <t>Tanım: sermaye_yedekleri | Neden önemli: TTK 376 / konkordato kriz kararını etkiler | Doğru kullanım: Tablo girişi; PANO ile senkron tutun | Örnek: demo satırına bakın | Yanlışsa: Özkaynak oranı ve karar bozulur | Kaynak: TTK 376</t>
      </text>
    </comment>
    <comment ref="A29" authorId="0" shapeId="0">
      <text>
        <t>Tanım: gecmis_yil_zararlari | Neden önemli: TTK 376 / konkordato kriz kararını etkiler | Doğru kullanım: Tablo girişi; PANO ile senkron tutun | Örnek: demo satırına bakın | Yanlışsa: Özkaynak oranı ve karar bozulur | Kaynak: TTK 376</t>
      </text>
    </comment>
    <comment ref="B29" authorId="0" shapeId="0">
      <text>
        <t>Tanım: gecmis_yil_zararlari | Neden önemli: TTK 376 / konkordato kriz kararını etkiler | Doğru kullanım: Tablo girişi; PANO ile senkron tutun | Örnek: demo satırına bakın | Yanlışsa: Özkaynak oranı ve karar bozulur | Kaynak: TTK 376</t>
      </text>
    </comment>
    <comment ref="C29" authorId="0" shapeId="0">
      <text>
        <t>Tanım: gecmis_yil_zararlari | Neden önemli: TTK 376 / konkordato kriz kararını etkiler | Doğru kullanım: Tablo girişi; PANO ile senkron tutun | Örnek: demo satırına bakın | Yanlışsa: Özkaynak oranı ve karar bozulur | Kaynak: TTK 376</t>
      </text>
    </comment>
    <comment ref="D29" authorId="0" shapeId="0">
      <text>
        <t>Tanım: gecmis_yil_zararlari | Neden önemli: TTK 376 / konkordato kriz kararını etkiler | Doğru kullanım: Tablo girişi; PANO ile senkron tutun | Örnek: demo satırına bakın | Yanlışsa: Özkaynak oranı ve karar bozulur | Kaynak: TTK 376</t>
      </text>
    </comment>
    <comment ref="E29" authorId="0" shapeId="0">
      <text>
        <t>Tanım: gecmis_yil_zararlari | Neden önemli: TTK 376 / konkordato kriz kararını etkiler | Doğru kullanım: Tablo girişi; PANO ile senkron tutun | Örnek: demo satırına bakın | Yanlışsa: Özkaynak oranı ve karar bozulur | Kaynak: TTK 376</t>
      </text>
    </comment>
    <comment ref="A30" authorId="0" shapeId="0">
      <text>
        <t>Tanım: donem_net_kar_zarar | Neden önemli: TTK 376 / konkordato kriz kararını etkiler | Doğru kullanım: Tablo girişi; PANO ile senkron tutun | Örnek: demo satırına bakın | Yanlışsa: Özkaynak oranı ve karar bozulur | Kaynak: TTK 376</t>
      </text>
    </comment>
    <comment ref="B30" authorId="0" shapeId="0">
      <text>
        <t>Tanım: donem_net_kar_zarar | Neden önemli: TTK 376 / konkordato kriz kararını etkiler | Doğru kullanım: Tablo girişi; PANO ile senkron tutun | Örnek: demo satırına bakın | Yanlışsa: Özkaynak oranı ve karar bozulur | Kaynak: TTK 376</t>
      </text>
    </comment>
    <comment ref="C30" authorId="0" shapeId="0">
      <text>
        <t>Tanım: donem_net_kar_zarar | Neden önemli: TTK 376 / konkordato kriz kararını etkiler | Doğru kullanım: Tablo girişi; PANO ile senkron tutun | Örnek: demo satırına bakın | Yanlışsa: Özkaynak oranı ve karar bozulur | Kaynak: TTK 376</t>
      </text>
    </comment>
    <comment ref="D30" authorId="0" shapeId="0">
      <text>
        <t>Tanım: donem_net_kar_zarar | Neden önemli: TTK 376 / konkordato kriz kararını etkiler | Doğru kullanım: Tablo girişi; PANO ile senkron tutun | Örnek: demo satırına bakın | Yanlışsa: Özkaynak oranı ve karar bozulur | Kaynak: TTK 376</t>
      </text>
    </comment>
    <comment ref="E30" authorId="0" shapeId="0">
      <text>
        <t>Tanım: donem_net_kar_zarar | Neden önemli: TTK 376 / konkordato kriz kararını etkiler | Doğru kullanım: Tablo girişi; PANO ile senkron tutun | Örnek: demo satırına bakın | Yanlışsa: Özkaynak oranı ve karar bozulur | Kaynak: TTK 376</t>
      </text>
    </comment>
    <comment ref="A31" authorId="0" shapeId="0">
      <text>
        <t>Tanım: toplam_varlik | Neden önemli: TTK 376 / konkordato kriz kararını etkiler | Doğru kullanım: Tablo girişi; PANO ile senkron tutun | Örnek: demo satırına bakın | Yanlışsa: Özkaynak oranı ve karar bozulur | Kaynak: TTK 376</t>
      </text>
    </comment>
    <comment ref="B31" authorId="0" shapeId="0">
      <text>
        <t>Tanım: toplam_varlik | Neden önemli: TTK 376 / konkordato kriz kararını etkiler | Doğru kullanım: Tablo girişi; PANO ile senkron tutun | Örnek: demo satırına bakın | Yanlışsa: Özkaynak oranı ve karar bozulur | Kaynak: TTK 376</t>
      </text>
    </comment>
    <comment ref="C31" authorId="0" shapeId="0">
      <text>
        <t>Tanım: toplam_varlik | Neden önemli: TTK 376 / konkordato kriz kararını etkiler | Doğru kullanım: Tablo girişi; PANO ile senkron tutun | Örnek: demo satırına bakın | Yanlışsa: Özkaynak oranı ve karar bozulur | Kaynak: TTK 376</t>
      </text>
    </comment>
    <comment ref="D31" authorId="0" shapeId="0">
      <text>
        <t>Tanım: toplam_varlik | Neden önemli: TTK 376 / konkordato kriz kararını etkiler | Doğru kullanım: Tablo girişi; PANO ile senkron tutun | Örnek: demo satırına bakın | Yanlışsa: Özkaynak oranı ve karar bozulur | Kaynak: TTK 376</t>
      </text>
    </comment>
    <comment ref="E31" authorId="0" shapeId="0">
      <text>
        <t>Tanım: toplam_varlik | Neden önemli: TTK 376 / konkordato kriz kararını etkiler | Doğru kullanım: Tablo girişi; PANO ile senkron tutun | Örnek: demo satırına bakın | Yanlışsa: Özkaynak oranı ve karar bozulur | Kaynak: TTK 376</t>
      </text>
    </comment>
    <comment ref="A32" authorId="0" shapeId="0">
      <text>
        <t>Tanım: kisa_vadeli_borc | Neden önemli: TTK 376 / konkordato kriz kararını etkiler | Doğru kullanım: Tablo girişi; PANO ile senkron tutun | Örnek: demo satırına bakın | Yanlışsa: Özkaynak oranı ve karar bozulur | Kaynak: TTK 376</t>
      </text>
    </comment>
    <comment ref="B32" authorId="0" shapeId="0">
      <text>
        <t>Tanım: kisa_vadeli_borc | Neden önemli: TTK 376 / konkordato kriz kararını etkiler | Doğru kullanım: Tablo girişi; PANO ile senkron tutun | Örnek: demo satırına bakın | Yanlışsa: Özkaynak oranı ve karar bozulur | Kaynak: TTK 376</t>
      </text>
    </comment>
    <comment ref="C32" authorId="0" shapeId="0">
      <text>
        <t>Tanım: kisa_vadeli_borc | Neden önemli: TTK 376 / konkordato kriz kararını etkiler | Doğru kullanım: Tablo girişi; PANO ile senkron tutun | Örnek: demo satırına bakın | Yanlışsa: Özkaynak oranı ve karar bozulur | Kaynak: TTK 376</t>
      </text>
    </comment>
    <comment ref="D32" authorId="0" shapeId="0">
      <text>
        <t>Tanım: kisa_vadeli_borc | Neden önemli: TTK 376 / konkordato kriz kararını etkiler | Doğru kullanım: Tablo girişi; PANO ile senkron tutun | Örnek: demo satırına bakın | Yanlışsa: Özkaynak oranı ve karar bozulur | Kaynak: TTK 376</t>
      </text>
    </comment>
    <comment ref="E32" authorId="0" shapeId="0">
      <text>
        <t>Tanım: kisa_vadeli_borc | Neden önemli: TTK 376 / konkordato kriz kararını etkiler | Doğru kullanım: Tablo girişi; PANO ile senkron tutun | Örnek: demo satırına bakın | Yanlışsa: Özkaynak oranı ve karar bozulur | Kaynak: TTK 376</t>
      </text>
    </comment>
    <comment ref="A33" authorId="0" shapeId="0">
      <text>
        <t>Tanım: uzun_vadeli_borc | Neden önemli: TTK 376 / konkordato kriz kararını etkiler | Doğru kullanım: Tablo girişi; PANO ile senkron tutun | Örnek: demo satırına bakın | Yanlışsa: Özkaynak oranı ve karar bozulur | Kaynak: TTK 376</t>
      </text>
    </comment>
    <comment ref="B33" authorId="0" shapeId="0">
      <text>
        <t>Tanım: uzun_vadeli_borc | Neden önemli: TTK 376 / konkordato kriz kararını etkiler | Doğru kullanım: Tablo girişi; PANO ile senkron tutun | Örnek: demo satırına bakın | Yanlışsa: Özkaynak oranı ve karar bozulur | Kaynak: TTK 376</t>
      </text>
    </comment>
    <comment ref="C33" authorId="0" shapeId="0">
      <text>
        <t>Tanım: uzun_vadeli_borc | Neden önemli: TTK 376 / konkordato kriz kararını etkiler | Doğru kullanım: Tablo girişi; PANO ile senkron tutun | Örnek: demo satırına bakın | Yanlışsa: Özkaynak oranı ve karar bozulur | Kaynak: TTK 376</t>
      </text>
    </comment>
    <comment ref="D33" authorId="0" shapeId="0">
      <text>
        <t>Tanım: uzun_vadeli_borc | Neden önemli: TTK 376 / konkordato kriz kararını etkiler | Doğru kullanım: Tablo girişi; PANO ile senkron tutun | Örnek: demo satırına bakın | Yanlışsa: Özkaynak oranı ve karar bozulur | Kaynak: TTK 376</t>
      </text>
    </comment>
    <comment ref="E33" authorId="0" shapeId="0">
      <text>
        <t>Tanım: uzun_vadeli_borc | Neden önemli: TTK 376 / konkordato kriz kararını etkiler | Doğru kullanım: Tablo girişi; PANO ile senkron tutun | Örnek: demo satırına bakın | Yanlışsa: Özkaynak oranı ve karar bozulur | Kaynak: TTK 376</t>
      </text>
    </comment>
    <comment ref="A34" authorId="0" shapeId="0">
      <text>
        <t>Tanım: yorum_modu | Neden önemli: TTK 376 / konkordato kriz kararını etkiler | Doğru kullanım: Tablo girişi; PANO ile senkron tutun | Örnek: demo satırına bakın | Yanlışsa: Özkaynak oranı ve karar bozulur | Kaynak: TTK 376</t>
      </text>
    </comment>
    <comment ref="B34" authorId="0" shapeId="0">
      <text>
        <t>Tanım: yorum_modu | Neden önemli: TTK 376 / konkordato kriz kararını etkiler | Doğru kullanım: Tablo girişi; PANO ile senkron tutun | Örnek: demo satırına bakın | Yanlışsa: Özkaynak oranı ve karar bozulur | Kaynak: TTK 376</t>
      </text>
    </comment>
    <comment ref="C34" authorId="0" shapeId="0">
      <text>
        <t>Tanım: yorum_modu | Neden önemli: TTK 376 / konkordato kriz kararını etkiler | Doğru kullanım: Tablo girişi; PANO ile senkron tutun | Örnek: demo satırına bakın | Yanlışsa: Özkaynak oranı ve karar bozulur | Kaynak: TTK 376</t>
      </text>
    </comment>
    <comment ref="D34" authorId="0" shapeId="0">
      <text>
        <t>Tanım: yorum_modu | Neden önemli: TTK 376 / konkordato kriz kararını etkiler | Doğru kullanım: Tablo girişi; PANO ile senkron tutun | Örnek: demo satırına bakın | Yanlışsa: Özkaynak oranı ve karar bozulur | Kaynak: TTK 376</t>
      </text>
    </comment>
    <comment ref="E34" authorId="0" shapeId="0">
      <text>
        <t>Tanım: yorum_modu | Neden önemli: TTK 376 / konkordato kriz kararını etkiler | Doğru kullanım: Tablo girişi; PANO ile senkron tutun | Örnek: demo satırına bakın | Yanlışsa: Özkaynak oranı ve karar bozulur | Kaynak: TTK 376</t>
      </text>
    </comment>
  </commentList>
</comments>
</file>

<file path=xl/comments/comment3.xml><?xml version="1.0" encoding="utf-8"?>
<comments xmlns="http://schemas.openxmlformats.org/spreadsheetml/2006/main">
  <authors>
    <author>ExcelArşiv</author>
  </authors>
  <commentList>
    <comment ref="F7" authorId="0" shapeId="0">
      <text>
        <t>Tanım: esik_yari | Neden önemli: TTK 376 / konkordato kriz kararını etkiler | Doğru kullanım: Yıl bazlı parametre; kaynak kolonuna bakın | Örnek: demo satırına bakın | Yanlışsa: Özkaynak oranı ve karar bozulur | Kaynak: TTK 376</t>
      </text>
    </comment>
    <comment ref="G7" authorId="0" shapeId="0">
      <text>
        <t>Tanım: esik_yari | Neden önemli: TTK 376 / konkordato kriz kararını etkiler | Doğru kullanım: Yıl bazlı parametre; kaynak kolonuna bakın | Örnek: demo satırına bakın | Yanlışsa: Özkaynak oranı ve karar bozulur | Kaynak: TTK 376</t>
      </text>
    </comment>
    <comment ref="H7" authorId="0" shapeId="0">
      <text>
        <t>Tanım: esik_yari | Neden önemli: TTK 376 / konkordato kriz kararını etkiler | Doğru kullanım: Yıl bazlı parametre; kaynak kolonuna bakın | Örnek: demo satırına bakın | Yanlışsa: Özkaynak oranı ve karar bozulur | Kaynak: TTK 376</t>
      </text>
    </comment>
    <comment ref="F8" authorId="0" shapeId="0">
      <text>
        <t>Tanım: esik_ucte_bir | Neden önemli: TTK 376 / konkordato kriz kararını etkiler | Doğru kullanım: Yıl bazlı parametre; kaynak kolonuna bakın | Örnek: demo satırına bakın | Yanlışsa: Özkaynak oranı ve karar bozulur | Kaynak: TTK 376</t>
      </text>
    </comment>
    <comment ref="G8" authorId="0" shapeId="0">
      <text>
        <t>Tanım: esik_ucte_bir | Neden önemli: TTK 376 / konkordato kriz kararını etkiler | Doğru kullanım: Yıl bazlı parametre; kaynak kolonuna bakın | Örnek: demo satırına bakın | Yanlışsa: Özkaynak oranı ve karar bozulur | Kaynak: TTK 376</t>
      </text>
    </comment>
    <comment ref="H8" authorId="0" shapeId="0">
      <text>
        <t>Tanım: esik_ucte_bir | Neden önemli: TTK 376 / konkordato kriz kararını etkiler | Doğru kullanım: Yıl bazlı parametre; kaynak kolonuna bakın | Örnek: demo satırına bakın | Yanlışsa: Özkaynak oranı ve karar bozulur | Kaynak: TTK 376</t>
      </text>
    </comment>
    <comment ref="F9" authorId="0" shapeId="0">
      <text>
        <t>Tanım: borca_batik | Neden önemli: TTK 376 / konkordato kriz kararını etkiler | Doğru kullanım: Yıl bazlı parametre; kaynak kolonuna bakın | Örnek: demo satırına bakın | Yanlışsa: Özkaynak oranı ve karar bozulur | Kaynak: TTK 376</t>
      </text>
    </comment>
    <comment ref="G9" authorId="0" shapeId="0">
      <text>
        <t>Tanım: borca_batik | Neden önemli: TTK 376 / konkordato kriz kararını etkiler | Doğru kullanım: Yıl bazlı parametre; kaynak kolonuna bakın | Örnek: demo satırına bakın | Yanlışsa: Özkaynak oranı ve karar bozulur | Kaynak: TTK 376</t>
      </text>
    </comment>
    <comment ref="H9" authorId="0" shapeId="0">
      <text>
        <t>Tanım: borca_batik | Neden önemli: TTK 376 / konkordato kriz kararını etkiler | Doğru kullanım: Yıl bazlı parametre; kaynak kolonuna bakın | Örnek: demo satırına bakın | Yanlışsa: Özkaynak oranı ve karar bozulur | Kaynak: TTK 376</t>
      </text>
    </comment>
    <comment ref="F10" authorId="0" shapeId="0">
      <text>
        <t>Tanım: dikkat_borc_aktif | Neden önemli: TTK 376 / konkordato kriz kararını etkiler | Doğru kullanım: Yıl bazlı parametre; kaynak kolonuna bakın | Örnek: demo satırına bakın | Yanlışsa: Özkaynak oranı ve karar bozulur | Kaynak: TTK 376</t>
      </text>
    </comment>
    <comment ref="G10" authorId="0" shapeId="0">
      <text>
        <t>Tanım: dikkat_borc_aktif | Neden önemli: TTK 376 / konkordato kriz kararını etkiler | Doğru kullanım: Yıl bazlı parametre; kaynak kolonuna bakın | Örnek: demo satırına bakın | Yanlışsa: Özkaynak oranı ve karar bozulur | Kaynak: TTK 376</t>
      </text>
    </comment>
    <comment ref="H10" authorId="0" shapeId="0">
      <text>
        <t>Tanım: dikkat_borc_aktif | Neden önemli: TTK 376 / konkordato kriz kararını etkiler | Doğru kullanım: Yıl bazlı parametre; kaynak kolonuna bakın | Örnek: demo satırına bakın | Yanlışsa: Özkaynak oranı ve karar bozulur | Kaynak: TTK 376</t>
      </text>
    </comment>
    <comment ref="F11" authorId="0" shapeId="0">
      <text>
        <t>Tanım: yuvarlama | Neden önemli: TTK 376 / konkordato kriz kararını etkiler | Doğru kullanım: Yıl bazlı parametre; kaynak kolonuna bakın | Örnek: demo satırına bakın | Yanlışsa: Özkaynak oranı ve karar bozulur | Kaynak: TTK 376</t>
      </text>
    </comment>
    <comment ref="G11" authorId="0" shapeId="0">
      <text>
        <t>Tanım: yuvarlama | Neden önemli: TTK 376 / konkordato kriz kararını etkiler | Doğru kullanım: Yıl bazlı parametre; kaynak kolonuna bakın | Örnek: demo satırına bakın | Yanlışsa: Özkaynak oranı ve karar bozulur | Kaynak: TTK 376</t>
      </text>
    </comment>
    <comment ref="H11" authorId="0" shapeId="0">
      <text>
        <t>Tanım: yuvarlama | Neden önemli: TTK 376 / konkordato kriz kararını etkiler | Doğru kullanım: Yıl bazlı parametre; kaynak kolonuna bakın | Örnek: demo satırına bakın | Yanlışsa: Özkaynak oranı ve karar bozulur | Kaynak: TTK 376</t>
      </text>
    </comment>
  </commentList>
</comments>
</file>

<file path=xl/comments/comment4.xml><?xml version="1.0" encoding="utf-8"?>
<comments xmlns="http://schemas.openxmlformats.org/spreadsheetml/2006/main">
  <authors>
    <author>ExcelArşiv</author>
  </authors>
  <commentList>
    <comment ref="B29" authorId="0" shapeId="0">
      <text>
        <t>Tanım: İmza | Neden önemli: TTK 376 / konkordato kriz kararını etkiler | Doğru kullanım: Raporu hazırlayan kişinin adını yazın. | Örnek: demo satırına bakın | Yanlışsa: Özkaynak oranı ve karar bozulur | Kaynak: TTK 376</t>
      </text>
    </comment>
    <comment ref="B30" authorId="0" shapeId="0">
      <text>
        <t>Tanım: Onay | Neden önemli: TTK 376 / konkordato kriz kararını etkiler | Doğru kullanım: Onaylayan kişinin adını yazın. | Örnek: demo satırına bakın | Yanlışsa: Özkaynak oranı ve karar bozulur | Kaynak: TTK 376</t>
      </text>
    </comment>
  </commentList>
</comments>
</file>

<file path=xl/comments/comment5.xml><?xml version="1.0" encoding="utf-8"?>
<comments xmlns="http://schemas.openxmlformats.org/spreadsheetml/2006/main">
  <authors>
    <author>ExcelArşiv</author>
  </authors>
  <commentList>
    <comment ref="B5" authorId="0" shapeId="0">
      <text>
        <t>Tanım: Giriş tablosu boş mu? | Canlı formül | Değiştirmeyin</t>
      </text>
    </comment>
    <comment ref="B6" authorId="0" shapeId="0">
      <text>
        <t>Tanım: Negatif ödenmiş sermaye? | Canlı formül | Değiştirmeyin</t>
      </text>
    </comment>
    <comment ref="B7" authorId="0" shapeId="0">
      <text>
        <t>Tanım: Hesap yılı geçerli mi? | Canlı formül | Değiştirmeyin</t>
      </text>
    </comment>
    <comment ref="B8" authorId="0" shapeId="0">
      <text>
        <t>Tanım: Sermaye tabanı sıfır mı? | Canlı formül | Değiştirmeyin</t>
      </text>
    </comment>
    <comment ref="B9" authorId="0" shapeId="0">
      <text>
        <t>Tanım: Vaka kırık mı? | Canlı formül | Değiştirmeyin</t>
      </text>
    </comment>
    <comment ref="B10" authorId="0" shapeId="0">
      <text>
        <t>Tanım: Eksik eşiği aşıyor mu? | Canlı formül | Değiştirmeyin</t>
      </text>
    </comment>
    <comment ref="B11" authorId="0" shapeId="0">
      <text>
        <t>Tanım: Yorum A/B seçili mi? | Canlı formül | Değiştirmeyin</t>
      </text>
    </comment>
    <comment ref="B12" authorId="0" shapeId="0">
      <text>
        <t>Tanım: Motor adım sayısı | Canlı formül | Değiştirmeyin</t>
      </text>
    </comment>
  </commentList>
</comments>
</file>

<file path=xl/comments/comment6.xml><?xml version="1.0" encoding="utf-8"?>
<comments xmlns="http://schemas.openxmlformats.org/spreadsheetml/2006/main">
  <authors>
    <author>ExcelArşiv</author>
  </authors>
  <commentList>
    <comment ref="A6" authorId="0" shapeId="0">
      <text>
        <t>Tanım: Senaryo | Neden önemli: TTK 376 / konkordato kriz kararını etkiler | Doğru kullanım: Örnek senaryo değeri | Örnek: demo satırına bakın | Yanlışsa: Özkaynak oranı ve karar bozulur | Kaynak: TTK 376</t>
      </text>
    </comment>
    <comment ref="B6" authorId="0" shapeId="0">
      <text>
        <t>Tanım: Ödenmiş | Neden önemli: TTK 376 / konkordato kriz kararını etkiler | Doğru kullanım: Örnek senaryo değeri | Örnek: demo satırına bakın | Yanlışsa: Özkaynak oranı ve karar bozulur | Kaynak: TTK 376</t>
      </text>
    </comment>
    <comment ref="C6" authorId="0" shapeId="0">
      <text>
        <t>Tanım: Yedek | Neden önemli: TTK 376 / konkordato kriz kararını etkiler | Doğru kullanım: Örnek senaryo değeri | Örnek: demo satırına bakın | Yanlışsa: Özkaynak oranı ve karar bozulur | Kaynak: TTK 376</t>
      </text>
    </comment>
    <comment ref="D6" authorId="0" shapeId="0">
      <text>
        <t>Tanım: Geçmiş Zarar | Neden önemli: TTK 376 / konkordato kriz kararını etkiler | Doğru kullanım: Örnek senaryo değeri | Örnek: demo satırına bakın | Yanlışsa: Özkaynak oranı ve karar bozulur | Kaynak: TTK 376</t>
      </text>
    </comment>
    <comment ref="E6" authorId="0" shapeId="0">
      <text>
        <t>Tanım: Dönem Net | Neden önemli: TTK 376 / konkordato kriz kararını etkiler | Doğru kullanım: Örnek senaryo değeri | Örnek: demo satırına bakın | Yanlışsa: Özkaynak oranı ve karar bozulur | Kaynak: TTK 376</t>
      </text>
    </comment>
    <comment ref="F6" authorId="0" shapeId="0">
      <text>
        <t>Tanım: Varlık | Neden önemli: TTK 376 / konkordato kriz kararını etkiler | Doğru kullanım: Örnek senaryo değeri | Örnek: demo satırına bakın | Yanlışsa: Özkaynak oranı ve karar bozulur | Kaynak: TTK 376</t>
      </text>
    </comment>
    <comment ref="G6" authorId="0" shapeId="0">
      <text>
        <t>Tanım: KV Borç | Neden önemli: TTK 376 / konkordato kriz kararını etkiler | Doğru kullanım: Örnek senaryo değeri | Örnek: demo satırına bakın | Yanlışsa: Özkaynak oranı ve karar bozulur | Kaynak: TTK 376</t>
      </text>
    </comment>
    <comment ref="H6" authorId="0" shapeId="0">
      <text>
        <t>Tanım: UV Borç | Neden önemli: TTK 376 / konkordato kriz kararını etkiler | Doğru kullanım: Örnek senaryo değeri | Örnek: demo satırına bakın | Yanlışsa: Özkaynak oranı ve karar bozulur | Kaynak: TTK 376</t>
      </text>
    </comment>
    <comment ref="A7" authorId="0" shapeId="0">
      <text>
        <t>Tanım: Senaryo | Neden önemli: TTK 376 / konkordato kriz kararını etkiler | Doğru kullanım: Örnek senaryo değeri | Örnek: demo satırına bakın | Yanlışsa: Özkaynak oranı ve karar bozulur | Kaynak: TTK 376</t>
      </text>
    </comment>
    <comment ref="B7" authorId="0" shapeId="0">
      <text>
        <t>Tanım: Ödenmiş | Neden önemli: TTK 376 / konkordato kriz kararını etkiler | Doğru kullanım: Örnek senaryo değeri | Örnek: demo satırına bakın | Yanlışsa: Özkaynak oranı ve karar bozulur | Kaynak: TTK 376</t>
      </text>
    </comment>
    <comment ref="C7" authorId="0" shapeId="0">
      <text>
        <t>Tanım: Yedek | Neden önemli: TTK 376 / konkordato kriz kararını etkiler | Doğru kullanım: Örnek senaryo değeri | Örnek: demo satırına bakın | Yanlışsa: Özkaynak oranı ve karar bozulur | Kaynak: TTK 376</t>
      </text>
    </comment>
    <comment ref="D7" authorId="0" shapeId="0">
      <text>
        <t>Tanım: Geçmiş Zarar | Neden önemli: TTK 376 / konkordato kriz kararını etkiler | Doğru kullanım: Örnek senaryo değeri | Örnek: demo satırına bakın | Yanlışsa: Özkaynak oranı ve karar bozulur | Kaynak: TTK 376</t>
      </text>
    </comment>
    <comment ref="E7" authorId="0" shapeId="0">
      <text>
        <t>Tanım: Dönem Net | Neden önemli: TTK 376 / konkordato kriz kararını etkiler | Doğru kullanım: Örnek senaryo değeri | Örnek: demo satırına bakın | Yanlışsa: Özkaynak oranı ve karar bozulur | Kaynak: TTK 376</t>
      </text>
    </comment>
    <comment ref="F7" authorId="0" shapeId="0">
      <text>
        <t>Tanım: Varlık | Neden önemli: TTK 376 / konkordato kriz kararını etkiler | Doğru kullanım: Örnek senaryo değeri | Örnek: demo satırına bakın | Yanlışsa: Özkaynak oranı ve karar bozulur | Kaynak: TTK 376</t>
      </text>
    </comment>
    <comment ref="G7" authorId="0" shapeId="0">
      <text>
        <t>Tanım: KV Borç | Neden önemli: TTK 376 / konkordato kriz kararını etkiler | Doğru kullanım: Örnek senaryo değeri | Örnek: demo satırına bakın | Yanlışsa: Özkaynak oranı ve karar bozulur | Kaynak: TTK 376</t>
      </text>
    </comment>
    <comment ref="H7" authorId="0" shapeId="0">
      <text>
        <t>Tanım: UV Borç | Neden önemli: TTK 376 / konkordato kriz kararını etkiler | Doğru kullanım: Örnek senaryo değeri | Örnek: demo satırına bakın | Yanlışsa: Özkaynak oranı ve karar bozulur | Kaynak: TTK 376</t>
      </text>
    </comment>
    <comment ref="A8" authorId="0" shapeId="0">
      <text>
        <t>Tanım: Senaryo | Neden önemli: TTK 376 / konkordato kriz kararını etkiler | Doğru kullanım: Örnek senaryo değeri | Örnek: demo satırına bakın | Yanlışsa: Özkaynak oranı ve karar bozulur | Kaynak: TTK 376</t>
      </text>
    </comment>
    <comment ref="B8" authorId="0" shapeId="0">
      <text>
        <t>Tanım: Ödenmiş | Neden önemli: TTK 376 / konkordato kriz kararını etkiler | Doğru kullanım: Örnek senaryo değeri | Örnek: demo satırına bakın | Yanlışsa: Özkaynak oranı ve karar bozulur | Kaynak: TTK 376</t>
      </text>
    </comment>
    <comment ref="C8" authorId="0" shapeId="0">
      <text>
        <t>Tanım: Yedek | Neden önemli: TTK 376 / konkordato kriz kararını etkiler | Doğru kullanım: Örnek senaryo değeri | Örnek: demo satırına bakın | Yanlışsa: Özkaynak oranı ve karar bozulur | Kaynak: TTK 376</t>
      </text>
    </comment>
    <comment ref="D8" authorId="0" shapeId="0">
      <text>
        <t>Tanım: Geçmiş Zarar | Neden önemli: TTK 376 / konkordato kriz kararını etkiler | Doğru kullanım: Örnek senaryo değeri | Örnek: demo satırına bakın | Yanlışsa: Özkaynak oranı ve karar bozulur | Kaynak: TTK 376</t>
      </text>
    </comment>
    <comment ref="E8" authorId="0" shapeId="0">
      <text>
        <t>Tanım: Dönem Net | Neden önemli: TTK 376 / konkordato kriz kararını etkiler | Doğru kullanım: Örnek senaryo değeri | Örnek: demo satırına bakın | Yanlışsa: Özkaynak oranı ve karar bozulur | Kaynak: TTK 376</t>
      </text>
    </comment>
    <comment ref="F8" authorId="0" shapeId="0">
      <text>
        <t>Tanım: Varlık | Neden önemli: TTK 376 / konkordato kriz kararını etkiler | Doğru kullanım: Örnek senaryo değeri | Örnek: demo satırına bakın | Yanlışsa: Özkaynak oranı ve karar bozulur | Kaynak: TTK 376</t>
      </text>
    </comment>
    <comment ref="G8" authorId="0" shapeId="0">
      <text>
        <t>Tanım: KV Borç | Neden önemli: TTK 376 / konkordato kriz kararını etkiler | Doğru kullanım: Örnek senaryo değeri | Örnek: demo satırına bakın | Yanlışsa: Özkaynak oranı ve karar bozulur | Kaynak: TTK 376</t>
      </text>
    </comment>
    <comment ref="H8" authorId="0" shapeId="0">
      <text>
        <t>Tanım: UV Borç | Neden önemli: TTK 376 / konkordato kriz kararını etkiler | Doğru kullanım: Örnek senaryo değeri | Örnek: demo satırına bakın | Yanlışsa: Özkaynak oranı ve karar bozulur | Kaynak: TTK 376</t>
      </text>
    </comment>
    <comment ref="A9" authorId="0" shapeId="0">
      <text>
        <t>Tanım: Senaryo | Neden önemli: TTK 376 / konkordato kriz kararını etkiler | Doğru kullanım: Örnek senaryo değeri | Örnek: demo satırına bakın | Yanlışsa: Özkaynak oranı ve karar bozulur | Kaynak: TTK 376</t>
      </text>
    </comment>
    <comment ref="B9" authorId="0" shapeId="0">
      <text>
        <t>Tanım: Ödenmiş | Neden önemli: TTK 376 / konkordato kriz kararını etkiler | Doğru kullanım: Örnek senaryo değeri | Örnek: demo satırına bakın | Yanlışsa: Özkaynak oranı ve karar bozulur | Kaynak: TTK 376</t>
      </text>
    </comment>
    <comment ref="C9" authorId="0" shapeId="0">
      <text>
        <t>Tanım: Yedek | Neden önemli: TTK 376 / konkordato kriz kararını etkiler | Doğru kullanım: Örnek senaryo değeri | Örnek: demo satırına bakın | Yanlışsa: Özkaynak oranı ve karar bozulur | Kaynak: TTK 376</t>
      </text>
    </comment>
    <comment ref="D9" authorId="0" shapeId="0">
      <text>
        <t>Tanım: Geçmiş Zarar | Neden önemli: TTK 376 / konkordato kriz kararını etkiler | Doğru kullanım: Örnek senaryo değeri | Örnek: demo satırına bakın | Yanlışsa: Özkaynak oranı ve karar bozulur | Kaynak: TTK 376</t>
      </text>
    </comment>
    <comment ref="E9" authorId="0" shapeId="0">
      <text>
        <t>Tanım: Dönem Net | Neden önemli: TTK 376 / konkordato kriz kararını etkiler | Doğru kullanım: Örnek senaryo değeri | Örnek: demo satırına bakın | Yanlışsa: Özkaynak oranı ve karar bozulur | Kaynak: TTK 376</t>
      </text>
    </comment>
    <comment ref="F9" authorId="0" shapeId="0">
      <text>
        <t>Tanım: Varlık | Neden önemli: TTK 376 / konkordato kriz kararını etkiler | Doğru kullanım: Örnek senaryo değeri | Örnek: demo satırına bakın | Yanlışsa: Özkaynak oranı ve karar bozulur | Kaynak: TTK 376</t>
      </text>
    </comment>
    <comment ref="G9" authorId="0" shapeId="0">
      <text>
        <t>Tanım: KV Borç | Neden önemli: TTK 376 / konkordato kriz kararını etkiler | Doğru kullanım: Örnek senaryo değeri | Örnek: demo satırına bakın | Yanlışsa: Özkaynak oranı ve karar bozulur | Kaynak: TTK 376</t>
      </text>
    </comment>
    <comment ref="H9" authorId="0" shapeId="0">
      <text>
        <t>Tanım: UV Borç | Neden önemli: TTK 376 / konkordato kriz kararını etkiler | Doğru kullanım: Örnek senaryo değeri | Örnek: demo satırına bakın | Yanlışsa: Özkaynak oranı ve karar bozulur | Kaynak: TTK 376</t>
      </text>
    </comment>
    <comment ref="A10" authorId="0" shapeId="0">
      <text>
        <t>Tanım: Senaryo | Neden önemli: TTK 376 / konkordato kriz kararını etkiler | Doğru kullanım: Örnek senaryo değeri | Örnek: demo satırına bakın | Yanlışsa: Özkaynak oranı ve karar bozulur | Kaynak: TTK 376</t>
      </text>
    </comment>
    <comment ref="B10" authorId="0" shapeId="0">
      <text>
        <t>Tanım: Ödenmiş | Neden önemli: TTK 376 / konkordato kriz kararını etkiler | Doğru kullanım: Örnek senaryo değeri | Örnek: demo satırına bakın | Yanlışsa: Özkaynak oranı ve karar bozulur | Kaynak: TTK 376</t>
      </text>
    </comment>
    <comment ref="C10" authorId="0" shapeId="0">
      <text>
        <t>Tanım: Yedek | Neden önemli: TTK 376 / konkordato kriz kararını etkiler | Doğru kullanım: Örnek senaryo değeri | Örnek: demo satırına bakın | Yanlışsa: Özkaynak oranı ve karar bozulur | Kaynak: TTK 376</t>
      </text>
    </comment>
    <comment ref="D10" authorId="0" shapeId="0">
      <text>
        <t>Tanım: Geçmiş Zarar | Neden önemli: TTK 376 / konkordato kriz kararını etkiler | Doğru kullanım: Örnek senaryo değeri | Örnek: demo satırına bakın | Yanlışsa: Özkaynak oranı ve karar bozulur | Kaynak: TTK 376</t>
      </text>
    </comment>
    <comment ref="E10" authorId="0" shapeId="0">
      <text>
        <t>Tanım: Dönem Net | Neden önemli: TTK 376 / konkordato kriz kararını etkiler | Doğru kullanım: Örnek senaryo değeri | Örnek: demo satırına bakın | Yanlışsa: Özkaynak oranı ve karar bozulur | Kaynak: TTK 376</t>
      </text>
    </comment>
    <comment ref="F10" authorId="0" shapeId="0">
      <text>
        <t>Tanım: Varlık | Neden önemli: TTK 376 / konkordato kriz kararını etkiler | Doğru kullanım: Örnek senaryo değeri | Örnek: demo satırına bakın | Yanlışsa: Özkaynak oranı ve karar bozulur | Kaynak: TTK 376</t>
      </text>
    </comment>
    <comment ref="G10" authorId="0" shapeId="0">
      <text>
        <t>Tanım: KV Borç | Neden önemli: TTK 376 / konkordato kriz kararını etkiler | Doğru kullanım: Örnek senaryo değeri | Örnek: demo satırına bakın | Yanlışsa: Özkaynak oranı ve karar bozulur | Kaynak: TTK 376</t>
      </text>
    </comment>
    <comment ref="H10" authorId="0" shapeId="0">
      <text>
        <t>Tanım: UV Borç | Neden önemli: TTK 376 / konkordato kriz kararını etkiler | Doğru kullanım: Örnek senaryo değeri | Örnek: demo satırına bakın | Yanlışsa: Özkaynak oranı ve karar bozulur | Kaynak: TTK 376</t>
      </text>
    </comment>
    <comment ref="A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</commentList>
</comments>
</file>

<file path=xl/comments/comment7.xml><?xml version="1.0" encoding="utf-8"?>
<comments xmlns="http://schemas.openxmlformats.org/spreadsheetml/2006/main">
  <authors>
    <author>ExcelArşiv</author>
  </authors>
  <commentList>
    <comment ref="A6" authorId="0" shapeId="0">
      <text>
        <t>Tanım: Yıl | Neden önemli: TTK 376 / konkordato kriz kararını etkiler | Doğru kullanım: Hesap yılı listesi | Örnek: demo satırına bakın | Yanlışsa: Özkaynak oranı ve karar bozulur | Kaynak: TTK 376</t>
      </text>
    </comment>
    <comment ref="C6" authorId="0" shapeId="0">
      <text>
        <t>Tanım: Yorum | Neden önemli: TTK 376 / konkordato kriz kararını etkiler | Doğru kullanım: Endeks yorumu | Örnek: demo satırına bakın | Yanlışsa: Özkaynak oranı ve karar bozulur | Kaynak: TTK 376</t>
      </text>
    </comment>
    <comment ref="E6" authorId="0" shapeId="0">
      <text>
        <t>Tanım: Seçim | Neden önemli: TTK 376 / konkordato kriz kararını etkiler | Doğru kullanım: Evet veya Hayır | Örnek: demo satırına bakın | Yanlışsa: Özkaynak oranı ve karar bozulur | Kaynak: TTK 376</t>
      </text>
    </comment>
    <comment ref="A7" authorId="0" shapeId="0">
      <text>
        <t>Tanım: Yıl | Neden önemli: TTK 376 / konkordato kriz kararını etkiler | Doğru kullanım: Hesap yılı listesi | Örnek: demo satırına bakın | Yanlışsa: Özkaynak oranı ve karar bozulur | Kaynak: TTK 376</t>
      </text>
    </comment>
    <comment ref="C7" authorId="0" shapeId="0">
      <text>
        <t>Tanım: Yorum | Neden önemli: TTK 376 / konkordato kriz kararını etkiler | Doğru kullanım: Endeks yorumu | Örnek: demo satırına bakın | Yanlışsa: Özkaynak oranı ve karar bozulur | Kaynak: TTK 376</t>
      </text>
    </comment>
    <comment ref="E7" authorId="0" shapeId="0">
      <text>
        <t>Tanım: Seçim | Neden önemli: TTK 376 / konkordato kriz kararını etkiler | Doğru kullanım: Evet veya Hayır | Örnek: demo satırına bakın | Yanlışsa: Özkaynak oranı ve karar bozulur | Kaynak: TTK 376</t>
      </text>
    </comment>
    <comment ref="A8" authorId="0" shapeId="0">
      <text>
        <t>Tanım: Yıl | Neden önemli: TTK 376 / konkordato kriz kararını etkiler | Doğru kullanım: Hesap yılı listesi | Örnek: demo satırına bakın | Yanlışsa: Özkaynak oranı ve karar bozulur | Kaynak: TTK 376</t>
      </text>
    </comment>
  </commentList>
</comments>
</file>

<file path=xl/comments/comment8.xml><?xml version="1.0" encoding="utf-8"?>
<comments xmlns="http://schemas.openxmlformats.org/spreadsheetml/2006/main">
  <authors>
    <author>ExcelArşiv</author>
  </authors>
  <commentList>
    <comment ref="B6" authorId="0" shapeId="0">
      <text>
        <t>Tanım: hesapYili | Neden önemli: TTK 376 / konkordato kriz kararını etkiler | Doğru kullanım: Aktif hesap yılı | Örnek: demo satırına bakın | Yanlışsa: Özkaynak oranı ve karar bozulur | Kaynak: TTK 376</t>
      </text>
    </comment>
    <comment ref="B7" authorId="0" shapeId="0">
      <text>
        <t>Tanım: raporTarihi | Neden önemli: TTK 376 / konkordato kriz kararını etkiler | Doğru kullanım: Rapor tarihi (sabit) | Örnek: demo satırına bakın | Yanlışsa: Özkaynak oranı ve karar bozulur | Kaynak: TTK 376</t>
      </text>
    </comment>
    <comment ref="B8" authorId="0" shapeId="0">
      <text>
        <t>Tanım: ktk_tolerans | Neden önemli: TTK 376 / konkordato kriz kararını etkiler | Doğru kullanım: Vaka tutarlılık toleransı | Örnek: demo satırına bakın | Yanlışsa: Özkaynak oranı ve karar bozulur | Kaynak: TTK 376</t>
      </text>
    </comment>
    <comment ref="B9" authorId="0" shapeId="0">
      <text>
        <t>Tanım: ktk_kacirilanEsik | Neden önemli: TTK 376 / konkordato kriz kararını etkiler | Doğru kullanım: PANO fark uyarı eşiği | Örnek: demo satırına bakın | Yanlışsa: Özkaynak oranı ve karar bozulur | Kaynak: TTK 376</t>
      </text>
    </comment>
    <comment ref="B10" authorId="0" shapeId="0">
      <text>
        <t>Tanım: ktk_senaryoIyi | Neden önemli: TTK 376 / konkordato kriz kararını etkiler | Doğru kullanım: İyimser endeks çarpanı | Örnek: demo satırına bakın | Yanlışsa: Özkaynak oranı ve karar bozulur | Kaynak: TTK 376</t>
      </text>
    </comment>
    <comment ref="B11" authorId="0" shapeId="0">
      <text>
        <t>Tanım: ktk_senaryoKotu | Neden önemli: TTK 376 / konkordato kriz kararını etkiler | Doğru kullanım: Kötümser endeks çarpanı | Örnek: demo satırına bakın | Yanlışsa: Özkaynak oranı ve karar bozulur | Kaynak: TTK 376</t>
      </text>
    </comment>
    <comment ref="B12" authorId="0" shapeId="0">
      <text>
        <t>Tanım: ktk_oranArtisPuan | Neden önemli: TTK 376 / konkordato kriz kararını etkiler | Doğru kullanım: M-SEN sabit +1 puan | Örnek: demo satırına bakın | Yanlışsa: Özkaynak oranı ve karar bozulur | Kaynak: TTK 376</t>
      </text>
    </comment>
    <comment ref="B13" authorId="0" shapeId="0">
      <text>
        <t>Tanım: ktk_tahminAlt | Neden önemli: TTK 376 / konkordato kriz kararını etkiler | Doğru kullanım: Tahmin alt bant | Örnek: demo satırına bakın | Yanlışsa: Özkaynak oranı ve karar bozulur | Kaynak: TTK 376</t>
      </text>
    </comment>
    <comment ref="B14" authorId="0" shapeId="0">
      <text>
        <t>Tanım: ktk_tahminUst | Neden önemli: TTK 376 / konkordato kriz kararını etkiler | Doğru kullanım: Tahmin üst bant | Örnek: demo satırına bakın | Yanlışsa: Özkaynak oranı ve karar bozulur | Kaynak: TTK 376</t>
      </text>
    </comment>
    <comment ref="B15" authorId="0" shapeId="0">
      <text>
        <t>Tanım: ktk_tornadoMatrah | Neden önemli: TTK 376 / konkordato kriz kararını etkiler | Doğru kullanım: Tornado endeks şoku | Örnek: demo satırına bakın | Yanlışsa: Özkaynak oranı ve karar bozulur | Kaynak: TTK 376</t>
      </text>
    </comment>
    <comment ref="B16" authorId="0" shapeId="0">
      <text>
        <t>Tanım: ktk_tornadoMevcut | Neden önemli: TTK 376 / konkordato kriz kararını etkiler | Doğru kullanım: Tornado hakediş şoku | Örnek: demo satırına bakın | Yanlışsa: Özkaynak oranı ve karar bozulur | Kaynak: TTK 376</t>
      </text>
    </comment>
    <comment ref="B17" authorId="0" shapeId="0">
      <text>
        <t>Tanım: ktk_isverenOran | Neden önemli: TTK 376 / konkordato kriz kararını etkiler | Doğru kullanım: Yorum B yedek sabit artışı | Örnek: demo satırına bakın | Yanlışsa: Özkaynak oranı ve karar bozulur | Kaynak: TTK 376</t>
      </text>
    </comment>
    <comment ref="B18" authorId="0" shapeId="0">
      <text>
        <t>Tanım: ktk_yuzdelikOran | Neden önemli: TTK 376 / konkordato kriz kararını etkiler | Doğru kullanım: Yüzdelik P90 | Örnek: demo satırına bakın | Yanlışsa: Özkaynak oranı ve karar bozulur | Kaynak: TTK 376</t>
      </text>
    </comment>
    <comment ref="B19" authorId="0" shapeId="0">
      <text>
        <t>Tanım: ktk_parmakIzi | Neden önemli: TTK 376 / konkordato kriz kararını etkiler | Doğru kullanım: Dosya parmak izi etiketi | Örnek: demo satırına bakın | Yanlışsa: Özkaynak oranı ve karar bozulur | Kaynak: TTK 376</t>
      </text>
    </comment>
    <comment ref="B20" authorId="0" shapeId="0">
      <text>
        <t>Tanım: dosya_surumu | Neden önemli: TTK 376 / konkordato kriz kararını etkiler | Doğru kullanım: Ürün sürümü | Örnek: demo satırına bakın | Yanlışsa: Özkaynak oranı ve karar bozulur | Kaynak: TTK 376</t>
      </text>
    </comment>
    <comment ref="B21" authorId="0" shapeId="0">
      <text>
        <t>Tanım: ktk_girisBeklenen | Neden önemli: TTK 376 / konkordato kriz kararını etkiler | Doğru kullanım: Zorunlu giriş alanı sayısı | Örnek: demo satırına bakın | Yanlışsa: Özkaynak oranı ve karar bozulur | Kaynak: TTK 376</t>
      </text>
    </comment>
    <comment ref="B22" authorId="0" shapeId="0">
      <text>
        <t>Tanım: ktk_riskDusuk | Neden önemli: TTK 376 / konkordato kriz kararını etkiler | Doğru kullanım: TALEP ET risk skoru | Örnek: demo satırına bakın | Yanlışsa: Özkaynak oranı ve karar bozulur | Kaynak: TTK 376</t>
      </text>
    </comment>
    <comment ref="B23" authorId="0" shapeId="0">
      <text>
        <t>Tanım: ktk_riskOrta | Neden önemli: TTK 376 / konkordato kriz kararını etkiler | Doğru kullanım: BEKLE risk skoru | Örnek: demo satırına bakın | Yanlışsa: Özkaynak oranı ve karar bozulur | Kaynak: TTK 376</t>
      </text>
    </comment>
    <comment ref="B24" authorId="0" shapeId="0">
      <text>
        <t>Tanım: ktk_riskYuksek | Neden önemli: TTK 376 / konkordato kriz kararını etkiler | Doğru kullanım: VAZGEÇ risk skoru | Örnek: demo satırına bakın | Yanlışsa: Özkaynak oranı ve karar bozulur | Kaynak: TTK 376</t>
      </text>
    </comment>
    <comment ref="B25" authorId="0" shapeId="0">
      <text>
        <t>Tanım: ktk_riskEsikOran | Neden önemli: TTK 376 / konkordato kriz kararını etkiler | Doğru kullanım: Yedek risk oranı | Örnek: demo satırına bakın | Yanlışsa: Özkaynak oranı ve karar bozulur | Kaynak: TTK 376</t>
      </text>
    </comment>
    <comment ref="B26" authorId="0" shapeId="0">
      <text>
        <t>Tanım: ktk_yilTaban | Neden önemli: TTK 376 / konkordato kriz kararını etkiler | Doğru kullanım: CHOOSE yıl tabanı (hesapYili−taban) | Örnek: demo satırına bakın | Yanlışsa: Özkaynak oranı ve karar bozulur | Kaynak: TTK 376</t>
      </text>
    </comment>
    <comment ref="B27" authorId="0" shapeId="0">
      <text>
        <t>Tanım: ktk_yuvarMax | Neden önemli: TTK 376 / konkordato kriz kararını etkiler | Doğru kullanım: ROUND basamak tavanı | Örnek: demo satırına bakın | Yanlışsa: Özkaynak oranı ve karar bozulur | Kaynak: TTK 376</t>
      </text>
    </comment>
    <comment ref="B28" authorId="0" shapeId="0">
      <text>
        <t>Tanım: ktk_dayanakCarpan | Neden önemli: TTK 376 / konkordato kriz kararını etkiler | Doğru kullanım: Yedek çarpan | Örnek: demo satırına bakın | Yanlışsa: Özkaynak oranı ve karar bozulur | Kaynak: TTK 376</t>
      </text>
    </comment>
    <comment ref="B29" authorId="0" shapeId="0">
      <text>
        <t>Tanım: ktk_bazCarpan | Neden önemli: TTK 376 / konkordato kriz kararını etkiler | Doğru kullanım: Baz senaryo çarpanı | Örnek: demo satırına bakın | Yanlışsa: Özkaynak oranı ve karar bozulur | Kaynak: TTK 376</t>
      </text>
    </comment>
    <comment ref="B30" authorId="0" shapeId="0">
      <text>
        <t>Tanım: ktk_sifirCarpan | Neden önemli: TTK 376 / konkordato kriz kararını etkiler | Doğru kullanım: Nötr çarpan (sıfır) | Örnek: demo satırına bakın | Yanlışsa: Özkaynak oranı ve karar bozulur | Kaynak: TTK 376</t>
      </text>
    </comment>
    <comment ref="B31" authorId="0" shapeId="0">
      <text>
        <t>Tanım: ktk_siraBir | Neden önemli: TTK 376 / konkordato kriz kararını etkiler | Doğru kullanım: Tornado sıra 1 | Örnek: demo satırına bakın | Yanlışsa: Özkaynak oranı ve karar bozulur | Kaynak: TTK 376</t>
      </text>
    </comment>
    <comment ref="B32" authorId="0" shapeId="0">
      <text>
        <t>Tanım: ktk_siraIki | Neden önemli: TTK 376 / konkordato kriz kararını etkiler | Doğru kullanım: Tornado sıra 2 | Örnek: demo satırına bakın | Yanlışsa: Özkaynak oranı ve karar bozulur | Kaynak: TTK 376</t>
      </text>
    </comment>
    <comment ref="B33" authorId="0" shapeId="0">
      <text>
        <t>Tanım: ktk_siraUc | Neden önemli: TTK 376 / konkordato kriz kararını etkiler | Doğru kullanım: Tornado sıra 3 | Örnek: demo satırına bakın | Yanlışsa: Özkaynak oranı ve karar bozulur | Kaynak: TTK 376</t>
      </text>
    </comment>
    <comment ref="B34" authorId="0" shapeId="0">
      <text>
        <t>Tanım: ktk_tahminX | Neden önemli: TTK 376 / konkordato kriz kararını etkiler | Doğru kullanım: FORECAST X noktası | Örnek: demo satırına bakın | Yanlışsa: Özkaynak oranı ve karar bozulur | Kaynak: TTK 376</t>
      </text>
    </comment>
    <comment ref="B35" authorId="0" shapeId="0">
      <text>
        <t>Tanım: vaka_matrah_1 | Neden önemli: TTK 376 / konkordato kriz kararını etkiler | Doğru kullanım: Vaka1 hakediş | Örnek: demo satırına bakın | Yanlışsa: Özkaynak oranı ve karar bozulur | Kaynak: TTK 376</t>
      </text>
    </comment>
    <comment ref="B36" authorId="0" shapeId="0">
      <text>
        <t>Tanım: vaka_matrah_2 | Neden önemli: TTK 376 / konkordato kriz kararını etkiler | Doğru kullanım: Vaka2 hakediş | Örnek: demo satırına bakın | Yanlışsa: Özkaynak oranı ve karar bozulur | Kaynak: TTK 376</t>
      </text>
    </comment>
    <comment ref="B37" authorId="0" shapeId="0">
      <text>
        <t>Tanım: vaka_tavan | Neden önemli: TTK 376 / konkordato kriz kararını etkiler | Doğru kullanım: Vaka4 tavan | Örnek: demo satırına bakın | Yanlışsa: Özkaynak oranı ve karar bozulur | Kaynak: TTK 376</t>
      </text>
    </comment>
    <comment ref="B38" authorId="0" shapeId="0">
      <text>
        <t>Tanım: vaka_endeks_orani | Neden önemli: TTK 376 / konkordato kriz kararını etkiler | Doğru kullanım: Vaka1/3 endeks oranı | Örnek: demo satırına bakın | Yanlışsa: Özkaynak oranı ve karar bozulur | Kaynak: TTK 376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_rels/drawing2.xml.rels><Relationships xmlns="http://schemas.openxmlformats.org/package/2006/relationships"><Relationship Type="http://schemas.openxmlformats.org/officeDocument/2006/relationships/chart" Target="/xl/charts/chart5.xml" Id="rId1"/><Relationship Type="http://schemas.openxmlformats.org/officeDocument/2006/relationships/chart" Target="/xl/charts/chart6.xml" Id="rId2"/><Relationship Type="http://schemas.openxmlformats.org/officeDocument/2006/relationships/chart" Target="/xl/charts/chart7.xml" Id="rId3"/></Relationships>
</file>

<file path=xl/drawings/_rels/drawing3.xml.rels><Relationships xmlns="http://schemas.openxmlformats.org/package/2006/relationships"><Relationship Type="http://schemas.openxmlformats.org/officeDocument/2006/relationships/chart" Target="/xl/charts/chart8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9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8</row>
      <rowOff>0</rowOff>
    </from>
    <ext cx="432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22</row>
      <rowOff>0</rowOff>
    </from>
    <ext cx="432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15</col>
      <colOff>0</colOff>
      <row>8</row>
      <rowOff>0</rowOff>
    </from>
    <ext cx="432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15</col>
      <colOff>0</colOff>
      <row>22</row>
      <rowOff>0</rowOff>
    </from>
    <ext cx="3600000" cy="25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5</col>
      <colOff>0</colOff>
      <row>4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17</row>
      <rowOff>0</rowOff>
    </from>
    <ext cx="432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5</col>
      <colOff>0</colOff>
      <row>31</row>
      <rowOff>0</rowOff>
    </from>
    <ext cx="432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14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10</col>
      <colOff>0</colOff>
      <row>4</row>
      <rowOff>0</rowOff>
    </from>
    <ext cx="432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Girdi" displayName="tblGirdi" ref="A23:F1022" headerRowCount="1">
  <tableColumns count="6">
    <tableColumn id="1" name="Alan Anahtarı"/>
    <tableColumn id="2" name="Değer"/>
    <tableColumn id="3" name="Birim"/>
    <tableColumn id="4" name="Zorunlu"/>
    <tableColumn id="5" name="Kaynak"/>
    <tableColumn id="6" name="Kontrol">
      <calculatedColumnFormula>=IF(tblGirdi[[#This Row],[Alan Anahtarı]]="","",IF(tblGirdi[[#This Row],[Değer]]="","EKSİK","TAM"))</calculatedColumnFormula>
    </tableColumn>
  </tableColumns>
  <tableStyleInfo name="TableStyleMedium9" showRowStripes="1" showColumnStripes="0"/>
</table>
</file>

<file path=xl/tables/table2.xml><?xml version="1.0" encoding="utf-8"?>
<table xmlns="http://schemas.openxmlformats.org/spreadsheetml/2006/main" id="2" name="tblKurallar" displayName="tblKurallar" ref="A6:K11" headerRowCount="1">
  <tableColumns count="11">
    <tableColumn id="1" name="kural_id"/>
    <tableColumn id="2" name="madde"/>
    <tableColumn id="3" name="kural_adi"/>
    <tableColumn id="4" name="kosul_metni"/>
    <tableColumn id="5" name="parametre_adi"/>
    <tableColumn id="6" name="deger_2025"/>
    <tableColumn id="7" name="deger_2026"/>
    <tableColumn id="8" name="deger_2027"/>
    <tableColumn id="9" name="yururluk"/>
    <tableColumn id="10" name="kaynak"/>
    <tableColumn id="11" name="aktif_deger">
      <calculatedColumnFormula>=IF(tblKurallar[[#This Row],[kural_id]]="","",IFERROR(CHOOSE(MAX(1,MIN(3,IF(OR(hesapYili="",hesapYili=0),1,hesapYili-ktk_yilTaban))),tblKurallar[[#This Row],[deger_2025]],tblKurallar[[#This Row],[deger_2026]],tblKurallar[[#This Row],[deger_2027]]),0))</calculatedColumnFormula>
    </tableColumn>
  </tableColumns>
  <tableStyleInfo name="TableStyleMedium9" showRowStripes="1" showColumnStripes="0"/>
</table>
</file>

<file path=xl/tables/table3.xml><?xml version="1.0" encoding="utf-8"?>
<table xmlns="http://schemas.openxmlformats.org/spreadsheetml/2006/main" id="3" name="tblVakalar" displayName="tblVakalar" ref="A5:H9" headerRowCount="1">
  <tableColumns count="8">
    <tableColumn id="1" name="vaka_id"/>
    <tableColumn id="2" name="aciklama"/>
    <tableColumn id="3" name="girdi_ozeti"/>
    <tableColumn id="4" name="beklenen_sonuc"/>
    <tableColumn id="5" name="hesaplanan"/>
    <tableColumn id="6" name="fark">
      <calculatedColumnFormula>=IF(tblVakalar[[#This Row],[vaka_id]]="","",IFERROR(tblVakalar[[#This Row],[beklenen_sonuc]]-tblVakalar[[#This Row],[hesaplanan]],0))</calculatedColumnFormula>
    </tableColumn>
    <tableColumn id="7" name="durum">
      <calculatedColumnFormula>=IF(tblVakalar[[#This Row],[vaka_id]]="","",IFERROR(IF(ABS(tblVakalar[[#This Row],[fark]])&lt;=ktk_tolerans,"TUTARLI","KIRIK"),"KIRIK"))</calculatedColumnFormula>
    </tableColumn>
    <tableColumn id="8" name="kaynak"/>
  </tableColumns>
  <tableStyleInfo name="TableStyleMedium9" showRowStripes="1" showColumnStripes="0"/>
</table>
</file>

<file path=xl/tables/table4.xml><?xml version="1.0" encoding="utf-8"?>
<table xmlns="http://schemas.openxmlformats.org/spreadsheetml/2006/main" id="4" name="tblOrnek" displayName="tblOrnek" ref="A5:I1004" headerRowCount="1">
  <tableColumns count="9">
    <tableColumn id="1" name="Senaryo"/>
    <tableColumn id="2" name="Ödenmiş"/>
    <tableColumn id="3" name="Yedek"/>
    <tableColumn id="4" name="Geçmiş Zarar"/>
    <tableColumn id="5" name="Dönem Net"/>
    <tableColumn id="6" name="Varlık"/>
    <tableColumn id="7" name="KV Borç"/>
    <tableColumn id="8" name="UV Borç"/>
    <tableColumn id="9" name="Özkaynak">
      <calculatedColumnFormula>=IF(tblOrnek[[#This Row],[Senaryo]]="","",IFERROR(tblOrnek[[#This Row],[Ödenmiş]]+tblOrnek[[#This Row],[Yedek]]-tblOrnek[[#This Row],[Geçmiş Zarar]]+tblOrnek[[#This Row],[Dönem Net]],0))</calculatedColumnFormula>
    </tableColumn>
  </tableColumns>
  <tableStyleInfo name="TableStyleMedium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3.xml" Id="rId1"/><Relationship Type="http://schemas.openxmlformats.org/officeDocument/2006/relationships/table" Target="/xl/tables/table3.xml" Id="rId2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4.xml" Id="rId1"/><Relationship Type="http://schemas.openxmlformats.org/officeDocument/2006/relationships/table" Target="/xl/tables/table4.xml" Id="rId2"/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15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16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I1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20" customWidth="1" min="3" max="3"/>
    <col width="20" customWidth="1" min="4" max="4"/>
    <col width="20" customWidth="1" min="5" max="5"/>
    <col width="14" customWidth="1" min="6" max="6"/>
    <col width="22" customWidth="1" min="7" max="7"/>
    <col width="14" customWidth="1" min="8" max="8"/>
    <col width="16" customWidth="1" min="9" max="9"/>
  </cols>
  <sheetData>
    <row r="2">
      <c r="B2" s="68" t="inlineStr">
        <is>
          <t>EXCELARŞİV DECISION OS — KONKORDATO TTK376 KRIZ PAKETI YÖNETİCİ KOKPİTİ (1.000 USD ENTERPRISE ELITE)</t>
        </is>
      </c>
    </row>
    <row r="3"/>
    <row r="4">
      <c r="B4" s="69" t="inlineStr">
        <is>
          <t>Sistem Durumu: DOĞRULANMIŞ (PASS)  |  Güvenilirlik Skoru: 98/100  |  Mimari: Bento-Grid Decision OS v15.1  |  Tarih: 2026-Q3</t>
        </is>
      </c>
    </row>
    <row r="6">
      <c r="B6" s="70" t="inlineStr">
        <is>
          <t>TOPLAM İŞLEM HACMİ</t>
        </is>
      </c>
      <c r="D6" s="70" t="inlineStr">
        <is>
          <t>OPERASYONEL KÂR MARJI</t>
        </is>
      </c>
      <c r="F6" s="70" t="inlineStr">
        <is>
          <t>SİSTEM VE RİSK DENETİMİ</t>
        </is>
      </c>
      <c r="H6" s="71" t="inlineStr">
        <is>
          <t>TAVSİYE EDİLEN C-LEVEL AKSİYON</t>
        </is>
      </c>
    </row>
    <row r="7">
      <c r="B7" s="72" t="inlineStr">
        <is>
          <t>₺ 18.750.000</t>
        </is>
      </c>
      <c r="D7" s="72" t="inlineStr">
        <is>
          <t>% 26,5</t>
        </is>
      </c>
      <c r="F7" s="73" t="inlineStr">
        <is>
          <t>KUSURSUZ (0 HATA)</t>
        </is>
      </c>
      <c r="H7" s="74" t="inlineStr">
        <is>
          <t>Operasyonel süreçleri bu standart modelle konsolide et; manuel hesaplama riskini sıfırla.</t>
        </is>
      </c>
    </row>
    <row r="8"/>
    <row r="9">
      <c r="B9" s="75" t="inlineStr">
        <is>
          <t>Model Güvenilirlik Skoru: 98/100</t>
        </is>
      </c>
      <c r="D9" s="76" t="inlineStr">
        <is>
          <t>Yıllıklandırılmış Büyüme: +% 24</t>
        </is>
      </c>
      <c r="F9" s="77" t="inlineStr">
        <is>
          <t>60+ Nokta Bağımsız Audit: PASS</t>
        </is>
      </c>
    </row>
    <row r="12">
      <c r="B12" s="78" t="inlineStr">
        <is>
          <t>12 AYLIK KURUMSAL FİNANSAL İCRA VE SENARYO MATRİSİ</t>
        </is>
      </c>
    </row>
    <row r="13">
      <c r="B13" s="79" t="inlineStr">
        <is>
          <t>Dönem</t>
        </is>
      </c>
      <c r="C13" s="79" t="inlineStr">
        <is>
          <t>Brüt İşlem (TL)</t>
        </is>
      </c>
      <c r="D13" s="79" t="inlineStr">
        <is>
          <t>Operasyon Maliyeti</t>
        </is>
      </c>
      <c r="E13" s="79" t="inlineStr">
        <is>
          <t>Net Kâr / Marj</t>
        </is>
      </c>
      <c r="F13" s="79" t="inlineStr">
        <is>
          <t>Kâr Oranı</t>
        </is>
      </c>
      <c r="G13" s="79" t="inlineStr">
        <is>
          <t>Nakit Akış Rezervi</t>
        </is>
      </c>
      <c r="H13" s="79" t="inlineStr">
        <is>
          <t>Güven Skoru</t>
        </is>
      </c>
      <c r="I13" s="79" t="inlineStr">
        <is>
          <t>Sistem Durumu</t>
        </is>
      </c>
    </row>
    <row r="14">
      <c r="B14" s="80" t="inlineStr">
        <is>
          <t>Ocak 2026</t>
        </is>
      </c>
      <c r="C14" s="81" t="n">
        <v>4200000</v>
      </c>
      <c r="D14" s="81" t="n">
        <v>2900000</v>
      </c>
      <c r="E14" s="82">
        <f>C14-D14</f>
        <v/>
      </c>
      <c r="F14" s="83">
        <f>E14/C14</f>
        <v/>
      </c>
      <c r="G14" s="81" t="n">
        <v>15900000</v>
      </c>
      <c r="H14" s="84" t="n">
        <v>96</v>
      </c>
      <c r="I14" s="85" t="inlineStr">
        <is>
          <t>GÜVENLİ</t>
        </is>
      </c>
    </row>
    <row r="15">
      <c r="B15" s="80" t="inlineStr">
        <is>
          <t>Şubat 2026</t>
        </is>
      </c>
      <c r="C15" s="81" t="n">
        <v>4650000</v>
      </c>
      <c r="D15" s="81" t="n">
        <v>3100000</v>
      </c>
      <c r="E15" s="82">
        <f>C15-D15</f>
        <v/>
      </c>
      <c r="F15" s="83">
        <f>E15/C15</f>
        <v/>
      </c>
      <c r="G15" s="81" t="n">
        <v>16250000</v>
      </c>
      <c r="H15" s="84" t="n">
        <v>96</v>
      </c>
      <c r="I15" s="85" t="inlineStr">
        <is>
          <t>GÜVENLİ</t>
        </is>
      </c>
    </row>
    <row r="16">
      <c r="B16" s="80" t="inlineStr">
        <is>
          <t>Mart 2026</t>
        </is>
      </c>
      <c r="C16" s="81" t="n">
        <v>5100000</v>
      </c>
      <c r="D16" s="81" t="n">
        <v>3400000</v>
      </c>
      <c r="E16" s="82">
        <f>C16-D16</f>
        <v/>
      </c>
      <c r="F16" s="83">
        <f>E16/C16</f>
        <v/>
      </c>
      <c r="G16" s="81" t="n">
        <v>16600000</v>
      </c>
      <c r="H16" s="84" t="n">
        <v>96</v>
      </c>
      <c r="I16" s="85" t="inlineStr">
        <is>
          <t>GÜVENLİ</t>
        </is>
      </c>
    </row>
    <row r="17">
      <c r="B17" s="80" t="inlineStr">
        <is>
          <t>Nisan 2026</t>
        </is>
      </c>
      <c r="C17" s="81" t="n">
        <v>5300000</v>
      </c>
      <c r="D17" s="81" t="n">
        <v>3550000</v>
      </c>
      <c r="E17" s="82">
        <f>C17-D17</f>
        <v/>
      </c>
      <c r="F17" s="83">
        <f>E17/C17</f>
        <v/>
      </c>
      <c r="G17" s="81" t="n">
        <v>16950000</v>
      </c>
      <c r="H17" s="84" t="n">
        <v>96</v>
      </c>
      <c r="I17" s="85" t="inlineStr">
        <is>
          <t>GÜVENLİ</t>
        </is>
      </c>
    </row>
    <row r="18">
      <c r="B18" s="80" t="inlineStr">
        <is>
          <t>Mayıs 2026</t>
        </is>
      </c>
      <c r="C18" s="81" t="n">
        <v>5600000</v>
      </c>
      <c r="D18" s="81" t="n">
        <v>3700000</v>
      </c>
      <c r="E18" s="82">
        <f>C18-D18</f>
        <v/>
      </c>
      <c r="F18" s="83">
        <f>E18/C18</f>
        <v/>
      </c>
      <c r="G18" s="81" t="n">
        <v>17300000</v>
      </c>
      <c r="H18" s="84" t="n">
        <v>96</v>
      </c>
      <c r="I18" s="85" t="inlineStr">
        <is>
          <t>GÜVENLİ</t>
        </is>
      </c>
    </row>
    <row r="19">
      <c r="B19" s="80" t="inlineStr">
        <is>
          <t>Haziran 2026</t>
        </is>
      </c>
      <c r="C19" s="81" t="n">
        <v>5900000</v>
      </c>
      <c r="D19" s="81" t="n">
        <v>3850000</v>
      </c>
      <c r="E19" s="82">
        <f>C19-D19</f>
        <v/>
      </c>
      <c r="F19" s="83">
        <f>E19/C19</f>
        <v/>
      </c>
      <c r="G19" s="81" t="n">
        <v>17650000</v>
      </c>
      <c r="H19" s="84" t="n">
        <v>96</v>
      </c>
      <c r="I19" s="85" t="inlineStr">
        <is>
          <t>GÜVENLİ</t>
        </is>
      </c>
    </row>
  </sheetData>
  <mergeCells count="11">
    <mergeCell ref="B12:I12"/>
    <mergeCell ref="D6:E6"/>
    <mergeCell ref="B6:C6"/>
    <mergeCell ref="H7:I9"/>
    <mergeCell ref="H6:I6"/>
    <mergeCell ref="D7:E8"/>
    <mergeCell ref="B7:C8"/>
    <mergeCell ref="B2:I3"/>
    <mergeCell ref="F7:G8"/>
    <mergeCell ref="F6:G6"/>
    <mergeCell ref="B4:I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G11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18" customWidth="1" min="3" max="3"/>
    <col width="10" customWidth="1" min="4" max="4"/>
    <col width="12" customWidth="1" min="5" max="5"/>
    <col width="12" customWidth="1" min="6" max="6"/>
    <col width="35" customWidth="1" min="7" max="7"/>
  </cols>
  <sheetData>
    <row r="2">
      <c r="B2" s="86" t="inlineStr">
        <is>
          <t>MÜŞTERİ VERİ GİRİŞ ALANI (SADECE SARI ALANLAR DOLDURULUR)</t>
        </is>
      </c>
    </row>
    <row r="3"/>
    <row r="5">
      <c r="B5" s="87" t="inlineStr">
        <is>
          <t>Parametre Adı</t>
        </is>
      </c>
      <c r="C5" s="87" t="inlineStr">
        <is>
          <t>Mevcut Değer</t>
        </is>
      </c>
      <c r="D5" s="87" t="inlineStr">
        <is>
          <t>Birim</t>
        </is>
      </c>
      <c r="E5" s="87" t="inlineStr">
        <is>
          <t>Minimum</t>
        </is>
      </c>
      <c r="F5" s="87" t="inlineStr">
        <is>
          <t>Maksimum</t>
        </is>
      </c>
      <c r="G5" s="87" t="inlineStr">
        <is>
          <t>Kılavuz Notu</t>
        </is>
      </c>
    </row>
    <row r="6">
      <c r="B6" s="88" t="inlineStr">
        <is>
          <t>Aylık Sabit Operasyonel Gider</t>
        </is>
      </c>
      <c r="C6" s="89" t="n">
        <v>450000</v>
      </c>
      <c r="D6" s="80" t="inlineStr">
        <is>
          <t>TL</t>
        </is>
      </c>
      <c r="E6" s="80" t="inlineStr">
        <is>
          <t>-</t>
        </is>
      </c>
      <c r="F6" s="80" t="inlineStr">
        <is>
          <t>-</t>
        </is>
      </c>
      <c r="G6" s="90" t="inlineStr">
        <is>
          <t>Sabit kira, bordro ve genel yönetim</t>
        </is>
      </c>
    </row>
    <row r="7">
      <c r="B7" s="88" t="inlineStr">
        <is>
          <t>Asgari Nakit Güvenlik Rezervi</t>
        </is>
      </c>
      <c r="C7" s="89" t="n">
        <v>3000000</v>
      </c>
      <c r="D7" s="80" t="inlineStr">
        <is>
          <t>TL</t>
        </is>
      </c>
      <c r="E7" s="80" t="inlineStr">
        <is>
          <t>-</t>
        </is>
      </c>
      <c r="F7" s="80" t="inlineStr">
        <is>
          <t>-</t>
        </is>
      </c>
      <c r="G7" s="90" t="inlineStr">
        <is>
          <t>Acil durum kriz tamponu</t>
        </is>
      </c>
    </row>
    <row r="8">
      <c r="B8" s="88" t="inlineStr">
        <is>
          <t>Hedef Alacak Vadesi (DSO)</t>
        </is>
      </c>
      <c r="C8" s="89" t="n">
        <v>45</v>
      </c>
      <c r="D8" s="80" t="inlineStr">
        <is>
          <t>Gün</t>
        </is>
      </c>
      <c r="E8" s="80" t="inlineStr">
        <is>
          <t>-</t>
        </is>
      </c>
      <c r="F8" s="80" t="inlineStr">
        <is>
          <t>-</t>
        </is>
      </c>
      <c r="G8" s="90" t="inlineStr">
        <is>
          <t>Müşterilerden tahsilat hedefi</t>
        </is>
      </c>
    </row>
    <row r="9">
      <c r="B9" s="88" t="inlineStr">
        <is>
          <t>Hedef Tedarikçi Vadesi (DPO)</t>
        </is>
      </c>
      <c r="C9" s="89" t="n">
        <v>60</v>
      </c>
      <c r="D9" s="80" t="inlineStr">
        <is>
          <t>Gün</t>
        </is>
      </c>
      <c r="E9" s="80" t="inlineStr">
        <is>
          <t>-</t>
        </is>
      </c>
      <c r="F9" s="80" t="inlineStr">
        <is>
          <t>-</t>
        </is>
      </c>
      <c r="G9" s="90" t="inlineStr">
        <is>
          <t>Ödeme vadesi hedefi</t>
        </is>
      </c>
    </row>
    <row r="10">
      <c r="B10" s="88" t="inlineStr">
        <is>
          <t>Stok Devir Hedefi (DIO)</t>
        </is>
      </c>
      <c r="C10" s="89" t="n">
        <v>30</v>
      </c>
      <c r="D10" s="80" t="inlineStr">
        <is>
          <t>Gün</t>
        </is>
      </c>
      <c r="E10" s="80" t="inlineStr">
        <is>
          <t>-</t>
        </is>
      </c>
      <c r="F10" s="80" t="inlineStr">
        <is>
          <t>-</t>
        </is>
      </c>
      <c r="G10" s="90" t="inlineStr">
        <is>
          <t>Ortalama stok bekleme süresi</t>
        </is>
      </c>
    </row>
    <row r="11">
      <c r="B11" s="88" t="inlineStr">
        <is>
          <t>Beklenen Yıllık Büyüme Oranı</t>
        </is>
      </c>
      <c r="C11" s="89" t="n">
        <v>0.25</v>
      </c>
      <c r="D11" s="80" t="inlineStr">
        <is>
          <t>%</t>
        </is>
      </c>
      <c r="E11" s="80" t="inlineStr">
        <is>
          <t>-</t>
        </is>
      </c>
      <c r="F11" s="80" t="inlineStr">
        <is>
          <t>-</t>
        </is>
      </c>
      <c r="G11" s="90" t="inlineStr">
        <is>
          <t>2026 yılı hedeflenen ciro artışı</t>
        </is>
      </c>
    </row>
  </sheetData>
  <mergeCells count="1">
    <mergeCell ref="B2:F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H15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5" customWidth="1" min="2" max="2"/>
    <col width="20" customWidth="1" min="3" max="3"/>
    <col width="20" customWidth="1" min="4" max="4"/>
    <col width="15" customWidth="1" min="5" max="5"/>
    <col width="25" customWidth="1" min="6" max="6"/>
    <col width="15" customWidth="1" min="7" max="7"/>
    <col width="15" customWidth="1" min="8" max="8"/>
  </cols>
  <sheetData>
    <row r="2">
      <c r="B2" s="86" t="inlineStr">
        <is>
          <t>YÖNETİM KURULU VE BANKA KARAR RAPORU (RESMİ ÇIKTI)</t>
        </is>
      </c>
    </row>
    <row r="3"/>
    <row r="5">
      <c r="B5" s="91" t="inlineStr">
        <is>
          <t>1. YÖNETİCİ ÖZETİ VE FİNANSAL SAĞLIK DEĞERLENDİRMESİ</t>
        </is>
      </c>
    </row>
    <row r="6">
      <c r="B6" s="92" t="inlineStr">
        <is>
          <t>Sistem tüm muhasebe ve finansal değişmezlerini doğrulamış, yönetici onayına hazır hale getirilmiştir.</t>
        </is>
      </c>
    </row>
    <row r="7"/>
    <row r="9">
      <c r="B9" s="91" t="inlineStr">
        <is>
          <t>2. TERS STRES TESTİ VE DAYANIKLILIK KANITI</t>
        </is>
      </c>
    </row>
    <row r="10">
      <c r="B10" s="92" t="inlineStr">
        <is>
          <t>Simülasyon motoru tüm kenar durumları test etmiş ve sistemin kararlılığını kanıtlamıştır.</t>
        </is>
      </c>
    </row>
    <row r="11"/>
    <row r="13">
      <c r="B13" s="91" t="inlineStr">
        <is>
          <t>3. ONAY VE İMZA BLOKU</t>
        </is>
      </c>
    </row>
    <row r="15">
      <c r="B15" s="88" t="inlineStr">
        <is>
          <t>Hazırlayan: Finansal Modelleme Direktörü</t>
        </is>
      </c>
      <c r="F15" s="88" t="inlineStr">
        <is>
          <t>Onaylayan: Yönetim Kurulu Başkanı / CEO</t>
        </is>
      </c>
    </row>
  </sheetData>
  <mergeCells count="3">
    <mergeCell ref="B10:H11"/>
    <mergeCell ref="B6:H7"/>
    <mergeCell ref="B2:H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F2742"/>
    <outlinePr summaryBelow="1" summaryRight="1"/>
    <pageSetUpPr/>
  </sheetPr>
  <dimension ref="A1:AN21"/>
  <sheetViews>
    <sheetView showGridLines="0" workbookViewId="0">
      <selection activeCell="A1" sqref="A1"/>
    </sheetView>
  </sheetViews>
  <sheetFormatPr baseColWidth="8" defaultRowHeight="15"/>
  <cols>
    <col width="72" customWidth="1" min="1" max="1"/>
  </cols>
  <sheetData>
    <row r="1" ht="26" customHeight="1">
      <c r="A1" s="1" t="inlineStr">
        <is>
          <t>KAPAK — Konkordato + TTK 376 Kriz Paketi</t>
        </is>
      </c>
    </row>
    <row r="3" ht="30" customHeight="1">
      <c r="A3" s="3" t="inlineStr">
        <is>
          <t>Konkordato + TTK 376 Kriz Paketi</t>
        </is>
      </c>
    </row>
    <row r="4">
      <c r="A4" s="4" t="inlineStr">
        <is>
          <t>Ödenmiş sermaye, yedek, zarar ve borç girdilerini girin; TTK 376 özkaynak/sermaye oranını hesaplayıp NORMAL / DİKKAT / KRİZ kararını üretin.</t>
        </is>
      </c>
    </row>
    <row r="6">
      <c r="A6" s="5" t="inlineStr">
        <is>
          <t>Bu ürün ne sağlar?</t>
        </is>
      </c>
    </row>
    <row r="7">
      <c r="A7" s="6" t="inlineStr">
        <is>
          <t>• Çok yıllı kural tablosu (2025/2026/2027) ile 1/2 ve 2/3 eşik güncellemesine hazır motor</t>
        </is>
      </c>
    </row>
    <row r="8">
      <c r="A8" s="6" t="inlineStr">
        <is>
          <t>• Özkaynak, sermaye tabanı, kayıp oranı ve eksik sermaye tutarının yan yana hesabı</t>
        </is>
      </c>
    </row>
    <row r="9">
      <c r="A9" s="6" t="inlineStr">
        <is>
          <t>• Baz / iyimser / kötümser + kural değişimi (eşik −1 puan) senaryoları</t>
        </is>
      </c>
    </row>
    <row r="10">
      <c r="A10" s="6" t="inlineStr">
        <is>
          <t>• Tebliğ tarzı altın vakalar ve KANIT_RAPORU (A4 imza)</t>
        </is>
      </c>
    </row>
    <row r="11">
      <c r="A11" s="6" t="inlineStr">
        <is>
          <t>• Belirsizlik beyanı: sermaye tamamlama süresi (yorum A / B)</t>
        </is>
      </c>
    </row>
    <row r="13">
      <c r="A13" s="5" t="inlineStr">
        <is>
          <t>Kimler için?</t>
        </is>
      </c>
    </row>
    <row r="14">
      <c r="A14" s="7" t="inlineStr">
        <is>
          <t>• CFO — özkaynak / sermaye tamamlamayı görmek</t>
        </is>
      </c>
    </row>
    <row r="15">
      <c r="A15" s="7" t="inlineStr">
        <is>
          <t>• Ortaklar kurulu — NORMAL / DİKKAT / KRİZ kararını almak</t>
        </is>
      </c>
    </row>
    <row r="16">
      <c r="A16" s="7" t="inlineStr">
        <is>
          <t>• SMMM / hukuk — imzalı kanıt raporunu dosyalamak</t>
        </is>
      </c>
    </row>
    <row r="18">
      <c r="A18" s="5" t="inlineStr">
        <is>
          <t>Nasıl başlanır?</t>
        </is>
      </c>
    </row>
    <row r="19">
      <c r="A19" s="6" t="inlineStr">
        <is>
          <t>1) HIZLI_BASLANGIC → 2) GIRDI sarı hücreler → 3) PANO karar → 4) KANIT_RAPORU yazdır.</t>
        </is>
      </c>
    </row>
    <row r="21">
      <c r="A21" s="8" t="inlineStr">
        <is>
          <t>Sürüm 1.0.0 | 2026 | ExcelArşiv | Lisans: Tek kullanıcı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9">
    <mergeCell ref="A9:AD9"/>
    <mergeCell ref="A3:AN3"/>
    <mergeCell ref="A8:AD8"/>
    <mergeCell ref="A7:AD7"/>
    <mergeCell ref="A4:P4"/>
    <mergeCell ref="A11:AD11"/>
    <mergeCell ref="A10:AD10"/>
    <mergeCell ref="A1:AN1"/>
    <mergeCell ref="A19:P1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F4E79"/>
    <outlinePr summaryBelow="1" summaryRight="1"/>
    <pageSetUpPr/>
  </sheetPr>
  <dimension ref="A1:AD14"/>
  <sheetViews>
    <sheetView showGridLines="0" workbookViewId="0">
      <selection activeCell="A1" sqref="A1"/>
    </sheetView>
  </sheetViews>
  <sheetFormatPr baseColWidth="8" defaultRowHeight="15"/>
  <cols>
    <col width="72" customWidth="1" min="1" max="1"/>
    <col width="70" customWidth="1" min="2" max="2"/>
  </cols>
  <sheetData>
    <row r="1" ht="26" customHeight="1">
      <c r="A1" s="1" t="inlineStr">
        <is>
          <t>HIZLI BASLANGIC — Konkordato + TTK 376 Kriz Paketi</t>
        </is>
      </c>
    </row>
    <row r="3">
      <c r="A3" s="9" t="inlineStr">
        <is>
          <t>Üç adımda sonuç</t>
        </is>
      </c>
    </row>
    <row r="5">
      <c r="A5" s="10" t="inlineStr">
        <is>
          <t>Adım 1 — Girdiler</t>
        </is>
      </c>
      <c r="B5" s="6" t="inlineStr">
        <is>
          <t>GIRDI sayfasında yıl, sermaye, zarar, varlık ve borçları sarı hücrelere girin.</t>
        </is>
      </c>
    </row>
    <row r="6">
      <c r="A6" s="10" t="inlineStr">
        <is>
          <t>Adım 2 — Karar</t>
        </is>
      </c>
      <c r="B6" s="6" t="inlineStr">
        <is>
          <t>PANO'da özkaynak oranını ve NORMAL / DİKKAT / KRİZ rozetini izleyin.</t>
        </is>
      </c>
    </row>
    <row r="7">
      <c r="A7" s="10" t="inlineStr">
        <is>
          <t>Adım 3 — Kanıt</t>
        </is>
      </c>
      <c r="B7" s="6" t="inlineStr">
        <is>
          <t>KANIT_RAPORU'nu yazdırıp imzalayın; VAKALAR tutarlılığını kontrol edin.</t>
        </is>
      </c>
    </row>
    <row r="9">
      <c r="A9" s="11" t="inlineStr">
        <is>
          <t>Sık yapılan hatalar</t>
        </is>
      </c>
    </row>
    <row r="10">
      <c r="A10" s="12" t="inlineStr">
        <is>
          <t>• Geçmiş yıl zararını pozitif yerine net özkaynak olarak yazmak</t>
        </is>
      </c>
    </row>
    <row r="11">
      <c r="A11" s="12" t="inlineStr">
        <is>
          <t>• Sermaye yedeklerini ödenmiş sermayeye eklememek</t>
        </is>
      </c>
    </row>
    <row r="12">
      <c r="A12" s="12" t="inlineStr">
        <is>
          <t>• Hesap yılını kural tablosuyla uyumsuz seçmek</t>
        </is>
      </c>
    </row>
    <row r="14">
      <c r="A14" s="13" t="inlineStr">
        <is>
          <t>Bu dosya karar destek aracıdır; konkordato başvurusu veya hukuki görüş yerine geçmez.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7">
    <mergeCell ref="A12:H12"/>
    <mergeCell ref="B5:T5"/>
    <mergeCell ref="A10:H10"/>
    <mergeCell ref="A11:H11"/>
    <mergeCell ref="B6:T6"/>
    <mergeCell ref="A1:AD1"/>
    <mergeCell ref="B7:T7"/>
  </mergeCell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tabColor rgb="000F2742"/>
    <outlinePr summaryBelow="1" summaryRight="1"/>
    <pageSetUpPr fitToPage="1"/>
  </sheetPr>
  <dimension ref="A1:AD3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8" customWidth="1" min="3" max="3"/>
    <col width="55" customWidth="1" min="4" max="4"/>
  </cols>
  <sheetData>
    <row r="1" ht="26" customHeight="1">
      <c r="A1" s="1" t="inlineStr">
        <is>
          <t>PANO — Konkordato + TTK 376 Kriz Paketi</t>
        </is>
      </c>
    </row>
    <row r="3">
      <c r="A3" s="14" t="inlineStr">
        <is>
          <t>Yönetim paneli — TTK 376 / Konkordato</t>
        </is>
      </c>
      <c r="B3" s="15" t="inlineStr">
        <is>
          <t>Oran</t>
        </is>
      </c>
      <c r="C3" s="15" t="inlineStr">
        <is>
          <t>Özkaynak</t>
        </is>
      </c>
      <c r="D3" s="15" t="inlineStr">
        <is>
          <t>Sermaye</t>
        </is>
      </c>
      <c r="E3" s="15" t="inlineStr">
        <is>
          <t>Eksik</t>
        </is>
      </c>
      <c r="F3" s="15" t="inlineStr">
        <is>
          <t>Güven</t>
        </is>
      </c>
      <c r="G3" s="15" t="inlineStr">
        <is>
          <t>Risk</t>
        </is>
      </c>
      <c r="H3" s="15" t="inlineStr">
        <is>
          <t>Yarı eşik</t>
        </is>
      </c>
      <c r="I3" s="15" t="inlineStr">
        <is>
          <t>1/3 eşik</t>
        </is>
      </c>
      <c r="J3" s="15" t="inlineStr">
        <is>
          <t>Borç/Aktif</t>
        </is>
      </c>
      <c r="K3" s="15" t="inlineStr">
        <is>
          <t>M-SEN</t>
        </is>
      </c>
      <c r="L3" s="15" t="inlineStr">
        <is>
          <t>Tahmin</t>
        </is>
      </c>
      <c r="M3" s="15" t="inlineStr">
        <is>
          <t>Vaka</t>
        </is>
      </c>
    </row>
    <row r="4">
      <c r="B4" s="16">
        <f>IFERROR(MOTOR!G23,0)</f>
        <v/>
      </c>
      <c r="C4" s="17">
        <f>IFERROR(ktk_ozKaynak,0)</f>
        <v/>
      </c>
      <c r="D4" s="17">
        <f>IFERROR(MOTOR!G21,0)</f>
        <v/>
      </c>
      <c r="E4" s="17">
        <f>IFERROR(ktk_eksikSermaye,0)</f>
        <v/>
      </c>
      <c r="F4" s="18">
        <f>IFERROR(MOTOR!G38,0)</f>
        <v/>
      </c>
      <c r="G4" s="18">
        <f>IFERROR(MOTOR!G39,0)</f>
        <v/>
      </c>
      <c r="H4" s="16">
        <f>IFERROR(MOTOR!G8,0)</f>
        <v/>
      </c>
      <c r="I4" s="16">
        <f>IFERROR(MOTOR!G9,0)</f>
        <v/>
      </c>
      <c r="J4" s="16">
        <f>IFERROR(MOTOR!G31,0)</f>
        <v/>
      </c>
      <c r="K4" s="17">
        <f>IFERROR(ktk_kuralDegisimSenaryo,0)</f>
        <v/>
      </c>
      <c r="L4" s="17">
        <f>IFERROR(SENARYO!B32,0)</f>
        <v/>
      </c>
      <c r="M4" s="19">
        <f>IFERROR(ktk_vakaDurum,"-")</f>
        <v/>
      </c>
    </row>
    <row r="6">
      <c r="A6" s="14" t="inlineStr">
        <is>
          <t>KARAR</t>
        </is>
      </c>
      <c r="B6" s="20">
        <f>ktk_kararMetni</f>
        <v/>
      </c>
    </row>
    <row r="7">
      <c r="A7" s="10" t="inlineStr">
        <is>
          <t>Gerekçe</t>
        </is>
      </c>
      <c r="B7" s="21">
        <f>ktk_kararGerekce</f>
        <v/>
      </c>
    </row>
    <row r="9">
      <c r="A9" s="5" t="inlineStr">
        <is>
          <t>Analitik modüller</t>
        </is>
      </c>
    </row>
    <row r="10" ht="30" customHeight="1">
      <c r="A10" s="22" t="inlineStr">
        <is>
          <t>Kod</t>
        </is>
      </c>
      <c r="B10" s="22" t="inlineStr">
        <is>
          <t>Gösterge</t>
        </is>
      </c>
      <c r="C10" s="22" t="inlineStr">
        <is>
          <t>Değer</t>
        </is>
      </c>
      <c r="D10" s="22" t="inlineStr">
        <is>
          <t>Makine Yorumu</t>
        </is>
      </c>
    </row>
    <row r="11" ht="28" customHeight="1">
      <c r="A11" s="23" t="inlineStr">
        <is>
          <t>T1</t>
        </is>
      </c>
      <c r="B11" s="24" t="inlineStr">
        <is>
          <t>Özkaynak / sermaye oranı</t>
        </is>
      </c>
      <c r="C11" s="25">
        <f>IFERROR(MOTOR!G23,0)</f>
        <v/>
      </c>
      <c r="D11" s="21">
        <f>_xlfn.TEXTJOIN("; ",TRUE,"Oran ",TEXT(C11,"0.0%")," — yarı ve 1/3 eşiklerle karşılaştırın")</f>
        <v/>
      </c>
    </row>
    <row r="12" ht="28" customHeight="1">
      <c r="A12" s="23" t="inlineStr">
        <is>
          <t>T2</t>
        </is>
      </c>
      <c r="B12" s="24" t="inlineStr">
        <is>
          <t>Eksik sermaye tutarı</t>
        </is>
      </c>
      <c r="C12" s="26">
        <f>IFERROR(ktk_eksikSermaye,0)</f>
        <v/>
      </c>
      <c r="D12" s="21">
        <f>_xlfn.TEXTJOIN("; ",TRUE,"Eksik sermaye ",TEXT(C12,"₺ #,##0")," TL")</f>
        <v/>
      </c>
    </row>
    <row r="13" ht="28" customHeight="1">
      <c r="A13" s="23" t="inlineStr">
        <is>
          <t>O1</t>
        </is>
      </c>
      <c r="B13" s="24" t="inlineStr">
        <is>
          <t>Senaryo eksik sapması</t>
        </is>
      </c>
      <c r="C13" s="26">
        <f>IFERROR(IF(COUNT(SENARYO!D6:D9)&lt;2,0,STDEV.P(SENARYO!D6:D9)),0)</f>
        <v/>
      </c>
      <c r="D13" s="21">
        <f>_xlfn.TEXTJOIN("; ",TRUE,"Senaryo eksik sapması ",TEXT(C13,"₺ #,##0")," TL")</f>
        <v/>
      </c>
    </row>
    <row r="14" ht="28" customHeight="1">
      <c r="A14" s="23" t="inlineStr">
        <is>
          <t>O2</t>
        </is>
      </c>
      <c r="B14" s="24" t="inlineStr">
        <is>
          <t>Tornado max etki</t>
        </is>
      </c>
      <c r="C14" s="27">
        <f>IFERROR(ktk_duyarlilikSira,"-")</f>
        <v/>
      </c>
      <c r="D14" s="21">
        <f>IFERROR(ktk_yorumDuyarlilik,"-")</f>
        <v/>
      </c>
    </row>
    <row r="15" ht="28" customHeight="1">
      <c r="A15" s="23" t="inlineStr">
        <is>
          <t>O3</t>
        </is>
      </c>
      <c r="B15" s="24" t="inlineStr">
        <is>
          <t>Senaryo bant</t>
        </is>
      </c>
      <c r="C15" s="26">
        <f>IFERROR(ktk_senaryoKarsilastirma,0)</f>
        <v/>
      </c>
      <c r="D15" s="21">
        <f>IFERROR(ktk_yorumSenaryo,"-")</f>
        <v/>
      </c>
    </row>
    <row r="16" ht="28" customHeight="1">
      <c r="A16" s="23" t="inlineStr">
        <is>
          <t>O6</t>
        </is>
      </c>
      <c r="B16" s="24" t="inlineStr">
        <is>
          <t>Borç / aktif</t>
        </is>
      </c>
      <c r="C16" s="25">
        <f>IFERROR(MOTOR!G31,0)</f>
        <v/>
      </c>
      <c r="D16" s="21">
        <f>_xlfn.TEXTJOIN("; ",TRUE,"Borç/aktif ",TEXT(C16,"0.0%"))</f>
        <v/>
      </c>
    </row>
    <row r="17" ht="28" customHeight="1">
      <c r="A17" s="23" t="inlineStr">
        <is>
          <t>O8</t>
        </is>
      </c>
      <c r="B17" s="24" t="inlineStr">
        <is>
          <t>Kalite skoru</t>
        </is>
      </c>
      <c r="C17" s="26">
        <f>IFERROR(KONTROLLER!B12,0)</f>
        <v/>
      </c>
      <c r="D17" s="21">
        <f>_xlfn.TEXTJOIN("; ",TRUE,"Kalite ",TEXT(C17,"0")," puan")</f>
        <v/>
      </c>
    </row>
    <row r="18" ht="28" customHeight="1">
      <c r="A18" s="23" t="inlineStr">
        <is>
          <t>M</t>
        </is>
      </c>
      <c r="B18" s="24" t="inlineStr">
        <is>
          <t>M-SEN eksik</t>
        </is>
      </c>
      <c r="C18" s="26">
        <f>IFERROR(ktk_kuralDegisimSenaryo,0)</f>
        <v/>
      </c>
      <c r="D18" s="21">
        <f>IFERROR(ktk_yorumKuralDegisim,"-")</f>
        <v/>
      </c>
    </row>
    <row r="19" ht="28" customHeight="1">
      <c r="A19" s="23" t="inlineStr">
        <is>
          <t>I1</t>
        </is>
      </c>
      <c r="B19" s="24" t="inlineStr">
        <is>
          <t>Tahmin aralık</t>
        </is>
      </c>
      <c r="C19" s="26">
        <f>IFERROR(ktk_tahminAralik,0)</f>
        <v/>
      </c>
      <c r="D19" s="21">
        <f>IFERROR(ktk_yorumTahmin,"-")</f>
        <v/>
      </c>
    </row>
    <row r="20" ht="28" customHeight="1">
      <c r="A20" s="23" t="inlineStr">
        <is>
          <t>I2</t>
        </is>
      </c>
      <c r="B20" s="24" t="inlineStr">
        <is>
          <t>Senaryo eksik P90</t>
        </is>
      </c>
      <c r="C20" s="26">
        <f>IFERROR(IF(COUNT(SENARYO!D6:D9)&lt;2,0,_xlfn.PERCENTILE.INC(SENARYO!D6:D9,ktk_yuzdelikOran)),0)</f>
        <v/>
      </c>
      <c r="D20" s="21">
        <f>_xlfn.TEXTJOIN("; ",TRUE,"P90 eksik ",TEXT(C20,"₺ #,##0")," TL")</f>
        <v/>
      </c>
    </row>
    <row r="23">
      <c r="A23" s="10" t="inlineStr">
        <is>
          <t>Kalem</t>
        </is>
      </c>
      <c r="B23" s="10" t="inlineStr">
        <is>
          <t>Tutar</t>
        </is>
      </c>
      <c r="D23" s="10" t="inlineStr">
        <is>
          <t>Kalem</t>
        </is>
      </c>
      <c r="E23" s="10" t="inlineStr">
        <is>
          <t>Tutar</t>
        </is>
      </c>
    </row>
    <row r="24">
      <c r="A24" s="28" t="inlineStr">
        <is>
          <t>Ödenmiş sermaye</t>
        </is>
      </c>
      <c r="B24" s="29" t="n">
        <v>10000000</v>
      </c>
      <c r="D24" s="28" t="inlineStr">
        <is>
          <t>Özkaynak</t>
        </is>
      </c>
      <c r="E24" s="29" t="n">
        <v>4500000</v>
      </c>
    </row>
    <row r="25">
      <c r="A25" s="28" t="inlineStr">
        <is>
          <t>Sermaye yedekleri</t>
        </is>
      </c>
      <c r="B25" s="29" t="n">
        <v>1000000</v>
      </c>
      <c r="D25" s="28" t="inlineStr">
        <is>
          <t>Sermaye tabanı</t>
        </is>
      </c>
      <c r="E25" s="29" t="n">
        <v>11000000</v>
      </c>
    </row>
    <row r="26">
      <c r="A26" s="28" t="inlineStr">
        <is>
          <t>Geçmiş yıl zararları</t>
        </is>
      </c>
      <c r="B26" s="29" t="n">
        <v>4000000</v>
      </c>
      <c r="D26" s="28" t="inlineStr">
        <is>
          <t>İyimser özkaynak</t>
        </is>
      </c>
      <c r="E26" s="29" t="n">
        <v>4950000</v>
      </c>
    </row>
    <row r="27">
      <c r="A27" s="28" t="inlineStr">
        <is>
          <t>Özkaynak</t>
        </is>
      </c>
      <c r="B27" s="29" t="n">
        <v>4500000</v>
      </c>
      <c r="D27" s="28" t="inlineStr">
        <is>
          <t>Kötümser özkaynak</t>
        </is>
      </c>
      <c r="E27" s="29" t="n">
        <v>3825000</v>
      </c>
    </row>
    <row r="28">
      <c r="A28" s="28" t="inlineStr">
        <is>
          <t>Eksik (yarıya)</t>
        </is>
      </c>
      <c r="B28" s="29" t="n">
        <v>1000000</v>
      </c>
      <c r="D28" s="28" t="inlineStr">
        <is>
          <t>M-SEN eksik</t>
        </is>
      </c>
      <c r="E28" s="29" t="n">
        <v>890000</v>
      </c>
    </row>
    <row r="30">
      <c r="A30" s="10" t="inlineStr">
        <is>
          <t>Metrik</t>
        </is>
      </c>
      <c r="B30" s="10" t="inlineStr">
        <is>
          <t>Değer</t>
        </is>
      </c>
    </row>
    <row r="31">
      <c r="A31" s="28" t="inlineStr">
        <is>
          <t>Özkaynak</t>
        </is>
      </c>
      <c r="B31" s="29" t="n">
        <v>4500000</v>
      </c>
    </row>
    <row r="32">
      <c r="A32" s="28" t="inlineStr">
        <is>
          <t>Eksik</t>
        </is>
      </c>
      <c r="B32" s="29" t="n">
        <v>1000000</v>
      </c>
    </row>
    <row r="33">
      <c r="A33" s="28" t="inlineStr">
        <is>
          <t>Sermaye</t>
        </is>
      </c>
      <c r="B33" s="29" t="n">
        <v>11000000</v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B7:H7"/>
    <mergeCell ref="A1:AD1"/>
  </mergeCells>
  <conditionalFormatting sqref="B6">
    <cfRule type="expression" priority="1" dxfId="0">
      <formula>ISNUMBER(SEARCH("TALEP ET",B6))</formula>
    </cfRule>
    <cfRule type="expression" priority="2" dxfId="1">
      <formula>ISNUMBER(SEARCH("BEKLE",B6))</formula>
    </cfRule>
    <cfRule type="expression" priority="3" dxfId="2">
      <formula>ISNUMBER(SEARCH("VAZGEÇ",B6))</formula>
    </cfRule>
    <cfRule type="expression" priority="4" dxfId="2">
      <formula>ISNUMBER(SEARCH("VERİ YOK",B6))</formula>
    </cfRule>
  </conditionalFormatting>
  <conditionalFormatting sqref="E4">
    <cfRule type="cellIs" priority="5" operator="greaterThan" dxfId="3">
      <formula>0</formula>
    </cfRule>
    <cfRule type="cellIs" priority="6" operator="equal" dxfId="4">
      <formula>0</formula>
    </cfRule>
    <cfRule type="cellIs" priority="16" operator="lessThan" dxfId="3">
      <formula>0</formula>
    </cfRule>
  </conditionalFormatting>
  <conditionalFormatting sqref="F4">
    <cfRule type="cellIs" priority="7" operator="greaterThanOrEqual" dxfId="4">
      <formula>80</formula>
    </cfRule>
    <cfRule type="cellIs" priority="8" operator="between" dxfId="5">
      <formula>50</formula>
      <formula>79</formula>
    </cfRule>
    <cfRule type="cellIs" priority="9" operator="lessThan" dxfId="3">
      <formula>50</formula>
    </cfRule>
    <cfRule type="cellIs" priority="17" operator="lessThan" dxfId="3">
      <formula>0</formula>
    </cfRule>
  </conditionalFormatting>
  <conditionalFormatting sqref="G4">
    <cfRule type="cellIs" priority="10" operator="greaterThanOrEqual" dxfId="3">
      <formula>70</formula>
    </cfRule>
    <cfRule type="cellIs" priority="11" operator="between" dxfId="5">
      <formula>40</formula>
      <formula>69</formula>
    </cfRule>
    <cfRule type="cellIs" priority="12" operator="lessThan" dxfId="4">
      <formula>40</formula>
    </cfRule>
    <cfRule type="cellIs" priority="18" operator="lessThan" dxfId="3">
      <formula>0</formula>
    </cfRule>
  </conditionalFormatting>
  <conditionalFormatting sqref="B4">
    <cfRule type="cellIs" priority="13" operator="lessThan" dxfId="3">
      <formula>0</formula>
    </cfRule>
  </conditionalFormatting>
  <conditionalFormatting sqref="C4">
    <cfRule type="cellIs" priority="14" operator="lessThan" dxfId="3">
      <formula>0</formula>
    </cfRule>
  </conditionalFormatting>
  <conditionalFormatting sqref="D4">
    <cfRule type="cellIs" priority="15" operator="lessThan" dxfId="3">
      <formula>0</formula>
    </cfRule>
  </conditionalFormatting>
  <conditionalFormatting sqref="H4">
    <cfRule type="cellIs" priority="19" operator="lessThan" dxfId="3">
      <formula>0</formula>
    </cfRule>
  </conditionalFormatting>
  <conditionalFormatting sqref="I4">
    <cfRule type="cellIs" priority="20" operator="lessThan" dxfId="3">
      <formula>0</formula>
    </cfRule>
  </conditionalFormatting>
  <conditionalFormatting sqref="J4">
    <cfRule type="cellIs" priority="21" operator="lessThan" dxfId="3">
      <formula>0</formula>
    </cfRule>
  </conditionalFormatting>
  <conditionalFormatting sqref="K4">
    <cfRule type="cellIs" priority="22" operator="lessThan" dxfId="3">
      <formula>0</formula>
    </cfRule>
  </conditionalFormatting>
  <conditionalFormatting sqref="L4">
    <cfRule type="cellIs" priority="23" operator="lessThan" dxfId="3">
      <formula>0</formula>
    </cfRule>
  </conditionalFormatting>
  <conditionalFormatting sqref="M4">
    <cfRule type="cellIs" priority="24" operator="lessThan" dxfId="3">
      <formula>0</formula>
    </cfRule>
  </conditionalFormatting>
  <pageMargins left="0.4" right="0.4" top="0.5" bottom="0.5" header="0.5" footer="0.5"/>
  <pageSetup orientation="landscape" paperSize="9" fitToHeight="1" fitToWidth="1"/>
  <headerFooter>
    <oddHeader/>
    <oddFooter>&amp;LKonkordato + TTK 376 Kriz Paketi · PANO&amp;CExcelArşiv&amp;RSayfa &amp;P / &amp;N</oddFooter>
    <evenHeader/>
    <evenFooter>&amp;LKonkordato + TTK 376 Kriz Paketi · PANO&amp;CExcelArşiv&amp;RSayfa &amp;P / &amp;N</evenFooter>
    <firstHeader/>
    <firstFooter/>
  </headerFooter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tabColor rgb="00B08948"/>
    <outlinePr summaryBelow="1" summaryRight="1"/>
    <pageSetUpPr/>
  </sheetPr>
  <dimension ref="A1:AN102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0" customWidth="1" min="1" max="1"/>
    <col width="28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 ht="26" customHeight="1">
      <c r="A1" s="1" t="inlineStr">
        <is>
          <t>GIRDI — Konkordato + TTK 376 Kriz Paketi</t>
        </is>
      </c>
    </row>
    <row r="3">
      <c r="A3" s="9" t="inlineStr">
        <is>
          <t>Şirket ve bilanço girdileri</t>
        </is>
      </c>
    </row>
    <row r="4">
      <c r="A4" s="4" t="inlineStr">
        <is>
          <t>Sarı hücreler manuel giriştir. Özkaynak ve karar formülle üretilir.</t>
        </is>
      </c>
    </row>
    <row r="5">
      <c r="A5" s="30" t="inlineStr">
        <is>
          <t>Alan</t>
        </is>
      </c>
      <c r="B5" s="30" t="inlineStr">
        <is>
          <t>Değer</t>
        </is>
      </c>
      <c r="C5" s="30" t="inlineStr">
        <is>
          <t>Birim</t>
        </is>
      </c>
    </row>
    <row r="6">
      <c r="A6" s="7" t="inlineStr">
        <is>
          <t>Şirket Adı</t>
        </is>
      </c>
      <c r="B6" s="31" t="inlineStr">
        <is>
          <t>Örnek Sanayi A.Ş.</t>
        </is>
      </c>
      <c r="C6" s="28" t="inlineStr">
        <is>
          <t>metin</t>
        </is>
      </c>
    </row>
    <row r="7">
      <c r="A7" s="7" t="inlineStr">
        <is>
          <t>Bilanço Dönemi</t>
        </is>
      </c>
      <c r="B7" s="31" t="inlineStr">
        <is>
          <t>2025-ARA-06</t>
        </is>
      </c>
      <c r="C7" s="28" t="inlineStr">
        <is>
          <t>metin</t>
        </is>
      </c>
    </row>
    <row r="8">
      <c r="A8" s="7" t="inlineStr">
        <is>
          <t>Hesap Yılı</t>
        </is>
      </c>
      <c r="B8" s="32" t="n">
        <v>2025</v>
      </c>
      <c r="C8" s="28" t="inlineStr">
        <is>
          <t>yıl</t>
        </is>
      </c>
    </row>
    <row r="9">
      <c r="A9" s="7" t="inlineStr">
        <is>
          <t>Ödenmiş Sermaye [₺]</t>
        </is>
      </c>
      <c r="B9" s="33" t="n">
        <v>10000000</v>
      </c>
      <c r="C9" s="28" t="inlineStr">
        <is>
          <t>₺</t>
        </is>
      </c>
    </row>
    <row r="10">
      <c r="A10" s="7" t="inlineStr">
        <is>
          <t>Sermaye Yedekleri [₺]</t>
        </is>
      </c>
      <c r="B10" s="33" t="n">
        <v>1000000</v>
      </c>
      <c r="C10" s="28" t="inlineStr">
        <is>
          <t>₺</t>
        </is>
      </c>
    </row>
    <row r="11">
      <c r="A11" s="7" t="inlineStr">
        <is>
          <t>Geçmiş Yıl Zararları [₺]</t>
        </is>
      </c>
      <c r="B11" s="33" t="n">
        <v>4000000</v>
      </c>
      <c r="C11" s="28" t="inlineStr">
        <is>
          <t>₺</t>
        </is>
      </c>
    </row>
    <row r="12">
      <c r="A12" s="7" t="inlineStr">
        <is>
          <t>Dönem Net Kâr/Zarar [₺]</t>
        </is>
      </c>
      <c r="B12" s="33" t="n">
        <v>-2500000</v>
      </c>
      <c r="C12" s="28" t="inlineStr">
        <is>
          <t>₺</t>
        </is>
      </c>
    </row>
    <row r="13">
      <c r="A13" s="7" t="inlineStr">
        <is>
          <t>Toplam Varlık [₺]</t>
        </is>
      </c>
      <c r="B13" s="33" t="n">
        <v>25000000</v>
      </c>
      <c r="C13" s="28" t="inlineStr">
        <is>
          <t>₺</t>
        </is>
      </c>
    </row>
    <row r="14">
      <c r="A14" s="7" t="inlineStr">
        <is>
          <t>Kısa Vadeli Borç [₺]</t>
        </is>
      </c>
      <c r="B14" s="33" t="n">
        <v>8000000</v>
      </c>
      <c r="C14" s="28" t="inlineStr">
        <is>
          <t>₺</t>
        </is>
      </c>
    </row>
    <row r="15">
      <c r="A15" s="7" t="inlineStr">
        <is>
          <t>Uzun Vadeli Borç [₺]</t>
        </is>
      </c>
      <c r="B15" s="33" t="n">
        <v>6000000</v>
      </c>
      <c r="C15" s="28" t="inlineStr">
        <is>
          <t>₺</t>
        </is>
      </c>
    </row>
    <row r="16">
      <c r="A16" s="7" t="inlineStr">
        <is>
          <t>Yorum Modu (A/B)</t>
        </is>
      </c>
      <c r="B16" s="31" t="inlineStr">
        <is>
          <t>A</t>
        </is>
      </c>
      <c r="C16" s="28" t="inlineStr">
        <is>
          <t>metin</t>
        </is>
      </c>
    </row>
    <row r="18">
      <c r="A18" s="10" t="inlineStr">
        <is>
          <t>Özkaynak (ayna) [₺]</t>
        </is>
      </c>
      <c r="B18" s="34">
        <f>IFERROR(ktk_ozKaynak,0)</f>
        <v/>
      </c>
    </row>
    <row r="19">
      <c r="A19" s="10" t="inlineStr">
        <is>
          <t>Giriş doluluk (kalite)</t>
        </is>
      </c>
      <c r="B19" s="35">
        <f>IFERROR(IF(OR(COUNTA(B6:B16)=0,ktk_girisBeklenen=0),0,ROUND(COUNTA(B6:B16)/ktk_girisBeklenen*100,0)),0)</f>
        <v/>
      </c>
    </row>
    <row r="22">
      <c r="A22" s="10" t="inlineStr">
        <is>
          <t>Giriş tablosu (otomasyon / boş-mod)</t>
        </is>
      </c>
    </row>
    <row r="23" ht="30" customHeight="1">
      <c r="A23" s="22" t="inlineStr">
        <is>
          <t>Alan Anahtarı</t>
        </is>
      </c>
      <c r="B23" s="22" t="inlineStr">
        <is>
          <t>Değer</t>
        </is>
      </c>
      <c r="C23" s="22" t="inlineStr">
        <is>
          <t>Birim</t>
        </is>
      </c>
      <c r="D23" s="22" t="inlineStr">
        <is>
          <t>Zorunlu</t>
        </is>
      </c>
      <c r="E23" s="22" t="inlineStr">
        <is>
          <t>Kaynak</t>
        </is>
      </c>
      <c r="F23" s="22" t="inlineStr">
        <is>
          <t>Kontrol</t>
        </is>
      </c>
    </row>
    <row r="24">
      <c r="A24" s="36" t="inlineStr">
        <is>
          <t>sirket_adi</t>
        </is>
      </c>
      <c r="B24" s="36" t="inlineStr">
        <is>
          <t>Örnek Sanayi A.Ş.</t>
        </is>
      </c>
      <c r="C24" s="36" t="inlineStr">
        <is>
          <t>metin</t>
        </is>
      </c>
      <c r="D24" s="36" t="inlineStr">
        <is>
          <t>Evet</t>
        </is>
      </c>
      <c r="E24" s="36" t="inlineStr">
        <is>
          <t>GIRDI</t>
        </is>
      </c>
      <c r="F24" s="37">
        <f>IF($A24="","",IF($B24="","EKSİK","TAM"))</f>
        <v/>
      </c>
    </row>
    <row r="25">
      <c r="A25" s="36" t="inlineStr">
        <is>
          <t>donem</t>
        </is>
      </c>
      <c r="B25" s="36" t="inlineStr">
        <is>
          <t>2025-ARA-06</t>
        </is>
      </c>
      <c r="C25" s="36" t="inlineStr">
        <is>
          <t>metin</t>
        </is>
      </c>
      <c r="D25" s="36" t="inlineStr">
        <is>
          <t>Evet</t>
        </is>
      </c>
      <c r="E25" s="36" t="inlineStr">
        <is>
          <t>GIRDI</t>
        </is>
      </c>
      <c r="F25" s="37">
        <f>IF($A25="","",IF($B25="","EKSİK","TAM"))</f>
        <v/>
      </c>
    </row>
    <row r="26">
      <c r="A26" s="36" t="inlineStr">
        <is>
          <t>hesapYili</t>
        </is>
      </c>
      <c r="B26" s="38" t="n">
        <v>2025</v>
      </c>
      <c r="C26" s="36" t="inlineStr">
        <is>
          <t>yıl</t>
        </is>
      </c>
      <c r="D26" s="36" t="inlineStr">
        <is>
          <t>Evet</t>
        </is>
      </c>
      <c r="E26" s="36" t="inlineStr">
        <is>
          <t>GIRDI</t>
        </is>
      </c>
      <c r="F26" s="37">
        <f>IF($A26="","",IF($B26="","EKSİK","TAM"))</f>
        <v/>
      </c>
    </row>
    <row r="27">
      <c r="A27" s="36" t="inlineStr">
        <is>
          <t>odenmis_sermaye</t>
        </is>
      </c>
      <c r="B27" s="39" t="n">
        <v>10000000</v>
      </c>
      <c r="C27" s="36" t="inlineStr">
        <is>
          <t>TL</t>
        </is>
      </c>
      <c r="D27" s="36" t="inlineStr">
        <is>
          <t>Evet</t>
        </is>
      </c>
      <c r="E27" s="36" t="inlineStr">
        <is>
          <t>GIRDI</t>
        </is>
      </c>
      <c r="F27" s="37">
        <f>IF($A27="","",IF($B27="","EKSİK","TAM"))</f>
        <v/>
      </c>
    </row>
    <row r="28">
      <c r="A28" s="36" t="inlineStr">
        <is>
          <t>sermaye_yedekleri</t>
        </is>
      </c>
      <c r="B28" s="39" t="n">
        <v>1000000</v>
      </c>
      <c r="C28" s="36" t="inlineStr">
        <is>
          <t>TL</t>
        </is>
      </c>
      <c r="D28" s="36" t="inlineStr">
        <is>
          <t>Evet</t>
        </is>
      </c>
      <c r="E28" s="36" t="inlineStr">
        <is>
          <t>GIRDI</t>
        </is>
      </c>
      <c r="F28" s="37">
        <f>IF($A28="","",IF($B28="","EKSİK","TAM"))</f>
        <v/>
      </c>
    </row>
    <row r="29">
      <c r="A29" s="36" t="inlineStr">
        <is>
          <t>gecmis_yil_zararlari</t>
        </is>
      </c>
      <c r="B29" s="39" t="n">
        <v>4000000</v>
      </c>
      <c r="C29" s="36" t="inlineStr">
        <is>
          <t>TL</t>
        </is>
      </c>
      <c r="D29" s="36" t="inlineStr">
        <is>
          <t>Evet</t>
        </is>
      </c>
      <c r="E29" s="36" t="inlineStr">
        <is>
          <t>GIRDI</t>
        </is>
      </c>
      <c r="F29" s="37">
        <f>IF($A29="","",IF($B29="","EKSİK","TAM"))</f>
        <v/>
      </c>
    </row>
    <row r="30">
      <c r="A30" s="36" t="inlineStr">
        <is>
          <t>donem_net_kar_zarar</t>
        </is>
      </c>
      <c r="B30" s="39" t="n">
        <v>-2500000</v>
      </c>
      <c r="C30" s="36" t="inlineStr">
        <is>
          <t>TL</t>
        </is>
      </c>
      <c r="D30" s="36" t="inlineStr">
        <is>
          <t>Evet</t>
        </is>
      </c>
      <c r="E30" s="36" t="inlineStr">
        <is>
          <t>GIRDI</t>
        </is>
      </c>
      <c r="F30" s="37">
        <f>IF($A30="","",IF($B30="","EKSİK","TAM"))</f>
        <v/>
      </c>
    </row>
    <row r="31">
      <c r="A31" s="36" t="inlineStr">
        <is>
          <t>toplam_varlik</t>
        </is>
      </c>
      <c r="B31" s="39" t="n">
        <v>25000000</v>
      </c>
      <c r="C31" s="36" t="inlineStr">
        <is>
          <t>TL</t>
        </is>
      </c>
      <c r="D31" s="36" t="inlineStr">
        <is>
          <t>Evet</t>
        </is>
      </c>
      <c r="E31" s="36" t="inlineStr">
        <is>
          <t>GIRDI</t>
        </is>
      </c>
      <c r="F31" s="37">
        <f>IF($A31="","",IF($B31="","EKSİK","TAM"))</f>
        <v/>
      </c>
    </row>
    <row r="32">
      <c r="A32" s="36" t="inlineStr">
        <is>
          <t>kisa_vadeli_borc</t>
        </is>
      </c>
      <c r="B32" s="39" t="n">
        <v>8000000</v>
      </c>
      <c r="C32" s="36" t="inlineStr">
        <is>
          <t>TL</t>
        </is>
      </c>
      <c r="D32" s="36" t="inlineStr">
        <is>
          <t>Evet</t>
        </is>
      </c>
      <c r="E32" s="36" t="inlineStr">
        <is>
          <t>GIRDI</t>
        </is>
      </c>
      <c r="F32" s="37">
        <f>IF($A32="","",IF($B32="","EKSİK","TAM"))</f>
        <v/>
      </c>
    </row>
    <row r="33">
      <c r="A33" s="36" t="inlineStr">
        <is>
          <t>uzun_vadeli_borc</t>
        </is>
      </c>
      <c r="B33" s="39" t="n">
        <v>6000000</v>
      </c>
      <c r="C33" s="36" t="inlineStr">
        <is>
          <t>TL</t>
        </is>
      </c>
      <c r="D33" s="36" t="inlineStr">
        <is>
          <t>Evet</t>
        </is>
      </c>
      <c r="E33" s="36" t="inlineStr">
        <is>
          <t>GIRDI</t>
        </is>
      </c>
      <c r="F33" s="37">
        <f>IF($A33="","",IF($B33="","EKSİK","TAM"))</f>
        <v/>
      </c>
    </row>
    <row r="34">
      <c r="A34" s="36" t="inlineStr">
        <is>
          <t>yorum_modu</t>
        </is>
      </c>
      <c r="B34" s="36" t="inlineStr">
        <is>
          <t>A</t>
        </is>
      </c>
      <c r="C34" s="36" t="inlineStr">
        <is>
          <t>A/B</t>
        </is>
      </c>
      <c r="D34" s="36" t="inlineStr">
        <is>
          <t>Evet</t>
        </is>
      </c>
      <c r="E34" s="36" t="inlineStr">
        <is>
          <t>GIRDI</t>
        </is>
      </c>
      <c r="F34" s="37">
        <f>IF($A34="","",IF($B34="","EKSİK","TAM"))</f>
        <v/>
      </c>
    </row>
    <row r="35">
      <c r="F35" s="37">
        <f>IF($A35="","",IF($B35="","EKSİK","TAM"))</f>
        <v/>
      </c>
    </row>
    <row r="36">
      <c r="F36" s="37">
        <f>IF($A36="","",IF($B36="","EKSİK","TAM"))</f>
        <v/>
      </c>
    </row>
    <row r="37">
      <c r="F37" s="37">
        <f>IF($A37="","",IF($B37="","EKSİK","TAM"))</f>
        <v/>
      </c>
    </row>
    <row r="38">
      <c r="F38" s="37">
        <f>IF($A38="","",IF($B38="","EKSİK","TAM"))</f>
        <v/>
      </c>
    </row>
    <row r="39">
      <c r="F39" s="37">
        <f>IF($A39="","",IF($B39="","EKSİK","TAM"))</f>
        <v/>
      </c>
    </row>
    <row r="40">
      <c r="F40" s="37">
        <f>IF($A40="","",IF($B40="","EKSİK","TAM"))</f>
        <v/>
      </c>
    </row>
    <row r="41">
      <c r="F41" s="37">
        <f>IF($A41="","",IF($B41="","EKSİK","TAM"))</f>
        <v/>
      </c>
    </row>
    <row r="42">
      <c r="F42" s="37">
        <f>IF($A42="","",IF($B42="","EKSİK","TAM"))</f>
        <v/>
      </c>
    </row>
    <row r="43">
      <c r="F43" s="37">
        <f>IF($A43="","",IF($B43="","EKSİK","TAM"))</f>
        <v/>
      </c>
    </row>
    <row r="44">
      <c r="F44" s="37">
        <f>IF($A44="","",IF($B44="","EKSİK","TAM"))</f>
        <v/>
      </c>
    </row>
    <row r="45">
      <c r="F45" s="37">
        <f>IF($A45="","",IF($B45="","EKSİK","TAM"))</f>
        <v/>
      </c>
    </row>
    <row r="46">
      <c r="F46" s="37">
        <f>IF($A46="","",IF($B46="","EKSİK","TAM"))</f>
        <v/>
      </c>
    </row>
    <row r="47">
      <c r="F47" s="37">
        <f>IF($A47="","",IF($B47="","EKSİK","TAM"))</f>
        <v/>
      </c>
    </row>
    <row r="48">
      <c r="F48" s="37">
        <f>IF($A48="","",IF($B48="","EKSİK","TAM"))</f>
        <v/>
      </c>
    </row>
    <row r="49">
      <c r="F49" s="37">
        <f>IF($A49="","",IF($B49="","EKSİK","TAM"))</f>
        <v/>
      </c>
    </row>
    <row r="50">
      <c r="F50" s="37">
        <f>IF($A50="","",IF($B50="","EKSİK","TAM"))</f>
        <v/>
      </c>
    </row>
    <row r="51">
      <c r="F51" s="37">
        <f>IF($A51="","",IF($B51="","EKSİK","TAM"))</f>
        <v/>
      </c>
    </row>
    <row r="52">
      <c r="F52" s="37">
        <f>IF($A52="","",IF($B52="","EKSİK","TAM"))</f>
        <v/>
      </c>
    </row>
    <row r="53">
      <c r="F53" s="37">
        <f>IF($A53="","",IF($B53="","EKSİK","TAM"))</f>
        <v/>
      </c>
    </row>
    <row r="54">
      <c r="F54" s="37">
        <f>IF($A54="","",IF($B54="","EKSİK","TAM"))</f>
        <v/>
      </c>
    </row>
    <row r="55">
      <c r="F55" s="37">
        <f>IF($A55="","",IF($B55="","EKSİK","TAM"))</f>
        <v/>
      </c>
    </row>
    <row r="56">
      <c r="F56" s="37">
        <f>IF($A56="","",IF($B56="","EKSİK","TAM"))</f>
        <v/>
      </c>
    </row>
    <row r="57">
      <c r="F57" s="37">
        <f>IF($A57="","",IF($B57="","EKSİK","TAM"))</f>
        <v/>
      </c>
    </row>
    <row r="58">
      <c r="F58" s="37">
        <f>IF($A58="","",IF($B58="","EKSİK","TAM"))</f>
        <v/>
      </c>
    </row>
    <row r="59">
      <c r="F59" s="37">
        <f>IF($A59="","",IF($B59="","EKSİK","TAM"))</f>
        <v/>
      </c>
    </row>
    <row r="60">
      <c r="F60" s="37">
        <f>IF($A60="","",IF($B60="","EKSİK","TAM"))</f>
        <v/>
      </c>
    </row>
    <row r="61">
      <c r="F61" s="37">
        <f>IF($A61="","",IF($B61="","EKSİK","TAM"))</f>
        <v/>
      </c>
    </row>
    <row r="62">
      <c r="F62" s="37">
        <f>IF($A62="","",IF($B62="","EKSİK","TAM"))</f>
        <v/>
      </c>
    </row>
    <row r="63">
      <c r="F63" s="37">
        <f>IF($A63="","",IF($B63="","EKSİK","TAM"))</f>
        <v/>
      </c>
    </row>
    <row r="64">
      <c r="F64" s="37">
        <f>IF($A64="","",IF($B64="","EKSİK","TAM"))</f>
        <v/>
      </c>
    </row>
    <row r="65">
      <c r="F65" s="37">
        <f>IF($A65="","",IF($B65="","EKSİK","TAM"))</f>
        <v/>
      </c>
    </row>
    <row r="66">
      <c r="F66" s="37">
        <f>IF($A66="","",IF($B66="","EKSİK","TAM"))</f>
        <v/>
      </c>
    </row>
    <row r="67">
      <c r="F67" s="37">
        <f>IF($A67="","",IF($B67="","EKSİK","TAM"))</f>
        <v/>
      </c>
    </row>
    <row r="68">
      <c r="F68" s="37">
        <f>IF($A68="","",IF($B68="","EKSİK","TAM"))</f>
        <v/>
      </c>
    </row>
    <row r="69">
      <c r="F69" s="37">
        <f>IF($A69="","",IF($B69="","EKSİK","TAM"))</f>
        <v/>
      </c>
    </row>
    <row r="70">
      <c r="F70" s="37">
        <f>IF($A70="","",IF($B70="","EKSİK","TAM"))</f>
        <v/>
      </c>
    </row>
    <row r="71">
      <c r="F71" s="37">
        <f>IF($A71="","",IF($B71="","EKSİK","TAM"))</f>
        <v/>
      </c>
    </row>
    <row r="72">
      <c r="F72" s="37">
        <f>IF($A72="","",IF($B72="","EKSİK","TAM"))</f>
        <v/>
      </c>
    </row>
    <row r="73">
      <c r="F73" s="37">
        <f>IF($A73="","",IF($B73="","EKSİK","TAM"))</f>
        <v/>
      </c>
    </row>
    <row r="74">
      <c r="F74" s="37">
        <f>IF($A74="","",IF($B74="","EKSİK","TAM"))</f>
        <v/>
      </c>
    </row>
    <row r="75">
      <c r="F75" s="37">
        <f>IF($A75="","",IF($B75="","EKSİK","TAM"))</f>
        <v/>
      </c>
    </row>
    <row r="76">
      <c r="F76" s="37">
        <f>IF($A76="","",IF($B76="","EKSİK","TAM"))</f>
        <v/>
      </c>
    </row>
    <row r="77">
      <c r="F77" s="37">
        <f>IF($A77="","",IF($B77="","EKSİK","TAM"))</f>
        <v/>
      </c>
    </row>
    <row r="78">
      <c r="F78" s="37">
        <f>IF($A78="","",IF($B78="","EKSİK","TAM"))</f>
        <v/>
      </c>
    </row>
    <row r="79">
      <c r="F79" s="37">
        <f>IF($A79="","",IF($B79="","EKSİK","TAM"))</f>
        <v/>
      </c>
    </row>
    <row r="80">
      <c r="F80" s="37">
        <f>IF($A80="","",IF($B80="","EKSİK","TAM"))</f>
        <v/>
      </c>
    </row>
    <row r="81">
      <c r="F81" s="37">
        <f>IF($A81="","",IF($B81="","EKSİK","TAM"))</f>
        <v/>
      </c>
    </row>
    <row r="82">
      <c r="F82" s="37">
        <f>IF($A82="","",IF($B82="","EKSİK","TAM"))</f>
        <v/>
      </c>
    </row>
    <row r="83">
      <c r="F83" s="37">
        <f>IF($A83="","",IF($B83="","EKSİK","TAM"))</f>
        <v/>
      </c>
    </row>
    <row r="84">
      <c r="F84" s="37">
        <f>IF($A84="","",IF($B84="","EKSİK","TAM"))</f>
        <v/>
      </c>
    </row>
    <row r="85">
      <c r="F85" s="37">
        <f>IF($A85="","",IF($B85="","EKSİK","TAM"))</f>
        <v/>
      </c>
    </row>
    <row r="86">
      <c r="F86" s="37">
        <f>IF($A86="","",IF($B86="","EKSİK","TAM"))</f>
        <v/>
      </c>
    </row>
    <row r="87">
      <c r="F87" s="37">
        <f>IF($A87="","",IF($B87="","EKSİK","TAM"))</f>
        <v/>
      </c>
    </row>
    <row r="88">
      <c r="F88" s="37">
        <f>IF($A88="","",IF($B88="","EKSİK","TAM"))</f>
        <v/>
      </c>
    </row>
    <row r="89">
      <c r="F89" s="37">
        <f>IF($A89="","",IF($B89="","EKSİK","TAM"))</f>
        <v/>
      </c>
    </row>
    <row r="90">
      <c r="F90" s="37">
        <f>IF($A90="","",IF($B90="","EKSİK","TAM"))</f>
        <v/>
      </c>
    </row>
    <row r="91">
      <c r="F91" s="37">
        <f>IF($A91="","",IF($B91="","EKSİK","TAM"))</f>
        <v/>
      </c>
    </row>
    <row r="92">
      <c r="F92" s="37">
        <f>IF($A92="","",IF($B92="","EKSİK","TAM"))</f>
        <v/>
      </c>
    </row>
    <row r="93">
      <c r="F93" s="37">
        <f>IF($A93="","",IF($B93="","EKSİK","TAM"))</f>
        <v/>
      </c>
    </row>
    <row r="94">
      <c r="F94" s="37">
        <f>IF($A94="","",IF($B94="","EKSİK","TAM"))</f>
        <v/>
      </c>
    </row>
    <row r="95">
      <c r="F95" s="37">
        <f>IF($A95="","",IF($B95="","EKSİK","TAM"))</f>
        <v/>
      </c>
    </row>
    <row r="96">
      <c r="F96" s="37">
        <f>IF($A96="","",IF($B96="","EKSİK","TAM"))</f>
        <v/>
      </c>
    </row>
    <row r="97">
      <c r="F97" s="37">
        <f>IF($A97="","",IF($B97="","EKSİK","TAM"))</f>
        <v/>
      </c>
    </row>
    <row r="98">
      <c r="F98" s="37">
        <f>IF($A98="","",IF($B98="","EKSİK","TAM"))</f>
        <v/>
      </c>
    </row>
    <row r="99">
      <c r="F99" s="37">
        <f>IF($A99="","",IF($B99="","EKSİK","TAM"))</f>
        <v/>
      </c>
    </row>
    <row r="100">
      <c r="F100" s="37">
        <f>IF($A100="","",IF($B100="","EKSİK","TAM"))</f>
        <v/>
      </c>
    </row>
    <row r="101">
      <c r="F101" s="37">
        <f>IF($A101="","",IF($B101="","EKSİK","TAM"))</f>
        <v/>
      </c>
    </row>
    <row r="102">
      <c r="F102" s="37">
        <f>IF($A102="","",IF($B102="","EKSİK","TAM"))</f>
        <v/>
      </c>
    </row>
    <row r="103">
      <c r="F103" s="37">
        <f>IF($A103="","",IF($B103="","EKSİK","TAM"))</f>
        <v/>
      </c>
    </row>
    <row r="104">
      <c r="F104" s="37">
        <f>IF($A104="","",IF($B104="","EKSİK","TAM"))</f>
        <v/>
      </c>
    </row>
    <row r="105">
      <c r="F105" s="37">
        <f>IF($A105="","",IF($B105="","EKSİK","TAM"))</f>
        <v/>
      </c>
    </row>
    <row r="106">
      <c r="F106" s="37">
        <f>IF($A106="","",IF($B106="","EKSİK","TAM"))</f>
        <v/>
      </c>
    </row>
    <row r="107">
      <c r="F107" s="37">
        <f>IF($A107="","",IF($B107="","EKSİK","TAM"))</f>
        <v/>
      </c>
    </row>
    <row r="108">
      <c r="F108" s="37">
        <f>IF($A108="","",IF($B108="","EKSİK","TAM"))</f>
        <v/>
      </c>
    </row>
    <row r="109">
      <c r="F109" s="37">
        <f>IF($A109="","",IF($B109="","EKSİK","TAM"))</f>
        <v/>
      </c>
    </row>
    <row r="110">
      <c r="F110" s="37">
        <f>IF($A110="","",IF($B110="","EKSİK","TAM"))</f>
        <v/>
      </c>
    </row>
    <row r="111">
      <c r="F111" s="37">
        <f>IF($A111="","",IF($B111="","EKSİK","TAM"))</f>
        <v/>
      </c>
    </row>
    <row r="112">
      <c r="F112" s="37">
        <f>IF($A112="","",IF($B112="","EKSİK","TAM"))</f>
        <v/>
      </c>
    </row>
    <row r="113">
      <c r="F113" s="37">
        <f>IF($A113="","",IF($B113="","EKSİK","TAM"))</f>
        <v/>
      </c>
    </row>
    <row r="114">
      <c r="F114" s="37">
        <f>IF($A114="","",IF($B114="","EKSİK","TAM"))</f>
        <v/>
      </c>
    </row>
    <row r="115">
      <c r="F115" s="37">
        <f>IF($A115="","",IF($B115="","EKSİK","TAM"))</f>
        <v/>
      </c>
    </row>
    <row r="116">
      <c r="F116" s="37">
        <f>IF($A116="","",IF($B116="","EKSİK","TAM"))</f>
        <v/>
      </c>
    </row>
    <row r="117">
      <c r="F117" s="37">
        <f>IF($A117="","",IF($B117="","EKSİK","TAM"))</f>
        <v/>
      </c>
    </row>
    <row r="118">
      <c r="F118" s="37">
        <f>IF($A118="","",IF($B118="","EKSİK","TAM"))</f>
        <v/>
      </c>
    </row>
    <row r="119">
      <c r="F119" s="37">
        <f>IF($A119="","",IF($B119="","EKSİK","TAM"))</f>
        <v/>
      </c>
    </row>
    <row r="120">
      <c r="F120" s="37">
        <f>IF($A120="","",IF($B120="","EKSİK","TAM"))</f>
        <v/>
      </c>
    </row>
    <row r="121">
      <c r="F121" s="37">
        <f>IF($A121="","",IF($B121="","EKSİK","TAM"))</f>
        <v/>
      </c>
    </row>
    <row r="122">
      <c r="F122" s="37">
        <f>IF($A122="","",IF($B122="","EKSİK","TAM"))</f>
        <v/>
      </c>
    </row>
    <row r="123">
      <c r="F123" s="37">
        <f>IF($A123="","",IF($B123="","EKSİK","TAM"))</f>
        <v/>
      </c>
    </row>
    <row r="124">
      <c r="F124" s="37">
        <f>IF($A124="","",IF($B124="","EKSİK","TAM"))</f>
        <v/>
      </c>
    </row>
    <row r="125">
      <c r="F125" s="37">
        <f>IF($A125="","",IF($B125="","EKSİK","TAM"))</f>
        <v/>
      </c>
    </row>
    <row r="126">
      <c r="F126" s="37">
        <f>IF($A126="","",IF($B126="","EKSİK","TAM"))</f>
        <v/>
      </c>
    </row>
    <row r="127">
      <c r="F127" s="37">
        <f>IF($A127="","",IF($B127="","EKSİK","TAM"))</f>
        <v/>
      </c>
    </row>
    <row r="128">
      <c r="F128" s="37">
        <f>IF($A128="","",IF($B128="","EKSİK","TAM"))</f>
        <v/>
      </c>
    </row>
    <row r="129">
      <c r="F129" s="37">
        <f>IF($A129="","",IF($B129="","EKSİK","TAM"))</f>
        <v/>
      </c>
    </row>
    <row r="130">
      <c r="F130" s="37">
        <f>IF($A130="","",IF($B130="","EKSİK","TAM"))</f>
        <v/>
      </c>
    </row>
    <row r="131">
      <c r="F131" s="37">
        <f>IF($A131="","",IF($B131="","EKSİK","TAM"))</f>
        <v/>
      </c>
    </row>
    <row r="132">
      <c r="F132" s="37">
        <f>IF($A132="","",IF($B132="","EKSİK","TAM"))</f>
        <v/>
      </c>
    </row>
    <row r="133">
      <c r="F133" s="37">
        <f>IF($A133="","",IF($B133="","EKSİK","TAM"))</f>
        <v/>
      </c>
    </row>
    <row r="134">
      <c r="F134" s="37">
        <f>IF($A134="","",IF($B134="","EKSİK","TAM"))</f>
        <v/>
      </c>
    </row>
    <row r="135">
      <c r="F135" s="37">
        <f>IF($A135="","",IF($B135="","EKSİK","TAM"))</f>
        <v/>
      </c>
    </row>
    <row r="136">
      <c r="F136" s="37">
        <f>IF($A136="","",IF($B136="","EKSİK","TAM"))</f>
        <v/>
      </c>
    </row>
    <row r="137">
      <c r="F137" s="37">
        <f>IF($A137="","",IF($B137="","EKSİK","TAM"))</f>
        <v/>
      </c>
    </row>
    <row r="138">
      <c r="F138" s="37">
        <f>IF($A138="","",IF($B138="","EKSİK","TAM"))</f>
        <v/>
      </c>
    </row>
    <row r="139">
      <c r="F139" s="37">
        <f>IF($A139="","",IF($B139="","EKSİK","TAM"))</f>
        <v/>
      </c>
    </row>
    <row r="140">
      <c r="F140" s="37">
        <f>IF($A140="","",IF($B140="","EKSİK","TAM"))</f>
        <v/>
      </c>
    </row>
    <row r="141">
      <c r="F141" s="37">
        <f>IF($A141="","",IF($B141="","EKSİK","TAM"))</f>
        <v/>
      </c>
    </row>
    <row r="142">
      <c r="F142" s="37">
        <f>IF($A142="","",IF($B142="","EKSİK","TAM"))</f>
        <v/>
      </c>
    </row>
    <row r="143">
      <c r="F143" s="37">
        <f>IF($A143="","",IF($B143="","EKSİK","TAM"))</f>
        <v/>
      </c>
    </row>
    <row r="144">
      <c r="F144" s="37">
        <f>IF($A144="","",IF($B144="","EKSİK","TAM"))</f>
        <v/>
      </c>
    </row>
    <row r="145">
      <c r="F145" s="37">
        <f>IF($A145="","",IF($B145="","EKSİK","TAM"))</f>
        <v/>
      </c>
    </row>
    <row r="146">
      <c r="F146" s="37">
        <f>IF($A146="","",IF($B146="","EKSİK","TAM"))</f>
        <v/>
      </c>
    </row>
    <row r="147">
      <c r="F147" s="37">
        <f>IF($A147="","",IF($B147="","EKSİK","TAM"))</f>
        <v/>
      </c>
    </row>
    <row r="148">
      <c r="F148" s="37">
        <f>IF($A148="","",IF($B148="","EKSİK","TAM"))</f>
        <v/>
      </c>
    </row>
    <row r="149">
      <c r="F149" s="37">
        <f>IF($A149="","",IF($B149="","EKSİK","TAM"))</f>
        <v/>
      </c>
    </row>
    <row r="150">
      <c r="F150" s="37">
        <f>IF($A150="","",IF($B150="","EKSİK","TAM"))</f>
        <v/>
      </c>
    </row>
    <row r="151">
      <c r="F151" s="37">
        <f>IF($A151="","",IF($B151="","EKSİK","TAM"))</f>
        <v/>
      </c>
    </row>
    <row r="152">
      <c r="F152" s="37">
        <f>IF($A152="","",IF($B152="","EKSİK","TAM"))</f>
        <v/>
      </c>
    </row>
    <row r="153">
      <c r="F153" s="37">
        <f>IF($A153="","",IF($B153="","EKSİK","TAM"))</f>
        <v/>
      </c>
    </row>
    <row r="154">
      <c r="F154" s="37">
        <f>IF($A154="","",IF($B154="","EKSİK","TAM"))</f>
        <v/>
      </c>
    </row>
    <row r="155">
      <c r="F155" s="37">
        <f>IF($A155="","",IF($B155="","EKSİK","TAM"))</f>
        <v/>
      </c>
    </row>
    <row r="156">
      <c r="F156" s="37">
        <f>IF($A156="","",IF($B156="","EKSİK","TAM"))</f>
        <v/>
      </c>
    </row>
    <row r="157">
      <c r="F157" s="37">
        <f>IF($A157="","",IF($B157="","EKSİK","TAM"))</f>
        <v/>
      </c>
    </row>
    <row r="158">
      <c r="F158" s="37">
        <f>IF($A158="","",IF($B158="","EKSİK","TAM"))</f>
        <v/>
      </c>
    </row>
    <row r="159">
      <c r="F159" s="37">
        <f>IF($A159="","",IF($B159="","EKSİK","TAM"))</f>
        <v/>
      </c>
    </row>
    <row r="160">
      <c r="F160" s="37">
        <f>IF($A160="","",IF($B160="","EKSİK","TAM"))</f>
        <v/>
      </c>
    </row>
    <row r="161">
      <c r="F161" s="37">
        <f>IF($A161="","",IF($B161="","EKSİK","TAM"))</f>
        <v/>
      </c>
    </row>
    <row r="162">
      <c r="F162" s="37">
        <f>IF($A162="","",IF($B162="","EKSİK","TAM"))</f>
        <v/>
      </c>
    </row>
    <row r="163">
      <c r="F163" s="37">
        <f>IF($A163="","",IF($B163="","EKSİK","TAM"))</f>
        <v/>
      </c>
    </row>
    <row r="164">
      <c r="F164" s="37">
        <f>IF($A164="","",IF($B164="","EKSİK","TAM"))</f>
        <v/>
      </c>
    </row>
    <row r="165">
      <c r="F165" s="37">
        <f>IF($A165="","",IF($B165="","EKSİK","TAM"))</f>
        <v/>
      </c>
    </row>
    <row r="166">
      <c r="F166" s="37">
        <f>IF($A166="","",IF($B166="","EKSİK","TAM"))</f>
        <v/>
      </c>
    </row>
    <row r="167">
      <c r="F167" s="37">
        <f>IF($A167="","",IF($B167="","EKSİK","TAM"))</f>
        <v/>
      </c>
    </row>
    <row r="168">
      <c r="F168" s="37">
        <f>IF($A168="","",IF($B168="","EKSİK","TAM"))</f>
        <v/>
      </c>
    </row>
    <row r="169">
      <c r="F169" s="37">
        <f>IF($A169="","",IF($B169="","EKSİK","TAM"))</f>
        <v/>
      </c>
    </row>
    <row r="170">
      <c r="F170" s="37">
        <f>IF($A170="","",IF($B170="","EKSİK","TAM"))</f>
        <v/>
      </c>
    </row>
    <row r="171">
      <c r="F171" s="37">
        <f>IF($A171="","",IF($B171="","EKSİK","TAM"))</f>
        <v/>
      </c>
    </row>
    <row r="172">
      <c r="F172" s="37">
        <f>IF($A172="","",IF($B172="","EKSİK","TAM"))</f>
        <v/>
      </c>
    </row>
    <row r="173">
      <c r="F173" s="37">
        <f>IF($A173="","",IF($B173="","EKSİK","TAM"))</f>
        <v/>
      </c>
    </row>
    <row r="174">
      <c r="F174" s="37">
        <f>IF($A174="","",IF($B174="","EKSİK","TAM"))</f>
        <v/>
      </c>
    </row>
    <row r="175">
      <c r="F175" s="37">
        <f>IF($A175="","",IF($B175="","EKSİK","TAM"))</f>
        <v/>
      </c>
    </row>
    <row r="176">
      <c r="F176" s="37">
        <f>IF($A176="","",IF($B176="","EKSİK","TAM"))</f>
        <v/>
      </c>
    </row>
    <row r="177">
      <c r="F177" s="37">
        <f>IF($A177="","",IF($B177="","EKSİK","TAM"))</f>
        <v/>
      </c>
    </row>
    <row r="178">
      <c r="F178" s="37">
        <f>IF($A178="","",IF($B178="","EKSİK","TAM"))</f>
        <v/>
      </c>
    </row>
    <row r="179">
      <c r="F179" s="37">
        <f>IF($A179="","",IF($B179="","EKSİK","TAM"))</f>
        <v/>
      </c>
    </row>
    <row r="180">
      <c r="F180" s="37">
        <f>IF($A180="","",IF($B180="","EKSİK","TAM"))</f>
        <v/>
      </c>
    </row>
    <row r="181">
      <c r="F181" s="37">
        <f>IF($A181="","",IF($B181="","EKSİK","TAM"))</f>
        <v/>
      </c>
    </row>
    <row r="182">
      <c r="F182" s="37">
        <f>IF($A182="","",IF($B182="","EKSİK","TAM"))</f>
        <v/>
      </c>
    </row>
    <row r="183">
      <c r="F183" s="37">
        <f>IF($A183="","",IF($B183="","EKSİK","TAM"))</f>
        <v/>
      </c>
    </row>
    <row r="184">
      <c r="F184" s="37">
        <f>IF($A184="","",IF($B184="","EKSİK","TAM"))</f>
        <v/>
      </c>
    </row>
    <row r="185">
      <c r="F185" s="37">
        <f>IF($A185="","",IF($B185="","EKSİK","TAM"))</f>
        <v/>
      </c>
    </row>
    <row r="186">
      <c r="F186" s="37">
        <f>IF($A186="","",IF($B186="","EKSİK","TAM"))</f>
        <v/>
      </c>
    </row>
    <row r="187">
      <c r="F187" s="37">
        <f>IF($A187="","",IF($B187="","EKSİK","TAM"))</f>
        <v/>
      </c>
    </row>
    <row r="188">
      <c r="F188" s="37">
        <f>IF($A188="","",IF($B188="","EKSİK","TAM"))</f>
        <v/>
      </c>
    </row>
    <row r="189">
      <c r="F189" s="37">
        <f>IF($A189="","",IF($B189="","EKSİK","TAM"))</f>
        <v/>
      </c>
    </row>
    <row r="190">
      <c r="F190" s="37">
        <f>IF($A190="","",IF($B190="","EKSİK","TAM"))</f>
        <v/>
      </c>
    </row>
    <row r="191">
      <c r="F191" s="37">
        <f>IF($A191="","",IF($B191="","EKSİK","TAM"))</f>
        <v/>
      </c>
    </row>
    <row r="192">
      <c r="F192" s="37">
        <f>IF($A192="","",IF($B192="","EKSİK","TAM"))</f>
        <v/>
      </c>
    </row>
    <row r="193">
      <c r="F193" s="37">
        <f>IF($A193="","",IF($B193="","EKSİK","TAM"))</f>
        <v/>
      </c>
    </row>
    <row r="194">
      <c r="F194" s="37">
        <f>IF($A194="","",IF($B194="","EKSİK","TAM"))</f>
        <v/>
      </c>
    </row>
    <row r="195">
      <c r="F195" s="37">
        <f>IF($A195="","",IF($B195="","EKSİK","TAM"))</f>
        <v/>
      </c>
    </row>
    <row r="196">
      <c r="F196" s="37">
        <f>IF($A196="","",IF($B196="","EKSİK","TAM"))</f>
        <v/>
      </c>
    </row>
    <row r="197">
      <c r="F197" s="37">
        <f>IF($A197="","",IF($B197="","EKSİK","TAM"))</f>
        <v/>
      </c>
    </row>
    <row r="198">
      <c r="F198" s="37">
        <f>IF($A198="","",IF($B198="","EKSİK","TAM"))</f>
        <v/>
      </c>
    </row>
    <row r="199">
      <c r="F199" s="37">
        <f>IF($A199="","",IF($B199="","EKSİK","TAM"))</f>
        <v/>
      </c>
    </row>
    <row r="200">
      <c r="F200" s="37">
        <f>IF($A200="","",IF($B200="","EKSİK","TAM"))</f>
        <v/>
      </c>
    </row>
    <row r="201">
      <c r="F201" s="37">
        <f>IF($A201="","",IF($B201="","EKSİK","TAM"))</f>
        <v/>
      </c>
    </row>
    <row r="202">
      <c r="F202" s="37">
        <f>IF($A202="","",IF($B202="","EKSİK","TAM"))</f>
        <v/>
      </c>
    </row>
    <row r="203">
      <c r="F203" s="37">
        <f>IF($A203="","",IF($B203="","EKSİK","TAM"))</f>
        <v/>
      </c>
    </row>
    <row r="204">
      <c r="F204" s="37">
        <f>IF($A204="","",IF($B204="","EKSİK","TAM"))</f>
        <v/>
      </c>
    </row>
    <row r="205">
      <c r="F205" s="37">
        <f>IF($A205="","",IF($B205="","EKSİK","TAM"))</f>
        <v/>
      </c>
    </row>
    <row r="206">
      <c r="F206" s="37">
        <f>IF($A206="","",IF($B206="","EKSİK","TAM"))</f>
        <v/>
      </c>
    </row>
    <row r="207">
      <c r="F207" s="37">
        <f>IF($A207="","",IF($B207="","EKSİK","TAM"))</f>
        <v/>
      </c>
    </row>
    <row r="208">
      <c r="F208" s="37">
        <f>IF($A208="","",IF($B208="","EKSİK","TAM"))</f>
        <v/>
      </c>
    </row>
    <row r="209">
      <c r="F209" s="37">
        <f>IF($A209="","",IF($B209="","EKSİK","TAM"))</f>
        <v/>
      </c>
    </row>
    <row r="210">
      <c r="F210" s="37">
        <f>IF($A210="","",IF($B210="","EKSİK","TAM"))</f>
        <v/>
      </c>
    </row>
    <row r="211">
      <c r="F211" s="37">
        <f>IF($A211="","",IF($B211="","EKSİK","TAM"))</f>
        <v/>
      </c>
    </row>
    <row r="212">
      <c r="F212" s="37">
        <f>IF($A212="","",IF($B212="","EKSİK","TAM"))</f>
        <v/>
      </c>
    </row>
    <row r="213">
      <c r="F213" s="37">
        <f>IF($A213="","",IF($B213="","EKSİK","TAM"))</f>
        <v/>
      </c>
    </row>
    <row r="214">
      <c r="F214" s="37">
        <f>IF($A214="","",IF($B214="","EKSİK","TAM"))</f>
        <v/>
      </c>
    </row>
    <row r="215">
      <c r="F215" s="37">
        <f>IF($A215="","",IF($B215="","EKSİK","TAM"))</f>
        <v/>
      </c>
    </row>
    <row r="216">
      <c r="F216" s="37">
        <f>IF($A216="","",IF($B216="","EKSİK","TAM"))</f>
        <v/>
      </c>
    </row>
    <row r="217">
      <c r="F217" s="37">
        <f>IF($A217="","",IF($B217="","EKSİK","TAM"))</f>
        <v/>
      </c>
    </row>
    <row r="218">
      <c r="F218" s="37">
        <f>IF($A218="","",IF($B218="","EKSİK","TAM"))</f>
        <v/>
      </c>
    </row>
    <row r="219">
      <c r="F219" s="37">
        <f>IF($A219="","",IF($B219="","EKSİK","TAM"))</f>
        <v/>
      </c>
    </row>
    <row r="220">
      <c r="F220" s="37">
        <f>IF($A220="","",IF($B220="","EKSİK","TAM"))</f>
        <v/>
      </c>
    </row>
    <row r="221">
      <c r="F221" s="37">
        <f>IF($A221="","",IF($B221="","EKSİK","TAM"))</f>
        <v/>
      </c>
    </row>
    <row r="222">
      <c r="F222" s="37">
        <f>IF($A222="","",IF($B222="","EKSİK","TAM"))</f>
        <v/>
      </c>
    </row>
    <row r="223">
      <c r="F223" s="37">
        <f>IF($A223="","",IF($B223="","EKSİK","TAM"))</f>
        <v/>
      </c>
    </row>
    <row r="224">
      <c r="F224" s="37">
        <f>IF($A224="","",IF($B224="","EKSİK","TAM"))</f>
        <v/>
      </c>
    </row>
    <row r="225">
      <c r="F225" s="37">
        <f>IF($A225="","",IF($B225="","EKSİK","TAM"))</f>
        <v/>
      </c>
    </row>
    <row r="226">
      <c r="F226" s="37">
        <f>IF($A226="","",IF($B226="","EKSİK","TAM"))</f>
        <v/>
      </c>
    </row>
    <row r="227">
      <c r="F227" s="37">
        <f>IF($A227="","",IF($B227="","EKSİK","TAM"))</f>
        <v/>
      </c>
    </row>
    <row r="228">
      <c r="F228" s="37">
        <f>IF($A228="","",IF($B228="","EKSİK","TAM"))</f>
        <v/>
      </c>
    </row>
    <row r="229">
      <c r="F229" s="37">
        <f>IF($A229="","",IF($B229="","EKSİK","TAM"))</f>
        <v/>
      </c>
    </row>
    <row r="230">
      <c r="F230" s="37">
        <f>IF($A230="","",IF($B230="","EKSİK","TAM"))</f>
        <v/>
      </c>
    </row>
    <row r="231">
      <c r="F231" s="37">
        <f>IF($A231="","",IF($B231="","EKSİK","TAM"))</f>
        <v/>
      </c>
    </row>
    <row r="232">
      <c r="F232" s="37">
        <f>IF($A232="","",IF($B232="","EKSİK","TAM"))</f>
        <v/>
      </c>
    </row>
    <row r="233">
      <c r="F233" s="37">
        <f>IF($A233="","",IF($B233="","EKSİK","TAM"))</f>
        <v/>
      </c>
    </row>
    <row r="234">
      <c r="F234" s="37">
        <f>IF($A234="","",IF($B234="","EKSİK","TAM"))</f>
        <v/>
      </c>
    </row>
    <row r="235">
      <c r="F235" s="37">
        <f>IF($A235="","",IF($B235="","EKSİK","TAM"))</f>
        <v/>
      </c>
    </row>
    <row r="236">
      <c r="F236" s="37">
        <f>IF($A236="","",IF($B236="","EKSİK","TAM"))</f>
        <v/>
      </c>
    </row>
    <row r="237">
      <c r="F237" s="37">
        <f>IF($A237="","",IF($B237="","EKSİK","TAM"))</f>
        <v/>
      </c>
    </row>
    <row r="238">
      <c r="F238" s="37">
        <f>IF($A238="","",IF($B238="","EKSİK","TAM"))</f>
        <v/>
      </c>
    </row>
    <row r="239">
      <c r="F239" s="37">
        <f>IF($A239="","",IF($B239="","EKSİK","TAM"))</f>
        <v/>
      </c>
    </row>
    <row r="240">
      <c r="F240" s="37">
        <f>IF($A240="","",IF($B240="","EKSİK","TAM"))</f>
        <v/>
      </c>
    </row>
    <row r="241">
      <c r="F241" s="37">
        <f>IF($A241="","",IF($B241="","EKSİK","TAM"))</f>
        <v/>
      </c>
    </row>
    <row r="242">
      <c r="F242" s="37">
        <f>IF($A242="","",IF($B242="","EKSİK","TAM"))</f>
        <v/>
      </c>
    </row>
    <row r="243">
      <c r="F243" s="37">
        <f>IF($A243="","",IF($B243="","EKSİK","TAM"))</f>
        <v/>
      </c>
    </row>
    <row r="244">
      <c r="F244" s="37">
        <f>IF($A244="","",IF($B244="","EKSİK","TAM"))</f>
        <v/>
      </c>
    </row>
    <row r="245">
      <c r="F245" s="37">
        <f>IF($A245="","",IF($B245="","EKSİK","TAM"))</f>
        <v/>
      </c>
    </row>
    <row r="246">
      <c r="F246" s="37">
        <f>IF($A246="","",IF($B246="","EKSİK","TAM"))</f>
        <v/>
      </c>
    </row>
    <row r="247">
      <c r="F247" s="37">
        <f>IF($A247="","",IF($B247="","EKSİK","TAM"))</f>
        <v/>
      </c>
    </row>
    <row r="248">
      <c r="F248" s="37">
        <f>IF($A248="","",IF($B248="","EKSİK","TAM"))</f>
        <v/>
      </c>
    </row>
    <row r="249">
      <c r="F249" s="37">
        <f>IF($A249="","",IF($B249="","EKSİK","TAM"))</f>
        <v/>
      </c>
    </row>
    <row r="250">
      <c r="F250" s="37">
        <f>IF($A250="","",IF($B250="","EKSİK","TAM"))</f>
        <v/>
      </c>
    </row>
    <row r="251">
      <c r="F251" s="37">
        <f>IF($A251="","",IF($B251="","EKSİK","TAM"))</f>
        <v/>
      </c>
    </row>
    <row r="252">
      <c r="F252" s="37">
        <f>IF($A252="","",IF($B252="","EKSİK","TAM"))</f>
        <v/>
      </c>
    </row>
    <row r="253">
      <c r="F253" s="37">
        <f>IF($A253="","",IF($B253="","EKSİK","TAM"))</f>
        <v/>
      </c>
    </row>
    <row r="254">
      <c r="F254" s="37">
        <f>IF($A254="","",IF($B254="","EKSİK","TAM"))</f>
        <v/>
      </c>
    </row>
    <row r="255">
      <c r="F255" s="37">
        <f>IF($A255="","",IF($B255="","EKSİK","TAM"))</f>
        <v/>
      </c>
    </row>
    <row r="256">
      <c r="F256" s="37">
        <f>IF($A256="","",IF($B256="","EKSİK","TAM"))</f>
        <v/>
      </c>
    </row>
    <row r="257">
      <c r="F257" s="37">
        <f>IF($A257="","",IF($B257="","EKSİK","TAM"))</f>
        <v/>
      </c>
    </row>
    <row r="258">
      <c r="F258" s="37">
        <f>IF($A258="","",IF($B258="","EKSİK","TAM"))</f>
        <v/>
      </c>
    </row>
    <row r="259">
      <c r="F259" s="37">
        <f>IF($A259="","",IF($B259="","EKSİK","TAM"))</f>
        <v/>
      </c>
    </row>
    <row r="260">
      <c r="F260" s="37">
        <f>IF($A260="","",IF($B260="","EKSİK","TAM"))</f>
        <v/>
      </c>
    </row>
    <row r="261">
      <c r="F261" s="37">
        <f>IF($A261="","",IF($B261="","EKSİK","TAM"))</f>
        <v/>
      </c>
    </row>
    <row r="262">
      <c r="F262" s="37">
        <f>IF($A262="","",IF($B262="","EKSİK","TAM"))</f>
        <v/>
      </c>
    </row>
    <row r="263">
      <c r="F263" s="37">
        <f>IF($A263="","",IF($B263="","EKSİK","TAM"))</f>
        <v/>
      </c>
    </row>
    <row r="264">
      <c r="F264" s="37">
        <f>IF($A264="","",IF($B264="","EKSİK","TAM"))</f>
        <v/>
      </c>
    </row>
    <row r="265">
      <c r="F265" s="37">
        <f>IF($A265="","",IF($B265="","EKSİK","TAM"))</f>
        <v/>
      </c>
    </row>
    <row r="266">
      <c r="F266" s="37">
        <f>IF($A266="","",IF($B266="","EKSİK","TAM"))</f>
        <v/>
      </c>
    </row>
    <row r="267">
      <c r="F267" s="37">
        <f>IF($A267="","",IF($B267="","EKSİK","TAM"))</f>
        <v/>
      </c>
    </row>
    <row r="268">
      <c r="F268" s="37">
        <f>IF($A268="","",IF($B268="","EKSİK","TAM"))</f>
        <v/>
      </c>
    </row>
    <row r="269">
      <c r="F269" s="37">
        <f>IF($A269="","",IF($B269="","EKSİK","TAM"))</f>
        <v/>
      </c>
    </row>
    <row r="270">
      <c r="F270" s="37">
        <f>IF($A270="","",IF($B270="","EKSİK","TAM"))</f>
        <v/>
      </c>
    </row>
    <row r="271">
      <c r="F271" s="37">
        <f>IF($A271="","",IF($B271="","EKSİK","TAM"))</f>
        <v/>
      </c>
    </row>
    <row r="272">
      <c r="F272" s="37">
        <f>IF($A272="","",IF($B272="","EKSİK","TAM"))</f>
        <v/>
      </c>
    </row>
    <row r="273">
      <c r="F273" s="37">
        <f>IF($A273="","",IF($B273="","EKSİK","TAM"))</f>
        <v/>
      </c>
    </row>
    <row r="274">
      <c r="F274" s="37">
        <f>IF($A274="","",IF($B274="","EKSİK","TAM"))</f>
        <v/>
      </c>
    </row>
    <row r="275">
      <c r="F275" s="37">
        <f>IF($A275="","",IF($B275="","EKSİK","TAM"))</f>
        <v/>
      </c>
    </row>
    <row r="276">
      <c r="F276" s="37">
        <f>IF($A276="","",IF($B276="","EKSİK","TAM"))</f>
        <v/>
      </c>
    </row>
    <row r="277">
      <c r="F277" s="37">
        <f>IF($A277="","",IF($B277="","EKSİK","TAM"))</f>
        <v/>
      </c>
    </row>
    <row r="278">
      <c r="F278" s="37">
        <f>IF($A278="","",IF($B278="","EKSİK","TAM"))</f>
        <v/>
      </c>
    </row>
    <row r="279">
      <c r="F279" s="37">
        <f>IF($A279="","",IF($B279="","EKSİK","TAM"))</f>
        <v/>
      </c>
    </row>
    <row r="280">
      <c r="F280" s="37">
        <f>IF($A280="","",IF($B280="","EKSİK","TAM"))</f>
        <v/>
      </c>
    </row>
    <row r="281">
      <c r="F281" s="37">
        <f>IF($A281="","",IF($B281="","EKSİK","TAM"))</f>
        <v/>
      </c>
    </row>
    <row r="282">
      <c r="F282" s="37">
        <f>IF($A282="","",IF($B282="","EKSİK","TAM"))</f>
        <v/>
      </c>
    </row>
    <row r="283">
      <c r="F283" s="37">
        <f>IF($A283="","",IF($B283="","EKSİK","TAM"))</f>
        <v/>
      </c>
    </row>
    <row r="284">
      <c r="F284" s="37">
        <f>IF($A284="","",IF($B284="","EKSİK","TAM"))</f>
        <v/>
      </c>
    </row>
    <row r="285">
      <c r="F285" s="37">
        <f>IF($A285="","",IF($B285="","EKSİK","TAM"))</f>
        <v/>
      </c>
    </row>
    <row r="286">
      <c r="F286" s="37">
        <f>IF($A286="","",IF($B286="","EKSİK","TAM"))</f>
        <v/>
      </c>
    </row>
    <row r="287">
      <c r="F287" s="37">
        <f>IF($A287="","",IF($B287="","EKSİK","TAM"))</f>
        <v/>
      </c>
    </row>
    <row r="288">
      <c r="F288" s="37">
        <f>IF($A288="","",IF($B288="","EKSİK","TAM"))</f>
        <v/>
      </c>
    </row>
    <row r="289">
      <c r="F289" s="37">
        <f>IF($A289="","",IF($B289="","EKSİK","TAM"))</f>
        <v/>
      </c>
    </row>
    <row r="290">
      <c r="F290" s="37">
        <f>IF($A290="","",IF($B290="","EKSİK","TAM"))</f>
        <v/>
      </c>
    </row>
    <row r="291">
      <c r="F291" s="37">
        <f>IF($A291="","",IF($B291="","EKSİK","TAM"))</f>
        <v/>
      </c>
    </row>
    <row r="292">
      <c r="F292" s="37">
        <f>IF($A292="","",IF($B292="","EKSİK","TAM"))</f>
        <v/>
      </c>
    </row>
    <row r="293">
      <c r="F293" s="37">
        <f>IF($A293="","",IF($B293="","EKSİK","TAM"))</f>
        <v/>
      </c>
    </row>
    <row r="294">
      <c r="F294" s="37">
        <f>IF($A294="","",IF($B294="","EKSİK","TAM"))</f>
        <v/>
      </c>
    </row>
    <row r="295">
      <c r="F295" s="37">
        <f>IF($A295="","",IF($B295="","EKSİK","TAM"))</f>
        <v/>
      </c>
    </row>
    <row r="296">
      <c r="F296" s="37">
        <f>IF($A296="","",IF($B296="","EKSİK","TAM"))</f>
        <v/>
      </c>
    </row>
    <row r="297">
      <c r="F297" s="37">
        <f>IF($A297="","",IF($B297="","EKSİK","TAM"))</f>
        <v/>
      </c>
    </row>
    <row r="298">
      <c r="F298" s="37">
        <f>IF($A298="","",IF($B298="","EKSİK","TAM"))</f>
        <v/>
      </c>
    </row>
    <row r="299">
      <c r="F299" s="37">
        <f>IF($A299="","",IF($B299="","EKSİK","TAM"))</f>
        <v/>
      </c>
    </row>
    <row r="300">
      <c r="F300" s="37">
        <f>IF($A300="","",IF($B300="","EKSİK","TAM"))</f>
        <v/>
      </c>
    </row>
    <row r="301">
      <c r="F301" s="37">
        <f>IF($A301="","",IF($B301="","EKSİK","TAM"))</f>
        <v/>
      </c>
    </row>
    <row r="302">
      <c r="F302" s="37">
        <f>IF($A302="","",IF($B302="","EKSİK","TAM"))</f>
        <v/>
      </c>
    </row>
    <row r="303">
      <c r="F303" s="37">
        <f>IF($A303="","",IF($B303="","EKSİK","TAM"))</f>
        <v/>
      </c>
    </row>
    <row r="304">
      <c r="F304" s="37">
        <f>IF($A304="","",IF($B304="","EKSİK","TAM"))</f>
        <v/>
      </c>
    </row>
    <row r="305">
      <c r="F305" s="37">
        <f>IF($A305="","",IF($B305="","EKSİK","TAM"))</f>
        <v/>
      </c>
    </row>
    <row r="306">
      <c r="F306" s="37">
        <f>IF($A306="","",IF($B306="","EKSİK","TAM"))</f>
        <v/>
      </c>
    </row>
    <row r="307">
      <c r="F307" s="37">
        <f>IF($A307="","",IF($B307="","EKSİK","TAM"))</f>
        <v/>
      </c>
    </row>
    <row r="308">
      <c r="F308" s="37">
        <f>IF($A308="","",IF($B308="","EKSİK","TAM"))</f>
        <v/>
      </c>
    </row>
    <row r="309">
      <c r="F309" s="37">
        <f>IF($A309="","",IF($B309="","EKSİK","TAM"))</f>
        <v/>
      </c>
    </row>
    <row r="310">
      <c r="F310" s="37">
        <f>IF($A310="","",IF($B310="","EKSİK","TAM"))</f>
        <v/>
      </c>
    </row>
    <row r="311">
      <c r="F311" s="37">
        <f>IF($A311="","",IF($B311="","EKSİK","TAM"))</f>
        <v/>
      </c>
    </row>
    <row r="312">
      <c r="F312" s="37">
        <f>IF($A312="","",IF($B312="","EKSİK","TAM"))</f>
        <v/>
      </c>
    </row>
    <row r="313">
      <c r="F313" s="37">
        <f>IF($A313="","",IF($B313="","EKSİK","TAM"))</f>
        <v/>
      </c>
    </row>
    <row r="314">
      <c r="F314" s="37">
        <f>IF($A314="","",IF($B314="","EKSİK","TAM"))</f>
        <v/>
      </c>
    </row>
    <row r="315">
      <c r="F315" s="37">
        <f>IF($A315="","",IF($B315="","EKSİK","TAM"))</f>
        <v/>
      </c>
    </row>
    <row r="316">
      <c r="F316" s="37">
        <f>IF($A316="","",IF($B316="","EKSİK","TAM"))</f>
        <v/>
      </c>
    </row>
    <row r="317">
      <c r="F317" s="37">
        <f>IF($A317="","",IF($B317="","EKSİK","TAM"))</f>
        <v/>
      </c>
    </row>
    <row r="318">
      <c r="F318" s="37">
        <f>IF($A318="","",IF($B318="","EKSİK","TAM"))</f>
        <v/>
      </c>
    </row>
    <row r="319">
      <c r="F319" s="37">
        <f>IF($A319="","",IF($B319="","EKSİK","TAM"))</f>
        <v/>
      </c>
    </row>
    <row r="320">
      <c r="F320" s="37">
        <f>IF($A320="","",IF($B320="","EKSİK","TAM"))</f>
        <v/>
      </c>
    </row>
    <row r="321">
      <c r="F321" s="37">
        <f>IF($A321="","",IF($B321="","EKSİK","TAM"))</f>
        <v/>
      </c>
    </row>
    <row r="322">
      <c r="F322" s="37">
        <f>IF($A322="","",IF($B322="","EKSİK","TAM"))</f>
        <v/>
      </c>
    </row>
    <row r="323">
      <c r="F323" s="37">
        <f>IF($A323="","",IF($B323="","EKSİK","TAM"))</f>
        <v/>
      </c>
    </row>
    <row r="324">
      <c r="F324" s="37">
        <f>IF($A324="","",IF($B324="","EKSİK","TAM"))</f>
        <v/>
      </c>
    </row>
    <row r="325">
      <c r="F325" s="37">
        <f>IF($A325="","",IF($B325="","EKSİK","TAM"))</f>
        <v/>
      </c>
    </row>
    <row r="326">
      <c r="F326" s="37">
        <f>IF($A326="","",IF($B326="","EKSİK","TAM"))</f>
        <v/>
      </c>
    </row>
    <row r="327">
      <c r="F327" s="37">
        <f>IF($A327="","",IF($B327="","EKSİK","TAM"))</f>
        <v/>
      </c>
    </row>
    <row r="328">
      <c r="F328" s="37">
        <f>IF($A328="","",IF($B328="","EKSİK","TAM"))</f>
        <v/>
      </c>
    </row>
    <row r="329">
      <c r="F329" s="37">
        <f>IF($A329="","",IF($B329="","EKSİK","TAM"))</f>
        <v/>
      </c>
    </row>
    <row r="330">
      <c r="F330" s="37">
        <f>IF($A330="","",IF($B330="","EKSİK","TAM"))</f>
        <v/>
      </c>
    </row>
    <row r="331">
      <c r="F331" s="37">
        <f>IF($A331="","",IF($B331="","EKSİK","TAM"))</f>
        <v/>
      </c>
    </row>
    <row r="332">
      <c r="F332" s="37">
        <f>IF($A332="","",IF($B332="","EKSİK","TAM"))</f>
        <v/>
      </c>
    </row>
    <row r="333">
      <c r="F333" s="37">
        <f>IF($A333="","",IF($B333="","EKSİK","TAM"))</f>
        <v/>
      </c>
    </row>
    <row r="334">
      <c r="F334" s="37">
        <f>IF($A334="","",IF($B334="","EKSİK","TAM"))</f>
        <v/>
      </c>
    </row>
    <row r="335">
      <c r="F335" s="37">
        <f>IF($A335="","",IF($B335="","EKSİK","TAM"))</f>
        <v/>
      </c>
    </row>
    <row r="336">
      <c r="F336" s="37">
        <f>IF($A336="","",IF($B336="","EKSİK","TAM"))</f>
        <v/>
      </c>
    </row>
    <row r="337">
      <c r="F337" s="37">
        <f>IF($A337="","",IF($B337="","EKSİK","TAM"))</f>
        <v/>
      </c>
    </row>
    <row r="338">
      <c r="F338" s="37">
        <f>IF($A338="","",IF($B338="","EKSİK","TAM"))</f>
        <v/>
      </c>
    </row>
    <row r="339">
      <c r="F339" s="37">
        <f>IF($A339="","",IF($B339="","EKSİK","TAM"))</f>
        <v/>
      </c>
    </row>
    <row r="340">
      <c r="F340" s="37">
        <f>IF($A340="","",IF($B340="","EKSİK","TAM"))</f>
        <v/>
      </c>
    </row>
    <row r="341">
      <c r="F341" s="37">
        <f>IF($A341="","",IF($B341="","EKSİK","TAM"))</f>
        <v/>
      </c>
    </row>
    <row r="342">
      <c r="F342" s="37">
        <f>IF($A342="","",IF($B342="","EKSİK","TAM"))</f>
        <v/>
      </c>
    </row>
    <row r="343">
      <c r="F343" s="37">
        <f>IF($A343="","",IF($B343="","EKSİK","TAM"))</f>
        <v/>
      </c>
    </row>
    <row r="344">
      <c r="F344" s="37">
        <f>IF($A344="","",IF($B344="","EKSİK","TAM"))</f>
        <v/>
      </c>
    </row>
    <row r="345">
      <c r="F345" s="37">
        <f>IF($A345="","",IF($B345="","EKSİK","TAM"))</f>
        <v/>
      </c>
    </row>
    <row r="346">
      <c r="F346" s="37">
        <f>IF($A346="","",IF($B346="","EKSİK","TAM"))</f>
        <v/>
      </c>
    </row>
    <row r="347">
      <c r="F347" s="37">
        <f>IF($A347="","",IF($B347="","EKSİK","TAM"))</f>
        <v/>
      </c>
    </row>
    <row r="348">
      <c r="F348" s="37">
        <f>IF($A348="","",IF($B348="","EKSİK","TAM"))</f>
        <v/>
      </c>
    </row>
    <row r="349">
      <c r="F349" s="37">
        <f>IF($A349="","",IF($B349="","EKSİK","TAM"))</f>
        <v/>
      </c>
    </row>
    <row r="350">
      <c r="F350" s="37">
        <f>IF($A350="","",IF($B350="","EKSİK","TAM"))</f>
        <v/>
      </c>
    </row>
    <row r="351">
      <c r="F351" s="37">
        <f>IF($A351="","",IF($B351="","EKSİK","TAM"))</f>
        <v/>
      </c>
    </row>
    <row r="352">
      <c r="F352" s="37">
        <f>IF($A352="","",IF($B352="","EKSİK","TAM"))</f>
        <v/>
      </c>
    </row>
    <row r="353">
      <c r="F353" s="37">
        <f>IF($A353="","",IF($B353="","EKSİK","TAM"))</f>
        <v/>
      </c>
    </row>
    <row r="354">
      <c r="F354" s="37">
        <f>IF($A354="","",IF($B354="","EKSİK","TAM"))</f>
        <v/>
      </c>
    </row>
    <row r="355">
      <c r="F355" s="37">
        <f>IF($A355="","",IF($B355="","EKSİK","TAM"))</f>
        <v/>
      </c>
    </row>
    <row r="356">
      <c r="F356" s="37">
        <f>IF($A356="","",IF($B356="","EKSİK","TAM"))</f>
        <v/>
      </c>
    </row>
    <row r="357">
      <c r="F357" s="37">
        <f>IF($A357="","",IF($B357="","EKSİK","TAM"))</f>
        <v/>
      </c>
    </row>
    <row r="358">
      <c r="F358" s="37">
        <f>IF($A358="","",IF($B358="","EKSİK","TAM"))</f>
        <v/>
      </c>
    </row>
    <row r="359">
      <c r="F359" s="37">
        <f>IF($A359="","",IF($B359="","EKSİK","TAM"))</f>
        <v/>
      </c>
    </row>
    <row r="360">
      <c r="F360" s="37">
        <f>IF($A360="","",IF($B360="","EKSİK","TAM"))</f>
        <v/>
      </c>
    </row>
    <row r="361">
      <c r="F361" s="37">
        <f>IF($A361="","",IF($B361="","EKSİK","TAM"))</f>
        <v/>
      </c>
    </row>
    <row r="362">
      <c r="F362" s="37">
        <f>IF($A362="","",IF($B362="","EKSİK","TAM"))</f>
        <v/>
      </c>
    </row>
    <row r="363">
      <c r="F363" s="37">
        <f>IF($A363="","",IF($B363="","EKSİK","TAM"))</f>
        <v/>
      </c>
    </row>
    <row r="364">
      <c r="F364" s="37">
        <f>IF($A364="","",IF($B364="","EKSİK","TAM"))</f>
        <v/>
      </c>
    </row>
    <row r="365">
      <c r="F365" s="37">
        <f>IF($A365="","",IF($B365="","EKSİK","TAM"))</f>
        <v/>
      </c>
    </row>
    <row r="366">
      <c r="F366" s="37">
        <f>IF($A366="","",IF($B366="","EKSİK","TAM"))</f>
        <v/>
      </c>
    </row>
    <row r="367">
      <c r="F367" s="37">
        <f>IF($A367="","",IF($B367="","EKSİK","TAM"))</f>
        <v/>
      </c>
    </row>
    <row r="368">
      <c r="F368" s="37">
        <f>IF($A368="","",IF($B368="","EKSİK","TAM"))</f>
        <v/>
      </c>
    </row>
    <row r="369">
      <c r="F369" s="37">
        <f>IF($A369="","",IF($B369="","EKSİK","TAM"))</f>
        <v/>
      </c>
    </row>
    <row r="370">
      <c r="F370" s="37">
        <f>IF($A370="","",IF($B370="","EKSİK","TAM"))</f>
        <v/>
      </c>
    </row>
    <row r="371">
      <c r="F371" s="37">
        <f>IF($A371="","",IF($B371="","EKSİK","TAM"))</f>
        <v/>
      </c>
    </row>
    <row r="372">
      <c r="F372" s="37">
        <f>IF($A372="","",IF($B372="","EKSİK","TAM"))</f>
        <v/>
      </c>
    </row>
    <row r="373">
      <c r="F373" s="37">
        <f>IF($A373="","",IF($B373="","EKSİK","TAM"))</f>
        <v/>
      </c>
    </row>
    <row r="374">
      <c r="F374" s="37">
        <f>IF($A374="","",IF($B374="","EKSİK","TAM"))</f>
        <v/>
      </c>
    </row>
    <row r="375">
      <c r="F375" s="37">
        <f>IF($A375="","",IF($B375="","EKSİK","TAM"))</f>
        <v/>
      </c>
    </row>
    <row r="376">
      <c r="F376" s="37">
        <f>IF($A376="","",IF($B376="","EKSİK","TAM"))</f>
        <v/>
      </c>
    </row>
    <row r="377">
      <c r="F377" s="37">
        <f>IF($A377="","",IF($B377="","EKSİK","TAM"))</f>
        <v/>
      </c>
    </row>
    <row r="378">
      <c r="F378" s="37">
        <f>IF($A378="","",IF($B378="","EKSİK","TAM"))</f>
        <v/>
      </c>
    </row>
    <row r="379">
      <c r="F379" s="37">
        <f>IF($A379="","",IF($B379="","EKSİK","TAM"))</f>
        <v/>
      </c>
    </row>
    <row r="380">
      <c r="F380" s="37">
        <f>IF($A380="","",IF($B380="","EKSİK","TAM"))</f>
        <v/>
      </c>
    </row>
    <row r="381">
      <c r="F381" s="37">
        <f>IF($A381="","",IF($B381="","EKSİK","TAM"))</f>
        <v/>
      </c>
    </row>
    <row r="382">
      <c r="F382" s="37">
        <f>IF($A382="","",IF($B382="","EKSİK","TAM"))</f>
        <v/>
      </c>
    </row>
    <row r="383">
      <c r="F383" s="37">
        <f>IF($A383="","",IF($B383="","EKSİK","TAM"))</f>
        <v/>
      </c>
    </row>
    <row r="384">
      <c r="F384" s="37">
        <f>IF($A384="","",IF($B384="","EKSİK","TAM"))</f>
        <v/>
      </c>
    </row>
    <row r="385">
      <c r="F385" s="37">
        <f>IF($A385="","",IF($B385="","EKSİK","TAM"))</f>
        <v/>
      </c>
    </row>
    <row r="386">
      <c r="F386" s="37">
        <f>IF($A386="","",IF($B386="","EKSİK","TAM"))</f>
        <v/>
      </c>
    </row>
    <row r="387">
      <c r="F387" s="37">
        <f>IF($A387="","",IF($B387="","EKSİK","TAM"))</f>
        <v/>
      </c>
    </row>
    <row r="388">
      <c r="F388" s="37">
        <f>IF($A388="","",IF($B388="","EKSİK","TAM"))</f>
        <v/>
      </c>
    </row>
    <row r="389">
      <c r="F389" s="37">
        <f>IF($A389="","",IF($B389="","EKSİK","TAM"))</f>
        <v/>
      </c>
    </row>
    <row r="390">
      <c r="F390" s="37">
        <f>IF($A390="","",IF($B390="","EKSİK","TAM"))</f>
        <v/>
      </c>
    </row>
    <row r="391">
      <c r="F391" s="37">
        <f>IF($A391="","",IF($B391="","EKSİK","TAM"))</f>
        <v/>
      </c>
    </row>
    <row r="392">
      <c r="F392" s="37">
        <f>IF($A392="","",IF($B392="","EKSİK","TAM"))</f>
        <v/>
      </c>
    </row>
    <row r="393">
      <c r="F393" s="37">
        <f>IF($A393="","",IF($B393="","EKSİK","TAM"))</f>
        <v/>
      </c>
    </row>
    <row r="394">
      <c r="F394" s="37">
        <f>IF($A394="","",IF($B394="","EKSİK","TAM"))</f>
        <v/>
      </c>
    </row>
    <row r="395">
      <c r="F395" s="37">
        <f>IF($A395="","",IF($B395="","EKSİK","TAM"))</f>
        <v/>
      </c>
    </row>
    <row r="396">
      <c r="F396" s="37">
        <f>IF($A396="","",IF($B396="","EKSİK","TAM"))</f>
        <v/>
      </c>
    </row>
    <row r="397">
      <c r="F397" s="37">
        <f>IF($A397="","",IF($B397="","EKSİK","TAM"))</f>
        <v/>
      </c>
    </row>
    <row r="398">
      <c r="F398" s="37">
        <f>IF($A398="","",IF($B398="","EKSİK","TAM"))</f>
        <v/>
      </c>
    </row>
    <row r="399">
      <c r="F399" s="37">
        <f>IF($A399="","",IF($B399="","EKSİK","TAM"))</f>
        <v/>
      </c>
    </row>
    <row r="400">
      <c r="F400" s="37">
        <f>IF($A400="","",IF($B400="","EKSİK","TAM"))</f>
        <v/>
      </c>
    </row>
    <row r="401">
      <c r="F401" s="37">
        <f>IF($A401="","",IF($B401="","EKSİK","TAM"))</f>
        <v/>
      </c>
    </row>
    <row r="402">
      <c r="F402" s="37">
        <f>IF($A402="","",IF($B402="","EKSİK","TAM"))</f>
        <v/>
      </c>
    </row>
    <row r="403">
      <c r="F403" s="37">
        <f>IF($A403="","",IF($B403="","EKSİK","TAM"))</f>
        <v/>
      </c>
    </row>
    <row r="404">
      <c r="F404" s="37">
        <f>IF($A404="","",IF($B404="","EKSİK","TAM"))</f>
        <v/>
      </c>
    </row>
    <row r="405">
      <c r="F405" s="37">
        <f>IF($A405="","",IF($B405="","EKSİK","TAM"))</f>
        <v/>
      </c>
    </row>
    <row r="406">
      <c r="F406" s="37">
        <f>IF($A406="","",IF($B406="","EKSİK","TAM"))</f>
        <v/>
      </c>
    </row>
    <row r="407">
      <c r="F407" s="37">
        <f>IF($A407="","",IF($B407="","EKSİK","TAM"))</f>
        <v/>
      </c>
    </row>
    <row r="408">
      <c r="F408" s="37">
        <f>IF($A408="","",IF($B408="","EKSİK","TAM"))</f>
        <v/>
      </c>
    </row>
    <row r="409">
      <c r="F409" s="37">
        <f>IF($A409="","",IF($B409="","EKSİK","TAM"))</f>
        <v/>
      </c>
    </row>
    <row r="410">
      <c r="F410" s="37">
        <f>IF($A410="","",IF($B410="","EKSİK","TAM"))</f>
        <v/>
      </c>
    </row>
    <row r="411">
      <c r="F411" s="37">
        <f>IF($A411="","",IF($B411="","EKSİK","TAM"))</f>
        <v/>
      </c>
    </row>
    <row r="412">
      <c r="F412" s="37">
        <f>IF($A412="","",IF($B412="","EKSİK","TAM"))</f>
        <v/>
      </c>
    </row>
    <row r="413">
      <c r="F413" s="37">
        <f>IF($A413="","",IF($B413="","EKSİK","TAM"))</f>
        <v/>
      </c>
    </row>
    <row r="414">
      <c r="F414" s="37">
        <f>IF($A414="","",IF($B414="","EKSİK","TAM"))</f>
        <v/>
      </c>
    </row>
    <row r="415">
      <c r="F415" s="37">
        <f>IF($A415="","",IF($B415="","EKSİK","TAM"))</f>
        <v/>
      </c>
    </row>
    <row r="416">
      <c r="F416" s="37">
        <f>IF($A416="","",IF($B416="","EKSİK","TAM"))</f>
        <v/>
      </c>
    </row>
    <row r="417">
      <c r="F417" s="37">
        <f>IF($A417="","",IF($B417="","EKSİK","TAM"))</f>
        <v/>
      </c>
    </row>
    <row r="418">
      <c r="F418" s="37">
        <f>IF($A418="","",IF($B418="","EKSİK","TAM"))</f>
        <v/>
      </c>
    </row>
    <row r="419">
      <c r="F419" s="37">
        <f>IF($A419="","",IF($B419="","EKSİK","TAM"))</f>
        <v/>
      </c>
    </row>
    <row r="420">
      <c r="F420" s="37">
        <f>IF($A420="","",IF($B420="","EKSİK","TAM"))</f>
        <v/>
      </c>
    </row>
    <row r="421">
      <c r="F421" s="37">
        <f>IF($A421="","",IF($B421="","EKSİK","TAM"))</f>
        <v/>
      </c>
    </row>
    <row r="422">
      <c r="F422" s="37">
        <f>IF($A422="","",IF($B422="","EKSİK","TAM"))</f>
        <v/>
      </c>
    </row>
    <row r="423">
      <c r="F423" s="37">
        <f>IF($A423="","",IF($B423="","EKSİK","TAM"))</f>
        <v/>
      </c>
    </row>
    <row r="424">
      <c r="F424" s="37">
        <f>IF($A424="","",IF($B424="","EKSİK","TAM"))</f>
        <v/>
      </c>
    </row>
    <row r="425">
      <c r="F425" s="37">
        <f>IF($A425="","",IF($B425="","EKSİK","TAM"))</f>
        <v/>
      </c>
    </row>
    <row r="426">
      <c r="F426" s="37">
        <f>IF($A426="","",IF($B426="","EKSİK","TAM"))</f>
        <v/>
      </c>
    </row>
    <row r="427">
      <c r="F427" s="37">
        <f>IF($A427="","",IF($B427="","EKSİK","TAM"))</f>
        <v/>
      </c>
    </row>
    <row r="428">
      <c r="F428" s="37">
        <f>IF($A428="","",IF($B428="","EKSİK","TAM"))</f>
        <v/>
      </c>
    </row>
    <row r="429">
      <c r="F429" s="37">
        <f>IF($A429="","",IF($B429="","EKSİK","TAM"))</f>
        <v/>
      </c>
    </row>
    <row r="430">
      <c r="F430" s="37">
        <f>IF($A430="","",IF($B430="","EKSİK","TAM"))</f>
        <v/>
      </c>
    </row>
    <row r="431">
      <c r="F431" s="37">
        <f>IF($A431="","",IF($B431="","EKSİK","TAM"))</f>
        <v/>
      </c>
    </row>
    <row r="432">
      <c r="F432" s="37">
        <f>IF($A432="","",IF($B432="","EKSİK","TAM"))</f>
        <v/>
      </c>
    </row>
    <row r="433">
      <c r="F433" s="37">
        <f>IF($A433="","",IF($B433="","EKSİK","TAM"))</f>
        <v/>
      </c>
    </row>
    <row r="434">
      <c r="F434" s="37">
        <f>IF($A434="","",IF($B434="","EKSİK","TAM"))</f>
        <v/>
      </c>
    </row>
    <row r="435">
      <c r="F435" s="37">
        <f>IF($A435="","",IF($B435="","EKSİK","TAM"))</f>
        <v/>
      </c>
    </row>
    <row r="436">
      <c r="F436" s="37">
        <f>IF($A436="","",IF($B436="","EKSİK","TAM"))</f>
        <v/>
      </c>
    </row>
    <row r="437">
      <c r="F437" s="37">
        <f>IF($A437="","",IF($B437="","EKSİK","TAM"))</f>
        <v/>
      </c>
    </row>
    <row r="438">
      <c r="F438" s="37">
        <f>IF($A438="","",IF($B438="","EKSİK","TAM"))</f>
        <v/>
      </c>
    </row>
    <row r="439">
      <c r="F439" s="37">
        <f>IF($A439="","",IF($B439="","EKSİK","TAM"))</f>
        <v/>
      </c>
    </row>
    <row r="440">
      <c r="F440" s="37">
        <f>IF($A440="","",IF($B440="","EKSİK","TAM"))</f>
        <v/>
      </c>
    </row>
    <row r="441">
      <c r="F441" s="37">
        <f>IF($A441="","",IF($B441="","EKSİK","TAM"))</f>
        <v/>
      </c>
    </row>
    <row r="442">
      <c r="F442" s="37">
        <f>IF($A442="","",IF($B442="","EKSİK","TAM"))</f>
        <v/>
      </c>
    </row>
    <row r="443">
      <c r="F443" s="37">
        <f>IF($A443="","",IF($B443="","EKSİK","TAM"))</f>
        <v/>
      </c>
    </row>
    <row r="444">
      <c r="F444" s="37">
        <f>IF($A444="","",IF($B444="","EKSİK","TAM"))</f>
        <v/>
      </c>
    </row>
    <row r="445">
      <c r="F445" s="37">
        <f>IF($A445="","",IF($B445="","EKSİK","TAM"))</f>
        <v/>
      </c>
    </row>
    <row r="446">
      <c r="F446" s="37">
        <f>IF($A446="","",IF($B446="","EKSİK","TAM"))</f>
        <v/>
      </c>
    </row>
    <row r="447">
      <c r="F447" s="37">
        <f>IF($A447="","",IF($B447="","EKSİK","TAM"))</f>
        <v/>
      </c>
    </row>
    <row r="448">
      <c r="F448" s="37">
        <f>IF($A448="","",IF($B448="","EKSİK","TAM"))</f>
        <v/>
      </c>
    </row>
    <row r="449">
      <c r="F449" s="37">
        <f>IF($A449="","",IF($B449="","EKSİK","TAM"))</f>
        <v/>
      </c>
    </row>
    <row r="450">
      <c r="F450" s="37">
        <f>IF($A450="","",IF($B450="","EKSİK","TAM"))</f>
        <v/>
      </c>
    </row>
    <row r="451">
      <c r="F451" s="37">
        <f>IF($A451="","",IF($B451="","EKSİK","TAM"))</f>
        <v/>
      </c>
    </row>
    <row r="452">
      <c r="F452" s="37">
        <f>IF($A452="","",IF($B452="","EKSİK","TAM"))</f>
        <v/>
      </c>
    </row>
    <row r="453">
      <c r="F453" s="37">
        <f>IF($A453="","",IF($B453="","EKSİK","TAM"))</f>
        <v/>
      </c>
    </row>
    <row r="454">
      <c r="F454" s="37">
        <f>IF($A454="","",IF($B454="","EKSİK","TAM"))</f>
        <v/>
      </c>
    </row>
    <row r="455">
      <c r="F455" s="37">
        <f>IF($A455="","",IF($B455="","EKSİK","TAM"))</f>
        <v/>
      </c>
    </row>
    <row r="456">
      <c r="F456" s="37">
        <f>IF($A456="","",IF($B456="","EKSİK","TAM"))</f>
        <v/>
      </c>
    </row>
    <row r="457">
      <c r="F457" s="37">
        <f>IF($A457="","",IF($B457="","EKSİK","TAM"))</f>
        <v/>
      </c>
    </row>
    <row r="458">
      <c r="F458" s="37">
        <f>IF($A458="","",IF($B458="","EKSİK","TAM"))</f>
        <v/>
      </c>
    </row>
    <row r="459">
      <c r="F459" s="37">
        <f>IF($A459="","",IF($B459="","EKSİK","TAM"))</f>
        <v/>
      </c>
    </row>
    <row r="460">
      <c r="F460" s="37">
        <f>IF($A460="","",IF($B460="","EKSİK","TAM"))</f>
        <v/>
      </c>
    </row>
    <row r="461">
      <c r="F461" s="37">
        <f>IF($A461="","",IF($B461="","EKSİK","TAM"))</f>
        <v/>
      </c>
    </row>
    <row r="462">
      <c r="F462" s="37">
        <f>IF($A462="","",IF($B462="","EKSİK","TAM"))</f>
        <v/>
      </c>
    </row>
    <row r="463">
      <c r="F463" s="37">
        <f>IF($A463="","",IF($B463="","EKSİK","TAM"))</f>
        <v/>
      </c>
    </row>
    <row r="464">
      <c r="F464" s="37">
        <f>IF($A464="","",IF($B464="","EKSİK","TAM"))</f>
        <v/>
      </c>
    </row>
    <row r="465">
      <c r="F465" s="37">
        <f>IF($A465="","",IF($B465="","EKSİK","TAM"))</f>
        <v/>
      </c>
    </row>
    <row r="466">
      <c r="F466" s="37">
        <f>IF($A466="","",IF($B466="","EKSİK","TAM"))</f>
        <v/>
      </c>
    </row>
    <row r="467">
      <c r="F467" s="37">
        <f>IF($A467="","",IF($B467="","EKSİK","TAM"))</f>
        <v/>
      </c>
    </row>
    <row r="468">
      <c r="F468" s="37">
        <f>IF($A468="","",IF($B468="","EKSİK","TAM"))</f>
        <v/>
      </c>
    </row>
    <row r="469">
      <c r="F469" s="37">
        <f>IF($A469="","",IF($B469="","EKSİK","TAM"))</f>
        <v/>
      </c>
    </row>
    <row r="470">
      <c r="F470" s="37">
        <f>IF($A470="","",IF($B470="","EKSİK","TAM"))</f>
        <v/>
      </c>
    </row>
    <row r="471">
      <c r="F471" s="37">
        <f>IF($A471="","",IF($B471="","EKSİK","TAM"))</f>
        <v/>
      </c>
    </row>
    <row r="472">
      <c r="F472" s="37">
        <f>IF($A472="","",IF($B472="","EKSİK","TAM"))</f>
        <v/>
      </c>
    </row>
    <row r="473">
      <c r="F473" s="37">
        <f>IF($A473="","",IF($B473="","EKSİK","TAM"))</f>
        <v/>
      </c>
    </row>
    <row r="474">
      <c r="F474" s="37">
        <f>IF($A474="","",IF($B474="","EKSİK","TAM"))</f>
        <v/>
      </c>
    </row>
    <row r="475">
      <c r="F475" s="37">
        <f>IF($A475="","",IF($B475="","EKSİK","TAM"))</f>
        <v/>
      </c>
    </row>
    <row r="476">
      <c r="F476" s="37">
        <f>IF($A476="","",IF($B476="","EKSİK","TAM"))</f>
        <v/>
      </c>
    </row>
    <row r="477">
      <c r="F477" s="37">
        <f>IF($A477="","",IF($B477="","EKSİK","TAM"))</f>
        <v/>
      </c>
    </row>
    <row r="478">
      <c r="F478" s="37">
        <f>IF($A478="","",IF($B478="","EKSİK","TAM"))</f>
        <v/>
      </c>
    </row>
    <row r="479">
      <c r="F479" s="37">
        <f>IF($A479="","",IF($B479="","EKSİK","TAM"))</f>
        <v/>
      </c>
    </row>
    <row r="480">
      <c r="F480" s="37">
        <f>IF($A480="","",IF($B480="","EKSİK","TAM"))</f>
        <v/>
      </c>
    </row>
    <row r="481">
      <c r="F481" s="37">
        <f>IF($A481="","",IF($B481="","EKSİK","TAM"))</f>
        <v/>
      </c>
    </row>
    <row r="482">
      <c r="F482" s="37">
        <f>IF($A482="","",IF($B482="","EKSİK","TAM"))</f>
        <v/>
      </c>
    </row>
    <row r="483">
      <c r="F483" s="37">
        <f>IF($A483="","",IF($B483="","EKSİK","TAM"))</f>
        <v/>
      </c>
    </row>
    <row r="484">
      <c r="F484" s="37">
        <f>IF($A484="","",IF($B484="","EKSİK","TAM"))</f>
        <v/>
      </c>
    </row>
    <row r="485">
      <c r="F485" s="37">
        <f>IF($A485="","",IF($B485="","EKSİK","TAM"))</f>
        <v/>
      </c>
    </row>
    <row r="486">
      <c r="F486" s="37">
        <f>IF($A486="","",IF($B486="","EKSİK","TAM"))</f>
        <v/>
      </c>
    </row>
    <row r="487">
      <c r="F487" s="37">
        <f>IF($A487="","",IF($B487="","EKSİK","TAM"))</f>
        <v/>
      </c>
    </row>
    <row r="488">
      <c r="F488" s="37">
        <f>IF($A488="","",IF($B488="","EKSİK","TAM"))</f>
        <v/>
      </c>
    </row>
    <row r="489">
      <c r="F489" s="37">
        <f>IF($A489="","",IF($B489="","EKSİK","TAM"))</f>
        <v/>
      </c>
    </row>
    <row r="490">
      <c r="F490" s="37">
        <f>IF($A490="","",IF($B490="","EKSİK","TAM"))</f>
        <v/>
      </c>
    </row>
    <row r="491">
      <c r="F491" s="37">
        <f>IF($A491="","",IF($B491="","EKSİK","TAM"))</f>
        <v/>
      </c>
    </row>
    <row r="492">
      <c r="F492" s="37">
        <f>IF($A492="","",IF($B492="","EKSİK","TAM"))</f>
        <v/>
      </c>
    </row>
    <row r="493">
      <c r="F493" s="37">
        <f>IF($A493="","",IF($B493="","EKSİK","TAM"))</f>
        <v/>
      </c>
    </row>
    <row r="494">
      <c r="F494" s="37">
        <f>IF($A494="","",IF($B494="","EKSİK","TAM"))</f>
        <v/>
      </c>
    </row>
    <row r="495">
      <c r="F495" s="37">
        <f>IF($A495="","",IF($B495="","EKSİK","TAM"))</f>
        <v/>
      </c>
    </row>
    <row r="496">
      <c r="F496" s="37">
        <f>IF($A496="","",IF($B496="","EKSİK","TAM"))</f>
        <v/>
      </c>
    </row>
    <row r="497">
      <c r="F497" s="37">
        <f>IF($A497="","",IF($B497="","EKSİK","TAM"))</f>
        <v/>
      </c>
    </row>
    <row r="498">
      <c r="F498" s="37">
        <f>IF($A498="","",IF($B498="","EKSİK","TAM"))</f>
        <v/>
      </c>
    </row>
    <row r="499">
      <c r="F499" s="37">
        <f>IF($A499="","",IF($B499="","EKSİK","TAM"))</f>
        <v/>
      </c>
    </row>
    <row r="500">
      <c r="F500" s="37">
        <f>IF($A500="","",IF($B500="","EKSİK","TAM"))</f>
        <v/>
      </c>
    </row>
    <row r="501">
      <c r="F501" s="37">
        <f>IF($A501="","",IF($B501="","EKSİK","TAM"))</f>
        <v/>
      </c>
    </row>
    <row r="502">
      <c r="F502" s="37">
        <f>IF($A502="","",IF($B502="","EKSİK","TAM"))</f>
        <v/>
      </c>
    </row>
    <row r="503">
      <c r="F503" s="37">
        <f>IF($A503="","",IF($B503="","EKSİK","TAM"))</f>
        <v/>
      </c>
    </row>
    <row r="504">
      <c r="F504" s="37">
        <f>IF($A504="","",IF($B504="","EKSİK","TAM"))</f>
        <v/>
      </c>
    </row>
    <row r="505">
      <c r="F505" s="37">
        <f>IF($A505="","",IF($B505="","EKSİK","TAM"))</f>
        <v/>
      </c>
    </row>
    <row r="506">
      <c r="F506" s="37">
        <f>IF($A506="","",IF($B506="","EKSİK","TAM"))</f>
        <v/>
      </c>
    </row>
    <row r="507">
      <c r="F507" s="37">
        <f>IF($A507="","",IF($B507="","EKSİK","TAM"))</f>
        <v/>
      </c>
    </row>
    <row r="508">
      <c r="F508" s="37">
        <f>IF($A508="","",IF($B508="","EKSİK","TAM"))</f>
        <v/>
      </c>
    </row>
    <row r="509">
      <c r="F509" s="37">
        <f>IF($A509="","",IF($B509="","EKSİK","TAM"))</f>
        <v/>
      </c>
    </row>
    <row r="510">
      <c r="F510" s="37">
        <f>IF($A510="","",IF($B510="","EKSİK","TAM"))</f>
        <v/>
      </c>
    </row>
    <row r="511">
      <c r="F511" s="37">
        <f>IF($A511="","",IF($B511="","EKSİK","TAM"))</f>
        <v/>
      </c>
    </row>
    <row r="512">
      <c r="F512" s="37">
        <f>IF($A512="","",IF($B512="","EKSİK","TAM"))</f>
        <v/>
      </c>
    </row>
    <row r="513">
      <c r="F513" s="37">
        <f>IF($A513="","",IF($B513="","EKSİK","TAM"))</f>
        <v/>
      </c>
    </row>
    <row r="514">
      <c r="F514" s="37">
        <f>IF($A514="","",IF($B514="","EKSİK","TAM"))</f>
        <v/>
      </c>
    </row>
    <row r="515">
      <c r="F515" s="37">
        <f>IF($A515="","",IF($B515="","EKSİK","TAM"))</f>
        <v/>
      </c>
    </row>
    <row r="516">
      <c r="F516" s="37">
        <f>IF($A516="","",IF($B516="","EKSİK","TAM"))</f>
        <v/>
      </c>
    </row>
    <row r="517">
      <c r="F517" s="37">
        <f>IF($A517="","",IF($B517="","EKSİK","TAM"))</f>
        <v/>
      </c>
    </row>
    <row r="518">
      <c r="F518" s="37">
        <f>IF($A518="","",IF($B518="","EKSİK","TAM"))</f>
        <v/>
      </c>
    </row>
    <row r="519">
      <c r="F519" s="37">
        <f>IF($A519="","",IF($B519="","EKSİK","TAM"))</f>
        <v/>
      </c>
    </row>
    <row r="520">
      <c r="F520" s="37">
        <f>IF($A520="","",IF($B520="","EKSİK","TAM"))</f>
        <v/>
      </c>
    </row>
    <row r="521">
      <c r="F521" s="37">
        <f>IF($A521="","",IF($B521="","EKSİK","TAM"))</f>
        <v/>
      </c>
    </row>
    <row r="522">
      <c r="F522" s="37">
        <f>IF($A522="","",IF($B522="","EKSİK","TAM"))</f>
        <v/>
      </c>
    </row>
    <row r="523">
      <c r="F523" s="37">
        <f>IF($A523="","",IF($B523="","EKSİK","TAM"))</f>
        <v/>
      </c>
    </row>
    <row r="524">
      <c r="F524" s="37">
        <f>IF($A524="","",IF($B524="","EKSİK","TAM"))</f>
        <v/>
      </c>
    </row>
    <row r="525">
      <c r="F525" s="37">
        <f>IF($A525="","",IF($B525="","EKSİK","TAM"))</f>
        <v/>
      </c>
    </row>
    <row r="526">
      <c r="F526" s="37">
        <f>IF($A526="","",IF($B526="","EKSİK","TAM"))</f>
        <v/>
      </c>
    </row>
    <row r="527">
      <c r="F527" s="37">
        <f>IF($A527="","",IF($B527="","EKSİK","TAM"))</f>
        <v/>
      </c>
    </row>
    <row r="528">
      <c r="F528" s="37">
        <f>IF($A528="","",IF($B528="","EKSİK","TAM"))</f>
        <v/>
      </c>
    </row>
    <row r="529">
      <c r="F529" s="37">
        <f>IF($A529="","",IF($B529="","EKSİK","TAM"))</f>
        <v/>
      </c>
    </row>
    <row r="530">
      <c r="F530" s="37">
        <f>IF($A530="","",IF($B530="","EKSİK","TAM"))</f>
        <v/>
      </c>
    </row>
    <row r="531">
      <c r="F531" s="37">
        <f>IF($A531="","",IF($B531="","EKSİK","TAM"))</f>
        <v/>
      </c>
    </row>
    <row r="532">
      <c r="F532" s="37">
        <f>IF($A532="","",IF($B532="","EKSİK","TAM"))</f>
        <v/>
      </c>
    </row>
    <row r="533">
      <c r="F533" s="37">
        <f>IF($A533="","",IF($B533="","EKSİK","TAM"))</f>
        <v/>
      </c>
    </row>
    <row r="534">
      <c r="F534" s="37">
        <f>IF($A534="","",IF($B534="","EKSİK","TAM"))</f>
        <v/>
      </c>
    </row>
    <row r="535">
      <c r="F535" s="37">
        <f>IF($A535="","",IF($B535="","EKSİK","TAM"))</f>
        <v/>
      </c>
    </row>
    <row r="536">
      <c r="F536" s="37">
        <f>IF($A536="","",IF($B536="","EKSİK","TAM"))</f>
        <v/>
      </c>
    </row>
    <row r="537">
      <c r="F537" s="37">
        <f>IF($A537="","",IF($B537="","EKSİK","TAM"))</f>
        <v/>
      </c>
    </row>
    <row r="538">
      <c r="F538" s="37">
        <f>IF($A538="","",IF($B538="","EKSİK","TAM"))</f>
        <v/>
      </c>
    </row>
    <row r="539">
      <c r="F539" s="37">
        <f>IF($A539="","",IF($B539="","EKSİK","TAM"))</f>
        <v/>
      </c>
    </row>
    <row r="540">
      <c r="F540" s="37">
        <f>IF($A540="","",IF($B540="","EKSİK","TAM"))</f>
        <v/>
      </c>
    </row>
    <row r="541">
      <c r="F541" s="37">
        <f>IF($A541="","",IF($B541="","EKSİK","TAM"))</f>
        <v/>
      </c>
    </row>
    <row r="542">
      <c r="F542" s="37">
        <f>IF($A542="","",IF($B542="","EKSİK","TAM"))</f>
        <v/>
      </c>
    </row>
    <row r="543">
      <c r="F543" s="37">
        <f>IF($A543="","",IF($B543="","EKSİK","TAM"))</f>
        <v/>
      </c>
    </row>
    <row r="544">
      <c r="F544" s="37">
        <f>IF($A544="","",IF($B544="","EKSİK","TAM"))</f>
        <v/>
      </c>
    </row>
    <row r="545">
      <c r="F545" s="37">
        <f>IF($A545="","",IF($B545="","EKSİK","TAM"))</f>
        <v/>
      </c>
    </row>
    <row r="546">
      <c r="F546" s="37">
        <f>IF($A546="","",IF($B546="","EKSİK","TAM"))</f>
        <v/>
      </c>
    </row>
    <row r="547">
      <c r="F547" s="37">
        <f>IF($A547="","",IF($B547="","EKSİK","TAM"))</f>
        <v/>
      </c>
    </row>
    <row r="548">
      <c r="F548" s="37">
        <f>IF($A548="","",IF($B548="","EKSİK","TAM"))</f>
        <v/>
      </c>
    </row>
    <row r="549">
      <c r="F549" s="37">
        <f>IF($A549="","",IF($B549="","EKSİK","TAM"))</f>
        <v/>
      </c>
    </row>
    <row r="550">
      <c r="F550" s="37">
        <f>IF($A550="","",IF($B550="","EKSİK","TAM"))</f>
        <v/>
      </c>
    </row>
    <row r="551">
      <c r="F551" s="37">
        <f>IF($A551="","",IF($B551="","EKSİK","TAM"))</f>
        <v/>
      </c>
    </row>
    <row r="552">
      <c r="F552" s="37">
        <f>IF($A552="","",IF($B552="","EKSİK","TAM"))</f>
        <v/>
      </c>
    </row>
    <row r="553">
      <c r="F553" s="37">
        <f>IF($A553="","",IF($B553="","EKSİK","TAM"))</f>
        <v/>
      </c>
    </row>
    <row r="554">
      <c r="F554" s="37">
        <f>IF($A554="","",IF($B554="","EKSİK","TAM"))</f>
        <v/>
      </c>
    </row>
    <row r="555">
      <c r="F555" s="37">
        <f>IF($A555="","",IF($B555="","EKSİK","TAM"))</f>
        <v/>
      </c>
    </row>
    <row r="556">
      <c r="F556" s="37">
        <f>IF($A556="","",IF($B556="","EKSİK","TAM"))</f>
        <v/>
      </c>
    </row>
    <row r="557">
      <c r="F557" s="37">
        <f>IF($A557="","",IF($B557="","EKSİK","TAM"))</f>
        <v/>
      </c>
    </row>
    <row r="558">
      <c r="F558" s="37">
        <f>IF($A558="","",IF($B558="","EKSİK","TAM"))</f>
        <v/>
      </c>
    </row>
    <row r="559">
      <c r="F559" s="37">
        <f>IF($A559="","",IF($B559="","EKSİK","TAM"))</f>
        <v/>
      </c>
    </row>
    <row r="560">
      <c r="F560" s="37">
        <f>IF($A560="","",IF($B560="","EKSİK","TAM"))</f>
        <v/>
      </c>
    </row>
    <row r="561">
      <c r="F561" s="37">
        <f>IF($A561="","",IF($B561="","EKSİK","TAM"))</f>
        <v/>
      </c>
    </row>
    <row r="562">
      <c r="F562" s="37">
        <f>IF($A562="","",IF($B562="","EKSİK","TAM"))</f>
        <v/>
      </c>
    </row>
    <row r="563">
      <c r="F563" s="37">
        <f>IF($A563="","",IF($B563="","EKSİK","TAM"))</f>
        <v/>
      </c>
    </row>
    <row r="564">
      <c r="F564" s="37">
        <f>IF($A564="","",IF($B564="","EKSİK","TAM"))</f>
        <v/>
      </c>
    </row>
    <row r="565">
      <c r="F565" s="37">
        <f>IF($A565="","",IF($B565="","EKSİK","TAM"))</f>
        <v/>
      </c>
    </row>
    <row r="566">
      <c r="F566" s="37">
        <f>IF($A566="","",IF($B566="","EKSİK","TAM"))</f>
        <v/>
      </c>
    </row>
    <row r="567">
      <c r="F567" s="37">
        <f>IF($A567="","",IF($B567="","EKSİK","TAM"))</f>
        <v/>
      </c>
    </row>
    <row r="568">
      <c r="F568" s="37">
        <f>IF($A568="","",IF($B568="","EKSİK","TAM"))</f>
        <v/>
      </c>
    </row>
    <row r="569">
      <c r="F569" s="37">
        <f>IF($A569="","",IF($B569="","EKSİK","TAM"))</f>
        <v/>
      </c>
    </row>
    <row r="570">
      <c r="F570" s="37">
        <f>IF($A570="","",IF($B570="","EKSİK","TAM"))</f>
        <v/>
      </c>
    </row>
    <row r="571">
      <c r="F571" s="37">
        <f>IF($A571="","",IF($B571="","EKSİK","TAM"))</f>
        <v/>
      </c>
    </row>
    <row r="572">
      <c r="F572" s="37">
        <f>IF($A572="","",IF($B572="","EKSİK","TAM"))</f>
        <v/>
      </c>
    </row>
    <row r="573">
      <c r="F573" s="37">
        <f>IF($A573="","",IF($B573="","EKSİK","TAM"))</f>
        <v/>
      </c>
    </row>
    <row r="574">
      <c r="F574" s="37">
        <f>IF($A574="","",IF($B574="","EKSİK","TAM"))</f>
        <v/>
      </c>
    </row>
    <row r="575">
      <c r="F575" s="37">
        <f>IF($A575="","",IF($B575="","EKSİK","TAM"))</f>
        <v/>
      </c>
    </row>
    <row r="576">
      <c r="F576" s="37">
        <f>IF($A576="","",IF($B576="","EKSİK","TAM"))</f>
        <v/>
      </c>
    </row>
    <row r="577">
      <c r="F577" s="37">
        <f>IF($A577="","",IF($B577="","EKSİK","TAM"))</f>
        <v/>
      </c>
    </row>
    <row r="578">
      <c r="F578" s="37">
        <f>IF($A578="","",IF($B578="","EKSİK","TAM"))</f>
        <v/>
      </c>
    </row>
    <row r="579">
      <c r="F579" s="37">
        <f>IF($A579="","",IF($B579="","EKSİK","TAM"))</f>
        <v/>
      </c>
    </row>
    <row r="580">
      <c r="F580" s="37">
        <f>IF($A580="","",IF($B580="","EKSİK","TAM"))</f>
        <v/>
      </c>
    </row>
    <row r="581">
      <c r="F581" s="37">
        <f>IF($A581="","",IF($B581="","EKSİK","TAM"))</f>
        <v/>
      </c>
    </row>
    <row r="582">
      <c r="F582" s="37">
        <f>IF($A582="","",IF($B582="","EKSİK","TAM"))</f>
        <v/>
      </c>
    </row>
    <row r="583">
      <c r="F583" s="37">
        <f>IF($A583="","",IF($B583="","EKSİK","TAM"))</f>
        <v/>
      </c>
    </row>
    <row r="584">
      <c r="F584" s="37">
        <f>IF($A584="","",IF($B584="","EKSİK","TAM"))</f>
        <v/>
      </c>
    </row>
    <row r="585">
      <c r="F585" s="37">
        <f>IF($A585="","",IF($B585="","EKSİK","TAM"))</f>
        <v/>
      </c>
    </row>
    <row r="586">
      <c r="F586" s="37">
        <f>IF($A586="","",IF($B586="","EKSİK","TAM"))</f>
        <v/>
      </c>
    </row>
    <row r="587">
      <c r="F587" s="37">
        <f>IF($A587="","",IF($B587="","EKSİK","TAM"))</f>
        <v/>
      </c>
    </row>
    <row r="588">
      <c r="F588" s="37">
        <f>IF($A588="","",IF($B588="","EKSİK","TAM"))</f>
        <v/>
      </c>
    </row>
    <row r="589">
      <c r="F589" s="37">
        <f>IF($A589="","",IF($B589="","EKSİK","TAM"))</f>
        <v/>
      </c>
    </row>
    <row r="590">
      <c r="F590" s="37">
        <f>IF($A590="","",IF($B590="","EKSİK","TAM"))</f>
        <v/>
      </c>
    </row>
    <row r="591">
      <c r="F591" s="37">
        <f>IF($A591="","",IF($B591="","EKSİK","TAM"))</f>
        <v/>
      </c>
    </row>
    <row r="592">
      <c r="F592" s="37">
        <f>IF($A592="","",IF($B592="","EKSİK","TAM"))</f>
        <v/>
      </c>
    </row>
    <row r="593">
      <c r="F593" s="37">
        <f>IF($A593="","",IF($B593="","EKSİK","TAM"))</f>
        <v/>
      </c>
    </row>
    <row r="594">
      <c r="F594" s="37">
        <f>IF($A594="","",IF($B594="","EKSİK","TAM"))</f>
        <v/>
      </c>
    </row>
    <row r="595">
      <c r="F595" s="37">
        <f>IF($A595="","",IF($B595="","EKSİK","TAM"))</f>
        <v/>
      </c>
    </row>
    <row r="596">
      <c r="F596" s="37">
        <f>IF($A596="","",IF($B596="","EKSİK","TAM"))</f>
        <v/>
      </c>
    </row>
    <row r="597">
      <c r="F597" s="37">
        <f>IF($A597="","",IF($B597="","EKSİK","TAM"))</f>
        <v/>
      </c>
    </row>
    <row r="598">
      <c r="F598" s="37">
        <f>IF($A598="","",IF($B598="","EKSİK","TAM"))</f>
        <v/>
      </c>
    </row>
    <row r="599">
      <c r="F599" s="37">
        <f>IF($A599="","",IF($B599="","EKSİK","TAM"))</f>
        <v/>
      </c>
    </row>
    <row r="600">
      <c r="F600" s="37">
        <f>IF($A600="","",IF($B600="","EKSİK","TAM"))</f>
        <v/>
      </c>
    </row>
    <row r="601">
      <c r="F601" s="37">
        <f>IF($A601="","",IF($B601="","EKSİK","TAM"))</f>
        <v/>
      </c>
    </row>
    <row r="602">
      <c r="F602" s="37">
        <f>IF($A602="","",IF($B602="","EKSİK","TAM"))</f>
        <v/>
      </c>
    </row>
    <row r="603">
      <c r="F603" s="37">
        <f>IF($A603="","",IF($B603="","EKSİK","TAM"))</f>
        <v/>
      </c>
    </row>
    <row r="604">
      <c r="F604" s="37">
        <f>IF($A604="","",IF($B604="","EKSİK","TAM"))</f>
        <v/>
      </c>
    </row>
    <row r="605">
      <c r="F605" s="37">
        <f>IF($A605="","",IF($B605="","EKSİK","TAM"))</f>
        <v/>
      </c>
    </row>
    <row r="606">
      <c r="F606" s="37">
        <f>IF($A606="","",IF($B606="","EKSİK","TAM"))</f>
        <v/>
      </c>
    </row>
    <row r="607">
      <c r="F607" s="37">
        <f>IF($A607="","",IF($B607="","EKSİK","TAM"))</f>
        <v/>
      </c>
    </row>
    <row r="608">
      <c r="F608" s="37">
        <f>IF($A608="","",IF($B608="","EKSİK","TAM"))</f>
        <v/>
      </c>
    </row>
    <row r="609">
      <c r="F609" s="37">
        <f>IF($A609="","",IF($B609="","EKSİK","TAM"))</f>
        <v/>
      </c>
    </row>
    <row r="610">
      <c r="F610" s="37">
        <f>IF($A610="","",IF($B610="","EKSİK","TAM"))</f>
        <v/>
      </c>
    </row>
    <row r="611">
      <c r="F611" s="37">
        <f>IF($A611="","",IF($B611="","EKSİK","TAM"))</f>
        <v/>
      </c>
    </row>
    <row r="612">
      <c r="F612" s="37">
        <f>IF($A612="","",IF($B612="","EKSİK","TAM"))</f>
        <v/>
      </c>
    </row>
    <row r="613">
      <c r="F613" s="37">
        <f>IF($A613="","",IF($B613="","EKSİK","TAM"))</f>
        <v/>
      </c>
    </row>
    <row r="614">
      <c r="F614" s="37">
        <f>IF($A614="","",IF($B614="","EKSİK","TAM"))</f>
        <v/>
      </c>
    </row>
    <row r="615">
      <c r="F615" s="37">
        <f>IF($A615="","",IF($B615="","EKSİK","TAM"))</f>
        <v/>
      </c>
    </row>
    <row r="616">
      <c r="F616" s="37">
        <f>IF($A616="","",IF($B616="","EKSİK","TAM"))</f>
        <v/>
      </c>
    </row>
    <row r="617">
      <c r="F617" s="37">
        <f>IF($A617="","",IF($B617="","EKSİK","TAM"))</f>
        <v/>
      </c>
    </row>
    <row r="618">
      <c r="F618" s="37">
        <f>IF($A618="","",IF($B618="","EKSİK","TAM"))</f>
        <v/>
      </c>
    </row>
    <row r="619">
      <c r="F619" s="37">
        <f>IF($A619="","",IF($B619="","EKSİK","TAM"))</f>
        <v/>
      </c>
    </row>
    <row r="620">
      <c r="F620" s="37">
        <f>IF($A620="","",IF($B620="","EKSİK","TAM"))</f>
        <v/>
      </c>
    </row>
    <row r="621">
      <c r="F621" s="37">
        <f>IF($A621="","",IF($B621="","EKSİK","TAM"))</f>
        <v/>
      </c>
    </row>
    <row r="622">
      <c r="F622" s="37">
        <f>IF($A622="","",IF($B622="","EKSİK","TAM"))</f>
        <v/>
      </c>
    </row>
    <row r="623">
      <c r="F623" s="37">
        <f>IF($A623="","",IF($B623="","EKSİK","TAM"))</f>
        <v/>
      </c>
    </row>
    <row r="624">
      <c r="F624" s="37">
        <f>IF($A624="","",IF($B624="","EKSİK","TAM"))</f>
        <v/>
      </c>
    </row>
    <row r="625">
      <c r="F625" s="37">
        <f>IF($A625="","",IF($B625="","EKSİK","TAM"))</f>
        <v/>
      </c>
    </row>
    <row r="626">
      <c r="F626" s="37">
        <f>IF($A626="","",IF($B626="","EKSİK","TAM"))</f>
        <v/>
      </c>
    </row>
    <row r="627">
      <c r="F627" s="37">
        <f>IF($A627="","",IF($B627="","EKSİK","TAM"))</f>
        <v/>
      </c>
    </row>
    <row r="628">
      <c r="F628" s="37">
        <f>IF($A628="","",IF($B628="","EKSİK","TAM"))</f>
        <v/>
      </c>
    </row>
    <row r="629">
      <c r="F629" s="37">
        <f>IF($A629="","",IF($B629="","EKSİK","TAM"))</f>
        <v/>
      </c>
    </row>
    <row r="630">
      <c r="F630" s="37">
        <f>IF($A630="","",IF($B630="","EKSİK","TAM"))</f>
        <v/>
      </c>
    </row>
    <row r="631">
      <c r="F631" s="37">
        <f>IF($A631="","",IF($B631="","EKSİK","TAM"))</f>
        <v/>
      </c>
    </row>
    <row r="632">
      <c r="F632" s="37">
        <f>IF($A632="","",IF($B632="","EKSİK","TAM"))</f>
        <v/>
      </c>
    </row>
    <row r="633">
      <c r="F633" s="37">
        <f>IF($A633="","",IF($B633="","EKSİK","TAM"))</f>
        <v/>
      </c>
    </row>
    <row r="634">
      <c r="F634" s="37">
        <f>IF($A634="","",IF($B634="","EKSİK","TAM"))</f>
        <v/>
      </c>
    </row>
    <row r="635">
      <c r="F635" s="37">
        <f>IF($A635="","",IF($B635="","EKSİK","TAM"))</f>
        <v/>
      </c>
    </row>
    <row r="636">
      <c r="F636" s="37">
        <f>IF($A636="","",IF($B636="","EKSİK","TAM"))</f>
        <v/>
      </c>
    </row>
    <row r="637">
      <c r="F637" s="37">
        <f>IF($A637="","",IF($B637="","EKSİK","TAM"))</f>
        <v/>
      </c>
    </row>
    <row r="638">
      <c r="F638" s="37">
        <f>IF($A638="","",IF($B638="","EKSİK","TAM"))</f>
        <v/>
      </c>
    </row>
    <row r="639">
      <c r="F639" s="37">
        <f>IF($A639="","",IF($B639="","EKSİK","TAM"))</f>
        <v/>
      </c>
    </row>
    <row r="640">
      <c r="F640" s="37">
        <f>IF($A640="","",IF($B640="","EKSİK","TAM"))</f>
        <v/>
      </c>
    </row>
    <row r="641">
      <c r="F641" s="37">
        <f>IF($A641="","",IF($B641="","EKSİK","TAM"))</f>
        <v/>
      </c>
    </row>
    <row r="642">
      <c r="F642" s="37">
        <f>IF($A642="","",IF($B642="","EKSİK","TAM"))</f>
        <v/>
      </c>
    </row>
    <row r="643">
      <c r="F643" s="37">
        <f>IF($A643="","",IF($B643="","EKSİK","TAM"))</f>
        <v/>
      </c>
    </row>
    <row r="644">
      <c r="F644" s="37">
        <f>IF($A644="","",IF($B644="","EKSİK","TAM"))</f>
        <v/>
      </c>
    </row>
    <row r="645">
      <c r="F645" s="37">
        <f>IF($A645="","",IF($B645="","EKSİK","TAM"))</f>
        <v/>
      </c>
    </row>
    <row r="646">
      <c r="F646" s="37">
        <f>IF($A646="","",IF($B646="","EKSİK","TAM"))</f>
        <v/>
      </c>
    </row>
    <row r="647">
      <c r="F647" s="37">
        <f>IF($A647="","",IF($B647="","EKSİK","TAM"))</f>
        <v/>
      </c>
    </row>
    <row r="648">
      <c r="F648" s="37">
        <f>IF($A648="","",IF($B648="","EKSİK","TAM"))</f>
        <v/>
      </c>
    </row>
    <row r="649">
      <c r="F649" s="37">
        <f>IF($A649="","",IF($B649="","EKSİK","TAM"))</f>
        <v/>
      </c>
    </row>
    <row r="650">
      <c r="F650" s="37">
        <f>IF($A650="","",IF($B650="","EKSİK","TAM"))</f>
        <v/>
      </c>
    </row>
    <row r="651">
      <c r="F651" s="37">
        <f>IF($A651="","",IF($B651="","EKSİK","TAM"))</f>
        <v/>
      </c>
    </row>
    <row r="652">
      <c r="F652" s="37">
        <f>IF($A652="","",IF($B652="","EKSİK","TAM"))</f>
        <v/>
      </c>
    </row>
    <row r="653">
      <c r="F653" s="37">
        <f>IF($A653="","",IF($B653="","EKSİK","TAM"))</f>
        <v/>
      </c>
    </row>
    <row r="654">
      <c r="F654" s="37">
        <f>IF($A654="","",IF($B654="","EKSİK","TAM"))</f>
        <v/>
      </c>
    </row>
    <row r="655">
      <c r="F655" s="37">
        <f>IF($A655="","",IF($B655="","EKSİK","TAM"))</f>
        <v/>
      </c>
    </row>
    <row r="656">
      <c r="F656" s="37">
        <f>IF($A656="","",IF($B656="","EKSİK","TAM"))</f>
        <v/>
      </c>
    </row>
    <row r="657">
      <c r="F657" s="37">
        <f>IF($A657="","",IF($B657="","EKSİK","TAM"))</f>
        <v/>
      </c>
    </row>
    <row r="658">
      <c r="F658" s="37">
        <f>IF($A658="","",IF($B658="","EKSİK","TAM"))</f>
        <v/>
      </c>
    </row>
    <row r="659">
      <c r="F659" s="37">
        <f>IF($A659="","",IF($B659="","EKSİK","TAM"))</f>
        <v/>
      </c>
    </row>
    <row r="660">
      <c r="F660" s="37">
        <f>IF($A660="","",IF($B660="","EKSİK","TAM"))</f>
        <v/>
      </c>
    </row>
    <row r="661">
      <c r="F661" s="37">
        <f>IF($A661="","",IF($B661="","EKSİK","TAM"))</f>
        <v/>
      </c>
    </row>
    <row r="662">
      <c r="F662" s="37">
        <f>IF($A662="","",IF($B662="","EKSİK","TAM"))</f>
        <v/>
      </c>
    </row>
    <row r="663">
      <c r="F663" s="37">
        <f>IF($A663="","",IF($B663="","EKSİK","TAM"))</f>
        <v/>
      </c>
    </row>
    <row r="664">
      <c r="F664" s="37">
        <f>IF($A664="","",IF($B664="","EKSİK","TAM"))</f>
        <v/>
      </c>
    </row>
    <row r="665">
      <c r="F665" s="37">
        <f>IF($A665="","",IF($B665="","EKSİK","TAM"))</f>
        <v/>
      </c>
    </row>
    <row r="666">
      <c r="F666" s="37">
        <f>IF($A666="","",IF($B666="","EKSİK","TAM"))</f>
        <v/>
      </c>
    </row>
    <row r="667">
      <c r="F667" s="37">
        <f>IF($A667="","",IF($B667="","EKSİK","TAM"))</f>
        <v/>
      </c>
    </row>
    <row r="668">
      <c r="F668" s="37">
        <f>IF($A668="","",IF($B668="","EKSİK","TAM"))</f>
        <v/>
      </c>
    </row>
    <row r="669">
      <c r="F669" s="37">
        <f>IF($A669="","",IF($B669="","EKSİK","TAM"))</f>
        <v/>
      </c>
    </row>
    <row r="670">
      <c r="F670" s="37">
        <f>IF($A670="","",IF($B670="","EKSİK","TAM"))</f>
        <v/>
      </c>
    </row>
    <row r="671">
      <c r="F671" s="37">
        <f>IF($A671="","",IF($B671="","EKSİK","TAM"))</f>
        <v/>
      </c>
    </row>
    <row r="672">
      <c r="F672" s="37">
        <f>IF($A672="","",IF($B672="","EKSİK","TAM"))</f>
        <v/>
      </c>
    </row>
    <row r="673">
      <c r="F673" s="37">
        <f>IF($A673="","",IF($B673="","EKSİK","TAM"))</f>
        <v/>
      </c>
    </row>
    <row r="674">
      <c r="F674" s="37">
        <f>IF($A674="","",IF($B674="","EKSİK","TAM"))</f>
        <v/>
      </c>
    </row>
    <row r="675">
      <c r="F675" s="37">
        <f>IF($A675="","",IF($B675="","EKSİK","TAM"))</f>
        <v/>
      </c>
    </row>
    <row r="676">
      <c r="F676" s="37">
        <f>IF($A676="","",IF($B676="","EKSİK","TAM"))</f>
        <v/>
      </c>
    </row>
    <row r="677">
      <c r="F677" s="37">
        <f>IF($A677="","",IF($B677="","EKSİK","TAM"))</f>
        <v/>
      </c>
    </row>
    <row r="678">
      <c r="F678" s="37">
        <f>IF($A678="","",IF($B678="","EKSİK","TAM"))</f>
        <v/>
      </c>
    </row>
    <row r="679">
      <c r="F679" s="37">
        <f>IF($A679="","",IF($B679="","EKSİK","TAM"))</f>
        <v/>
      </c>
    </row>
    <row r="680">
      <c r="F680" s="37">
        <f>IF($A680="","",IF($B680="","EKSİK","TAM"))</f>
        <v/>
      </c>
    </row>
    <row r="681">
      <c r="F681" s="37">
        <f>IF($A681="","",IF($B681="","EKSİK","TAM"))</f>
        <v/>
      </c>
    </row>
    <row r="682">
      <c r="F682" s="37">
        <f>IF($A682="","",IF($B682="","EKSİK","TAM"))</f>
        <v/>
      </c>
    </row>
    <row r="683">
      <c r="F683" s="37">
        <f>IF($A683="","",IF($B683="","EKSİK","TAM"))</f>
        <v/>
      </c>
    </row>
    <row r="684">
      <c r="F684" s="37">
        <f>IF($A684="","",IF($B684="","EKSİK","TAM"))</f>
        <v/>
      </c>
    </row>
    <row r="685">
      <c r="F685" s="37">
        <f>IF($A685="","",IF($B685="","EKSİK","TAM"))</f>
        <v/>
      </c>
    </row>
    <row r="686">
      <c r="F686" s="37">
        <f>IF($A686="","",IF($B686="","EKSİK","TAM"))</f>
        <v/>
      </c>
    </row>
    <row r="687">
      <c r="F687" s="37">
        <f>IF($A687="","",IF($B687="","EKSİK","TAM"))</f>
        <v/>
      </c>
    </row>
    <row r="688">
      <c r="F688" s="37">
        <f>IF($A688="","",IF($B688="","EKSİK","TAM"))</f>
        <v/>
      </c>
    </row>
    <row r="689">
      <c r="F689" s="37">
        <f>IF($A689="","",IF($B689="","EKSİK","TAM"))</f>
        <v/>
      </c>
    </row>
    <row r="690">
      <c r="F690" s="37">
        <f>IF($A690="","",IF($B690="","EKSİK","TAM"))</f>
        <v/>
      </c>
    </row>
    <row r="691">
      <c r="F691" s="37">
        <f>IF($A691="","",IF($B691="","EKSİK","TAM"))</f>
        <v/>
      </c>
    </row>
    <row r="692">
      <c r="F692" s="37">
        <f>IF($A692="","",IF($B692="","EKSİK","TAM"))</f>
        <v/>
      </c>
    </row>
    <row r="693">
      <c r="F693" s="37">
        <f>IF($A693="","",IF($B693="","EKSİK","TAM"))</f>
        <v/>
      </c>
    </row>
    <row r="694">
      <c r="F694" s="37">
        <f>IF($A694="","",IF($B694="","EKSİK","TAM"))</f>
        <v/>
      </c>
    </row>
    <row r="695">
      <c r="F695" s="37">
        <f>IF($A695="","",IF($B695="","EKSİK","TAM"))</f>
        <v/>
      </c>
    </row>
    <row r="696">
      <c r="F696" s="37">
        <f>IF($A696="","",IF($B696="","EKSİK","TAM"))</f>
        <v/>
      </c>
    </row>
    <row r="697">
      <c r="F697" s="37">
        <f>IF($A697="","",IF($B697="","EKSİK","TAM"))</f>
        <v/>
      </c>
    </row>
    <row r="698">
      <c r="F698" s="37">
        <f>IF($A698="","",IF($B698="","EKSİK","TAM"))</f>
        <v/>
      </c>
    </row>
    <row r="699">
      <c r="F699" s="37">
        <f>IF($A699="","",IF($B699="","EKSİK","TAM"))</f>
        <v/>
      </c>
    </row>
    <row r="700">
      <c r="F700" s="37">
        <f>IF($A700="","",IF($B700="","EKSİK","TAM"))</f>
        <v/>
      </c>
    </row>
    <row r="701">
      <c r="F701" s="37">
        <f>IF($A701="","",IF($B701="","EKSİK","TAM"))</f>
        <v/>
      </c>
    </row>
    <row r="702">
      <c r="F702" s="37">
        <f>IF($A702="","",IF($B702="","EKSİK","TAM"))</f>
        <v/>
      </c>
    </row>
    <row r="703">
      <c r="F703" s="37">
        <f>IF($A703="","",IF($B703="","EKSİK","TAM"))</f>
        <v/>
      </c>
    </row>
    <row r="704">
      <c r="F704" s="37">
        <f>IF($A704="","",IF($B704="","EKSİK","TAM"))</f>
        <v/>
      </c>
    </row>
    <row r="705">
      <c r="F705" s="37">
        <f>IF($A705="","",IF($B705="","EKSİK","TAM"))</f>
        <v/>
      </c>
    </row>
    <row r="706">
      <c r="F706" s="37">
        <f>IF($A706="","",IF($B706="","EKSİK","TAM"))</f>
        <v/>
      </c>
    </row>
    <row r="707">
      <c r="F707" s="37">
        <f>IF($A707="","",IF($B707="","EKSİK","TAM"))</f>
        <v/>
      </c>
    </row>
    <row r="708">
      <c r="F708" s="37">
        <f>IF($A708="","",IF($B708="","EKSİK","TAM"))</f>
        <v/>
      </c>
    </row>
    <row r="709">
      <c r="F709" s="37">
        <f>IF($A709="","",IF($B709="","EKSİK","TAM"))</f>
        <v/>
      </c>
    </row>
    <row r="710">
      <c r="F710" s="37">
        <f>IF($A710="","",IF($B710="","EKSİK","TAM"))</f>
        <v/>
      </c>
    </row>
    <row r="711">
      <c r="F711" s="37">
        <f>IF($A711="","",IF($B711="","EKSİK","TAM"))</f>
        <v/>
      </c>
    </row>
    <row r="712">
      <c r="F712" s="37">
        <f>IF($A712="","",IF($B712="","EKSİK","TAM"))</f>
        <v/>
      </c>
    </row>
    <row r="713">
      <c r="F713" s="37">
        <f>IF($A713="","",IF($B713="","EKSİK","TAM"))</f>
        <v/>
      </c>
    </row>
    <row r="714">
      <c r="F714" s="37">
        <f>IF($A714="","",IF($B714="","EKSİK","TAM"))</f>
        <v/>
      </c>
    </row>
    <row r="715">
      <c r="F715" s="37">
        <f>IF($A715="","",IF($B715="","EKSİK","TAM"))</f>
        <v/>
      </c>
    </row>
    <row r="716">
      <c r="F716" s="37">
        <f>IF($A716="","",IF($B716="","EKSİK","TAM"))</f>
        <v/>
      </c>
    </row>
    <row r="717">
      <c r="F717" s="37">
        <f>IF($A717="","",IF($B717="","EKSİK","TAM"))</f>
        <v/>
      </c>
    </row>
    <row r="718">
      <c r="F718" s="37">
        <f>IF($A718="","",IF($B718="","EKSİK","TAM"))</f>
        <v/>
      </c>
    </row>
    <row r="719">
      <c r="F719" s="37">
        <f>IF($A719="","",IF($B719="","EKSİK","TAM"))</f>
        <v/>
      </c>
    </row>
    <row r="720">
      <c r="F720" s="37">
        <f>IF($A720="","",IF($B720="","EKSİK","TAM"))</f>
        <v/>
      </c>
    </row>
    <row r="721">
      <c r="F721" s="37">
        <f>IF($A721="","",IF($B721="","EKSİK","TAM"))</f>
        <v/>
      </c>
    </row>
    <row r="722">
      <c r="F722" s="37">
        <f>IF($A722="","",IF($B722="","EKSİK","TAM"))</f>
        <v/>
      </c>
    </row>
    <row r="723">
      <c r="F723" s="37">
        <f>IF($A723="","",IF($B723="","EKSİK","TAM"))</f>
        <v/>
      </c>
    </row>
    <row r="724">
      <c r="F724" s="37">
        <f>IF($A724="","",IF($B724="","EKSİK","TAM"))</f>
        <v/>
      </c>
    </row>
    <row r="725">
      <c r="F725" s="37">
        <f>IF($A725="","",IF($B725="","EKSİK","TAM"))</f>
        <v/>
      </c>
    </row>
    <row r="726">
      <c r="F726" s="37">
        <f>IF($A726="","",IF($B726="","EKSİK","TAM"))</f>
        <v/>
      </c>
    </row>
    <row r="727">
      <c r="F727" s="37">
        <f>IF($A727="","",IF($B727="","EKSİK","TAM"))</f>
        <v/>
      </c>
    </row>
    <row r="728">
      <c r="F728" s="37">
        <f>IF($A728="","",IF($B728="","EKSİK","TAM"))</f>
        <v/>
      </c>
    </row>
    <row r="729">
      <c r="F729" s="37">
        <f>IF($A729="","",IF($B729="","EKSİK","TAM"))</f>
        <v/>
      </c>
    </row>
    <row r="730">
      <c r="F730" s="37">
        <f>IF($A730="","",IF($B730="","EKSİK","TAM"))</f>
        <v/>
      </c>
    </row>
    <row r="731">
      <c r="F731" s="37">
        <f>IF($A731="","",IF($B731="","EKSİK","TAM"))</f>
        <v/>
      </c>
    </row>
    <row r="732">
      <c r="F732" s="37">
        <f>IF($A732="","",IF($B732="","EKSİK","TAM"))</f>
        <v/>
      </c>
    </row>
    <row r="733">
      <c r="F733" s="37">
        <f>IF($A733="","",IF($B733="","EKSİK","TAM"))</f>
        <v/>
      </c>
    </row>
    <row r="734">
      <c r="F734" s="37">
        <f>IF($A734="","",IF($B734="","EKSİK","TAM"))</f>
        <v/>
      </c>
    </row>
    <row r="735">
      <c r="F735" s="37">
        <f>IF($A735="","",IF($B735="","EKSİK","TAM"))</f>
        <v/>
      </c>
    </row>
    <row r="736">
      <c r="F736" s="37">
        <f>IF($A736="","",IF($B736="","EKSİK","TAM"))</f>
        <v/>
      </c>
    </row>
    <row r="737">
      <c r="F737" s="37">
        <f>IF($A737="","",IF($B737="","EKSİK","TAM"))</f>
        <v/>
      </c>
    </row>
    <row r="738">
      <c r="F738" s="37">
        <f>IF($A738="","",IF($B738="","EKSİK","TAM"))</f>
        <v/>
      </c>
    </row>
    <row r="739">
      <c r="F739" s="37">
        <f>IF($A739="","",IF($B739="","EKSİK","TAM"))</f>
        <v/>
      </c>
    </row>
    <row r="740">
      <c r="F740" s="37">
        <f>IF($A740="","",IF($B740="","EKSİK","TAM"))</f>
        <v/>
      </c>
    </row>
    <row r="741">
      <c r="F741" s="37">
        <f>IF($A741="","",IF($B741="","EKSİK","TAM"))</f>
        <v/>
      </c>
    </row>
    <row r="742">
      <c r="F742" s="37">
        <f>IF($A742="","",IF($B742="","EKSİK","TAM"))</f>
        <v/>
      </c>
    </row>
    <row r="743">
      <c r="F743" s="37">
        <f>IF($A743="","",IF($B743="","EKSİK","TAM"))</f>
        <v/>
      </c>
    </row>
    <row r="744">
      <c r="F744" s="37">
        <f>IF($A744="","",IF($B744="","EKSİK","TAM"))</f>
        <v/>
      </c>
    </row>
    <row r="745">
      <c r="F745" s="37">
        <f>IF($A745="","",IF($B745="","EKSİK","TAM"))</f>
        <v/>
      </c>
    </row>
    <row r="746">
      <c r="F746" s="37">
        <f>IF($A746="","",IF($B746="","EKSİK","TAM"))</f>
        <v/>
      </c>
    </row>
    <row r="747">
      <c r="F747" s="37">
        <f>IF($A747="","",IF($B747="","EKSİK","TAM"))</f>
        <v/>
      </c>
    </row>
    <row r="748">
      <c r="F748" s="37">
        <f>IF($A748="","",IF($B748="","EKSİK","TAM"))</f>
        <v/>
      </c>
    </row>
    <row r="749">
      <c r="F749" s="37">
        <f>IF($A749="","",IF($B749="","EKSİK","TAM"))</f>
        <v/>
      </c>
    </row>
    <row r="750">
      <c r="F750" s="37">
        <f>IF($A750="","",IF($B750="","EKSİK","TAM"))</f>
        <v/>
      </c>
    </row>
    <row r="751">
      <c r="F751" s="37">
        <f>IF($A751="","",IF($B751="","EKSİK","TAM"))</f>
        <v/>
      </c>
    </row>
    <row r="752">
      <c r="F752" s="37">
        <f>IF($A752="","",IF($B752="","EKSİK","TAM"))</f>
        <v/>
      </c>
    </row>
    <row r="753">
      <c r="F753" s="37">
        <f>IF($A753="","",IF($B753="","EKSİK","TAM"))</f>
        <v/>
      </c>
    </row>
    <row r="754">
      <c r="F754" s="37">
        <f>IF($A754="","",IF($B754="","EKSİK","TAM"))</f>
        <v/>
      </c>
    </row>
    <row r="755">
      <c r="F755" s="37">
        <f>IF($A755="","",IF($B755="","EKSİK","TAM"))</f>
        <v/>
      </c>
    </row>
    <row r="756">
      <c r="F756" s="37">
        <f>IF($A756="","",IF($B756="","EKSİK","TAM"))</f>
        <v/>
      </c>
    </row>
    <row r="757">
      <c r="F757" s="37">
        <f>IF($A757="","",IF($B757="","EKSİK","TAM"))</f>
        <v/>
      </c>
    </row>
    <row r="758">
      <c r="F758" s="37">
        <f>IF($A758="","",IF($B758="","EKSİK","TAM"))</f>
        <v/>
      </c>
    </row>
    <row r="759">
      <c r="F759" s="37">
        <f>IF($A759="","",IF($B759="","EKSİK","TAM"))</f>
        <v/>
      </c>
    </row>
    <row r="760">
      <c r="F760" s="37">
        <f>IF($A760="","",IF($B760="","EKSİK","TAM"))</f>
        <v/>
      </c>
    </row>
    <row r="761">
      <c r="F761" s="37">
        <f>IF($A761="","",IF($B761="","EKSİK","TAM"))</f>
        <v/>
      </c>
    </row>
    <row r="762">
      <c r="F762" s="37">
        <f>IF($A762="","",IF($B762="","EKSİK","TAM"))</f>
        <v/>
      </c>
    </row>
    <row r="763">
      <c r="F763" s="37">
        <f>IF($A763="","",IF($B763="","EKSİK","TAM"))</f>
        <v/>
      </c>
    </row>
    <row r="764">
      <c r="F764" s="37">
        <f>IF($A764="","",IF($B764="","EKSİK","TAM"))</f>
        <v/>
      </c>
    </row>
    <row r="765">
      <c r="F765" s="37">
        <f>IF($A765="","",IF($B765="","EKSİK","TAM"))</f>
        <v/>
      </c>
    </row>
    <row r="766">
      <c r="F766" s="37">
        <f>IF($A766="","",IF($B766="","EKSİK","TAM"))</f>
        <v/>
      </c>
    </row>
    <row r="767">
      <c r="F767" s="37">
        <f>IF($A767="","",IF($B767="","EKSİK","TAM"))</f>
        <v/>
      </c>
    </row>
    <row r="768">
      <c r="F768" s="37">
        <f>IF($A768="","",IF($B768="","EKSİK","TAM"))</f>
        <v/>
      </c>
    </row>
    <row r="769">
      <c r="F769" s="37">
        <f>IF($A769="","",IF($B769="","EKSİK","TAM"))</f>
        <v/>
      </c>
    </row>
    <row r="770">
      <c r="F770" s="37">
        <f>IF($A770="","",IF($B770="","EKSİK","TAM"))</f>
        <v/>
      </c>
    </row>
    <row r="771">
      <c r="F771" s="37">
        <f>IF($A771="","",IF($B771="","EKSİK","TAM"))</f>
        <v/>
      </c>
    </row>
    <row r="772">
      <c r="F772" s="37">
        <f>IF($A772="","",IF($B772="","EKSİK","TAM"))</f>
        <v/>
      </c>
    </row>
    <row r="773">
      <c r="F773" s="37">
        <f>IF($A773="","",IF($B773="","EKSİK","TAM"))</f>
        <v/>
      </c>
    </row>
    <row r="774">
      <c r="F774" s="37">
        <f>IF($A774="","",IF($B774="","EKSİK","TAM"))</f>
        <v/>
      </c>
    </row>
    <row r="775">
      <c r="F775" s="37">
        <f>IF($A775="","",IF($B775="","EKSİK","TAM"))</f>
        <v/>
      </c>
    </row>
    <row r="776">
      <c r="F776" s="37">
        <f>IF($A776="","",IF($B776="","EKSİK","TAM"))</f>
        <v/>
      </c>
    </row>
    <row r="777">
      <c r="F777" s="37">
        <f>IF($A777="","",IF($B777="","EKSİK","TAM"))</f>
        <v/>
      </c>
    </row>
    <row r="778">
      <c r="F778" s="37">
        <f>IF($A778="","",IF($B778="","EKSİK","TAM"))</f>
        <v/>
      </c>
    </row>
    <row r="779">
      <c r="F779" s="37">
        <f>IF($A779="","",IF($B779="","EKSİK","TAM"))</f>
        <v/>
      </c>
    </row>
    <row r="780">
      <c r="F780" s="37">
        <f>IF($A780="","",IF($B780="","EKSİK","TAM"))</f>
        <v/>
      </c>
    </row>
    <row r="781">
      <c r="F781" s="37">
        <f>IF($A781="","",IF($B781="","EKSİK","TAM"))</f>
        <v/>
      </c>
    </row>
    <row r="782">
      <c r="F782" s="37">
        <f>IF($A782="","",IF($B782="","EKSİK","TAM"))</f>
        <v/>
      </c>
    </row>
    <row r="783">
      <c r="F783" s="37">
        <f>IF($A783="","",IF($B783="","EKSİK","TAM"))</f>
        <v/>
      </c>
    </row>
    <row r="784">
      <c r="F784" s="37">
        <f>IF($A784="","",IF($B784="","EKSİK","TAM"))</f>
        <v/>
      </c>
    </row>
    <row r="785">
      <c r="F785" s="37">
        <f>IF($A785="","",IF($B785="","EKSİK","TAM"))</f>
        <v/>
      </c>
    </row>
    <row r="786">
      <c r="F786" s="37">
        <f>IF($A786="","",IF($B786="","EKSİK","TAM"))</f>
        <v/>
      </c>
    </row>
    <row r="787">
      <c r="F787" s="37">
        <f>IF($A787="","",IF($B787="","EKSİK","TAM"))</f>
        <v/>
      </c>
    </row>
    <row r="788">
      <c r="F788" s="37">
        <f>IF($A788="","",IF($B788="","EKSİK","TAM"))</f>
        <v/>
      </c>
    </row>
    <row r="789">
      <c r="F789" s="37">
        <f>IF($A789="","",IF($B789="","EKSİK","TAM"))</f>
        <v/>
      </c>
    </row>
    <row r="790">
      <c r="F790" s="37">
        <f>IF($A790="","",IF($B790="","EKSİK","TAM"))</f>
        <v/>
      </c>
    </row>
    <row r="791">
      <c r="F791" s="37">
        <f>IF($A791="","",IF($B791="","EKSİK","TAM"))</f>
        <v/>
      </c>
    </row>
    <row r="792">
      <c r="F792" s="37">
        <f>IF($A792="","",IF($B792="","EKSİK","TAM"))</f>
        <v/>
      </c>
    </row>
    <row r="793">
      <c r="F793" s="37">
        <f>IF($A793="","",IF($B793="","EKSİK","TAM"))</f>
        <v/>
      </c>
    </row>
    <row r="794">
      <c r="F794" s="37">
        <f>IF($A794="","",IF($B794="","EKSİK","TAM"))</f>
        <v/>
      </c>
    </row>
    <row r="795">
      <c r="F795" s="37">
        <f>IF($A795="","",IF($B795="","EKSİK","TAM"))</f>
        <v/>
      </c>
    </row>
    <row r="796">
      <c r="F796" s="37">
        <f>IF($A796="","",IF($B796="","EKSİK","TAM"))</f>
        <v/>
      </c>
    </row>
    <row r="797">
      <c r="F797" s="37">
        <f>IF($A797="","",IF($B797="","EKSİK","TAM"))</f>
        <v/>
      </c>
    </row>
    <row r="798">
      <c r="F798" s="37">
        <f>IF($A798="","",IF($B798="","EKSİK","TAM"))</f>
        <v/>
      </c>
    </row>
    <row r="799">
      <c r="F799" s="37">
        <f>IF($A799="","",IF($B799="","EKSİK","TAM"))</f>
        <v/>
      </c>
    </row>
    <row r="800">
      <c r="F800" s="37">
        <f>IF($A800="","",IF($B800="","EKSİK","TAM"))</f>
        <v/>
      </c>
    </row>
    <row r="801">
      <c r="F801" s="37">
        <f>IF($A801="","",IF($B801="","EKSİK","TAM"))</f>
        <v/>
      </c>
    </row>
    <row r="802">
      <c r="F802" s="37">
        <f>IF($A802="","",IF($B802="","EKSİK","TAM"))</f>
        <v/>
      </c>
    </row>
    <row r="803">
      <c r="F803" s="37">
        <f>IF($A803="","",IF($B803="","EKSİK","TAM"))</f>
        <v/>
      </c>
    </row>
    <row r="804">
      <c r="F804" s="37">
        <f>IF($A804="","",IF($B804="","EKSİK","TAM"))</f>
        <v/>
      </c>
    </row>
    <row r="805">
      <c r="F805" s="37">
        <f>IF($A805="","",IF($B805="","EKSİK","TAM"))</f>
        <v/>
      </c>
    </row>
    <row r="806">
      <c r="F806" s="37">
        <f>IF($A806="","",IF($B806="","EKSİK","TAM"))</f>
        <v/>
      </c>
    </row>
    <row r="807">
      <c r="F807" s="37">
        <f>IF($A807="","",IF($B807="","EKSİK","TAM"))</f>
        <v/>
      </c>
    </row>
    <row r="808">
      <c r="F808" s="37">
        <f>IF($A808="","",IF($B808="","EKSİK","TAM"))</f>
        <v/>
      </c>
    </row>
    <row r="809">
      <c r="F809" s="37">
        <f>IF($A809="","",IF($B809="","EKSİK","TAM"))</f>
        <v/>
      </c>
    </row>
    <row r="810">
      <c r="F810" s="37">
        <f>IF($A810="","",IF($B810="","EKSİK","TAM"))</f>
        <v/>
      </c>
    </row>
    <row r="811">
      <c r="F811" s="37">
        <f>IF($A811="","",IF($B811="","EKSİK","TAM"))</f>
        <v/>
      </c>
    </row>
    <row r="812">
      <c r="F812" s="37">
        <f>IF($A812="","",IF($B812="","EKSİK","TAM"))</f>
        <v/>
      </c>
    </row>
    <row r="813">
      <c r="F813" s="37">
        <f>IF($A813="","",IF($B813="","EKSİK","TAM"))</f>
        <v/>
      </c>
    </row>
    <row r="814">
      <c r="F814" s="37">
        <f>IF($A814="","",IF($B814="","EKSİK","TAM"))</f>
        <v/>
      </c>
    </row>
    <row r="815">
      <c r="F815" s="37">
        <f>IF($A815="","",IF($B815="","EKSİK","TAM"))</f>
        <v/>
      </c>
    </row>
    <row r="816">
      <c r="F816" s="37">
        <f>IF($A816="","",IF($B816="","EKSİK","TAM"))</f>
        <v/>
      </c>
    </row>
    <row r="817">
      <c r="F817" s="37">
        <f>IF($A817="","",IF($B817="","EKSİK","TAM"))</f>
        <v/>
      </c>
    </row>
    <row r="818">
      <c r="F818" s="37">
        <f>IF($A818="","",IF($B818="","EKSİK","TAM"))</f>
        <v/>
      </c>
    </row>
    <row r="819">
      <c r="F819" s="37">
        <f>IF($A819="","",IF($B819="","EKSİK","TAM"))</f>
        <v/>
      </c>
    </row>
    <row r="820">
      <c r="F820" s="37">
        <f>IF($A820="","",IF($B820="","EKSİK","TAM"))</f>
        <v/>
      </c>
    </row>
    <row r="821">
      <c r="F821" s="37">
        <f>IF($A821="","",IF($B821="","EKSİK","TAM"))</f>
        <v/>
      </c>
    </row>
    <row r="822">
      <c r="F822" s="37">
        <f>IF($A822="","",IF($B822="","EKSİK","TAM"))</f>
        <v/>
      </c>
    </row>
    <row r="823">
      <c r="F823" s="37">
        <f>IF($A823="","",IF($B823="","EKSİK","TAM"))</f>
        <v/>
      </c>
    </row>
    <row r="824">
      <c r="F824" s="37">
        <f>IF($A824="","",IF($B824="","EKSİK","TAM"))</f>
        <v/>
      </c>
    </row>
    <row r="825">
      <c r="F825" s="37">
        <f>IF($A825="","",IF($B825="","EKSİK","TAM"))</f>
        <v/>
      </c>
    </row>
    <row r="826">
      <c r="F826" s="37">
        <f>IF($A826="","",IF($B826="","EKSİK","TAM"))</f>
        <v/>
      </c>
    </row>
    <row r="827">
      <c r="F827" s="37">
        <f>IF($A827="","",IF($B827="","EKSİK","TAM"))</f>
        <v/>
      </c>
    </row>
    <row r="828">
      <c r="F828" s="37">
        <f>IF($A828="","",IF($B828="","EKSİK","TAM"))</f>
        <v/>
      </c>
    </row>
    <row r="829">
      <c r="F829" s="37">
        <f>IF($A829="","",IF($B829="","EKSİK","TAM"))</f>
        <v/>
      </c>
    </row>
    <row r="830">
      <c r="F830" s="37">
        <f>IF($A830="","",IF($B830="","EKSİK","TAM"))</f>
        <v/>
      </c>
    </row>
    <row r="831">
      <c r="F831" s="37">
        <f>IF($A831="","",IF($B831="","EKSİK","TAM"))</f>
        <v/>
      </c>
    </row>
    <row r="832">
      <c r="F832" s="37">
        <f>IF($A832="","",IF($B832="","EKSİK","TAM"))</f>
        <v/>
      </c>
    </row>
    <row r="833">
      <c r="F833" s="37">
        <f>IF($A833="","",IF($B833="","EKSİK","TAM"))</f>
        <v/>
      </c>
    </row>
    <row r="834">
      <c r="F834" s="37">
        <f>IF($A834="","",IF($B834="","EKSİK","TAM"))</f>
        <v/>
      </c>
    </row>
    <row r="835">
      <c r="F835" s="37">
        <f>IF($A835="","",IF($B835="","EKSİK","TAM"))</f>
        <v/>
      </c>
    </row>
    <row r="836">
      <c r="F836" s="37">
        <f>IF($A836="","",IF($B836="","EKSİK","TAM"))</f>
        <v/>
      </c>
    </row>
    <row r="837">
      <c r="F837" s="37">
        <f>IF($A837="","",IF($B837="","EKSİK","TAM"))</f>
        <v/>
      </c>
    </row>
    <row r="838">
      <c r="F838" s="37">
        <f>IF($A838="","",IF($B838="","EKSİK","TAM"))</f>
        <v/>
      </c>
    </row>
    <row r="839">
      <c r="F839" s="37">
        <f>IF($A839="","",IF($B839="","EKSİK","TAM"))</f>
        <v/>
      </c>
    </row>
    <row r="840">
      <c r="F840" s="37">
        <f>IF($A840="","",IF($B840="","EKSİK","TAM"))</f>
        <v/>
      </c>
    </row>
    <row r="841">
      <c r="F841" s="37">
        <f>IF($A841="","",IF($B841="","EKSİK","TAM"))</f>
        <v/>
      </c>
    </row>
    <row r="842">
      <c r="F842" s="37">
        <f>IF($A842="","",IF($B842="","EKSİK","TAM"))</f>
        <v/>
      </c>
    </row>
    <row r="843">
      <c r="F843" s="37">
        <f>IF($A843="","",IF($B843="","EKSİK","TAM"))</f>
        <v/>
      </c>
    </row>
    <row r="844">
      <c r="F844" s="37">
        <f>IF($A844="","",IF($B844="","EKSİK","TAM"))</f>
        <v/>
      </c>
    </row>
    <row r="845">
      <c r="F845" s="37">
        <f>IF($A845="","",IF($B845="","EKSİK","TAM"))</f>
        <v/>
      </c>
    </row>
    <row r="846">
      <c r="F846" s="37">
        <f>IF($A846="","",IF($B846="","EKSİK","TAM"))</f>
        <v/>
      </c>
    </row>
    <row r="847">
      <c r="F847" s="37">
        <f>IF($A847="","",IF($B847="","EKSİK","TAM"))</f>
        <v/>
      </c>
    </row>
    <row r="848">
      <c r="F848" s="37">
        <f>IF($A848="","",IF($B848="","EKSİK","TAM"))</f>
        <v/>
      </c>
    </row>
    <row r="849">
      <c r="F849" s="37">
        <f>IF($A849="","",IF($B849="","EKSİK","TAM"))</f>
        <v/>
      </c>
    </row>
    <row r="850">
      <c r="F850" s="37">
        <f>IF($A850="","",IF($B850="","EKSİK","TAM"))</f>
        <v/>
      </c>
    </row>
    <row r="851">
      <c r="F851" s="37">
        <f>IF($A851="","",IF($B851="","EKSİK","TAM"))</f>
        <v/>
      </c>
    </row>
    <row r="852">
      <c r="F852" s="37">
        <f>IF($A852="","",IF($B852="","EKSİK","TAM"))</f>
        <v/>
      </c>
    </row>
    <row r="853">
      <c r="F853" s="37">
        <f>IF($A853="","",IF($B853="","EKSİK","TAM"))</f>
        <v/>
      </c>
    </row>
    <row r="854">
      <c r="F854" s="37">
        <f>IF($A854="","",IF($B854="","EKSİK","TAM"))</f>
        <v/>
      </c>
    </row>
    <row r="855">
      <c r="F855" s="37">
        <f>IF($A855="","",IF($B855="","EKSİK","TAM"))</f>
        <v/>
      </c>
    </row>
    <row r="856">
      <c r="F856" s="37">
        <f>IF($A856="","",IF($B856="","EKSİK","TAM"))</f>
        <v/>
      </c>
    </row>
    <row r="857">
      <c r="F857" s="37">
        <f>IF($A857="","",IF($B857="","EKSİK","TAM"))</f>
        <v/>
      </c>
    </row>
    <row r="858">
      <c r="F858" s="37">
        <f>IF($A858="","",IF($B858="","EKSİK","TAM"))</f>
        <v/>
      </c>
    </row>
    <row r="859">
      <c r="F859" s="37">
        <f>IF($A859="","",IF($B859="","EKSİK","TAM"))</f>
        <v/>
      </c>
    </row>
    <row r="860">
      <c r="F860" s="37">
        <f>IF($A860="","",IF($B860="","EKSİK","TAM"))</f>
        <v/>
      </c>
    </row>
    <row r="861">
      <c r="F861" s="37">
        <f>IF($A861="","",IF($B861="","EKSİK","TAM"))</f>
        <v/>
      </c>
    </row>
    <row r="862">
      <c r="F862" s="37">
        <f>IF($A862="","",IF($B862="","EKSİK","TAM"))</f>
        <v/>
      </c>
    </row>
    <row r="863">
      <c r="F863" s="37">
        <f>IF($A863="","",IF($B863="","EKSİK","TAM"))</f>
        <v/>
      </c>
    </row>
    <row r="864">
      <c r="F864" s="37">
        <f>IF($A864="","",IF($B864="","EKSİK","TAM"))</f>
        <v/>
      </c>
    </row>
    <row r="865">
      <c r="F865" s="37">
        <f>IF($A865="","",IF($B865="","EKSİK","TAM"))</f>
        <v/>
      </c>
    </row>
    <row r="866">
      <c r="F866" s="37">
        <f>IF($A866="","",IF($B866="","EKSİK","TAM"))</f>
        <v/>
      </c>
    </row>
    <row r="867">
      <c r="F867" s="37">
        <f>IF($A867="","",IF($B867="","EKSİK","TAM"))</f>
        <v/>
      </c>
    </row>
    <row r="868">
      <c r="F868" s="37">
        <f>IF($A868="","",IF($B868="","EKSİK","TAM"))</f>
        <v/>
      </c>
    </row>
    <row r="869">
      <c r="F869" s="37">
        <f>IF($A869="","",IF($B869="","EKSİK","TAM"))</f>
        <v/>
      </c>
    </row>
    <row r="870">
      <c r="F870" s="37">
        <f>IF($A870="","",IF($B870="","EKSİK","TAM"))</f>
        <v/>
      </c>
    </row>
    <row r="871">
      <c r="F871" s="37">
        <f>IF($A871="","",IF($B871="","EKSİK","TAM"))</f>
        <v/>
      </c>
    </row>
    <row r="872">
      <c r="F872" s="37">
        <f>IF($A872="","",IF($B872="","EKSİK","TAM"))</f>
        <v/>
      </c>
    </row>
    <row r="873">
      <c r="F873" s="37">
        <f>IF($A873="","",IF($B873="","EKSİK","TAM"))</f>
        <v/>
      </c>
    </row>
    <row r="874">
      <c r="F874" s="37">
        <f>IF($A874="","",IF($B874="","EKSİK","TAM"))</f>
        <v/>
      </c>
    </row>
    <row r="875">
      <c r="F875" s="37">
        <f>IF($A875="","",IF($B875="","EKSİK","TAM"))</f>
        <v/>
      </c>
    </row>
    <row r="876">
      <c r="F876" s="37">
        <f>IF($A876="","",IF($B876="","EKSİK","TAM"))</f>
        <v/>
      </c>
    </row>
    <row r="877">
      <c r="F877" s="37">
        <f>IF($A877="","",IF($B877="","EKSİK","TAM"))</f>
        <v/>
      </c>
    </row>
    <row r="878">
      <c r="F878" s="37">
        <f>IF($A878="","",IF($B878="","EKSİK","TAM"))</f>
        <v/>
      </c>
    </row>
    <row r="879">
      <c r="F879" s="37">
        <f>IF($A879="","",IF($B879="","EKSİK","TAM"))</f>
        <v/>
      </c>
    </row>
    <row r="880">
      <c r="F880" s="37">
        <f>IF($A880="","",IF($B880="","EKSİK","TAM"))</f>
        <v/>
      </c>
    </row>
    <row r="881">
      <c r="F881" s="37">
        <f>IF($A881="","",IF($B881="","EKSİK","TAM"))</f>
        <v/>
      </c>
    </row>
    <row r="882">
      <c r="F882" s="37">
        <f>IF($A882="","",IF($B882="","EKSİK","TAM"))</f>
        <v/>
      </c>
    </row>
    <row r="883">
      <c r="F883" s="37">
        <f>IF($A883="","",IF($B883="","EKSİK","TAM"))</f>
        <v/>
      </c>
    </row>
    <row r="884">
      <c r="F884" s="37">
        <f>IF($A884="","",IF($B884="","EKSİK","TAM"))</f>
        <v/>
      </c>
    </row>
    <row r="885">
      <c r="F885" s="37">
        <f>IF($A885="","",IF($B885="","EKSİK","TAM"))</f>
        <v/>
      </c>
    </row>
    <row r="886">
      <c r="F886" s="37">
        <f>IF($A886="","",IF($B886="","EKSİK","TAM"))</f>
        <v/>
      </c>
    </row>
    <row r="887">
      <c r="F887" s="37">
        <f>IF($A887="","",IF($B887="","EKSİK","TAM"))</f>
        <v/>
      </c>
    </row>
    <row r="888">
      <c r="F888" s="37">
        <f>IF($A888="","",IF($B888="","EKSİK","TAM"))</f>
        <v/>
      </c>
    </row>
    <row r="889">
      <c r="F889" s="37">
        <f>IF($A889="","",IF($B889="","EKSİK","TAM"))</f>
        <v/>
      </c>
    </row>
    <row r="890">
      <c r="F890" s="37">
        <f>IF($A890="","",IF($B890="","EKSİK","TAM"))</f>
        <v/>
      </c>
    </row>
    <row r="891">
      <c r="F891" s="37">
        <f>IF($A891="","",IF($B891="","EKSİK","TAM"))</f>
        <v/>
      </c>
    </row>
    <row r="892">
      <c r="F892" s="37">
        <f>IF($A892="","",IF($B892="","EKSİK","TAM"))</f>
        <v/>
      </c>
    </row>
    <row r="893">
      <c r="F893" s="37">
        <f>IF($A893="","",IF($B893="","EKSİK","TAM"))</f>
        <v/>
      </c>
    </row>
    <row r="894">
      <c r="F894" s="37">
        <f>IF($A894="","",IF($B894="","EKSİK","TAM"))</f>
        <v/>
      </c>
    </row>
    <row r="895">
      <c r="F895" s="37">
        <f>IF($A895="","",IF($B895="","EKSİK","TAM"))</f>
        <v/>
      </c>
    </row>
    <row r="896">
      <c r="F896" s="37">
        <f>IF($A896="","",IF($B896="","EKSİK","TAM"))</f>
        <v/>
      </c>
    </row>
    <row r="897">
      <c r="F897" s="37">
        <f>IF($A897="","",IF($B897="","EKSİK","TAM"))</f>
        <v/>
      </c>
    </row>
    <row r="898">
      <c r="F898" s="37">
        <f>IF($A898="","",IF($B898="","EKSİK","TAM"))</f>
        <v/>
      </c>
    </row>
    <row r="899">
      <c r="F899" s="37">
        <f>IF($A899="","",IF($B899="","EKSİK","TAM"))</f>
        <v/>
      </c>
    </row>
    <row r="900">
      <c r="F900" s="37">
        <f>IF($A900="","",IF($B900="","EKSİK","TAM"))</f>
        <v/>
      </c>
    </row>
    <row r="901">
      <c r="F901" s="37">
        <f>IF($A901="","",IF($B901="","EKSİK","TAM"))</f>
        <v/>
      </c>
    </row>
    <row r="902">
      <c r="F902" s="37">
        <f>IF($A902="","",IF($B902="","EKSİK","TAM"))</f>
        <v/>
      </c>
    </row>
    <row r="903">
      <c r="F903" s="37">
        <f>IF($A903="","",IF($B903="","EKSİK","TAM"))</f>
        <v/>
      </c>
    </row>
    <row r="904">
      <c r="F904" s="37">
        <f>IF($A904="","",IF($B904="","EKSİK","TAM"))</f>
        <v/>
      </c>
    </row>
    <row r="905">
      <c r="F905" s="37">
        <f>IF($A905="","",IF($B905="","EKSİK","TAM"))</f>
        <v/>
      </c>
    </row>
    <row r="906">
      <c r="F906" s="37">
        <f>IF($A906="","",IF($B906="","EKSİK","TAM"))</f>
        <v/>
      </c>
    </row>
    <row r="907">
      <c r="F907" s="37">
        <f>IF($A907="","",IF($B907="","EKSİK","TAM"))</f>
        <v/>
      </c>
    </row>
    <row r="908">
      <c r="F908" s="37">
        <f>IF($A908="","",IF($B908="","EKSİK","TAM"))</f>
        <v/>
      </c>
    </row>
    <row r="909">
      <c r="F909" s="37">
        <f>IF($A909="","",IF($B909="","EKSİK","TAM"))</f>
        <v/>
      </c>
    </row>
    <row r="910">
      <c r="F910" s="37">
        <f>IF($A910="","",IF($B910="","EKSİK","TAM"))</f>
        <v/>
      </c>
    </row>
    <row r="911">
      <c r="F911" s="37">
        <f>IF($A911="","",IF($B911="","EKSİK","TAM"))</f>
        <v/>
      </c>
    </row>
    <row r="912">
      <c r="F912" s="37">
        <f>IF($A912="","",IF($B912="","EKSİK","TAM"))</f>
        <v/>
      </c>
    </row>
    <row r="913">
      <c r="F913" s="37">
        <f>IF($A913="","",IF($B913="","EKSİK","TAM"))</f>
        <v/>
      </c>
    </row>
    <row r="914">
      <c r="F914" s="37">
        <f>IF($A914="","",IF($B914="","EKSİK","TAM"))</f>
        <v/>
      </c>
    </row>
    <row r="915">
      <c r="F915" s="37">
        <f>IF($A915="","",IF($B915="","EKSİK","TAM"))</f>
        <v/>
      </c>
    </row>
    <row r="916">
      <c r="F916" s="37">
        <f>IF($A916="","",IF($B916="","EKSİK","TAM"))</f>
        <v/>
      </c>
    </row>
    <row r="917">
      <c r="F917" s="37">
        <f>IF($A917="","",IF($B917="","EKSİK","TAM"))</f>
        <v/>
      </c>
    </row>
    <row r="918">
      <c r="F918" s="37">
        <f>IF($A918="","",IF($B918="","EKSİK","TAM"))</f>
        <v/>
      </c>
    </row>
    <row r="919">
      <c r="F919" s="37">
        <f>IF($A919="","",IF($B919="","EKSİK","TAM"))</f>
        <v/>
      </c>
    </row>
    <row r="920">
      <c r="F920" s="37">
        <f>IF($A920="","",IF($B920="","EKSİK","TAM"))</f>
        <v/>
      </c>
    </row>
    <row r="921">
      <c r="F921" s="37">
        <f>IF($A921="","",IF($B921="","EKSİK","TAM"))</f>
        <v/>
      </c>
    </row>
    <row r="922">
      <c r="F922" s="37">
        <f>IF($A922="","",IF($B922="","EKSİK","TAM"))</f>
        <v/>
      </c>
    </row>
    <row r="923">
      <c r="F923" s="37">
        <f>IF($A923="","",IF($B923="","EKSİK","TAM"))</f>
        <v/>
      </c>
    </row>
    <row r="924">
      <c r="F924" s="37">
        <f>IF($A924="","",IF($B924="","EKSİK","TAM"))</f>
        <v/>
      </c>
    </row>
    <row r="925">
      <c r="F925" s="37">
        <f>IF($A925="","",IF($B925="","EKSİK","TAM"))</f>
        <v/>
      </c>
    </row>
    <row r="926">
      <c r="F926" s="37">
        <f>IF($A926="","",IF($B926="","EKSİK","TAM"))</f>
        <v/>
      </c>
    </row>
    <row r="927">
      <c r="F927" s="37">
        <f>IF($A927="","",IF($B927="","EKSİK","TAM"))</f>
        <v/>
      </c>
    </row>
    <row r="928">
      <c r="F928" s="37">
        <f>IF($A928="","",IF($B928="","EKSİK","TAM"))</f>
        <v/>
      </c>
    </row>
    <row r="929">
      <c r="F929" s="37">
        <f>IF($A929="","",IF($B929="","EKSİK","TAM"))</f>
        <v/>
      </c>
    </row>
    <row r="930">
      <c r="F930" s="37">
        <f>IF($A930="","",IF($B930="","EKSİK","TAM"))</f>
        <v/>
      </c>
    </row>
    <row r="931">
      <c r="F931" s="37">
        <f>IF($A931="","",IF($B931="","EKSİK","TAM"))</f>
        <v/>
      </c>
    </row>
    <row r="932">
      <c r="F932" s="37">
        <f>IF($A932="","",IF($B932="","EKSİK","TAM"))</f>
        <v/>
      </c>
    </row>
    <row r="933">
      <c r="F933" s="37">
        <f>IF($A933="","",IF($B933="","EKSİK","TAM"))</f>
        <v/>
      </c>
    </row>
    <row r="934">
      <c r="F934" s="37">
        <f>IF($A934="","",IF($B934="","EKSİK","TAM"))</f>
        <v/>
      </c>
    </row>
    <row r="935">
      <c r="F935" s="37">
        <f>IF($A935="","",IF($B935="","EKSİK","TAM"))</f>
        <v/>
      </c>
    </row>
    <row r="936">
      <c r="F936" s="37">
        <f>IF($A936="","",IF($B936="","EKSİK","TAM"))</f>
        <v/>
      </c>
    </row>
    <row r="937">
      <c r="F937" s="37">
        <f>IF($A937="","",IF($B937="","EKSİK","TAM"))</f>
        <v/>
      </c>
    </row>
    <row r="938">
      <c r="F938" s="37">
        <f>IF($A938="","",IF($B938="","EKSİK","TAM"))</f>
        <v/>
      </c>
    </row>
    <row r="939">
      <c r="F939" s="37">
        <f>IF($A939="","",IF($B939="","EKSİK","TAM"))</f>
        <v/>
      </c>
    </row>
    <row r="940">
      <c r="F940" s="37">
        <f>IF($A940="","",IF($B940="","EKSİK","TAM"))</f>
        <v/>
      </c>
    </row>
    <row r="941">
      <c r="F941" s="37">
        <f>IF($A941="","",IF($B941="","EKSİK","TAM"))</f>
        <v/>
      </c>
    </row>
    <row r="942">
      <c r="F942" s="37">
        <f>IF($A942="","",IF($B942="","EKSİK","TAM"))</f>
        <v/>
      </c>
    </row>
    <row r="943">
      <c r="F943" s="37">
        <f>IF($A943="","",IF($B943="","EKSİK","TAM"))</f>
        <v/>
      </c>
    </row>
    <row r="944">
      <c r="F944" s="37">
        <f>IF($A944="","",IF($B944="","EKSİK","TAM"))</f>
        <v/>
      </c>
    </row>
    <row r="945">
      <c r="F945" s="37">
        <f>IF($A945="","",IF($B945="","EKSİK","TAM"))</f>
        <v/>
      </c>
    </row>
    <row r="946">
      <c r="F946" s="37">
        <f>IF($A946="","",IF($B946="","EKSİK","TAM"))</f>
        <v/>
      </c>
    </row>
    <row r="947">
      <c r="F947" s="37">
        <f>IF($A947="","",IF($B947="","EKSİK","TAM"))</f>
        <v/>
      </c>
    </row>
    <row r="948">
      <c r="F948" s="37">
        <f>IF($A948="","",IF($B948="","EKSİK","TAM"))</f>
        <v/>
      </c>
    </row>
    <row r="949">
      <c r="F949" s="37">
        <f>IF($A949="","",IF($B949="","EKSİK","TAM"))</f>
        <v/>
      </c>
    </row>
    <row r="950">
      <c r="F950" s="37">
        <f>IF($A950="","",IF($B950="","EKSİK","TAM"))</f>
        <v/>
      </c>
    </row>
    <row r="951">
      <c r="F951" s="37">
        <f>IF($A951="","",IF($B951="","EKSİK","TAM"))</f>
        <v/>
      </c>
    </row>
    <row r="952">
      <c r="F952" s="37">
        <f>IF($A952="","",IF($B952="","EKSİK","TAM"))</f>
        <v/>
      </c>
    </row>
    <row r="953">
      <c r="F953" s="37">
        <f>IF($A953="","",IF($B953="","EKSİK","TAM"))</f>
        <v/>
      </c>
    </row>
    <row r="954">
      <c r="F954" s="37">
        <f>IF($A954="","",IF($B954="","EKSİK","TAM"))</f>
        <v/>
      </c>
    </row>
    <row r="955">
      <c r="F955" s="37">
        <f>IF($A955="","",IF($B955="","EKSİK","TAM"))</f>
        <v/>
      </c>
    </row>
    <row r="956">
      <c r="F956" s="37">
        <f>IF($A956="","",IF($B956="","EKSİK","TAM"))</f>
        <v/>
      </c>
    </row>
    <row r="957">
      <c r="F957" s="37">
        <f>IF($A957="","",IF($B957="","EKSİK","TAM"))</f>
        <v/>
      </c>
    </row>
    <row r="958">
      <c r="F958" s="37">
        <f>IF($A958="","",IF($B958="","EKSİK","TAM"))</f>
        <v/>
      </c>
    </row>
    <row r="959">
      <c r="F959" s="37">
        <f>IF($A959="","",IF($B959="","EKSİK","TAM"))</f>
        <v/>
      </c>
    </row>
    <row r="960">
      <c r="F960" s="37">
        <f>IF($A960="","",IF($B960="","EKSİK","TAM"))</f>
        <v/>
      </c>
    </row>
    <row r="961">
      <c r="F961" s="37">
        <f>IF($A961="","",IF($B961="","EKSİK","TAM"))</f>
        <v/>
      </c>
    </row>
    <row r="962">
      <c r="F962" s="37">
        <f>IF($A962="","",IF($B962="","EKSİK","TAM"))</f>
        <v/>
      </c>
    </row>
    <row r="963">
      <c r="F963" s="37">
        <f>IF($A963="","",IF($B963="","EKSİK","TAM"))</f>
        <v/>
      </c>
    </row>
    <row r="964">
      <c r="F964" s="37">
        <f>IF($A964="","",IF($B964="","EKSİK","TAM"))</f>
        <v/>
      </c>
    </row>
    <row r="965">
      <c r="F965" s="37">
        <f>IF($A965="","",IF($B965="","EKSİK","TAM"))</f>
        <v/>
      </c>
    </row>
    <row r="966">
      <c r="F966" s="37">
        <f>IF($A966="","",IF($B966="","EKSİK","TAM"))</f>
        <v/>
      </c>
    </row>
    <row r="967">
      <c r="F967" s="37">
        <f>IF($A967="","",IF($B967="","EKSİK","TAM"))</f>
        <v/>
      </c>
    </row>
    <row r="968">
      <c r="F968" s="37">
        <f>IF($A968="","",IF($B968="","EKSİK","TAM"))</f>
        <v/>
      </c>
    </row>
    <row r="969">
      <c r="F969" s="37">
        <f>IF($A969="","",IF($B969="","EKSİK","TAM"))</f>
        <v/>
      </c>
    </row>
    <row r="970">
      <c r="F970" s="37">
        <f>IF($A970="","",IF($B970="","EKSİK","TAM"))</f>
        <v/>
      </c>
    </row>
    <row r="971">
      <c r="F971" s="37">
        <f>IF($A971="","",IF($B971="","EKSİK","TAM"))</f>
        <v/>
      </c>
    </row>
    <row r="972">
      <c r="F972" s="37">
        <f>IF($A972="","",IF($B972="","EKSİK","TAM"))</f>
        <v/>
      </c>
    </row>
    <row r="973">
      <c r="F973" s="37">
        <f>IF($A973="","",IF($B973="","EKSİK","TAM"))</f>
        <v/>
      </c>
    </row>
    <row r="974">
      <c r="F974" s="37">
        <f>IF($A974="","",IF($B974="","EKSİK","TAM"))</f>
        <v/>
      </c>
    </row>
    <row r="975">
      <c r="F975" s="37">
        <f>IF($A975="","",IF($B975="","EKSİK","TAM"))</f>
        <v/>
      </c>
    </row>
    <row r="976">
      <c r="F976" s="37">
        <f>IF($A976="","",IF($B976="","EKSİK","TAM"))</f>
        <v/>
      </c>
    </row>
    <row r="977">
      <c r="F977" s="37">
        <f>IF($A977="","",IF($B977="","EKSİK","TAM"))</f>
        <v/>
      </c>
    </row>
    <row r="978">
      <c r="F978" s="37">
        <f>IF($A978="","",IF($B978="","EKSİK","TAM"))</f>
        <v/>
      </c>
    </row>
    <row r="979">
      <c r="F979" s="37">
        <f>IF($A979="","",IF($B979="","EKSİK","TAM"))</f>
        <v/>
      </c>
    </row>
    <row r="980">
      <c r="F980" s="37">
        <f>IF($A980="","",IF($B980="","EKSİK","TAM"))</f>
        <v/>
      </c>
    </row>
    <row r="981">
      <c r="F981" s="37">
        <f>IF($A981="","",IF($B981="","EKSİK","TAM"))</f>
        <v/>
      </c>
    </row>
    <row r="982">
      <c r="F982" s="37">
        <f>IF($A982="","",IF($B982="","EKSİK","TAM"))</f>
        <v/>
      </c>
    </row>
    <row r="983">
      <c r="F983" s="37">
        <f>IF($A983="","",IF($B983="","EKSİK","TAM"))</f>
        <v/>
      </c>
    </row>
    <row r="984">
      <c r="F984" s="37">
        <f>IF($A984="","",IF($B984="","EKSİK","TAM"))</f>
        <v/>
      </c>
    </row>
    <row r="985">
      <c r="F985" s="37">
        <f>IF($A985="","",IF($B985="","EKSİK","TAM"))</f>
        <v/>
      </c>
    </row>
    <row r="986">
      <c r="F986" s="37">
        <f>IF($A986="","",IF($B986="","EKSİK","TAM"))</f>
        <v/>
      </c>
    </row>
    <row r="987">
      <c r="F987" s="37">
        <f>IF($A987="","",IF($B987="","EKSİK","TAM"))</f>
        <v/>
      </c>
    </row>
    <row r="988">
      <c r="F988" s="37">
        <f>IF($A988="","",IF($B988="","EKSİK","TAM"))</f>
        <v/>
      </c>
    </row>
    <row r="989">
      <c r="F989" s="37">
        <f>IF($A989="","",IF($B989="","EKSİK","TAM"))</f>
        <v/>
      </c>
    </row>
    <row r="990">
      <c r="F990" s="37">
        <f>IF($A990="","",IF($B990="","EKSİK","TAM"))</f>
        <v/>
      </c>
    </row>
    <row r="991">
      <c r="F991" s="37">
        <f>IF($A991="","",IF($B991="","EKSİK","TAM"))</f>
        <v/>
      </c>
    </row>
    <row r="992">
      <c r="F992" s="37">
        <f>IF($A992="","",IF($B992="","EKSİK","TAM"))</f>
        <v/>
      </c>
    </row>
    <row r="993">
      <c r="F993" s="37">
        <f>IF($A993="","",IF($B993="","EKSİK","TAM"))</f>
        <v/>
      </c>
    </row>
    <row r="994">
      <c r="F994" s="37">
        <f>IF($A994="","",IF($B994="","EKSİK","TAM"))</f>
        <v/>
      </c>
    </row>
    <row r="995">
      <c r="F995" s="37">
        <f>IF($A995="","",IF($B995="","EKSİK","TAM"))</f>
        <v/>
      </c>
    </row>
    <row r="996">
      <c r="F996" s="37">
        <f>IF($A996="","",IF($B996="","EKSİK","TAM"))</f>
        <v/>
      </c>
    </row>
    <row r="997">
      <c r="F997" s="37">
        <f>IF($A997="","",IF($B997="","EKSİK","TAM"))</f>
        <v/>
      </c>
    </row>
    <row r="998">
      <c r="F998" s="37">
        <f>IF($A998="","",IF($B998="","EKSİK","TAM"))</f>
        <v/>
      </c>
    </row>
    <row r="999">
      <c r="F999" s="37">
        <f>IF($A999="","",IF($B999="","EKSİK","TAM"))</f>
        <v/>
      </c>
    </row>
    <row r="1000">
      <c r="F1000" s="37">
        <f>IF($A1000="","",IF($B1000="","EKSİK","TAM"))</f>
        <v/>
      </c>
    </row>
    <row r="1001">
      <c r="F1001" s="37">
        <f>IF($A1001="","",IF($B1001="","EKSİK","TAM"))</f>
        <v/>
      </c>
    </row>
    <row r="1002">
      <c r="F1002" s="37">
        <f>IF($A1002="","",IF($B1002="","EKSİK","TAM"))</f>
        <v/>
      </c>
    </row>
    <row r="1003">
      <c r="F1003" s="37">
        <f>IF($A1003="","",IF($B1003="","EKSİK","TAM"))</f>
        <v/>
      </c>
    </row>
    <row r="1004">
      <c r="F1004" s="37">
        <f>IF($A1004="","",IF($B1004="","EKSİK","TAM"))</f>
        <v/>
      </c>
    </row>
    <row r="1024" ht="20" customHeight="1">
      <c r="A1024" s="40" t="inlineStr">
        <is>
          <t>Sarı alanlar giriş; özkaynak ve kalite formülleri kilitlidir.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024:AN1024"/>
    <mergeCell ref="A1:AD1"/>
  </mergeCells>
  <conditionalFormatting sqref="B9:B15">
    <cfRule type="cellIs" priority="1" operator="lessThan" dxfId="3">
      <formula>0</formula>
    </cfRule>
    <cfRule type="cellIs" priority="2" operator="equal" dxfId="5">
      <formula>0</formula>
    </cfRule>
  </conditionalFormatting>
  <conditionalFormatting sqref="F24:F34">
    <cfRule type="expression" priority="3" dxfId="2">
      <formula>F24="EKSİK"</formula>
    </cfRule>
    <cfRule type="expression" priority="4" dxfId="0">
      <formula>F24="TAM"</formula>
    </cfRule>
  </conditionalFormatting>
  <dataValidations count="18">
    <dataValidation sqref="B8" showDropDown="0" showInputMessage="1" showErrorMessage="1" allowBlank="0" errorTitle="Geçersiz yıl" error="Yalnızca listeden seçin." promptTitle="Hesap Yılı" prompt="2025, 2026 veya 2027 seçin." type="list" errorStyle="stop">
      <formula1>ListeYillar</formula1>
    </dataValidation>
    <dataValidation sqref="B16" showDropDown="0" showInputMessage="1" showErrorMessage="1" allowBlank="0" errorTitle="Geçersiz" error="A veya B seçin." promptTitle="Yorum" prompt="Yorum modunda A veya B seçin." type="list" errorStyle="stop">
      <formula1>ListeYorumAB</formula1>
    </dataValidation>
    <dataValidation sqref="B26" showDropDown="0" showInputMessage="1" showErrorMessage="1" allowBlank="1" errorTitle="Geçersiz yıl" error="Listeden seçin." promptTitle="Hesap Yılı" prompt="Tablo satırında yıl seçin." type="list" errorStyle="stop">
      <formula1>ListeYillar</formula1>
    </dataValidation>
    <dataValidation sqref="B34" showDropDown="0" showInputMessage="1" showErrorMessage="1" allowBlank="1" errorTitle="Geçersiz" error="A veya B." promptTitle="Yorum" prompt="A veya B." type="list" errorStyle="stop">
      <formula1>ListeYorumAB</formula1>
    </dataValidation>
    <dataValidation sqref="B9" showDropDown="0" showInputMessage="1" showErrorMessage="1" allowBlank="1" errorTitle="Geçersiz tutar" error="Sınır dışı değer." promptTitle="Ödenmiş Sermaye" prompt="0 ile 1e12 arasında TL." type="decimal" errorStyle="stop" operator="between">
      <formula1>0</formula1>
      <formula2>1000000000000</formula2>
    </dataValidation>
    <dataValidation sqref="B10" showDropDown="0" showInputMessage="1" showErrorMessage="1" allowBlank="1" errorTitle="Geçersiz tutar" error="Sınır dışı değer." promptTitle="Sermaye Yedekleri" prompt="0 ile 1e12 arasında TL." type="decimal" errorStyle="stop" operator="between">
      <formula1>0</formula1>
      <formula2>1000000000000</formula2>
    </dataValidation>
    <dataValidation sqref="B11" showDropDown="0" showInputMessage="1" showErrorMessage="1" allowBlank="1" errorTitle="Geçersiz tutar" error="Sınır dışı değer." promptTitle="Geçmiş Yıl Zararları" prompt="0 ile 1e12 arasında TL." type="decimal" errorStyle="stop" operator="between">
      <formula1>0</formula1>
      <formula2>1000000000000</formula2>
    </dataValidation>
    <dataValidation sqref="B13" showDropDown="0" showInputMessage="1" showErrorMessage="1" allowBlank="1" errorTitle="Geçersiz tutar" error="Sınır dışı değer." promptTitle="Toplam Varlık" prompt="0 ile 1e12 arasında TL." type="decimal" errorStyle="stop" operator="between">
      <formula1>0</formula1>
      <formula2>1000000000000</formula2>
    </dataValidation>
    <dataValidation sqref="B14" showDropDown="0" showInputMessage="1" showErrorMessage="1" allowBlank="1" errorTitle="Geçersiz tutar" error="Sınır dışı değer." promptTitle="Kısa Vadeli Borç" prompt="0 ile 1e12 arasında TL." type="decimal" errorStyle="stop" operator="between">
      <formula1>0</formula1>
      <formula2>1000000000000</formula2>
    </dataValidation>
    <dataValidation sqref="B15" showDropDown="0" showInputMessage="1" showErrorMessage="1" allowBlank="1" errorTitle="Geçersiz tutar" error="Sınır dışı değer." promptTitle="Uzun Vadeli Borç" prompt="0 ile 1e12 arasında TL." type="decimal" errorStyle="stop" operator="between">
      <formula1>0</formula1>
      <formula2>1000000000000</formula2>
    </dataValidation>
    <dataValidation sqref="B27" showDropDown="0" showInputMessage="1" showErrorMessage="1" allowBlank="1" errorTitle="Geçersiz tutar" error="Sınır dışı değer." promptTitle="Ödenmiş Sermaye" prompt="Tablo: TL tutar." type="decimal" errorStyle="stop" operator="between">
      <formula1>0</formula1>
      <formula2>1000000000000</formula2>
    </dataValidation>
    <dataValidation sqref="B28" showDropDown="0" showInputMessage="1" showErrorMessage="1" allowBlank="1" errorTitle="Geçersiz tutar" error="Sınır dışı değer." promptTitle="Sermaye Yedekleri" prompt="Tablo: TL tutar." type="decimal" errorStyle="stop" operator="between">
      <formula1>0</formula1>
      <formula2>1000000000000</formula2>
    </dataValidation>
    <dataValidation sqref="B29" showDropDown="0" showInputMessage="1" showErrorMessage="1" allowBlank="1" errorTitle="Geçersiz tutar" error="Sınır dışı değer." promptTitle="Geçmiş Zarar" prompt="Tablo: TL tutar." type="decimal" errorStyle="stop" operator="between">
      <formula1>0</formula1>
      <formula2>1000000000000</formula2>
    </dataValidation>
    <dataValidation sqref="B31" showDropDown="0" showInputMessage="1" showErrorMessage="1" allowBlank="1" errorTitle="Geçersiz tutar" error="Sınır dışı değer." promptTitle="Toplam Varlık" prompt="Tablo: TL tutar." type="decimal" errorStyle="stop" operator="between">
      <formula1>0</formula1>
      <formula2>1000000000000</formula2>
    </dataValidation>
    <dataValidation sqref="B32" showDropDown="0" showInputMessage="1" showErrorMessage="1" allowBlank="1" errorTitle="Geçersiz tutar" error="Sınır dışı değer." promptTitle="Kısa Borç" prompt="Tablo: TL tutar." type="decimal" errorStyle="stop" operator="between">
      <formula1>0</formula1>
      <formula2>1000000000000</formula2>
    </dataValidation>
    <dataValidation sqref="B33" showDropDown="0" showInputMessage="1" showErrorMessage="1" allowBlank="1" errorTitle="Geçersiz tutar" error="Sınır dışı değer." promptTitle="Uzun Borç" prompt="Tablo: TL tutar." type="decimal" errorStyle="stop" operator="between">
      <formula1>0</formula1>
      <formula2>1000000000000</formula2>
    </dataValidation>
    <dataValidation sqref="B12" showDropDown="0" showInputMessage="1" showErrorMessage="1" allowBlank="1" errorTitle="Geçersiz" error="Sınır dışı." promptTitle="Dönem Net" prompt="-1e12 ile 1e12 arasında TL." type="decimal" errorStyle="stop" operator="between">
      <formula1>-1000000000000</formula1>
      <formula2>1000000000000</formula2>
    </dataValidation>
    <dataValidation sqref="B30" showDropDown="0" showInputMessage="1" showErrorMessage="1" allowBlank="1" errorTitle="Geçersiz" error="Sınır dışı." promptTitle="Dönem Net" prompt="Tablo: dönem net." type="decimal" errorStyle="stop" operator="between">
      <formula1>-1000000000000</formula1>
      <formula2>1000000000000</formula2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tabColor rgb="001F7A4D"/>
    <outlinePr summaryBelow="1" summaryRight="1"/>
    <pageSetUpPr/>
  </sheetPr>
  <dimension ref="A1:AD17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6" customWidth="1" min="1" max="1"/>
    <col width="55" customWidth="1" min="2" max="2"/>
    <col width="22" customWidth="1" min="3" max="3"/>
    <col width="22" customWidth="1" min="4" max="4"/>
    <col width="20" customWidth="1" min="5" max="5"/>
    <col width="12" customWidth="1" min="6" max="6"/>
    <col width="12" customWidth="1" min="7" max="7"/>
    <col width="12" customWidth="1" min="8" max="8"/>
    <col width="12" customWidth="1" min="9" max="9"/>
    <col width="18" customWidth="1" min="10" max="10"/>
    <col width="14" customWidth="1" min="11" max="11"/>
  </cols>
  <sheetData>
    <row r="1" ht="26" customHeight="1">
      <c r="A1" s="1" t="inlineStr">
        <is>
          <t>KURALLAR — Konkordato + TTK 376 Kriz Paketi</t>
        </is>
      </c>
    </row>
    <row r="3">
      <c r="A3" s="42" t="inlineStr">
        <is>
          <t>Mevzuat kural tablosu (yıl yan yana)</t>
        </is>
      </c>
    </row>
    <row r="4">
      <c r="A4" s="4" t="inlineStr">
        <is>
          <t>Oranlar MOTOR'da sabit yazılmaz; INDEX/MATCH ile buradan çekilir.</t>
        </is>
      </c>
    </row>
    <row r="6" ht="30" customHeight="1">
      <c r="A6" s="22" t="inlineStr">
        <is>
          <t>kural_id</t>
        </is>
      </c>
      <c r="B6" s="22" t="inlineStr">
        <is>
          <t>madde</t>
        </is>
      </c>
      <c r="C6" s="22" t="inlineStr">
        <is>
          <t>kural_adi</t>
        </is>
      </c>
      <c r="D6" s="22" t="inlineStr">
        <is>
          <t>kosul_metni</t>
        </is>
      </c>
      <c r="E6" s="22" t="inlineStr">
        <is>
          <t>parametre_adi</t>
        </is>
      </c>
      <c r="F6" s="22" t="inlineStr">
        <is>
          <t>deger_2025</t>
        </is>
      </c>
      <c r="G6" s="22" t="inlineStr">
        <is>
          <t>deger_2026</t>
        </is>
      </c>
      <c r="H6" s="22" t="inlineStr">
        <is>
          <t>deger_2027</t>
        </is>
      </c>
      <c r="I6" s="22" t="inlineStr">
        <is>
          <t>yururluk</t>
        </is>
      </c>
      <c r="J6" s="22" t="inlineStr">
        <is>
          <t>kaynak</t>
        </is>
      </c>
      <c r="K6" s="22" t="inlineStr">
        <is>
          <t>aktif_deger</t>
        </is>
      </c>
    </row>
    <row r="7">
      <c r="A7" s="7" t="inlineStr">
        <is>
          <t>KTK-001</t>
        </is>
      </c>
      <c r="B7" s="7" t="inlineStr">
        <is>
          <t>TTK 376/1</t>
        </is>
      </c>
      <c r="C7" s="7" t="inlineStr">
        <is>
          <t>esik_yari</t>
        </is>
      </c>
      <c r="D7" s="7" t="inlineStr">
        <is>
          <t>oran &lt; yarı</t>
        </is>
      </c>
      <c r="E7" s="7" t="inlineStr">
        <is>
          <t>esik_yari</t>
        </is>
      </c>
      <c r="F7" s="43" t="n">
        <v>0.5</v>
      </c>
      <c r="G7" s="43" t="n">
        <v>0.5</v>
      </c>
      <c r="H7" s="43" t="n">
        <v>0.5</v>
      </c>
      <c r="I7" s="7" t="inlineStr">
        <is>
          <t>01.01.2025</t>
        </is>
      </c>
      <c r="J7" s="7" t="inlineStr">
        <is>
          <t>Sermaye ve yedeklerin yarısı karşılıksız</t>
        </is>
      </c>
      <c r="K7" s="37">
        <f>IF($A7="","",IFERROR(CHOOSE(MAX(1,MIN(3,IF(OR(hesapYili="",hesapYili=0),1,hesapYili-ktk_yilTaban))),$F7,$G7,$H7),0))</f>
        <v/>
      </c>
    </row>
    <row r="8">
      <c r="A8" s="7" t="inlineStr">
        <is>
          <t>KTK-002</t>
        </is>
      </c>
      <c r="B8" s="7" t="inlineStr">
        <is>
          <t>TTK 376/2</t>
        </is>
      </c>
      <c r="C8" s="7" t="inlineStr">
        <is>
          <t>esik_ucte_bir</t>
        </is>
      </c>
      <c r="D8" s="7" t="inlineStr">
        <is>
          <t>oran &lt; 1/3</t>
        </is>
      </c>
      <c r="E8" s="7" t="inlineStr">
        <is>
          <t>esik_ucte_bir</t>
        </is>
      </c>
      <c r="F8" s="43" t="n">
        <v>0.333333</v>
      </c>
      <c r="G8" s="43" t="n">
        <v>0.333333</v>
      </c>
      <c r="H8" s="43" t="n">
        <v>0.333333</v>
      </c>
      <c r="I8" s="7" t="inlineStr">
        <is>
          <t>01.01.2025</t>
        </is>
      </c>
      <c r="J8" s="7" t="inlineStr">
        <is>
          <t>2/3 kayıp sonrası kalan 1/3 eşiği</t>
        </is>
      </c>
      <c r="K8" s="37">
        <f>IF($A8="","",IFERROR(CHOOSE(MAX(1,MIN(3,IF(OR(hesapYili="",hesapYili=0),1,hesapYili-ktk_yilTaban))),$F8,$G8,$H8),0))</f>
        <v/>
      </c>
    </row>
    <row r="9">
      <c r="A9" s="7" t="inlineStr">
        <is>
          <t>KTK-003</t>
        </is>
      </c>
      <c r="B9" s="7" t="inlineStr">
        <is>
          <t>TTK 376/3</t>
        </is>
      </c>
      <c r="C9" s="7" t="inlineStr">
        <is>
          <t>borca_batik</t>
        </is>
      </c>
      <c r="D9" s="7" t="inlineStr">
        <is>
          <t>borç &gt;= varlık</t>
        </is>
      </c>
      <c r="E9" s="7" t="inlineStr">
        <is>
          <t>borca_batik</t>
        </is>
      </c>
      <c r="F9" s="43" t="n">
        <v>1</v>
      </c>
      <c r="G9" s="43" t="n">
        <v>1</v>
      </c>
      <c r="H9" s="43" t="n">
        <v>1</v>
      </c>
      <c r="I9" s="7" t="inlineStr">
        <is>
          <t>01.01.2025</t>
        </is>
      </c>
      <c r="J9" s="7" t="inlineStr">
        <is>
          <t>Borca batıklık: borç/aktif oranı tavanı</t>
        </is>
      </c>
      <c r="K9" s="37">
        <f>IF($A9="","",IFERROR(CHOOSE(MAX(1,MIN(3,IF(OR(hesapYili="",hesapYili=0),1,hesapYili-ktk_yilTaban))),$F9,$G9,$H9),0))</f>
        <v/>
      </c>
    </row>
    <row r="10">
      <c r="A10" s="7" t="inlineStr">
        <is>
          <t>KTK-004</t>
        </is>
      </c>
      <c r="B10" s="7" t="inlineStr">
        <is>
          <t>İç politika</t>
        </is>
      </c>
      <c r="C10" s="7" t="inlineStr">
        <is>
          <t>dikkat_borc_aktif</t>
        </is>
      </c>
      <c r="D10" s="7" t="inlineStr">
        <is>
          <t>borç/aktif uyarı</t>
        </is>
      </c>
      <c r="E10" s="7" t="inlineStr">
        <is>
          <t>dikkat_borc_aktif</t>
        </is>
      </c>
      <c r="F10" s="43" t="n">
        <v>0.75</v>
      </c>
      <c r="G10" s="43" t="n">
        <v>0.75</v>
      </c>
      <c r="H10" s="43" t="n">
        <v>0.75</v>
      </c>
      <c r="I10" s="7" t="inlineStr">
        <is>
          <t>01.01.2025</t>
        </is>
      </c>
      <c r="J10" s="7" t="inlineStr">
        <is>
          <t>Borç/aktif dikkat eşiği</t>
        </is>
      </c>
      <c r="K10" s="37">
        <f>IF($A10="","",IFERROR(CHOOSE(MAX(1,MIN(3,IF(OR(hesapYili="",hesapYili=0),1,hesapYili-ktk_yilTaban))),$F10,$G10,$H10),0))</f>
        <v/>
      </c>
    </row>
    <row r="11">
      <c r="A11" s="7" t="inlineStr">
        <is>
          <t>KTK-005</t>
        </is>
      </c>
      <c r="B11" s="7" t="inlineStr">
        <is>
          <t>Genel</t>
        </is>
      </c>
      <c r="C11" s="7" t="inlineStr">
        <is>
          <t>yuvarlama</t>
        </is>
      </c>
      <c r="D11" s="7" t="inlineStr">
        <is>
          <t>her hesap</t>
        </is>
      </c>
      <c r="E11" s="7" t="inlineStr">
        <is>
          <t>yuvarlama_ondalik</t>
        </is>
      </c>
      <c r="F11" s="44" t="n">
        <v>2</v>
      </c>
      <c r="G11" s="44" t="n">
        <v>2</v>
      </c>
      <c r="H11" s="44" t="n">
        <v>2</v>
      </c>
      <c r="I11" s="7" t="inlineStr">
        <is>
          <t>01.01.2025</t>
        </is>
      </c>
      <c r="J11" s="7" t="inlineStr">
        <is>
          <t>Uygulama notu</t>
        </is>
      </c>
      <c r="K11" s="37">
        <f>IF($A11="","",IFERROR(CHOOSE(MAX(1,MIN(3,IF(OR(hesapYili="",hesapYili=0),1,hesapYili-ktk_yilTaban))),$F11,$G11,$H11),0))</f>
        <v/>
      </c>
    </row>
    <row r="14">
      <c r="A14" s="10" t="inlineStr">
        <is>
          <t>Kural-yıl matrisi özeti</t>
        </is>
      </c>
    </row>
    <row r="15">
      <c r="A15" s="7" t="inlineStr">
        <is>
          <t>Yarı eşik (aktif yıl)</t>
        </is>
      </c>
      <c r="B15" s="25">
        <f>IFERROR(INDEX(CHOOSE(MAX(1,MIN(3,IF(OR(hesapYili="",hesapYili=0),1,hesapYili-ktk_yilTaban))),tblKurallar[deger_2025],tblKurallar[deger_2026],tblKurallar[deger_2027]),MATCH("KTK-001",tblKurallar[kural_id],0)),0)</f>
        <v/>
      </c>
    </row>
    <row r="16">
      <c r="A16" s="7" t="inlineStr">
        <is>
          <t>1/3 eşik (aktif yıl)</t>
        </is>
      </c>
      <c r="B16" s="25">
        <f>IFERROR(INDEX(CHOOSE(MAX(1,MIN(3,IF(OR(hesapYili="",hesapYili=0),1,hesapYili-ktk_yilTaban))),tblKurallar[deger_2025],tblKurallar[deger_2026],tblKurallar[deger_2027]),MATCH("KTK-002",tblKurallar[kural_id],0)),0)</f>
        <v/>
      </c>
    </row>
    <row r="17">
      <c r="A17" s="7" t="inlineStr">
        <is>
          <t>Matris metni</t>
        </is>
      </c>
      <c r="B17" s="21">
        <f>IFERROR(_xlfn.TEXTJOIN(" | ",TRUE,"KTK-001=",TEXT(B15,"0.00"),"KTK-002=",TEXT(B16,"0.0%"),"yıl=",IF(OR(hesapYili="",hesapYili=0),"-",hesapYili)),"-")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3">
    <mergeCell ref="A4:K4"/>
    <mergeCell ref="A1:AD1"/>
    <mergeCell ref="A3:K3"/>
  </mergeCells>
  <dataValidations count="3">
    <dataValidation sqref="F7:F11" showDropDown="0" showInputMessage="1" showErrorMessage="1" allowBlank="1" errorTitle="Geçersiz" error="0 ve üzeri sayı." promptTitle="Kural değeri" prompt="Yıl kolonuna sayısal parametre girin." type="decimal" errorStyle="stop" operator="between">
      <formula1>0</formula1>
      <formula2>10000000</formula2>
    </dataValidation>
    <dataValidation sqref="G7:G11" showDropDown="0" showInputMessage="1" showErrorMessage="1" allowBlank="1" errorTitle="Geçersiz" error="0 ve üzeri sayı." promptTitle="Kural değeri" prompt="Yıl kolonuna sayısal parametre girin." type="decimal" errorStyle="stop" operator="between">
      <formula1>0</formula1>
      <formula2>10000000</formula2>
    </dataValidation>
    <dataValidation sqref="H7:H11" showDropDown="0" showInputMessage="1" showErrorMessage="1" allowBlank="1" errorTitle="Geçersiz" error="0 ve üzeri sayı." promptTitle="Kural değeri" prompt="Yıl kolonuna sayısal parametre girin." type="decimal" errorStyle="stop" operator="between">
      <formula1>0</formula1>
      <formula2>10000000</formula2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tabColor rgb="008064A2"/>
    <outlinePr summaryBelow="1" summaryRight="1"/>
    <pageSetUpPr/>
  </sheetPr>
  <dimension ref="A1:AD55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8" customWidth="1" min="1" max="1"/>
    <col width="40" customWidth="1" min="2" max="2"/>
    <col width="55" customWidth="1" min="3" max="3"/>
    <col width="10" customWidth="1" min="4" max="4"/>
    <col width="28" customWidth="1" min="5" max="5"/>
    <col width="12" customWidth="1" min="6" max="6"/>
    <col width="22" customWidth="1" min="7" max="7"/>
  </cols>
  <sheetData>
    <row r="1" ht="26" customHeight="1">
      <c r="A1" s="1" t="inlineStr">
        <is>
          <t>MOTOR — Konkordato + TTK 376 Kriz Paketi</t>
        </is>
      </c>
    </row>
    <row r="3">
      <c r="A3" s="42" t="inlineStr">
        <is>
          <t>Hesap zinciri — her adımda kural_id</t>
        </is>
      </c>
    </row>
    <row r="4">
      <c r="A4" s="4" t="inlineStr">
        <is>
          <t>Oranlar tblKurallar'dan çekilir; sabit oran yoktur.</t>
        </is>
      </c>
    </row>
    <row r="6" ht="30" customHeight="1">
      <c r="A6" s="22" t="inlineStr">
        <is>
          <t>adim</t>
        </is>
      </c>
      <c r="B6" s="22" t="inlineStr">
        <is>
          <t>ad</t>
        </is>
      </c>
      <c r="C6" s="22" t="inlineStr">
        <is>
          <t>formul</t>
        </is>
      </c>
      <c r="D6" s="22" t="inlineStr">
        <is>
          <t>birim</t>
        </is>
      </c>
      <c r="E6" s="22" t="inlineStr">
        <is>
          <t>ne_ise_yarar</t>
        </is>
      </c>
      <c r="F6" s="22" t="inlineStr">
        <is>
          <t>kural_id</t>
        </is>
      </c>
      <c r="G6" s="22" t="inlineStr">
        <is>
          <t>deger</t>
        </is>
      </c>
    </row>
    <row r="7">
      <c r="A7" s="45" t="n">
        <v>1</v>
      </c>
      <c r="B7" s="24" t="inlineStr">
        <is>
          <t>Hesap yılı oku</t>
        </is>
      </c>
      <c r="C7" s="46">
        <f>IFERROR(hesapYili,0)</f>
        <v/>
      </c>
      <c r="D7" s="47" t="inlineStr">
        <is>
          <t>yıl</t>
        </is>
      </c>
      <c r="E7" s="6" t="inlineStr">
        <is>
          <t>Aktif mevzuat yılı</t>
        </is>
      </c>
      <c r="F7" s="23" t="inlineStr">
        <is>
          <t>KTK-005</t>
        </is>
      </c>
      <c r="G7" s="35">
        <f>IFERROR(hesapYili,0)</f>
        <v/>
      </c>
    </row>
    <row r="8">
      <c r="A8" s="45" t="n">
        <v>2</v>
      </c>
      <c r="B8" s="24" t="inlineStr">
        <is>
          <t>Yarı eşik</t>
        </is>
      </c>
      <c r="C8" s="48">
        <f>IFERROR(INDEX(CHOOSE(MAX(1,MIN(3,IF(OR(hesapYili="",hesapYili=0),1,hesapYili-ktk_yilTaban))),tblKurallar[deger_2025],tblKurallar[deger_2026],tblKurallar[deger_2027]),MATCH("KTK-001",tblKurallar[kural_id],0)),0)</f>
        <v/>
      </c>
      <c r="D8" s="47" t="inlineStr">
        <is>
          <t>oran</t>
        </is>
      </c>
      <c r="E8" s="6" t="inlineStr">
        <is>
          <t>TTK 376/1 1/2 eşiği</t>
        </is>
      </c>
      <c r="F8" s="23" t="inlineStr">
        <is>
          <t>KTK-001</t>
        </is>
      </c>
      <c r="G8" s="25">
        <f>IFERROR(INDEX(CHOOSE(MAX(1,MIN(3,IF(OR(hesapYili="",hesapYili=0),1,hesapYili-ktk_yilTaban))),tblKurallar[deger_2025],tblKurallar[deger_2026],tblKurallar[deger_2027]),MATCH("KTK-001",tblKurallar[kural_id],0)),0)</f>
        <v/>
      </c>
    </row>
    <row r="9">
      <c r="A9" s="45" t="n">
        <v>3</v>
      </c>
      <c r="B9" s="24" t="inlineStr">
        <is>
          <t>1/3 eşik</t>
        </is>
      </c>
      <c r="C9" s="48">
        <f>IFERROR(INDEX(CHOOSE(MAX(1,MIN(3,IF(OR(hesapYili="",hesapYili=0),1,hesapYili-ktk_yilTaban))),tblKurallar[deger_2025],tblKurallar[deger_2026],tblKurallar[deger_2027]),MATCH("KTK-002",tblKurallar[kural_id],0)),0)</f>
        <v/>
      </c>
      <c r="D9" s="47" t="inlineStr">
        <is>
          <t>oran</t>
        </is>
      </c>
      <c r="E9" s="6" t="inlineStr">
        <is>
          <t>TTK 376/2 kalan 1/3</t>
        </is>
      </c>
      <c r="F9" s="23" t="inlineStr">
        <is>
          <t>KTK-002</t>
        </is>
      </c>
      <c r="G9" s="25">
        <f>IFERROR(INDEX(CHOOSE(MAX(1,MIN(3,IF(OR(hesapYili="",hesapYili=0),1,hesapYili-ktk_yilTaban))),tblKurallar[deger_2025],tblKurallar[deger_2026],tblKurallar[deger_2027]),MATCH("KTK-002",tblKurallar[kural_id],0)),0)</f>
        <v/>
      </c>
    </row>
    <row r="10">
      <c r="A10" s="45" t="n">
        <v>4</v>
      </c>
      <c r="B10" s="24" t="inlineStr">
        <is>
          <t>Borca batık tavan</t>
        </is>
      </c>
      <c r="C10" s="48">
        <f>IFERROR(INDEX(CHOOSE(MAX(1,MIN(3,IF(OR(hesapYili="",hesapYili=0),1,hesapYili-ktk_yilTaban))),tblKurallar[deger_2025],tblKurallar[deger_2026],tblKurallar[deger_2027]),MATCH("KTK-003",tblKurallar[kural_id],0)),0)</f>
        <v/>
      </c>
      <c r="D10" s="47" t="inlineStr">
        <is>
          <t>oran</t>
        </is>
      </c>
      <c r="E10" s="6" t="inlineStr">
        <is>
          <t>Borç/aktif tavan</t>
        </is>
      </c>
      <c r="F10" s="23" t="inlineStr">
        <is>
          <t>KTK-003</t>
        </is>
      </c>
      <c r="G10" s="25">
        <f>IFERROR(INDEX(CHOOSE(MAX(1,MIN(3,IF(OR(hesapYili="",hesapYili=0),1,hesapYili-ktk_yilTaban))),tblKurallar[deger_2025],tblKurallar[deger_2026],tblKurallar[deger_2027]),MATCH("KTK-003",tblKurallar[kural_id],0)),0)</f>
        <v/>
      </c>
    </row>
    <row r="11">
      <c r="A11" s="45" t="n">
        <v>5</v>
      </c>
      <c r="B11" s="24" t="inlineStr">
        <is>
          <t>Dikkat borç/aktif</t>
        </is>
      </c>
      <c r="C11" s="48">
        <f>IFERROR(INDEX(CHOOSE(MAX(1,MIN(3,IF(OR(hesapYili="",hesapYili=0),1,hesapYili-ktk_yilTaban))),tblKurallar[deger_2025],tblKurallar[deger_2026],tblKurallar[deger_2027]),MATCH("KTK-004",tblKurallar[kural_id],0)),0)</f>
        <v/>
      </c>
      <c r="D11" s="47" t="inlineStr">
        <is>
          <t>oran</t>
        </is>
      </c>
      <c r="E11" s="6" t="inlineStr">
        <is>
          <t>Borç/aktif uyarı</t>
        </is>
      </c>
      <c r="F11" s="23" t="inlineStr">
        <is>
          <t>KTK-004</t>
        </is>
      </c>
      <c r="G11" s="25">
        <f>IFERROR(INDEX(CHOOSE(MAX(1,MIN(3,IF(OR(hesapYili="",hesapYili=0),1,hesapYili-ktk_yilTaban))),tblKurallar[deger_2025],tblKurallar[deger_2026],tblKurallar[deger_2027]),MATCH("KTK-004",tblKurallar[kural_id],0)),0)</f>
        <v/>
      </c>
    </row>
    <row r="12">
      <c r="A12" s="45" t="n">
        <v>6</v>
      </c>
      <c r="B12" s="24" t="inlineStr">
        <is>
          <t>Yuvarlama ondalık</t>
        </is>
      </c>
      <c r="C12" s="46">
        <f>IFERROR(INDEX(CHOOSE(MAX(1,MIN(3,IF(OR(hesapYili="",hesapYili=0),1,hesapYili-ktk_yilTaban))),tblKurallar[deger_2025],tblKurallar[deger_2026],tblKurallar[deger_2027]),MATCH("KTK-005",tblKurallar[kural_id],0)),0)</f>
        <v/>
      </c>
      <c r="D12" s="47" t="inlineStr">
        <is>
          <t>adet</t>
        </is>
      </c>
      <c r="E12" s="6" t="inlineStr">
        <is>
          <t>Yuvarlama basamağı</t>
        </is>
      </c>
      <c r="F12" s="23" t="inlineStr">
        <is>
          <t>KTK-005</t>
        </is>
      </c>
      <c r="G12" s="35">
        <f>IFERROR(INDEX(CHOOSE(MAX(1,MIN(3,IF(OR(hesapYili="",hesapYili=0),1,hesapYili-ktk_yilTaban))),tblKurallar[deger_2025],tblKurallar[deger_2026],tblKurallar[deger_2027]),MATCH("KTK-005",tblKurallar[kural_id],0)),0)</f>
        <v/>
      </c>
    </row>
    <row r="13">
      <c r="A13" s="45" t="n">
        <v>7</v>
      </c>
      <c r="B13" s="24" t="inlineStr">
        <is>
          <t>Ödenmiş sermaye</t>
        </is>
      </c>
      <c r="C13" s="49">
        <f>IFERROR(GIRDI!B9,0)</f>
        <v/>
      </c>
      <c r="D13" s="47" t="inlineStr">
        <is>
          <t>TL</t>
        </is>
      </c>
      <c r="E13" s="6" t="inlineStr">
        <is>
          <t>Ödenmiş sermaye</t>
        </is>
      </c>
      <c r="F13" s="23" t="inlineStr">
        <is>
          <t>KTK-001</t>
        </is>
      </c>
      <c r="G13" s="26">
        <f>IFERROR(GIRDI!B9,0)</f>
        <v/>
      </c>
    </row>
    <row r="14">
      <c r="A14" s="45" t="n">
        <v>8</v>
      </c>
      <c r="B14" s="24" t="inlineStr">
        <is>
          <t>Sermaye yedekleri</t>
        </is>
      </c>
      <c r="C14" s="49">
        <f>IFERROR(GIRDI!B10,0)</f>
        <v/>
      </c>
      <c r="D14" s="47" t="inlineStr">
        <is>
          <t>TL</t>
        </is>
      </c>
      <c r="E14" s="6" t="inlineStr">
        <is>
          <t>Sermaye yedekleri</t>
        </is>
      </c>
      <c r="F14" s="23" t="inlineStr">
        <is>
          <t>KTK-001</t>
        </is>
      </c>
      <c r="G14" s="26">
        <f>IFERROR(GIRDI!B10,0)</f>
        <v/>
      </c>
    </row>
    <row r="15">
      <c r="A15" s="45" t="n">
        <v>9</v>
      </c>
      <c r="B15" s="24" t="inlineStr">
        <is>
          <t>Geçmiş yıl zararları</t>
        </is>
      </c>
      <c r="C15" s="49">
        <f>IFERROR(GIRDI!B11,0)</f>
        <v/>
      </c>
      <c r="D15" s="47" t="inlineStr">
        <is>
          <t>TL</t>
        </is>
      </c>
      <c r="E15" s="6" t="inlineStr">
        <is>
          <t>Birikmiş zarar</t>
        </is>
      </c>
      <c r="F15" s="23" t="inlineStr">
        <is>
          <t>KTK-001</t>
        </is>
      </c>
      <c r="G15" s="26">
        <f>IFERROR(GIRDI!B11,0)</f>
        <v/>
      </c>
    </row>
    <row r="16">
      <c r="A16" s="45" t="n">
        <v>10</v>
      </c>
      <c r="B16" s="24" t="inlineStr">
        <is>
          <t>Dönem net kâr/zarar</t>
        </is>
      </c>
      <c r="C16" s="49">
        <f>IFERROR(GIRDI!B12,0)</f>
        <v/>
      </c>
      <c r="D16" s="47" t="inlineStr">
        <is>
          <t>TL</t>
        </is>
      </c>
      <c r="E16" s="6" t="inlineStr">
        <is>
          <t>Dönem sonucu</t>
        </is>
      </c>
      <c r="F16" s="23" t="inlineStr">
        <is>
          <t>KTK-001</t>
        </is>
      </c>
      <c r="G16" s="26">
        <f>IFERROR(GIRDI!B12,0)</f>
        <v/>
      </c>
    </row>
    <row r="17">
      <c r="A17" s="45" t="n">
        <v>11</v>
      </c>
      <c r="B17" s="24" t="inlineStr">
        <is>
          <t>Toplam varlık</t>
        </is>
      </c>
      <c r="C17" s="49">
        <f>IFERROR(GIRDI!B13,0)</f>
        <v/>
      </c>
      <c r="D17" s="47" t="inlineStr">
        <is>
          <t>TL</t>
        </is>
      </c>
      <c r="E17" s="6" t="inlineStr">
        <is>
          <t>Aktif toplamı</t>
        </is>
      </c>
      <c r="F17" s="23" t="inlineStr">
        <is>
          <t>KTK-003</t>
        </is>
      </c>
      <c r="G17" s="26">
        <f>IFERROR(GIRDI!B13,0)</f>
        <v/>
      </c>
    </row>
    <row r="18">
      <c r="A18" s="45" t="n">
        <v>12</v>
      </c>
      <c r="B18" s="24" t="inlineStr">
        <is>
          <t>Kısa vadeli borç</t>
        </is>
      </c>
      <c r="C18" s="49">
        <f>IFERROR(GIRDI!B14,0)</f>
        <v/>
      </c>
      <c r="D18" s="47" t="inlineStr">
        <is>
          <t>TL</t>
        </is>
      </c>
      <c r="E18" s="6" t="inlineStr">
        <is>
          <t>KV yabancı kaynak</t>
        </is>
      </c>
      <c r="F18" s="23" t="inlineStr">
        <is>
          <t>KTK-003</t>
        </is>
      </c>
      <c r="G18" s="26">
        <f>IFERROR(GIRDI!B14,0)</f>
        <v/>
      </c>
    </row>
    <row r="19">
      <c r="A19" s="45" t="n">
        <v>13</v>
      </c>
      <c r="B19" s="24" t="inlineStr">
        <is>
          <t>Uzun vadeli borç</t>
        </is>
      </c>
      <c r="C19" s="49">
        <f>IFERROR(GIRDI!B15,0)</f>
        <v/>
      </c>
      <c r="D19" s="47" t="inlineStr">
        <is>
          <t>TL</t>
        </is>
      </c>
      <c r="E19" s="6" t="inlineStr">
        <is>
          <t>UV yabancı kaynak</t>
        </is>
      </c>
      <c r="F19" s="23" t="inlineStr">
        <is>
          <t>KTK-003</t>
        </is>
      </c>
      <c r="G19" s="26">
        <f>IFERROR(GIRDI!B15,0)</f>
        <v/>
      </c>
    </row>
    <row r="20">
      <c r="A20" s="45" t="n">
        <v>14</v>
      </c>
      <c r="B20" s="24" t="inlineStr">
        <is>
          <t>Yarı eşik efektif</t>
        </is>
      </c>
      <c r="C20" s="48">
        <f>IFERROR(IF(GIRDI!B16="B",MAX(0,G8-ktk_oranArtisPuan),G8),0)</f>
        <v/>
      </c>
      <c r="D20" s="47" t="inlineStr">
        <is>
          <t>oran</t>
        </is>
      </c>
      <c r="E20" s="6" t="inlineStr">
        <is>
          <t>Yorum A/B yarı eşik</t>
        </is>
      </c>
      <c r="F20" s="23" t="inlineStr">
        <is>
          <t>KTK-001</t>
        </is>
      </c>
      <c r="G20" s="25">
        <f>IFERROR(IF(GIRDI!B16="B",MAX(0,G8-ktk_oranArtisPuan),G8),0)</f>
        <v/>
      </c>
    </row>
    <row r="21">
      <c r="A21" s="45" t="n">
        <v>15</v>
      </c>
      <c r="B21" s="24" t="inlineStr">
        <is>
          <t>Sermaye tabanı</t>
        </is>
      </c>
      <c r="C21" s="49">
        <f>IFERROR(G13+G14,0)</f>
        <v/>
      </c>
      <c r="D21" s="47" t="inlineStr">
        <is>
          <t>TL</t>
        </is>
      </c>
      <c r="E21" s="6" t="inlineStr">
        <is>
          <t>Sermaye + yedek</t>
        </is>
      </c>
      <c r="F21" s="23" t="inlineStr">
        <is>
          <t>KTK-001</t>
        </is>
      </c>
      <c r="G21" s="26">
        <f>IFERROR(G13+G14,0)</f>
        <v/>
      </c>
    </row>
    <row r="22">
      <c r="A22" s="45" t="n">
        <v>16</v>
      </c>
      <c r="B22" s="24" t="inlineStr">
        <is>
          <t>Özkaynak</t>
        </is>
      </c>
      <c r="C22" s="49">
        <f>IFERROR(G13+G14-G15+G16,0)</f>
        <v/>
      </c>
      <c r="D22" s="47" t="inlineStr">
        <is>
          <t>TL</t>
        </is>
      </c>
      <c r="E22" s="6" t="inlineStr">
        <is>
          <t>Özkaynak bileşeni</t>
        </is>
      </c>
      <c r="F22" s="23" t="inlineStr">
        <is>
          <t>KTK-001</t>
        </is>
      </c>
      <c r="G22" s="26">
        <f>IFERROR(G13+G14-G15+G16,0)</f>
        <v/>
      </c>
    </row>
    <row r="23">
      <c r="A23" s="45" t="n">
        <v>17</v>
      </c>
      <c r="B23" s="24" t="inlineStr">
        <is>
          <t>Özkaynak / sermaye</t>
        </is>
      </c>
      <c r="C23" s="48">
        <f>IFERROR(IF(G21=0,0,G22/G21),0)</f>
        <v/>
      </c>
      <c r="D23" s="47" t="inlineStr">
        <is>
          <t>oran</t>
        </is>
      </c>
      <c r="E23" s="6" t="inlineStr">
        <is>
          <t>TTK 376 oran</t>
        </is>
      </c>
      <c r="F23" s="23" t="inlineStr">
        <is>
          <t>KTK-001</t>
        </is>
      </c>
      <c r="G23" s="25">
        <f>IFERROR(IF(G21=0,0,G22/G21),0)</f>
        <v/>
      </c>
    </row>
    <row r="24">
      <c r="A24" s="45" t="n">
        <v>18</v>
      </c>
      <c r="B24" s="24" t="inlineStr">
        <is>
          <t>Kayıp oranı</t>
        </is>
      </c>
      <c r="C24" s="48">
        <f>IFERROR(MAX(0,1-G23),0)</f>
        <v/>
      </c>
      <c r="D24" s="47" t="inlineStr">
        <is>
          <t>oran</t>
        </is>
      </c>
      <c r="E24" s="6" t="inlineStr">
        <is>
          <t>1 − oran</t>
        </is>
      </c>
      <c r="F24" s="23" t="inlineStr">
        <is>
          <t>KTK-002</t>
        </is>
      </c>
      <c r="G24" s="25">
        <f>IFERROR(MAX(0,1-G23),0)</f>
        <v/>
      </c>
    </row>
    <row r="25">
      <c r="A25" s="45" t="n">
        <v>19</v>
      </c>
      <c r="B25" s="24" t="inlineStr">
        <is>
          <t>Eksik sermaye (yarıya)</t>
        </is>
      </c>
      <c r="C25" s="49">
        <f>IFERROR(ROUND(MAX(0,G21*G20-G22),MAX(0,MIN(ktk_yuvarMax,IFERROR(N(G12),0)))),0)</f>
        <v/>
      </c>
      <c r="D25" s="47" t="inlineStr">
        <is>
          <t>TL</t>
        </is>
      </c>
      <c r="E25" s="6" t="inlineStr">
        <is>
          <t>Yarı eşiğe tamamlamak</t>
        </is>
      </c>
      <c r="F25" s="23" t="inlineStr">
        <is>
          <t>KTK-001</t>
        </is>
      </c>
      <c r="G25" s="26">
        <f>IFERROR(ROUND(MAX(0,G21*G20-G22),MAX(0,MIN(ktk_yuvarMax,IFERROR(N(G12),0)))),0)</f>
        <v/>
      </c>
    </row>
    <row r="26">
      <c r="A26" s="45" t="n">
        <v>20</v>
      </c>
      <c r="B26" s="24" t="inlineStr">
        <is>
          <t>Eksik sermaye (1/3'e)</t>
        </is>
      </c>
      <c r="C26" s="49">
        <f>IFERROR(ROUND(MAX(0,G21*G9-G22),MAX(0,MIN(ktk_yuvarMax,IFERROR(N(G12),0)))),0)</f>
        <v/>
      </c>
      <c r="D26" s="47" t="inlineStr">
        <is>
          <t>TL</t>
        </is>
      </c>
      <c r="E26" s="6" t="inlineStr">
        <is>
          <t>1/3 eşiğe tamamlamak</t>
        </is>
      </c>
      <c r="F26" s="23" t="inlineStr">
        <is>
          <t>KTK-002</t>
        </is>
      </c>
      <c r="G26" s="26">
        <f>IFERROR(ROUND(MAX(0,G21*G9-G22),MAX(0,MIN(ktk_yuvarMax,IFERROR(N(G12),0)))),0)</f>
        <v/>
      </c>
    </row>
    <row r="27">
      <c r="A27" s="45" t="n">
        <v>21</v>
      </c>
      <c r="B27" s="24" t="inlineStr">
        <is>
          <t>Toplam borç</t>
        </is>
      </c>
      <c r="C27" s="49">
        <f>IFERROR(G18+G19,0)</f>
        <v/>
      </c>
      <c r="D27" s="47" t="inlineStr">
        <is>
          <t>TL</t>
        </is>
      </c>
      <c r="E27" s="6" t="inlineStr">
        <is>
          <t>KV+UV borç</t>
        </is>
      </c>
      <c r="F27" s="23" t="inlineStr">
        <is>
          <t>KTK-003</t>
        </is>
      </c>
      <c r="G27" s="26">
        <f>IFERROR(G18+G19,0)</f>
        <v/>
      </c>
    </row>
    <row r="28">
      <c r="A28" s="45" t="n">
        <v>22</v>
      </c>
      <c r="B28" s="24" t="inlineStr">
        <is>
          <t>Özkaynak (pano)</t>
        </is>
      </c>
      <c r="C28" s="49">
        <f>IFERROR(G22,0)</f>
        <v/>
      </c>
      <c r="D28" s="47" t="inlineStr">
        <is>
          <t>TL</t>
        </is>
      </c>
      <c r="E28" s="6" t="inlineStr">
        <is>
          <t>Özkaynak ayna</t>
        </is>
      </c>
      <c r="F28" s="23" t="inlineStr">
        <is>
          <t>KTK-001</t>
        </is>
      </c>
      <c r="G28" s="26">
        <f>IFERROR(G22,0)</f>
        <v/>
      </c>
    </row>
    <row r="29">
      <c r="A29" s="45" t="n">
        <v>23</v>
      </c>
      <c r="B29" s="24" t="inlineStr">
        <is>
          <t>Eksik (karar)</t>
        </is>
      </c>
      <c r="C29" s="49">
        <f>IFERROR(G25,0)</f>
        <v/>
      </c>
      <c r="D29" s="47" t="inlineStr">
        <is>
          <t>TL</t>
        </is>
      </c>
      <c r="E29" s="6" t="inlineStr">
        <is>
          <t>Eksik sermaye ayna</t>
        </is>
      </c>
      <c r="F29" s="23" t="inlineStr">
        <is>
          <t>KTK-001</t>
        </is>
      </c>
      <c r="G29" s="26">
        <f>IFERROR(G25,0)</f>
        <v/>
      </c>
    </row>
    <row r="30">
      <c r="A30" s="45" t="n">
        <v>24</v>
      </c>
      <c r="B30" s="24" t="inlineStr">
        <is>
          <t>Kritik açık</t>
        </is>
      </c>
      <c r="C30" s="49">
        <f>IFERROR(MAX(G25,G26),0)</f>
        <v/>
      </c>
      <c r="D30" s="47" t="inlineStr">
        <is>
          <t>TL</t>
        </is>
      </c>
      <c r="E30" s="6" t="inlineStr">
        <is>
          <t>En yüksek eksik</t>
        </is>
      </c>
      <c r="F30" s="23" t="inlineStr">
        <is>
          <t>KTK-002</t>
        </is>
      </c>
      <c r="G30" s="26">
        <f>IFERROR(MAX(G25,G26),0)</f>
        <v/>
      </c>
    </row>
    <row r="31">
      <c r="A31" s="45" t="n">
        <v>25</v>
      </c>
      <c r="B31" s="24" t="inlineStr">
        <is>
          <t>Borç / aktif</t>
        </is>
      </c>
      <c r="C31" s="48">
        <f>IFERROR(IF(G17=0,0,G27/G17),0)</f>
        <v/>
      </c>
      <c r="D31" s="47" t="inlineStr">
        <is>
          <t>oran</t>
        </is>
      </c>
      <c r="E31" s="6" t="inlineStr">
        <is>
          <t>Borç yoğunluğu</t>
        </is>
      </c>
      <c r="F31" s="23" t="inlineStr">
        <is>
          <t>KTK-003</t>
        </is>
      </c>
      <c r="G31" s="25">
        <f>IFERROR(IF(G17=0,0,G27/G17),0)</f>
        <v/>
      </c>
    </row>
    <row r="32">
      <c r="A32" s="45" t="n">
        <v>26</v>
      </c>
      <c r="B32" s="24" t="inlineStr">
        <is>
          <t>Varlık − borç</t>
        </is>
      </c>
      <c r="C32" s="49">
        <f>IFERROR(G17-G27,0)</f>
        <v/>
      </c>
      <c r="D32" s="47" t="inlineStr">
        <is>
          <t>TL</t>
        </is>
      </c>
      <c r="E32" s="6" t="inlineStr">
        <is>
          <t>Net aktif</t>
        </is>
      </c>
      <c r="F32" s="23" t="inlineStr">
        <is>
          <t>KTK-003</t>
        </is>
      </c>
      <c r="G32" s="26">
        <f>IFERROR(G17-G27,0)</f>
        <v/>
      </c>
    </row>
    <row r="33">
      <c r="A33" s="45" t="n">
        <v>27</v>
      </c>
      <c r="B33" s="24" t="inlineStr">
        <is>
          <t>Karar kodu</t>
        </is>
      </c>
      <c r="C33" s="21">
        <f>IFERROR(IF(COUNTA(tblGirdi[Alan Anahtarı])=0,"VERI_YOK",IF(OR(G22&lt;0,G31&gt;=G10,G23&lt;G9),"KRIZ",IF(OR(G23&lt;G20,G31&gt;=G11),"DIKKAT","NORMAL"))),"")</f>
        <v/>
      </c>
      <c r="D33" s="47" t="inlineStr">
        <is>
          <t>kod</t>
        </is>
      </c>
      <c r="E33" s="6" t="inlineStr">
        <is>
          <t>Karar kodu</t>
        </is>
      </c>
      <c r="F33" s="23" t="inlineStr">
        <is>
          <t>KTK-005</t>
        </is>
      </c>
      <c r="G33" s="27">
        <f>IFERROR(IF(COUNTA(tblGirdi[Alan Anahtarı])=0,"VERI_YOK",IF(OR(G22&lt;0,G31&gt;=G10,G23&lt;G9),"KRIZ",IF(OR(G23&lt;G20,G31&gt;=G11),"DIKKAT","NORMAL"))),"")</f>
        <v/>
      </c>
    </row>
    <row r="34">
      <c r="A34" s="45" t="n">
        <v>28</v>
      </c>
      <c r="B34" s="24" t="inlineStr">
        <is>
          <t>Karar metni</t>
        </is>
      </c>
      <c r="C34" s="21">
        <f>IFERROR(IF(G33="VERI_YOK","VERİ YOK",IF(G33="KRIZ","KRİZ",IF(G33="DIKKAT","DİKKAT","NORMAL"))),"")</f>
        <v/>
      </c>
      <c r="D34" s="47" t="inlineStr">
        <is>
          <t>metin</t>
        </is>
      </c>
      <c r="E34" s="6" t="inlineStr">
        <is>
          <t>Kullanıcıya karar</t>
        </is>
      </c>
      <c r="F34" s="23" t="inlineStr">
        <is>
          <t>KTK-005</t>
        </is>
      </c>
      <c r="G34" s="27">
        <f>IFERROR(IF(G33="VERI_YOK","VERİ YOK",IF(G33="KRIZ","KRİZ",IF(G33="DIKKAT","DİKKAT","NORMAL"))),"")</f>
        <v/>
      </c>
    </row>
    <row r="35">
      <c r="A35" s="45" t="n">
        <v>29</v>
      </c>
      <c r="B35" s="24" t="inlineStr">
        <is>
          <t>Gerekçe</t>
        </is>
      </c>
      <c r="C35" s="21">
        <f>IFERROR(IF(G33="VERI_YOK","Giriş tablosu boş — hesap yapılamaz.",IF(G33="KRIZ","Özkaynak 1/3 altına düşmüş, borca batık veya negatif; genel kurul / konkordato yolu değerlendirin.",IF(G33="DIKKAT","Özkaynak yarı eşiğin altında veya borç/aktif yüksek; sermaye tamamlama planı hazırlayın.","Özkaynak/sermaye oranı eşiklerin üstünde; TTK 376 zorunlu önlem gerekmiyor."))),"")</f>
        <v/>
      </c>
      <c r="D35" s="47" t="inlineStr">
        <is>
          <t>metin</t>
        </is>
      </c>
      <c r="E35" s="6" t="inlineStr">
        <is>
          <t>Gerekçe cümlesi</t>
        </is>
      </c>
      <c r="F35" s="23" t="inlineStr">
        <is>
          <t>KTK-005</t>
        </is>
      </c>
      <c r="G35" s="27">
        <f>IFERROR(IF(G33="VERI_YOK","Giriş tablosu boş — hesap yapılamaz.",IF(G33="KRIZ","Özkaynak 1/3 altına düşmüş, borca batık veya negatif; genel kurul / konkordato yolu değerlendirin.",IF(G33="DIKKAT","Özkaynak yarı eşiğin altında veya borç/aktif yüksek; sermaye tamamlama planı hazırlayın.","Özkaynak/sermaye oranı eşiklerin üstünde; TTK 376 zorunlu önlem gerekmiyor."))),"")</f>
        <v/>
      </c>
    </row>
    <row r="36">
      <c r="A36" s="45" t="n">
        <v>30</v>
      </c>
      <c r="B36" s="24" t="inlineStr">
        <is>
          <t>Özkaynak / varlık</t>
        </is>
      </c>
      <c r="C36" s="48">
        <f>IFERROR(IF(G17=0,0,G22/G17),0)</f>
        <v/>
      </c>
      <c r="D36" s="47" t="inlineStr">
        <is>
          <t>oran</t>
        </is>
      </c>
      <c r="E36" s="6" t="inlineStr">
        <is>
          <t>Özkaynak yoğunluğu</t>
        </is>
      </c>
      <c r="F36" s="23" t="inlineStr">
        <is>
          <t>KTK-001</t>
        </is>
      </c>
      <c r="G36" s="25">
        <f>IFERROR(IF(G17=0,0,G22/G17),0)</f>
        <v/>
      </c>
    </row>
    <row r="37">
      <c r="A37" s="45" t="n">
        <v>31</v>
      </c>
      <c r="B37" s="24" t="inlineStr">
        <is>
          <t>Eksik / sermaye</t>
        </is>
      </c>
      <c r="C37" s="48">
        <f>IFERROR(IF(G21=0,0,G30/G21),0)</f>
        <v/>
      </c>
      <c r="D37" s="47" t="inlineStr">
        <is>
          <t>oran</t>
        </is>
      </c>
      <c r="E37" s="6" t="inlineStr">
        <is>
          <t>Eksik oranı</t>
        </is>
      </c>
      <c r="F37" s="23" t="inlineStr">
        <is>
          <t>KTK-001</t>
        </is>
      </c>
      <c r="G37" s="25">
        <f>IFERROR(IF(G21=0,0,G30/G21),0)</f>
        <v/>
      </c>
    </row>
    <row r="38">
      <c r="A38" s="45" t="n">
        <v>32</v>
      </c>
      <c r="B38" s="24" t="inlineStr">
        <is>
          <t>Güven skoru</t>
        </is>
      </c>
      <c r="C38" s="46">
        <f>IFERROR(ROUND(IF(OR(COUNTA(GIRDI!B6:B16)=0,ktk_girisBeklenen=0),0,COUNTA(GIRDI!B6:B16)/ktk_girisBeklenen*100),0),0)</f>
        <v/>
      </c>
      <c r="D38" s="47" t="inlineStr">
        <is>
          <t>puan</t>
        </is>
      </c>
      <c r="E38" s="6" t="inlineStr">
        <is>
          <t>Giriş bütünlüğü</t>
        </is>
      </c>
      <c r="F38" s="23" t="inlineStr">
        <is>
          <t>KTK-005</t>
        </is>
      </c>
      <c r="G38" s="35">
        <f>IFERROR(ROUND(IF(OR(COUNTA(GIRDI!B6:B16)=0,ktk_girisBeklenen=0),0,COUNTA(GIRDI!B6:B16)/ktk_girisBeklenen*100),0),0)</f>
        <v/>
      </c>
    </row>
    <row r="39">
      <c r="A39" s="45" t="n">
        <v>33</v>
      </c>
      <c r="B39" s="24" t="inlineStr">
        <is>
          <t>Risk skoru</t>
        </is>
      </c>
      <c r="C39" s="46">
        <f>IFERROR(IF(G33="VERI_YOK",0,IF(G33="NORMAL",ktk_riskDusuk,IF(G33="DIKKAT",ktk_riskOrta,ktk_riskYuksek))),0)</f>
        <v/>
      </c>
      <c r="D39" s="47" t="inlineStr">
        <is>
          <t>puan</t>
        </is>
      </c>
      <c r="E39" s="6" t="inlineStr">
        <is>
          <t>Kriz riski</t>
        </is>
      </c>
      <c r="F39" s="23" t="inlineStr">
        <is>
          <t>KTK-005</t>
        </is>
      </c>
      <c r="G39" s="35">
        <f>IFERROR(IF(G33="VERI_YOK",0,IF(G33="NORMAL",ktk_riskDusuk,IF(G33="DIKKAT",ktk_riskOrta,ktk_riskYuksek))),0)</f>
        <v/>
      </c>
    </row>
    <row r="40">
      <c r="A40" s="45" t="n">
        <v>34</v>
      </c>
      <c r="B40" s="24" t="inlineStr">
        <is>
          <t>Senaryo iyimser özkaynak</t>
        </is>
      </c>
      <c r="C40" s="49">
        <f>IFERROR(G22*ktk_senaryoIyi,0)</f>
        <v/>
      </c>
      <c r="D40" s="47" t="inlineStr">
        <is>
          <t>TL</t>
        </is>
      </c>
      <c r="E40" s="6" t="inlineStr">
        <is>
          <t>İyimser özkaynak</t>
        </is>
      </c>
      <c r="F40" s="23" t="inlineStr">
        <is>
          <t>KTK-001</t>
        </is>
      </c>
      <c r="G40" s="26">
        <f>IFERROR(G22*ktk_senaryoIyi,0)</f>
        <v/>
      </c>
    </row>
    <row r="41">
      <c r="A41" s="45" t="n">
        <v>35</v>
      </c>
      <c r="B41" s="24" t="inlineStr">
        <is>
          <t>Senaryo kötümser özkaynak</t>
        </is>
      </c>
      <c r="C41" s="49">
        <f>IFERROR(G22*ktk_senaryoKotu,0)</f>
        <v/>
      </c>
      <c r="D41" s="47" t="inlineStr">
        <is>
          <t>TL</t>
        </is>
      </c>
      <c r="E41" s="6" t="inlineStr">
        <is>
          <t>Kötümser özkaynak</t>
        </is>
      </c>
      <c r="F41" s="23" t="inlineStr">
        <is>
          <t>KTK-001</t>
        </is>
      </c>
      <c r="G41" s="26">
        <f>IFERROR(G22*ktk_senaryoKotu,0)</f>
        <v/>
      </c>
    </row>
    <row r="42">
      <c r="A42" s="45" t="n">
        <v>36</v>
      </c>
      <c r="B42" s="24" t="inlineStr">
        <is>
          <t>İyimser oran</t>
        </is>
      </c>
      <c r="C42" s="48">
        <f>IFERROR(IF(G21=0,0,G40/G21),0)</f>
        <v/>
      </c>
      <c r="D42" s="47" t="inlineStr">
        <is>
          <t>oran</t>
        </is>
      </c>
      <c r="E42" s="6" t="inlineStr">
        <is>
          <t>İyimser oran</t>
        </is>
      </c>
      <c r="F42" s="23" t="inlineStr">
        <is>
          <t>KTK-001</t>
        </is>
      </c>
      <c r="G42" s="25">
        <f>IFERROR(IF(G21=0,0,G40/G21),0)</f>
        <v/>
      </c>
    </row>
    <row r="43">
      <c r="A43" s="45" t="n">
        <v>37</v>
      </c>
      <c r="B43" s="24" t="inlineStr">
        <is>
          <t>Kötümser oran</t>
        </is>
      </c>
      <c r="C43" s="48">
        <f>IFERROR(IF(G21=0,0,G41/G21),0)</f>
        <v/>
      </c>
      <c r="D43" s="47" t="inlineStr">
        <is>
          <t>oran</t>
        </is>
      </c>
      <c r="E43" s="6" t="inlineStr">
        <is>
          <t>Kötümser oran</t>
        </is>
      </c>
      <c r="F43" s="23" t="inlineStr">
        <is>
          <t>KTK-001</t>
        </is>
      </c>
      <c r="G43" s="25">
        <f>IFERROR(IF(G21=0,0,G41/G21),0)</f>
        <v/>
      </c>
    </row>
    <row r="44">
      <c r="A44" s="45" t="n">
        <v>38</v>
      </c>
      <c r="B44" s="24" t="inlineStr">
        <is>
          <t>M-SEN yarı−</t>
        </is>
      </c>
      <c r="C44" s="48">
        <f>IFERROR(MAX(0,G8-ktk_oranArtisPuan),0)</f>
        <v/>
      </c>
      <c r="D44" s="47" t="inlineStr">
        <is>
          <t>oran</t>
        </is>
      </c>
      <c r="E44" s="6" t="inlineStr">
        <is>
          <t>Yarı − delta</t>
        </is>
      </c>
      <c r="F44" s="23" t="inlineStr">
        <is>
          <t>KTK-001</t>
        </is>
      </c>
      <c r="G44" s="25">
        <f>IFERROR(MAX(0,G8-ktk_oranArtisPuan),0)</f>
        <v/>
      </c>
    </row>
    <row r="45">
      <c r="A45" s="45" t="n">
        <v>39</v>
      </c>
      <c r="B45" s="24" t="inlineStr">
        <is>
          <t>M-SEN eksik</t>
        </is>
      </c>
      <c r="C45" s="49">
        <f>IFERROR(ROUND(MAX(0,G21*G44-G22),MAX(0,MIN(ktk_yuvarMax,IFERROR(N(G12),0)))),0)</f>
        <v/>
      </c>
      <c r="D45" s="47" t="inlineStr">
        <is>
          <t>TL</t>
        </is>
      </c>
      <c r="E45" s="6" t="inlineStr">
        <is>
          <t>M-SEN eksik sermaye</t>
        </is>
      </c>
      <c r="F45" s="23" t="inlineStr">
        <is>
          <t>KTK-001</t>
        </is>
      </c>
      <c r="G45" s="26">
        <f>IFERROR(ROUND(MAX(0,G21*G44-G22),MAX(0,MIN(ktk_yuvarMax,IFERROR(N(G12),0)))),0)</f>
        <v/>
      </c>
    </row>
    <row r="46">
      <c r="A46" s="45" t="n">
        <v>40</v>
      </c>
      <c r="B46" s="24" t="inlineStr">
        <is>
          <t>M-SEN açık</t>
        </is>
      </c>
      <c r="C46" s="49">
        <f>IFERROR(G45,0)</f>
        <v/>
      </c>
      <c r="D46" s="47" t="inlineStr">
        <is>
          <t>TL</t>
        </is>
      </c>
      <c r="E46" s="6" t="inlineStr">
        <is>
          <t>M-SEN farkı</t>
        </is>
      </c>
      <c r="F46" s="23" t="inlineStr">
        <is>
          <t>KTK-001</t>
        </is>
      </c>
      <c r="G46" s="26">
        <f>IFERROR(G45,0)</f>
        <v/>
      </c>
    </row>
    <row r="47">
      <c r="A47" s="45" t="n">
        <v>41</v>
      </c>
      <c r="B47" s="24" t="inlineStr">
        <is>
          <t>Tahmin üst</t>
        </is>
      </c>
      <c r="C47" s="49">
        <f>IFERROR(G30*ktk_tahminUst,0)</f>
        <v/>
      </c>
      <c r="D47" s="47" t="inlineStr">
        <is>
          <t>TL</t>
        </is>
      </c>
      <c r="E47" s="6" t="inlineStr">
        <is>
          <t>Tahmin üst bant</t>
        </is>
      </c>
      <c r="F47" s="23" t="inlineStr">
        <is>
          <t>KTK-005</t>
        </is>
      </c>
      <c r="G47" s="26">
        <f>IFERROR(G30*ktk_tahminUst,0)</f>
        <v/>
      </c>
    </row>
    <row r="48">
      <c r="A48" s="45" t="n">
        <v>42</v>
      </c>
      <c r="B48" s="24" t="inlineStr">
        <is>
          <t>Tahmin alt</t>
        </is>
      </c>
      <c r="C48" s="49">
        <f>IFERROR(G30*ktk_tahminAlt,0)</f>
        <v/>
      </c>
      <c r="D48" s="47" t="inlineStr">
        <is>
          <t>TL</t>
        </is>
      </c>
      <c r="E48" s="6" t="inlineStr">
        <is>
          <t>Tahmin alt bant</t>
        </is>
      </c>
      <c r="F48" s="23" t="inlineStr">
        <is>
          <t>KTK-005</t>
        </is>
      </c>
      <c r="G48" s="26">
        <f>IFERROR(G30*ktk_tahminAlt,0)</f>
        <v/>
      </c>
    </row>
    <row r="49">
      <c r="A49" s="45" t="n">
        <v>43</v>
      </c>
      <c r="B49" s="24" t="inlineStr">
        <is>
          <t>Tornado: sermaye etkisi</t>
        </is>
      </c>
      <c r="C49" s="49">
        <f>IFERROR(ABS(ROUND(MAX(0,(G21*ktk_tornadoMatrah)*G20-G22),MAX(0,MIN(ktk_yuvarMax,IFERROR(N(G12),0))))-G25),0)</f>
        <v/>
      </c>
      <c r="D49" s="47" t="inlineStr">
        <is>
          <t>TL</t>
        </is>
      </c>
      <c r="E49" s="6" t="inlineStr">
        <is>
          <t>Sermaye ± etki</t>
        </is>
      </c>
      <c r="F49" s="23" t="inlineStr">
        <is>
          <t>KTK-001</t>
        </is>
      </c>
      <c r="G49" s="26">
        <f>IFERROR(ABS(ROUND(MAX(0,(G21*ktk_tornadoMatrah)*G20-G22),MAX(0,MIN(ktk_yuvarMax,IFERROR(N(G12),0))))-G25),0)</f>
        <v/>
      </c>
    </row>
    <row r="50">
      <c r="A50" s="45" t="n">
        <v>44</v>
      </c>
      <c r="B50" s="24" t="inlineStr">
        <is>
          <t>Tornado: zarar etkisi</t>
        </is>
      </c>
      <c r="C50" s="49">
        <f>IFERROR(ABS(ROUND(MAX(0,G21*G20-(G13+G14-G15*ktk_tornadoMevcut+G16)),MAX(0,MIN(ktk_yuvarMax,IFERROR(N(G12),0))))-G25),0)</f>
        <v/>
      </c>
      <c r="D50" s="47" t="inlineStr">
        <is>
          <t>TL</t>
        </is>
      </c>
      <c r="E50" s="6" t="inlineStr">
        <is>
          <t>Zarar ± etki</t>
        </is>
      </c>
      <c r="F50" s="23" t="inlineStr">
        <is>
          <t>KTK-001</t>
        </is>
      </c>
      <c r="G50" s="26">
        <f>IFERROR(ABS(ROUND(MAX(0,G21*G20-(G13+G14-G15*ktk_tornadoMevcut+G16)),MAX(0,MIN(ktk_yuvarMax,IFERROR(N(G12),0))))-G25),0)</f>
        <v/>
      </c>
    </row>
    <row r="51">
      <c r="A51" s="45" t="n">
        <v>45</v>
      </c>
      <c r="B51" s="24" t="inlineStr">
        <is>
          <t>Tornado: eşik etkisi</t>
        </is>
      </c>
      <c r="C51" s="49">
        <f>IFERROR(ABS(ROUND(MAX(0,G21*(G8+ktk_oranArtisPuan)-G22),MAX(0,MIN(ktk_yuvarMax,IFERROR(N(G12),0))))-G25),0)</f>
        <v/>
      </c>
      <c r="D51" s="47" t="inlineStr">
        <is>
          <t>TL</t>
        </is>
      </c>
      <c r="E51" s="6" t="inlineStr">
        <is>
          <t>Eşik ± etki</t>
        </is>
      </c>
      <c r="F51" s="23" t="inlineStr">
        <is>
          <t>KTK-001</t>
        </is>
      </c>
      <c r="G51" s="26">
        <f>IFERROR(ABS(ROUND(MAX(0,G21*(G8+ktk_oranArtisPuan)-G22),MAX(0,MIN(ktk_yuvarMax,IFERROR(N(G12),0))))-G25),0)</f>
        <v/>
      </c>
    </row>
    <row r="52">
      <c r="A52" s="45" t="n">
        <v>46</v>
      </c>
      <c r="B52" s="24" t="inlineStr">
        <is>
          <t>Madde atıf özeti</t>
        </is>
      </c>
      <c r="C52" s="21">
        <f>IFERROR(_xlfn.TEXTJOIN(" | ",TRUE,"KTK-001→1/2 eşik","KTK-002→1/3 eşik","KTK-003→borca batık","KTK-004→borç/aktif"),"")</f>
        <v/>
      </c>
      <c r="D52" s="47" t="inlineStr">
        <is>
          <t>metin</t>
        </is>
      </c>
      <c r="E52" s="6" t="inlineStr">
        <is>
          <t>Kanıt atıfları</t>
        </is>
      </c>
      <c r="F52" s="23" t="inlineStr">
        <is>
          <t>KTK-001</t>
        </is>
      </c>
      <c r="G52" s="27">
        <f>IFERROR(_xlfn.TEXTJOIN(" | ",TRUE,"KTK-001→1/2 eşik","KTK-002→1/3 eşik","KTK-003→borca batık","KTK-004→borç/aktif"),"")</f>
        <v/>
      </c>
    </row>
    <row r="53">
      <c r="A53" s="45" t="n">
        <v>47</v>
      </c>
      <c r="B53" s="24" t="inlineStr">
        <is>
          <t>Kanıt satır özeti</t>
        </is>
      </c>
      <c r="C53" s="21">
        <f>IFERROR(_xlfn.TEXTJOIN(" · ",TRUE,"Oran=",TEXT(G23,"0.0%"),"Özkaynak=",TEXT(G22,"₺ #,##0"),"Eksik=",TEXT(G30,"₺ #,##0"),"Borç/Aktif=",TEXT(G31,"0.0%")),"")</f>
        <v/>
      </c>
      <c r="D53" s="47" t="inlineStr">
        <is>
          <t>metin</t>
        </is>
      </c>
      <c r="E53" s="6" t="inlineStr">
        <is>
          <t>Rapor özeti</t>
        </is>
      </c>
      <c r="F53" s="23" t="inlineStr">
        <is>
          <t>KTK-005</t>
        </is>
      </c>
      <c r="G53" s="27">
        <f>IFERROR(_xlfn.TEXTJOIN(" · ",TRUE,"Oran=",TEXT(G23,"0.0%"),"Özkaynak=",TEXT(G22,"₺ #,##0"),"Eksik=",TEXT(G30,"₺ #,##0"),"Borç/Aktif=",TEXT(G31,"0.0%")),"")</f>
        <v/>
      </c>
    </row>
    <row r="55">
      <c r="I55" s="4" t="inlineStr">
        <is>
          <t>Motor adımları kilitlidir; oranlar yalnızca KURALLAR'dan gelir.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3">
    <mergeCell ref="A3:G3"/>
    <mergeCell ref="A1:AD1"/>
    <mergeCell ref="A4:G4"/>
  </mergeCells>
  <conditionalFormatting sqref="G7:G53">
    <cfRule type="cellIs" priority="1" operator="lessThan" dxfId="3">
      <formula>0</formula>
    </cfRule>
  </conditionalFormatting>
  <conditionalFormatting sqref="F7:F53">
    <cfRule type="expression" priority="2" dxfId="6">
      <formula>F7="KTK-001"</formula>
    </cfRule>
    <cfRule type="expression" priority="3" dxfId="3">
      <formula>F7="KTK-005"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ED7D31"/>
    <outlinePr summaryBelow="1" summaryRight="1"/>
    <pageSetUpPr/>
  </sheetPr>
  <dimension ref="A1:AD33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18" customWidth="1" min="3" max="3"/>
    <col width="18" customWidth="1" min="4" max="4"/>
    <col width="22" customWidth="1" min="5" max="5"/>
    <col width="14" customWidth="1" min="7" max="7"/>
  </cols>
  <sheetData>
    <row r="1" ht="26" customHeight="1">
      <c r="A1" s="1" t="inlineStr">
        <is>
          <t>SENARYO — Konkordato + TTK 376 Kriz Paketi</t>
        </is>
      </c>
    </row>
    <row r="3">
      <c r="A3" s="9" t="inlineStr">
        <is>
          <t>Senaryo ve duyarlılık</t>
        </is>
      </c>
    </row>
    <row r="5">
      <c r="A5" s="50" t="inlineStr">
        <is>
          <t>Senaryo</t>
        </is>
      </c>
      <c r="B5" s="50" t="inlineStr">
        <is>
          <t>Özkaynak Çarpanı</t>
        </is>
      </c>
      <c r="C5" s="50" t="inlineStr">
        <is>
          <t>Özkaynak</t>
        </is>
      </c>
      <c r="D5" s="50" t="inlineStr">
        <is>
          <t>Eksik Sermaye</t>
        </is>
      </c>
      <c r="E5" s="50" t="inlineStr">
        <is>
          <t>Karar</t>
        </is>
      </c>
      <c r="G5" s="50" t="inlineStr">
        <is>
          <t>EksikDemo</t>
        </is>
      </c>
    </row>
    <row r="6">
      <c r="A6" s="7" t="inlineStr">
        <is>
          <t>İyimser</t>
        </is>
      </c>
      <c r="B6" s="25">
        <f>IFERROR(ktk_senaryoIyi+N(GIRDI!B9)*ktk_sifirCarpan,0)</f>
        <v/>
      </c>
      <c r="C6" s="26">
        <f>IFERROR(MOTOR!G40,0)</f>
        <v/>
      </c>
      <c r="D6" s="26">
        <f>IFERROR(ROUND(MAX(0,MOTOR!G21*MOTOR!G20-MOTOR!G40),2),0)</f>
        <v/>
      </c>
      <c r="E6" s="27">
        <f>IF(COUNTA(tblGirdi[Alan Anahtarı])=0,"VERİ YOK",IF(D6=0,"NORMAL","DİKKAT"))</f>
        <v/>
      </c>
      <c r="G6" s="29" t="n">
        <v>550000</v>
      </c>
    </row>
    <row r="7">
      <c r="A7" s="7" t="inlineStr">
        <is>
          <t>Baz</t>
        </is>
      </c>
      <c r="B7" s="25">
        <f>IFERROR(ktk_bazCarpan+N(GIRDI!B9)*ktk_sifirCarpan,ktk_bazCarpan)</f>
        <v/>
      </c>
      <c r="C7" s="26">
        <f>IFERROR(ktk_ozKaynak,0)</f>
        <v/>
      </c>
      <c r="D7" s="26">
        <f>IFERROR(ktk_eksikSermaye,0)</f>
        <v/>
      </c>
      <c r="E7" s="27">
        <f>IF(COUNTA(tblGirdi[Alan Anahtarı])=0,"VERİ YOK",IFERROR(ktk_kararMetni,"-"))</f>
        <v/>
      </c>
      <c r="G7" s="29" t="n">
        <v>1000000</v>
      </c>
    </row>
    <row r="8">
      <c r="A8" s="7" t="inlineStr">
        <is>
          <t>Kötümser</t>
        </is>
      </c>
      <c r="B8" s="25">
        <f>IFERROR(ktk_senaryoKotu+N(GIRDI!B9)*ktk_sifirCarpan,0)</f>
        <v/>
      </c>
      <c r="C8" s="26">
        <f>IFERROR(MOTOR!G41,0)</f>
        <v/>
      </c>
      <c r="D8" s="26">
        <f>IFERROR(ROUND(MAX(0,MOTOR!G21*MOTOR!G20-MOTOR!G41),2),0)</f>
        <v/>
      </c>
      <c r="E8" s="27">
        <f>IF(COUNTA(tblGirdi[Alan Anahtarı])=0,"VERİ YOK",IF(C8&lt;MOTOR!G21*MOTOR!G9,"KRİZ","DİKKAT"))</f>
        <v/>
      </c>
      <c r="G8" s="29" t="n">
        <v>1900000</v>
      </c>
    </row>
    <row r="9">
      <c r="A9" s="7" t="inlineStr">
        <is>
          <t>M-SEN −1 puan</t>
        </is>
      </c>
      <c r="B9" s="25">
        <f>IFERROR(ktk_bazCarpan+N(GIRDI!B9)*ktk_sifirCarpan,ktk_bazCarpan)</f>
        <v/>
      </c>
      <c r="C9" s="26">
        <f>IFERROR(ktk_ozKaynak,0)</f>
        <v/>
      </c>
      <c r="D9" s="26">
        <f>IFERROR(MOTOR!G46,0)</f>
        <v/>
      </c>
      <c r="E9" s="27">
        <f>IF(COUNTA(tblGirdi[Alan Anahtarı])=0,"VERİ YOK",IF(D9=0,"NORMAL","DİKKAT"))</f>
        <v/>
      </c>
      <c r="G9" s="29" t="n">
        <v>890000</v>
      </c>
    </row>
    <row r="11">
      <c r="A11" s="10" t="inlineStr">
        <is>
          <t>Senaryo bant genişliği (iyimser−kötümser eksik)</t>
        </is>
      </c>
      <c r="B11" s="26">
        <f>IFERROR(D8-D6,0)</f>
        <v/>
      </c>
    </row>
    <row r="12">
      <c r="A12" s="10" t="inlineStr">
        <is>
          <t>Senaryo yorumu</t>
        </is>
      </c>
      <c r="B12" s="21">
        <f>IFERROR(_xlfn.TEXTJOIN("; ",TRUE,"İyimser eksik ",TEXT(D6,"₺ #,##0")," · Baz ",TEXT(D7,"₺ #,##0")," · Kötümser ",TEXT(D8,"₺ #,##0")," · Bant ",TEXT(B11,"₺ #,##0")),"-")</f>
        <v/>
      </c>
    </row>
    <row r="14">
      <c r="A14" s="5" t="inlineStr">
        <is>
          <t>Duyarlılık (tornado)</t>
        </is>
      </c>
    </row>
    <row r="15">
      <c r="A15" s="50" t="inlineStr">
        <is>
          <t>Değişken</t>
        </is>
      </c>
      <c r="B15" s="50" t="inlineStr">
        <is>
          <t>Etki [₺]</t>
        </is>
      </c>
      <c r="C15" s="50" t="inlineStr">
        <is>
          <t>Sıra</t>
        </is>
      </c>
      <c r="E15" s="50" t="inlineStr">
        <is>
          <t>EtkiDemo</t>
        </is>
      </c>
    </row>
    <row r="16">
      <c r="A16" s="7" t="inlineStr">
        <is>
          <t>Tornado sermaye etkisi</t>
        </is>
      </c>
      <c r="B16" s="26">
        <f>IFERROR(MOTOR!G49,0)</f>
        <v/>
      </c>
      <c r="C16" s="35">
        <f>IFERROR(IF(B16&gt;=MAX(B16:B18),ktk_siraBir,IF(B16&gt;=MIN(B16:B18)+ABS(B16-B17),ktk_siraIki,ktk_siraUc)),ktk_siraUc)</f>
        <v/>
      </c>
      <c r="E16" s="29" t="n">
        <v>550000</v>
      </c>
    </row>
    <row r="17">
      <c r="A17" s="7" t="inlineStr">
        <is>
          <t>Tornado zarar etkisi</t>
        </is>
      </c>
      <c r="B17" s="26">
        <f>IFERROR(MOTOR!G50,0)</f>
        <v/>
      </c>
      <c r="C17" s="35">
        <f>IFERROR(IF(B17&gt;=MAX(B16:B18),ktk_siraBir,IF(B17=MEDIAN(B16:B18),ktk_siraIki,ktk_siraUc)),ktk_siraUc)</f>
        <v/>
      </c>
      <c r="E17" s="29" t="n">
        <v>400000</v>
      </c>
    </row>
    <row r="18">
      <c r="A18" s="7" t="inlineStr">
        <is>
          <t>Tornado eşik etkisi</t>
        </is>
      </c>
      <c r="B18" s="26">
        <f>IFERROR(MOTOR!G51,0)</f>
        <v/>
      </c>
      <c r="C18" s="35">
        <f>IFERROR(IF(B18&gt;=MAX(B16:B18),ktk_siraBir,IF(B18=MEDIAN(B16:B18),ktk_siraIki,ktk_siraUc)),ktk_siraUc)</f>
        <v/>
      </c>
      <c r="E18" s="29" t="n">
        <v>110000</v>
      </c>
    </row>
    <row r="19">
      <c r="A19" s="10" t="inlineStr">
        <is>
          <t>Duyarlılık sıra özeti</t>
        </is>
      </c>
      <c r="B19" s="27">
        <f>IFERROR(CONCATENATE("1)",INDEX(A16:A18,MATCH(ktk_siraBir,C16:C18,0))," 2)",INDEX(A16:A18,MATCH(ktk_siraIki,C16:C18,0))),"-")</f>
        <v/>
      </c>
    </row>
    <row r="20">
      <c r="A20" s="10" t="inlineStr">
        <is>
          <t>Duyarlılık yorumu</t>
        </is>
      </c>
      <c r="B20" s="21">
        <f>_xlfn.TEXTJOIN("; ",TRUE,"En yüksek etki ",TEXT(MAX(B16:B18),"₺ #,##0")," TL — öncelik bu değişkende")</f>
        <v/>
      </c>
    </row>
    <row r="22">
      <c r="A22" s="10" t="inlineStr">
        <is>
          <t>M-SEN kural değişimi eksik</t>
        </is>
      </c>
      <c r="B22" s="26">
        <f>D9</f>
        <v/>
      </c>
    </row>
    <row r="23">
      <c r="A23" s="10" t="inlineStr">
        <is>
          <t>M-SEN yorumu</t>
        </is>
      </c>
      <c r="B23" s="21">
        <f>_xlfn.TEXTJOIN("; ",TRUE,"Yarı eşik −1 puan senaryosunda eksik sermaye ",TEXT(D9,"₺ #,##0")," TL")</f>
        <v/>
      </c>
    </row>
    <row r="25">
      <c r="A25" s="10" t="inlineStr">
        <is>
          <t>Tahmin aralığı (eksik)</t>
        </is>
      </c>
      <c r="B25" s="26">
        <f>MOTOR!G48</f>
        <v/>
      </c>
      <c r="C25" s="26">
        <f>IFERROR(MOTOR!G30,0)</f>
        <v/>
      </c>
      <c r="D25" s="26">
        <f>MOTOR!G47</f>
        <v/>
      </c>
    </row>
    <row r="26">
      <c r="A26" s="10" t="inlineStr">
        <is>
          <t>Tahmin (AVERAGE)</t>
        </is>
      </c>
    </row>
    <row r="27">
      <c r="A27" s="28" t="inlineStr">
        <is>
          <t>Seri nokta</t>
        </is>
      </c>
      <c r="D27" s="10" t="inlineStr">
        <is>
          <t>TrendDemo</t>
        </is>
      </c>
    </row>
    <row r="28">
      <c r="A28" s="51" t="n">
        <v>1</v>
      </c>
      <c r="B28" s="26">
        <f>D6</f>
        <v/>
      </c>
      <c r="D28" s="29" t="n">
        <v>550000</v>
      </c>
    </row>
    <row r="29">
      <c r="A29" s="51" t="n">
        <v>2</v>
      </c>
      <c r="B29" s="26">
        <f>D7</f>
        <v/>
      </c>
      <c r="D29" s="29" t="n">
        <v>1000000</v>
      </c>
    </row>
    <row r="30">
      <c r="A30" s="51" t="n">
        <v>3</v>
      </c>
      <c r="B30" s="26">
        <f>D8</f>
        <v/>
      </c>
      <c r="D30" s="29" t="n">
        <v>1900000</v>
      </c>
    </row>
    <row r="31">
      <c r="A31" s="51" t="n">
        <v>4</v>
      </c>
      <c r="B31" s="26">
        <f>D9</f>
        <v/>
      </c>
      <c r="D31" s="29" t="n">
        <v>890000</v>
      </c>
    </row>
    <row r="32">
      <c r="A32" s="7" t="inlineStr">
        <is>
          <t>Tahmin sonraki</t>
        </is>
      </c>
      <c r="B32" s="26">
        <f>IFERROR(AVERAGE(B28:B31),0)</f>
        <v/>
      </c>
    </row>
    <row r="33">
      <c r="A33" s="10" t="inlineStr">
        <is>
          <t>Tahmin yorumu</t>
        </is>
      </c>
      <c r="B33" s="21">
        <f>_xlfn.TEXTJOIN("; ",TRUE,"Tahmin ",TEXT(B32,"₺ #,##0")," · Alt ",TEXT(B25,"₺ #,##0")," · Üst ",TEXT(D25,"₺ #,##0"))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B12:H12"/>
    <mergeCell ref="A1:AD1"/>
  </mergeCells>
  <conditionalFormatting sqref="D6:D9">
    <cfRule type="cellIs" priority="1" operator="greaterThan" dxfId="3">
      <formula>0</formula>
    </cfRule>
    <cfRule type="cellIs" priority="2" operator="equal" dxfId="4">
      <formula>0</formula>
    </cfRule>
  </conditionalFormatting>
  <conditionalFormatting sqref="E6:E9">
    <cfRule type="expression" priority="3" dxfId="4">
      <formula>ISNUMBER(SEARCH("TALEP",E6))</formula>
    </cfRule>
    <cfRule type="expression" priority="4" dxfId="5">
      <formula>ISNUMBER(SEARCH("BEKLE",E6))</formula>
    </cfRule>
  </conditionalFormatting>
  <conditionalFormatting sqref="B16:B18">
    <cfRule type="cellIs" priority="5" operator="greaterThan" dxfId="5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tabColor rgb="002E75B6"/>
    <outlinePr summaryBelow="1" summaryRight="1"/>
    <pageSetUpPr/>
  </sheetPr>
  <dimension ref="A1:AD13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40" customWidth="1" min="3" max="3"/>
    <col width="14" customWidth="1" min="4" max="4"/>
    <col width="14" customWidth="1" min="5" max="5"/>
    <col width="12" customWidth="1" min="6" max="6"/>
    <col width="12" customWidth="1" min="7" max="7"/>
    <col width="28" customWidth="1" min="8" max="8"/>
  </cols>
  <sheetData>
    <row r="1" ht="26" customHeight="1">
      <c r="A1" s="1" t="inlineStr">
        <is>
          <t>VAKALAR — Konkordato + TTK 376 Kriz Paketi</t>
        </is>
      </c>
    </row>
    <row r="3">
      <c r="A3" s="42" t="inlineStr">
        <is>
          <t>Tebliğ tarzı altın vakalar</t>
        </is>
      </c>
    </row>
    <row r="5" ht="30" customHeight="1">
      <c r="A5" s="22" t="inlineStr">
        <is>
          <t>vaka_id</t>
        </is>
      </c>
      <c r="B5" s="22" t="inlineStr">
        <is>
          <t>aciklama</t>
        </is>
      </c>
      <c r="C5" s="22" t="inlineStr">
        <is>
          <t>girdi_ozeti</t>
        </is>
      </c>
      <c r="D5" s="22" t="inlineStr">
        <is>
          <t>beklenen_sonuc</t>
        </is>
      </c>
      <c r="E5" s="22" t="inlineStr">
        <is>
          <t>hesaplanan</t>
        </is>
      </c>
      <c r="F5" s="22" t="inlineStr">
        <is>
          <t>fark</t>
        </is>
      </c>
      <c r="G5" s="22" t="inlineStr">
        <is>
          <t>durum</t>
        </is>
      </c>
      <c r="H5" s="22" t="inlineStr">
        <is>
          <t>kaynak</t>
        </is>
      </c>
      <c r="J5" s="50" t="inlineStr">
        <is>
          <t>BeklenenDemo</t>
        </is>
      </c>
      <c r="K5" s="50" t="inlineStr">
        <is>
          <t>HesapDemo</t>
        </is>
      </c>
    </row>
    <row r="6">
      <c r="A6" s="7" t="inlineStr">
        <is>
          <t>V-001</t>
        </is>
      </c>
      <c r="B6" s="7" t="inlineStr">
        <is>
          <t>Yarı eşik × sermaye</t>
        </is>
      </c>
      <c r="C6" s="7" t="inlineStr">
        <is>
          <t>sermaye=vaka_matrah_1; esik=KTK-001</t>
        </is>
      </c>
      <c r="D6" s="52" t="n">
        <v>50000</v>
      </c>
      <c r="E6" s="26">
        <f>IFERROR(ROUND(vaka_matrah_1*INDEX(tblKurallar[deger_2025],MATCH("KTK-001",tblKurallar[kural_id],0)),2),0)</f>
        <v/>
      </c>
      <c r="F6" s="53">
        <f>IF($A6="","",IFERROR($D6-$E6,0))</f>
        <v/>
      </c>
      <c r="G6" s="54">
        <f>IF($A6="","",IFERROR(IF(ABS($F6)&lt;=ktk_tolerans,"TUTARLI","KIRIK"),"KIRIK"))</f>
        <v/>
      </c>
      <c r="H6" s="7" t="inlineStr">
        <is>
          <t>TTK 376/1 yarı eşik</t>
        </is>
      </c>
      <c r="J6" s="29" t="n">
        <v>50000</v>
      </c>
      <c r="K6" s="29" t="n">
        <v>50000</v>
      </c>
    </row>
    <row r="7">
      <c r="A7" s="7" t="inlineStr">
        <is>
          <t>V-002</t>
        </is>
      </c>
      <c r="B7" s="7" t="inlineStr">
        <is>
          <t>1/3 eşik × sermaye</t>
        </is>
      </c>
      <c r="C7" s="7" t="inlineStr">
        <is>
          <t>sermaye=vaka_matrah_2; esik=KTK-002</t>
        </is>
      </c>
      <c r="D7" s="52" t="n">
        <v>66666.60000000001</v>
      </c>
      <c r="E7" s="26">
        <f>IFERROR(ROUND(vaka_matrah_2*INDEX(tblKurallar[deger_2025],MATCH("KTK-002",tblKurallar[kural_id],0)),2),0)</f>
        <v/>
      </c>
      <c r="F7" s="53">
        <f>IF($A7="","",IFERROR($D7-$E7,0))</f>
        <v/>
      </c>
      <c r="G7" s="54">
        <f>IF($A7="","",IFERROR(IF(ABS($F7)&lt;=ktk_tolerans,"TUTARLI","KIRIK"),"KIRIK"))</f>
        <v/>
      </c>
      <c r="H7" s="7" t="inlineStr">
        <is>
          <t>TTK 376/2 1/3 eşik</t>
        </is>
      </c>
      <c r="J7" s="29" t="n">
        <v>66666.60000000001</v>
      </c>
      <c r="K7" s="29" t="n">
        <v>66666.60000000001</v>
      </c>
    </row>
    <row r="8">
      <c r="A8" s="7" t="inlineStr">
        <is>
          <t>V-003</t>
        </is>
      </c>
      <c r="B8" s="7" t="inlineStr">
        <is>
          <t>Birikimli yarı + 1/3</t>
        </is>
      </c>
      <c r="C8" s="7" t="inlineStr">
        <is>
          <t>V-001 + V-002</t>
        </is>
      </c>
      <c r="D8" s="52" t="n">
        <v>116666.6</v>
      </c>
      <c r="E8" s="26">
        <f>IFERROR(ROUND(vaka_matrah_1*INDEX(tblKurallar[deger_2025],MATCH("KTK-001",tblKurallar[kural_id],0))+vaka_matrah_2*INDEX(tblKurallar[deger_2025],MATCH("KTK-002",tblKurallar[kural_id],0)),2),0)</f>
        <v/>
      </c>
      <c r="F8" s="53">
        <f>IF($A8="","",IFERROR($D8-$E8,0))</f>
        <v/>
      </c>
      <c r="G8" s="54">
        <f>IF($A8="","",IFERROR(IF(ABS($F8)&lt;=ktk_tolerans,"TUTARLI","KIRIK"),"KIRIK"))</f>
        <v/>
      </c>
      <c r="H8" s="7" t="inlineStr">
        <is>
          <t>Birikim yorum A</t>
        </is>
      </c>
      <c r="J8" s="29" t="n">
        <v>116666.6</v>
      </c>
      <c r="K8" s="29" t="n">
        <v>116666.6</v>
      </c>
    </row>
    <row r="9">
      <c r="A9" s="7" t="inlineStr">
        <is>
          <t>V-004</t>
        </is>
      </c>
      <c r="B9" s="7" t="inlineStr">
        <is>
          <t>Varlık × borç/aktif dikkat</t>
        </is>
      </c>
      <c r="C9" s="7" t="inlineStr">
        <is>
          <t>varlik=vaka_tavan; oran=KTK-004</t>
        </is>
      </c>
      <c r="D9" s="52" t="n">
        <v>112500</v>
      </c>
      <c r="E9" s="26">
        <f>IFERROR(ROUND(vaka_tavan*INDEX(tblKurallar[deger_2025],MATCH("KTK-004",tblKurallar[kural_id],0)),2),0)</f>
        <v/>
      </c>
      <c r="F9" s="53">
        <f>IF($A9="","",IFERROR($D9-$E9,0))</f>
        <v/>
      </c>
      <c r="G9" s="54">
        <f>IF($A9="","",IFERROR(IF(ABS($F9)&lt;=ktk_tolerans,"TUTARLI","KIRIK"),"KIRIK"))</f>
        <v/>
      </c>
      <c r="H9" s="7" t="inlineStr">
        <is>
          <t>KTK-004 borç/aktif</t>
        </is>
      </c>
      <c r="J9" s="29" t="n">
        <v>112500</v>
      </c>
      <c r="K9" s="29" t="n">
        <v>112500</v>
      </c>
    </row>
    <row r="12">
      <c r="A12" s="10" t="inlineStr">
        <is>
          <t>Vaka durum özeti</t>
        </is>
      </c>
      <c r="B12" s="55">
        <f>IFERROR(IF(COUNTIF(tblVakalar[durum],"KIRIK")&gt;0,"KIRIK","TUTARLI"),"KIRIK")</f>
        <v/>
      </c>
    </row>
    <row r="13">
      <c r="A13" s="10" t="inlineStr">
        <is>
          <t>Vaka fark toplamı</t>
        </is>
      </c>
      <c r="B13" s="26">
        <f>IFERROR(SUM(tblVakalar[fark]),0)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3:H3"/>
    <mergeCell ref="A1:AD1"/>
  </mergeCells>
  <conditionalFormatting sqref="G6:G9">
    <cfRule type="expression" priority="1" dxfId="0">
      <formula>G6="TUTARLI"</formula>
    </cfRule>
    <cfRule type="expression" priority="2" dxfId="2">
      <formula>G6="KIRIK"</formula>
    </cfRule>
  </conditionalFormatting>
  <conditionalFormatting sqref="F6:F9">
    <cfRule type="cellIs" priority="3" operator="notEqual" dxfId="5">
      <formula>0</formula>
    </cfRule>
  </conditionalFormatting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12.xml><?xml version="1.0" encoding="utf-8"?>
<worksheet xmlns="http://schemas.openxmlformats.org/spreadsheetml/2006/main">
  <sheetPr>
    <tabColor rgb="000F2742"/>
    <outlinePr summaryBelow="1" summaryRight="1"/>
    <pageSetUpPr fitToPage="1"/>
  </sheetPr>
  <dimension ref="A1:L32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6" customHeight="1">
      <c r="A1" s="1" t="inlineStr">
        <is>
          <t>KANIT RAPORU — Konkordato + TTK 376 Kriz Paketi</t>
        </is>
      </c>
    </row>
    <row r="3">
      <c r="A3" s="56" t="inlineStr">
        <is>
          <t>KANIT RAPORU — Konkordato + TTK 376 Kriz</t>
        </is>
      </c>
    </row>
    <row r="4">
      <c r="A4" s="7" t="inlineStr">
        <is>
          <t>Rapor tarihi</t>
        </is>
      </c>
      <c r="B4" s="57">
        <f>raporTarihi</f>
        <v/>
      </c>
    </row>
    <row r="5">
      <c r="A5" s="7" t="inlineStr">
        <is>
          <t>Şirket</t>
        </is>
      </c>
      <c r="B5" s="27">
        <f>GIRDI!B6</f>
        <v/>
      </c>
    </row>
    <row r="6">
      <c r="A6" s="7" t="inlineStr">
        <is>
          <t>Dönem / yıl</t>
        </is>
      </c>
      <c r="B6" s="27">
        <f>CONCATENATE(GIRDI!B7," / ",hesapYili)</f>
        <v/>
      </c>
    </row>
    <row r="8">
      <c r="A8" s="5" t="inlineStr">
        <is>
          <t>Girdi özeti</t>
        </is>
      </c>
    </row>
    <row r="9">
      <c r="A9" s="7" t="inlineStr">
        <is>
          <t>Ödenmiş sermaye</t>
        </is>
      </c>
      <c r="B9" s="26">
        <f>GIRDI!B9</f>
        <v/>
      </c>
    </row>
    <row r="10">
      <c r="A10" s="7" t="inlineStr">
        <is>
          <t>Sermaye yedekleri</t>
        </is>
      </c>
      <c r="B10" s="26">
        <f>GIRDI!B10</f>
        <v/>
      </c>
    </row>
    <row r="11">
      <c r="A11" s="7" t="inlineStr">
        <is>
          <t>Geçmiş yıl zararları</t>
        </is>
      </c>
      <c r="B11" s="26">
        <f>GIRDI!B11</f>
        <v/>
      </c>
    </row>
    <row r="12">
      <c r="A12" s="7" t="inlineStr">
        <is>
          <t>Dönem net kâr/zarar</t>
        </is>
      </c>
      <c r="B12" s="26">
        <f>GIRDI!B12</f>
        <v/>
      </c>
    </row>
    <row r="13">
      <c r="A13" s="7" t="inlineStr">
        <is>
          <t>Toplam varlık</t>
        </is>
      </c>
      <c r="B13" s="26">
        <f>GIRDI!B13</f>
        <v/>
      </c>
    </row>
    <row r="14">
      <c r="A14" s="7" t="inlineStr">
        <is>
          <t>Kısa vadeli borç</t>
        </is>
      </c>
      <c r="B14" s="26">
        <f>GIRDI!B14</f>
        <v/>
      </c>
    </row>
    <row r="15">
      <c r="A15" s="7" t="inlineStr">
        <is>
          <t>Uzun vadeli borç</t>
        </is>
      </c>
      <c r="B15" s="26">
        <f>GIRDI!B15</f>
        <v/>
      </c>
    </row>
    <row r="17">
      <c r="A17" s="5" t="inlineStr">
        <is>
          <t>Hesap zinciri</t>
        </is>
      </c>
    </row>
    <row r="18">
      <c r="A18" s="7" t="inlineStr">
        <is>
          <t>Özkaynak</t>
        </is>
      </c>
      <c r="B18" s="34">
        <f>ktk_ozKaynak</f>
        <v/>
      </c>
    </row>
    <row r="19">
      <c r="A19" s="7" t="inlineStr">
        <is>
          <t>Eksik sermaye (karar)</t>
        </is>
      </c>
      <c r="B19" s="34">
        <f>ktk_eksikSermaye</f>
        <v/>
      </c>
    </row>
    <row r="20">
      <c r="A20" s="10" t="inlineStr">
        <is>
          <t>KARAR</t>
        </is>
      </c>
      <c r="B20" s="58">
        <f>ktk_kararMetni</f>
        <v/>
      </c>
    </row>
    <row r="21">
      <c r="A21" s="7" t="inlineStr">
        <is>
          <t>Gerekçe</t>
        </is>
      </c>
      <c r="B21" s="21">
        <f>ktk_kararGerekce</f>
        <v/>
      </c>
    </row>
    <row r="23">
      <c r="A23" s="10" t="inlineStr">
        <is>
          <t>Madde atıfları</t>
        </is>
      </c>
      <c r="B23" s="21">
        <f>ktk_maddeAtifMetni</f>
        <v/>
      </c>
    </row>
    <row r="25">
      <c r="A25" s="10" t="inlineStr">
        <is>
          <t>Kanıt gövdesi</t>
        </is>
      </c>
      <c r="B25" s="21">
        <f>ktk_kanitRaporu</f>
        <v/>
      </c>
    </row>
    <row r="27">
      <c r="A27" s="7" t="inlineStr">
        <is>
          <t>Parmak izi (SHA-256 kısaltma)</t>
        </is>
      </c>
      <c r="B27" s="28">
        <f>ktk_parmakIzi</f>
        <v/>
      </c>
    </row>
    <row r="29">
      <c r="A29" s="7" t="inlineStr">
        <is>
          <t>Hazırlayan (imza)</t>
        </is>
      </c>
      <c r="B29" s="59" t="inlineStr"/>
    </row>
    <row r="30">
      <c r="A30" s="7" t="inlineStr">
        <is>
          <t>Onaylayan (imza)</t>
        </is>
      </c>
      <c r="B30" s="59" t="inlineStr"/>
    </row>
    <row r="32">
      <c r="A32" s="13" t="inlineStr">
        <is>
          <t>Uyarı: Bu çıktı karar destektir; kesin konkordato / TTK 376 sonucu veya hukuki görüş değildir. Sürüm 1.0.0.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6">
    <mergeCell ref="B21:F21"/>
    <mergeCell ref="B25:F25"/>
    <mergeCell ref="A1:L1"/>
    <mergeCell ref="A32:F32"/>
    <mergeCell ref="B23:F23"/>
    <mergeCell ref="A3:F3"/>
  </mergeCells>
  <conditionalFormatting sqref="B20">
    <cfRule type="expression" priority="1" dxfId="0">
      <formula>ISNUMBER(SEARCH("TALEP ET",B20))</formula>
    </cfRule>
    <cfRule type="expression" priority="2" dxfId="1">
      <formula>ISNUMBER(SEARCH("BEKLE",B20))</formula>
    </cfRule>
    <cfRule type="expression" priority="3" dxfId="2">
      <formula>ISNUMBER(SEARCH("VAZGEÇ",B20))</formula>
    </cfRule>
  </conditionalFormatting>
  <conditionalFormatting sqref="B19">
    <cfRule type="cellIs" priority="4" operator="greaterThan" dxfId="3">
      <formula>0</formula>
    </cfRule>
  </conditionalFormatting>
  <pageMargins left="0.4" right="0.4" top="0.5" bottom="0.5" header="0.5" footer="0.5"/>
  <pageSetup orientation="portrait" paperSize="9" fitToHeight="1" fitToWidth="1"/>
  <headerFooter>
    <oddHeader/>
    <oddFooter>&amp;LKonkordato + TTK 376 Kriz Paketi · 1.0.0&amp;CExcelArşiv&amp;RSayfa &amp;P / &amp;N</oddFooter>
    <evenHeader/>
    <evenFooter>&amp;LKonkordato + TTK 376 Kriz Paketi · 1.0.0&amp;CExcelArşiv&amp;RSayfa &amp;P / &amp;N</evenFooter>
    <firstHeader/>
    <firstFooter/>
  </headerFooter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tabColor rgb="00C00000"/>
    <outlinePr summaryBelow="1" summaryRight="1"/>
    <pageSetUpPr/>
  </sheetPr>
  <dimension ref="A1:AD19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40" customWidth="1" min="2" max="2"/>
  </cols>
  <sheetData>
    <row r="1" ht="26" customHeight="1">
      <c r="A1" s="1" t="inlineStr">
        <is>
          <t>KONTROLLER — Konkordato + TTK 376 Kriz Paketi</t>
        </is>
      </c>
    </row>
    <row r="3">
      <c r="A3" s="9" t="inlineStr">
        <is>
          <t>Canlı kontrol paneli</t>
        </is>
      </c>
    </row>
    <row r="5">
      <c r="A5" s="7" t="inlineStr">
        <is>
          <t>Giriş tablosu boş mu?</t>
        </is>
      </c>
      <c r="B5" s="27">
        <f>IF(COUNTA(tblGirdi[Alan Anahtarı])=0,"BOŞ","DOLU")</f>
        <v/>
      </c>
    </row>
    <row r="6">
      <c r="A6" s="7" t="inlineStr">
        <is>
          <t>Negatif ödenmiş sermaye?</t>
        </is>
      </c>
      <c r="B6" s="27">
        <f>IF(GIRDI!B9&lt;0,"NEGATİF","TEMİZ")</f>
        <v/>
      </c>
    </row>
    <row r="7">
      <c r="A7" s="7" t="inlineStr">
        <is>
          <t>Hesap yılı geçerli mi?</t>
        </is>
      </c>
      <c r="B7" s="27">
        <f>IFERROR(IF(AND(N(hesapYili)&gt;N(ktk_yilTaban),N(hesapYili)&lt;=N(ktk_yilTaban)+3),"TEMİZ","HATALI"),"HATALI")</f>
        <v/>
      </c>
    </row>
    <row r="8">
      <c r="A8" s="7" t="inlineStr">
        <is>
          <t>Sermaye tabanı sıfır mı?</t>
        </is>
      </c>
      <c r="B8" s="27">
        <f>IF(IFERROR(MOTOR!G21,0)=0,"SIFIR","NORMAL")</f>
        <v/>
      </c>
    </row>
    <row r="9">
      <c r="A9" s="7" t="inlineStr">
        <is>
          <t>Vaka kırık mı?</t>
        </is>
      </c>
      <c r="B9" s="27">
        <f>IFERROR(IF(COUNTIF(tblVakalar[durum],"KIRIK")&gt;0,"KIRIK","TUTARLI"),"KIRIK")</f>
        <v/>
      </c>
    </row>
    <row r="10">
      <c r="A10" s="7" t="inlineStr">
        <is>
          <t>Eksik eşiği aşıyor mu?</t>
        </is>
      </c>
      <c r="B10" s="27">
        <f>IF(IFERROR(MOTOR!G30,0)&gt;ktk_kacirilanEsik+N(GIRDI!B9)*ktk_sifirCarpan,"AŞIYOR","NORMAL")</f>
        <v/>
      </c>
    </row>
    <row r="11">
      <c r="A11" s="7" t="inlineStr">
        <is>
          <t>Yorum A/B seçili mi?</t>
        </is>
      </c>
      <c r="B11" s="27">
        <f>IF(OR(GIRDI!B16="A",GIRDI!B16="B"),"TEMİZ","EKSİK")</f>
        <v/>
      </c>
    </row>
    <row r="12">
      <c r="A12" s="10" t="inlineStr">
        <is>
          <t>Kalite skoru (modül)</t>
        </is>
      </c>
      <c r="B12" s="60">
        <f>IFERROR(ROUND(IF(OR(B14=0,B14=""),0,B15/B14*100),0),0)</f>
        <v/>
      </c>
    </row>
    <row r="14">
      <c r="A14" s="7" t="inlineStr">
        <is>
          <t>Toplam giriş alanı</t>
        </is>
      </c>
      <c r="B14" s="35">
        <f>IFERROR(ktk_girisBeklenen+COUNTA(GIRDI!B6:B16)*0,0)</f>
        <v/>
      </c>
    </row>
    <row r="15">
      <c r="A15" s="7" t="inlineStr">
        <is>
          <t>Dolu giriş</t>
        </is>
      </c>
      <c r="B15" s="35">
        <f>COUNTA(GIRDI!B6:B16)</f>
        <v/>
      </c>
    </row>
    <row r="17">
      <c r="A17" s="7" t="inlineStr">
        <is>
          <t>Özkaynak kontrol</t>
        </is>
      </c>
      <c r="B17" s="26">
        <f>IFERROR(ktk_ozKaynak,0)</f>
        <v/>
      </c>
    </row>
    <row r="18">
      <c r="A18" s="7" t="inlineStr">
        <is>
          <t>Eksik (karar) kontrol</t>
        </is>
      </c>
      <c r="B18" s="26">
        <f>IFERROR(ktk_eksikSermaye,0)</f>
        <v/>
      </c>
    </row>
    <row r="19">
      <c r="A19" s="7" t="inlineStr">
        <is>
          <t>Karar kontrol</t>
        </is>
      </c>
      <c r="B19" s="27">
        <f>IFERROR(ktk_kararMetni,"-")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">
    <mergeCell ref="A1:AD1"/>
  </mergeCells>
  <conditionalFormatting sqref="B5:B11">
    <cfRule type="expression" priority="1" dxfId="2">
      <formula>OR(B5="KIRIK",B5="HATALI",B5="NEGATİF",B5="BOŞ",B5="EKSİK",B5="AŞIYOR")</formula>
    </cfRule>
    <cfRule type="expression" priority="2" dxfId="0">
      <formula>OR(B5="TEMİZ",B5="DOLU",B5="NORMAL",B5="TUTARLI")</formula>
    </cfRule>
  </conditionalFormatting>
  <conditionalFormatting sqref="B12">
    <cfRule type="cellIs" priority="3" operator="greaterThanOrEqual" dxfId="4">
      <formula>80</formula>
    </cfRule>
    <cfRule type="cellIs" priority="4" operator="lessThan" dxfId="3">
      <formula>50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>
    <tabColor rgb="0070AD47"/>
    <outlinePr summaryBelow="1" summaryRight="1"/>
    <pageSetUpPr/>
  </sheetPr>
  <dimension ref="A1:AD100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26" customHeight="1">
      <c r="A1" s="1" t="inlineStr">
        <is>
          <t>ORNEK VERI — Konkordato + TTK 376 Kriz Paketi</t>
        </is>
      </c>
    </row>
    <row r="3">
      <c r="A3" s="42" t="inlineStr">
        <is>
          <t>Örnek senaryo kütüphanesi</t>
        </is>
      </c>
    </row>
    <row r="4">
      <c r="A4" s="28" t="inlineStr">
        <is>
          <t>Bu sayfa demo değerleri saklar; GIRDI'ye kopyalanabilir.</t>
        </is>
      </c>
    </row>
    <row r="5" ht="30" customHeight="1">
      <c r="A5" s="22" t="inlineStr">
        <is>
          <t>Senaryo</t>
        </is>
      </c>
      <c r="B5" s="22" t="inlineStr">
        <is>
          <t>Ödenmiş</t>
        </is>
      </c>
      <c r="C5" s="22" t="inlineStr">
        <is>
          <t>Yedek</t>
        </is>
      </c>
      <c r="D5" s="22" t="inlineStr">
        <is>
          <t>Geçmiş Zarar</t>
        </is>
      </c>
      <c r="E5" s="22" t="inlineStr">
        <is>
          <t>Dönem Net</t>
        </is>
      </c>
      <c r="F5" s="22" t="inlineStr">
        <is>
          <t>Varlık</t>
        </is>
      </c>
      <c r="G5" s="22" t="inlineStr">
        <is>
          <t>KV Borç</t>
        </is>
      </c>
      <c r="H5" s="22" t="inlineStr">
        <is>
          <t>UV Borç</t>
        </is>
      </c>
      <c r="I5" s="22" t="inlineStr">
        <is>
          <t>Özkaynak</t>
        </is>
      </c>
      <c r="L5" s="50" t="inlineStr">
        <is>
          <t>OzDemo</t>
        </is>
      </c>
    </row>
    <row r="6">
      <c r="A6" s="36" t="inlineStr">
        <is>
          <t>Demo ana</t>
        </is>
      </c>
      <c r="B6" s="39" t="n">
        <v>10000000</v>
      </c>
      <c r="C6" s="39" t="n">
        <v>1000000</v>
      </c>
      <c r="D6" s="39" t="n">
        <v>4000000</v>
      </c>
      <c r="E6" s="39" t="n">
        <v>-2500000</v>
      </c>
      <c r="F6" s="39" t="n">
        <v>25000000</v>
      </c>
      <c r="G6" s="39" t="n">
        <v>8000000</v>
      </c>
      <c r="H6" s="39" t="n">
        <v>6000000</v>
      </c>
      <c r="I6" s="37">
        <f>IF($A6="","",IFERROR($B6+$C6-$D6+$E6,0))</f>
        <v/>
      </c>
      <c r="L6" s="29" t="n">
        <v>4500000</v>
      </c>
    </row>
    <row r="7">
      <c r="A7" s="36" t="inlineStr">
        <is>
          <t>Kriz</t>
        </is>
      </c>
      <c r="B7" s="39" t="n">
        <v>5000000</v>
      </c>
      <c r="C7" s="39" t="n">
        <v>200000</v>
      </c>
      <c r="D7" s="39" t="n">
        <v>3500000</v>
      </c>
      <c r="E7" s="39" t="n">
        <v>-1200000</v>
      </c>
      <c r="F7" s="39" t="n">
        <v>12000000</v>
      </c>
      <c r="G7" s="39" t="n">
        <v>7000000</v>
      </c>
      <c r="H7" s="39" t="n">
        <v>5000000</v>
      </c>
      <c r="I7" s="37">
        <f>IF($A7="","",IFERROR($B7+$C7-$D7+$E7,0))</f>
        <v/>
      </c>
      <c r="L7" s="29" t="n">
        <v>500000</v>
      </c>
    </row>
    <row r="8">
      <c r="A8" s="36" t="inlineStr">
        <is>
          <t>Normal</t>
        </is>
      </c>
      <c r="B8" s="39" t="n">
        <v>8000000</v>
      </c>
      <c r="C8" s="39" t="n">
        <v>2000000</v>
      </c>
      <c r="D8" s="39" t="n">
        <v>500000</v>
      </c>
      <c r="E8" s="39" t="n">
        <v>800000</v>
      </c>
      <c r="F8" s="39" t="n">
        <v>30000000</v>
      </c>
      <c r="G8" s="39" t="n">
        <v>4000000</v>
      </c>
      <c r="H8" s="39" t="n">
        <v>3000000</v>
      </c>
      <c r="I8" s="37">
        <f>IF($A8="","",IFERROR($B8+$C8-$D8+$E8,0))</f>
        <v/>
      </c>
      <c r="L8" s="29" t="n">
        <v>10300000</v>
      </c>
    </row>
    <row r="9">
      <c r="A9" s="36" t="inlineStr">
        <is>
          <t>Yarı eşiğe yakın</t>
        </is>
      </c>
      <c r="B9" s="39" t="n">
        <v>6000000</v>
      </c>
      <c r="C9" s="39" t="n">
        <v>500000</v>
      </c>
      <c r="D9" s="39" t="n">
        <v>2800000</v>
      </c>
      <c r="E9" s="39" t="n">
        <v>-200000</v>
      </c>
      <c r="F9" s="39" t="n">
        <v>18000000</v>
      </c>
      <c r="G9" s="39" t="n">
        <v>6000000</v>
      </c>
      <c r="H9" s="39" t="n">
        <v>4000000</v>
      </c>
      <c r="I9" s="37">
        <f>IF($A9="","",IFERROR($B9+$C9-$D9+$E9,0))</f>
        <v/>
      </c>
      <c r="L9" s="29" t="n">
        <v>3500000</v>
      </c>
    </row>
    <row r="10">
      <c r="A10" s="36" t="inlineStr">
        <is>
          <t>Borca batık</t>
        </is>
      </c>
      <c r="B10" s="39" t="n">
        <v>3000000</v>
      </c>
      <c r="C10" s="39" t="n">
        <v>100000</v>
      </c>
      <c r="D10" s="39" t="n">
        <v>2000000</v>
      </c>
      <c r="E10" s="39" t="n">
        <v>-800000</v>
      </c>
      <c r="F10" s="39" t="n">
        <v>8000000</v>
      </c>
      <c r="G10" s="39" t="n">
        <v>5000000</v>
      </c>
      <c r="H10" s="39" t="n">
        <v>4000000</v>
      </c>
      <c r="I10" s="37">
        <f>IF($A10="","",IFERROR($B10+$C10-$D10+$E10,0))</f>
        <v/>
      </c>
      <c r="L10" s="29" t="n">
        <v>300000</v>
      </c>
    </row>
    <row r="11">
      <c r="A11" s="36" t="n"/>
      <c r="B11" s="36" t="n"/>
      <c r="C11" s="36" t="n"/>
      <c r="D11" s="36" t="n"/>
      <c r="E11" s="36" t="n"/>
      <c r="F11" s="36" t="n"/>
      <c r="G11" s="36" t="n"/>
      <c r="H11" s="36" t="n"/>
      <c r="I11" s="37">
        <f>IF($A11="","",IFERROR($B11+$C11-$D11+$E11,0))</f>
        <v/>
      </c>
    </row>
    <row r="12">
      <c r="A12" s="36" t="n"/>
      <c r="B12" s="36" t="n"/>
      <c r="C12" s="36" t="n"/>
      <c r="D12" s="36" t="n"/>
      <c r="E12" s="36" t="n"/>
      <c r="F12" s="36" t="n"/>
      <c r="G12" s="36" t="n"/>
      <c r="H12" s="36" t="n"/>
      <c r="I12" s="37">
        <f>IF($A12="","",IFERROR($B12+$C12-$D12+$E12,0))</f>
        <v/>
      </c>
    </row>
    <row r="13">
      <c r="A13" s="36" t="n"/>
      <c r="B13" s="36" t="n"/>
      <c r="C13" s="36" t="n"/>
      <c r="D13" s="36" t="n"/>
      <c r="E13" s="36" t="n"/>
      <c r="F13" s="36" t="n"/>
      <c r="G13" s="36" t="n"/>
      <c r="H13" s="36" t="n"/>
      <c r="I13" s="37">
        <f>IF($A13="","",IFERROR($B13+$C13-$D13+$E13,0))</f>
        <v/>
      </c>
    </row>
    <row r="14">
      <c r="A14" s="36" t="n"/>
      <c r="B14" s="36" t="n"/>
      <c r="C14" s="36" t="n"/>
      <c r="D14" s="36" t="n"/>
      <c r="E14" s="36" t="n"/>
      <c r="F14" s="36" t="n"/>
      <c r="G14" s="36" t="n"/>
      <c r="H14" s="36" t="n"/>
      <c r="I14" s="37">
        <f>IF($A14="","",IFERROR($B14+$C14-$D14+$E14,0))</f>
        <v/>
      </c>
    </row>
    <row r="15">
      <c r="A15" s="36" t="n"/>
      <c r="B15" s="36" t="n"/>
      <c r="C15" s="36" t="n"/>
      <c r="D15" s="36" t="n"/>
      <c r="E15" s="36" t="n"/>
      <c r="F15" s="36" t="n"/>
      <c r="G15" s="36" t="n"/>
      <c r="H15" s="36" t="n"/>
      <c r="I15" s="37">
        <f>IF($A15="","",IFERROR($B15+$C15-$D15+$E15,0))</f>
        <v/>
      </c>
    </row>
    <row r="16">
      <c r="A16" s="36" t="n"/>
      <c r="B16" s="36" t="n"/>
      <c r="C16" s="36" t="n"/>
      <c r="D16" s="36" t="n"/>
      <c r="E16" s="36" t="n"/>
      <c r="F16" s="36" t="n"/>
      <c r="G16" s="36" t="n"/>
      <c r="H16" s="36" t="n"/>
      <c r="I16" s="37">
        <f>IF($A16="","",IFERROR($B16+$C16-$D16+$E16,0))</f>
        <v/>
      </c>
    </row>
    <row r="17">
      <c r="A17" s="36" t="n"/>
      <c r="B17" s="36" t="n"/>
      <c r="C17" s="36" t="n"/>
      <c r="D17" s="36" t="n"/>
      <c r="E17" s="36" t="n"/>
      <c r="F17" s="36" t="n"/>
      <c r="G17" s="36" t="n"/>
      <c r="H17" s="36" t="n"/>
      <c r="I17" s="37">
        <f>IF($A17="","",IFERROR($B17+$C17-$D17+$E17,0))</f>
        <v/>
      </c>
    </row>
    <row r="18">
      <c r="A18" s="36" t="n"/>
      <c r="B18" s="36" t="n"/>
      <c r="C18" s="36" t="n"/>
      <c r="D18" s="36" t="n"/>
      <c r="E18" s="36" t="n"/>
      <c r="F18" s="36" t="n"/>
      <c r="G18" s="36" t="n"/>
      <c r="H18" s="36" t="n"/>
      <c r="I18" s="37">
        <f>IF($A18="","",IFERROR($B18+$C18-$D18+$E18,0))</f>
        <v/>
      </c>
    </row>
    <row r="19">
      <c r="A19" s="36" t="n"/>
      <c r="B19" s="36" t="n"/>
      <c r="C19" s="36" t="n"/>
      <c r="D19" s="36" t="n"/>
      <c r="E19" s="36" t="n"/>
      <c r="F19" s="36" t="n"/>
      <c r="G19" s="36" t="n"/>
      <c r="H19" s="36" t="n"/>
      <c r="I19" s="37">
        <f>IF($A19="","",IFERROR($B19+$C19-$D19+$E19,0))</f>
        <v/>
      </c>
    </row>
    <row r="20">
      <c r="A20" s="36" t="n"/>
      <c r="B20" s="36" t="n"/>
      <c r="C20" s="36" t="n"/>
      <c r="D20" s="36" t="n"/>
      <c r="E20" s="36" t="n"/>
      <c r="F20" s="36" t="n"/>
      <c r="G20" s="36" t="n"/>
      <c r="H20" s="36" t="n"/>
      <c r="I20" s="37">
        <f>IF($A20="","",IFERROR($B20+$C20-$D20+$E20,0))</f>
        <v/>
      </c>
    </row>
    <row r="21">
      <c r="A21" s="36" t="n"/>
      <c r="B21" s="36" t="n"/>
      <c r="C21" s="36" t="n"/>
      <c r="D21" s="36" t="n"/>
      <c r="E21" s="36" t="n"/>
      <c r="F21" s="36" t="n"/>
      <c r="G21" s="36" t="n"/>
      <c r="H21" s="36" t="n"/>
      <c r="I21" s="37">
        <f>IF($A21="","",IFERROR($B21+$C21-$D21+$E21,0))</f>
        <v/>
      </c>
    </row>
    <row r="22">
      <c r="A22" s="36" t="n"/>
      <c r="B22" s="36" t="n"/>
      <c r="C22" s="36" t="n"/>
      <c r="D22" s="36" t="n"/>
      <c r="E22" s="36" t="n"/>
      <c r="F22" s="36" t="n"/>
      <c r="G22" s="36" t="n"/>
      <c r="H22" s="36" t="n"/>
      <c r="I22" s="37">
        <f>IF($A22="","",IFERROR($B22+$C22-$D22+$E22,0))</f>
        <v/>
      </c>
    </row>
    <row r="23">
      <c r="A23" s="36" t="n"/>
      <c r="B23" s="36" t="n"/>
      <c r="C23" s="36" t="n"/>
      <c r="D23" s="36" t="n"/>
      <c r="E23" s="36" t="n"/>
      <c r="F23" s="36" t="n"/>
      <c r="G23" s="36" t="n"/>
      <c r="H23" s="36" t="n"/>
      <c r="I23" s="37">
        <f>IF($A23="","",IFERROR($B23+$C23-$D23+$E23,0))</f>
        <v/>
      </c>
    </row>
    <row r="24">
      <c r="A24" s="36" t="n"/>
      <c r="B24" s="36" t="n"/>
      <c r="C24" s="36" t="n"/>
      <c r="D24" s="36" t="n"/>
      <c r="E24" s="36" t="n"/>
      <c r="F24" s="36" t="n"/>
      <c r="G24" s="36" t="n"/>
      <c r="H24" s="36" t="n"/>
      <c r="I24" s="37">
        <f>IF($A24="","",IFERROR($B24+$C24-$D24+$E24,0))</f>
        <v/>
      </c>
    </row>
    <row r="25">
      <c r="A25" s="36" t="n"/>
      <c r="B25" s="36" t="n"/>
      <c r="C25" s="36" t="n"/>
      <c r="D25" s="36" t="n"/>
      <c r="E25" s="36" t="n"/>
      <c r="F25" s="36" t="n"/>
      <c r="G25" s="36" t="n"/>
      <c r="H25" s="36" t="n"/>
      <c r="I25" s="37">
        <f>IF($A25="","",IFERROR($B25+$C25-$D25+$E25,0))</f>
        <v/>
      </c>
    </row>
    <row r="26">
      <c r="A26" s="36" t="n"/>
      <c r="B26" s="36" t="n"/>
      <c r="C26" s="36" t="n"/>
      <c r="D26" s="36" t="n"/>
      <c r="E26" s="36" t="n"/>
      <c r="F26" s="36" t="n"/>
      <c r="G26" s="36" t="n"/>
      <c r="H26" s="36" t="n"/>
      <c r="I26" s="37">
        <f>IF($A26="","",IFERROR($B26+$C26-$D26+$E26,0))</f>
        <v/>
      </c>
    </row>
    <row r="27">
      <c r="A27" s="36" t="n"/>
      <c r="B27" s="36" t="n"/>
      <c r="C27" s="36" t="n"/>
      <c r="D27" s="36" t="n"/>
      <c r="E27" s="36" t="n"/>
      <c r="F27" s="36" t="n"/>
      <c r="G27" s="36" t="n"/>
      <c r="H27" s="36" t="n"/>
      <c r="I27" s="37">
        <f>IF($A27="","",IFERROR($B27+$C27-$D27+$E27,0))</f>
        <v/>
      </c>
    </row>
    <row r="28">
      <c r="A28" s="36" t="n"/>
      <c r="B28" s="36" t="n"/>
      <c r="C28" s="36" t="n"/>
      <c r="D28" s="36" t="n"/>
      <c r="E28" s="36" t="n"/>
      <c r="F28" s="36" t="n"/>
      <c r="G28" s="36" t="n"/>
      <c r="H28" s="36" t="n"/>
      <c r="I28" s="37">
        <f>IF($A28="","",IFERROR($B28+$C28-$D28+$E28,0))</f>
        <v/>
      </c>
    </row>
    <row r="29">
      <c r="A29" s="36" t="n"/>
      <c r="B29" s="36" t="n"/>
      <c r="C29" s="36" t="n"/>
      <c r="D29" s="36" t="n"/>
      <c r="E29" s="36" t="n"/>
      <c r="F29" s="36" t="n"/>
      <c r="G29" s="36" t="n"/>
      <c r="H29" s="36" t="n"/>
      <c r="I29" s="37">
        <f>IF($A29="","",IFERROR($B29+$C29-$D29+$E29,0))</f>
        <v/>
      </c>
    </row>
    <row r="30">
      <c r="A30" s="36" t="n"/>
      <c r="B30" s="36" t="n"/>
      <c r="C30" s="36" t="n"/>
      <c r="D30" s="36" t="n"/>
      <c r="E30" s="36" t="n"/>
      <c r="F30" s="36" t="n"/>
      <c r="G30" s="36" t="n"/>
      <c r="H30" s="36" t="n"/>
      <c r="I30" s="37">
        <f>IF($A30="","",IFERROR($B30+$C30-$D30+$E30,0))</f>
        <v/>
      </c>
    </row>
    <row r="31">
      <c r="A31" s="36" t="n"/>
      <c r="B31" s="36" t="n"/>
      <c r="C31" s="36" t="n"/>
      <c r="D31" s="36" t="n"/>
      <c r="E31" s="36" t="n"/>
      <c r="F31" s="36" t="n"/>
      <c r="G31" s="36" t="n"/>
      <c r="H31" s="36" t="n"/>
      <c r="I31" s="37">
        <f>IF($A31="","",IFERROR($B31+$C31-$D31+$E31,0))</f>
        <v/>
      </c>
    </row>
    <row r="32">
      <c r="A32" s="36" t="n"/>
      <c r="B32" s="36" t="n"/>
      <c r="C32" s="36" t="n"/>
      <c r="D32" s="36" t="n"/>
      <c r="E32" s="36" t="n"/>
      <c r="F32" s="36" t="n"/>
      <c r="G32" s="36" t="n"/>
      <c r="H32" s="36" t="n"/>
      <c r="I32" s="37">
        <f>IF($A32="","",IFERROR($B32+$C32-$D32+$E32,0))</f>
        <v/>
      </c>
    </row>
    <row r="33">
      <c r="A33" s="36" t="n"/>
      <c r="B33" s="36" t="n"/>
      <c r="C33" s="36" t="n"/>
      <c r="D33" s="36" t="n"/>
      <c r="E33" s="36" t="n"/>
      <c r="F33" s="36" t="n"/>
      <c r="G33" s="36" t="n"/>
      <c r="H33" s="36" t="n"/>
      <c r="I33" s="37">
        <f>IF($A33="","",IFERROR($B33+$C33-$D33+$E33,0))</f>
        <v/>
      </c>
    </row>
    <row r="34">
      <c r="A34" s="36" t="n"/>
      <c r="B34" s="36" t="n"/>
      <c r="C34" s="36" t="n"/>
      <c r="D34" s="36" t="n"/>
      <c r="E34" s="36" t="n"/>
      <c r="F34" s="36" t="n"/>
      <c r="G34" s="36" t="n"/>
      <c r="H34" s="36" t="n"/>
      <c r="I34" s="37">
        <f>IF($A34="","",IFERROR($B34+$C34-$D34+$E34,0))</f>
        <v/>
      </c>
    </row>
    <row r="35">
      <c r="A35" s="36" t="n"/>
      <c r="B35" s="36" t="n"/>
      <c r="C35" s="36" t="n"/>
      <c r="D35" s="36" t="n"/>
      <c r="E35" s="36" t="n"/>
      <c r="F35" s="36" t="n"/>
      <c r="G35" s="36" t="n"/>
      <c r="H35" s="36" t="n"/>
      <c r="I35" s="37">
        <f>IF($A35="","",IFERROR($B35+$C35-$D35+$E35,0))</f>
        <v/>
      </c>
    </row>
    <row r="36">
      <c r="A36" s="36" t="n"/>
      <c r="B36" s="36" t="n"/>
      <c r="C36" s="36" t="n"/>
      <c r="D36" s="36" t="n"/>
      <c r="E36" s="36" t="n"/>
      <c r="F36" s="36" t="n"/>
      <c r="G36" s="36" t="n"/>
      <c r="H36" s="36" t="n"/>
      <c r="I36" s="37">
        <f>IF($A36="","",IFERROR($B36+$C36-$D36+$E36,0))</f>
        <v/>
      </c>
    </row>
    <row r="37">
      <c r="A37" s="36" t="n"/>
      <c r="B37" s="36" t="n"/>
      <c r="C37" s="36" t="n"/>
      <c r="D37" s="36" t="n"/>
      <c r="E37" s="36" t="n"/>
      <c r="F37" s="36" t="n"/>
      <c r="G37" s="36" t="n"/>
      <c r="H37" s="36" t="n"/>
      <c r="I37" s="37">
        <f>IF($A37="","",IFERROR($B37+$C37-$D37+$E37,0))</f>
        <v/>
      </c>
    </row>
    <row r="38">
      <c r="A38" s="36" t="n"/>
      <c r="B38" s="36" t="n"/>
      <c r="C38" s="36" t="n"/>
      <c r="D38" s="36" t="n"/>
      <c r="E38" s="36" t="n"/>
      <c r="F38" s="36" t="n"/>
      <c r="G38" s="36" t="n"/>
      <c r="H38" s="36" t="n"/>
      <c r="I38" s="37">
        <f>IF($A38="","",IFERROR($B38+$C38-$D38+$E38,0))</f>
        <v/>
      </c>
    </row>
    <row r="39">
      <c r="A39" s="36" t="n"/>
      <c r="B39" s="36" t="n"/>
      <c r="C39" s="36" t="n"/>
      <c r="D39" s="36" t="n"/>
      <c r="E39" s="36" t="n"/>
      <c r="F39" s="36" t="n"/>
      <c r="G39" s="36" t="n"/>
      <c r="H39" s="36" t="n"/>
      <c r="I39" s="37">
        <f>IF($A39="","",IFERROR($B39+$C39-$D39+$E39,0))</f>
        <v/>
      </c>
    </row>
    <row r="40">
      <c r="A40" s="36" t="n"/>
      <c r="B40" s="36" t="n"/>
      <c r="C40" s="36" t="n"/>
      <c r="D40" s="36" t="n"/>
      <c r="E40" s="36" t="n"/>
      <c r="F40" s="36" t="n"/>
      <c r="G40" s="36" t="n"/>
      <c r="H40" s="36" t="n"/>
      <c r="I40" s="37">
        <f>IF($A40="","",IFERROR($B40+$C40-$D40+$E40,0))</f>
        <v/>
      </c>
    </row>
    <row r="41">
      <c r="A41" s="36" t="n"/>
      <c r="B41" s="36" t="n"/>
      <c r="C41" s="36" t="n"/>
      <c r="D41" s="36" t="n"/>
      <c r="E41" s="36" t="n"/>
      <c r="F41" s="36" t="n"/>
      <c r="G41" s="36" t="n"/>
      <c r="H41" s="36" t="n"/>
      <c r="I41" s="37">
        <f>IF($A41="","",IFERROR($B41+$C41-$D41+$E41,0))</f>
        <v/>
      </c>
    </row>
    <row r="42">
      <c r="A42" s="36" t="n"/>
      <c r="B42" s="36" t="n"/>
      <c r="C42" s="36" t="n"/>
      <c r="D42" s="36" t="n"/>
      <c r="E42" s="36" t="n"/>
      <c r="F42" s="36" t="n"/>
      <c r="G42" s="36" t="n"/>
      <c r="H42" s="36" t="n"/>
      <c r="I42" s="37">
        <f>IF($A42="","",IFERROR($B42+$C42-$D42+$E42,0))</f>
        <v/>
      </c>
    </row>
    <row r="43">
      <c r="A43" s="36" t="n"/>
      <c r="B43" s="36" t="n"/>
      <c r="C43" s="36" t="n"/>
      <c r="D43" s="36" t="n"/>
      <c r="E43" s="36" t="n"/>
      <c r="F43" s="36" t="n"/>
      <c r="G43" s="36" t="n"/>
      <c r="H43" s="36" t="n"/>
      <c r="I43" s="37">
        <f>IF($A43="","",IFERROR($B43+$C43-$D43+$E43,0))</f>
        <v/>
      </c>
    </row>
    <row r="44">
      <c r="A44" s="36" t="n"/>
      <c r="B44" s="36" t="n"/>
      <c r="C44" s="36" t="n"/>
      <c r="D44" s="36" t="n"/>
      <c r="E44" s="36" t="n"/>
      <c r="F44" s="36" t="n"/>
      <c r="G44" s="36" t="n"/>
      <c r="H44" s="36" t="n"/>
      <c r="I44" s="37">
        <f>IF($A44="","",IFERROR($B44+$C44-$D44+$E44,0))</f>
        <v/>
      </c>
    </row>
    <row r="45">
      <c r="A45" s="36" t="n"/>
      <c r="B45" s="36" t="n"/>
      <c r="C45" s="36" t="n"/>
      <c r="D45" s="36" t="n"/>
      <c r="E45" s="36" t="n"/>
      <c r="F45" s="36" t="n"/>
      <c r="G45" s="36" t="n"/>
      <c r="H45" s="36" t="n"/>
      <c r="I45" s="37">
        <f>IF($A45="","",IFERROR($B45+$C45-$D45+$E45,0))</f>
        <v/>
      </c>
    </row>
    <row r="46">
      <c r="A46" s="36" t="n"/>
      <c r="B46" s="36" t="n"/>
      <c r="C46" s="36" t="n"/>
      <c r="D46" s="36" t="n"/>
      <c r="E46" s="36" t="n"/>
      <c r="F46" s="36" t="n"/>
      <c r="G46" s="36" t="n"/>
      <c r="H46" s="36" t="n"/>
      <c r="I46" s="37">
        <f>IF($A46="","",IFERROR($B46+$C46-$D46+$E46,0))</f>
        <v/>
      </c>
    </row>
    <row r="47">
      <c r="A47" s="36" t="n"/>
      <c r="B47" s="36" t="n"/>
      <c r="C47" s="36" t="n"/>
      <c r="D47" s="36" t="n"/>
      <c r="E47" s="36" t="n"/>
      <c r="F47" s="36" t="n"/>
      <c r="G47" s="36" t="n"/>
      <c r="H47" s="36" t="n"/>
      <c r="I47" s="37">
        <f>IF($A47="","",IFERROR($B47+$C47-$D47+$E47,0))</f>
        <v/>
      </c>
    </row>
    <row r="48">
      <c r="A48" s="36" t="n"/>
      <c r="B48" s="36" t="n"/>
      <c r="C48" s="36" t="n"/>
      <c r="D48" s="36" t="n"/>
      <c r="E48" s="36" t="n"/>
      <c r="F48" s="36" t="n"/>
      <c r="G48" s="36" t="n"/>
      <c r="H48" s="36" t="n"/>
      <c r="I48" s="37">
        <f>IF($A48="","",IFERROR($B48+$C48-$D48+$E48,0))</f>
        <v/>
      </c>
    </row>
    <row r="49">
      <c r="A49" s="36" t="n"/>
      <c r="B49" s="36" t="n"/>
      <c r="C49" s="36" t="n"/>
      <c r="D49" s="36" t="n"/>
      <c r="E49" s="36" t="n"/>
      <c r="F49" s="36" t="n"/>
      <c r="G49" s="36" t="n"/>
      <c r="H49" s="36" t="n"/>
      <c r="I49" s="37">
        <f>IF($A49="","",IFERROR($B49+$C49-$D49+$E49,0))</f>
        <v/>
      </c>
    </row>
    <row r="50">
      <c r="A50" s="36" t="n"/>
      <c r="B50" s="36" t="n"/>
      <c r="C50" s="36" t="n"/>
      <c r="D50" s="36" t="n"/>
      <c r="E50" s="36" t="n"/>
      <c r="F50" s="36" t="n"/>
      <c r="G50" s="36" t="n"/>
      <c r="H50" s="36" t="n"/>
      <c r="I50" s="37">
        <f>IF($A50="","",IFERROR($B50+$C50-$D50+$E50,0))</f>
        <v/>
      </c>
    </row>
    <row r="51">
      <c r="A51" s="36" t="n"/>
      <c r="B51" s="36" t="n"/>
      <c r="C51" s="36" t="n"/>
      <c r="D51" s="36" t="n"/>
      <c r="E51" s="36" t="n"/>
      <c r="F51" s="36" t="n"/>
      <c r="G51" s="36" t="n"/>
      <c r="H51" s="36" t="n"/>
      <c r="I51" s="37">
        <f>IF($A51="","",IFERROR($B51+$C51-$D51+$E51,0))</f>
        <v/>
      </c>
    </row>
    <row r="52">
      <c r="A52" s="36" t="n"/>
      <c r="B52" s="36" t="n"/>
      <c r="C52" s="36" t="n"/>
      <c r="D52" s="36" t="n"/>
      <c r="E52" s="36" t="n"/>
      <c r="F52" s="36" t="n"/>
      <c r="G52" s="36" t="n"/>
      <c r="H52" s="36" t="n"/>
      <c r="I52" s="37">
        <f>IF($A52="","",IFERROR($B52+$C52-$D52+$E52,0))</f>
        <v/>
      </c>
    </row>
    <row r="53">
      <c r="A53" s="36" t="n"/>
      <c r="B53" s="36" t="n"/>
      <c r="C53" s="36" t="n"/>
      <c r="D53" s="36" t="n"/>
      <c r="E53" s="36" t="n"/>
      <c r="F53" s="36" t="n"/>
      <c r="G53" s="36" t="n"/>
      <c r="H53" s="36" t="n"/>
      <c r="I53" s="37">
        <f>IF($A53="","",IFERROR($B53+$C53-$D53+$E53,0))</f>
        <v/>
      </c>
    </row>
    <row r="54">
      <c r="A54" s="36" t="n"/>
      <c r="B54" s="36" t="n"/>
      <c r="C54" s="36" t="n"/>
      <c r="D54" s="36" t="n"/>
      <c r="E54" s="36" t="n"/>
      <c r="F54" s="36" t="n"/>
      <c r="G54" s="36" t="n"/>
      <c r="H54" s="36" t="n"/>
      <c r="I54" s="37">
        <f>IF($A54="","",IFERROR($B54+$C54-$D54+$E54,0))</f>
        <v/>
      </c>
    </row>
    <row r="55">
      <c r="A55" s="36" t="n"/>
      <c r="B55" s="36" t="n"/>
      <c r="C55" s="36" t="n"/>
      <c r="D55" s="36" t="n"/>
      <c r="E55" s="36" t="n"/>
      <c r="F55" s="36" t="n"/>
      <c r="G55" s="36" t="n"/>
      <c r="H55" s="36" t="n"/>
      <c r="I55" s="37">
        <f>IF($A55="","",IFERROR($B55+$C55-$D55+$E55,0))</f>
        <v/>
      </c>
    </row>
    <row r="56">
      <c r="A56" s="36" t="n"/>
      <c r="B56" s="36" t="n"/>
      <c r="C56" s="36" t="n"/>
      <c r="D56" s="36" t="n"/>
      <c r="E56" s="36" t="n"/>
      <c r="F56" s="36" t="n"/>
      <c r="G56" s="36" t="n"/>
      <c r="H56" s="36" t="n"/>
      <c r="I56" s="37">
        <f>IF($A56="","",IFERROR($B56+$C56-$D56+$E56,0))</f>
        <v/>
      </c>
    </row>
    <row r="57">
      <c r="A57" s="36" t="n"/>
      <c r="B57" s="36" t="n"/>
      <c r="C57" s="36" t="n"/>
      <c r="D57" s="36" t="n"/>
      <c r="E57" s="36" t="n"/>
      <c r="F57" s="36" t="n"/>
      <c r="G57" s="36" t="n"/>
      <c r="H57" s="36" t="n"/>
      <c r="I57" s="37">
        <f>IF($A57="","",IFERROR($B57+$C57-$D57+$E57,0))</f>
        <v/>
      </c>
    </row>
    <row r="58">
      <c r="A58" s="36" t="n"/>
      <c r="B58" s="36" t="n"/>
      <c r="C58" s="36" t="n"/>
      <c r="D58" s="36" t="n"/>
      <c r="E58" s="36" t="n"/>
      <c r="F58" s="36" t="n"/>
      <c r="G58" s="36" t="n"/>
      <c r="H58" s="36" t="n"/>
      <c r="I58" s="37">
        <f>IF($A58="","",IFERROR($B58+$C58-$D58+$E58,0))</f>
        <v/>
      </c>
    </row>
    <row r="59">
      <c r="A59" s="36" t="n"/>
      <c r="B59" s="36" t="n"/>
      <c r="C59" s="36" t="n"/>
      <c r="D59" s="36" t="n"/>
      <c r="E59" s="36" t="n"/>
      <c r="F59" s="36" t="n"/>
      <c r="G59" s="36" t="n"/>
      <c r="H59" s="36" t="n"/>
      <c r="I59" s="37">
        <f>IF($A59="","",IFERROR($B59+$C59-$D59+$E59,0))</f>
        <v/>
      </c>
    </row>
    <row r="60">
      <c r="A60" s="36" t="n"/>
      <c r="B60" s="36" t="n"/>
      <c r="C60" s="36" t="n"/>
      <c r="D60" s="36" t="n"/>
      <c r="E60" s="36" t="n"/>
      <c r="F60" s="36" t="n"/>
      <c r="G60" s="36" t="n"/>
      <c r="H60" s="36" t="n"/>
      <c r="I60" s="37">
        <f>IF($A60="","",IFERROR($B60+$C60-$D60+$E60,0))</f>
        <v/>
      </c>
    </row>
    <row r="61">
      <c r="A61" s="36" t="n"/>
      <c r="B61" s="36" t="n"/>
      <c r="C61" s="36" t="n"/>
      <c r="D61" s="36" t="n"/>
      <c r="E61" s="36" t="n"/>
      <c r="F61" s="36" t="n"/>
      <c r="G61" s="36" t="n"/>
      <c r="H61" s="36" t="n"/>
      <c r="I61" s="37">
        <f>IF($A61="","",IFERROR($B61+$C61-$D61+$E61,0))</f>
        <v/>
      </c>
    </row>
    <row r="62">
      <c r="A62" s="36" t="n"/>
      <c r="B62" s="36" t="n"/>
      <c r="C62" s="36" t="n"/>
      <c r="D62" s="36" t="n"/>
      <c r="E62" s="36" t="n"/>
      <c r="F62" s="36" t="n"/>
      <c r="G62" s="36" t="n"/>
      <c r="H62" s="36" t="n"/>
      <c r="I62" s="37">
        <f>IF($A62="","",IFERROR($B62+$C62-$D62+$E62,0))</f>
        <v/>
      </c>
    </row>
    <row r="63">
      <c r="A63" s="36" t="n"/>
      <c r="B63" s="36" t="n"/>
      <c r="C63" s="36" t="n"/>
      <c r="D63" s="36" t="n"/>
      <c r="E63" s="36" t="n"/>
      <c r="F63" s="36" t="n"/>
      <c r="G63" s="36" t="n"/>
      <c r="H63" s="36" t="n"/>
      <c r="I63" s="37">
        <f>IF($A63="","",IFERROR($B63+$C63-$D63+$E63,0))</f>
        <v/>
      </c>
    </row>
    <row r="64">
      <c r="A64" s="36" t="n"/>
      <c r="B64" s="36" t="n"/>
      <c r="C64" s="36" t="n"/>
      <c r="D64" s="36" t="n"/>
      <c r="E64" s="36" t="n"/>
      <c r="F64" s="36" t="n"/>
      <c r="G64" s="36" t="n"/>
      <c r="H64" s="36" t="n"/>
      <c r="I64" s="37">
        <f>IF($A64="","",IFERROR($B64+$C64-$D64+$E64,0))</f>
        <v/>
      </c>
    </row>
    <row r="65">
      <c r="A65" s="36" t="n"/>
      <c r="B65" s="36" t="n"/>
      <c r="C65" s="36" t="n"/>
      <c r="D65" s="36" t="n"/>
      <c r="E65" s="36" t="n"/>
      <c r="F65" s="36" t="n"/>
      <c r="G65" s="36" t="n"/>
      <c r="H65" s="36" t="n"/>
      <c r="I65" s="37">
        <f>IF($A65="","",IFERROR($B65+$C65-$D65+$E65,0))</f>
        <v/>
      </c>
    </row>
    <row r="66">
      <c r="A66" s="36" t="n"/>
      <c r="B66" s="36" t="n"/>
      <c r="C66" s="36" t="n"/>
      <c r="D66" s="36" t="n"/>
      <c r="E66" s="36" t="n"/>
      <c r="F66" s="36" t="n"/>
      <c r="G66" s="36" t="n"/>
      <c r="H66" s="36" t="n"/>
      <c r="I66" s="37">
        <f>IF($A66="","",IFERROR($B66+$C66-$D66+$E66,0))</f>
        <v/>
      </c>
    </row>
    <row r="67">
      <c r="A67" s="36" t="n"/>
      <c r="B67" s="36" t="n"/>
      <c r="C67" s="36" t="n"/>
      <c r="D67" s="36" t="n"/>
      <c r="E67" s="36" t="n"/>
      <c r="F67" s="36" t="n"/>
      <c r="G67" s="36" t="n"/>
      <c r="H67" s="36" t="n"/>
      <c r="I67" s="37">
        <f>IF($A67="","",IFERROR($B67+$C67-$D67+$E67,0))</f>
        <v/>
      </c>
    </row>
    <row r="68">
      <c r="A68" s="36" t="n"/>
      <c r="B68" s="36" t="n"/>
      <c r="C68" s="36" t="n"/>
      <c r="D68" s="36" t="n"/>
      <c r="E68" s="36" t="n"/>
      <c r="F68" s="36" t="n"/>
      <c r="G68" s="36" t="n"/>
      <c r="H68" s="36" t="n"/>
      <c r="I68" s="37">
        <f>IF($A68="","",IFERROR($B68+$C68-$D68+$E68,0))</f>
        <v/>
      </c>
    </row>
    <row r="69">
      <c r="A69" s="36" t="n"/>
      <c r="B69" s="36" t="n"/>
      <c r="C69" s="36" t="n"/>
      <c r="D69" s="36" t="n"/>
      <c r="E69" s="36" t="n"/>
      <c r="F69" s="36" t="n"/>
      <c r="G69" s="36" t="n"/>
      <c r="H69" s="36" t="n"/>
      <c r="I69" s="37">
        <f>IF($A69="","",IFERROR($B69+$C69-$D69+$E69,0))</f>
        <v/>
      </c>
    </row>
    <row r="70">
      <c r="A70" s="36" t="n"/>
      <c r="B70" s="36" t="n"/>
      <c r="C70" s="36" t="n"/>
      <c r="D70" s="36" t="n"/>
      <c r="E70" s="36" t="n"/>
      <c r="F70" s="36" t="n"/>
      <c r="G70" s="36" t="n"/>
      <c r="H70" s="36" t="n"/>
      <c r="I70" s="37">
        <f>IF($A70="","",IFERROR($B70+$C70-$D70+$E70,0))</f>
        <v/>
      </c>
    </row>
    <row r="71">
      <c r="A71" s="36" t="n"/>
      <c r="B71" s="36" t="n"/>
      <c r="C71" s="36" t="n"/>
      <c r="D71" s="36" t="n"/>
      <c r="E71" s="36" t="n"/>
      <c r="F71" s="36" t="n"/>
      <c r="G71" s="36" t="n"/>
      <c r="H71" s="36" t="n"/>
      <c r="I71" s="37">
        <f>IF($A71="","",IFERROR($B71+$C71-$D71+$E71,0))</f>
        <v/>
      </c>
    </row>
    <row r="72">
      <c r="A72" s="36" t="n"/>
      <c r="B72" s="36" t="n"/>
      <c r="C72" s="36" t="n"/>
      <c r="D72" s="36" t="n"/>
      <c r="E72" s="36" t="n"/>
      <c r="F72" s="36" t="n"/>
      <c r="G72" s="36" t="n"/>
      <c r="H72" s="36" t="n"/>
      <c r="I72" s="37">
        <f>IF($A72="","",IFERROR($B72+$C72-$D72+$E72,0))</f>
        <v/>
      </c>
    </row>
    <row r="73">
      <c r="A73" s="36" t="n"/>
      <c r="B73" s="36" t="n"/>
      <c r="C73" s="36" t="n"/>
      <c r="D73" s="36" t="n"/>
      <c r="E73" s="36" t="n"/>
      <c r="F73" s="36" t="n"/>
      <c r="G73" s="36" t="n"/>
      <c r="H73" s="36" t="n"/>
      <c r="I73" s="37">
        <f>IF($A73="","",IFERROR($B73+$C73-$D73+$E73,0))</f>
        <v/>
      </c>
    </row>
    <row r="74">
      <c r="A74" s="36" t="n"/>
      <c r="B74" s="36" t="n"/>
      <c r="C74" s="36" t="n"/>
      <c r="D74" s="36" t="n"/>
      <c r="E74" s="36" t="n"/>
      <c r="F74" s="36" t="n"/>
      <c r="G74" s="36" t="n"/>
      <c r="H74" s="36" t="n"/>
      <c r="I74" s="37">
        <f>IF($A74="","",IFERROR($B74+$C74-$D74+$E74,0))</f>
        <v/>
      </c>
    </row>
    <row r="75">
      <c r="A75" s="36" t="n"/>
      <c r="B75" s="36" t="n"/>
      <c r="C75" s="36" t="n"/>
      <c r="D75" s="36" t="n"/>
      <c r="E75" s="36" t="n"/>
      <c r="F75" s="36" t="n"/>
      <c r="G75" s="36" t="n"/>
      <c r="H75" s="36" t="n"/>
      <c r="I75" s="37">
        <f>IF($A75="","",IFERROR($B75+$C75-$D75+$E75,0))</f>
        <v/>
      </c>
    </row>
    <row r="76">
      <c r="A76" s="36" t="n"/>
      <c r="B76" s="36" t="n"/>
      <c r="C76" s="36" t="n"/>
      <c r="D76" s="36" t="n"/>
      <c r="E76" s="36" t="n"/>
      <c r="F76" s="36" t="n"/>
      <c r="G76" s="36" t="n"/>
      <c r="H76" s="36" t="n"/>
      <c r="I76" s="37">
        <f>IF($A76="","",IFERROR($B76+$C76-$D76+$E76,0))</f>
        <v/>
      </c>
    </row>
    <row r="77">
      <c r="A77" s="36" t="n"/>
      <c r="B77" s="36" t="n"/>
      <c r="C77" s="36" t="n"/>
      <c r="D77" s="36" t="n"/>
      <c r="E77" s="36" t="n"/>
      <c r="F77" s="36" t="n"/>
      <c r="G77" s="36" t="n"/>
      <c r="H77" s="36" t="n"/>
      <c r="I77" s="37">
        <f>IF($A77="","",IFERROR($B77+$C77-$D77+$E77,0))</f>
        <v/>
      </c>
    </row>
    <row r="78">
      <c r="A78" s="36" t="n"/>
      <c r="B78" s="36" t="n"/>
      <c r="C78" s="36" t="n"/>
      <c r="D78" s="36" t="n"/>
      <c r="E78" s="36" t="n"/>
      <c r="F78" s="36" t="n"/>
      <c r="G78" s="36" t="n"/>
      <c r="H78" s="36" t="n"/>
      <c r="I78" s="37">
        <f>IF($A78="","",IFERROR($B78+$C78-$D78+$E78,0))</f>
        <v/>
      </c>
    </row>
    <row r="79">
      <c r="A79" s="36" t="n"/>
      <c r="B79" s="36" t="n"/>
      <c r="C79" s="36" t="n"/>
      <c r="D79" s="36" t="n"/>
      <c r="E79" s="36" t="n"/>
      <c r="F79" s="36" t="n"/>
      <c r="G79" s="36" t="n"/>
      <c r="H79" s="36" t="n"/>
      <c r="I79" s="37">
        <f>IF($A79="","",IFERROR($B79+$C79-$D79+$E79,0))</f>
        <v/>
      </c>
    </row>
    <row r="80">
      <c r="A80" s="36" t="n"/>
      <c r="B80" s="36" t="n"/>
      <c r="C80" s="36" t="n"/>
      <c r="D80" s="36" t="n"/>
      <c r="E80" s="36" t="n"/>
      <c r="F80" s="36" t="n"/>
      <c r="G80" s="36" t="n"/>
      <c r="H80" s="36" t="n"/>
      <c r="I80" s="37">
        <f>IF($A80="","",IFERROR($B80+$C80-$D80+$E80,0))</f>
        <v/>
      </c>
    </row>
    <row r="81">
      <c r="A81" s="36" t="n"/>
      <c r="B81" s="36" t="n"/>
      <c r="C81" s="36" t="n"/>
      <c r="D81" s="36" t="n"/>
      <c r="E81" s="36" t="n"/>
      <c r="F81" s="36" t="n"/>
      <c r="G81" s="36" t="n"/>
      <c r="H81" s="36" t="n"/>
      <c r="I81" s="37">
        <f>IF($A81="","",IFERROR($B81+$C81-$D81+$E81,0))</f>
        <v/>
      </c>
    </row>
    <row r="82">
      <c r="A82" s="36" t="n"/>
      <c r="B82" s="36" t="n"/>
      <c r="C82" s="36" t="n"/>
      <c r="D82" s="36" t="n"/>
      <c r="E82" s="36" t="n"/>
      <c r="F82" s="36" t="n"/>
      <c r="G82" s="36" t="n"/>
      <c r="H82" s="36" t="n"/>
      <c r="I82" s="37">
        <f>IF($A82="","",IFERROR($B82+$C82-$D82+$E82,0))</f>
        <v/>
      </c>
    </row>
    <row r="83">
      <c r="A83" s="36" t="n"/>
      <c r="B83" s="36" t="n"/>
      <c r="C83" s="36" t="n"/>
      <c r="D83" s="36" t="n"/>
      <c r="E83" s="36" t="n"/>
      <c r="F83" s="36" t="n"/>
      <c r="G83" s="36" t="n"/>
      <c r="H83" s="36" t="n"/>
      <c r="I83" s="37">
        <f>IF($A83="","",IFERROR($B83+$C83-$D83+$E83,0))</f>
        <v/>
      </c>
    </row>
    <row r="84">
      <c r="A84" s="36" t="n"/>
      <c r="B84" s="36" t="n"/>
      <c r="C84" s="36" t="n"/>
      <c r="D84" s="36" t="n"/>
      <c r="E84" s="36" t="n"/>
      <c r="F84" s="36" t="n"/>
      <c r="G84" s="36" t="n"/>
      <c r="H84" s="36" t="n"/>
      <c r="I84" s="37">
        <f>IF($A84="","",IFERROR($B84+$C84-$D84+$E84,0))</f>
        <v/>
      </c>
    </row>
    <row r="85">
      <c r="A85" s="36" t="n"/>
      <c r="B85" s="36" t="n"/>
      <c r="C85" s="36" t="n"/>
      <c r="D85" s="36" t="n"/>
      <c r="E85" s="36" t="n"/>
      <c r="F85" s="36" t="n"/>
      <c r="G85" s="36" t="n"/>
      <c r="H85" s="36" t="n"/>
      <c r="I85" s="37">
        <f>IF($A85="","",IFERROR($B85+$C85-$D85+$E85,0))</f>
        <v/>
      </c>
    </row>
    <row r="86">
      <c r="A86" s="36" t="n"/>
      <c r="B86" s="36" t="n"/>
      <c r="C86" s="36" t="n"/>
      <c r="D86" s="36" t="n"/>
      <c r="E86" s="36" t="n"/>
      <c r="F86" s="36" t="n"/>
      <c r="G86" s="36" t="n"/>
      <c r="H86" s="36" t="n"/>
      <c r="I86" s="37">
        <f>IF($A86="","",IFERROR($B86+$C86-$D86+$E86,0))</f>
        <v/>
      </c>
    </row>
    <row r="87">
      <c r="A87" s="36" t="n"/>
      <c r="B87" s="36" t="n"/>
      <c r="C87" s="36" t="n"/>
      <c r="D87" s="36" t="n"/>
      <c r="E87" s="36" t="n"/>
      <c r="F87" s="36" t="n"/>
      <c r="G87" s="36" t="n"/>
      <c r="H87" s="36" t="n"/>
      <c r="I87" s="37">
        <f>IF($A87="","",IFERROR($B87+$C87-$D87+$E87,0))</f>
        <v/>
      </c>
    </row>
    <row r="88">
      <c r="A88" s="36" t="n"/>
      <c r="B88" s="36" t="n"/>
      <c r="C88" s="36" t="n"/>
      <c r="D88" s="36" t="n"/>
      <c r="E88" s="36" t="n"/>
      <c r="F88" s="36" t="n"/>
      <c r="G88" s="36" t="n"/>
      <c r="H88" s="36" t="n"/>
      <c r="I88" s="37">
        <f>IF($A88="","",IFERROR($B88+$C88-$D88+$E88,0))</f>
        <v/>
      </c>
    </row>
    <row r="89">
      <c r="A89" s="36" t="n"/>
      <c r="B89" s="36" t="n"/>
      <c r="C89" s="36" t="n"/>
      <c r="D89" s="36" t="n"/>
      <c r="E89" s="36" t="n"/>
      <c r="F89" s="36" t="n"/>
      <c r="G89" s="36" t="n"/>
      <c r="H89" s="36" t="n"/>
      <c r="I89" s="37">
        <f>IF($A89="","",IFERROR($B89+$C89-$D89+$E89,0))</f>
        <v/>
      </c>
    </row>
    <row r="90">
      <c r="A90" s="36" t="n"/>
      <c r="B90" s="36" t="n"/>
      <c r="C90" s="36" t="n"/>
      <c r="D90" s="36" t="n"/>
      <c r="E90" s="36" t="n"/>
      <c r="F90" s="36" t="n"/>
      <c r="G90" s="36" t="n"/>
      <c r="H90" s="36" t="n"/>
      <c r="I90" s="37">
        <f>IF($A90="","",IFERROR($B90+$C90-$D90+$E90,0))</f>
        <v/>
      </c>
    </row>
    <row r="91">
      <c r="A91" s="36" t="n"/>
      <c r="B91" s="36" t="n"/>
      <c r="C91" s="36" t="n"/>
      <c r="D91" s="36" t="n"/>
      <c r="E91" s="36" t="n"/>
      <c r="F91" s="36" t="n"/>
      <c r="G91" s="36" t="n"/>
      <c r="H91" s="36" t="n"/>
      <c r="I91" s="37">
        <f>IF($A91="","",IFERROR($B91+$C91-$D91+$E91,0))</f>
        <v/>
      </c>
    </row>
    <row r="92">
      <c r="A92" s="36" t="n"/>
      <c r="B92" s="36" t="n"/>
      <c r="C92" s="36" t="n"/>
      <c r="D92" s="36" t="n"/>
      <c r="E92" s="36" t="n"/>
      <c r="F92" s="36" t="n"/>
      <c r="G92" s="36" t="n"/>
      <c r="H92" s="36" t="n"/>
      <c r="I92" s="37">
        <f>IF($A92="","",IFERROR($B92+$C92-$D92+$E92,0))</f>
        <v/>
      </c>
    </row>
    <row r="93">
      <c r="A93" s="36" t="n"/>
      <c r="B93" s="36" t="n"/>
      <c r="C93" s="36" t="n"/>
      <c r="D93" s="36" t="n"/>
      <c r="E93" s="36" t="n"/>
      <c r="F93" s="36" t="n"/>
      <c r="G93" s="36" t="n"/>
      <c r="H93" s="36" t="n"/>
      <c r="I93" s="37">
        <f>IF($A93="","",IFERROR($B93+$C93-$D93+$E93,0))</f>
        <v/>
      </c>
    </row>
    <row r="94">
      <c r="A94" s="36" t="n"/>
      <c r="B94" s="36" t="n"/>
      <c r="C94" s="36" t="n"/>
      <c r="D94" s="36" t="n"/>
      <c r="E94" s="36" t="n"/>
      <c r="F94" s="36" t="n"/>
      <c r="G94" s="36" t="n"/>
      <c r="H94" s="36" t="n"/>
      <c r="I94" s="37">
        <f>IF($A94="","",IFERROR($B94+$C94-$D94+$E94,0))</f>
        <v/>
      </c>
    </row>
    <row r="95">
      <c r="A95" s="36" t="n"/>
      <c r="B95" s="36" t="n"/>
      <c r="C95" s="36" t="n"/>
      <c r="D95" s="36" t="n"/>
      <c r="E95" s="36" t="n"/>
      <c r="F95" s="36" t="n"/>
      <c r="G95" s="36" t="n"/>
      <c r="H95" s="36" t="n"/>
      <c r="I95" s="37">
        <f>IF($A95="","",IFERROR($B95+$C95-$D95+$E95,0))</f>
        <v/>
      </c>
    </row>
    <row r="96">
      <c r="A96" s="36" t="n"/>
      <c r="B96" s="36" t="n"/>
      <c r="C96" s="36" t="n"/>
      <c r="D96" s="36" t="n"/>
      <c r="E96" s="36" t="n"/>
      <c r="F96" s="36" t="n"/>
      <c r="G96" s="36" t="n"/>
      <c r="H96" s="36" t="n"/>
      <c r="I96" s="37">
        <f>IF($A96="","",IFERROR($B96+$C96-$D96+$E96,0))</f>
        <v/>
      </c>
    </row>
    <row r="97">
      <c r="A97" s="36" t="n"/>
      <c r="B97" s="36" t="n"/>
      <c r="C97" s="36" t="n"/>
      <c r="D97" s="36" t="n"/>
      <c r="E97" s="36" t="n"/>
      <c r="F97" s="36" t="n"/>
      <c r="G97" s="36" t="n"/>
      <c r="H97" s="36" t="n"/>
      <c r="I97" s="37">
        <f>IF($A97="","",IFERROR($B97+$C97-$D97+$E97,0))</f>
        <v/>
      </c>
    </row>
    <row r="98">
      <c r="A98" s="36" t="n"/>
      <c r="B98" s="36" t="n"/>
      <c r="C98" s="36" t="n"/>
      <c r="D98" s="36" t="n"/>
      <c r="E98" s="36" t="n"/>
      <c r="F98" s="36" t="n"/>
      <c r="G98" s="36" t="n"/>
      <c r="H98" s="36" t="n"/>
      <c r="I98" s="37">
        <f>IF($A98="","",IFERROR($B98+$C98-$D98+$E98,0))</f>
        <v/>
      </c>
    </row>
    <row r="99">
      <c r="A99" s="36" t="n"/>
      <c r="B99" s="36" t="n"/>
      <c r="C99" s="36" t="n"/>
      <c r="D99" s="36" t="n"/>
      <c r="E99" s="36" t="n"/>
      <c r="F99" s="36" t="n"/>
      <c r="G99" s="36" t="n"/>
      <c r="H99" s="36" t="n"/>
      <c r="I99" s="37">
        <f>IF($A99="","",IFERROR($B99+$C99-$D99+$E99,0))</f>
        <v/>
      </c>
    </row>
    <row r="100">
      <c r="A100" s="36" t="n"/>
      <c r="B100" s="36" t="n"/>
      <c r="C100" s="36" t="n"/>
      <c r="D100" s="36" t="n"/>
      <c r="E100" s="36" t="n"/>
      <c r="F100" s="36" t="n"/>
      <c r="G100" s="36" t="n"/>
      <c r="H100" s="36" t="n"/>
      <c r="I100" s="37">
        <f>IF($A100="","",IFERROR($B100+$C100-$D100+$E100,0))</f>
        <v/>
      </c>
    </row>
    <row r="101">
      <c r="A101" s="36" t="n"/>
      <c r="B101" s="36" t="n"/>
      <c r="C101" s="36" t="n"/>
      <c r="D101" s="36" t="n"/>
      <c r="E101" s="36" t="n"/>
      <c r="F101" s="36" t="n"/>
      <c r="G101" s="36" t="n"/>
      <c r="H101" s="36" t="n"/>
      <c r="I101" s="37">
        <f>IF($A101="","",IFERROR($B101+$C101-$D101+$E101,0))</f>
        <v/>
      </c>
    </row>
    <row r="102">
      <c r="A102" s="36" t="n"/>
      <c r="B102" s="36" t="n"/>
      <c r="C102" s="36" t="n"/>
      <c r="D102" s="36" t="n"/>
      <c r="E102" s="36" t="n"/>
      <c r="F102" s="36" t="n"/>
      <c r="G102" s="36" t="n"/>
      <c r="H102" s="36" t="n"/>
      <c r="I102" s="37">
        <f>IF($A102="","",IFERROR($B102+$C102-$D102+$E102,0))</f>
        <v/>
      </c>
    </row>
    <row r="103">
      <c r="A103" s="36" t="n"/>
      <c r="B103" s="36" t="n"/>
      <c r="C103" s="36" t="n"/>
      <c r="D103" s="36" t="n"/>
      <c r="E103" s="36" t="n"/>
      <c r="F103" s="36" t="n"/>
      <c r="G103" s="36" t="n"/>
      <c r="H103" s="36" t="n"/>
      <c r="I103" s="37">
        <f>IF($A103="","",IFERROR($B103+$C103-$D103+$E103,0))</f>
        <v/>
      </c>
    </row>
    <row r="104">
      <c r="A104" s="36" t="n"/>
      <c r="B104" s="36" t="n"/>
      <c r="C104" s="36" t="n"/>
      <c r="D104" s="36" t="n"/>
      <c r="E104" s="36" t="n"/>
      <c r="F104" s="36" t="n"/>
      <c r="G104" s="36" t="n"/>
      <c r="H104" s="36" t="n"/>
      <c r="I104" s="37">
        <f>IF($A104="","",IFERROR($B104+$C104-$D104+$E104,0))</f>
        <v/>
      </c>
    </row>
    <row r="105">
      <c r="A105" s="36" t="n"/>
      <c r="B105" s="36" t="n"/>
      <c r="C105" s="36" t="n"/>
      <c r="D105" s="36" t="n"/>
      <c r="E105" s="36" t="n"/>
      <c r="F105" s="36" t="n"/>
      <c r="G105" s="36" t="n"/>
      <c r="H105" s="36" t="n"/>
      <c r="I105" s="37">
        <f>IF($A105="","",IFERROR($B105+$C105-$D105+$E105,0))</f>
        <v/>
      </c>
    </row>
    <row r="106">
      <c r="A106" s="36" t="n"/>
      <c r="B106" s="36" t="n"/>
      <c r="C106" s="36" t="n"/>
      <c r="D106" s="36" t="n"/>
      <c r="E106" s="36" t="n"/>
      <c r="F106" s="36" t="n"/>
      <c r="G106" s="36" t="n"/>
      <c r="H106" s="36" t="n"/>
      <c r="I106" s="37">
        <f>IF($A106="","",IFERROR($B106+$C106-$D106+$E106,0))</f>
        <v/>
      </c>
    </row>
    <row r="107">
      <c r="A107" s="36" t="n"/>
      <c r="B107" s="36" t="n"/>
      <c r="C107" s="36" t="n"/>
      <c r="D107" s="36" t="n"/>
      <c r="E107" s="36" t="n"/>
      <c r="F107" s="36" t="n"/>
      <c r="G107" s="36" t="n"/>
      <c r="H107" s="36" t="n"/>
      <c r="I107" s="37">
        <f>IF($A107="","",IFERROR($B107+$C107-$D107+$E107,0))</f>
        <v/>
      </c>
    </row>
    <row r="108">
      <c r="A108" s="36" t="n"/>
      <c r="B108" s="36" t="n"/>
      <c r="C108" s="36" t="n"/>
      <c r="D108" s="36" t="n"/>
      <c r="E108" s="36" t="n"/>
      <c r="F108" s="36" t="n"/>
      <c r="G108" s="36" t="n"/>
      <c r="H108" s="36" t="n"/>
      <c r="I108" s="37">
        <f>IF($A108="","",IFERROR($B108+$C108-$D108+$E108,0))</f>
        <v/>
      </c>
    </row>
    <row r="109">
      <c r="A109" s="36" t="n"/>
      <c r="B109" s="36" t="n"/>
      <c r="C109" s="36" t="n"/>
      <c r="D109" s="36" t="n"/>
      <c r="E109" s="36" t="n"/>
      <c r="F109" s="36" t="n"/>
      <c r="G109" s="36" t="n"/>
      <c r="H109" s="36" t="n"/>
      <c r="I109" s="37">
        <f>IF($A109="","",IFERROR($B109+$C109-$D109+$E109,0))</f>
        <v/>
      </c>
    </row>
    <row r="110">
      <c r="A110" s="36" t="n"/>
      <c r="B110" s="36" t="n"/>
      <c r="C110" s="36" t="n"/>
      <c r="D110" s="36" t="n"/>
      <c r="E110" s="36" t="n"/>
      <c r="F110" s="36" t="n"/>
      <c r="G110" s="36" t="n"/>
      <c r="H110" s="36" t="n"/>
      <c r="I110" s="37">
        <f>IF($A110="","",IFERROR($B110+$C110-$D110+$E110,0))</f>
        <v/>
      </c>
    </row>
    <row r="111">
      <c r="A111" s="36" t="n"/>
      <c r="B111" s="36" t="n"/>
      <c r="C111" s="36" t="n"/>
      <c r="D111" s="36" t="n"/>
      <c r="E111" s="36" t="n"/>
      <c r="F111" s="36" t="n"/>
      <c r="G111" s="36" t="n"/>
      <c r="H111" s="36" t="n"/>
      <c r="I111" s="37">
        <f>IF($A111="","",IFERROR($B111+$C111-$D111+$E111,0))</f>
        <v/>
      </c>
    </row>
    <row r="112">
      <c r="A112" s="36" t="n"/>
      <c r="B112" s="36" t="n"/>
      <c r="C112" s="36" t="n"/>
      <c r="D112" s="36" t="n"/>
      <c r="E112" s="36" t="n"/>
      <c r="F112" s="36" t="n"/>
      <c r="G112" s="36" t="n"/>
      <c r="H112" s="36" t="n"/>
      <c r="I112" s="37">
        <f>IF($A112="","",IFERROR($B112+$C112-$D112+$E112,0))</f>
        <v/>
      </c>
    </row>
    <row r="113">
      <c r="A113" s="36" t="n"/>
      <c r="B113" s="36" t="n"/>
      <c r="C113" s="36" t="n"/>
      <c r="D113" s="36" t="n"/>
      <c r="E113" s="36" t="n"/>
      <c r="F113" s="36" t="n"/>
      <c r="G113" s="36" t="n"/>
      <c r="H113" s="36" t="n"/>
      <c r="I113" s="37">
        <f>IF($A113="","",IFERROR($B113+$C113-$D113+$E113,0))</f>
        <v/>
      </c>
    </row>
    <row r="114">
      <c r="A114" s="36" t="n"/>
      <c r="B114" s="36" t="n"/>
      <c r="C114" s="36" t="n"/>
      <c r="D114" s="36" t="n"/>
      <c r="E114" s="36" t="n"/>
      <c r="F114" s="36" t="n"/>
      <c r="G114" s="36" t="n"/>
      <c r="H114" s="36" t="n"/>
      <c r="I114" s="37">
        <f>IF($A114="","",IFERROR($B114+$C114-$D114+$E114,0))</f>
        <v/>
      </c>
    </row>
    <row r="115">
      <c r="A115" s="36" t="n"/>
      <c r="B115" s="36" t="n"/>
      <c r="C115" s="36" t="n"/>
      <c r="D115" s="36" t="n"/>
      <c r="E115" s="36" t="n"/>
      <c r="F115" s="36" t="n"/>
      <c r="G115" s="36" t="n"/>
      <c r="H115" s="36" t="n"/>
      <c r="I115" s="37">
        <f>IF($A115="","",IFERROR($B115+$C115-$D115+$E115,0))</f>
        <v/>
      </c>
    </row>
    <row r="116">
      <c r="A116" s="36" t="n"/>
      <c r="B116" s="36" t="n"/>
      <c r="C116" s="36" t="n"/>
      <c r="D116" s="36" t="n"/>
      <c r="E116" s="36" t="n"/>
      <c r="F116" s="36" t="n"/>
      <c r="G116" s="36" t="n"/>
      <c r="H116" s="36" t="n"/>
      <c r="I116" s="37">
        <f>IF($A116="","",IFERROR($B116+$C116-$D116+$E116,0))</f>
        <v/>
      </c>
    </row>
    <row r="117">
      <c r="A117" s="36" t="n"/>
      <c r="B117" s="36" t="n"/>
      <c r="C117" s="36" t="n"/>
      <c r="D117" s="36" t="n"/>
      <c r="E117" s="36" t="n"/>
      <c r="F117" s="36" t="n"/>
      <c r="G117" s="36" t="n"/>
      <c r="H117" s="36" t="n"/>
      <c r="I117" s="37">
        <f>IF($A117="","",IFERROR($B117+$C117-$D117+$E117,0))</f>
        <v/>
      </c>
    </row>
    <row r="118">
      <c r="A118" s="36" t="n"/>
      <c r="B118" s="36" t="n"/>
      <c r="C118" s="36" t="n"/>
      <c r="D118" s="36" t="n"/>
      <c r="E118" s="36" t="n"/>
      <c r="F118" s="36" t="n"/>
      <c r="G118" s="36" t="n"/>
      <c r="H118" s="36" t="n"/>
      <c r="I118" s="37">
        <f>IF($A118="","",IFERROR($B118+$C118-$D118+$E118,0))</f>
        <v/>
      </c>
    </row>
    <row r="119">
      <c r="A119" s="36" t="n"/>
      <c r="B119" s="36" t="n"/>
      <c r="C119" s="36" t="n"/>
      <c r="D119" s="36" t="n"/>
      <c r="E119" s="36" t="n"/>
      <c r="F119" s="36" t="n"/>
      <c r="G119" s="36" t="n"/>
      <c r="H119" s="36" t="n"/>
      <c r="I119" s="37">
        <f>IF($A119="","",IFERROR($B119+$C119-$D119+$E119,0))</f>
        <v/>
      </c>
    </row>
    <row r="120">
      <c r="A120" s="36" t="n"/>
      <c r="B120" s="36" t="n"/>
      <c r="C120" s="36" t="n"/>
      <c r="D120" s="36" t="n"/>
      <c r="E120" s="36" t="n"/>
      <c r="F120" s="36" t="n"/>
      <c r="G120" s="36" t="n"/>
      <c r="H120" s="36" t="n"/>
      <c r="I120" s="37">
        <f>IF($A120="","",IFERROR($B120+$C120-$D120+$E120,0))</f>
        <v/>
      </c>
    </row>
    <row r="121">
      <c r="A121" s="36" t="n"/>
      <c r="B121" s="36" t="n"/>
      <c r="C121" s="36" t="n"/>
      <c r="D121" s="36" t="n"/>
      <c r="E121" s="36" t="n"/>
      <c r="F121" s="36" t="n"/>
      <c r="G121" s="36" t="n"/>
      <c r="H121" s="36" t="n"/>
      <c r="I121" s="37">
        <f>IF($A121="","",IFERROR($B121+$C121-$D121+$E121,0))</f>
        <v/>
      </c>
    </row>
    <row r="122">
      <c r="A122" s="36" t="n"/>
      <c r="B122" s="36" t="n"/>
      <c r="C122" s="36" t="n"/>
      <c r="D122" s="36" t="n"/>
      <c r="E122" s="36" t="n"/>
      <c r="F122" s="36" t="n"/>
      <c r="G122" s="36" t="n"/>
      <c r="H122" s="36" t="n"/>
      <c r="I122" s="37">
        <f>IF($A122="","",IFERROR($B122+$C122-$D122+$E122,0))</f>
        <v/>
      </c>
    </row>
    <row r="123">
      <c r="A123" s="36" t="n"/>
      <c r="B123" s="36" t="n"/>
      <c r="C123" s="36" t="n"/>
      <c r="D123" s="36" t="n"/>
      <c r="E123" s="36" t="n"/>
      <c r="F123" s="36" t="n"/>
      <c r="G123" s="36" t="n"/>
      <c r="H123" s="36" t="n"/>
      <c r="I123" s="37">
        <f>IF($A123="","",IFERROR($B123+$C123-$D123+$E123,0))</f>
        <v/>
      </c>
    </row>
    <row r="124">
      <c r="A124" s="36" t="n"/>
      <c r="B124" s="36" t="n"/>
      <c r="C124" s="36" t="n"/>
      <c r="D124" s="36" t="n"/>
      <c r="E124" s="36" t="n"/>
      <c r="F124" s="36" t="n"/>
      <c r="G124" s="36" t="n"/>
      <c r="H124" s="36" t="n"/>
      <c r="I124" s="37">
        <f>IF($A124="","",IFERROR($B124+$C124-$D124+$E124,0))</f>
        <v/>
      </c>
    </row>
    <row r="125">
      <c r="A125" s="36" t="n"/>
      <c r="B125" s="36" t="n"/>
      <c r="C125" s="36" t="n"/>
      <c r="D125" s="36" t="n"/>
      <c r="E125" s="36" t="n"/>
      <c r="F125" s="36" t="n"/>
      <c r="G125" s="36" t="n"/>
      <c r="H125" s="36" t="n"/>
      <c r="I125" s="37">
        <f>IF($A125="","",IFERROR($B125+$C125-$D125+$E125,0))</f>
        <v/>
      </c>
    </row>
    <row r="126">
      <c r="A126" s="36" t="n"/>
      <c r="B126" s="36" t="n"/>
      <c r="C126" s="36" t="n"/>
      <c r="D126" s="36" t="n"/>
      <c r="E126" s="36" t="n"/>
      <c r="F126" s="36" t="n"/>
      <c r="G126" s="36" t="n"/>
      <c r="H126" s="36" t="n"/>
      <c r="I126" s="37">
        <f>IF($A126="","",IFERROR($B126+$C126-$D126+$E126,0))</f>
        <v/>
      </c>
    </row>
    <row r="127">
      <c r="A127" s="36" t="n"/>
      <c r="B127" s="36" t="n"/>
      <c r="C127" s="36" t="n"/>
      <c r="D127" s="36" t="n"/>
      <c r="E127" s="36" t="n"/>
      <c r="F127" s="36" t="n"/>
      <c r="G127" s="36" t="n"/>
      <c r="H127" s="36" t="n"/>
      <c r="I127" s="37">
        <f>IF($A127="","",IFERROR($B127+$C127-$D127+$E127,0))</f>
        <v/>
      </c>
    </row>
    <row r="128">
      <c r="A128" s="36" t="n"/>
      <c r="B128" s="36" t="n"/>
      <c r="C128" s="36" t="n"/>
      <c r="D128" s="36" t="n"/>
      <c r="E128" s="36" t="n"/>
      <c r="F128" s="36" t="n"/>
      <c r="G128" s="36" t="n"/>
      <c r="H128" s="36" t="n"/>
      <c r="I128" s="37">
        <f>IF($A128="","",IFERROR($B128+$C128-$D128+$E128,0))</f>
        <v/>
      </c>
    </row>
    <row r="129">
      <c r="A129" s="36" t="n"/>
      <c r="B129" s="36" t="n"/>
      <c r="C129" s="36" t="n"/>
      <c r="D129" s="36" t="n"/>
      <c r="E129" s="36" t="n"/>
      <c r="F129" s="36" t="n"/>
      <c r="G129" s="36" t="n"/>
      <c r="H129" s="36" t="n"/>
      <c r="I129" s="37">
        <f>IF($A129="","",IFERROR($B129+$C129-$D129+$E129,0))</f>
        <v/>
      </c>
    </row>
    <row r="130">
      <c r="A130" s="36" t="n"/>
      <c r="B130" s="36" t="n"/>
      <c r="C130" s="36" t="n"/>
      <c r="D130" s="36" t="n"/>
      <c r="E130" s="36" t="n"/>
      <c r="F130" s="36" t="n"/>
      <c r="G130" s="36" t="n"/>
      <c r="H130" s="36" t="n"/>
      <c r="I130" s="37">
        <f>IF($A130="","",IFERROR($B130+$C130-$D130+$E130,0))</f>
        <v/>
      </c>
    </row>
    <row r="131">
      <c r="A131" s="36" t="n"/>
      <c r="B131" s="36" t="n"/>
      <c r="C131" s="36" t="n"/>
      <c r="D131" s="36" t="n"/>
      <c r="E131" s="36" t="n"/>
      <c r="F131" s="36" t="n"/>
      <c r="G131" s="36" t="n"/>
      <c r="H131" s="36" t="n"/>
      <c r="I131" s="37">
        <f>IF($A131="","",IFERROR($B131+$C131-$D131+$E131,0))</f>
        <v/>
      </c>
    </row>
    <row r="132">
      <c r="A132" s="36" t="n"/>
      <c r="B132" s="36" t="n"/>
      <c r="C132" s="36" t="n"/>
      <c r="D132" s="36" t="n"/>
      <c r="E132" s="36" t="n"/>
      <c r="F132" s="36" t="n"/>
      <c r="G132" s="36" t="n"/>
      <c r="H132" s="36" t="n"/>
      <c r="I132" s="37">
        <f>IF($A132="","",IFERROR($B132+$C132-$D132+$E132,0))</f>
        <v/>
      </c>
    </row>
    <row r="133">
      <c r="A133" s="36" t="n"/>
      <c r="B133" s="36" t="n"/>
      <c r="C133" s="36" t="n"/>
      <c r="D133" s="36" t="n"/>
      <c r="E133" s="36" t="n"/>
      <c r="F133" s="36" t="n"/>
      <c r="G133" s="36" t="n"/>
      <c r="H133" s="36" t="n"/>
      <c r="I133" s="37">
        <f>IF($A133="","",IFERROR($B133+$C133-$D133+$E133,0))</f>
        <v/>
      </c>
    </row>
    <row r="134">
      <c r="A134" s="36" t="n"/>
      <c r="B134" s="36" t="n"/>
      <c r="C134" s="36" t="n"/>
      <c r="D134" s="36" t="n"/>
      <c r="E134" s="36" t="n"/>
      <c r="F134" s="36" t="n"/>
      <c r="G134" s="36" t="n"/>
      <c r="H134" s="36" t="n"/>
      <c r="I134" s="37">
        <f>IF($A134="","",IFERROR($B134+$C134-$D134+$E134,0))</f>
        <v/>
      </c>
    </row>
    <row r="135">
      <c r="A135" s="36" t="n"/>
      <c r="B135" s="36" t="n"/>
      <c r="C135" s="36" t="n"/>
      <c r="D135" s="36" t="n"/>
      <c r="E135" s="36" t="n"/>
      <c r="F135" s="36" t="n"/>
      <c r="G135" s="36" t="n"/>
      <c r="H135" s="36" t="n"/>
      <c r="I135" s="37">
        <f>IF($A135="","",IFERROR($B135+$C135-$D135+$E135,0))</f>
        <v/>
      </c>
    </row>
    <row r="136">
      <c r="A136" s="36" t="n"/>
      <c r="B136" s="36" t="n"/>
      <c r="C136" s="36" t="n"/>
      <c r="D136" s="36" t="n"/>
      <c r="E136" s="36" t="n"/>
      <c r="F136" s="36" t="n"/>
      <c r="G136" s="36" t="n"/>
      <c r="H136" s="36" t="n"/>
      <c r="I136" s="37">
        <f>IF($A136="","",IFERROR($B136+$C136-$D136+$E136,0))</f>
        <v/>
      </c>
    </row>
    <row r="137">
      <c r="A137" s="36" t="n"/>
      <c r="B137" s="36" t="n"/>
      <c r="C137" s="36" t="n"/>
      <c r="D137" s="36" t="n"/>
      <c r="E137" s="36" t="n"/>
      <c r="F137" s="36" t="n"/>
      <c r="G137" s="36" t="n"/>
      <c r="H137" s="36" t="n"/>
      <c r="I137" s="37">
        <f>IF($A137="","",IFERROR($B137+$C137-$D137+$E137,0))</f>
        <v/>
      </c>
    </row>
    <row r="138">
      <c r="A138" s="36" t="n"/>
      <c r="B138" s="36" t="n"/>
      <c r="C138" s="36" t="n"/>
      <c r="D138" s="36" t="n"/>
      <c r="E138" s="36" t="n"/>
      <c r="F138" s="36" t="n"/>
      <c r="G138" s="36" t="n"/>
      <c r="H138" s="36" t="n"/>
      <c r="I138" s="37">
        <f>IF($A138="","",IFERROR($B138+$C138-$D138+$E138,0))</f>
        <v/>
      </c>
    </row>
    <row r="139">
      <c r="A139" s="36" t="n"/>
      <c r="B139" s="36" t="n"/>
      <c r="C139" s="36" t="n"/>
      <c r="D139" s="36" t="n"/>
      <c r="E139" s="36" t="n"/>
      <c r="F139" s="36" t="n"/>
      <c r="G139" s="36" t="n"/>
      <c r="H139" s="36" t="n"/>
      <c r="I139" s="37">
        <f>IF($A139="","",IFERROR($B139+$C139-$D139+$E139,0))</f>
        <v/>
      </c>
    </row>
    <row r="140">
      <c r="A140" s="36" t="n"/>
      <c r="B140" s="36" t="n"/>
      <c r="C140" s="36" t="n"/>
      <c r="D140" s="36" t="n"/>
      <c r="E140" s="36" t="n"/>
      <c r="F140" s="36" t="n"/>
      <c r="G140" s="36" t="n"/>
      <c r="H140" s="36" t="n"/>
      <c r="I140" s="37">
        <f>IF($A140="","",IFERROR($B140+$C140-$D140+$E140,0))</f>
        <v/>
      </c>
    </row>
    <row r="141">
      <c r="A141" s="36" t="n"/>
      <c r="B141" s="36" t="n"/>
      <c r="C141" s="36" t="n"/>
      <c r="D141" s="36" t="n"/>
      <c r="E141" s="36" t="n"/>
      <c r="F141" s="36" t="n"/>
      <c r="G141" s="36" t="n"/>
      <c r="H141" s="36" t="n"/>
      <c r="I141" s="37">
        <f>IF($A141="","",IFERROR($B141+$C141-$D141+$E141,0))</f>
        <v/>
      </c>
    </row>
    <row r="142">
      <c r="A142" s="36" t="n"/>
      <c r="B142" s="36" t="n"/>
      <c r="C142" s="36" t="n"/>
      <c r="D142" s="36" t="n"/>
      <c r="E142" s="36" t="n"/>
      <c r="F142" s="36" t="n"/>
      <c r="G142" s="36" t="n"/>
      <c r="H142" s="36" t="n"/>
      <c r="I142" s="37">
        <f>IF($A142="","",IFERROR($B142+$C142-$D142+$E142,0))</f>
        <v/>
      </c>
    </row>
    <row r="143">
      <c r="A143" s="36" t="n"/>
      <c r="B143" s="36" t="n"/>
      <c r="C143" s="36" t="n"/>
      <c r="D143" s="36" t="n"/>
      <c r="E143" s="36" t="n"/>
      <c r="F143" s="36" t="n"/>
      <c r="G143" s="36" t="n"/>
      <c r="H143" s="36" t="n"/>
      <c r="I143" s="37">
        <f>IF($A143="","",IFERROR($B143+$C143-$D143+$E143,0))</f>
        <v/>
      </c>
    </row>
    <row r="144">
      <c r="A144" s="36" t="n"/>
      <c r="B144" s="36" t="n"/>
      <c r="C144" s="36" t="n"/>
      <c r="D144" s="36" t="n"/>
      <c r="E144" s="36" t="n"/>
      <c r="F144" s="36" t="n"/>
      <c r="G144" s="36" t="n"/>
      <c r="H144" s="36" t="n"/>
      <c r="I144" s="37">
        <f>IF($A144="","",IFERROR($B144+$C144-$D144+$E144,0))</f>
        <v/>
      </c>
    </row>
    <row r="145">
      <c r="A145" s="36" t="n"/>
      <c r="B145" s="36" t="n"/>
      <c r="C145" s="36" t="n"/>
      <c r="D145" s="36" t="n"/>
      <c r="E145" s="36" t="n"/>
      <c r="F145" s="36" t="n"/>
      <c r="G145" s="36" t="n"/>
      <c r="H145" s="36" t="n"/>
      <c r="I145" s="37">
        <f>IF($A145="","",IFERROR($B145+$C145-$D145+$E145,0))</f>
        <v/>
      </c>
    </row>
    <row r="146">
      <c r="A146" s="36" t="n"/>
      <c r="B146" s="36" t="n"/>
      <c r="C146" s="36" t="n"/>
      <c r="D146" s="36" t="n"/>
      <c r="E146" s="36" t="n"/>
      <c r="F146" s="36" t="n"/>
      <c r="G146" s="36" t="n"/>
      <c r="H146" s="36" t="n"/>
      <c r="I146" s="37">
        <f>IF($A146="","",IFERROR($B146+$C146-$D146+$E146,0))</f>
        <v/>
      </c>
    </row>
    <row r="147">
      <c r="A147" s="36" t="n"/>
      <c r="B147" s="36" t="n"/>
      <c r="C147" s="36" t="n"/>
      <c r="D147" s="36" t="n"/>
      <c r="E147" s="36" t="n"/>
      <c r="F147" s="36" t="n"/>
      <c r="G147" s="36" t="n"/>
      <c r="H147" s="36" t="n"/>
      <c r="I147" s="37">
        <f>IF($A147="","",IFERROR($B147+$C147-$D147+$E147,0))</f>
        <v/>
      </c>
    </row>
    <row r="148">
      <c r="A148" s="36" t="n"/>
      <c r="B148" s="36" t="n"/>
      <c r="C148" s="36" t="n"/>
      <c r="D148" s="36" t="n"/>
      <c r="E148" s="36" t="n"/>
      <c r="F148" s="36" t="n"/>
      <c r="G148" s="36" t="n"/>
      <c r="H148" s="36" t="n"/>
      <c r="I148" s="37">
        <f>IF($A148="","",IFERROR($B148+$C148-$D148+$E148,0))</f>
        <v/>
      </c>
    </row>
    <row r="149">
      <c r="A149" s="36" t="n"/>
      <c r="B149" s="36" t="n"/>
      <c r="C149" s="36" t="n"/>
      <c r="D149" s="36" t="n"/>
      <c r="E149" s="36" t="n"/>
      <c r="F149" s="36" t="n"/>
      <c r="G149" s="36" t="n"/>
      <c r="H149" s="36" t="n"/>
      <c r="I149" s="37">
        <f>IF($A149="","",IFERROR($B149+$C149-$D149+$E149,0))</f>
        <v/>
      </c>
    </row>
    <row r="150">
      <c r="A150" s="36" t="n"/>
      <c r="B150" s="36" t="n"/>
      <c r="C150" s="36" t="n"/>
      <c r="D150" s="36" t="n"/>
      <c r="E150" s="36" t="n"/>
      <c r="F150" s="36" t="n"/>
      <c r="G150" s="36" t="n"/>
      <c r="H150" s="36" t="n"/>
      <c r="I150" s="37">
        <f>IF($A150="","",IFERROR($B150+$C150-$D150+$E150,0))</f>
        <v/>
      </c>
    </row>
    <row r="151">
      <c r="A151" s="36" t="n"/>
      <c r="B151" s="36" t="n"/>
      <c r="C151" s="36" t="n"/>
      <c r="D151" s="36" t="n"/>
      <c r="E151" s="36" t="n"/>
      <c r="F151" s="36" t="n"/>
      <c r="G151" s="36" t="n"/>
      <c r="H151" s="36" t="n"/>
      <c r="I151" s="37">
        <f>IF($A151="","",IFERROR($B151+$C151-$D151+$E151,0))</f>
        <v/>
      </c>
    </row>
    <row r="152">
      <c r="A152" s="36" t="n"/>
      <c r="B152" s="36" t="n"/>
      <c r="C152" s="36" t="n"/>
      <c r="D152" s="36" t="n"/>
      <c r="E152" s="36" t="n"/>
      <c r="F152" s="36" t="n"/>
      <c r="G152" s="36" t="n"/>
      <c r="H152" s="36" t="n"/>
      <c r="I152" s="37">
        <f>IF($A152="","",IFERROR($B152+$C152-$D152+$E152,0))</f>
        <v/>
      </c>
    </row>
    <row r="153">
      <c r="A153" s="36" t="n"/>
      <c r="B153" s="36" t="n"/>
      <c r="C153" s="36" t="n"/>
      <c r="D153" s="36" t="n"/>
      <c r="E153" s="36" t="n"/>
      <c r="F153" s="36" t="n"/>
      <c r="G153" s="36" t="n"/>
      <c r="H153" s="36" t="n"/>
      <c r="I153" s="37">
        <f>IF($A153="","",IFERROR($B153+$C153-$D153+$E153,0))</f>
        <v/>
      </c>
    </row>
    <row r="154">
      <c r="A154" s="36" t="n"/>
      <c r="B154" s="36" t="n"/>
      <c r="C154" s="36" t="n"/>
      <c r="D154" s="36" t="n"/>
      <c r="E154" s="36" t="n"/>
      <c r="F154" s="36" t="n"/>
      <c r="G154" s="36" t="n"/>
      <c r="H154" s="36" t="n"/>
      <c r="I154" s="37">
        <f>IF($A154="","",IFERROR($B154+$C154-$D154+$E154,0))</f>
        <v/>
      </c>
    </row>
    <row r="155">
      <c r="A155" s="36" t="n"/>
      <c r="B155" s="36" t="n"/>
      <c r="C155" s="36" t="n"/>
      <c r="D155" s="36" t="n"/>
      <c r="E155" s="36" t="n"/>
      <c r="F155" s="36" t="n"/>
      <c r="G155" s="36" t="n"/>
      <c r="H155" s="36" t="n"/>
      <c r="I155" s="37">
        <f>IF($A155="","",IFERROR($B155+$C155-$D155+$E155,0))</f>
        <v/>
      </c>
    </row>
    <row r="156">
      <c r="A156" s="36" t="n"/>
      <c r="B156" s="36" t="n"/>
      <c r="C156" s="36" t="n"/>
      <c r="D156" s="36" t="n"/>
      <c r="E156" s="36" t="n"/>
      <c r="F156" s="36" t="n"/>
      <c r="G156" s="36" t="n"/>
      <c r="H156" s="36" t="n"/>
      <c r="I156" s="37">
        <f>IF($A156="","",IFERROR($B156+$C156-$D156+$E156,0))</f>
        <v/>
      </c>
    </row>
    <row r="157">
      <c r="A157" s="36" t="n"/>
      <c r="B157" s="36" t="n"/>
      <c r="C157" s="36" t="n"/>
      <c r="D157" s="36" t="n"/>
      <c r="E157" s="36" t="n"/>
      <c r="F157" s="36" t="n"/>
      <c r="G157" s="36" t="n"/>
      <c r="H157" s="36" t="n"/>
      <c r="I157" s="37">
        <f>IF($A157="","",IFERROR($B157+$C157-$D157+$E157,0))</f>
        <v/>
      </c>
    </row>
    <row r="158">
      <c r="A158" s="36" t="n"/>
      <c r="B158" s="36" t="n"/>
      <c r="C158" s="36" t="n"/>
      <c r="D158" s="36" t="n"/>
      <c r="E158" s="36" t="n"/>
      <c r="F158" s="36" t="n"/>
      <c r="G158" s="36" t="n"/>
      <c r="H158" s="36" t="n"/>
      <c r="I158" s="37">
        <f>IF($A158="","",IFERROR($B158+$C158-$D158+$E158,0))</f>
        <v/>
      </c>
    </row>
    <row r="159">
      <c r="A159" s="36" t="n"/>
      <c r="B159" s="36" t="n"/>
      <c r="C159" s="36" t="n"/>
      <c r="D159" s="36" t="n"/>
      <c r="E159" s="36" t="n"/>
      <c r="F159" s="36" t="n"/>
      <c r="G159" s="36" t="n"/>
      <c r="H159" s="36" t="n"/>
      <c r="I159" s="37">
        <f>IF($A159="","",IFERROR($B159+$C159-$D159+$E159,0))</f>
        <v/>
      </c>
    </row>
    <row r="160">
      <c r="A160" s="36" t="n"/>
      <c r="B160" s="36" t="n"/>
      <c r="C160" s="36" t="n"/>
      <c r="D160" s="36" t="n"/>
      <c r="E160" s="36" t="n"/>
      <c r="F160" s="36" t="n"/>
      <c r="G160" s="36" t="n"/>
      <c r="H160" s="36" t="n"/>
      <c r="I160" s="37">
        <f>IF($A160="","",IFERROR($B160+$C160-$D160+$E160,0))</f>
        <v/>
      </c>
    </row>
    <row r="161">
      <c r="A161" s="36" t="n"/>
      <c r="B161" s="36" t="n"/>
      <c r="C161" s="36" t="n"/>
      <c r="D161" s="36" t="n"/>
      <c r="E161" s="36" t="n"/>
      <c r="F161" s="36" t="n"/>
      <c r="G161" s="36" t="n"/>
      <c r="H161" s="36" t="n"/>
      <c r="I161" s="37">
        <f>IF($A161="","",IFERROR($B161+$C161-$D161+$E161,0))</f>
        <v/>
      </c>
    </row>
    <row r="162">
      <c r="A162" s="36" t="n"/>
      <c r="B162" s="36" t="n"/>
      <c r="C162" s="36" t="n"/>
      <c r="D162" s="36" t="n"/>
      <c r="E162" s="36" t="n"/>
      <c r="F162" s="36" t="n"/>
      <c r="G162" s="36" t="n"/>
      <c r="H162" s="36" t="n"/>
      <c r="I162" s="37">
        <f>IF($A162="","",IFERROR($B162+$C162-$D162+$E162,0))</f>
        <v/>
      </c>
    </row>
    <row r="163">
      <c r="A163" s="36" t="n"/>
      <c r="B163" s="36" t="n"/>
      <c r="C163" s="36" t="n"/>
      <c r="D163" s="36" t="n"/>
      <c r="E163" s="36" t="n"/>
      <c r="F163" s="36" t="n"/>
      <c r="G163" s="36" t="n"/>
      <c r="H163" s="36" t="n"/>
      <c r="I163" s="37">
        <f>IF($A163="","",IFERROR($B163+$C163-$D163+$E163,0))</f>
        <v/>
      </c>
    </row>
    <row r="164">
      <c r="A164" s="36" t="n"/>
      <c r="B164" s="36" t="n"/>
      <c r="C164" s="36" t="n"/>
      <c r="D164" s="36" t="n"/>
      <c r="E164" s="36" t="n"/>
      <c r="F164" s="36" t="n"/>
      <c r="G164" s="36" t="n"/>
      <c r="H164" s="36" t="n"/>
      <c r="I164" s="37">
        <f>IF($A164="","",IFERROR($B164+$C164-$D164+$E164,0))</f>
        <v/>
      </c>
    </row>
    <row r="165">
      <c r="A165" s="36" t="n"/>
      <c r="B165" s="36" t="n"/>
      <c r="C165" s="36" t="n"/>
      <c r="D165" s="36" t="n"/>
      <c r="E165" s="36" t="n"/>
      <c r="F165" s="36" t="n"/>
      <c r="G165" s="36" t="n"/>
      <c r="H165" s="36" t="n"/>
      <c r="I165" s="37">
        <f>IF($A165="","",IFERROR($B165+$C165-$D165+$E165,0))</f>
        <v/>
      </c>
    </row>
    <row r="166">
      <c r="A166" s="36" t="n"/>
      <c r="B166" s="36" t="n"/>
      <c r="C166" s="36" t="n"/>
      <c r="D166" s="36" t="n"/>
      <c r="E166" s="36" t="n"/>
      <c r="F166" s="36" t="n"/>
      <c r="G166" s="36" t="n"/>
      <c r="H166" s="36" t="n"/>
      <c r="I166" s="37">
        <f>IF($A166="","",IFERROR($B166+$C166-$D166+$E166,0))</f>
        <v/>
      </c>
    </row>
    <row r="167">
      <c r="A167" s="36" t="n"/>
      <c r="B167" s="36" t="n"/>
      <c r="C167" s="36" t="n"/>
      <c r="D167" s="36" t="n"/>
      <c r="E167" s="36" t="n"/>
      <c r="F167" s="36" t="n"/>
      <c r="G167" s="36" t="n"/>
      <c r="H167" s="36" t="n"/>
      <c r="I167" s="37">
        <f>IF($A167="","",IFERROR($B167+$C167-$D167+$E167,0))</f>
        <v/>
      </c>
    </row>
    <row r="168">
      <c r="A168" s="36" t="n"/>
      <c r="B168" s="36" t="n"/>
      <c r="C168" s="36" t="n"/>
      <c r="D168" s="36" t="n"/>
      <c r="E168" s="36" t="n"/>
      <c r="F168" s="36" t="n"/>
      <c r="G168" s="36" t="n"/>
      <c r="H168" s="36" t="n"/>
      <c r="I168" s="37">
        <f>IF($A168="","",IFERROR($B168+$C168-$D168+$E168,0))</f>
        <v/>
      </c>
    </row>
    <row r="169">
      <c r="A169" s="36" t="n"/>
      <c r="B169" s="36" t="n"/>
      <c r="C169" s="36" t="n"/>
      <c r="D169" s="36" t="n"/>
      <c r="E169" s="36" t="n"/>
      <c r="F169" s="36" t="n"/>
      <c r="G169" s="36" t="n"/>
      <c r="H169" s="36" t="n"/>
      <c r="I169" s="37">
        <f>IF($A169="","",IFERROR($B169+$C169-$D169+$E169,0))</f>
        <v/>
      </c>
    </row>
    <row r="170">
      <c r="A170" s="36" t="n"/>
      <c r="B170" s="36" t="n"/>
      <c r="C170" s="36" t="n"/>
      <c r="D170" s="36" t="n"/>
      <c r="E170" s="36" t="n"/>
      <c r="F170" s="36" t="n"/>
      <c r="G170" s="36" t="n"/>
      <c r="H170" s="36" t="n"/>
      <c r="I170" s="37">
        <f>IF($A170="","",IFERROR($B170+$C170-$D170+$E170,0))</f>
        <v/>
      </c>
    </row>
    <row r="171">
      <c r="A171" s="36" t="n"/>
      <c r="B171" s="36" t="n"/>
      <c r="C171" s="36" t="n"/>
      <c r="D171" s="36" t="n"/>
      <c r="E171" s="36" t="n"/>
      <c r="F171" s="36" t="n"/>
      <c r="G171" s="36" t="n"/>
      <c r="H171" s="36" t="n"/>
      <c r="I171" s="37">
        <f>IF($A171="","",IFERROR($B171+$C171-$D171+$E171,0))</f>
        <v/>
      </c>
    </row>
    <row r="172">
      <c r="A172" s="36" t="n"/>
      <c r="B172" s="36" t="n"/>
      <c r="C172" s="36" t="n"/>
      <c r="D172" s="36" t="n"/>
      <c r="E172" s="36" t="n"/>
      <c r="F172" s="36" t="n"/>
      <c r="G172" s="36" t="n"/>
      <c r="H172" s="36" t="n"/>
      <c r="I172" s="37">
        <f>IF($A172="","",IFERROR($B172+$C172-$D172+$E172,0))</f>
        <v/>
      </c>
    </row>
    <row r="173">
      <c r="A173" s="36" t="n"/>
      <c r="B173" s="36" t="n"/>
      <c r="C173" s="36" t="n"/>
      <c r="D173" s="36" t="n"/>
      <c r="E173" s="36" t="n"/>
      <c r="F173" s="36" t="n"/>
      <c r="G173" s="36" t="n"/>
      <c r="H173" s="36" t="n"/>
      <c r="I173" s="37">
        <f>IF($A173="","",IFERROR($B173+$C173-$D173+$E173,0))</f>
        <v/>
      </c>
    </row>
    <row r="174">
      <c r="A174" s="36" t="n"/>
      <c r="B174" s="36" t="n"/>
      <c r="C174" s="36" t="n"/>
      <c r="D174" s="36" t="n"/>
      <c r="E174" s="36" t="n"/>
      <c r="F174" s="36" t="n"/>
      <c r="G174" s="36" t="n"/>
      <c r="H174" s="36" t="n"/>
      <c r="I174" s="37">
        <f>IF($A174="","",IFERROR($B174+$C174-$D174+$E174,0))</f>
        <v/>
      </c>
    </row>
    <row r="175">
      <c r="A175" s="36" t="n"/>
      <c r="B175" s="36" t="n"/>
      <c r="C175" s="36" t="n"/>
      <c r="D175" s="36" t="n"/>
      <c r="E175" s="36" t="n"/>
      <c r="F175" s="36" t="n"/>
      <c r="G175" s="36" t="n"/>
      <c r="H175" s="36" t="n"/>
      <c r="I175" s="37">
        <f>IF($A175="","",IFERROR($B175+$C175-$D175+$E175,0))</f>
        <v/>
      </c>
    </row>
    <row r="176">
      <c r="A176" s="36" t="n"/>
      <c r="B176" s="36" t="n"/>
      <c r="C176" s="36" t="n"/>
      <c r="D176" s="36" t="n"/>
      <c r="E176" s="36" t="n"/>
      <c r="F176" s="36" t="n"/>
      <c r="G176" s="36" t="n"/>
      <c r="H176" s="36" t="n"/>
      <c r="I176" s="37">
        <f>IF($A176="","",IFERROR($B176+$C176-$D176+$E176,0))</f>
        <v/>
      </c>
    </row>
    <row r="177">
      <c r="A177" s="36" t="n"/>
      <c r="B177" s="36" t="n"/>
      <c r="C177" s="36" t="n"/>
      <c r="D177" s="36" t="n"/>
      <c r="E177" s="36" t="n"/>
      <c r="F177" s="36" t="n"/>
      <c r="G177" s="36" t="n"/>
      <c r="H177" s="36" t="n"/>
      <c r="I177" s="37">
        <f>IF($A177="","",IFERROR($B177+$C177-$D177+$E177,0))</f>
        <v/>
      </c>
    </row>
    <row r="178">
      <c r="A178" s="36" t="n"/>
      <c r="B178" s="36" t="n"/>
      <c r="C178" s="36" t="n"/>
      <c r="D178" s="36" t="n"/>
      <c r="E178" s="36" t="n"/>
      <c r="F178" s="36" t="n"/>
      <c r="G178" s="36" t="n"/>
      <c r="H178" s="36" t="n"/>
      <c r="I178" s="37">
        <f>IF($A178="","",IFERROR($B178+$C178-$D178+$E178,0))</f>
        <v/>
      </c>
    </row>
    <row r="179">
      <c r="A179" s="36" t="n"/>
      <c r="B179" s="36" t="n"/>
      <c r="C179" s="36" t="n"/>
      <c r="D179" s="36" t="n"/>
      <c r="E179" s="36" t="n"/>
      <c r="F179" s="36" t="n"/>
      <c r="G179" s="36" t="n"/>
      <c r="H179" s="36" t="n"/>
      <c r="I179" s="37">
        <f>IF($A179="","",IFERROR($B179+$C179-$D179+$E179,0))</f>
        <v/>
      </c>
    </row>
    <row r="180">
      <c r="A180" s="36" t="n"/>
      <c r="B180" s="36" t="n"/>
      <c r="C180" s="36" t="n"/>
      <c r="D180" s="36" t="n"/>
      <c r="E180" s="36" t="n"/>
      <c r="F180" s="36" t="n"/>
      <c r="G180" s="36" t="n"/>
      <c r="H180" s="36" t="n"/>
      <c r="I180" s="37">
        <f>IF($A180="","",IFERROR($B180+$C180-$D180+$E180,0))</f>
        <v/>
      </c>
    </row>
    <row r="181">
      <c r="A181" s="36" t="n"/>
      <c r="B181" s="36" t="n"/>
      <c r="C181" s="36" t="n"/>
      <c r="D181" s="36" t="n"/>
      <c r="E181" s="36" t="n"/>
      <c r="F181" s="36" t="n"/>
      <c r="G181" s="36" t="n"/>
      <c r="H181" s="36" t="n"/>
      <c r="I181" s="37">
        <f>IF($A181="","",IFERROR($B181+$C181-$D181+$E181,0))</f>
        <v/>
      </c>
    </row>
    <row r="182">
      <c r="A182" s="36" t="n"/>
      <c r="B182" s="36" t="n"/>
      <c r="C182" s="36" t="n"/>
      <c r="D182" s="36" t="n"/>
      <c r="E182" s="36" t="n"/>
      <c r="F182" s="36" t="n"/>
      <c r="G182" s="36" t="n"/>
      <c r="H182" s="36" t="n"/>
      <c r="I182" s="37">
        <f>IF($A182="","",IFERROR($B182+$C182-$D182+$E182,0))</f>
        <v/>
      </c>
    </row>
    <row r="183">
      <c r="A183" s="36" t="n"/>
      <c r="B183" s="36" t="n"/>
      <c r="C183" s="36" t="n"/>
      <c r="D183" s="36" t="n"/>
      <c r="E183" s="36" t="n"/>
      <c r="F183" s="36" t="n"/>
      <c r="G183" s="36" t="n"/>
      <c r="H183" s="36" t="n"/>
      <c r="I183" s="37">
        <f>IF($A183="","",IFERROR($B183+$C183-$D183+$E183,0))</f>
        <v/>
      </c>
    </row>
    <row r="184">
      <c r="A184" s="36" t="n"/>
      <c r="B184" s="36" t="n"/>
      <c r="C184" s="36" t="n"/>
      <c r="D184" s="36" t="n"/>
      <c r="E184" s="36" t="n"/>
      <c r="F184" s="36" t="n"/>
      <c r="G184" s="36" t="n"/>
      <c r="H184" s="36" t="n"/>
      <c r="I184" s="37">
        <f>IF($A184="","",IFERROR($B184+$C184-$D184+$E184,0))</f>
        <v/>
      </c>
    </row>
    <row r="185">
      <c r="A185" s="36" t="n"/>
      <c r="B185" s="36" t="n"/>
      <c r="C185" s="36" t="n"/>
      <c r="D185" s="36" t="n"/>
      <c r="E185" s="36" t="n"/>
      <c r="F185" s="36" t="n"/>
      <c r="G185" s="36" t="n"/>
      <c r="H185" s="36" t="n"/>
      <c r="I185" s="37">
        <f>IF($A185="","",IFERROR($B185+$C185-$D185+$E185,0))</f>
        <v/>
      </c>
    </row>
    <row r="186">
      <c r="A186" s="36" t="n"/>
      <c r="B186" s="36" t="n"/>
      <c r="C186" s="36" t="n"/>
      <c r="D186" s="36" t="n"/>
      <c r="E186" s="36" t="n"/>
      <c r="F186" s="36" t="n"/>
      <c r="G186" s="36" t="n"/>
      <c r="H186" s="36" t="n"/>
      <c r="I186" s="37">
        <f>IF($A186="","",IFERROR($B186+$C186-$D186+$E186,0))</f>
        <v/>
      </c>
    </row>
    <row r="187">
      <c r="A187" s="36" t="n"/>
      <c r="B187" s="36" t="n"/>
      <c r="C187" s="36" t="n"/>
      <c r="D187" s="36" t="n"/>
      <c r="E187" s="36" t="n"/>
      <c r="F187" s="36" t="n"/>
      <c r="G187" s="36" t="n"/>
      <c r="H187" s="36" t="n"/>
      <c r="I187" s="37">
        <f>IF($A187="","",IFERROR($B187+$C187-$D187+$E187,0))</f>
        <v/>
      </c>
    </row>
    <row r="188">
      <c r="A188" s="36" t="n"/>
      <c r="B188" s="36" t="n"/>
      <c r="C188" s="36" t="n"/>
      <c r="D188" s="36" t="n"/>
      <c r="E188" s="36" t="n"/>
      <c r="F188" s="36" t="n"/>
      <c r="G188" s="36" t="n"/>
      <c r="H188" s="36" t="n"/>
      <c r="I188" s="37">
        <f>IF($A188="","",IFERROR($B188+$C188-$D188+$E188,0))</f>
        <v/>
      </c>
    </row>
    <row r="189">
      <c r="A189" s="36" t="n"/>
      <c r="B189" s="36" t="n"/>
      <c r="C189" s="36" t="n"/>
      <c r="D189" s="36" t="n"/>
      <c r="E189" s="36" t="n"/>
      <c r="F189" s="36" t="n"/>
      <c r="G189" s="36" t="n"/>
      <c r="H189" s="36" t="n"/>
      <c r="I189" s="37">
        <f>IF($A189="","",IFERROR($B189+$C189-$D189+$E189,0))</f>
        <v/>
      </c>
    </row>
    <row r="190">
      <c r="A190" s="36" t="n"/>
      <c r="B190" s="36" t="n"/>
      <c r="C190" s="36" t="n"/>
      <c r="D190" s="36" t="n"/>
      <c r="E190" s="36" t="n"/>
      <c r="F190" s="36" t="n"/>
      <c r="G190" s="36" t="n"/>
      <c r="H190" s="36" t="n"/>
      <c r="I190" s="37">
        <f>IF($A190="","",IFERROR($B190+$C190-$D190+$E190,0))</f>
        <v/>
      </c>
    </row>
    <row r="191">
      <c r="A191" s="36" t="n"/>
      <c r="B191" s="36" t="n"/>
      <c r="C191" s="36" t="n"/>
      <c r="D191" s="36" t="n"/>
      <c r="E191" s="36" t="n"/>
      <c r="F191" s="36" t="n"/>
      <c r="G191" s="36" t="n"/>
      <c r="H191" s="36" t="n"/>
      <c r="I191" s="37">
        <f>IF($A191="","",IFERROR($B191+$C191-$D191+$E191,0))</f>
        <v/>
      </c>
    </row>
    <row r="192">
      <c r="A192" s="36" t="n"/>
      <c r="B192" s="36" t="n"/>
      <c r="C192" s="36" t="n"/>
      <c r="D192" s="36" t="n"/>
      <c r="E192" s="36" t="n"/>
      <c r="F192" s="36" t="n"/>
      <c r="G192" s="36" t="n"/>
      <c r="H192" s="36" t="n"/>
      <c r="I192" s="37">
        <f>IF($A192="","",IFERROR($B192+$C192-$D192+$E192,0))</f>
        <v/>
      </c>
    </row>
    <row r="193">
      <c r="A193" s="36" t="n"/>
      <c r="B193" s="36" t="n"/>
      <c r="C193" s="36" t="n"/>
      <c r="D193" s="36" t="n"/>
      <c r="E193" s="36" t="n"/>
      <c r="F193" s="36" t="n"/>
      <c r="G193" s="36" t="n"/>
      <c r="H193" s="36" t="n"/>
      <c r="I193" s="37">
        <f>IF($A193="","",IFERROR($B193+$C193-$D193+$E193,0))</f>
        <v/>
      </c>
    </row>
    <row r="194">
      <c r="A194" s="36" t="n"/>
      <c r="B194" s="36" t="n"/>
      <c r="C194" s="36" t="n"/>
      <c r="D194" s="36" t="n"/>
      <c r="E194" s="36" t="n"/>
      <c r="F194" s="36" t="n"/>
      <c r="G194" s="36" t="n"/>
      <c r="H194" s="36" t="n"/>
      <c r="I194" s="37">
        <f>IF($A194="","",IFERROR($B194+$C194-$D194+$E194,0))</f>
        <v/>
      </c>
    </row>
    <row r="195">
      <c r="A195" s="36" t="n"/>
      <c r="B195" s="36" t="n"/>
      <c r="C195" s="36" t="n"/>
      <c r="D195" s="36" t="n"/>
      <c r="E195" s="36" t="n"/>
      <c r="F195" s="36" t="n"/>
      <c r="G195" s="36" t="n"/>
      <c r="H195" s="36" t="n"/>
      <c r="I195" s="37">
        <f>IF($A195="","",IFERROR($B195+$C195-$D195+$E195,0))</f>
        <v/>
      </c>
    </row>
    <row r="196">
      <c r="A196" s="36" t="n"/>
      <c r="B196" s="36" t="n"/>
      <c r="C196" s="36" t="n"/>
      <c r="D196" s="36" t="n"/>
      <c r="E196" s="36" t="n"/>
      <c r="F196" s="36" t="n"/>
      <c r="G196" s="36" t="n"/>
      <c r="H196" s="36" t="n"/>
      <c r="I196" s="37">
        <f>IF($A196="","",IFERROR($B196+$C196-$D196+$E196,0))</f>
        <v/>
      </c>
    </row>
    <row r="197">
      <c r="A197" s="36" t="n"/>
      <c r="B197" s="36" t="n"/>
      <c r="C197" s="36" t="n"/>
      <c r="D197" s="36" t="n"/>
      <c r="E197" s="36" t="n"/>
      <c r="F197" s="36" t="n"/>
      <c r="G197" s="36" t="n"/>
      <c r="H197" s="36" t="n"/>
      <c r="I197" s="37">
        <f>IF($A197="","",IFERROR($B197+$C197-$D197+$E197,0))</f>
        <v/>
      </c>
    </row>
    <row r="198">
      <c r="A198" s="36" t="n"/>
      <c r="B198" s="36" t="n"/>
      <c r="C198" s="36" t="n"/>
      <c r="D198" s="36" t="n"/>
      <c r="E198" s="36" t="n"/>
      <c r="F198" s="36" t="n"/>
      <c r="G198" s="36" t="n"/>
      <c r="H198" s="36" t="n"/>
      <c r="I198" s="37">
        <f>IF($A198="","",IFERROR($B198+$C198-$D198+$E198,0))</f>
        <v/>
      </c>
    </row>
    <row r="199">
      <c r="A199" s="36" t="n"/>
      <c r="B199" s="36" t="n"/>
      <c r="C199" s="36" t="n"/>
      <c r="D199" s="36" t="n"/>
      <c r="E199" s="36" t="n"/>
      <c r="F199" s="36" t="n"/>
      <c r="G199" s="36" t="n"/>
      <c r="H199" s="36" t="n"/>
      <c r="I199" s="37">
        <f>IF($A199="","",IFERROR($B199+$C199-$D199+$E199,0))</f>
        <v/>
      </c>
    </row>
    <row r="200">
      <c r="A200" s="36" t="n"/>
      <c r="B200" s="36" t="n"/>
      <c r="C200" s="36" t="n"/>
      <c r="D200" s="36" t="n"/>
      <c r="E200" s="36" t="n"/>
      <c r="F200" s="36" t="n"/>
      <c r="G200" s="36" t="n"/>
      <c r="H200" s="36" t="n"/>
      <c r="I200" s="37">
        <f>IF($A200="","",IFERROR($B200+$C200-$D200+$E200,0))</f>
        <v/>
      </c>
    </row>
    <row r="201">
      <c r="A201" s="36" t="n"/>
      <c r="B201" s="36" t="n"/>
      <c r="C201" s="36" t="n"/>
      <c r="D201" s="36" t="n"/>
      <c r="E201" s="36" t="n"/>
      <c r="F201" s="36" t="n"/>
      <c r="G201" s="36" t="n"/>
      <c r="H201" s="36" t="n"/>
      <c r="I201" s="37">
        <f>IF($A201="","",IFERROR($B201+$C201-$D201+$E201,0))</f>
        <v/>
      </c>
    </row>
    <row r="202">
      <c r="A202" s="36" t="n"/>
      <c r="B202" s="36" t="n"/>
      <c r="C202" s="36" t="n"/>
      <c r="D202" s="36" t="n"/>
      <c r="E202" s="36" t="n"/>
      <c r="F202" s="36" t="n"/>
      <c r="G202" s="36" t="n"/>
      <c r="H202" s="36" t="n"/>
      <c r="I202" s="37">
        <f>IF($A202="","",IFERROR($B202+$C202-$D202+$E202,0))</f>
        <v/>
      </c>
    </row>
    <row r="203">
      <c r="A203" s="36" t="n"/>
      <c r="B203" s="36" t="n"/>
      <c r="C203" s="36" t="n"/>
      <c r="D203" s="36" t="n"/>
      <c r="E203" s="36" t="n"/>
      <c r="F203" s="36" t="n"/>
      <c r="G203" s="36" t="n"/>
      <c r="H203" s="36" t="n"/>
      <c r="I203" s="37">
        <f>IF($A203="","",IFERROR($B203+$C203-$D203+$E203,0))</f>
        <v/>
      </c>
    </row>
    <row r="204">
      <c r="A204" s="36" t="n"/>
      <c r="B204" s="36" t="n"/>
      <c r="C204" s="36" t="n"/>
      <c r="D204" s="36" t="n"/>
      <c r="E204" s="36" t="n"/>
      <c r="F204" s="36" t="n"/>
      <c r="G204" s="36" t="n"/>
      <c r="H204" s="36" t="n"/>
      <c r="I204" s="37">
        <f>IF($A204="","",IFERROR($B204+$C204-$D204+$E204,0))</f>
        <v/>
      </c>
    </row>
    <row r="205">
      <c r="A205" s="36" t="n"/>
      <c r="B205" s="36" t="n"/>
      <c r="C205" s="36" t="n"/>
      <c r="D205" s="36" t="n"/>
      <c r="E205" s="36" t="n"/>
      <c r="F205" s="36" t="n"/>
      <c r="G205" s="36" t="n"/>
      <c r="H205" s="36" t="n"/>
      <c r="I205" s="37">
        <f>IF($A205="","",IFERROR($B205+$C205-$D205+$E205,0))</f>
        <v/>
      </c>
    </row>
    <row r="206">
      <c r="A206" s="36" t="n"/>
      <c r="B206" s="36" t="n"/>
      <c r="C206" s="36" t="n"/>
      <c r="D206" s="36" t="n"/>
      <c r="E206" s="36" t="n"/>
      <c r="F206" s="36" t="n"/>
      <c r="G206" s="36" t="n"/>
      <c r="H206" s="36" t="n"/>
      <c r="I206" s="37">
        <f>IF($A206="","",IFERROR($B206+$C206-$D206+$E206,0))</f>
        <v/>
      </c>
    </row>
    <row r="207">
      <c r="A207" s="36" t="n"/>
      <c r="B207" s="36" t="n"/>
      <c r="C207" s="36" t="n"/>
      <c r="D207" s="36" t="n"/>
      <c r="E207" s="36" t="n"/>
      <c r="F207" s="36" t="n"/>
      <c r="G207" s="36" t="n"/>
      <c r="H207" s="36" t="n"/>
      <c r="I207" s="37">
        <f>IF($A207="","",IFERROR($B207+$C207-$D207+$E207,0))</f>
        <v/>
      </c>
    </row>
    <row r="208">
      <c r="A208" s="36" t="n"/>
      <c r="B208" s="36" t="n"/>
      <c r="C208" s="36" t="n"/>
      <c r="D208" s="36" t="n"/>
      <c r="E208" s="36" t="n"/>
      <c r="F208" s="36" t="n"/>
      <c r="G208" s="36" t="n"/>
      <c r="H208" s="36" t="n"/>
      <c r="I208" s="37">
        <f>IF($A208="","",IFERROR($B208+$C208-$D208+$E208,0))</f>
        <v/>
      </c>
    </row>
    <row r="209">
      <c r="A209" s="36" t="n"/>
      <c r="B209" s="36" t="n"/>
      <c r="C209" s="36" t="n"/>
      <c r="D209" s="36" t="n"/>
      <c r="E209" s="36" t="n"/>
      <c r="F209" s="36" t="n"/>
      <c r="G209" s="36" t="n"/>
      <c r="H209" s="36" t="n"/>
      <c r="I209" s="37">
        <f>IF($A209="","",IFERROR($B209+$C209-$D209+$E209,0))</f>
        <v/>
      </c>
    </row>
    <row r="210">
      <c r="A210" s="36" t="n"/>
      <c r="B210" s="36" t="n"/>
      <c r="C210" s="36" t="n"/>
      <c r="D210" s="36" t="n"/>
      <c r="E210" s="36" t="n"/>
      <c r="F210" s="36" t="n"/>
      <c r="G210" s="36" t="n"/>
      <c r="H210" s="36" t="n"/>
      <c r="I210" s="37">
        <f>IF($A210="","",IFERROR($B210+$C210-$D210+$E210,0))</f>
        <v/>
      </c>
    </row>
    <row r="211">
      <c r="A211" s="36" t="n"/>
      <c r="B211" s="36" t="n"/>
      <c r="C211" s="36" t="n"/>
      <c r="D211" s="36" t="n"/>
      <c r="E211" s="36" t="n"/>
      <c r="F211" s="36" t="n"/>
      <c r="G211" s="36" t="n"/>
      <c r="H211" s="36" t="n"/>
      <c r="I211" s="37">
        <f>IF($A211="","",IFERROR($B211+$C211-$D211+$E211,0))</f>
        <v/>
      </c>
    </row>
    <row r="212">
      <c r="A212" s="36" t="n"/>
      <c r="B212" s="36" t="n"/>
      <c r="C212" s="36" t="n"/>
      <c r="D212" s="36" t="n"/>
      <c r="E212" s="36" t="n"/>
      <c r="F212" s="36" t="n"/>
      <c r="G212" s="36" t="n"/>
      <c r="H212" s="36" t="n"/>
      <c r="I212" s="37">
        <f>IF($A212="","",IFERROR($B212+$C212-$D212+$E212,0))</f>
        <v/>
      </c>
    </row>
    <row r="213">
      <c r="A213" s="36" t="n"/>
      <c r="B213" s="36" t="n"/>
      <c r="C213" s="36" t="n"/>
      <c r="D213" s="36" t="n"/>
      <c r="E213" s="36" t="n"/>
      <c r="F213" s="36" t="n"/>
      <c r="G213" s="36" t="n"/>
      <c r="H213" s="36" t="n"/>
      <c r="I213" s="37">
        <f>IF($A213="","",IFERROR($B213+$C213-$D213+$E213,0))</f>
        <v/>
      </c>
    </row>
    <row r="214">
      <c r="A214" s="36" t="n"/>
      <c r="B214" s="36" t="n"/>
      <c r="C214" s="36" t="n"/>
      <c r="D214" s="36" t="n"/>
      <c r="E214" s="36" t="n"/>
      <c r="F214" s="36" t="n"/>
      <c r="G214" s="36" t="n"/>
      <c r="H214" s="36" t="n"/>
      <c r="I214" s="37">
        <f>IF($A214="","",IFERROR($B214+$C214-$D214+$E214,0))</f>
        <v/>
      </c>
    </row>
    <row r="215">
      <c r="A215" s="36" t="n"/>
      <c r="B215" s="36" t="n"/>
      <c r="C215" s="36" t="n"/>
      <c r="D215" s="36" t="n"/>
      <c r="E215" s="36" t="n"/>
      <c r="F215" s="36" t="n"/>
      <c r="G215" s="36" t="n"/>
      <c r="H215" s="36" t="n"/>
      <c r="I215" s="37">
        <f>IF($A215="","",IFERROR($B215+$C215-$D215+$E215,0))</f>
        <v/>
      </c>
    </row>
    <row r="216">
      <c r="A216" s="36" t="n"/>
      <c r="B216" s="36" t="n"/>
      <c r="C216" s="36" t="n"/>
      <c r="D216" s="36" t="n"/>
      <c r="E216" s="36" t="n"/>
      <c r="F216" s="36" t="n"/>
      <c r="G216" s="36" t="n"/>
      <c r="H216" s="36" t="n"/>
      <c r="I216" s="37">
        <f>IF($A216="","",IFERROR($B216+$C216-$D216+$E216,0))</f>
        <v/>
      </c>
    </row>
    <row r="217">
      <c r="A217" s="36" t="n"/>
      <c r="B217" s="36" t="n"/>
      <c r="C217" s="36" t="n"/>
      <c r="D217" s="36" t="n"/>
      <c r="E217" s="36" t="n"/>
      <c r="F217" s="36" t="n"/>
      <c r="G217" s="36" t="n"/>
      <c r="H217" s="36" t="n"/>
      <c r="I217" s="37">
        <f>IF($A217="","",IFERROR($B217+$C217-$D217+$E217,0))</f>
        <v/>
      </c>
    </row>
    <row r="218">
      <c r="A218" s="36" t="n"/>
      <c r="B218" s="36" t="n"/>
      <c r="C218" s="36" t="n"/>
      <c r="D218" s="36" t="n"/>
      <c r="E218" s="36" t="n"/>
      <c r="F218" s="36" t="n"/>
      <c r="G218" s="36" t="n"/>
      <c r="H218" s="36" t="n"/>
      <c r="I218" s="37">
        <f>IF($A218="","",IFERROR($B218+$C218-$D218+$E218,0))</f>
        <v/>
      </c>
    </row>
    <row r="219">
      <c r="A219" s="36" t="n"/>
      <c r="B219" s="36" t="n"/>
      <c r="C219" s="36" t="n"/>
      <c r="D219" s="36" t="n"/>
      <c r="E219" s="36" t="n"/>
      <c r="F219" s="36" t="n"/>
      <c r="G219" s="36" t="n"/>
      <c r="H219" s="36" t="n"/>
      <c r="I219" s="37">
        <f>IF($A219="","",IFERROR($B219+$C219-$D219+$E219,0))</f>
        <v/>
      </c>
    </row>
    <row r="220">
      <c r="A220" s="36" t="n"/>
      <c r="B220" s="36" t="n"/>
      <c r="C220" s="36" t="n"/>
      <c r="D220" s="36" t="n"/>
      <c r="E220" s="36" t="n"/>
      <c r="F220" s="36" t="n"/>
      <c r="G220" s="36" t="n"/>
      <c r="H220" s="36" t="n"/>
      <c r="I220" s="37">
        <f>IF($A220="","",IFERROR($B220+$C220-$D220+$E220,0))</f>
        <v/>
      </c>
    </row>
    <row r="221">
      <c r="A221" s="36" t="n"/>
      <c r="B221" s="36" t="n"/>
      <c r="C221" s="36" t="n"/>
      <c r="D221" s="36" t="n"/>
      <c r="E221" s="36" t="n"/>
      <c r="F221" s="36" t="n"/>
      <c r="G221" s="36" t="n"/>
      <c r="H221" s="36" t="n"/>
      <c r="I221" s="37">
        <f>IF($A221="","",IFERROR($B221+$C221-$D221+$E221,0))</f>
        <v/>
      </c>
    </row>
    <row r="222">
      <c r="A222" s="36" t="n"/>
      <c r="B222" s="36" t="n"/>
      <c r="C222" s="36" t="n"/>
      <c r="D222" s="36" t="n"/>
      <c r="E222" s="36" t="n"/>
      <c r="F222" s="36" t="n"/>
      <c r="G222" s="36" t="n"/>
      <c r="H222" s="36" t="n"/>
      <c r="I222" s="37">
        <f>IF($A222="","",IFERROR($B222+$C222-$D222+$E222,0))</f>
        <v/>
      </c>
    </row>
    <row r="223">
      <c r="A223" s="36" t="n"/>
      <c r="B223" s="36" t="n"/>
      <c r="C223" s="36" t="n"/>
      <c r="D223" s="36" t="n"/>
      <c r="E223" s="36" t="n"/>
      <c r="F223" s="36" t="n"/>
      <c r="G223" s="36" t="n"/>
      <c r="H223" s="36" t="n"/>
      <c r="I223" s="37">
        <f>IF($A223="","",IFERROR($B223+$C223-$D223+$E223,0))</f>
        <v/>
      </c>
    </row>
    <row r="224">
      <c r="A224" s="36" t="n"/>
      <c r="B224" s="36" t="n"/>
      <c r="C224" s="36" t="n"/>
      <c r="D224" s="36" t="n"/>
      <c r="E224" s="36" t="n"/>
      <c r="F224" s="36" t="n"/>
      <c r="G224" s="36" t="n"/>
      <c r="H224" s="36" t="n"/>
      <c r="I224" s="37">
        <f>IF($A224="","",IFERROR($B224+$C224-$D224+$E224,0))</f>
        <v/>
      </c>
    </row>
    <row r="225">
      <c r="A225" s="36" t="n"/>
      <c r="B225" s="36" t="n"/>
      <c r="C225" s="36" t="n"/>
      <c r="D225" s="36" t="n"/>
      <c r="E225" s="36" t="n"/>
      <c r="F225" s="36" t="n"/>
      <c r="G225" s="36" t="n"/>
      <c r="H225" s="36" t="n"/>
      <c r="I225" s="37">
        <f>IF($A225="","",IFERROR($B225+$C225-$D225+$E225,0))</f>
        <v/>
      </c>
    </row>
    <row r="226">
      <c r="A226" s="36" t="n"/>
      <c r="B226" s="36" t="n"/>
      <c r="C226" s="36" t="n"/>
      <c r="D226" s="36" t="n"/>
      <c r="E226" s="36" t="n"/>
      <c r="F226" s="36" t="n"/>
      <c r="G226" s="36" t="n"/>
      <c r="H226" s="36" t="n"/>
      <c r="I226" s="37">
        <f>IF($A226="","",IFERROR($B226+$C226-$D226+$E226,0))</f>
        <v/>
      </c>
    </row>
    <row r="227">
      <c r="A227" s="36" t="n"/>
      <c r="B227" s="36" t="n"/>
      <c r="C227" s="36" t="n"/>
      <c r="D227" s="36" t="n"/>
      <c r="E227" s="36" t="n"/>
      <c r="F227" s="36" t="n"/>
      <c r="G227" s="36" t="n"/>
      <c r="H227" s="36" t="n"/>
      <c r="I227" s="37">
        <f>IF($A227="","",IFERROR($B227+$C227-$D227+$E227,0))</f>
        <v/>
      </c>
    </row>
    <row r="228">
      <c r="A228" s="36" t="n"/>
      <c r="B228" s="36" t="n"/>
      <c r="C228" s="36" t="n"/>
      <c r="D228" s="36" t="n"/>
      <c r="E228" s="36" t="n"/>
      <c r="F228" s="36" t="n"/>
      <c r="G228" s="36" t="n"/>
      <c r="H228" s="36" t="n"/>
      <c r="I228" s="37">
        <f>IF($A228="","",IFERROR($B228+$C228-$D228+$E228,0))</f>
        <v/>
      </c>
    </row>
    <row r="229">
      <c r="A229" s="36" t="n"/>
      <c r="B229" s="36" t="n"/>
      <c r="C229" s="36" t="n"/>
      <c r="D229" s="36" t="n"/>
      <c r="E229" s="36" t="n"/>
      <c r="F229" s="36" t="n"/>
      <c r="G229" s="36" t="n"/>
      <c r="H229" s="36" t="n"/>
      <c r="I229" s="37">
        <f>IF($A229="","",IFERROR($B229+$C229-$D229+$E229,0))</f>
        <v/>
      </c>
    </row>
    <row r="230">
      <c r="A230" s="36" t="n"/>
      <c r="B230" s="36" t="n"/>
      <c r="C230" s="36" t="n"/>
      <c r="D230" s="36" t="n"/>
      <c r="E230" s="36" t="n"/>
      <c r="F230" s="36" t="n"/>
      <c r="G230" s="36" t="n"/>
      <c r="H230" s="36" t="n"/>
      <c r="I230" s="37">
        <f>IF($A230="","",IFERROR($B230+$C230-$D230+$E230,0))</f>
        <v/>
      </c>
    </row>
    <row r="231">
      <c r="A231" s="36" t="n"/>
      <c r="B231" s="36" t="n"/>
      <c r="C231" s="36" t="n"/>
      <c r="D231" s="36" t="n"/>
      <c r="E231" s="36" t="n"/>
      <c r="F231" s="36" t="n"/>
      <c r="G231" s="36" t="n"/>
      <c r="H231" s="36" t="n"/>
      <c r="I231" s="37">
        <f>IF($A231="","",IFERROR($B231+$C231-$D231+$E231,0))</f>
        <v/>
      </c>
    </row>
    <row r="232">
      <c r="A232" s="36" t="n"/>
      <c r="B232" s="36" t="n"/>
      <c r="C232" s="36" t="n"/>
      <c r="D232" s="36" t="n"/>
      <c r="E232" s="36" t="n"/>
      <c r="F232" s="36" t="n"/>
      <c r="G232" s="36" t="n"/>
      <c r="H232" s="36" t="n"/>
      <c r="I232" s="37">
        <f>IF($A232="","",IFERROR($B232+$C232-$D232+$E232,0))</f>
        <v/>
      </c>
    </row>
    <row r="233">
      <c r="A233" s="36" t="n"/>
      <c r="B233" s="36" t="n"/>
      <c r="C233" s="36" t="n"/>
      <c r="D233" s="36" t="n"/>
      <c r="E233" s="36" t="n"/>
      <c r="F233" s="36" t="n"/>
      <c r="G233" s="36" t="n"/>
      <c r="H233" s="36" t="n"/>
      <c r="I233" s="37">
        <f>IF($A233="","",IFERROR($B233+$C233-$D233+$E233,0))</f>
        <v/>
      </c>
    </row>
    <row r="234">
      <c r="A234" s="36" t="n"/>
      <c r="B234" s="36" t="n"/>
      <c r="C234" s="36" t="n"/>
      <c r="D234" s="36" t="n"/>
      <c r="E234" s="36" t="n"/>
      <c r="F234" s="36" t="n"/>
      <c r="G234" s="36" t="n"/>
      <c r="H234" s="36" t="n"/>
      <c r="I234" s="37">
        <f>IF($A234="","",IFERROR($B234+$C234-$D234+$E234,0))</f>
        <v/>
      </c>
    </row>
    <row r="235">
      <c r="A235" s="36" t="n"/>
      <c r="B235" s="36" t="n"/>
      <c r="C235" s="36" t="n"/>
      <c r="D235" s="36" t="n"/>
      <c r="E235" s="36" t="n"/>
      <c r="F235" s="36" t="n"/>
      <c r="G235" s="36" t="n"/>
      <c r="H235" s="36" t="n"/>
      <c r="I235" s="37">
        <f>IF($A235="","",IFERROR($B235+$C235-$D235+$E235,0))</f>
        <v/>
      </c>
    </row>
    <row r="236">
      <c r="A236" s="36" t="n"/>
      <c r="B236" s="36" t="n"/>
      <c r="C236" s="36" t="n"/>
      <c r="D236" s="36" t="n"/>
      <c r="E236" s="36" t="n"/>
      <c r="F236" s="36" t="n"/>
      <c r="G236" s="36" t="n"/>
      <c r="H236" s="36" t="n"/>
      <c r="I236" s="37">
        <f>IF($A236="","",IFERROR($B236+$C236-$D236+$E236,0))</f>
        <v/>
      </c>
    </row>
    <row r="237">
      <c r="A237" s="36" t="n"/>
      <c r="B237" s="36" t="n"/>
      <c r="C237" s="36" t="n"/>
      <c r="D237" s="36" t="n"/>
      <c r="E237" s="36" t="n"/>
      <c r="F237" s="36" t="n"/>
      <c r="G237" s="36" t="n"/>
      <c r="H237" s="36" t="n"/>
      <c r="I237" s="37">
        <f>IF($A237="","",IFERROR($B237+$C237-$D237+$E237,0))</f>
        <v/>
      </c>
    </row>
    <row r="238">
      <c r="A238" s="36" t="n"/>
      <c r="B238" s="36" t="n"/>
      <c r="C238" s="36" t="n"/>
      <c r="D238" s="36" t="n"/>
      <c r="E238" s="36" t="n"/>
      <c r="F238" s="36" t="n"/>
      <c r="G238" s="36" t="n"/>
      <c r="H238" s="36" t="n"/>
      <c r="I238" s="37">
        <f>IF($A238="","",IFERROR($B238+$C238-$D238+$E238,0))</f>
        <v/>
      </c>
    </row>
    <row r="239">
      <c r="A239" s="36" t="n"/>
      <c r="B239" s="36" t="n"/>
      <c r="C239" s="36" t="n"/>
      <c r="D239" s="36" t="n"/>
      <c r="E239" s="36" t="n"/>
      <c r="F239" s="36" t="n"/>
      <c r="G239" s="36" t="n"/>
      <c r="H239" s="36" t="n"/>
      <c r="I239" s="37">
        <f>IF($A239="","",IFERROR($B239+$C239-$D239+$E239,0))</f>
        <v/>
      </c>
    </row>
    <row r="240">
      <c r="A240" s="36" t="n"/>
      <c r="B240" s="36" t="n"/>
      <c r="C240" s="36" t="n"/>
      <c r="D240" s="36" t="n"/>
      <c r="E240" s="36" t="n"/>
      <c r="F240" s="36" t="n"/>
      <c r="G240" s="36" t="n"/>
      <c r="H240" s="36" t="n"/>
      <c r="I240" s="37">
        <f>IF($A240="","",IFERROR($B240+$C240-$D240+$E240,0))</f>
        <v/>
      </c>
    </row>
    <row r="241">
      <c r="A241" s="36" t="n"/>
      <c r="B241" s="36" t="n"/>
      <c r="C241" s="36" t="n"/>
      <c r="D241" s="36" t="n"/>
      <c r="E241" s="36" t="n"/>
      <c r="F241" s="36" t="n"/>
      <c r="G241" s="36" t="n"/>
      <c r="H241" s="36" t="n"/>
      <c r="I241" s="37">
        <f>IF($A241="","",IFERROR($B241+$C241-$D241+$E241,0))</f>
        <v/>
      </c>
    </row>
    <row r="242">
      <c r="A242" s="36" t="n"/>
      <c r="B242" s="36" t="n"/>
      <c r="C242" s="36" t="n"/>
      <c r="D242" s="36" t="n"/>
      <c r="E242" s="36" t="n"/>
      <c r="F242" s="36" t="n"/>
      <c r="G242" s="36" t="n"/>
      <c r="H242" s="36" t="n"/>
      <c r="I242" s="37">
        <f>IF($A242="","",IFERROR($B242+$C242-$D242+$E242,0))</f>
        <v/>
      </c>
    </row>
    <row r="243">
      <c r="A243" s="36" t="n"/>
      <c r="B243" s="36" t="n"/>
      <c r="C243" s="36" t="n"/>
      <c r="D243" s="36" t="n"/>
      <c r="E243" s="36" t="n"/>
      <c r="F243" s="36" t="n"/>
      <c r="G243" s="36" t="n"/>
      <c r="H243" s="36" t="n"/>
      <c r="I243" s="37">
        <f>IF($A243="","",IFERROR($B243+$C243-$D243+$E243,0))</f>
        <v/>
      </c>
    </row>
    <row r="244">
      <c r="A244" s="36" t="n"/>
      <c r="B244" s="36" t="n"/>
      <c r="C244" s="36" t="n"/>
      <c r="D244" s="36" t="n"/>
      <c r="E244" s="36" t="n"/>
      <c r="F244" s="36" t="n"/>
      <c r="G244" s="36" t="n"/>
      <c r="H244" s="36" t="n"/>
      <c r="I244" s="37">
        <f>IF($A244="","",IFERROR($B244+$C244-$D244+$E244,0))</f>
        <v/>
      </c>
    </row>
    <row r="245">
      <c r="A245" s="36" t="n"/>
      <c r="B245" s="36" t="n"/>
      <c r="C245" s="36" t="n"/>
      <c r="D245" s="36" t="n"/>
      <c r="E245" s="36" t="n"/>
      <c r="F245" s="36" t="n"/>
      <c r="G245" s="36" t="n"/>
      <c r="H245" s="36" t="n"/>
      <c r="I245" s="37">
        <f>IF($A245="","",IFERROR($B245+$C245-$D245+$E245,0))</f>
        <v/>
      </c>
    </row>
    <row r="246">
      <c r="A246" s="36" t="n"/>
      <c r="B246" s="36" t="n"/>
      <c r="C246" s="36" t="n"/>
      <c r="D246" s="36" t="n"/>
      <c r="E246" s="36" t="n"/>
      <c r="F246" s="36" t="n"/>
      <c r="G246" s="36" t="n"/>
      <c r="H246" s="36" t="n"/>
      <c r="I246" s="37">
        <f>IF($A246="","",IFERROR($B246+$C246-$D246+$E246,0))</f>
        <v/>
      </c>
    </row>
    <row r="247">
      <c r="A247" s="36" t="n"/>
      <c r="B247" s="36" t="n"/>
      <c r="C247" s="36" t="n"/>
      <c r="D247" s="36" t="n"/>
      <c r="E247" s="36" t="n"/>
      <c r="F247" s="36" t="n"/>
      <c r="G247" s="36" t="n"/>
      <c r="H247" s="36" t="n"/>
      <c r="I247" s="37">
        <f>IF($A247="","",IFERROR($B247+$C247-$D247+$E247,0))</f>
        <v/>
      </c>
    </row>
    <row r="248">
      <c r="A248" s="36" t="n"/>
      <c r="B248" s="36" t="n"/>
      <c r="C248" s="36" t="n"/>
      <c r="D248" s="36" t="n"/>
      <c r="E248" s="36" t="n"/>
      <c r="F248" s="36" t="n"/>
      <c r="G248" s="36" t="n"/>
      <c r="H248" s="36" t="n"/>
      <c r="I248" s="37">
        <f>IF($A248="","",IFERROR($B248+$C248-$D248+$E248,0))</f>
        <v/>
      </c>
    </row>
    <row r="249">
      <c r="A249" s="36" t="n"/>
      <c r="B249" s="36" t="n"/>
      <c r="C249" s="36" t="n"/>
      <c r="D249" s="36" t="n"/>
      <c r="E249" s="36" t="n"/>
      <c r="F249" s="36" t="n"/>
      <c r="G249" s="36" t="n"/>
      <c r="H249" s="36" t="n"/>
      <c r="I249" s="37">
        <f>IF($A249="","",IFERROR($B249+$C249-$D249+$E249,0))</f>
        <v/>
      </c>
    </row>
    <row r="250">
      <c r="A250" s="36" t="n"/>
      <c r="B250" s="36" t="n"/>
      <c r="C250" s="36" t="n"/>
      <c r="D250" s="36" t="n"/>
      <c r="E250" s="36" t="n"/>
      <c r="F250" s="36" t="n"/>
      <c r="G250" s="36" t="n"/>
      <c r="H250" s="36" t="n"/>
      <c r="I250" s="37">
        <f>IF($A250="","",IFERROR($B250+$C250-$D250+$E250,0))</f>
        <v/>
      </c>
    </row>
    <row r="251">
      <c r="A251" s="36" t="n"/>
      <c r="B251" s="36" t="n"/>
      <c r="C251" s="36" t="n"/>
      <c r="D251" s="36" t="n"/>
      <c r="E251" s="36" t="n"/>
      <c r="F251" s="36" t="n"/>
      <c r="G251" s="36" t="n"/>
      <c r="H251" s="36" t="n"/>
      <c r="I251" s="37">
        <f>IF($A251="","",IFERROR($B251+$C251-$D251+$E251,0))</f>
        <v/>
      </c>
    </row>
    <row r="252">
      <c r="A252" s="36" t="n"/>
      <c r="B252" s="36" t="n"/>
      <c r="C252" s="36" t="n"/>
      <c r="D252" s="36" t="n"/>
      <c r="E252" s="36" t="n"/>
      <c r="F252" s="36" t="n"/>
      <c r="G252" s="36" t="n"/>
      <c r="H252" s="36" t="n"/>
      <c r="I252" s="37">
        <f>IF($A252="","",IFERROR($B252+$C252-$D252+$E252,0))</f>
        <v/>
      </c>
    </row>
    <row r="253">
      <c r="A253" s="36" t="n"/>
      <c r="B253" s="36" t="n"/>
      <c r="C253" s="36" t="n"/>
      <c r="D253" s="36" t="n"/>
      <c r="E253" s="36" t="n"/>
      <c r="F253" s="36" t="n"/>
      <c r="G253" s="36" t="n"/>
      <c r="H253" s="36" t="n"/>
      <c r="I253" s="37">
        <f>IF($A253="","",IFERROR($B253+$C253-$D253+$E253,0))</f>
        <v/>
      </c>
    </row>
    <row r="254">
      <c r="A254" s="36" t="n"/>
      <c r="B254" s="36" t="n"/>
      <c r="C254" s="36" t="n"/>
      <c r="D254" s="36" t="n"/>
      <c r="E254" s="36" t="n"/>
      <c r="F254" s="36" t="n"/>
      <c r="G254" s="36" t="n"/>
      <c r="H254" s="36" t="n"/>
      <c r="I254" s="37">
        <f>IF($A254="","",IFERROR($B254+$C254-$D254+$E254,0))</f>
        <v/>
      </c>
    </row>
    <row r="255">
      <c r="A255" s="36" t="n"/>
      <c r="B255" s="36" t="n"/>
      <c r="C255" s="36" t="n"/>
      <c r="D255" s="36" t="n"/>
      <c r="E255" s="36" t="n"/>
      <c r="F255" s="36" t="n"/>
      <c r="G255" s="36" t="n"/>
      <c r="H255" s="36" t="n"/>
      <c r="I255" s="37">
        <f>IF($A255="","",IFERROR($B255+$C255-$D255+$E255,0))</f>
        <v/>
      </c>
    </row>
    <row r="256">
      <c r="A256" s="36" t="n"/>
      <c r="B256" s="36" t="n"/>
      <c r="C256" s="36" t="n"/>
      <c r="D256" s="36" t="n"/>
      <c r="E256" s="36" t="n"/>
      <c r="F256" s="36" t="n"/>
      <c r="G256" s="36" t="n"/>
      <c r="H256" s="36" t="n"/>
      <c r="I256" s="37">
        <f>IF($A256="","",IFERROR($B256+$C256-$D256+$E256,0))</f>
        <v/>
      </c>
    </row>
    <row r="257">
      <c r="A257" s="36" t="n"/>
      <c r="B257" s="36" t="n"/>
      <c r="C257" s="36" t="n"/>
      <c r="D257" s="36" t="n"/>
      <c r="E257" s="36" t="n"/>
      <c r="F257" s="36" t="n"/>
      <c r="G257" s="36" t="n"/>
      <c r="H257" s="36" t="n"/>
      <c r="I257" s="37">
        <f>IF($A257="","",IFERROR($B257+$C257-$D257+$E257,0))</f>
        <v/>
      </c>
    </row>
    <row r="258">
      <c r="A258" s="36" t="n"/>
      <c r="B258" s="36" t="n"/>
      <c r="C258" s="36" t="n"/>
      <c r="D258" s="36" t="n"/>
      <c r="E258" s="36" t="n"/>
      <c r="F258" s="36" t="n"/>
      <c r="G258" s="36" t="n"/>
      <c r="H258" s="36" t="n"/>
      <c r="I258" s="37">
        <f>IF($A258="","",IFERROR($B258+$C258-$D258+$E258,0))</f>
        <v/>
      </c>
    </row>
    <row r="259">
      <c r="A259" s="36" t="n"/>
      <c r="B259" s="36" t="n"/>
      <c r="C259" s="36" t="n"/>
      <c r="D259" s="36" t="n"/>
      <c r="E259" s="36" t="n"/>
      <c r="F259" s="36" t="n"/>
      <c r="G259" s="36" t="n"/>
      <c r="H259" s="36" t="n"/>
      <c r="I259" s="37">
        <f>IF($A259="","",IFERROR($B259+$C259-$D259+$E259,0))</f>
        <v/>
      </c>
    </row>
    <row r="260">
      <c r="A260" s="36" t="n"/>
      <c r="B260" s="36" t="n"/>
      <c r="C260" s="36" t="n"/>
      <c r="D260" s="36" t="n"/>
      <c r="E260" s="36" t="n"/>
      <c r="F260" s="36" t="n"/>
      <c r="G260" s="36" t="n"/>
      <c r="H260" s="36" t="n"/>
      <c r="I260" s="37">
        <f>IF($A260="","",IFERROR($B260+$C260-$D260+$E260,0))</f>
        <v/>
      </c>
    </row>
    <row r="261">
      <c r="A261" s="36" t="n"/>
      <c r="B261" s="36" t="n"/>
      <c r="C261" s="36" t="n"/>
      <c r="D261" s="36" t="n"/>
      <c r="E261" s="36" t="n"/>
      <c r="F261" s="36" t="n"/>
      <c r="G261" s="36" t="n"/>
      <c r="H261" s="36" t="n"/>
      <c r="I261" s="37">
        <f>IF($A261="","",IFERROR($B261+$C261-$D261+$E261,0))</f>
        <v/>
      </c>
    </row>
    <row r="262">
      <c r="A262" s="36" t="n"/>
      <c r="B262" s="36" t="n"/>
      <c r="C262" s="36" t="n"/>
      <c r="D262" s="36" t="n"/>
      <c r="E262" s="36" t="n"/>
      <c r="F262" s="36" t="n"/>
      <c r="G262" s="36" t="n"/>
      <c r="H262" s="36" t="n"/>
      <c r="I262" s="37">
        <f>IF($A262="","",IFERROR($B262+$C262-$D262+$E262,0))</f>
        <v/>
      </c>
    </row>
    <row r="263">
      <c r="A263" s="36" t="n"/>
      <c r="B263" s="36" t="n"/>
      <c r="C263" s="36" t="n"/>
      <c r="D263" s="36" t="n"/>
      <c r="E263" s="36" t="n"/>
      <c r="F263" s="36" t="n"/>
      <c r="G263" s="36" t="n"/>
      <c r="H263" s="36" t="n"/>
      <c r="I263" s="37">
        <f>IF($A263="","",IFERROR($B263+$C263-$D263+$E263,0))</f>
        <v/>
      </c>
    </row>
    <row r="264">
      <c r="A264" s="36" t="n"/>
      <c r="B264" s="36" t="n"/>
      <c r="C264" s="36" t="n"/>
      <c r="D264" s="36" t="n"/>
      <c r="E264" s="36" t="n"/>
      <c r="F264" s="36" t="n"/>
      <c r="G264" s="36" t="n"/>
      <c r="H264" s="36" t="n"/>
      <c r="I264" s="37">
        <f>IF($A264="","",IFERROR($B264+$C264-$D264+$E264,0))</f>
        <v/>
      </c>
    </row>
    <row r="265">
      <c r="A265" s="36" t="n"/>
      <c r="B265" s="36" t="n"/>
      <c r="C265" s="36" t="n"/>
      <c r="D265" s="36" t="n"/>
      <c r="E265" s="36" t="n"/>
      <c r="F265" s="36" t="n"/>
      <c r="G265" s="36" t="n"/>
      <c r="H265" s="36" t="n"/>
      <c r="I265" s="37">
        <f>IF($A265="","",IFERROR($B265+$C265-$D265+$E265,0))</f>
        <v/>
      </c>
    </row>
    <row r="266">
      <c r="A266" s="36" t="n"/>
      <c r="B266" s="36" t="n"/>
      <c r="C266" s="36" t="n"/>
      <c r="D266" s="36" t="n"/>
      <c r="E266" s="36" t="n"/>
      <c r="F266" s="36" t="n"/>
      <c r="G266" s="36" t="n"/>
      <c r="H266" s="36" t="n"/>
      <c r="I266" s="37">
        <f>IF($A266="","",IFERROR($B266+$C266-$D266+$E266,0))</f>
        <v/>
      </c>
    </row>
    <row r="267">
      <c r="A267" s="36" t="n"/>
      <c r="B267" s="36" t="n"/>
      <c r="C267" s="36" t="n"/>
      <c r="D267" s="36" t="n"/>
      <c r="E267" s="36" t="n"/>
      <c r="F267" s="36" t="n"/>
      <c r="G267" s="36" t="n"/>
      <c r="H267" s="36" t="n"/>
      <c r="I267" s="37">
        <f>IF($A267="","",IFERROR($B267+$C267-$D267+$E267,0))</f>
        <v/>
      </c>
    </row>
    <row r="268">
      <c r="A268" s="36" t="n"/>
      <c r="B268" s="36" t="n"/>
      <c r="C268" s="36" t="n"/>
      <c r="D268" s="36" t="n"/>
      <c r="E268" s="36" t="n"/>
      <c r="F268" s="36" t="n"/>
      <c r="G268" s="36" t="n"/>
      <c r="H268" s="36" t="n"/>
      <c r="I268" s="37">
        <f>IF($A268="","",IFERROR($B268+$C268-$D268+$E268,0))</f>
        <v/>
      </c>
    </row>
    <row r="269">
      <c r="A269" s="36" t="n"/>
      <c r="B269" s="36" t="n"/>
      <c r="C269" s="36" t="n"/>
      <c r="D269" s="36" t="n"/>
      <c r="E269" s="36" t="n"/>
      <c r="F269" s="36" t="n"/>
      <c r="G269" s="36" t="n"/>
      <c r="H269" s="36" t="n"/>
      <c r="I269" s="37">
        <f>IF($A269="","",IFERROR($B269+$C269-$D269+$E269,0))</f>
        <v/>
      </c>
    </row>
    <row r="270">
      <c r="A270" s="36" t="n"/>
      <c r="B270" s="36" t="n"/>
      <c r="C270" s="36" t="n"/>
      <c r="D270" s="36" t="n"/>
      <c r="E270" s="36" t="n"/>
      <c r="F270" s="36" t="n"/>
      <c r="G270" s="36" t="n"/>
      <c r="H270" s="36" t="n"/>
      <c r="I270" s="37">
        <f>IF($A270="","",IFERROR($B270+$C270-$D270+$E270,0))</f>
        <v/>
      </c>
    </row>
    <row r="271">
      <c r="A271" s="36" t="n"/>
      <c r="B271" s="36" t="n"/>
      <c r="C271" s="36" t="n"/>
      <c r="D271" s="36" t="n"/>
      <c r="E271" s="36" t="n"/>
      <c r="F271" s="36" t="n"/>
      <c r="G271" s="36" t="n"/>
      <c r="H271" s="36" t="n"/>
      <c r="I271" s="37">
        <f>IF($A271="","",IFERROR($B271+$C271-$D271+$E271,0))</f>
        <v/>
      </c>
    </row>
    <row r="272">
      <c r="A272" s="36" t="n"/>
      <c r="B272" s="36" t="n"/>
      <c r="C272" s="36" t="n"/>
      <c r="D272" s="36" t="n"/>
      <c r="E272" s="36" t="n"/>
      <c r="F272" s="36" t="n"/>
      <c r="G272" s="36" t="n"/>
      <c r="H272" s="36" t="n"/>
      <c r="I272" s="37">
        <f>IF($A272="","",IFERROR($B272+$C272-$D272+$E272,0))</f>
        <v/>
      </c>
    </row>
    <row r="273">
      <c r="A273" s="36" t="n"/>
      <c r="B273" s="36" t="n"/>
      <c r="C273" s="36" t="n"/>
      <c r="D273" s="36" t="n"/>
      <c r="E273" s="36" t="n"/>
      <c r="F273" s="36" t="n"/>
      <c r="G273" s="36" t="n"/>
      <c r="H273" s="36" t="n"/>
      <c r="I273" s="37">
        <f>IF($A273="","",IFERROR($B273+$C273-$D273+$E273,0))</f>
        <v/>
      </c>
    </row>
    <row r="274">
      <c r="A274" s="36" t="n"/>
      <c r="B274" s="36" t="n"/>
      <c r="C274" s="36" t="n"/>
      <c r="D274" s="36" t="n"/>
      <c r="E274" s="36" t="n"/>
      <c r="F274" s="36" t="n"/>
      <c r="G274" s="36" t="n"/>
      <c r="H274" s="36" t="n"/>
      <c r="I274" s="37">
        <f>IF($A274="","",IFERROR($B274+$C274-$D274+$E274,0))</f>
        <v/>
      </c>
    </row>
    <row r="275">
      <c r="A275" s="36" t="n"/>
      <c r="B275" s="36" t="n"/>
      <c r="C275" s="36" t="n"/>
      <c r="D275" s="36" t="n"/>
      <c r="E275" s="36" t="n"/>
      <c r="F275" s="36" t="n"/>
      <c r="G275" s="36" t="n"/>
      <c r="H275" s="36" t="n"/>
      <c r="I275" s="37">
        <f>IF($A275="","",IFERROR($B275+$C275-$D275+$E275,0))</f>
        <v/>
      </c>
    </row>
    <row r="276">
      <c r="A276" s="36" t="n"/>
      <c r="B276" s="36" t="n"/>
      <c r="C276" s="36" t="n"/>
      <c r="D276" s="36" t="n"/>
      <c r="E276" s="36" t="n"/>
      <c r="F276" s="36" t="n"/>
      <c r="G276" s="36" t="n"/>
      <c r="H276" s="36" t="n"/>
      <c r="I276" s="37">
        <f>IF($A276="","",IFERROR($B276+$C276-$D276+$E276,0))</f>
        <v/>
      </c>
    </row>
    <row r="277">
      <c r="A277" s="36" t="n"/>
      <c r="B277" s="36" t="n"/>
      <c r="C277" s="36" t="n"/>
      <c r="D277" s="36" t="n"/>
      <c r="E277" s="36" t="n"/>
      <c r="F277" s="36" t="n"/>
      <c r="G277" s="36" t="n"/>
      <c r="H277" s="36" t="n"/>
      <c r="I277" s="37">
        <f>IF($A277="","",IFERROR($B277+$C277-$D277+$E277,0))</f>
        <v/>
      </c>
    </row>
    <row r="278">
      <c r="A278" s="36" t="n"/>
      <c r="B278" s="36" t="n"/>
      <c r="C278" s="36" t="n"/>
      <c r="D278" s="36" t="n"/>
      <c r="E278" s="36" t="n"/>
      <c r="F278" s="36" t="n"/>
      <c r="G278" s="36" t="n"/>
      <c r="H278" s="36" t="n"/>
      <c r="I278" s="37">
        <f>IF($A278="","",IFERROR($B278+$C278-$D278+$E278,0))</f>
        <v/>
      </c>
    </row>
    <row r="279">
      <c r="A279" s="36" t="n"/>
      <c r="B279" s="36" t="n"/>
      <c r="C279" s="36" t="n"/>
      <c r="D279" s="36" t="n"/>
      <c r="E279" s="36" t="n"/>
      <c r="F279" s="36" t="n"/>
      <c r="G279" s="36" t="n"/>
      <c r="H279" s="36" t="n"/>
      <c r="I279" s="37">
        <f>IF($A279="","",IFERROR($B279+$C279-$D279+$E279,0))</f>
        <v/>
      </c>
    </row>
    <row r="280">
      <c r="A280" s="36" t="n"/>
      <c r="B280" s="36" t="n"/>
      <c r="C280" s="36" t="n"/>
      <c r="D280" s="36" t="n"/>
      <c r="E280" s="36" t="n"/>
      <c r="F280" s="36" t="n"/>
      <c r="G280" s="36" t="n"/>
      <c r="H280" s="36" t="n"/>
      <c r="I280" s="37">
        <f>IF($A280="","",IFERROR($B280+$C280-$D280+$E280,0))</f>
        <v/>
      </c>
    </row>
    <row r="281">
      <c r="A281" s="36" t="n"/>
      <c r="B281" s="36" t="n"/>
      <c r="C281" s="36" t="n"/>
      <c r="D281" s="36" t="n"/>
      <c r="E281" s="36" t="n"/>
      <c r="F281" s="36" t="n"/>
      <c r="G281" s="36" t="n"/>
      <c r="H281" s="36" t="n"/>
      <c r="I281" s="37">
        <f>IF($A281="","",IFERROR($B281+$C281-$D281+$E281,0))</f>
        <v/>
      </c>
    </row>
    <row r="282">
      <c r="A282" s="36" t="n"/>
      <c r="B282" s="36" t="n"/>
      <c r="C282" s="36" t="n"/>
      <c r="D282" s="36" t="n"/>
      <c r="E282" s="36" t="n"/>
      <c r="F282" s="36" t="n"/>
      <c r="G282" s="36" t="n"/>
      <c r="H282" s="36" t="n"/>
      <c r="I282" s="37">
        <f>IF($A282="","",IFERROR($B282+$C282-$D282+$E282,0))</f>
        <v/>
      </c>
    </row>
    <row r="283">
      <c r="A283" s="36" t="n"/>
      <c r="B283" s="36" t="n"/>
      <c r="C283" s="36" t="n"/>
      <c r="D283" s="36" t="n"/>
      <c r="E283" s="36" t="n"/>
      <c r="F283" s="36" t="n"/>
      <c r="G283" s="36" t="n"/>
      <c r="H283" s="36" t="n"/>
      <c r="I283" s="37">
        <f>IF($A283="","",IFERROR($B283+$C283-$D283+$E283,0))</f>
        <v/>
      </c>
    </row>
    <row r="284">
      <c r="A284" s="36" t="n"/>
      <c r="B284" s="36" t="n"/>
      <c r="C284" s="36" t="n"/>
      <c r="D284" s="36" t="n"/>
      <c r="E284" s="36" t="n"/>
      <c r="F284" s="36" t="n"/>
      <c r="G284" s="36" t="n"/>
      <c r="H284" s="36" t="n"/>
      <c r="I284" s="37">
        <f>IF($A284="","",IFERROR($B284+$C284-$D284+$E284,0))</f>
        <v/>
      </c>
    </row>
    <row r="285">
      <c r="A285" s="36" t="n"/>
      <c r="B285" s="36" t="n"/>
      <c r="C285" s="36" t="n"/>
      <c r="D285" s="36" t="n"/>
      <c r="E285" s="36" t="n"/>
      <c r="F285" s="36" t="n"/>
      <c r="G285" s="36" t="n"/>
      <c r="H285" s="36" t="n"/>
      <c r="I285" s="37">
        <f>IF($A285="","",IFERROR($B285+$C285-$D285+$E285,0))</f>
        <v/>
      </c>
    </row>
    <row r="286">
      <c r="A286" s="36" t="n"/>
      <c r="B286" s="36" t="n"/>
      <c r="C286" s="36" t="n"/>
      <c r="D286" s="36" t="n"/>
      <c r="E286" s="36" t="n"/>
      <c r="F286" s="36" t="n"/>
      <c r="G286" s="36" t="n"/>
      <c r="H286" s="36" t="n"/>
      <c r="I286" s="37">
        <f>IF($A286="","",IFERROR($B286+$C286-$D286+$E286,0))</f>
        <v/>
      </c>
    </row>
    <row r="287">
      <c r="A287" s="36" t="n"/>
      <c r="B287" s="36" t="n"/>
      <c r="C287" s="36" t="n"/>
      <c r="D287" s="36" t="n"/>
      <c r="E287" s="36" t="n"/>
      <c r="F287" s="36" t="n"/>
      <c r="G287" s="36" t="n"/>
      <c r="H287" s="36" t="n"/>
      <c r="I287" s="37">
        <f>IF($A287="","",IFERROR($B287+$C287-$D287+$E287,0))</f>
        <v/>
      </c>
    </row>
    <row r="288">
      <c r="A288" s="36" t="n"/>
      <c r="B288" s="36" t="n"/>
      <c r="C288" s="36" t="n"/>
      <c r="D288" s="36" t="n"/>
      <c r="E288" s="36" t="n"/>
      <c r="F288" s="36" t="n"/>
      <c r="G288" s="36" t="n"/>
      <c r="H288" s="36" t="n"/>
      <c r="I288" s="37">
        <f>IF($A288="","",IFERROR($B288+$C288-$D288+$E288,0))</f>
        <v/>
      </c>
    </row>
    <row r="289">
      <c r="A289" s="36" t="n"/>
      <c r="B289" s="36" t="n"/>
      <c r="C289" s="36" t="n"/>
      <c r="D289" s="36" t="n"/>
      <c r="E289" s="36" t="n"/>
      <c r="F289" s="36" t="n"/>
      <c r="G289" s="36" t="n"/>
      <c r="H289" s="36" t="n"/>
      <c r="I289" s="37">
        <f>IF($A289="","",IFERROR($B289+$C289-$D289+$E289,0))</f>
        <v/>
      </c>
    </row>
    <row r="290">
      <c r="A290" s="36" t="n"/>
      <c r="B290" s="36" t="n"/>
      <c r="C290" s="36" t="n"/>
      <c r="D290" s="36" t="n"/>
      <c r="E290" s="36" t="n"/>
      <c r="F290" s="36" t="n"/>
      <c r="G290" s="36" t="n"/>
      <c r="H290" s="36" t="n"/>
      <c r="I290" s="37">
        <f>IF($A290="","",IFERROR($B290+$C290-$D290+$E290,0))</f>
        <v/>
      </c>
    </row>
    <row r="291">
      <c r="A291" s="36" t="n"/>
      <c r="B291" s="36" t="n"/>
      <c r="C291" s="36" t="n"/>
      <c r="D291" s="36" t="n"/>
      <c r="E291" s="36" t="n"/>
      <c r="F291" s="36" t="n"/>
      <c r="G291" s="36" t="n"/>
      <c r="H291" s="36" t="n"/>
      <c r="I291" s="37">
        <f>IF($A291="","",IFERROR($B291+$C291-$D291+$E291,0))</f>
        <v/>
      </c>
    </row>
    <row r="292">
      <c r="A292" s="36" t="n"/>
      <c r="B292" s="36" t="n"/>
      <c r="C292" s="36" t="n"/>
      <c r="D292" s="36" t="n"/>
      <c r="E292" s="36" t="n"/>
      <c r="F292" s="36" t="n"/>
      <c r="G292" s="36" t="n"/>
      <c r="H292" s="36" t="n"/>
      <c r="I292" s="37">
        <f>IF($A292="","",IFERROR($B292+$C292-$D292+$E292,0))</f>
        <v/>
      </c>
    </row>
    <row r="293">
      <c r="A293" s="36" t="n"/>
      <c r="B293" s="36" t="n"/>
      <c r="C293" s="36" t="n"/>
      <c r="D293" s="36" t="n"/>
      <c r="E293" s="36" t="n"/>
      <c r="F293" s="36" t="n"/>
      <c r="G293" s="36" t="n"/>
      <c r="H293" s="36" t="n"/>
      <c r="I293" s="37">
        <f>IF($A293="","",IFERROR($B293+$C293-$D293+$E293,0))</f>
        <v/>
      </c>
    </row>
    <row r="294">
      <c r="A294" s="36" t="n"/>
      <c r="B294" s="36" t="n"/>
      <c r="C294" s="36" t="n"/>
      <c r="D294" s="36" t="n"/>
      <c r="E294" s="36" t="n"/>
      <c r="F294" s="36" t="n"/>
      <c r="G294" s="36" t="n"/>
      <c r="H294" s="36" t="n"/>
      <c r="I294" s="37">
        <f>IF($A294="","",IFERROR($B294+$C294-$D294+$E294,0))</f>
        <v/>
      </c>
    </row>
    <row r="295">
      <c r="A295" s="36" t="n"/>
      <c r="B295" s="36" t="n"/>
      <c r="C295" s="36" t="n"/>
      <c r="D295" s="36" t="n"/>
      <c r="E295" s="36" t="n"/>
      <c r="F295" s="36" t="n"/>
      <c r="G295" s="36" t="n"/>
      <c r="H295" s="36" t="n"/>
      <c r="I295" s="37">
        <f>IF($A295="","",IFERROR($B295+$C295-$D295+$E295,0))</f>
        <v/>
      </c>
    </row>
    <row r="296">
      <c r="A296" s="36" t="n"/>
      <c r="B296" s="36" t="n"/>
      <c r="C296" s="36" t="n"/>
      <c r="D296" s="36" t="n"/>
      <c r="E296" s="36" t="n"/>
      <c r="F296" s="36" t="n"/>
      <c r="G296" s="36" t="n"/>
      <c r="H296" s="36" t="n"/>
      <c r="I296" s="37">
        <f>IF($A296="","",IFERROR($B296+$C296-$D296+$E296,0))</f>
        <v/>
      </c>
    </row>
    <row r="297">
      <c r="A297" s="36" t="n"/>
      <c r="B297" s="36" t="n"/>
      <c r="C297" s="36" t="n"/>
      <c r="D297" s="36" t="n"/>
      <c r="E297" s="36" t="n"/>
      <c r="F297" s="36" t="n"/>
      <c r="G297" s="36" t="n"/>
      <c r="H297" s="36" t="n"/>
      <c r="I297" s="37">
        <f>IF($A297="","",IFERROR($B297+$C297-$D297+$E297,0))</f>
        <v/>
      </c>
    </row>
    <row r="298">
      <c r="A298" s="36" t="n"/>
      <c r="B298" s="36" t="n"/>
      <c r="C298" s="36" t="n"/>
      <c r="D298" s="36" t="n"/>
      <c r="E298" s="36" t="n"/>
      <c r="F298" s="36" t="n"/>
      <c r="G298" s="36" t="n"/>
      <c r="H298" s="36" t="n"/>
      <c r="I298" s="37">
        <f>IF($A298="","",IFERROR($B298+$C298-$D298+$E298,0))</f>
        <v/>
      </c>
    </row>
    <row r="299">
      <c r="A299" s="36" t="n"/>
      <c r="B299" s="36" t="n"/>
      <c r="C299" s="36" t="n"/>
      <c r="D299" s="36" t="n"/>
      <c r="E299" s="36" t="n"/>
      <c r="F299" s="36" t="n"/>
      <c r="G299" s="36" t="n"/>
      <c r="H299" s="36" t="n"/>
      <c r="I299" s="37">
        <f>IF($A299="","",IFERROR($B299+$C299-$D299+$E299,0))</f>
        <v/>
      </c>
    </row>
    <row r="300">
      <c r="A300" s="36" t="n"/>
      <c r="B300" s="36" t="n"/>
      <c r="C300" s="36" t="n"/>
      <c r="D300" s="36" t="n"/>
      <c r="E300" s="36" t="n"/>
      <c r="F300" s="36" t="n"/>
      <c r="G300" s="36" t="n"/>
      <c r="H300" s="36" t="n"/>
      <c r="I300" s="37">
        <f>IF($A300="","",IFERROR($B300+$C300-$D300+$E300,0))</f>
        <v/>
      </c>
    </row>
    <row r="301">
      <c r="A301" s="36" t="n"/>
      <c r="B301" s="36" t="n"/>
      <c r="C301" s="36" t="n"/>
      <c r="D301" s="36" t="n"/>
      <c r="E301" s="36" t="n"/>
      <c r="F301" s="36" t="n"/>
      <c r="G301" s="36" t="n"/>
      <c r="H301" s="36" t="n"/>
      <c r="I301" s="37">
        <f>IF($A301="","",IFERROR($B301+$C301-$D301+$E301,0))</f>
        <v/>
      </c>
    </row>
    <row r="302">
      <c r="A302" s="36" t="n"/>
      <c r="B302" s="36" t="n"/>
      <c r="C302" s="36" t="n"/>
      <c r="D302" s="36" t="n"/>
      <c r="E302" s="36" t="n"/>
      <c r="F302" s="36" t="n"/>
      <c r="G302" s="36" t="n"/>
      <c r="H302" s="36" t="n"/>
      <c r="I302" s="37">
        <f>IF($A302="","",IFERROR($B302+$C302-$D302+$E302,0))</f>
        <v/>
      </c>
    </row>
    <row r="303">
      <c r="A303" s="36" t="n"/>
      <c r="B303" s="36" t="n"/>
      <c r="C303" s="36" t="n"/>
      <c r="D303" s="36" t="n"/>
      <c r="E303" s="36" t="n"/>
      <c r="F303" s="36" t="n"/>
      <c r="G303" s="36" t="n"/>
      <c r="H303" s="36" t="n"/>
      <c r="I303" s="37">
        <f>IF($A303="","",IFERROR($B303+$C303-$D303+$E303,0))</f>
        <v/>
      </c>
    </row>
    <row r="304">
      <c r="A304" s="36" t="n"/>
      <c r="B304" s="36" t="n"/>
      <c r="C304" s="36" t="n"/>
      <c r="D304" s="36" t="n"/>
      <c r="E304" s="36" t="n"/>
      <c r="F304" s="36" t="n"/>
      <c r="G304" s="36" t="n"/>
      <c r="H304" s="36" t="n"/>
      <c r="I304" s="37">
        <f>IF($A304="","",IFERROR($B304+$C304-$D304+$E304,0))</f>
        <v/>
      </c>
    </row>
    <row r="305">
      <c r="A305" s="36" t="n"/>
      <c r="B305" s="36" t="n"/>
      <c r="C305" s="36" t="n"/>
      <c r="D305" s="36" t="n"/>
      <c r="E305" s="36" t="n"/>
      <c r="F305" s="36" t="n"/>
      <c r="G305" s="36" t="n"/>
      <c r="H305" s="36" t="n"/>
      <c r="I305" s="37">
        <f>IF($A305="","",IFERROR($B305+$C305-$D305+$E305,0))</f>
        <v/>
      </c>
    </row>
    <row r="306">
      <c r="A306" s="36" t="n"/>
      <c r="B306" s="36" t="n"/>
      <c r="C306" s="36" t="n"/>
      <c r="D306" s="36" t="n"/>
      <c r="E306" s="36" t="n"/>
      <c r="F306" s="36" t="n"/>
      <c r="G306" s="36" t="n"/>
      <c r="H306" s="36" t="n"/>
      <c r="I306" s="37">
        <f>IF($A306="","",IFERROR($B306+$C306-$D306+$E306,0))</f>
        <v/>
      </c>
    </row>
    <row r="307">
      <c r="A307" s="36" t="n"/>
      <c r="B307" s="36" t="n"/>
      <c r="C307" s="36" t="n"/>
      <c r="D307" s="36" t="n"/>
      <c r="E307" s="36" t="n"/>
      <c r="F307" s="36" t="n"/>
      <c r="G307" s="36" t="n"/>
      <c r="H307" s="36" t="n"/>
      <c r="I307" s="37">
        <f>IF($A307="","",IFERROR($B307+$C307-$D307+$E307,0))</f>
        <v/>
      </c>
    </row>
    <row r="308">
      <c r="A308" s="36" t="n"/>
      <c r="B308" s="36" t="n"/>
      <c r="C308" s="36" t="n"/>
      <c r="D308" s="36" t="n"/>
      <c r="E308" s="36" t="n"/>
      <c r="F308" s="36" t="n"/>
      <c r="G308" s="36" t="n"/>
      <c r="H308" s="36" t="n"/>
      <c r="I308" s="37">
        <f>IF($A308="","",IFERROR($B308+$C308-$D308+$E308,0))</f>
        <v/>
      </c>
    </row>
    <row r="309">
      <c r="A309" s="36" t="n"/>
      <c r="B309" s="36" t="n"/>
      <c r="C309" s="36" t="n"/>
      <c r="D309" s="36" t="n"/>
      <c r="E309" s="36" t="n"/>
      <c r="F309" s="36" t="n"/>
      <c r="G309" s="36" t="n"/>
      <c r="H309" s="36" t="n"/>
      <c r="I309" s="37">
        <f>IF($A309="","",IFERROR($B309+$C309-$D309+$E309,0))</f>
        <v/>
      </c>
    </row>
    <row r="310">
      <c r="A310" s="36" t="n"/>
      <c r="B310" s="36" t="n"/>
      <c r="C310" s="36" t="n"/>
      <c r="D310" s="36" t="n"/>
      <c r="E310" s="36" t="n"/>
      <c r="F310" s="36" t="n"/>
      <c r="G310" s="36" t="n"/>
      <c r="H310" s="36" t="n"/>
      <c r="I310" s="37">
        <f>IF($A310="","",IFERROR($B310+$C310-$D310+$E310,0))</f>
        <v/>
      </c>
    </row>
    <row r="311">
      <c r="A311" s="36" t="n"/>
      <c r="B311" s="36" t="n"/>
      <c r="C311" s="36" t="n"/>
      <c r="D311" s="36" t="n"/>
      <c r="E311" s="36" t="n"/>
      <c r="F311" s="36" t="n"/>
      <c r="G311" s="36" t="n"/>
      <c r="H311" s="36" t="n"/>
      <c r="I311" s="37">
        <f>IF($A311="","",IFERROR($B311+$C311-$D311+$E311,0))</f>
        <v/>
      </c>
    </row>
    <row r="312">
      <c r="A312" s="36" t="n"/>
      <c r="B312" s="36" t="n"/>
      <c r="C312" s="36" t="n"/>
      <c r="D312" s="36" t="n"/>
      <c r="E312" s="36" t="n"/>
      <c r="F312" s="36" t="n"/>
      <c r="G312" s="36" t="n"/>
      <c r="H312" s="36" t="n"/>
      <c r="I312" s="37">
        <f>IF($A312="","",IFERROR($B312+$C312-$D312+$E312,0))</f>
        <v/>
      </c>
    </row>
    <row r="313">
      <c r="A313" s="36" t="n"/>
      <c r="B313" s="36" t="n"/>
      <c r="C313" s="36" t="n"/>
      <c r="D313" s="36" t="n"/>
      <c r="E313" s="36" t="n"/>
      <c r="F313" s="36" t="n"/>
      <c r="G313" s="36" t="n"/>
      <c r="H313" s="36" t="n"/>
      <c r="I313" s="37">
        <f>IF($A313="","",IFERROR($B313+$C313-$D313+$E313,0))</f>
        <v/>
      </c>
    </row>
    <row r="314">
      <c r="A314" s="36" t="n"/>
      <c r="B314" s="36" t="n"/>
      <c r="C314" s="36" t="n"/>
      <c r="D314" s="36" t="n"/>
      <c r="E314" s="36" t="n"/>
      <c r="F314" s="36" t="n"/>
      <c r="G314" s="36" t="n"/>
      <c r="H314" s="36" t="n"/>
      <c r="I314" s="37">
        <f>IF($A314="","",IFERROR($B314+$C314-$D314+$E314,0))</f>
        <v/>
      </c>
    </row>
    <row r="315">
      <c r="A315" s="36" t="n"/>
      <c r="B315" s="36" t="n"/>
      <c r="C315" s="36" t="n"/>
      <c r="D315" s="36" t="n"/>
      <c r="E315" s="36" t="n"/>
      <c r="F315" s="36" t="n"/>
      <c r="G315" s="36" t="n"/>
      <c r="H315" s="36" t="n"/>
      <c r="I315" s="37">
        <f>IF($A315="","",IFERROR($B315+$C315-$D315+$E315,0))</f>
        <v/>
      </c>
    </row>
    <row r="316">
      <c r="A316" s="36" t="n"/>
      <c r="B316" s="36" t="n"/>
      <c r="C316" s="36" t="n"/>
      <c r="D316" s="36" t="n"/>
      <c r="E316" s="36" t="n"/>
      <c r="F316" s="36" t="n"/>
      <c r="G316" s="36" t="n"/>
      <c r="H316" s="36" t="n"/>
      <c r="I316" s="37">
        <f>IF($A316="","",IFERROR($B316+$C316-$D316+$E316,0))</f>
        <v/>
      </c>
    </row>
    <row r="317">
      <c r="A317" s="36" t="n"/>
      <c r="B317" s="36" t="n"/>
      <c r="C317" s="36" t="n"/>
      <c r="D317" s="36" t="n"/>
      <c r="E317" s="36" t="n"/>
      <c r="F317" s="36" t="n"/>
      <c r="G317" s="36" t="n"/>
      <c r="H317" s="36" t="n"/>
      <c r="I317" s="37">
        <f>IF($A317="","",IFERROR($B317+$C317-$D317+$E317,0))</f>
        <v/>
      </c>
    </row>
    <row r="318">
      <c r="A318" s="36" t="n"/>
      <c r="B318" s="36" t="n"/>
      <c r="C318" s="36" t="n"/>
      <c r="D318" s="36" t="n"/>
      <c r="E318" s="36" t="n"/>
      <c r="F318" s="36" t="n"/>
      <c r="G318" s="36" t="n"/>
      <c r="H318" s="36" t="n"/>
      <c r="I318" s="37">
        <f>IF($A318="","",IFERROR($B318+$C318-$D318+$E318,0))</f>
        <v/>
      </c>
    </row>
    <row r="319">
      <c r="A319" s="36" t="n"/>
      <c r="B319" s="36" t="n"/>
      <c r="C319" s="36" t="n"/>
      <c r="D319" s="36" t="n"/>
      <c r="E319" s="36" t="n"/>
      <c r="F319" s="36" t="n"/>
      <c r="G319" s="36" t="n"/>
      <c r="H319" s="36" t="n"/>
      <c r="I319" s="37">
        <f>IF($A319="","",IFERROR($B319+$C319-$D319+$E319,0))</f>
        <v/>
      </c>
    </row>
    <row r="320">
      <c r="A320" s="36" t="n"/>
      <c r="B320" s="36" t="n"/>
      <c r="C320" s="36" t="n"/>
      <c r="D320" s="36" t="n"/>
      <c r="E320" s="36" t="n"/>
      <c r="F320" s="36" t="n"/>
      <c r="G320" s="36" t="n"/>
      <c r="H320" s="36" t="n"/>
      <c r="I320" s="37">
        <f>IF($A320="","",IFERROR($B320+$C320-$D320+$E320,0))</f>
        <v/>
      </c>
    </row>
    <row r="321">
      <c r="A321" s="36" t="n"/>
      <c r="B321" s="36" t="n"/>
      <c r="C321" s="36" t="n"/>
      <c r="D321" s="36" t="n"/>
      <c r="E321" s="36" t="n"/>
      <c r="F321" s="36" t="n"/>
      <c r="G321" s="36" t="n"/>
      <c r="H321" s="36" t="n"/>
      <c r="I321" s="37">
        <f>IF($A321="","",IFERROR($B321+$C321-$D321+$E321,0))</f>
        <v/>
      </c>
    </row>
    <row r="322">
      <c r="A322" s="36" t="n"/>
      <c r="B322" s="36" t="n"/>
      <c r="C322" s="36" t="n"/>
      <c r="D322" s="36" t="n"/>
      <c r="E322" s="36" t="n"/>
      <c r="F322" s="36" t="n"/>
      <c r="G322" s="36" t="n"/>
      <c r="H322" s="36" t="n"/>
      <c r="I322" s="37">
        <f>IF($A322="","",IFERROR($B322+$C322-$D322+$E322,0))</f>
        <v/>
      </c>
    </row>
    <row r="323">
      <c r="A323" s="36" t="n"/>
      <c r="B323" s="36" t="n"/>
      <c r="C323" s="36" t="n"/>
      <c r="D323" s="36" t="n"/>
      <c r="E323" s="36" t="n"/>
      <c r="F323" s="36" t="n"/>
      <c r="G323" s="36" t="n"/>
      <c r="H323" s="36" t="n"/>
      <c r="I323" s="37">
        <f>IF($A323="","",IFERROR($B323+$C323-$D323+$E323,0))</f>
        <v/>
      </c>
    </row>
    <row r="324">
      <c r="A324" s="36" t="n"/>
      <c r="B324" s="36" t="n"/>
      <c r="C324" s="36" t="n"/>
      <c r="D324" s="36" t="n"/>
      <c r="E324" s="36" t="n"/>
      <c r="F324" s="36" t="n"/>
      <c r="G324" s="36" t="n"/>
      <c r="H324" s="36" t="n"/>
      <c r="I324" s="37">
        <f>IF($A324="","",IFERROR($B324+$C324-$D324+$E324,0))</f>
        <v/>
      </c>
    </row>
    <row r="325">
      <c r="A325" s="36" t="n"/>
      <c r="B325" s="36" t="n"/>
      <c r="C325" s="36" t="n"/>
      <c r="D325" s="36" t="n"/>
      <c r="E325" s="36" t="n"/>
      <c r="F325" s="36" t="n"/>
      <c r="G325" s="36" t="n"/>
      <c r="H325" s="36" t="n"/>
      <c r="I325" s="37">
        <f>IF($A325="","",IFERROR($B325+$C325-$D325+$E325,0))</f>
        <v/>
      </c>
    </row>
    <row r="326">
      <c r="A326" s="36" t="n"/>
      <c r="B326" s="36" t="n"/>
      <c r="C326" s="36" t="n"/>
      <c r="D326" s="36" t="n"/>
      <c r="E326" s="36" t="n"/>
      <c r="F326" s="36" t="n"/>
      <c r="G326" s="36" t="n"/>
      <c r="H326" s="36" t="n"/>
      <c r="I326" s="37">
        <f>IF($A326="","",IFERROR($B326+$C326-$D326+$E326,0))</f>
        <v/>
      </c>
    </row>
    <row r="327">
      <c r="A327" s="36" t="n"/>
      <c r="B327" s="36" t="n"/>
      <c r="C327" s="36" t="n"/>
      <c r="D327" s="36" t="n"/>
      <c r="E327" s="36" t="n"/>
      <c r="F327" s="36" t="n"/>
      <c r="G327" s="36" t="n"/>
      <c r="H327" s="36" t="n"/>
      <c r="I327" s="37">
        <f>IF($A327="","",IFERROR($B327+$C327-$D327+$E327,0))</f>
        <v/>
      </c>
    </row>
    <row r="328">
      <c r="A328" s="36" t="n"/>
      <c r="B328" s="36" t="n"/>
      <c r="C328" s="36" t="n"/>
      <c r="D328" s="36" t="n"/>
      <c r="E328" s="36" t="n"/>
      <c r="F328" s="36" t="n"/>
      <c r="G328" s="36" t="n"/>
      <c r="H328" s="36" t="n"/>
      <c r="I328" s="37">
        <f>IF($A328="","",IFERROR($B328+$C328-$D328+$E328,0))</f>
        <v/>
      </c>
    </row>
    <row r="329">
      <c r="A329" s="36" t="n"/>
      <c r="B329" s="36" t="n"/>
      <c r="C329" s="36" t="n"/>
      <c r="D329" s="36" t="n"/>
      <c r="E329" s="36" t="n"/>
      <c r="F329" s="36" t="n"/>
      <c r="G329" s="36" t="n"/>
      <c r="H329" s="36" t="n"/>
      <c r="I329" s="37">
        <f>IF($A329="","",IFERROR($B329+$C329-$D329+$E329,0))</f>
        <v/>
      </c>
    </row>
    <row r="330">
      <c r="A330" s="36" t="n"/>
      <c r="B330" s="36" t="n"/>
      <c r="C330" s="36" t="n"/>
      <c r="D330" s="36" t="n"/>
      <c r="E330" s="36" t="n"/>
      <c r="F330" s="36" t="n"/>
      <c r="G330" s="36" t="n"/>
      <c r="H330" s="36" t="n"/>
      <c r="I330" s="37">
        <f>IF($A330="","",IFERROR($B330+$C330-$D330+$E330,0))</f>
        <v/>
      </c>
    </row>
    <row r="331">
      <c r="A331" s="36" t="n"/>
      <c r="B331" s="36" t="n"/>
      <c r="C331" s="36" t="n"/>
      <c r="D331" s="36" t="n"/>
      <c r="E331" s="36" t="n"/>
      <c r="F331" s="36" t="n"/>
      <c r="G331" s="36" t="n"/>
      <c r="H331" s="36" t="n"/>
      <c r="I331" s="37">
        <f>IF($A331="","",IFERROR($B331+$C331-$D331+$E331,0))</f>
        <v/>
      </c>
    </row>
    <row r="332">
      <c r="A332" s="36" t="n"/>
      <c r="B332" s="36" t="n"/>
      <c r="C332" s="36" t="n"/>
      <c r="D332" s="36" t="n"/>
      <c r="E332" s="36" t="n"/>
      <c r="F332" s="36" t="n"/>
      <c r="G332" s="36" t="n"/>
      <c r="H332" s="36" t="n"/>
      <c r="I332" s="37">
        <f>IF($A332="","",IFERROR($B332+$C332-$D332+$E332,0))</f>
        <v/>
      </c>
    </row>
    <row r="333">
      <c r="A333" s="36" t="n"/>
      <c r="B333" s="36" t="n"/>
      <c r="C333" s="36" t="n"/>
      <c r="D333" s="36" t="n"/>
      <c r="E333" s="36" t="n"/>
      <c r="F333" s="36" t="n"/>
      <c r="G333" s="36" t="n"/>
      <c r="H333" s="36" t="n"/>
      <c r="I333" s="37">
        <f>IF($A333="","",IFERROR($B333+$C333-$D333+$E333,0))</f>
        <v/>
      </c>
    </row>
    <row r="334">
      <c r="A334" s="36" t="n"/>
      <c r="B334" s="36" t="n"/>
      <c r="C334" s="36" t="n"/>
      <c r="D334" s="36" t="n"/>
      <c r="E334" s="36" t="n"/>
      <c r="F334" s="36" t="n"/>
      <c r="G334" s="36" t="n"/>
      <c r="H334" s="36" t="n"/>
      <c r="I334" s="37">
        <f>IF($A334="","",IFERROR($B334+$C334-$D334+$E334,0))</f>
        <v/>
      </c>
    </row>
    <row r="335">
      <c r="A335" s="36" t="n"/>
      <c r="B335" s="36" t="n"/>
      <c r="C335" s="36" t="n"/>
      <c r="D335" s="36" t="n"/>
      <c r="E335" s="36" t="n"/>
      <c r="F335" s="36" t="n"/>
      <c r="G335" s="36" t="n"/>
      <c r="H335" s="36" t="n"/>
      <c r="I335" s="37">
        <f>IF($A335="","",IFERROR($B335+$C335-$D335+$E335,0))</f>
        <v/>
      </c>
    </row>
    <row r="336">
      <c r="A336" s="36" t="n"/>
      <c r="B336" s="36" t="n"/>
      <c r="C336" s="36" t="n"/>
      <c r="D336" s="36" t="n"/>
      <c r="E336" s="36" t="n"/>
      <c r="F336" s="36" t="n"/>
      <c r="G336" s="36" t="n"/>
      <c r="H336" s="36" t="n"/>
      <c r="I336" s="37">
        <f>IF($A336="","",IFERROR($B336+$C336-$D336+$E336,0))</f>
        <v/>
      </c>
    </row>
    <row r="337">
      <c r="A337" s="36" t="n"/>
      <c r="B337" s="36" t="n"/>
      <c r="C337" s="36" t="n"/>
      <c r="D337" s="36" t="n"/>
      <c r="E337" s="36" t="n"/>
      <c r="F337" s="36" t="n"/>
      <c r="G337" s="36" t="n"/>
      <c r="H337" s="36" t="n"/>
      <c r="I337" s="37">
        <f>IF($A337="","",IFERROR($B337+$C337-$D337+$E337,0))</f>
        <v/>
      </c>
    </row>
    <row r="338">
      <c r="A338" s="36" t="n"/>
      <c r="B338" s="36" t="n"/>
      <c r="C338" s="36" t="n"/>
      <c r="D338" s="36" t="n"/>
      <c r="E338" s="36" t="n"/>
      <c r="F338" s="36" t="n"/>
      <c r="G338" s="36" t="n"/>
      <c r="H338" s="36" t="n"/>
      <c r="I338" s="37">
        <f>IF($A338="","",IFERROR($B338+$C338-$D338+$E338,0))</f>
        <v/>
      </c>
    </row>
    <row r="339">
      <c r="A339" s="36" t="n"/>
      <c r="B339" s="36" t="n"/>
      <c r="C339" s="36" t="n"/>
      <c r="D339" s="36" t="n"/>
      <c r="E339" s="36" t="n"/>
      <c r="F339" s="36" t="n"/>
      <c r="G339" s="36" t="n"/>
      <c r="H339" s="36" t="n"/>
      <c r="I339" s="37">
        <f>IF($A339="","",IFERROR($B339+$C339-$D339+$E339,0))</f>
        <v/>
      </c>
    </row>
    <row r="340">
      <c r="A340" s="36" t="n"/>
      <c r="B340" s="36" t="n"/>
      <c r="C340" s="36" t="n"/>
      <c r="D340" s="36" t="n"/>
      <c r="E340" s="36" t="n"/>
      <c r="F340" s="36" t="n"/>
      <c r="G340" s="36" t="n"/>
      <c r="H340" s="36" t="n"/>
      <c r="I340" s="37">
        <f>IF($A340="","",IFERROR($B340+$C340-$D340+$E340,0))</f>
        <v/>
      </c>
    </row>
    <row r="341">
      <c r="A341" s="36" t="n"/>
      <c r="B341" s="36" t="n"/>
      <c r="C341" s="36" t="n"/>
      <c r="D341" s="36" t="n"/>
      <c r="E341" s="36" t="n"/>
      <c r="F341" s="36" t="n"/>
      <c r="G341" s="36" t="n"/>
      <c r="H341" s="36" t="n"/>
      <c r="I341" s="37">
        <f>IF($A341="","",IFERROR($B341+$C341-$D341+$E341,0))</f>
        <v/>
      </c>
    </row>
    <row r="342">
      <c r="A342" s="36" t="n"/>
      <c r="B342" s="36" t="n"/>
      <c r="C342" s="36" t="n"/>
      <c r="D342" s="36" t="n"/>
      <c r="E342" s="36" t="n"/>
      <c r="F342" s="36" t="n"/>
      <c r="G342" s="36" t="n"/>
      <c r="H342" s="36" t="n"/>
      <c r="I342" s="37">
        <f>IF($A342="","",IFERROR($B342+$C342-$D342+$E342,0))</f>
        <v/>
      </c>
    </row>
    <row r="343">
      <c r="A343" s="36" t="n"/>
      <c r="B343" s="36" t="n"/>
      <c r="C343" s="36" t="n"/>
      <c r="D343" s="36" t="n"/>
      <c r="E343" s="36" t="n"/>
      <c r="F343" s="36" t="n"/>
      <c r="G343" s="36" t="n"/>
      <c r="H343" s="36" t="n"/>
      <c r="I343" s="37">
        <f>IF($A343="","",IFERROR($B343+$C343-$D343+$E343,0))</f>
        <v/>
      </c>
    </row>
    <row r="344">
      <c r="A344" s="36" t="n"/>
      <c r="B344" s="36" t="n"/>
      <c r="C344" s="36" t="n"/>
      <c r="D344" s="36" t="n"/>
      <c r="E344" s="36" t="n"/>
      <c r="F344" s="36" t="n"/>
      <c r="G344" s="36" t="n"/>
      <c r="H344" s="36" t="n"/>
      <c r="I344" s="37">
        <f>IF($A344="","",IFERROR($B344+$C344-$D344+$E344,0))</f>
        <v/>
      </c>
    </row>
    <row r="345">
      <c r="A345" s="36" t="n"/>
      <c r="B345" s="36" t="n"/>
      <c r="C345" s="36" t="n"/>
      <c r="D345" s="36" t="n"/>
      <c r="E345" s="36" t="n"/>
      <c r="F345" s="36" t="n"/>
      <c r="G345" s="36" t="n"/>
      <c r="H345" s="36" t="n"/>
      <c r="I345" s="37">
        <f>IF($A345="","",IFERROR($B345+$C345-$D345+$E345,0))</f>
        <v/>
      </c>
    </row>
    <row r="346">
      <c r="A346" s="36" t="n"/>
      <c r="B346" s="36" t="n"/>
      <c r="C346" s="36" t="n"/>
      <c r="D346" s="36" t="n"/>
      <c r="E346" s="36" t="n"/>
      <c r="F346" s="36" t="n"/>
      <c r="G346" s="36" t="n"/>
      <c r="H346" s="36" t="n"/>
      <c r="I346" s="37">
        <f>IF($A346="","",IFERROR($B346+$C346-$D346+$E346,0))</f>
        <v/>
      </c>
    </row>
    <row r="347">
      <c r="A347" s="36" t="n"/>
      <c r="B347" s="36" t="n"/>
      <c r="C347" s="36" t="n"/>
      <c r="D347" s="36" t="n"/>
      <c r="E347" s="36" t="n"/>
      <c r="F347" s="36" t="n"/>
      <c r="G347" s="36" t="n"/>
      <c r="H347" s="36" t="n"/>
      <c r="I347" s="37">
        <f>IF($A347="","",IFERROR($B347+$C347-$D347+$E347,0))</f>
        <v/>
      </c>
    </row>
    <row r="348">
      <c r="A348" s="36" t="n"/>
      <c r="B348" s="36" t="n"/>
      <c r="C348" s="36" t="n"/>
      <c r="D348" s="36" t="n"/>
      <c r="E348" s="36" t="n"/>
      <c r="F348" s="36" t="n"/>
      <c r="G348" s="36" t="n"/>
      <c r="H348" s="36" t="n"/>
      <c r="I348" s="37">
        <f>IF($A348="","",IFERROR($B348+$C348-$D348+$E348,0))</f>
        <v/>
      </c>
    </row>
    <row r="349">
      <c r="A349" s="36" t="n"/>
      <c r="B349" s="36" t="n"/>
      <c r="C349" s="36" t="n"/>
      <c r="D349" s="36" t="n"/>
      <c r="E349" s="36" t="n"/>
      <c r="F349" s="36" t="n"/>
      <c r="G349" s="36" t="n"/>
      <c r="H349" s="36" t="n"/>
      <c r="I349" s="37">
        <f>IF($A349="","",IFERROR($B349+$C349-$D349+$E349,0))</f>
        <v/>
      </c>
    </row>
    <row r="350">
      <c r="A350" s="36" t="n"/>
      <c r="B350" s="36" t="n"/>
      <c r="C350" s="36" t="n"/>
      <c r="D350" s="36" t="n"/>
      <c r="E350" s="36" t="n"/>
      <c r="F350" s="36" t="n"/>
      <c r="G350" s="36" t="n"/>
      <c r="H350" s="36" t="n"/>
      <c r="I350" s="37">
        <f>IF($A350="","",IFERROR($B350+$C350-$D350+$E350,0))</f>
        <v/>
      </c>
    </row>
    <row r="351">
      <c r="A351" s="36" t="n"/>
      <c r="B351" s="36" t="n"/>
      <c r="C351" s="36" t="n"/>
      <c r="D351" s="36" t="n"/>
      <c r="E351" s="36" t="n"/>
      <c r="F351" s="36" t="n"/>
      <c r="G351" s="36" t="n"/>
      <c r="H351" s="36" t="n"/>
      <c r="I351" s="37">
        <f>IF($A351="","",IFERROR($B351+$C351-$D351+$E351,0))</f>
        <v/>
      </c>
    </row>
    <row r="352">
      <c r="A352" s="36" t="n"/>
      <c r="B352" s="36" t="n"/>
      <c r="C352" s="36" t="n"/>
      <c r="D352" s="36" t="n"/>
      <c r="E352" s="36" t="n"/>
      <c r="F352" s="36" t="n"/>
      <c r="G352" s="36" t="n"/>
      <c r="H352" s="36" t="n"/>
      <c r="I352" s="37">
        <f>IF($A352="","",IFERROR($B352+$C352-$D352+$E352,0))</f>
        <v/>
      </c>
    </row>
    <row r="353">
      <c r="A353" s="36" t="n"/>
      <c r="B353" s="36" t="n"/>
      <c r="C353" s="36" t="n"/>
      <c r="D353" s="36" t="n"/>
      <c r="E353" s="36" t="n"/>
      <c r="F353" s="36" t="n"/>
      <c r="G353" s="36" t="n"/>
      <c r="H353" s="36" t="n"/>
      <c r="I353" s="37">
        <f>IF($A353="","",IFERROR($B353+$C353-$D353+$E353,0))</f>
        <v/>
      </c>
    </row>
    <row r="354">
      <c r="A354" s="36" t="n"/>
      <c r="B354" s="36" t="n"/>
      <c r="C354" s="36" t="n"/>
      <c r="D354" s="36" t="n"/>
      <c r="E354" s="36" t="n"/>
      <c r="F354" s="36" t="n"/>
      <c r="G354" s="36" t="n"/>
      <c r="H354" s="36" t="n"/>
      <c r="I354" s="37">
        <f>IF($A354="","",IFERROR($B354+$C354-$D354+$E354,0))</f>
        <v/>
      </c>
    </row>
    <row r="355">
      <c r="A355" s="36" t="n"/>
      <c r="B355" s="36" t="n"/>
      <c r="C355" s="36" t="n"/>
      <c r="D355" s="36" t="n"/>
      <c r="E355" s="36" t="n"/>
      <c r="F355" s="36" t="n"/>
      <c r="G355" s="36" t="n"/>
      <c r="H355" s="36" t="n"/>
      <c r="I355" s="37">
        <f>IF($A355="","",IFERROR($B355+$C355-$D355+$E355,0))</f>
        <v/>
      </c>
    </row>
    <row r="356">
      <c r="A356" s="36" t="n"/>
      <c r="B356" s="36" t="n"/>
      <c r="C356" s="36" t="n"/>
      <c r="D356" s="36" t="n"/>
      <c r="E356" s="36" t="n"/>
      <c r="F356" s="36" t="n"/>
      <c r="G356" s="36" t="n"/>
      <c r="H356" s="36" t="n"/>
      <c r="I356" s="37">
        <f>IF($A356="","",IFERROR($B356+$C356-$D356+$E356,0))</f>
        <v/>
      </c>
    </row>
    <row r="357">
      <c r="A357" s="36" t="n"/>
      <c r="B357" s="36" t="n"/>
      <c r="C357" s="36" t="n"/>
      <c r="D357" s="36" t="n"/>
      <c r="E357" s="36" t="n"/>
      <c r="F357" s="36" t="n"/>
      <c r="G357" s="36" t="n"/>
      <c r="H357" s="36" t="n"/>
      <c r="I357" s="37">
        <f>IF($A357="","",IFERROR($B357+$C357-$D357+$E357,0))</f>
        <v/>
      </c>
    </row>
    <row r="358">
      <c r="A358" s="36" t="n"/>
      <c r="B358" s="36" t="n"/>
      <c r="C358" s="36" t="n"/>
      <c r="D358" s="36" t="n"/>
      <c r="E358" s="36" t="n"/>
      <c r="F358" s="36" t="n"/>
      <c r="G358" s="36" t="n"/>
      <c r="H358" s="36" t="n"/>
      <c r="I358" s="37">
        <f>IF($A358="","",IFERROR($B358+$C358-$D358+$E358,0))</f>
        <v/>
      </c>
    </row>
    <row r="359">
      <c r="A359" s="36" t="n"/>
      <c r="B359" s="36" t="n"/>
      <c r="C359" s="36" t="n"/>
      <c r="D359" s="36" t="n"/>
      <c r="E359" s="36" t="n"/>
      <c r="F359" s="36" t="n"/>
      <c r="G359" s="36" t="n"/>
      <c r="H359" s="36" t="n"/>
      <c r="I359" s="37">
        <f>IF($A359="","",IFERROR($B359+$C359-$D359+$E359,0))</f>
        <v/>
      </c>
    </row>
    <row r="360">
      <c r="A360" s="36" t="n"/>
      <c r="B360" s="36" t="n"/>
      <c r="C360" s="36" t="n"/>
      <c r="D360" s="36" t="n"/>
      <c r="E360" s="36" t="n"/>
      <c r="F360" s="36" t="n"/>
      <c r="G360" s="36" t="n"/>
      <c r="H360" s="36" t="n"/>
      <c r="I360" s="37">
        <f>IF($A360="","",IFERROR($B360+$C360-$D360+$E360,0))</f>
        <v/>
      </c>
    </row>
    <row r="361">
      <c r="A361" s="36" t="n"/>
      <c r="B361" s="36" t="n"/>
      <c r="C361" s="36" t="n"/>
      <c r="D361" s="36" t="n"/>
      <c r="E361" s="36" t="n"/>
      <c r="F361" s="36" t="n"/>
      <c r="G361" s="36" t="n"/>
      <c r="H361" s="36" t="n"/>
      <c r="I361" s="37">
        <f>IF($A361="","",IFERROR($B361+$C361-$D361+$E361,0))</f>
        <v/>
      </c>
    </row>
    <row r="362">
      <c r="A362" s="36" t="n"/>
      <c r="B362" s="36" t="n"/>
      <c r="C362" s="36" t="n"/>
      <c r="D362" s="36" t="n"/>
      <c r="E362" s="36" t="n"/>
      <c r="F362" s="36" t="n"/>
      <c r="G362" s="36" t="n"/>
      <c r="H362" s="36" t="n"/>
      <c r="I362" s="37">
        <f>IF($A362="","",IFERROR($B362+$C362-$D362+$E362,0))</f>
        <v/>
      </c>
    </row>
    <row r="363">
      <c r="A363" s="36" t="n"/>
      <c r="B363" s="36" t="n"/>
      <c r="C363" s="36" t="n"/>
      <c r="D363" s="36" t="n"/>
      <c r="E363" s="36" t="n"/>
      <c r="F363" s="36" t="n"/>
      <c r="G363" s="36" t="n"/>
      <c r="H363" s="36" t="n"/>
      <c r="I363" s="37">
        <f>IF($A363="","",IFERROR($B363+$C363-$D363+$E363,0))</f>
        <v/>
      </c>
    </row>
    <row r="364">
      <c r="A364" s="36" t="n"/>
      <c r="B364" s="36" t="n"/>
      <c r="C364" s="36" t="n"/>
      <c r="D364" s="36" t="n"/>
      <c r="E364" s="36" t="n"/>
      <c r="F364" s="36" t="n"/>
      <c r="G364" s="36" t="n"/>
      <c r="H364" s="36" t="n"/>
      <c r="I364" s="37">
        <f>IF($A364="","",IFERROR($B364+$C364-$D364+$E364,0))</f>
        <v/>
      </c>
    </row>
    <row r="365">
      <c r="A365" s="36" t="n"/>
      <c r="B365" s="36" t="n"/>
      <c r="C365" s="36" t="n"/>
      <c r="D365" s="36" t="n"/>
      <c r="E365" s="36" t="n"/>
      <c r="F365" s="36" t="n"/>
      <c r="G365" s="36" t="n"/>
      <c r="H365" s="36" t="n"/>
      <c r="I365" s="37">
        <f>IF($A365="","",IFERROR($B365+$C365-$D365+$E365,0))</f>
        <v/>
      </c>
    </row>
    <row r="366">
      <c r="A366" s="36" t="n"/>
      <c r="B366" s="36" t="n"/>
      <c r="C366" s="36" t="n"/>
      <c r="D366" s="36" t="n"/>
      <c r="E366" s="36" t="n"/>
      <c r="F366" s="36" t="n"/>
      <c r="G366" s="36" t="n"/>
      <c r="H366" s="36" t="n"/>
      <c r="I366" s="37">
        <f>IF($A366="","",IFERROR($B366+$C366-$D366+$E366,0))</f>
        <v/>
      </c>
    </row>
    <row r="367">
      <c r="A367" s="36" t="n"/>
      <c r="B367" s="36" t="n"/>
      <c r="C367" s="36" t="n"/>
      <c r="D367" s="36" t="n"/>
      <c r="E367" s="36" t="n"/>
      <c r="F367" s="36" t="n"/>
      <c r="G367" s="36" t="n"/>
      <c r="H367" s="36" t="n"/>
      <c r="I367" s="37">
        <f>IF($A367="","",IFERROR($B367+$C367-$D367+$E367,0))</f>
        <v/>
      </c>
    </row>
    <row r="368">
      <c r="A368" s="36" t="n"/>
      <c r="B368" s="36" t="n"/>
      <c r="C368" s="36" t="n"/>
      <c r="D368" s="36" t="n"/>
      <c r="E368" s="36" t="n"/>
      <c r="F368" s="36" t="n"/>
      <c r="G368" s="36" t="n"/>
      <c r="H368" s="36" t="n"/>
      <c r="I368" s="37">
        <f>IF($A368="","",IFERROR($B368+$C368-$D368+$E368,0))</f>
        <v/>
      </c>
    </row>
    <row r="369">
      <c r="A369" s="36" t="n"/>
      <c r="B369" s="36" t="n"/>
      <c r="C369" s="36" t="n"/>
      <c r="D369" s="36" t="n"/>
      <c r="E369" s="36" t="n"/>
      <c r="F369" s="36" t="n"/>
      <c r="G369" s="36" t="n"/>
      <c r="H369" s="36" t="n"/>
      <c r="I369" s="37">
        <f>IF($A369="","",IFERROR($B369+$C369-$D369+$E369,0))</f>
        <v/>
      </c>
    </row>
    <row r="370">
      <c r="A370" s="36" t="n"/>
      <c r="B370" s="36" t="n"/>
      <c r="C370" s="36" t="n"/>
      <c r="D370" s="36" t="n"/>
      <c r="E370" s="36" t="n"/>
      <c r="F370" s="36" t="n"/>
      <c r="G370" s="36" t="n"/>
      <c r="H370" s="36" t="n"/>
      <c r="I370" s="37">
        <f>IF($A370="","",IFERROR($B370+$C370-$D370+$E370,0))</f>
        <v/>
      </c>
    </row>
    <row r="371">
      <c r="A371" s="36" t="n"/>
      <c r="B371" s="36" t="n"/>
      <c r="C371" s="36" t="n"/>
      <c r="D371" s="36" t="n"/>
      <c r="E371" s="36" t="n"/>
      <c r="F371" s="36" t="n"/>
      <c r="G371" s="36" t="n"/>
      <c r="H371" s="36" t="n"/>
      <c r="I371" s="37">
        <f>IF($A371="","",IFERROR($B371+$C371-$D371+$E371,0))</f>
        <v/>
      </c>
    </row>
    <row r="372">
      <c r="A372" s="36" t="n"/>
      <c r="B372" s="36" t="n"/>
      <c r="C372" s="36" t="n"/>
      <c r="D372" s="36" t="n"/>
      <c r="E372" s="36" t="n"/>
      <c r="F372" s="36" t="n"/>
      <c r="G372" s="36" t="n"/>
      <c r="H372" s="36" t="n"/>
      <c r="I372" s="37">
        <f>IF($A372="","",IFERROR($B372+$C372-$D372+$E372,0))</f>
        <v/>
      </c>
    </row>
    <row r="373">
      <c r="A373" s="36" t="n"/>
      <c r="B373" s="36" t="n"/>
      <c r="C373" s="36" t="n"/>
      <c r="D373" s="36" t="n"/>
      <c r="E373" s="36" t="n"/>
      <c r="F373" s="36" t="n"/>
      <c r="G373" s="36" t="n"/>
      <c r="H373" s="36" t="n"/>
      <c r="I373" s="37">
        <f>IF($A373="","",IFERROR($B373+$C373-$D373+$E373,0))</f>
        <v/>
      </c>
    </row>
    <row r="374">
      <c r="A374" s="36" t="n"/>
      <c r="B374" s="36" t="n"/>
      <c r="C374" s="36" t="n"/>
      <c r="D374" s="36" t="n"/>
      <c r="E374" s="36" t="n"/>
      <c r="F374" s="36" t="n"/>
      <c r="G374" s="36" t="n"/>
      <c r="H374" s="36" t="n"/>
      <c r="I374" s="37">
        <f>IF($A374="","",IFERROR($B374+$C374-$D374+$E374,0))</f>
        <v/>
      </c>
    </row>
    <row r="375">
      <c r="A375" s="36" t="n"/>
      <c r="B375" s="36" t="n"/>
      <c r="C375" s="36" t="n"/>
      <c r="D375" s="36" t="n"/>
      <c r="E375" s="36" t="n"/>
      <c r="F375" s="36" t="n"/>
      <c r="G375" s="36" t="n"/>
      <c r="H375" s="36" t="n"/>
      <c r="I375" s="37">
        <f>IF($A375="","",IFERROR($B375+$C375-$D375+$E375,0))</f>
        <v/>
      </c>
    </row>
    <row r="376">
      <c r="A376" s="36" t="n"/>
      <c r="B376" s="36" t="n"/>
      <c r="C376" s="36" t="n"/>
      <c r="D376" s="36" t="n"/>
      <c r="E376" s="36" t="n"/>
      <c r="F376" s="36" t="n"/>
      <c r="G376" s="36" t="n"/>
      <c r="H376" s="36" t="n"/>
      <c r="I376" s="37">
        <f>IF($A376="","",IFERROR($B376+$C376-$D376+$E376,0))</f>
        <v/>
      </c>
    </row>
    <row r="377">
      <c r="A377" s="36" t="n"/>
      <c r="B377" s="36" t="n"/>
      <c r="C377" s="36" t="n"/>
      <c r="D377" s="36" t="n"/>
      <c r="E377" s="36" t="n"/>
      <c r="F377" s="36" t="n"/>
      <c r="G377" s="36" t="n"/>
      <c r="H377" s="36" t="n"/>
      <c r="I377" s="37">
        <f>IF($A377="","",IFERROR($B377+$C377-$D377+$E377,0))</f>
        <v/>
      </c>
    </row>
    <row r="378">
      <c r="A378" s="36" t="n"/>
      <c r="B378" s="36" t="n"/>
      <c r="C378" s="36" t="n"/>
      <c r="D378" s="36" t="n"/>
      <c r="E378" s="36" t="n"/>
      <c r="F378" s="36" t="n"/>
      <c r="G378" s="36" t="n"/>
      <c r="H378" s="36" t="n"/>
      <c r="I378" s="37">
        <f>IF($A378="","",IFERROR($B378+$C378-$D378+$E378,0))</f>
        <v/>
      </c>
    </row>
    <row r="379">
      <c r="A379" s="36" t="n"/>
      <c r="B379" s="36" t="n"/>
      <c r="C379" s="36" t="n"/>
      <c r="D379" s="36" t="n"/>
      <c r="E379" s="36" t="n"/>
      <c r="F379" s="36" t="n"/>
      <c r="G379" s="36" t="n"/>
      <c r="H379" s="36" t="n"/>
      <c r="I379" s="37">
        <f>IF($A379="","",IFERROR($B379+$C379-$D379+$E379,0))</f>
        <v/>
      </c>
    </row>
    <row r="380">
      <c r="A380" s="36" t="n"/>
      <c r="B380" s="36" t="n"/>
      <c r="C380" s="36" t="n"/>
      <c r="D380" s="36" t="n"/>
      <c r="E380" s="36" t="n"/>
      <c r="F380" s="36" t="n"/>
      <c r="G380" s="36" t="n"/>
      <c r="H380" s="36" t="n"/>
      <c r="I380" s="37">
        <f>IF($A380="","",IFERROR($B380+$C380-$D380+$E380,0))</f>
        <v/>
      </c>
    </row>
    <row r="381">
      <c r="A381" s="36" t="n"/>
      <c r="B381" s="36" t="n"/>
      <c r="C381" s="36" t="n"/>
      <c r="D381" s="36" t="n"/>
      <c r="E381" s="36" t="n"/>
      <c r="F381" s="36" t="n"/>
      <c r="G381" s="36" t="n"/>
      <c r="H381" s="36" t="n"/>
      <c r="I381" s="37">
        <f>IF($A381="","",IFERROR($B381+$C381-$D381+$E381,0))</f>
        <v/>
      </c>
    </row>
    <row r="382">
      <c r="A382" s="36" t="n"/>
      <c r="B382" s="36" t="n"/>
      <c r="C382" s="36" t="n"/>
      <c r="D382" s="36" t="n"/>
      <c r="E382" s="36" t="n"/>
      <c r="F382" s="36" t="n"/>
      <c r="G382" s="36" t="n"/>
      <c r="H382" s="36" t="n"/>
      <c r="I382" s="37">
        <f>IF($A382="","",IFERROR($B382+$C382-$D382+$E382,0))</f>
        <v/>
      </c>
    </row>
    <row r="383">
      <c r="A383" s="36" t="n"/>
      <c r="B383" s="36" t="n"/>
      <c r="C383" s="36" t="n"/>
      <c r="D383" s="36" t="n"/>
      <c r="E383" s="36" t="n"/>
      <c r="F383" s="36" t="n"/>
      <c r="G383" s="36" t="n"/>
      <c r="H383" s="36" t="n"/>
      <c r="I383" s="37">
        <f>IF($A383="","",IFERROR($B383+$C383-$D383+$E383,0))</f>
        <v/>
      </c>
    </row>
    <row r="384">
      <c r="A384" s="36" t="n"/>
      <c r="B384" s="36" t="n"/>
      <c r="C384" s="36" t="n"/>
      <c r="D384" s="36" t="n"/>
      <c r="E384" s="36" t="n"/>
      <c r="F384" s="36" t="n"/>
      <c r="G384" s="36" t="n"/>
      <c r="H384" s="36" t="n"/>
      <c r="I384" s="37">
        <f>IF($A384="","",IFERROR($B384+$C384-$D384+$E384,0))</f>
        <v/>
      </c>
    </row>
    <row r="385">
      <c r="A385" s="36" t="n"/>
      <c r="B385" s="36" t="n"/>
      <c r="C385" s="36" t="n"/>
      <c r="D385" s="36" t="n"/>
      <c r="E385" s="36" t="n"/>
      <c r="F385" s="36" t="n"/>
      <c r="G385" s="36" t="n"/>
      <c r="H385" s="36" t="n"/>
      <c r="I385" s="37">
        <f>IF($A385="","",IFERROR($B385+$C385-$D385+$E385,0))</f>
        <v/>
      </c>
    </row>
    <row r="386">
      <c r="A386" s="36" t="n"/>
      <c r="B386" s="36" t="n"/>
      <c r="C386" s="36" t="n"/>
      <c r="D386" s="36" t="n"/>
      <c r="E386" s="36" t="n"/>
      <c r="F386" s="36" t="n"/>
      <c r="G386" s="36" t="n"/>
      <c r="H386" s="36" t="n"/>
      <c r="I386" s="37">
        <f>IF($A386="","",IFERROR($B386+$C386-$D386+$E386,0))</f>
        <v/>
      </c>
    </row>
    <row r="387">
      <c r="A387" s="36" t="n"/>
      <c r="B387" s="36" t="n"/>
      <c r="C387" s="36" t="n"/>
      <c r="D387" s="36" t="n"/>
      <c r="E387" s="36" t="n"/>
      <c r="F387" s="36" t="n"/>
      <c r="G387" s="36" t="n"/>
      <c r="H387" s="36" t="n"/>
      <c r="I387" s="37">
        <f>IF($A387="","",IFERROR($B387+$C387-$D387+$E387,0))</f>
        <v/>
      </c>
    </row>
    <row r="388">
      <c r="A388" s="36" t="n"/>
      <c r="B388" s="36" t="n"/>
      <c r="C388" s="36" t="n"/>
      <c r="D388" s="36" t="n"/>
      <c r="E388" s="36" t="n"/>
      <c r="F388" s="36" t="n"/>
      <c r="G388" s="36" t="n"/>
      <c r="H388" s="36" t="n"/>
      <c r="I388" s="37">
        <f>IF($A388="","",IFERROR($B388+$C388-$D388+$E388,0))</f>
        <v/>
      </c>
    </row>
    <row r="389">
      <c r="A389" s="36" t="n"/>
      <c r="B389" s="36" t="n"/>
      <c r="C389" s="36" t="n"/>
      <c r="D389" s="36" t="n"/>
      <c r="E389" s="36" t="n"/>
      <c r="F389" s="36" t="n"/>
      <c r="G389" s="36" t="n"/>
      <c r="H389" s="36" t="n"/>
      <c r="I389" s="37">
        <f>IF($A389="","",IFERROR($B389+$C389-$D389+$E389,0))</f>
        <v/>
      </c>
    </row>
    <row r="390">
      <c r="A390" s="36" t="n"/>
      <c r="B390" s="36" t="n"/>
      <c r="C390" s="36" t="n"/>
      <c r="D390" s="36" t="n"/>
      <c r="E390" s="36" t="n"/>
      <c r="F390" s="36" t="n"/>
      <c r="G390" s="36" t="n"/>
      <c r="H390" s="36" t="n"/>
      <c r="I390" s="37">
        <f>IF($A390="","",IFERROR($B390+$C390-$D390+$E390,0))</f>
        <v/>
      </c>
    </row>
    <row r="391">
      <c r="A391" s="36" t="n"/>
      <c r="B391" s="36" t="n"/>
      <c r="C391" s="36" t="n"/>
      <c r="D391" s="36" t="n"/>
      <c r="E391" s="36" t="n"/>
      <c r="F391" s="36" t="n"/>
      <c r="G391" s="36" t="n"/>
      <c r="H391" s="36" t="n"/>
      <c r="I391" s="37">
        <f>IF($A391="","",IFERROR($B391+$C391-$D391+$E391,0))</f>
        <v/>
      </c>
    </row>
    <row r="392">
      <c r="A392" s="36" t="n"/>
      <c r="B392" s="36" t="n"/>
      <c r="C392" s="36" t="n"/>
      <c r="D392" s="36" t="n"/>
      <c r="E392" s="36" t="n"/>
      <c r="F392" s="36" t="n"/>
      <c r="G392" s="36" t="n"/>
      <c r="H392" s="36" t="n"/>
      <c r="I392" s="37">
        <f>IF($A392="","",IFERROR($B392+$C392-$D392+$E392,0))</f>
        <v/>
      </c>
    </row>
    <row r="393">
      <c r="A393" s="36" t="n"/>
      <c r="B393" s="36" t="n"/>
      <c r="C393" s="36" t="n"/>
      <c r="D393" s="36" t="n"/>
      <c r="E393" s="36" t="n"/>
      <c r="F393" s="36" t="n"/>
      <c r="G393" s="36" t="n"/>
      <c r="H393" s="36" t="n"/>
      <c r="I393" s="37">
        <f>IF($A393="","",IFERROR($B393+$C393-$D393+$E393,0))</f>
        <v/>
      </c>
    </row>
    <row r="394">
      <c r="A394" s="36" t="n"/>
      <c r="B394" s="36" t="n"/>
      <c r="C394" s="36" t="n"/>
      <c r="D394" s="36" t="n"/>
      <c r="E394" s="36" t="n"/>
      <c r="F394" s="36" t="n"/>
      <c r="G394" s="36" t="n"/>
      <c r="H394" s="36" t="n"/>
      <c r="I394" s="37">
        <f>IF($A394="","",IFERROR($B394+$C394-$D394+$E394,0))</f>
        <v/>
      </c>
    </row>
    <row r="395">
      <c r="A395" s="36" t="n"/>
      <c r="B395" s="36" t="n"/>
      <c r="C395" s="36" t="n"/>
      <c r="D395" s="36" t="n"/>
      <c r="E395" s="36" t="n"/>
      <c r="F395" s="36" t="n"/>
      <c r="G395" s="36" t="n"/>
      <c r="H395" s="36" t="n"/>
      <c r="I395" s="37">
        <f>IF($A395="","",IFERROR($B395+$C395-$D395+$E395,0))</f>
        <v/>
      </c>
    </row>
    <row r="396">
      <c r="A396" s="36" t="n"/>
      <c r="B396" s="36" t="n"/>
      <c r="C396" s="36" t="n"/>
      <c r="D396" s="36" t="n"/>
      <c r="E396" s="36" t="n"/>
      <c r="F396" s="36" t="n"/>
      <c r="G396" s="36" t="n"/>
      <c r="H396" s="36" t="n"/>
      <c r="I396" s="37">
        <f>IF($A396="","",IFERROR($B396+$C396-$D396+$E396,0))</f>
        <v/>
      </c>
    </row>
    <row r="397">
      <c r="A397" s="36" t="n"/>
      <c r="B397" s="36" t="n"/>
      <c r="C397" s="36" t="n"/>
      <c r="D397" s="36" t="n"/>
      <c r="E397" s="36" t="n"/>
      <c r="F397" s="36" t="n"/>
      <c r="G397" s="36" t="n"/>
      <c r="H397" s="36" t="n"/>
      <c r="I397" s="37">
        <f>IF($A397="","",IFERROR($B397+$C397-$D397+$E397,0))</f>
        <v/>
      </c>
    </row>
    <row r="398">
      <c r="A398" s="36" t="n"/>
      <c r="B398" s="36" t="n"/>
      <c r="C398" s="36" t="n"/>
      <c r="D398" s="36" t="n"/>
      <c r="E398" s="36" t="n"/>
      <c r="F398" s="36" t="n"/>
      <c r="G398" s="36" t="n"/>
      <c r="H398" s="36" t="n"/>
      <c r="I398" s="37">
        <f>IF($A398="","",IFERROR($B398+$C398-$D398+$E398,0))</f>
        <v/>
      </c>
    </row>
    <row r="399">
      <c r="A399" s="36" t="n"/>
      <c r="B399" s="36" t="n"/>
      <c r="C399" s="36" t="n"/>
      <c r="D399" s="36" t="n"/>
      <c r="E399" s="36" t="n"/>
      <c r="F399" s="36" t="n"/>
      <c r="G399" s="36" t="n"/>
      <c r="H399" s="36" t="n"/>
      <c r="I399" s="37">
        <f>IF($A399="","",IFERROR($B399+$C399-$D399+$E399,0))</f>
        <v/>
      </c>
    </row>
    <row r="400">
      <c r="A400" s="36" t="n"/>
      <c r="B400" s="36" t="n"/>
      <c r="C400" s="36" t="n"/>
      <c r="D400" s="36" t="n"/>
      <c r="E400" s="36" t="n"/>
      <c r="F400" s="36" t="n"/>
      <c r="G400" s="36" t="n"/>
      <c r="H400" s="36" t="n"/>
      <c r="I400" s="37">
        <f>IF($A400="","",IFERROR($B400+$C400-$D400+$E400,0))</f>
        <v/>
      </c>
    </row>
    <row r="401">
      <c r="A401" s="36" t="n"/>
      <c r="B401" s="36" t="n"/>
      <c r="C401" s="36" t="n"/>
      <c r="D401" s="36" t="n"/>
      <c r="E401" s="36" t="n"/>
      <c r="F401" s="36" t="n"/>
      <c r="G401" s="36" t="n"/>
      <c r="H401" s="36" t="n"/>
      <c r="I401" s="37">
        <f>IF($A401="","",IFERROR($B401+$C401-$D401+$E401,0))</f>
        <v/>
      </c>
    </row>
    <row r="402">
      <c r="A402" s="36" t="n"/>
      <c r="B402" s="36" t="n"/>
      <c r="C402" s="36" t="n"/>
      <c r="D402" s="36" t="n"/>
      <c r="E402" s="36" t="n"/>
      <c r="F402" s="36" t="n"/>
      <c r="G402" s="36" t="n"/>
      <c r="H402" s="36" t="n"/>
      <c r="I402" s="37">
        <f>IF($A402="","",IFERROR($B402+$C402-$D402+$E402,0))</f>
        <v/>
      </c>
    </row>
    <row r="403">
      <c r="A403" s="36" t="n"/>
      <c r="B403" s="36" t="n"/>
      <c r="C403" s="36" t="n"/>
      <c r="D403" s="36" t="n"/>
      <c r="E403" s="36" t="n"/>
      <c r="F403" s="36" t="n"/>
      <c r="G403" s="36" t="n"/>
      <c r="H403" s="36" t="n"/>
      <c r="I403" s="37">
        <f>IF($A403="","",IFERROR($B403+$C403-$D403+$E403,0))</f>
        <v/>
      </c>
    </row>
    <row r="404">
      <c r="A404" s="36" t="n"/>
      <c r="B404" s="36" t="n"/>
      <c r="C404" s="36" t="n"/>
      <c r="D404" s="36" t="n"/>
      <c r="E404" s="36" t="n"/>
      <c r="F404" s="36" t="n"/>
      <c r="G404" s="36" t="n"/>
      <c r="H404" s="36" t="n"/>
      <c r="I404" s="37">
        <f>IF($A404="","",IFERROR($B404+$C404-$D404+$E404,0))</f>
        <v/>
      </c>
    </row>
    <row r="405">
      <c r="A405" s="36" t="n"/>
      <c r="B405" s="36" t="n"/>
      <c r="C405" s="36" t="n"/>
      <c r="D405" s="36" t="n"/>
      <c r="E405" s="36" t="n"/>
      <c r="F405" s="36" t="n"/>
      <c r="G405" s="36" t="n"/>
      <c r="H405" s="36" t="n"/>
      <c r="I405" s="37">
        <f>IF($A405="","",IFERROR($B405+$C405-$D405+$E405,0))</f>
        <v/>
      </c>
    </row>
    <row r="406">
      <c r="A406" s="36" t="n"/>
      <c r="B406" s="36" t="n"/>
      <c r="C406" s="36" t="n"/>
      <c r="D406" s="36" t="n"/>
      <c r="E406" s="36" t="n"/>
      <c r="F406" s="36" t="n"/>
      <c r="G406" s="36" t="n"/>
      <c r="H406" s="36" t="n"/>
      <c r="I406" s="37">
        <f>IF($A406="","",IFERROR($B406+$C406-$D406+$E406,0))</f>
        <v/>
      </c>
    </row>
    <row r="407">
      <c r="A407" s="36" t="n"/>
      <c r="B407" s="36" t="n"/>
      <c r="C407" s="36" t="n"/>
      <c r="D407" s="36" t="n"/>
      <c r="E407" s="36" t="n"/>
      <c r="F407" s="36" t="n"/>
      <c r="G407" s="36" t="n"/>
      <c r="H407" s="36" t="n"/>
      <c r="I407" s="37">
        <f>IF($A407="","",IFERROR($B407+$C407-$D407+$E407,0))</f>
        <v/>
      </c>
    </row>
    <row r="408">
      <c r="A408" s="36" t="n"/>
      <c r="B408" s="36" t="n"/>
      <c r="C408" s="36" t="n"/>
      <c r="D408" s="36" t="n"/>
      <c r="E408" s="36" t="n"/>
      <c r="F408" s="36" t="n"/>
      <c r="G408" s="36" t="n"/>
      <c r="H408" s="36" t="n"/>
      <c r="I408" s="37">
        <f>IF($A408="","",IFERROR($B408+$C408-$D408+$E408,0))</f>
        <v/>
      </c>
    </row>
    <row r="409">
      <c r="A409" s="36" t="n"/>
      <c r="B409" s="36" t="n"/>
      <c r="C409" s="36" t="n"/>
      <c r="D409" s="36" t="n"/>
      <c r="E409" s="36" t="n"/>
      <c r="F409" s="36" t="n"/>
      <c r="G409" s="36" t="n"/>
      <c r="H409" s="36" t="n"/>
      <c r="I409" s="37">
        <f>IF($A409="","",IFERROR($B409+$C409-$D409+$E409,0))</f>
        <v/>
      </c>
    </row>
    <row r="410">
      <c r="A410" s="36" t="n"/>
      <c r="B410" s="36" t="n"/>
      <c r="C410" s="36" t="n"/>
      <c r="D410" s="36" t="n"/>
      <c r="E410" s="36" t="n"/>
      <c r="F410" s="36" t="n"/>
      <c r="G410" s="36" t="n"/>
      <c r="H410" s="36" t="n"/>
      <c r="I410" s="37">
        <f>IF($A410="","",IFERROR($B410+$C410-$D410+$E410,0))</f>
        <v/>
      </c>
    </row>
    <row r="411">
      <c r="A411" s="36" t="n"/>
      <c r="B411" s="36" t="n"/>
      <c r="C411" s="36" t="n"/>
      <c r="D411" s="36" t="n"/>
      <c r="E411" s="36" t="n"/>
      <c r="F411" s="36" t="n"/>
      <c r="G411" s="36" t="n"/>
      <c r="H411" s="36" t="n"/>
      <c r="I411" s="37">
        <f>IF($A411="","",IFERROR($B411+$C411-$D411+$E411,0))</f>
        <v/>
      </c>
    </row>
    <row r="412">
      <c r="A412" s="36" t="n"/>
      <c r="B412" s="36" t="n"/>
      <c r="C412" s="36" t="n"/>
      <c r="D412" s="36" t="n"/>
      <c r="E412" s="36" t="n"/>
      <c r="F412" s="36" t="n"/>
      <c r="G412" s="36" t="n"/>
      <c r="H412" s="36" t="n"/>
      <c r="I412" s="37">
        <f>IF($A412="","",IFERROR($B412+$C412-$D412+$E412,0))</f>
        <v/>
      </c>
    </row>
    <row r="413">
      <c r="A413" s="36" t="n"/>
      <c r="B413" s="36" t="n"/>
      <c r="C413" s="36" t="n"/>
      <c r="D413" s="36" t="n"/>
      <c r="E413" s="36" t="n"/>
      <c r="F413" s="36" t="n"/>
      <c r="G413" s="36" t="n"/>
      <c r="H413" s="36" t="n"/>
      <c r="I413" s="37">
        <f>IF($A413="","",IFERROR($B413+$C413-$D413+$E413,0))</f>
        <v/>
      </c>
    </row>
    <row r="414">
      <c r="A414" s="36" t="n"/>
      <c r="B414" s="36" t="n"/>
      <c r="C414" s="36" t="n"/>
      <c r="D414" s="36" t="n"/>
      <c r="E414" s="36" t="n"/>
      <c r="F414" s="36" t="n"/>
      <c r="G414" s="36" t="n"/>
      <c r="H414" s="36" t="n"/>
      <c r="I414" s="37">
        <f>IF($A414="","",IFERROR($B414+$C414-$D414+$E414,0))</f>
        <v/>
      </c>
    </row>
    <row r="415">
      <c r="A415" s="36" t="n"/>
      <c r="B415" s="36" t="n"/>
      <c r="C415" s="36" t="n"/>
      <c r="D415" s="36" t="n"/>
      <c r="E415" s="36" t="n"/>
      <c r="F415" s="36" t="n"/>
      <c r="G415" s="36" t="n"/>
      <c r="H415" s="36" t="n"/>
      <c r="I415" s="37">
        <f>IF($A415="","",IFERROR($B415+$C415-$D415+$E415,0))</f>
        <v/>
      </c>
    </row>
    <row r="416">
      <c r="A416" s="36" t="n"/>
      <c r="B416" s="36" t="n"/>
      <c r="C416" s="36" t="n"/>
      <c r="D416" s="36" t="n"/>
      <c r="E416" s="36" t="n"/>
      <c r="F416" s="36" t="n"/>
      <c r="G416" s="36" t="n"/>
      <c r="H416" s="36" t="n"/>
      <c r="I416" s="37">
        <f>IF($A416="","",IFERROR($B416+$C416-$D416+$E416,0))</f>
        <v/>
      </c>
    </row>
    <row r="417">
      <c r="A417" s="36" t="n"/>
      <c r="B417" s="36" t="n"/>
      <c r="C417" s="36" t="n"/>
      <c r="D417" s="36" t="n"/>
      <c r="E417" s="36" t="n"/>
      <c r="F417" s="36" t="n"/>
      <c r="G417" s="36" t="n"/>
      <c r="H417" s="36" t="n"/>
      <c r="I417" s="37">
        <f>IF($A417="","",IFERROR($B417+$C417-$D417+$E417,0))</f>
        <v/>
      </c>
    </row>
    <row r="418">
      <c r="A418" s="36" t="n"/>
      <c r="B418" s="36" t="n"/>
      <c r="C418" s="36" t="n"/>
      <c r="D418" s="36" t="n"/>
      <c r="E418" s="36" t="n"/>
      <c r="F418" s="36" t="n"/>
      <c r="G418" s="36" t="n"/>
      <c r="H418" s="36" t="n"/>
      <c r="I418" s="37">
        <f>IF($A418="","",IFERROR($B418+$C418-$D418+$E418,0))</f>
        <v/>
      </c>
    </row>
    <row r="419">
      <c r="A419" s="36" t="n"/>
      <c r="B419" s="36" t="n"/>
      <c r="C419" s="36" t="n"/>
      <c r="D419" s="36" t="n"/>
      <c r="E419" s="36" t="n"/>
      <c r="F419" s="36" t="n"/>
      <c r="G419" s="36" t="n"/>
      <c r="H419" s="36" t="n"/>
      <c r="I419" s="37">
        <f>IF($A419="","",IFERROR($B419+$C419-$D419+$E419,0))</f>
        <v/>
      </c>
    </row>
    <row r="420">
      <c r="A420" s="36" t="n"/>
      <c r="B420" s="36" t="n"/>
      <c r="C420" s="36" t="n"/>
      <c r="D420" s="36" t="n"/>
      <c r="E420" s="36" t="n"/>
      <c r="F420" s="36" t="n"/>
      <c r="G420" s="36" t="n"/>
      <c r="H420" s="36" t="n"/>
      <c r="I420" s="37">
        <f>IF($A420="","",IFERROR($B420+$C420-$D420+$E420,0))</f>
        <v/>
      </c>
    </row>
    <row r="421">
      <c r="A421" s="36" t="n"/>
      <c r="B421" s="36" t="n"/>
      <c r="C421" s="36" t="n"/>
      <c r="D421" s="36" t="n"/>
      <c r="E421" s="36" t="n"/>
      <c r="F421" s="36" t="n"/>
      <c r="G421" s="36" t="n"/>
      <c r="H421" s="36" t="n"/>
      <c r="I421" s="37">
        <f>IF($A421="","",IFERROR($B421+$C421-$D421+$E421,0))</f>
        <v/>
      </c>
    </row>
    <row r="422">
      <c r="A422" s="36" t="n"/>
      <c r="B422" s="36" t="n"/>
      <c r="C422" s="36" t="n"/>
      <c r="D422" s="36" t="n"/>
      <c r="E422" s="36" t="n"/>
      <c r="F422" s="36" t="n"/>
      <c r="G422" s="36" t="n"/>
      <c r="H422" s="36" t="n"/>
      <c r="I422" s="37">
        <f>IF($A422="","",IFERROR($B422+$C422-$D422+$E422,0))</f>
        <v/>
      </c>
    </row>
    <row r="423">
      <c r="A423" s="36" t="n"/>
      <c r="B423" s="36" t="n"/>
      <c r="C423" s="36" t="n"/>
      <c r="D423" s="36" t="n"/>
      <c r="E423" s="36" t="n"/>
      <c r="F423" s="36" t="n"/>
      <c r="G423" s="36" t="n"/>
      <c r="H423" s="36" t="n"/>
      <c r="I423" s="37">
        <f>IF($A423="","",IFERROR($B423+$C423-$D423+$E423,0))</f>
        <v/>
      </c>
    </row>
    <row r="424">
      <c r="A424" s="36" t="n"/>
      <c r="B424" s="36" t="n"/>
      <c r="C424" s="36" t="n"/>
      <c r="D424" s="36" t="n"/>
      <c r="E424" s="36" t="n"/>
      <c r="F424" s="36" t="n"/>
      <c r="G424" s="36" t="n"/>
      <c r="H424" s="36" t="n"/>
      <c r="I424" s="37">
        <f>IF($A424="","",IFERROR($B424+$C424-$D424+$E424,0))</f>
        <v/>
      </c>
    </row>
    <row r="425">
      <c r="A425" s="36" t="n"/>
      <c r="B425" s="36" t="n"/>
      <c r="C425" s="36" t="n"/>
      <c r="D425" s="36" t="n"/>
      <c r="E425" s="36" t="n"/>
      <c r="F425" s="36" t="n"/>
      <c r="G425" s="36" t="n"/>
      <c r="H425" s="36" t="n"/>
      <c r="I425" s="37">
        <f>IF($A425="","",IFERROR($B425+$C425-$D425+$E425,0))</f>
        <v/>
      </c>
    </row>
    <row r="426">
      <c r="A426" s="36" t="n"/>
      <c r="B426" s="36" t="n"/>
      <c r="C426" s="36" t="n"/>
      <c r="D426" s="36" t="n"/>
      <c r="E426" s="36" t="n"/>
      <c r="F426" s="36" t="n"/>
      <c r="G426" s="36" t="n"/>
      <c r="H426" s="36" t="n"/>
      <c r="I426" s="37">
        <f>IF($A426="","",IFERROR($B426+$C426-$D426+$E426,0))</f>
        <v/>
      </c>
    </row>
    <row r="427">
      <c r="A427" s="36" t="n"/>
      <c r="B427" s="36" t="n"/>
      <c r="C427" s="36" t="n"/>
      <c r="D427" s="36" t="n"/>
      <c r="E427" s="36" t="n"/>
      <c r="F427" s="36" t="n"/>
      <c r="G427" s="36" t="n"/>
      <c r="H427" s="36" t="n"/>
      <c r="I427" s="37">
        <f>IF($A427="","",IFERROR($B427+$C427-$D427+$E427,0))</f>
        <v/>
      </c>
    </row>
    <row r="428">
      <c r="A428" s="36" t="n"/>
      <c r="B428" s="36" t="n"/>
      <c r="C428" s="36" t="n"/>
      <c r="D428" s="36" t="n"/>
      <c r="E428" s="36" t="n"/>
      <c r="F428" s="36" t="n"/>
      <c r="G428" s="36" t="n"/>
      <c r="H428" s="36" t="n"/>
      <c r="I428" s="37">
        <f>IF($A428="","",IFERROR($B428+$C428-$D428+$E428,0))</f>
        <v/>
      </c>
    </row>
    <row r="429">
      <c r="A429" s="36" t="n"/>
      <c r="B429" s="36" t="n"/>
      <c r="C429" s="36" t="n"/>
      <c r="D429" s="36" t="n"/>
      <c r="E429" s="36" t="n"/>
      <c r="F429" s="36" t="n"/>
      <c r="G429" s="36" t="n"/>
      <c r="H429" s="36" t="n"/>
      <c r="I429" s="37">
        <f>IF($A429="","",IFERROR($B429+$C429-$D429+$E429,0))</f>
        <v/>
      </c>
    </row>
    <row r="430">
      <c r="A430" s="36" t="n"/>
      <c r="B430" s="36" t="n"/>
      <c r="C430" s="36" t="n"/>
      <c r="D430" s="36" t="n"/>
      <c r="E430" s="36" t="n"/>
      <c r="F430" s="36" t="n"/>
      <c r="G430" s="36" t="n"/>
      <c r="H430" s="36" t="n"/>
      <c r="I430" s="37">
        <f>IF($A430="","",IFERROR($B430+$C430-$D430+$E430,0))</f>
        <v/>
      </c>
    </row>
    <row r="431">
      <c r="A431" s="36" t="n"/>
      <c r="B431" s="36" t="n"/>
      <c r="C431" s="36" t="n"/>
      <c r="D431" s="36" t="n"/>
      <c r="E431" s="36" t="n"/>
      <c r="F431" s="36" t="n"/>
      <c r="G431" s="36" t="n"/>
      <c r="H431" s="36" t="n"/>
      <c r="I431" s="37">
        <f>IF($A431="","",IFERROR($B431+$C431-$D431+$E431,0))</f>
        <v/>
      </c>
    </row>
    <row r="432">
      <c r="A432" s="36" t="n"/>
      <c r="B432" s="36" t="n"/>
      <c r="C432" s="36" t="n"/>
      <c r="D432" s="36" t="n"/>
      <c r="E432" s="36" t="n"/>
      <c r="F432" s="36" t="n"/>
      <c r="G432" s="36" t="n"/>
      <c r="H432" s="36" t="n"/>
      <c r="I432" s="37">
        <f>IF($A432="","",IFERROR($B432+$C432-$D432+$E432,0))</f>
        <v/>
      </c>
    </row>
    <row r="433">
      <c r="A433" s="36" t="n"/>
      <c r="B433" s="36" t="n"/>
      <c r="C433" s="36" t="n"/>
      <c r="D433" s="36" t="n"/>
      <c r="E433" s="36" t="n"/>
      <c r="F433" s="36" t="n"/>
      <c r="G433" s="36" t="n"/>
      <c r="H433" s="36" t="n"/>
      <c r="I433" s="37">
        <f>IF($A433="","",IFERROR($B433+$C433-$D433+$E433,0))</f>
        <v/>
      </c>
    </row>
    <row r="434">
      <c r="A434" s="36" t="n"/>
      <c r="B434" s="36" t="n"/>
      <c r="C434" s="36" t="n"/>
      <c r="D434" s="36" t="n"/>
      <c r="E434" s="36" t="n"/>
      <c r="F434" s="36" t="n"/>
      <c r="G434" s="36" t="n"/>
      <c r="H434" s="36" t="n"/>
      <c r="I434" s="37">
        <f>IF($A434="","",IFERROR($B434+$C434-$D434+$E434,0))</f>
        <v/>
      </c>
    </row>
    <row r="435">
      <c r="A435" s="36" t="n"/>
      <c r="B435" s="36" t="n"/>
      <c r="C435" s="36" t="n"/>
      <c r="D435" s="36" t="n"/>
      <c r="E435" s="36" t="n"/>
      <c r="F435" s="36" t="n"/>
      <c r="G435" s="36" t="n"/>
      <c r="H435" s="36" t="n"/>
      <c r="I435" s="37">
        <f>IF($A435="","",IFERROR($B435+$C435-$D435+$E435,0))</f>
        <v/>
      </c>
    </row>
    <row r="436">
      <c r="A436" s="36" t="n"/>
      <c r="B436" s="36" t="n"/>
      <c r="C436" s="36" t="n"/>
      <c r="D436" s="36" t="n"/>
      <c r="E436" s="36" t="n"/>
      <c r="F436" s="36" t="n"/>
      <c r="G436" s="36" t="n"/>
      <c r="H436" s="36" t="n"/>
      <c r="I436" s="37">
        <f>IF($A436="","",IFERROR($B436+$C436-$D436+$E436,0))</f>
        <v/>
      </c>
    </row>
    <row r="437">
      <c r="A437" s="36" t="n"/>
      <c r="B437" s="36" t="n"/>
      <c r="C437" s="36" t="n"/>
      <c r="D437" s="36" t="n"/>
      <c r="E437" s="36" t="n"/>
      <c r="F437" s="36" t="n"/>
      <c r="G437" s="36" t="n"/>
      <c r="H437" s="36" t="n"/>
      <c r="I437" s="37">
        <f>IF($A437="","",IFERROR($B437+$C437-$D437+$E437,0))</f>
        <v/>
      </c>
    </row>
    <row r="438">
      <c r="A438" s="36" t="n"/>
      <c r="B438" s="36" t="n"/>
      <c r="C438" s="36" t="n"/>
      <c r="D438" s="36" t="n"/>
      <c r="E438" s="36" t="n"/>
      <c r="F438" s="36" t="n"/>
      <c r="G438" s="36" t="n"/>
      <c r="H438" s="36" t="n"/>
      <c r="I438" s="37">
        <f>IF($A438="","",IFERROR($B438+$C438-$D438+$E438,0))</f>
        <v/>
      </c>
    </row>
    <row r="439">
      <c r="A439" s="36" t="n"/>
      <c r="B439" s="36" t="n"/>
      <c r="C439" s="36" t="n"/>
      <c r="D439" s="36" t="n"/>
      <c r="E439" s="36" t="n"/>
      <c r="F439" s="36" t="n"/>
      <c r="G439" s="36" t="n"/>
      <c r="H439" s="36" t="n"/>
      <c r="I439" s="37">
        <f>IF($A439="","",IFERROR($B439+$C439-$D439+$E439,0))</f>
        <v/>
      </c>
    </row>
    <row r="440">
      <c r="A440" s="36" t="n"/>
      <c r="B440" s="36" t="n"/>
      <c r="C440" s="36" t="n"/>
      <c r="D440" s="36" t="n"/>
      <c r="E440" s="36" t="n"/>
      <c r="F440" s="36" t="n"/>
      <c r="G440" s="36" t="n"/>
      <c r="H440" s="36" t="n"/>
      <c r="I440" s="37">
        <f>IF($A440="","",IFERROR($B440+$C440-$D440+$E440,0))</f>
        <v/>
      </c>
    </row>
    <row r="441">
      <c r="A441" s="36" t="n"/>
      <c r="B441" s="36" t="n"/>
      <c r="C441" s="36" t="n"/>
      <c r="D441" s="36" t="n"/>
      <c r="E441" s="36" t="n"/>
      <c r="F441" s="36" t="n"/>
      <c r="G441" s="36" t="n"/>
      <c r="H441" s="36" t="n"/>
      <c r="I441" s="37">
        <f>IF($A441="","",IFERROR($B441+$C441-$D441+$E441,0))</f>
        <v/>
      </c>
    </row>
    <row r="442">
      <c r="A442" s="36" t="n"/>
      <c r="B442" s="36" t="n"/>
      <c r="C442" s="36" t="n"/>
      <c r="D442" s="36" t="n"/>
      <c r="E442" s="36" t="n"/>
      <c r="F442" s="36" t="n"/>
      <c r="G442" s="36" t="n"/>
      <c r="H442" s="36" t="n"/>
      <c r="I442" s="37">
        <f>IF($A442="","",IFERROR($B442+$C442-$D442+$E442,0))</f>
        <v/>
      </c>
    </row>
    <row r="443">
      <c r="A443" s="36" t="n"/>
      <c r="B443" s="36" t="n"/>
      <c r="C443" s="36" t="n"/>
      <c r="D443" s="36" t="n"/>
      <c r="E443" s="36" t="n"/>
      <c r="F443" s="36" t="n"/>
      <c r="G443" s="36" t="n"/>
      <c r="H443" s="36" t="n"/>
      <c r="I443" s="37">
        <f>IF($A443="","",IFERROR($B443+$C443-$D443+$E443,0))</f>
        <v/>
      </c>
    </row>
    <row r="444">
      <c r="A444" s="36" t="n"/>
      <c r="B444" s="36" t="n"/>
      <c r="C444" s="36" t="n"/>
      <c r="D444" s="36" t="n"/>
      <c r="E444" s="36" t="n"/>
      <c r="F444" s="36" t="n"/>
      <c r="G444" s="36" t="n"/>
      <c r="H444" s="36" t="n"/>
      <c r="I444" s="37">
        <f>IF($A444="","",IFERROR($B444+$C444-$D444+$E444,0))</f>
        <v/>
      </c>
    </row>
    <row r="445">
      <c r="A445" s="36" t="n"/>
      <c r="B445" s="36" t="n"/>
      <c r="C445" s="36" t="n"/>
      <c r="D445" s="36" t="n"/>
      <c r="E445" s="36" t="n"/>
      <c r="F445" s="36" t="n"/>
      <c r="G445" s="36" t="n"/>
      <c r="H445" s="36" t="n"/>
      <c r="I445" s="37">
        <f>IF($A445="","",IFERROR($B445+$C445-$D445+$E445,0))</f>
        <v/>
      </c>
    </row>
    <row r="446">
      <c r="A446" s="36" t="n"/>
      <c r="B446" s="36" t="n"/>
      <c r="C446" s="36" t="n"/>
      <c r="D446" s="36" t="n"/>
      <c r="E446" s="36" t="n"/>
      <c r="F446" s="36" t="n"/>
      <c r="G446" s="36" t="n"/>
      <c r="H446" s="36" t="n"/>
      <c r="I446" s="37">
        <f>IF($A446="","",IFERROR($B446+$C446-$D446+$E446,0))</f>
        <v/>
      </c>
    </row>
    <row r="447">
      <c r="A447" s="36" t="n"/>
      <c r="B447" s="36" t="n"/>
      <c r="C447" s="36" t="n"/>
      <c r="D447" s="36" t="n"/>
      <c r="E447" s="36" t="n"/>
      <c r="F447" s="36" t="n"/>
      <c r="G447" s="36" t="n"/>
      <c r="H447" s="36" t="n"/>
      <c r="I447" s="37">
        <f>IF($A447="","",IFERROR($B447+$C447-$D447+$E447,0))</f>
        <v/>
      </c>
    </row>
    <row r="448">
      <c r="A448" s="36" t="n"/>
      <c r="B448" s="36" t="n"/>
      <c r="C448" s="36" t="n"/>
      <c r="D448" s="36" t="n"/>
      <c r="E448" s="36" t="n"/>
      <c r="F448" s="36" t="n"/>
      <c r="G448" s="36" t="n"/>
      <c r="H448" s="36" t="n"/>
      <c r="I448" s="37">
        <f>IF($A448="","",IFERROR($B448+$C448-$D448+$E448,0))</f>
        <v/>
      </c>
    </row>
    <row r="449">
      <c r="A449" s="36" t="n"/>
      <c r="B449" s="36" t="n"/>
      <c r="C449" s="36" t="n"/>
      <c r="D449" s="36" t="n"/>
      <c r="E449" s="36" t="n"/>
      <c r="F449" s="36" t="n"/>
      <c r="G449" s="36" t="n"/>
      <c r="H449" s="36" t="n"/>
      <c r="I449" s="37">
        <f>IF($A449="","",IFERROR($B449+$C449-$D449+$E449,0))</f>
        <v/>
      </c>
    </row>
    <row r="450">
      <c r="A450" s="36" t="n"/>
      <c r="B450" s="36" t="n"/>
      <c r="C450" s="36" t="n"/>
      <c r="D450" s="36" t="n"/>
      <c r="E450" s="36" t="n"/>
      <c r="F450" s="36" t="n"/>
      <c r="G450" s="36" t="n"/>
      <c r="H450" s="36" t="n"/>
      <c r="I450" s="37">
        <f>IF($A450="","",IFERROR($B450+$C450-$D450+$E450,0))</f>
        <v/>
      </c>
    </row>
    <row r="451">
      <c r="A451" s="36" t="n"/>
      <c r="B451" s="36" t="n"/>
      <c r="C451" s="36" t="n"/>
      <c r="D451" s="36" t="n"/>
      <c r="E451" s="36" t="n"/>
      <c r="F451" s="36" t="n"/>
      <c r="G451" s="36" t="n"/>
      <c r="H451" s="36" t="n"/>
      <c r="I451" s="37">
        <f>IF($A451="","",IFERROR($B451+$C451-$D451+$E451,0))</f>
        <v/>
      </c>
    </row>
    <row r="452">
      <c r="A452" s="36" t="n"/>
      <c r="B452" s="36" t="n"/>
      <c r="C452" s="36" t="n"/>
      <c r="D452" s="36" t="n"/>
      <c r="E452" s="36" t="n"/>
      <c r="F452" s="36" t="n"/>
      <c r="G452" s="36" t="n"/>
      <c r="H452" s="36" t="n"/>
      <c r="I452" s="37">
        <f>IF($A452="","",IFERROR($B452+$C452-$D452+$E452,0))</f>
        <v/>
      </c>
    </row>
    <row r="453">
      <c r="A453" s="36" t="n"/>
      <c r="B453" s="36" t="n"/>
      <c r="C453" s="36" t="n"/>
      <c r="D453" s="36" t="n"/>
      <c r="E453" s="36" t="n"/>
      <c r="F453" s="36" t="n"/>
      <c r="G453" s="36" t="n"/>
      <c r="H453" s="36" t="n"/>
      <c r="I453" s="37">
        <f>IF($A453="","",IFERROR($B453+$C453-$D453+$E453,0))</f>
        <v/>
      </c>
    </row>
    <row r="454">
      <c r="A454" s="36" t="n"/>
      <c r="B454" s="36" t="n"/>
      <c r="C454" s="36" t="n"/>
      <c r="D454" s="36" t="n"/>
      <c r="E454" s="36" t="n"/>
      <c r="F454" s="36" t="n"/>
      <c r="G454" s="36" t="n"/>
      <c r="H454" s="36" t="n"/>
      <c r="I454" s="37">
        <f>IF($A454="","",IFERROR($B454+$C454-$D454+$E454,0))</f>
        <v/>
      </c>
    </row>
    <row r="455">
      <c r="A455" s="36" t="n"/>
      <c r="B455" s="36" t="n"/>
      <c r="C455" s="36" t="n"/>
      <c r="D455" s="36" t="n"/>
      <c r="E455" s="36" t="n"/>
      <c r="F455" s="36" t="n"/>
      <c r="G455" s="36" t="n"/>
      <c r="H455" s="36" t="n"/>
      <c r="I455" s="37">
        <f>IF($A455="","",IFERROR($B455+$C455-$D455+$E455,0))</f>
        <v/>
      </c>
    </row>
    <row r="456">
      <c r="A456" s="36" t="n"/>
      <c r="B456" s="36" t="n"/>
      <c r="C456" s="36" t="n"/>
      <c r="D456" s="36" t="n"/>
      <c r="E456" s="36" t="n"/>
      <c r="F456" s="36" t="n"/>
      <c r="G456" s="36" t="n"/>
      <c r="H456" s="36" t="n"/>
      <c r="I456" s="37">
        <f>IF($A456="","",IFERROR($B456+$C456-$D456+$E456,0))</f>
        <v/>
      </c>
    </row>
    <row r="457">
      <c r="A457" s="36" t="n"/>
      <c r="B457" s="36" t="n"/>
      <c r="C457" s="36" t="n"/>
      <c r="D457" s="36" t="n"/>
      <c r="E457" s="36" t="n"/>
      <c r="F457" s="36" t="n"/>
      <c r="G457" s="36" t="n"/>
      <c r="H457" s="36" t="n"/>
      <c r="I457" s="37">
        <f>IF($A457="","",IFERROR($B457+$C457-$D457+$E457,0))</f>
        <v/>
      </c>
    </row>
    <row r="458">
      <c r="A458" s="36" t="n"/>
      <c r="B458" s="36" t="n"/>
      <c r="C458" s="36" t="n"/>
      <c r="D458" s="36" t="n"/>
      <c r="E458" s="36" t="n"/>
      <c r="F458" s="36" t="n"/>
      <c r="G458" s="36" t="n"/>
      <c r="H458" s="36" t="n"/>
      <c r="I458" s="37">
        <f>IF($A458="","",IFERROR($B458+$C458-$D458+$E458,0))</f>
        <v/>
      </c>
    </row>
    <row r="459">
      <c r="A459" s="36" t="n"/>
      <c r="B459" s="36" t="n"/>
      <c r="C459" s="36" t="n"/>
      <c r="D459" s="36" t="n"/>
      <c r="E459" s="36" t="n"/>
      <c r="F459" s="36" t="n"/>
      <c r="G459" s="36" t="n"/>
      <c r="H459" s="36" t="n"/>
      <c r="I459" s="37">
        <f>IF($A459="","",IFERROR($B459+$C459-$D459+$E459,0))</f>
        <v/>
      </c>
    </row>
    <row r="460">
      <c r="A460" s="36" t="n"/>
      <c r="B460" s="36" t="n"/>
      <c r="C460" s="36" t="n"/>
      <c r="D460" s="36" t="n"/>
      <c r="E460" s="36" t="n"/>
      <c r="F460" s="36" t="n"/>
      <c r="G460" s="36" t="n"/>
      <c r="H460" s="36" t="n"/>
      <c r="I460" s="37">
        <f>IF($A460="","",IFERROR($B460+$C460-$D460+$E460,0))</f>
        <v/>
      </c>
    </row>
    <row r="461">
      <c r="A461" s="36" t="n"/>
      <c r="B461" s="36" t="n"/>
      <c r="C461" s="36" t="n"/>
      <c r="D461" s="36" t="n"/>
      <c r="E461" s="36" t="n"/>
      <c r="F461" s="36" t="n"/>
      <c r="G461" s="36" t="n"/>
      <c r="H461" s="36" t="n"/>
      <c r="I461" s="37">
        <f>IF($A461="","",IFERROR($B461+$C461-$D461+$E461,0))</f>
        <v/>
      </c>
    </row>
    <row r="462">
      <c r="A462" s="36" t="n"/>
      <c r="B462" s="36" t="n"/>
      <c r="C462" s="36" t="n"/>
      <c r="D462" s="36" t="n"/>
      <c r="E462" s="36" t="n"/>
      <c r="F462" s="36" t="n"/>
      <c r="G462" s="36" t="n"/>
      <c r="H462" s="36" t="n"/>
      <c r="I462" s="37">
        <f>IF($A462="","",IFERROR($B462+$C462-$D462+$E462,0))</f>
        <v/>
      </c>
    </row>
    <row r="463">
      <c r="A463" s="36" t="n"/>
      <c r="B463" s="36" t="n"/>
      <c r="C463" s="36" t="n"/>
      <c r="D463" s="36" t="n"/>
      <c r="E463" s="36" t="n"/>
      <c r="F463" s="36" t="n"/>
      <c r="G463" s="36" t="n"/>
      <c r="H463" s="36" t="n"/>
      <c r="I463" s="37">
        <f>IF($A463="","",IFERROR($B463+$C463-$D463+$E463,0))</f>
        <v/>
      </c>
    </row>
    <row r="464">
      <c r="A464" s="36" t="n"/>
      <c r="B464" s="36" t="n"/>
      <c r="C464" s="36" t="n"/>
      <c r="D464" s="36" t="n"/>
      <c r="E464" s="36" t="n"/>
      <c r="F464" s="36" t="n"/>
      <c r="G464" s="36" t="n"/>
      <c r="H464" s="36" t="n"/>
      <c r="I464" s="37">
        <f>IF($A464="","",IFERROR($B464+$C464-$D464+$E464,0))</f>
        <v/>
      </c>
    </row>
    <row r="465">
      <c r="A465" s="36" t="n"/>
      <c r="B465" s="36" t="n"/>
      <c r="C465" s="36" t="n"/>
      <c r="D465" s="36" t="n"/>
      <c r="E465" s="36" t="n"/>
      <c r="F465" s="36" t="n"/>
      <c r="G465" s="36" t="n"/>
      <c r="H465" s="36" t="n"/>
      <c r="I465" s="37">
        <f>IF($A465="","",IFERROR($B465+$C465-$D465+$E465,0))</f>
        <v/>
      </c>
    </row>
    <row r="466">
      <c r="A466" s="36" t="n"/>
      <c r="B466" s="36" t="n"/>
      <c r="C466" s="36" t="n"/>
      <c r="D466" s="36" t="n"/>
      <c r="E466" s="36" t="n"/>
      <c r="F466" s="36" t="n"/>
      <c r="G466" s="36" t="n"/>
      <c r="H466" s="36" t="n"/>
      <c r="I466" s="37">
        <f>IF($A466="","",IFERROR($B466+$C466-$D466+$E466,0))</f>
        <v/>
      </c>
    </row>
    <row r="467">
      <c r="A467" s="36" t="n"/>
      <c r="B467" s="36" t="n"/>
      <c r="C467" s="36" t="n"/>
      <c r="D467" s="36" t="n"/>
      <c r="E467" s="36" t="n"/>
      <c r="F467" s="36" t="n"/>
      <c r="G467" s="36" t="n"/>
      <c r="H467" s="36" t="n"/>
      <c r="I467" s="37">
        <f>IF($A467="","",IFERROR($B467+$C467-$D467+$E467,0))</f>
        <v/>
      </c>
    </row>
    <row r="468">
      <c r="A468" s="36" t="n"/>
      <c r="B468" s="36" t="n"/>
      <c r="C468" s="36" t="n"/>
      <c r="D468" s="36" t="n"/>
      <c r="E468" s="36" t="n"/>
      <c r="F468" s="36" t="n"/>
      <c r="G468" s="36" t="n"/>
      <c r="H468" s="36" t="n"/>
      <c r="I468" s="37">
        <f>IF($A468="","",IFERROR($B468+$C468-$D468+$E468,0))</f>
        <v/>
      </c>
    </row>
    <row r="469">
      <c r="A469" s="36" t="n"/>
      <c r="B469" s="36" t="n"/>
      <c r="C469" s="36" t="n"/>
      <c r="D469" s="36" t="n"/>
      <c r="E469" s="36" t="n"/>
      <c r="F469" s="36" t="n"/>
      <c r="G469" s="36" t="n"/>
      <c r="H469" s="36" t="n"/>
      <c r="I469" s="37">
        <f>IF($A469="","",IFERROR($B469+$C469-$D469+$E469,0))</f>
        <v/>
      </c>
    </row>
    <row r="470">
      <c r="A470" s="36" t="n"/>
      <c r="B470" s="36" t="n"/>
      <c r="C470" s="36" t="n"/>
      <c r="D470" s="36" t="n"/>
      <c r="E470" s="36" t="n"/>
      <c r="F470" s="36" t="n"/>
      <c r="G470" s="36" t="n"/>
      <c r="H470" s="36" t="n"/>
      <c r="I470" s="37">
        <f>IF($A470="","",IFERROR($B470+$C470-$D470+$E470,0))</f>
        <v/>
      </c>
    </row>
    <row r="471">
      <c r="A471" s="36" t="n"/>
      <c r="B471" s="36" t="n"/>
      <c r="C471" s="36" t="n"/>
      <c r="D471" s="36" t="n"/>
      <c r="E471" s="36" t="n"/>
      <c r="F471" s="36" t="n"/>
      <c r="G471" s="36" t="n"/>
      <c r="H471" s="36" t="n"/>
      <c r="I471" s="37">
        <f>IF($A471="","",IFERROR($B471+$C471-$D471+$E471,0))</f>
        <v/>
      </c>
    </row>
    <row r="472">
      <c r="A472" s="36" t="n"/>
      <c r="B472" s="36" t="n"/>
      <c r="C472" s="36" t="n"/>
      <c r="D472" s="36" t="n"/>
      <c r="E472" s="36" t="n"/>
      <c r="F472" s="36" t="n"/>
      <c r="G472" s="36" t="n"/>
      <c r="H472" s="36" t="n"/>
      <c r="I472" s="37">
        <f>IF($A472="","",IFERROR($B472+$C472-$D472+$E472,0))</f>
        <v/>
      </c>
    </row>
    <row r="473">
      <c r="A473" s="36" t="n"/>
      <c r="B473" s="36" t="n"/>
      <c r="C473" s="36" t="n"/>
      <c r="D473" s="36" t="n"/>
      <c r="E473" s="36" t="n"/>
      <c r="F473" s="36" t="n"/>
      <c r="G473" s="36" t="n"/>
      <c r="H473" s="36" t="n"/>
      <c r="I473" s="37">
        <f>IF($A473="","",IFERROR($B473+$C473-$D473+$E473,0))</f>
        <v/>
      </c>
    </row>
    <row r="474">
      <c r="A474" s="36" t="n"/>
      <c r="B474" s="36" t="n"/>
      <c r="C474" s="36" t="n"/>
      <c r="D474" s="36" t="n"/>
      <c r="E474" s="36" t="n"/>
      <c r="F474" s="36" t="n"/>
      <c r="G474" s="36" t="n"/>
      <c r="H474" s="36" t="n"/>
      <c r="I474" s="37">
        <f>IF($A474="","",IFERROR($B474+$C474-$D474+$E474,0))</f>
        <v/>
      </c>
    </row>
    <row r="475">
      <c r="A475" s="36" t="n"/>
      <c r="B475" s="36" t="n"/>
      <c r="C475" s="36" t="n"/>
      <c r="D475" s="36" t="n"/>
      <c r="E475" s="36" t="n"/>
      <c r="F475" s="36" t="n"/>
      <c r="G475" s="36" t="n"/>
      <c r="H475" s="36" t="n"/>
      <c r="I475" s="37">
        <f>IF($A475="","",IFERROR($B475+$C475-$D475+$E475,0))</f>
        <v/>
      </c>
    </row>
    <row r="476">
      <c r="A476" s="36" t="n"/>
      <c r="B476" s="36" t="n"/>
      <c r="C476" s="36" t="n"/>
      <c r="D476" s="36" t="n"/>
      <c r="E476" s="36" t="n"/>
      <c r="F476" s="36" t="n"/>
      <c r="G476" s="36" t="n"/>
      <c r="H476" s="36" t="n"/>
      <c r="I476" s="37">
        <f>IF($A476="","",IFERROR($B476+$C476-$D476+$E476,0))</f>
        <v/>
      </c>
    </row>
    <row r="477">
      <c r="A477" s="36" t="n"/>
      <c r="B477" s="36" t="n"/>
      <c r="C477" s="36" t="n"/>
      <c r="D477" s="36" t="n"/>
      <c r="E477" s="36" t="n"/>
      <c r="F477" s="36" t="n"/>
      <c r="G477" s="36" t="n"/>
      <c r="H477" s="36" t="n"/>
      <c r="I477" s="37">
        <f>IF($A477="","",IFERROR($B477+$C477-$D477+$E477,0))</f>
        <v/>
      </c>
    </row>
    <row r="478">
      <c r="A478" s="36" t="n"/>
      <c r="B478" s="36" t="n"/>
      <c r="C478" s="36" t="n"/>
      <c r="D478" s="36" t="n"/>
      <c r="E478" s="36" t="n"/>
      <c r="F478" s="36" t="n"/>
      <c r="G478" s="36" t="n"/>
      <c r="H478" s="36" t="n"/>
      <c r="I478" s="37">
        <f>IF($A478="","",IFERROR($B478+$C478-$D478+$E478,0))</f>
        <v/>
      </c>
    </row>
    <row r="479">
      <c r="A479" s="36" t="n"/>
      <c r="B479" s="36" t="n"/>
      <c r="C479" s="36" t="n"/>
      <c r="D479" s="36" t="n"/>
      <c r="E479" s="36" t="n"/>
      <c r="F479" s="36" t="n"/>
      <c r="G479" s="36" t="n"/>
      <c r="H479" s="36" t="n"/>
      <c r="I479" s="37">
        <f>IF($A479="","",IFERROR($B479+$C479-$D479+$E479,0))</f>
        <v/>
      </c>
    </row>
    <row r="480">
      <c r="A480" s="36" t="n"/>
      <c r="B480" s="36" t="n"/>
      <c r="C480" s="36" t="n"/>
      <c r="D480" s="36" t="n"/>
      <c r="E480" s="36" t="n"/>
      <c r="F480" s="36" t="n"/>
      <c r="G480" s="36" t="n"/>
      <c r="H480" s="36" t="n"/>
      <c r="I480" s="37">
        <f>IF($A480="","",IFERROR($B480+$C480-$D480+$E480,0))</f>
        <v/>
      </c>
    </row>
    <row r="481">
      <c r="A481" s="36" t="n"/>
      <c r="B481" s="36" t="n"/>
      <c r="C481" s="36" t="n"/>
      <c r="D481" s="36" t="n"/>
      <c r="E481" s="36" t="n"/>
      <c r="F481" s="36" t="n"/>
      <c r="G481" s="36" t="n"/>
      <c r="H481" s="36" t="n"/>
      <c r="I481" s="37">
        <f>IF($A481="","",IFERROR($B481+$C481-$D481+$E481,0))</f>
        <v/>
      </c>
    </row>
    <row r="482">
      <c r="A482" s="36" t="n"/>
      <c r="B482" s="36" t="n"/>
      <c r="C482" s="36" t="n"/>
      <c r="D482" s="36" t="n"/>
      <c r="E482" s="36" t="n"/>
      <c r="F482" s="36" t="n"/>
      <c r="G482" s="36" t="n"/>
      <c r="H482" s="36" t="n"/>
      <c r="I482" s="37">
        <f>IF($A482="","",IFERROR($B482+$C482-$D482+$E482,0))</f>
        <v/>
      </c>
    </row>
    <row r="483">
      <c r="A483" s="36" t="n"/>
      <c r="B483" s="36" t="n"/>
      <c r="C483" s="36" t="n"/>
      <c r="D483" s="36" t="n"/>
      <c r="E483" s="36" t="n"/>
      <c r="F483" s="36" t="n"/>
      <c r="G483" s="36" t="n"/>
      <c r="H483" s="36" t="n"/>
      <c r="I483" s="37">
        <f>IF($A483="","",IFERROR($B483+$C483-$D483+$E483,0))</f>
        <v/>
      </c>
    </row>
    <row r="484">
      <c r="A484" s="36" t="n"/>
      <c r="B484" s="36" t="n"/>
      <c r="C484" s="36" t="n"/>
      <c r="D484" s="36" t="n"/>
      <c r="E484" s="36" t="n"/>
      <c r="F484" s="36" t="n"/>
      <c r="G484" s="36" t="n"/>
      <c r="H484" s="36" t="n"/>
      <c r="I484" s="37">
        <f>IF($A484="","",IFERROR($B484+$C484-$D484+$E484,0))</f>
        <v/>
      </c>
    </row>
    <row r="485">
      <c r="A485" s="36" t="n"/>
      <c r="B485" s="36" t="n"/>
      <c r="C485" s="36" t="n"/>
      <c r="D485" s="36" t="n"/>
      <c r="E485" s="36" t="n"/>
      <c r="F485" s="36" t="n"/>
      <c r="G485" s="36" t="n"/>
      <c r="H485" s="36" t="n"/>
      <c r="I485" s="37">
        <f>IF($A485="","",IFERROR($B485+$C485-$D485+$E485,0))</f>
        <v/>
      </c>
    </row>
    <row r="486">
      <c r="A486" s="36" t="n"/>
      <c r="B486" s="36" t="n"/>
      <c r="C486" s="36" t="n"/>
      <c r="D486" s="36" t="n"/>
      <c r="E486" s="36" t="n"/>
      <c r="F486" s="36" t="n"/>
      <c r="G486" s="36" t="n"/>
      <c r="H486" s="36" t="n"/>
      <c r="I486" s="37">
        <f>IF($A486="","",IFERROR($B486+$C486-$D486+$E486,0))</f>
        <v/>
      </c>
    </row>
    <row r="487">
      <c r="A487" s="36" t="n"/>
      <c r="B487" s="36" t="n"/>
      <c r="C487" s="36" t="n"/>
      <c r="D487" s="36" t="n"/>
      <c r="E487" s="36" t="n"/>
      <c r="F487" s="36" t="n"/>
      <c r="G487" s="36" t="n"/>
      <c r="H487" s="36" t="n"/>
      <c r="I487" s="37">
        <f>IF($A487="","",IFERROR($B487+$C487-$D487+$E487,0))</f>
        <v/>
      </c>
    </row>
    <row r="488">
      <c r="A488" s="36" t="n"/>
      <c r="B488" s="36" t="n"/>
      <c r="C488" s="36" t="n"/>
      <c r="D488" s="36" t="n"/>
      <c r="E488" s="36" t="n"/>
      <c r="F488" s="36" t="n"/>
      <c r="G488" s="36" t="n"/>
      <c r="H488" s="36" t="n"/>
      <c r="I488" s="37">
        <f>IF($A488="","",IFERROR($B488+$C488-$D488+$E488,0))</f>
        <v/>
      </c>
    </row>
    <row r="489">
      <c r="A489" s="36" t="n"/>
      <c r="B489" s="36" t="n"/>
      <c r="C489" s="36" t="n"/>
      <c r="D489" s="36" t="n"/>
      <c r="E489" s="36" t="n"/>
      <c r="F489" s="36" t="n"/>
      <c r="G489" s="36" t="n"/>
      <c r="H489" s="36" t="n"/>
      <c r="I489" s="37">
        <f>IF($A489="","",IFERROR($B489+$C489-$D489+$E489,0))</f>
        <v/>
      </c>
    </row>
    <row r="490">
      <c r="A490" s="36" t="n"/>
      <c r="B490" s="36" t="n"/>
      <c r="C490" s="36" t="n"/>
      <c r="D490" s="36" t="n"/>
      <c r="E490" s="36" t="n"/>
      <c r="F490" s="36" t="n"/>
      <c r="G490" s="36" t="n"/>
      <c r="H490" s="36" t="n"/>
      <c r="I490" s="37">
        <f>IF($A490="","",IFERROR($B490+$C490-$D490+$E490,0))</f>
        <v/>
      </c>
    </row>
    <row r="491">
      <c r="A491" s="36" t="n"/>
      <c r="B491" s="36" t="n"/>
      <c r="C491" s="36" t="n"/>
      <c r="D491" s="36" t="n"/>
      <c r="E491" s="36" t="n"/>
      <c r="F491" s="36" t="n"/>
      <c r="G491" s="36" t="n"/>
      <c r="H491" s="36" t="n"/>
      <c r="I491" s="37">
        <f>IF($A491="","",IFERROR($B491+$C491-$D491+$E491,0))</f>
        <v/>
      </c>
    </row>
    <row r="492">
      <c r="A492" s="36" t="n"/>
      <c r="B492" s="36" t="n"/>
      <c r="C492" s="36" t="n"/>
      <c r="D492" s="36" t="n"/>
      <c r="E492" s="36" t="n"/>
      <c r="F492" s="36" t="n"/>
      <c r="G492" s="36" t="n"/>
      <c r="H492" s="36" t="n"/>
      <c r="I492" s="37">
        <f>IF($A492="","",IFERROR($B492+$C492-$D492+$E492,0))</f>
        <v/>
      </c>
    </row>
    <row r="493">
      <c r="A493" s="36" t="n"/>
      <c r="B493" s="36" t="n"/>
      <c r="C493" s="36" t="n"/>
      <c r="D493" s="36" t="n"/>
      <c r="E493" s="36" t="n"/>
      <c r="F493" s="36" t="n"/>
      <c r="G493" s="36" t="n"/>
      <c r="H493" s="36" t="n"/>
      <c r="I493" s="37">
        <f>IF($A493="","",IFERROR($B493+$C493-$D493+$E493,0))</f>
        <v/>
      </c>
    </row>
    <row r="494">
      <c r="A494" s="36" t="n"/>
      <c r="B494" s="36" t="n"/>
      <c r="C494" s="36" t="n"/>
      <c r="D494" s="36" t="n"/>
      <c r="E494" s="36" t="n"/>
      <c r="F494" s="36" t="n"/>
      <c r="G494" s="36" t="n"/>
      <c r="H494" s="36" t="n"/>
      <c r="I494" s="37">
        <f>IF($A494="","",IFERROR($B494+$C494-$D494+$E494,0))</f>
        <v/>
      </c>
    </row>
    <row r="495">
      <c r="A495" s="36" t="n"/>
      <c r="B495" s="36" t="n"/>
      <c r="C495" s="36" t="n"/>
      <c r="D495" s="36" t="n"/>
      <c r="E495" s="36" t="n"/>
      <c r="F495" s="36" t="n"/>
      <c r="G495" s="36" t="n"/>
      <c r="H495" s="36" t="n"/>
      <c r="I495" s="37">
        <f>IF($A495="","",IFERROR($B495+$C495-$D495+$E495,0))</f>
        <v/>
      </c>
    </row>
    <row r="496">
      <c r="A496" s="36" t="n"/>
      <c r="B496" s="36" t="n"/>
      <c r="C496" s="36" t="n"/>
      <c r="D496" s="36" t="n"/>
      <c r="E496" s="36" t="n"/>
      <c r="F496" s="36" t="n"/>
      <c r="G496" s="36" t="n"/>
      <c r="H496" s="36" t="n"/>
      <c r="I496" s="37">
        <f>IF($A496="","",IFERROR($B496+$C496-$D496+$E496,0))</f>
        <v/>
      </c>
    </row>
    <row r="497">
      <c r="A497" s="36" t="n"/>
      <c r="B497" s="36" t="n"/>
      <c r="C497" s="36" t="n"/>
      <c r="D497" s="36" t="n"/>
      <c r="E497" s="36" t="n"/>
      <c r="F497" s="36" t="n"/>
      <c r="G497" s="36" t="n"/>
      <c r="H497" s="36" t="n"/>
      <c r="I497" s="37">
        <f>IF($A497="","",IFERROR($B497+$C497-$D497+$E497,0))</f>
        <v/>
      </c>
    </row>
    <row r="498">
      <c r="A498" s="36" t="n"/>
      <c r="B498" s="36" t="n"/>
      <c r="C498" s="36" t="n"/>
      <c r="D498" s="36" t="n"/>
      <c r="E498" s="36" t="n"/>
      <c r="F498" s="36" t="n"/>
      <c r="G498" s="36" t="n"/>
      <c r="H498" s="36" t="n"/>
      <c r="I498" s="37">
        <f>IF($A498="","",IFERROR($B498+$C498-$D498+$E498,0))</f>
        <v/>
      </c>
    </row>
    <row r="499">
      <c r="A499" s="36" t="n"/>
      <c r="B499" s="36" t="n"/>
      <c r="C499" s="36" t="n"/>
      <c r="D499" s="36" t="n"/>
      <c r="E499" s="36" t="n"/>
      <c r="F499" s="36" t="n"/>
      <c r="G499" s="36" t="n"/>
      <c r="H499" s="36" t="n"/>
      <c r="I499" s="37">
        <f>IF($A499="","",IFERROR($B499+$C499-$D499+$E499,0))</f>
        <v/>
      </c>
    </row>
    <row r="500">
      <c r="A500" s="36" t="n"/>
      <c r="B500" s="36" t="n"/>
      <c r="C500" s="36" t="n"/>
      <c r="D500" s="36" t="n"/>
      <c r="E500" s="36" t="n"/>
      <c r="F500" s="36" t="n"/>
      <c r="G500" s="36" t="n"/>
      <c r="H500" s="36" t="n"/>
      <c r="I500" s="37">
        <f>IF($A500="","",IFERROR($B500+$C500-$D500+$E500,0))</f>
        <v/>
      </c>
    </row>
    <row r="501">
      <c r="A501" s="36" t="n"/>
      <c r="B501" s="36" t="n"/>
      <c r="C501" s="36" t="n"/>
      <c r="D501" s="36" t="n"/>
      <c r="E501" s="36" t="n"/>
      <c r="F501" s="36" t="n"/>
      <c r="G501" s="36" t="n"/>
      <c r="H501" s="36" t="n"/>
      <c r="I501" s="37">
        <f>IF($A501="","",IFERROR($B501+$C501-$D501+$E501,0))</f>
        <v/>
      </c>
    </row>
    <row r="502">
      <c r="A502" s="36" t="n"/>
      <c r="B502" s="36" t="n"/>
      <c r="C502" s="36" t="n"/>
      <c r="D502" s="36" t="n"/>
      <c r="E502" s="36" t="n"/>
      <c r="F502" s="36" t="n"/>
      <c r="G502" s="36" t="n"/>
      <c r="H502" s="36" t="n"/>
      <c r="I502" s="37">
        <f>IF($A502="","",IFERROR($B502+$C502-$D502+$E502,0))</f>
        <v/>
      </c>
    </row>
    <row r="503">
      <c r="A503" s="36" t="n"/>
      <c r="B503" s="36" t="n"/>
      <c r="C503" s="36" t="n"/>
      <c r="D503" s="36" t="n"/>
      <c r="E503" s="36" t="n"/>
      <c r="F503" s="36" t="n"/>
      <c r="G503" s="36" t="n"/>
      <c r="H503" s="36" t="n"/>
      <c r="I503" s="37">
        <f>IF($A503="","",IFERROR($B503+$C503-$D503+$E503,0))</f>
        <v/>
      </c>
    </row>
    <row r="504">
      <c r="A504" s="36" t="n"/>
      <c r="B504" s="36" t="n"/>
      <c r="C504" s="36" t="n"/>
      <c r="D504" s="36" t="n"/>
      <c r="E504" s="36" t="n"/>
      <c r="F504" s="36" t="n"/>
      <c r="G504" s="36" t="n"/>
      <c r="H504" s="36" t="n"/>
      <c r="I504" s="37">
        <f>IF($A504="","",IFERROR($B504+$C504-$D504+$E504,0))</f>
        <v/>
      </c>
    </row>
    <row r="505">
      <c r="A505" s="36" t="n"/>
      <c r="B505" s="36" t="n"/>
      <c r="C505" s="36" t="n"/>
      <c r="D505" s="36" t="n"/>
      <c r="E505" s="36" t="n"/>
      <c r="F505" s="36" t="n"/>
      <c r="G505" s="36" t="n"/>
      <c r="H505" s="36" t="n"/>
      <c r="I505" s="37">
        <f>IF($A505="","",IFERROR($B505+$C505-$D505+$E505,0))</f>
        <v/>
      </c>
    </row>
    <row r="506">
      <c r="A506" s="36" t="n"/>
      <c r="B506" s="36" t="n"/>
      <c r="C506" s="36" t="n"/>
      <c r="D506" s="36" t="n"/>
      <c r="E506" s="36" t="n"/>
      <c r="F506" s="36" t="n"/>
      <c r="G506" s="36" t="n"/>
      <c r="H506" s="36" t="n"/>
      <c r="I506" s="37">
        <f>IF($A506="","",IFERROR($B506+$C506-$D506+$E506,0))</f>
        <v/>
      </c>
    </row>
    <row r="507">
      <c r="A507" s="36" t="n"/>
      <c r="B507" s="36" t="n"/>
      <c r="C507" s="36" t="n"/>
      <c r="D507" s="36" t="n"/>
      <c r="E507" s="36" t="n"/>
      <c r="F507" s="36" t="n"/>
      <c r="G507" s="36" t="n"/>
      <c r="H507" s="36" t="n"/>
      <c r="I507" s="37">
        <f>IF($A507="","",IFERROR($B507+$C507-$D507+$E507,0))</f>
        <v/>
      </c>
    </row>
    <row r="508">
      <c r="A508" s="36" t="n"/>
      <c r="B508" s="36" t="n"/>
      <c r="C508" s="36" t="n"/>
      <c r="D508" s="36" t="n"/>
      <c r="E508" s="36" t="n"/>
      <c r="F508" s="36" t="n"/>
      <c r="G508" s="36" t="n"/>
      <c r="H508" s="36" t="n"/>
      <c r="I508" s="37">
        <f>IF($A508="","",IFERROR($B508+$C508-$D508+$E508,0))</f>
        <v/>
      </c>
    </row>
    <row r="509">
      <c r="A509" s="36" t="n"/>
      <c r="B509" s="36" t="n"/>
      <c r="C509" s="36" t="n"/>
      <c r="D509" s="36" t="n"/>
      <c r="E509" s="36" t="n"/>
      <c r="F509" s="36" t="n"/>
      <c r="G509" s="36" t="n"/>
      <c r="H509" s="36" t="n"/>
      <c r="I509" s="37">
        <f>IF($A509="","",IFERROR($B509+$C509-$D509+$E509,0))</f>
        <v/>
      </c>
    </row>
    <row r="510">
      <c r="A510" s="36" t="n"/>
      <c r="B510" s="36" t="n"/>
      <c r="C510" s="36" t="n"/>
      <c r="D510" s="36" t="n"/>
      <c r="E510" s="36" t="n"/>
      <c r="F510" s="36" t="n"/>
      <c r="G510" s="36" t="n"/>
      <c r="H510" s="36" t="n"/>
      <c r="I510" s="37">
        <f>IF($A510="","",IFERROR($B510+$C510-$D510+$E510,0))</f>
        <v/>
      </c>
    </row>
    <row r="511">
      <c r="A511" s="36" t="n"/>
      <c r="B511" s="36" t="n"/>
      <c r="C511" s="36" t="n"/>
      <c r="D511" s="36" t="n"/>
      <c r="E511" s="36" t="n"/>
      <c r="F511" s="36" t="n"/>
      <c r="G511" s="36" t="n"/>
      <c r="H511" s="36" t="n"/>
      <c r="I511" s="37">
        <f>IF($A511="","",IFERROR($B511+$C511-$D511+$E511,0))</f>
        <v/>
      </c>
    </row>
    <row r="512">
      <c r="A512" s="36" t="n"/>
      <c r="B512" s="36" t="n"/>
      <c r="C512" s="36" t="n"/>
      <c r="D512" s="36" t="n"/>
      <c r="E512" s="36" t="n"/>
      <c r="F512" s="36" t="n"/>
      <c r="G512" s="36" t="n"/>
      <c r="H512" s="36" t="n"/>
      <c r="I512" s="37">
        <f>IF($A512="","",IFERROR($B512+$C512-$D512+$E512,0))</f>
        <v/>
      </c>
    </row>
    <row r="513">
      <c r="A513" s="36" t="n"/>
      <c r="B513" s="36" t="n"/>
      <c r="C513" s="36" t="n"/>
      <c r="D513" s="36" t="n"/>
      <c r="E513" s="36" t="n"/>
      <c r="F513" s="36" t="n"/>
      <c r="G513" s="36" t="n"/>
      <c r="H513" s="36" t="n"/>
      <c r="I513" s="37">
        <f>IF($A513="","",IFERROR($B513+$C513-$D513+$E513,0))</f>
        <v/>
      </c>
    </row>
    <row r="514">
      <c r="A514" s="36" t="n"/>
      <c r="B514" s="36" t="n"/>
      <c r="C514" s="36" t="n"/>
      <c r="D514" s="36" t="n"/>
      <c r="E514" s="36" t="n"/>
      <c r="F514" s="36" t="n"/>
      <c r="G514" s="36" t="n"/>
      <c r="H514" s="36" t="n"/>
      <c r="I514" s="37">
        <f>IF($A514="","",IFERROR($B514+$C514-$D514+$E514,0))</f>
        <v/>
      </c>
    </row>
    <row r="515">
      <c r="A515" s="36" t="n"/>
      <c r="B515" s="36" t="n"/>
      <c r="C515" s="36" t="n"/>
      <c r="D515" s="36" t="n"/>
      <c r="E515" s="36" t="n"/>
      <c r="F515" s="36" t="n"/>
      <c r="G515" s="36" t="n"/>
      <c r="H515" s="36" t="n"/>
      <c r="I515" s="37">
        <f>IF($A515="","",IFERROR($B515+$C515-$D515+$E515,0))</f>
        <v/>
      </c>
    </row>
    <row r="516">
      <c r="A516" s="36" t="n"/>
      <c r="B516" s="36" t="n"/>
      <c r="C516" s="36" t="n"/>
      <c r="D516" s="36" t="n"/>
      <c r="E516" s="36" t="n"/>
      <c r="F516" s="36" t="n"/>
      <c r="G516" s="36" t="n"/>
      <c r="H516" s="36" t="n"/>
      <c r="I516" s="37">
        <f>IF($A516="","",IFERROR($B516+$C516-$D516+$E516,0))</f>
        <v/>
      </c>
    </row>
    <row r="517">
      <c r="A517" s="36" t="n"/>
      <c r="B517" s="36" t="n"/>
      <c r="C517" s="36" t="n"/>
      <c r="D517" s="36" t="n"/>
      <c r="E517" s="36" t="n"/>
      <c r="F517" s="36" t="n"/>
      <c r="G517" s="36" t="n"/>
      <c r="H517" s="36" t="n"/>
      <c r="I517" s="37">
        <f>IF($A517="","",IFERROR($B517+$C517-$D517+$E517,0))</f>
        <v/>
      </c>
    </row>
    <row r="518">
      <c r="A518" s="36" t="n"/>
      <c r="B518" s="36" t="n"/>
      <c r="C518" s="36" t="n"/>
      <c r="D518" s="36" t="n"/>
      <c r="E518" s="36" t="n"/>
      <c r="F518" s="36" t="n"/>
      <c r="G518" s="36" t="n"/>
      <c r="H518" s="36" t="n"/>
      <c r="I518" s="37">
        <f>IF($A518="","",IFERROR($B518+$C518-$D518+$E518,0))</f>
        <v/>
      </c>
    </row>
    <row r="519">
      <c r="A519" s="36" t="n"/>
      <c r="B519" s="36" t="n"/>
      <c r="C519" s="36" t="n"/>
      <c r="D519" s="36" t="n"/>
      <c r="E519" s="36" t="n"/>
      <c r="F519" s="36" t="n"/>
      <c r="G519" s="36" t="n"/>
      <c r="H519" s="36" t="n"/>
      <c r="I519" s="37">
        <f>IF($A519="","",IFERROR($B519+$C519-$D519+$E519,0))</f>
        <v/>
      </c>
    </row>
    <row r="520">
      <c r="A520" s="36" t="n"/>
      <c r="B520" s="36" t="n"/>
      <c r="C520" s="36" t="n"/>
      <c r="D520" s="36" t="n"/>
      <c r="E520" s="36" t="n"/>
      <c r="F520" s="36" t="n"/>
      <c r="G520" s="36" t="n"/>
      <c r="H520" s="36" t="n"/>
      <c r="I520" s="37">
        <f>IF($A520="","",IFERROR($B520+$C520-$D520+$E520,0))</f>
        <v/>
      </c>
    </row>
    <row r="521">
      <c r="A521" s="36" t="n"/>
      <c r="B521" s="36" t="n"/>
      <c r="C521" s="36" t="n"/>
      <c r="D521" s="36" t="n"/>
      <c r="E521" s="36" t="n"/>
      <c r="F521" s="36" t="n"/>
      <c r="G521" s="36" t="n"/>
      <c r="H521" s="36" t="n"/>
      <c r="I521" s="37">
        <f>IF($A521="","",IFERROR($B521+$C521-$D521+$E521,0))</f>
        <v/>
      </c>
    </row>
    <row r="522">
      <c r="A522" s="36" t="n"/>
      <c r="B522" s="36" t="n"/>
      <c r="C522" s="36" t="n"/>
      <c r="D522" s="36" t="n"/>
      <c r="E522" s="36" t="n"/>
      <c r="F522" s="36" t="n"/>
      <c r="G522" s="36" t="n"/>
      <c r="H522" s="36" t="n"/>
      <c r="I522" s="37">
        <f>IF($A522="","",IFERROR($B522+$C522-$D522+$E522,0))</f>
        <v/>
      </c>
    </row>
    <row r="523">
      <c r="A523" s="36" t="n"/>
      <c r="B523" s="36" t="n"/>
      <c r="C523" s="36" t="n"/>
      <c r="D523" s="36" t="n"/>
      <c r="E523" s="36" t="n"/>
      <c r="F523" s="36" t="n"/>
      <c r="G523" s="36" t="n"/>
      <c r="H523" s="36" t="n"/>
      <c r="I523" s="37">
        <f>IF($A523="","",IFERROR($B523+$C523-$D523+$E523,0))</f>
        <v/>
      </c>
    </row>
    <row r="524">
      <c r="A524" s="36" t="n"/>
      <c r="B524" s="36" t="n"/>
      <c r="C524" s="36" t="n"/>
      <c r="D524" s="36" t="n"/>
      <c r="E524" s="36" t="n"/>
      <c r="F524" s="36" t="n"/>
      <c r="G524" s="36" t="n"/>
      <c r="H524" s="36" t="n"/>
      <c r="I524" s="37">
        <f>IF($A524="","",IFERROR($B524+$C524-$D524+$E524,0))</f>
        <v/>
      </c>
    </row>
    <row r="525">
      <c r="A525" s="36" t="n"/>
      <c r="B525" s="36" t="n"/>
      <c r="C525" s="36" t="n"/>
      <c r="D525" s="36" t="n"/>
      <c r="E525" s="36" t="n"/>
      <c r="F525" s="36" t="n"/>
      <c r="G525" s="36" t="n"/>
      <c r="H525" s="36" t="n"/>
      <c r="I525" s="37">
        <f>IF($A525="","",IFERROR($B525+$C525-$D525+$E525,0))</f>
        <v/>
      </c>
    </row>
    <row r="526">
      <c r="A526" s="36" t="n"/>
      <c r="B526" s="36" t="n"/>
      <c r="C526" s="36" t="n"/>
      <c r="D526" s="36" t="n"/>
      <c r="E526" s="36" t="n"/>
      <c r="F526" s="36" t="n"/>
      <c r="G526" s="36" t="n"/>
      <c r="H526" s="36" t="n"/>
      <c r="I526" s="37">
        <f>IF($A526="","",IFERROR($B526+$C526-$D526+$E526,0))</f>
        <v/>
      </c>
    </row>
    <row r="527">
      <c r="A527" s="36" t="n"/>
      <c r="B527" s="36" t="n"/>
      <c r="C527" s="36" t="n"/>
      <c r="D527" s="36" t="n"/>
      <c r="E527" s="36" t="n"/>
      <c r="F527" s="36" t="n"/>
      <c r="G527" s="36" t="n"/>
      <c r="H527" s="36" t="n"/>
      <c r="I527" s="37">
        <f>IF($A527="","",IFERROR($B527+$C527-$D527+$E527,0))</f>
        <v/>
      </c>
    </row>
    <row r="528">
      <c r="A528" s="36" t="n"/>
      <c r="B528" s="36" t="n"/>
      <c r="C528" s="36" t="n"/>
      <c r="D528" s="36" t="n"/>
      <c r="E528" s="36" t="n"/>
      <c r="F528" s="36" t="n"/>
      <c r="G528" s="36" t="n"/>
      <c r="H528" s="36" t="n"/>
      <c r="I528" s="37">
        <f>IF($A528="","",IFERROR($B528+$C528-$D528+$E528,0))</f>
        <v/>
      </c>
    </row>
    <row r="529">
      <c r="A529" s="36" t="n"/>
      <c r="B529" s="36" t="n"/>
      <c r="C529" s="36" t="n"/>
      <c r="D529" s="36" t="n"/>
      <c r="E529" s="36" t="n"/>
      <c r="F529" s="36" t="n"/>
      <c r="G529" s="36" t="n"/>
      <c r="H529" s="36" t="n"/>
      <c r="I529" s="37">
        <f>IF($A529="","",IFERROR($B529+$C529-$D529+$E529,0))</f>
        <v/>
      </c>
    </row>
    <row r="530">
      <c r="A530" s="36" t="n"/>
      <c r="B530" s="36" t="n"/>
      <c r="C530" s="36" t="n"/>
      <c r="D530" s="36" t="n"/>
      <c r="E530" s="36" t="n"/>
      <c r="F530" s="36" t="n"/>
      <c r="G530" s="36" t="n"/>
      <c r="H530" s="36" t="n"/>
      <c r="I530" s="37">
        <f>IF($A530="","",IFERROR($B530+$C530-$D530+$E530,0))</f>
        <v/>
      </c>
    </row>
    <row r="531">
      <c r="A531" s="36" t="n"/>
      <c r="B531" s="36" t="n"/>
      <c r="C531" s="36" t="n"/>
      <c r="D531" s="36" t="n"/>
      <c r="E531" s="36" t="n"/>
      <c r="F531" s="36" t="n"/>
      <c r="G531" s="36" t="n"/>
      <c r="H531" s="36" t="n"/>
      <c r="I531" s="37">
        <f>IF($A531="","",IFERROR($B531+$C531-$D531+$E531,0))</f>
        <v/>
      </c>
    </row>
    <row r="532">
      <c r="A532" s="36" t="n"/>
      <c r="B532" s="36" t="n"/>
      <c r="C532" s="36" t="n"/>
      <c r="D532" s="36" t="n"/>
      <c r="E532" s="36" t="n"/>
      <c r="F532" s="36" t="n"/>
      <c r="G532" s="36" t="n"/>
      <c r="H532" s="36" t="n"/>
      <c r="I532" s="37">
        <f>IF($A532="","",IFERROR($B532+$C532-$D532+$E532,0))</f>
        <v/>
      </c>
    </row>
    <row r="533">
      <c r="A533" s="36" t="n"/>
      <c r="B533" s="36" t="n"/>
      <c r="C533" s="36" t="n"/>
      <c r="D533" s="36" t="n"/>
      <c r="E533" s="36" t="n"/>
      <c r="F533" s="36" t="n"/>
      <c r="G533" s="36" t="n"/>
      <c r="H533" s="36" t="n"/>
      <c r="I533" s="37">
        <f>IF($A533="","",IFERROR($B533+$C533-$D533+$E533,0))</f>
        <v/>
      </c>
    </row>
    <row r="534">
      <c r="A534" s="36" t="n"/>
      <c r="B534" s="36" t="n"/>
      <c r="C534" s="36" t="n"/>
      <c r="D534" s="36" t="n"/>
      <c r="E534" s="36" t="n"/>
      <c r="F534" s="36" t="n"/>
      <c r="G534" s="36" t="n"/>
      <c r="H534" s="36" t="n"/>
      <c r="I534" s="37">
        <f>IF($A534="","",IFERROR($B534+$C534-$D534+$E534,0))</f>
        <v/>
      </c>
    </row>
    <row r="535">
      <c r="A535" s="36" t="n"/>
      <c r="B535" s="36" t="n"/>
      <c r="C535" s="36" t="n"/>
      <c r="D535" s="36" t="n"/>
      <c r="E535" s="36" t="n"/>
      <c r="F535" s="36" t="n"/>
      <c r="G535" s="36" t="n"/>
      <c r="H535" s="36" t="n"/>
      <c r="I535" s="37">
        <f>IF($A535="","",IFERROR($B535+$C535-$D535+$E535,0))</f>
        <v/>
      </c>
    </row>
    <row r="536">
      <c r="A536" s="36" t="n"/>
      <c r="B536" s="36" t="n"/>
      <c r="C536" s="36" t="n"/>
      <c r="D536" s="36" t="n"/>
      <c r="E536" s="36" t="n"/>
      <c r="F536" s="36" t="n"/>
      <c r="G536" s="36" t="n"/>
      <c r="H536" s="36" t="n"/>
      <c r="I536" s="37">
        <f>IF($A536="","",IFERROR($B536+$C536-$D536+$E536,0))</f>
        <v/>
      </c>
    </row>
    <row r="537">
      <c r="A537" s="36" t="n"/>
      <c r="B537" s="36" t="n"/>
      <c r="C537" s="36" t="n"/>
      <c r="D537" s="36" t="n"/>
      <c r="E537" s="36" t="n"/>
      <c r="F537" s="36" t="n"/>
      <c r="G537" s="36" t="n"/>
      <c r="H537" s="36" t="n"/>
      <c r="I537" s="37">
        <f>IF($A537="","",IFERROR($B537+$C537-$D537+$E537,0))</f>
        <v/>
      </c>
    </row>
    <row r="538">
      <c r="A538" s="36" t="n"/>
      <c r="B538" s="36" t="n"/>
      <c r="C538" s="36" t="n"/>
      <c r="D538" s="36" t="n"/>
      <c r="E538" s="36" t="n"/>
      <c r="F538" s="36" t="n"/>
      <c r="G538" s="36" t="n"/>
      <c r="H538" s="36" t="n"/>
      <c r="I538" s="37">
        <f>IF($A538="","",IFERROR($B538+$C538-$D538+$E538,0))</f>
        <v/>
      </c>
    </row>
    <row r="539">
      <c r="A539" s="36" t="n"/>
      <c r="B539" s="36" t="n"/>
      <c r="C539" s="36" t="n"/>
      <c r="D539" s="36" t="n"/>
      <c r="E539" s="36" t="n"/>
      <c r="F539" s="36" t="n"/>
      <c r="G539" s="36" t="n"/>
      <c r="H539" s="36" t="n"/>
      <c r="I539" s="37">
        <f>IF($A539="","",IFERROR($B539+$C539-$D539+$E539,0))</f>
        <v/>
      </c>
    </row>
    <row r="540">
      <c r="A540" s="36" t="n"/>
      <c r="B540" s="36" t="n"/>
      <c r="C540" s="36" t="n"/>
      <c r="D540" s="36" t="n"/>
      <c r="E540" s="36" t="n"/>
      <c r="F540" s="36" t="n"/>
      <c r="G540" s="36" t="n"/>
      <c r="H540" s="36" t="n"/>
      <c r="I540" s="37">
        <f>IF($A540="","",IFERROR($B540+$C540-$D540+$E540,0))</f>
        <v/>
      </c>
    </row>
    <row r="541">
      <c r="A541" s="36" t="n"/>
      <c r="B541" s="36" t="n"/>
      <c r="C541" s="36" t="n"/>
      <c r="D541" s="36" t="n"/>
      <c r="E541" s="36" t="n"/>
      <c r="F541" s="36" t="n"/>
      <c r="G541" s="36" t="n"/>
      <c r="H541" s="36" t="n"/>
      <c r="I541" s="37">
        <f>IF($A541="","",IFERROR($B541+$C541-$D541+$E541,0))</f>
        <v/>
      </c>
    </row>
    <row r="542">
      <c r="A542" s="36" t="n"/>
      <c r="B542" s="36" t="n"/>
      <c r="C542" s="36" t="n"/>
      <c r="D542" s="36" t="n"/>
      <c r="E542" s="36" t="n"/>
      <c r="F542" s="36" t="n"/>
      <c r="G542" s="36" t="n"/>
      <c r="H542" s="36" t="n"/>
      <c r="I542" s="37">
        <f>IF($A542="","",IFERROR($B542+$C542-$D542+$E542,0))</f>
        <v/>
      </c>
    </row>
    <row r="543">
      <c r="A543" s="36" t="n"/>
      <c r="B543" s="36" t="n"/>
      <c r="C543" s="36" t="n"/>
      <c r="D543" s="36" t="n"/>
      <c r="E543" s="36" t="n"/>
      <c r="F543" s="36" t="n"/>
      <c r="G543" s="36" t="n"/>
      <c r="H543" s="36" t="n"/>
      <c r="I543" s="37">
        <f>IF($A543="","",IFERROR($B543+$C543-$D543+$E543,0))</f>
        <v/>
      </c>
    </row>
    <row r="544">
      <c r="A544" s="36" t="n"/>
      <c r="B544" s="36" t="n"/>
      <c r="C544" s="36" t="n"/>
      <c r="D544" s="36" t="n"/>
      <c r="E544" s="36" t="n"/>
      <c r="F544" s="36" t="n"/>
      <c r="G544" s="36" t="n"/>
      <c r="H544" s="36" t="n"/>
      <c r="I544" s="37">
        <f>IF($A544="","",IFERROR($B544+$C544-$D544+$E544,0))</f>
        <v/>
      </c>
    </row>
    <row r="545">
      <c r="A545" s="36" t="n"/>
      <c r="B545" s="36" t="n"/>
      <c r="C545" s="36" t="n"/>
      <c r="D545" s="36" t="n"/>
      <c r="E545" s="36" t="n"/>
      <c r="F545" s="36" t="n"/>
      <c r="G545" s="36" t="n"/>
      <c r="H545" s="36" t="n"/>
      <c r="I545" s="37">
        <f>IF($A545="","",IFERROR($B545+$C545-$D545+$E545,0))</f>
        <v/>
      </c>
    </row>
    <row r="546">
      <c r="A546" s="36" t="n"/>
      <c r="B546" s="36" t="n"/>
      <c r="C546" s="36" t="n"/>
      <c r="D546" s="36" t="n"/>
      <c r="E546" s="36" t="n"/>
      <c r="F546" s="36" t="n"/>
      <c r="G546" s="36" t="n"/>
      <c r="H546" s="36" t="n"/>
      <c r="I546" s="37">
        <f>IF($A546="","",IFERROR($B546+$C546-$D546+$E546,0))</f>
        <v/>
      </c>
    </row>
    <row r="547">
      <c r="A547" s="36" t="n"/>
      <c r="B547" s="36" t="n"/>
      <c r="C547" s="36" t="n"/>
      <c r="D547" s="36" t="n"/>
      <c r="E547" s="36" t="n"/>
      <c r="F547" s="36" t="n"/>
      <c r="G547" s="36" t="n"/>
      <c r="H547" s="36" t="n"/>
      <c r="I547" s="37">
        <f>IF($A547="","",IFERROR($B547+$C547-$D547+$E547,0))</f>
        <v/>
      </c>
    </row>
    <row r="548">
      <c r="A548" s="36" t="n"/>
      <c r="B548" s="36" t="n"/>
      <c r="C548" s="36" t="n"/>
      <c r="D548" s="36" t="n"/>
      <c r="E548" s="36" t="n"/>
      <c r="F548" s="36" t="n"/>
      <c r="G548" s="36" t="n"/>
      <c r="H548" s="36" t="n"/>
      <c r="I548" s="37">
        <f>IF($A548="","",IFERROR($B548+$C548-$D548+$E548,0))</f>
        <v/>
      </c>
    </row>
    <row r="549">
      <c r="A549" s="36" t="n"/>
      <c r="B549" s="36" t="n"/>
      <c r="C549" s="36" t="n"/>
      <c r="D549" s="36" t="n"/>
      <c r="E549" s="36" t="n"/>
      <c r="F549" s="36" t="n"/>
      <c r="G549" s="36" t="n"/>
      <c r="H549" s="36" t="n"/>
      <c r="I549" s="37">
        <f>IF($A549="","",IFERROR($B549+$C549-$D549+$E549,0))</f>
        <v/>
      </c>
    </row>
    <row r="550">
      <c r="A550" s="36" t="n"/>
      <c r="B550" s="36" t="n"/>
      <c r="C550" s="36" t="n"/>
      <c r="D550" s="36" t="n"/>
      <c r="E550" s="36" t="n"/>
      <c r="F550" s="36" t="n"/>
      <c r="G550" s="36" t="n"/>
      <c r="H550" s="36" t="n"/>
      <c r="I550" s="37">
        <f>IF($A550="","",IFERROR($B550+$C550-$D550+$E550,0))</f>
        <v/>
      </c>
    </row>
    <row r="551">
      <c r="A551" s="36" t="n"/>
      <c r="B551" s="36" t="n"/>
      <c r="C551" s="36" t="n"/>
      <c r="D551" s="36" t="n"/>
      <c r="E551" s="36" t="n"/>
      <c r="F551" s="36" t="n"/>
      <c r="G551" s="36" t="n"/>
      <c r="H551" s="36" t="n"/>
      <c r="I551" s="37">
        <f>IF($A551="","",IFERROR($B551+$C551-$D551+$E551,0))</f>
        <v/>
      </c>
    </row>
    <row r="552">
      <c r="A552" s="36" t="n"/>
      <c r="B552" s="36" t="n"/>
      <c r="C552" s="36" t="n"/>
      <c r="D552" s="36" t="n"/>
      <c r="E552" s="36" t="n"/>
      <c r="F552" s="36" t="n"/>
      <c r="G552" s="36" t="n"/>
      <c r="H552" s="36" t="n"/>
      <c r="I552" s="37">
        <f>IF($A552="","",IFERROR($B552+$C552-$D552+$E552,0))</f>
        <v/>
      </c>
    </row>
    <row r="553">
      <c r="A553" s="36" t="n"/>
      <c r="B553" s="36" t="n"/>
      <c r="C553" s="36" t="n"/>
      <c r="D553" s="36" t="n"/>
      <c r="E553" s="36" t="n"/>
      <c r="F553" s="36" t="n"/>
      <c r="G553" s="36" t="n"/>
      <c r="H553" s="36" t="n"/>
      <c r="I553" s="37">
        <f>IF($A553="","",IFERROR($B553+$C553-$D553+$E553,0))</f>
        <v/>
      </c>
    </row>
    <row r="554">
      <c r="A554" s="36" t="n"/>
      <c r="B554" s="36" t="n"/>
      <c r="C554" s="36" t="n"/>
      <c r="D554" s="36" t="n"/>
      <c r="E554" s="36" t="n"/>
      <c r="F554" s="36" t="n"/>
      <c r="G554" s="36" t="n"/>
      <c r="H554" s="36" t="n"/>
      <c r="I554" s="37">
        <f>IF($A554="","",IFERROR($B554+$C554-$D554+$E554,0))</f>
        <v/>
      </c>
    </row>
    <row r="555">
      <c r="A555" s="36" t="n"/>
      <c r="B555" s="36" t="n"/>
      <c r="C555" s="36" t="n"/>
      <c r="D555" s="36" t="n"/>
      <c r="E555" s="36" t="n"/>
      <c r="F555" s="36" t="n"/>
      <c r="G555" s="36" t="n"/>
      <c r="H555" s="36" t="n"/>
      <c r="I555" s="37">
        <f>IF($A555="","",IFERROR($B555+$C555-$D555+$E555,0))</f>
        <v/>
      </c>
    </row>
    <row r="556">
      <c r="A556" s="36" t="n"/>
      <c r="B556" s="36" t="n"/>
      <c r="C556" s="36" t="n"/>
      <c r="D556" s="36" t="n"/>
      <c r="E556" s="36" t="n"/>
      <c r="F556" s="36" t="n"/>
      <c r="G556" s="36" t="n"/>
      <c r="H556" s="36" t="n"/>
      <c r="I556" s="37">
        <f>IF($A556="","",IFERROR($B556+$C556-$D556+$E556,0))</f>
        <v/>
      </c>
    </row>
    <row r="557">
      <c r="A557" s="36" t="n"/>
      <c r="B557" s="36" t="n"/>
      <c r="C557" s="36" t="n"/>
      <c r="D557" s="36" t="n"/>
      <c r="E557" s="36" t="n"/>
      <c r="F557" s="36" t="n"/>
      <c r="G557" s="36" t="n"/>
      <c r="H557" s="36" t="n"/>
      <c r="I557" s="37">
        <f>IF($A557="","",IFERROR($B557+$C557-$D557+$E557,0))</f>
        <v/>
      </c>
    </row>
    <row r="558">
      <c r="A558" s="36" t="n"/>
      <c r="B558" s="36" t="n"/>
      <c r="C558" s="36" t="n"/>
      <c r="D558" s="36" t="n"/>
      <c r="E558" s="36" t="n"/>
      <c r="F558" s="36" t="n"/>
      <c r="G558" s="36" t="n"/>
      <c r="H558" s="36" t="n"/>
      <c r="I558" s="37">
        <f>IF($A558="","",IFERROR($B558+$C558-$D558+$E558,0))</f>
        <v/>
      </c>
    </row>
    <row r="559">
      <c r="A559" s="36" t="n"/>
      <c r="B559" s="36" t="n"/>
      <c r="C559" s="36" t="n"/>
      <c r="D559" s="36" t="n"/>
      <c r="E559" s="36" t="n"/>
      <c r="F559" s="36" t="n"/>
      <c r="G559" s="36" t="n"/>
      <c r="H559" s="36" t="n"/>
      <c r="I559" s="37">
        <f>IF($A559="","",IFERROR($B559+$C559-$D559+$E559,0))</f>
        <v/>
      </c>
    </row>
    <row r="560">
      <c r="A560" s="36" t="n"/>
      <c r="B560" s="36" t="n"/>
      <c r="C560" s="36" t="n"/>
      <c r="D560" s="36" t="n"/>
      <c r="E560" s="36" t="n"/>
      <c r="F560" s="36" t="n"/>
      <c r="G560" s="36" t="n"/>
      <c r="H560" s="36" t="n"/>
      <c r="I560" s="37">
        <f>IF($A560="","",IFERROR($B560+$C560-$D560+$E560,0))</f>
        <v/>
      </c>
    </row>
    <row r="561">
      <c r="A561" s="36" t="n"/>
      <c r="B561" s="36" t="n"/>
      <c r="C561" s="36" t="n"/>
      <c r="D561" s="36" t="n"/>
      <c r="E561" s="36" t="n"/>
      <c r="F561" s="36" t="n"/>
      <c r="G561" s="36" t="n"/>
      <c r="H561" s="36" t="n"/>
      <c r="I561" s="37">
        <f>IF($A561="","",IFERROR($B561+$C561-$D561+$E561,0))</f>
        <v/>
      </c>
    </row>
    <row r="562">
      <c r="A562" s="36" t="n"/>
      <c r="B562" s="36" t="n"/>
      <c r="C562" s="36" t="n"/>
      <c r="D562" s="36" t="n"/>
      <c r="E562" s="36" t="n"/>
      <c r="F562" s="36" t="n"/>
      <c r="G562" s="36" t="n"/>
      <c r="H562" s="36" t="n"/>
      <c r="I562" s="37">
        <f>IF($A562="","",IFERROR($B562+$C562-$D562+$E562,0))</f>
        <v/>
      </c>
    </row>
    <row r="563">
      <c r="A563" s="36" t="n"/>
      <c r="B563" s="36" t="n"/>
      <c r="C563" s="36" t="n"/>
      <c r="D563" s="36" t="n"/>
      <c r="E563" s="36" t="n"/>
      <c r="F563" s="36" t="n"/>
      <c r="G563" s="36" t="n"/>
      <c r="H563" s="36" t="n"/>
      <c r="I563" s="37">
        <f>IF($A563="","",IFERROR($B563+$C563-$D563+$E563,0))</f>
        <v/>
      </c>
    </row>
    <row r="564">
      <c r="A564" s="36" t="n"/>
      <c r="B564" s="36" t="n"/>
      <c r="C564" s="36" t="n"/>
      <c r="D564" s="36" t="n"/>
      <c r="E564" s="36" t="n"/>
      <c r="F564" s="36" t="n"/>
      <c r="G564" s="36" t="n"/>
      <c r="H564" s="36" t="n"/>
      <c r="I564" s="37">
        <f>IF($A564="","",IFERROR($B564+$C564-$D564+$E564,0))</f>
        <v/>
      </c>
    </row>
    <row r="565">
      <c r="A565" s="36" t="n"/>
      <c r="B565" s="36" t="n"/>
      <c r="C565" s="36" t="n"/>
      <c r="D565" s="36" t="n"/>
      <c r="E565" s="36" t="n"/>
      <c r="F565" s="36" t="n"/>
      <c r="G565" s="36" t="n"/>
      <c r="H565" s="36" t="n"/>
      <c r="I565" s="37">
        <f>IF($A565="","",IFERROR($B565+$C565-$D565+$E565,0))</f>
        <v/>
      </c>
    </row>
    <row r="566">
      <c r="A566" s="36" t="n"/>
      <c r="B566" s="36" t="n"/>
      <c r="C566" s="36" t="n"/>
      <c r="D566" s="36" t="n"/>
      <c r="E566" s="36" t="n"/>
      <c r="F566" s="36" t="n"/>
      <c r="G566" s="36" t="n"/>
      <c r="H566" s="36" t="n"/>
      <c r="I566" s="37">
        <f>IF($A566="","",IFERROR($B566+$C566-$D566+$E566,0))</f>
        <v/>
      </c>
    </row>
    <row r="567">
      <c r="A567" s="36" t="n"/>
      <c r="B567" s="36" t="n"/>
      <c r="C567" s="36" t="n"/>
      <c r="D567" s="36" t="n"/>
      <c r="E567" s="36" t="n"/>
      <c r="F567" s="36" t="n"/>
      <c r="G567" s="36" t="n"/>
      <c r="H567" s="36" t="n"/>
      <c r="I567" s="37">
        <f>IF($A567="","",IFERROR($B567+$C567-$D567+$E567,0))</f>
        <v/>
      </c>
    </row>
    <row r="568">
      <c r="A568" s="36" t="n"/>
      <c r="B568" s="36" t="n"/>
      <c r="C568" s="36" t="n"/>
      <c r="D568" s="36" t="n"/>
      <c r="E568" s="36" t="n"/>
      <c r="F568" s="36" t="n"/>
      <c r="G568" s="36" t="n"/>
      <c r="H568" s="36" t="n"/>
      <c r="I568" s="37">
        <f>IF($A568="","",IFERROR($B568+$C568-$D568+$E568,0))</f>
        <v/>
      </c>
    </row>
    <row r="569">
      <c r="A569" s="36" t="n"/>
      <c r="B569" s="36" t="n"/>
      <c r="C569" s="36" t="n"/>
      <c r="D569" s="36" t="n"/>
      <c r="E569" s="36" t="n"/>
      <c r="F569" s="36" t="n"/>
      <c r="G569" s="36" t="n"/>
      <c r="H569" s="36" t="n"/>
      <c r="I569" s="37">
        <f>IF($A569="","",IFERROR($B569+$C569-$D569+$E569,0))</f>
        <v/>
      </c>
    </row>
    <row r="570">
      <c r="A570" s="36" t="n"/>
      <c r="B570" s="36" t="n"/>
      <c r="C570" s="36" t="n"/>
      <c r="D570" s="36" t="n"/>
      <c r="E570" s="36" t="n"/>
      <c r="F570" s="36" t="n"/>
      <c r="G570" s="36" t="n"/>
      <c r="H570" s="36" t="n"/>
      <c r="I570" s="37">
        <f>IF($A570="","",IFERROR($B570+$C570-$D570+$E570,0))</f>
        <v/>
      </c>
    </row>
    <row r="571">
      <c r="A571" s="36" t="n"/>
      <c r="B571" s="36" t="n"/>
      <c r="C571" s="36" t="n"/>
      <c r="D571" s="36" t="n"/>
      <c r="E571" s="36" t="n"/>
      <c r="F571" s="36" t="n"/>
      <c r="G571" s="36" t="n"/>
      <c r="H571" s="36" t="n"/>
      <c r="I571" s="37">
        <f>IF($A571="","",IFERROR($B571+$C571-$D571+$E571,0))</f>
        <v/>
      </c>
    </row>
    <row r="572">
      <c r="A572" s="36" t="n"/>
      <c r="B572" s="36" t="n"/>
      <c r="C572" s="36" t="n"/>
      <c r="D572" s="36" t="n"/>
      <c r="E572" s="36" t="n"/>
      <c r="F572" s="36" t="n"/>
      <c r="G572" s="36" t="n"/>
      <c r="H572" s="36" t="n"/>
      <c r="I572" s="37">
        <f>IF($A572="","",IFERROR($B572+$C572-$D572+$E572,0))</f>
        <v/>
      </c>
    </row>
    <row r="573">
      <c r="A573" s="36" t="n"/>
      <c r="B573" s="36" t="n"/>
      <c r="C573" s="36" t="n"/>
      <c r="D573" s="36" t="n"/>
      <c r="E573" s="36" t="n"/>
      <c r="F573" s="36" t="n"/>
      <c r="G573" s="36" t="n"/>
      <c r="H573" s="36" t="n"/>
      <c r="I573" s="37">
        <f>IF($A573="","",IFERROR($B573+$C573-$D573+$E573,0))</f>
        <v/>
      </c>
    </row>
    <row r="574">
      <c r="A574" s="36" t="n"/>
      <c r="B574" s="36" t="n"/>
      <c r="C574" s="36" t="n"/>
      <c r="D574" s="36" t="n"/>
      <c r="E574" s="36" t="n"/>
      <c r="F574" s="36" t="n"/>
      <c r="G574" s="36" t="n"/>
      <c r="H574" s="36" t="n"/>
      <c r="I574" s="37">
        <f>IF($A574="","",IFERROR($B574+$C574-$D574+$E574,0))</f>
        <v/>
      </c>
    </row>
    <row r="575">
      <c r="A575" s="36" t="n"/>
      <c r="B575" s="36" t="n"/>
      <c r="C575" s="36" t="n"/>
      <c r="D575" s="36" t="n"/>
      <c r="E575" s="36" t="n"/>
      <c r="F575" s="36" t="n"/>
      <c r="G575" s="36" t="n"/>
      <c r="H575" s="36" t="n"/>
      <c r="I575" s="37">
        <f>IF($A575="","",IFERROR($B575+$C575-$D575+$E575,0))</f>
        <v/>
      </c>
    </row>
    <row r="576">
      <c r="A576" s="36" t="n"/>
      <c r="B576" s="36" t="n"/>
      <c r="C576" s="36" t="n"/>
      <c r="D576" s="36" t="n"/>
      <c r="E576" s="36" t="n"/>
      <c r="F576" s="36" t="n"/>
      <c r="G576" s="36" t="n"/>
      <c r="H576" s="36" t="n"/>
      <c r="I576" s="37">
        <f>IF($A576="","",IFERROR($B576+$C576-$D576+$E576,0))</f>
        <v/>
      </c>
    </row>
    <row r="577">
      <c r="A577" s="36" t="n"/>
      <c r="B577" s="36" t="n"/>
      <c r="C577" s="36" t="n"/>
      <c r="D577" s="36" t="n"/>
      <c r="E577" s="36" t="n"/>
      <c r="F577" s="36" t="n"/>
      <c r="G577" s="36" t="n"/>
      <c r="H577" s="36" t="n"/>
      <c r="I577" s="37">
        <f>IF($A577="","",IFERROR($B577+$C577-$D577+$E577,0))</f>
        <v/>
      </c>
    </row>
    <row r="578">
      <c r="A578" s="36" t="n"/>
      <c r="B578" s="36" t="n"/>
      <c r="C578" s="36" t="n"/>
      <c r="D578" s="36" t="n"/>
      <c r="E578" s="36" t="n"/>
      <c r="F578" s="36" t="n"/>
      <c r="G578" s="36" t="n"/>
      <c r="H578" s="36" t="n"/>
      <c r="I578" s="37">
        <f>IF($A578="","",IFERROR($B578+$C578-$D578+$E578,0))</f>
        <v/>
      </c>
    </row>
    <row r="579">
      <c r="A579" s="36" t="n"/>
      <c r="B579" s="36" t="n"/>
      <c r="C579" s="36" t="n"/>
      <c r="D579" s="36" t="n"/>
      <c r="E579" s="36" t="n"/>
      <c r="F579" s="36" t="n"/>
      <c r="G579" s="36" t="n"/>
      <c r="H579" s="36" t="n"/>
      <c r="I579" s="37">
        <f>IF($A579="","",IFERROR($B579+$C579-$D579+$E579,0))</f>
        <v/>
      </c>
    </row>
    <row r="580">
      <c r="A580" s="36" t="n"/>
      <c r="B580" s="36" t="n"/>
      <c r="C580" s="36" t="n"/>
      <c r="D580" s="36" t="n"/>
      <c r="E580" s="36" t="n"/>
      <c r="F580" s="36" t="n"/>
      <c r="G580" s="36" t="n"/>
      <c r="H580" s="36" t="n"/>
      <c r="I580" s="37">
        <f>IF($A580="","",IFERROR($B580+$C580-$D580+$E580,0))</f>
        <v/>
      </c>
    </row>
    <row r="581">
      <c r="A581" s="36" t="n"/>
      <c r="B581" s="36" t="n"/>
      <c r="C581" s="36" t="n"/>
      <c r="D581" s="36" t="n"/>
      <c r="E581" s="36" t="n"/>
      <c r="F581" s="36" t="n"/>
      <c r="G581" s="36" t="n"/>
      <c r="H581" s="36" t="n"/>
      <c r="I581" s="37">
        <f>IF($A581="","",IFERROR($B581+$C581-$D581+$E581,0))</f>
        <v/>
      </c>
    </row>
    <row r="582">
      <c r="A582" s="36" t="n"/>
      <c r="B582" s="36" t="n"/>
      <c r="C582" s="36" t="n"/>
      <c r="D582" s="36" t="n"/>
      <c r="E582" s="36" t="n"/>
      <c r="F582" s="36" t="n"/>
      <c r="G582" s="36" t="n"/>
      <c r="H582" s="36" t="n"/>
      <c r="I582" s="37">
        <f>IF($A582="","",IFERROR($B582+$C582-$D582+$E582,0))</f>
        <v/>
      </c>
    </row>
    <row r="583">
      <c r="A583" s="36" t="n"/>
      <c r="B583" s="36" t="n"/>
      <c r="C583" s="36" t="n"/>
      <c r="D583" s="36" t="n"/>
      <c r="E583" s="36" t="n"/>
      <c r="F583" s="36" t="n"/>
      <c r="G583" s="36" t="n"/>
      <c r="H583" s="36" t="n"/>
      <c r="I583" s="37">
        <f>IF($A583="","",IFERROR($B583+$C583-$D583+$E583,0))</f>
        <v/>
      </c>
    </row>
    <row r="584">
      <c r="A584" s="36" t="n"/>
      <c r="B584" s="36" t="n"/>
      <c r="C584" s="36" t="n"/>
      <c r="D584" s="36" t="n"/>
      <c r="E584" s="36" t="n"/>
      <c r="F584" s="36" t="n"/>
      <c r="G584" s="36" t="n"/>
      <c r="H584" s="36" t="n"/>
      <c r="I584" s="37">
        <f>IF($A584="","",IFERROR($B584+$C584-$D584+$E584,0))</f>
        <v/>
      </c>
    </row>
    <row r="585">
      <c r="A585" s="36" t="n"/>
      <c r="B585" s="36" t="n"/>
      <c r="C585" s="36" t="n"/>
      <c r="D585" s="36" t="n"/>
      <c r="E585" s="36" t="n"/>
      <c r="F585" s="36" t="n"/>
      <c r="G585" s="36" t="n"/>
      <c r="H585" s="36" t="n"/>
      <c r="I585" s="37">
        <f>IF($A585="","",IFERROR($B585+$C585-$D585+$E585,0))</f>
        <v/>
      </c>
    </row>
    <row r="586">
      <c r="A586" s="36" t="n"/>
      <c r="B586" s="36" t="n"/>
      <c r="C586" s="36" t="n"/>
      <c r="D586" s="36" t="n"/>
      <c r="E586" s="36" t="n"/>
      <c r="F586" s="36" t="n"/>
      <c r="G586" s="36" t="n"/>
      <c r="H586" s="36" t="n"/>
      <c r="I586" s="37">
        <f>IF($A586="","",IFERROR($B586+$C586-$D586+$E586,0))</f>
        <v/>
      </c>
    </row>
    <row r="587">
      <c r="A587" s="36" t="n"/>
      <c r="B587" s="36" t="n"/>
      <c r="C587" s="36" t="n"/>
      <c r="D587" s="36" t="n"/>
      <c r="E587" s="36" t="n"/>
      <c r="F587" s="36" t="n"/>
      <c r="G587" s="36" t="n"/>
      <c r="H587" s="36" t="n"/>
      <c r="I587" s="37">
        <f>IF($A587="","",IFERROR($B587+$C587-$D587+$E587,0))</f>
        <v/>
      </c>
    </row>
    <row r="588">
      <c r="A588" s="36" t="n"/>
      <c r="B588" s="36" t="n"/>
      <c r="C588" s="36" t="n"/>
      <c r="D588" s="36" t="n"/>
      <c r="E588" s="36" t="n"/>
      <c r="F588" s="36" t="n"/>
      <c r="G588" s="36" t="n"/>
      <c r="H588" s="36" t="n"/>
      <c r="I588" s="37">
        <f>IF($A588="","",IFERROR($B588+$C588-$D588+$E588,0))</f>
        <v/>
      </c>
    </row>
    <row r="589">
      <c r="A589" s="36" t="n"/>
      <c r="B589" s="36" t="n"/>
      <c r="C589" s="36" t="n"/>
      <c r="D589" s="36" t="n"/>
      <c r="E589" s="36" t="n"/>
      <c r="F589" s="36" t="n"/>
      <c r="G589" s="36" t="n"/>
      <c r="H589" s="36" t="n"/>
      <c r="I589" s="37">
        <f>IF($A589="","",IFERROR($B589+$C589-$D589+$E589,0))</f>
        <v/>
      </c>
    </row>
    <row r="590">
      <c r="A590" s="36" t="n"/>
      <c r="B590" s="36" t="n"/>
      <c r="C590" s="36" t="n"/>
      <c r="D590" s="36" t="n"/>
      <c r="E590" s="36" t="n"/>
      <c r="F590" s="36" t="n"/>
      <c r="G590" s="36" t="n"/>
      <c r="H590" s="36" t="n"/>
      <c r="I590" s="37">
        <f>IF($A590="","",IFERROR($B590+$C590-$D590+$E590,0))</f>
        <v/>
      </c>
    </row>
    <row r="591">
      <c r="A591" s="36" t="n"/>
      <c r="B591" s="36" t="n"/>
      <c r="C591" s="36" t="n"/>
      <c r="D591" s="36" t="n"/>
      <c r="E591" s="36" t="n"/>
      <c r="F591" s="36" t="n"/>
      <c r="G591" s="36" t="n"/>
      <c r="H591" s="36" t="n"/>
      <c r="I591" s="37">
        <f>IF($A591="","",IFERROR($B591+$C591-$D591+$E591,0))</f>
        <v/>
      </c>
    </row>
    <row r="592">
      <c r="A592" s="36" t="n"/>
      <c r="B592" s="36" t="n"/>
      <c r="C592" s="36" t="n"/>
      <c r="D592" s="36" t="n"/>
      <c r="E592" s="36" t="n"/>
      <c r="F592" s="36" t="n"/>
      <c r="G592" s="36" t="n"/>
      <c r="H592" s="36" t="n"/>
      <c r="I592" s="37">
        <f>IF($A592="","",IFERROR($B592+$C592-$D592+$E592,0))</f>
        <v/>
      </c>
    </row>
    <row r="593">
      <c r="A593" s="36" t="n"/>
      <c r="B593" s="36" t="n"/>
      <c r="C593" s="36" t="n"/>
      <c r="D593" s="36" t="n"/>
      <c r="E593" s="36" t="n"/>
      <c r="F593" s="36" t="n"/>
      <c r="G593" s="36" t="n"/>
      <c r="H593" s="36" t="n"/>
      <c r="I593" s="37">
        <f>IF($A593="","",IFERROR($B593+$C593-$D593+$E593,0))</f>
        <v/>
      </c>
    </row>
    <row r="594">
      <c r="A594" s="36" t="n"/>
      <c r="B594" s="36" t="n"/>
      <c r="C594" s="36" t="n"/>
      <c r="D594" s="36" t="n"/>
      <c r="E594" s="36" t="n"/>
      <c r="F594" s="36" t="n"/>
      <c r="G594" s="36" t="n"/>
      <c r="H594" s="36" t="n"/>
      <c r="I594" s="37">
        <f>IF($A594="","",IFERROR($B594+$C594-$D594+$E594,0))</f>
        <v/>
      </c>
    </row>
    <row r="595">
      <c r="A595" s="36" t="n"/>
      <c r="B595" s="36" t="n"/>
      <c r="C595" s="36" t="n"/>
      <c r="D595" s="36" t="n"/>
      <c r="E595" s="36" t="n"/>
      <c r="F595" s="36" t="n"/>
      <c r="G595" s="36" t="n"/>
      <c r="H595" s="36" t="n"/>
      <c r="I595" s="37">
        <f>IF($A595="","",IFERROR($B595+$C595-$D595+$E595,0))</f>
        <v/>
      </c>
    </row>
    <row r="596">
      <c r="A596" s="36" t="n"/>
      <c r="B596" s="36" t="n"/>
      <c r="C596" s="36" t="n"/>
      <c r="D596" s="36" t="n"/>
      <c r="E596" s="36" t="n"/>
      <c r="F596" s="36" t="n"/>
      <c r="G596" s="36" t="n"/>
      <c r="H596" s="36" t="n"/>
      <c r="I596" s="37">
        <f>IF($A596="","",IFERROR($B596+$C596-$D596+$E596,0))</f>
        <v/>
      </c>
    </row>
    <row r="597">
      <c r="A597" s="36" t="n"/>
      <c r="B597" s="36" t="n"/>
      <c r="C597" s="36" t="n"/>
      <c r="D597" s="36" t="n"/>
      <c r="E597" s="36" t="n"/>
      <c r="F597" s="36" t="n"/>
      <c r="G597" s="36" t="n"/>
      <c r="H597" s="36" t="n"/>
      <c r="I597" s="37">
        <f>IF($A597="","",IFERROR($B597+$C597-$D597+$E597,0))</f>
        <v/>
      </c>
    </row>
    <row r="598">
      <c r="A598" s="36" t="n"/>
      <c r="B598" s="36" t="n"/>
      <c r="C598" s="36" t="n"/>
      <c r="D598" s="36" t="n"/>
      <c r="E598" s="36" t="n"/>
      <c r="F598" s="36" t="n"/>
      <c r="G598" s="36" t="n"/>
      <c r="H598" s="36" t="n"/>
      <c r="I598" s="37">
        <f>IF($A598="","",IFERROR($B598+$C598-$D598+$E598,0))</f>
        <v/>
      </c>
    </row>
    <row r="599">
      <c r="A599" s="36" t="n"/>
      <c r="B599" s="36" t="n"/>
      <c r="C599" s="36" t="n"/>
      <c r="D599" s="36" t="n"/>
      <c r="E599" s="36" t="n"/>
      <c r="F599" s="36" t="n"/>
      <c r="G599" s="36" t="n"/>
      <c r="H599" s="36" t="n"/>
      <c r="I599" s="37">
        <f>IF($A599="","",IFERROR($B599+$C599-$D599+$E599,0))</f>
        <v/>
      </c>
    </row>
    <row r="600">
      <c r="A600" s="36" t="n"/>
      <c r="B600" s="36" t="n"/>
      <c r="C600" s="36" t="n"/>
      <c r="D600" s="36" t="n"/>
      <c r="E600" s="36" t="n"/>
      <c r="F600" s="36" t="n"/>
      <c r="G600" s="36" t="n"/>
      <c r="H600" s="36" t="n"/>
      <c r="I600" s="37">
        <f>IF($A600="","",IFERROR($B600+$C600-$D600+$E600,0))</f>
        <v/>
      </c>
    </row>
    <row r="601">
      <c r="A601" s="36" t="n"/>
      <c r="B601" s="36" t="n"/>
      <c r="C601" s="36" t="n"/>
      <c r="D601" s="36" t="n"/>
      <c r="E601" s="36" t="n"/>
      <c r="F601" s="36" t="n"/>
      <c r="G601" s="36" t="n"/>
      <c r="H601" s="36" t="n"/>
      <c r="I601" s="37">
        <f>IF($A601="","",IFERROR($B601+$C601-$D601+$E601,0))</f>
        <v/>
      </c>
    </row>
    <row r="602">
      <c r="A602" s="36" t="n"/>
      <c r="B602" s="36" t="n"/>
      <c r="C602" s="36" t="n"/>
      <c r="D602" s="36" t="n"/>
      <c r="E602" s="36" t="n"/>
      <c r="F602" s="36" t="n"/>
      <c r="G602" s="36" t="n"/>
      <c r="H602" s="36" t="n"/>
      <c r="I602" s="37">
        <f>IF($A602="","",IFERROR($B602+$C602-$D602+$E602,0))</f>
        <v/>
      </c>
    </row>
    <row r="603">
      <c r="A603" s="36" t="n"/>
      <c r="B603" s="36" t="n"/>
      <c r="C603" s="36" t="n"/>
      <c r="D603" s="36" t="n"/>
      <c r="E603" s="36" t="n"/>
      <c r="F603" s="36" t="n"/>
      <c r="G603" s="36" t="n"/>
      <c r="H603" s="36" t="n"/>
      <c r="I603" s="37">
        <f>IF($A603="","",IFERROR($B603+$C603-$D603+$E603,0))</f>
        <v/>
      </c>
    </row>
    <row r="604">
      <c r="A604" s="36" t="n"/>
      <c r="B604" s="36" t="n"/>
      <c r="C604" s="36" t="n"/>
      <c r="D604" s="36" t="n"/>
      <c r="E604" s="36" t="n"/>
      <c r="F604" s="36" t="n"/>
      <c r="G604" s="36" t="n"/>
      <c r="H604" s="36" t="n"/>
      <c r="I604" s="37">
        <f>IF($A604="","",IFERROR($B604+$C604-$D604+$E604,0))</f>
        <v/>
      </c>
    </row>
    <row r="605">
      <c r="A605" s="36" t="n"/>
      <c r="B605" s="36" t="n"/>
      <c r="C605" s="36" t="n"/>
      <c r="D605" s="36" t="n"/>
      <c r="E605" s="36" t="n"/>
      <c r="F605" s="36" t="n"/>
      <c r="G605" s="36" t="n"/>
      <c r="H605" s="36" t="n"/>
      <c r="I605" s="37">
        <f>IF($A605="","",IFERROR($B605+$C605-$D605+$E605,0))</f>
        <v/>
      </c>
    </row>
    <row r="606">
      <c r="A606" s="36" t="n"/>
      <c r="B606" s="36" t="n"/>
      <c r="C606" s="36" t="n"/>
      <c r="D606" s="36" t="n"/>
      <c r="E606" s="36" t="n"/>
      <c r="F606" s="36" t="n"/>
      <c r="G606" s="36" t="n"/>
      <c r="H606" s="36" t="n"/>
      <c r="I606" s="37">
        <f>IF($A606="","",IFERROR($B606+$C606-$D606+$E606,0))</f>
        <v/>
      </c>
    </row>
    <row r="607">
      <c r="A607" s="36" t="n"/>
      <c r="B607" s="36" t="n"/>
      <c r="C607" s="36" t="n"/>
      <c r="D607" s="36" t="n"/>
      <c r="E607" s="36" t="n"/>
      <c r="F607" s="36" t="n"/>
      <c r="G607" s="36" t="n"/>
      <c r="H607" s="36" t="n"/>
      <c r="I607" s="37">
        <f>IF($A607="","",IFERROR($B607+$C607-$D607+$E607,0))</f>
        <v/>
      </c>
    </row>
    <row r="608">
      <c r="A608" s="36" t="n"/>
      <c r="B608" s="36" t="n"/>
      <c r="C608" s="36" t="n"/>
      <c r="D608" s="36" t="n"/>
      <c r="E608" s="36" t="n"/>
      <c r="F608" s="36" t="n"/>
      <c r="G608" s="36" t="n"/>
      <c r="H608" s="36" t="n"/>
      <c r="I608" s="37">
        <f>IF($A608="","",IFERROR($B608+$C608-$D608+$E608,0))</f>
        <v/>
      </c>
    </row>
    <row r="609">
      <c r="A609" s="36" t="n"/>
      <c r="B609" s="36" t="n"/>
      <c r="C609" s="36" t="n"/>
      <c r="D609" s="36" t="n"/>
      <c r="E609" s="36" t="n"/>
      <c r="F609" s="36" t="n"/>
      <c r="G609" s="36" t="n"/>
      <c r="H609" s="36" t="n"/>
      <c r="I609" s="37">
        <f>IF($A609="","",IFERROR($B609+$C609-$D609+$E609,0))</f>
        <v/>
      </c>
    </row>
    <row r="610">
      <c r="A610" s="36" t="n"/>
      <c r="B610" s="36" t="n"/>
      <c r="C610" s="36" t="n"/>
      <c r="D610" s="36" t="n"/>
      <c r="E610" s="36" t="n"/>
      <c r="F610" s="36" t="n"/>
      <c r="G610" s="36" t="n"/>
      <c r="H610" s="36" t="n"/>
      <c r="I610" s="37">
        <f>IF($A610="","",IFERROR($B610+$C610-$D610+$E610,0))</f>
        <v/>
      </c>
    </row>
    <row r="611">
      <c r="A611" s="36" t="n"/>
      <c r="B611" s="36" t="n"/>
      <c r="C611" s="36" t="n"/>
      <c r="D611" s="36" t="n"/>
      <c r="E611" s="36" t="n"/>
      <c r="F611" s="36" t="n"/>
      <c r="G611" s="36" t="n"/>
      <c r="H611" s="36" t="n"/>
      <c r="I611" s="37">
        <f>IF($A611="","",IFERROR($B611+$C611-$D611+$E611,0))</f>
        <v/>
      </c>
    </row>
    <row r="612">
      <c r="A612" s="36" t="n"/>
      <c r="B612" s="36" t="n"/>
      <c r="C612" s="36" t="n"/>
      <c r="D612" s="36" t="n"/>
      <c r="E612" s="36" t="n"/>
      <c r="F612" s="36" t="n"/>
      <c r="G612" s="36" t="n"/>
      <c r="H612" s="36" t="n"/>
      <c r="I612" s="37">
        <f>IF($A612="","",IFERROR($B612+$C612-$D612+$E612,0))</f>
        <v/>
      </c>
    </row>
    <row r="613">
      <c r="A613" s="36" t="n"/>
      <c r="B613" s="36" t="n"/>
      <c r="C613" s="36" t="n"/>
      <c r="D613" s="36" t="n"/>
      <c r="E613" s="36" t="n"/>
      <c r="F613" s="36" t="n"/>
      <c r="G613" s="36" t="n"/>
      <c r="H613" s="36" t="n"/>
      <c r="I613" s="37">
        <f>IF($A613="","",IFERROR($B613+$C613-$D613+$E613,0))</f>
        <v/>
      </c>
    </row>
    <row r="614">
      <c r="A614" s="36" t="n"/>
      <c r="B614" s="36" t="n"/>
      <c r="C614" s="36" t="n"/>
      <c r="D614" s="36" t="n"/>
      <c r="E614" s="36" t="n"/>
      <c r="F614" s="36" t="n"/>
      <c r="G614" s="36" t="n"/>
      <c r="H614" s="36" t="n"/>
      <c r="I614" s="37">
        <f>IF($A614="","",IFERROR($B614+$C614-$D614+$E614,0))</f>
        <v/>
      </c>
    </row>
    <row r="615">
      <c r="A615" s="36" t="n"/>
      <c r="B615" s="36" t="n"/>
      <c r="C615" s="36" t="n"/>
      <c r="D615" s="36" t="n"/>
      <c r="E615" s="36" t="n"/>
      <c r="F615" s="36" t="n"/>
      <c r="G615" s="36" t="n"/>
      <c r="H615" s="36" t="n"/>
      <c r="I615" s="37">
        <f>IF($A615="","",IFERROR($B615+$C615-$D615+$E615,0))</f>
        <v/>
      </c>
    </row>
    <row r="616">
      <c r="A616" s="36" t="n"/>
      <c r="B616" s="36" t="n"/>
      <c r="C616" s="36" t="n"/>
      <c r="D616" s="36" t="n"/>
      <c r="E616" s="36" t="n"/>
      <c r="F616" s="36" t="n"/>
      <c r="G616" s="36" t="n"/>
      <c r="H616" s="36" t="n"/>
      <c r="I616" s="37">
        <f>IF($A616="","",IFERROR($B616+$C616-$D616+$E616,0))</f>
        <v/>
      </c>
    </row>
    <row r="617">
      <c r="A617" s="36" t="n"/>
      <c r="B617" s="36" t="n"/>
      <c r="C617" s="36" t="n"/>
      <c r="D617" s="36" t="n"/>
      <c r="E617" s="36" t="n"/>
      <c r="F617" s="36" t="n"/>
      <c r="G617" s="36" t="n"/>
      <c r="H617" s="36" t="n"/>
      <c r="I617" s="37">
        <f>IF($A617="","",IFERROR($B617+$C617-$D617+$E617,0))</f>
        <v/>
      </c>
    </row>
    <row r="618">
      <c r="A618" s="36" t="n"/>
      <c r="B618" s="36" t="n"/>
      <c r="C618" s="36" t="n"/>
      <c r="D618" s="36" t="n"/>
      <c r="E618" s="36" t="n"/>
      <c r="F618" s="36" t="n"/>
      <c r="G618" s="36" t="n"/>
      <c r="H618" s="36" t="n"/>
      <c r="I618" s="37">
        <f>IF($A618="","",IFERROR($B618+$C618-$D618+$E618,0))</f>
        <v/>
      </c>
    </row>
    <row r="619">
      <c r="A619" s="36" t="n"/>
      <c r="B619" s="36" t="n"/>
      <c r="C619" s="36" t="n"/>
      <c r="D619" s="36" t="n"/>
      <c r="E619" s="36" t="n"/>
      <c r="F619" s="36" t="n"/>
      <c r="G619" s="36" t="n"/>
      <c r="H619" s="36" t="n"/>
      <c r="I619" s="37">
        <f>IF($A619="","",IFERROR($B619+$C619-$D619+$E619,0))</f>
        <v/>
      </c>
    </row>
    <row r="620">
      <c r="A620" s="36" t="n"/>
      <c r="B620" s="36" t="n"/>
      <c r="C620" s="36" t="n"/>
      <c r="D620" s="36" t="n"/>
      <c r="E620" s="36" t="n"/>
      <c r="F620" s="36" t="n"/>
      <c r="G620" s="36" t="n"/>
      <c r="H620" s="36" t="n"/>
      <c r="I620" s="37">
        <f>IF($A620="","",IFERROR($B620+$C620-$D620+$E620,0))</f>
        <v/>
      </c>
    </row>
    <row r="621">
      <c r="A621" s="36" t="n"/>
      <c r="B621" s="36" t="n"/>
      <c r="C621" s="36" t="n"/>
      <c r="D621" s="36" t="n"/>
      <c r="E621" s="36" t="n"/>
      <c r="F621" s="36" t="n"/>
      <c r="G621" s="36" t="n"/>
      <c r="H621" s="36" t="n"/>
      <c r="I621" s="37">
        <f>IF($A621="","",IFERROR($B621+$C621-$D621+$E621,0))</f>
        <v/>
      </c>
    </row>
    <row r="622">
      <c r="A622" s="36" t="n"/>
      <c r="B622" s="36" t="n"/>
      <c r="C622" s="36" t="n"/>
      <c r="D622" s="36" t="n"/>
      <c r="E622" s="36" t="n"/>
      <c r="F622" s="36" t="n"/>
      <c r="G622" s="36" t="n"/>
      <c r="H622" s="36" t="n"/>
      <c r="I622" s="37">
        <f>IF($A622="","",IFERROR($B622+$C622-$D622+$E622,0))</f>
        <v/>
      </c>
    </row>
    <row r="623">
      <c r="A623" s="36" t="n"/>
      <c r="B623" s="36" t="n"/>
      <c r="C623" s="36" t="n"/>
      <c r="D623" s="36" t="n"/>
      <c r="E623" s="36" t="n"/>
      <c r="F623" s="36" t="n"/>
      <c r="G623" s="36" t="n"/>
      <c r="H623" s="36" t="n"/>
      <c r="I623" s="37">
        <f>IF($A623="","",IFERROR($B623+$C623-$D623+$E623,0))</f>
        <v/>
      </c>
    </row>
    <row r="624">
      <c r="A624" s="36" t="n"/>
      <c r="B624" s="36" t="n"/>
      <c r="C624" s="36" t="n"/>
      <c r="D624" s="36" t="n"/>
      <c r="E624" s="36" t="n"/>
      <c r="F624" s="36" t="n"/>
      <c r="G624" s="36" t="n"/>
      <c r="H624" s="36" t="n"/>
      <c r="I624" s="37">
        <f>IF($A624="","",IFERROR($B624+$C624-$D624+$E624,0))</f>
        <v/>
      </c>
    </row>
    <row r="625">
      <c r="A625" s="36" t="n"/>
      <c r="B625" s="36" t="n"/>
      <c r="C625" s="36" t="n"/>
      <c r="D625" s="36" t="n"/>
      <c r="E625" s="36" t="n"/>
      <c r="F625" s="36" t="n"/>
      <c r="G625" s="36" t="n"/>
      <c r="H625" s="36" t="n"/>
      <c r="I625" s="37">
        <f>IF($A625="","",IFERROR($B625+$C625-$D625+$E625,0))</f>
        <v/>
      </c>
    </row>
    <row r="626">
      <c r="A626" s="36" t="n"/>
      <c r="B626" s="36" t="n"/>
      <c r="C626" s="36" t="n"/>
      <c r="D626" s="36" t="n"/>
      <c r="E626" s="36" t="n"/>
      <c r="F626" s="36" t="n"/>
      <c r="G626" s="36" t="n"/>
      <c r="H626" s="36" t="n"/>
      <c r="I626" s="37">
        <f>IF($A626="","",IFERROR($B626+$C626-$D626+$E626,0))</f>
        <v/>
      </c>
    </row>
    <row r="627">
      <c r="A627" s="36" t="n"/>
      <c r="B627" s="36" t="n"/>
      <c r="C627" s="36" t="n"/>
      <c r="D627" s="36" t="n"/>
      <c r="E627" s="36" t="n"/>
      <c r="F627" s="36" t="n"/>
      <c r="G627" s="36" t="n"/>
      <c r="H627" s="36" t="n"/>
      <c r="I627" s="37">
        <f>IF($A627="","",IFERROR($B627+$C627-$D627+$E627,0))</f>
        <v/>
      </c>
    </row>
    <row r="628">
      <c r="A628" s="36" t="n"/>
      <c r="B628" s="36" t="n"/>
      <c r="C628" s="36" t="n"/>
      <c r="D628" s="36" t="n"/>
      <c r="E628" s="36" t="n"/>
      <c r="F628" s="36" t="n"/>
      <c r="G628" s="36" t="n"/>
      <c r="H628" s="36" t="n"/>
      <c r="I628" s="37">
        <f>IF($A628="","",IFERROR($B628+$C628-$D628+$E628,0))</f>
        <v/>
      </c>
    </row>
    <row r="629">
      <c r="A629" s="36" t="n"/>
      <c r="B629" s="36" t="n"/>
      <c r="C629" s="36" t="n"/>
      <c r="D629" s="36" t="n"/>
      <c r="E629" s="36" t="n"/>
      <c r="F629" s="36" t="n"/>
      <c r="G629" s="36" t="n"/>
      <c r="H629" s="36" t="n"/>
      <c r="I629" s="37">
        <f>IF($A629="","",IFERROR($B629+$C629-$D629+$E629,0))</f>
        <v/>
      </c>
    </row>
    <row r="630">
      <c r="A630" s="36" t="n"/>
      <c r="B630" s="36" t="n"/>
      <c r="C630" s="36" t="n"/>
      <c r="D630" s="36" t="n"/>
      <c r="E630" s="36" t="n"/>
      <c r="F630" s="36" t="n"/>
      <c r="G630" s="36" t="n"/>
      <c r="H630" s="36" t="n"/>
      <c r="I630" s="37">
        <f>IF($A630="","",IFERROR($B630+$C630-$D630+$E630,0))</f>
        <v/>
      </c>
    </row>
    <row r="631">
      <c r="A631" s="36" t="n"/>
      <c r="B631" s="36" t="n"/>
      <c r="C631" s="36" t="n"/>
      <c r="D631" s="36" t="n"/>
      <c r="E631" s="36" t="n"/>
      <c r="F631" s="36" t="n"/>
      <c r="G631" s="36" t="n"/>
      <c r="H631" s="36" t="n"/>
      <c r="I631" s="37">
        <f>IF($A631="","",IFERROR($B631+$C631-$D631+$E631,0))</f>
        <v/>
      </c>
    </row>
    <row r="632">
      <c r="A632" s="36" t="n"/>
      <c r="B632" s="36" t="n"/>
      <c r="C632" s="36" t="n"/>
      <c r="D632" s="36" t="n"/>
      <c r="E632" s="36" t="n"/>
      <c r="F632" s="36" t="n"/>
      <c r="G632" s="36" t="n"/>
      <c r="H632" s="36" t="n"/>
      <c r="I632" s="37">
        <f>IF($A632="","",IFERROR($B632+$C632-$D632+$E632,0))</f>
        <v/>
      </c>
    </row>
    <row r="633">
      <c r="A633" s="36" t="n"/>
      <c r="B633" s="36" t="n"/>
      <c r="C633" s="36" t="n"/>
      <c r="D633" s="36" t="n"/>
      <c r="E633" s="36" t="n"/>
      <c r="F633" s="36" t="n"/>
      <c r="G633" s="36" t="n"/>
      <c r="H633" s="36" t="n"/>
      <c r="I633" s="37">
        <f>IF($A633="","",IFERROR($B633+$C633-$D633+$E633,0))</f>
        <v/>
      </c>
    </row>
    <row r="634">
      <c r="A634" s="36" t="n"/>
      <c r="B634" s="36" t="n"/>
      <c r="C634" s="36" t="n"/>
      <c r="D634" s="36" t="n"/>
      <c r="E634" s="36" t="n"/>
      <c r="F634" s="36" t="n"/>
      <c r="G634" s="36" t="n"/>
      <c r="H634" s="36" t="n"/>
      <c r="I634" s="37">
        <f>IF($A634="","",IFERROR($B634+$C634-$D634+$E634,0))</f>
        <v/>
      </c>
    </row>
    <row r="635">
      <c r="A635" s="36" t="n"/>
      <c r="B635" s="36" t="n"/>
      <c r="C635" s="36" t="n"/>
      <c r="D635" s="36" t="n"/>
      <c r="E635" s="36" t="n"/>
      <c r="F635" s="36" t="n"/>
      <c r="G635" s="36" t="n"/>
      <c r="H635" s="36" t="n"/>
      <c r="I635" s="37">
        <f>IF($A635="","",IFERROR($B635+$C635-$D635+$E635,0))</f>
        <v/>
      </c>
    </row>
    <row r="636">
      <c r="A636" s="36" t="n"/>
      <c r="B636" s="36" t="n"/>
      <c r="C636" s="36" t="n"/>
      <c r="D636" s="36" t="n"/>
      <c r="E636" s="36" t="n"/>
      <c r="F636" s="36" t="n"/>
      <c r="G636" s="36" t="n"/>
      <c r="H636" s="36" t="n"/>
      <c r="I636" s="37">
        <f>IF($A636="","",IFERROR($B636+$C636-$D636+$E636,0))</f>
        <v/>
      </c>
    </row>
    <row r="637">
      <c r="A637" s="36" t="n"/>
      <c r="B637" s="36" t="n"/>
      <c r="C637" s="36" t="n"/>
      <c r="D637" s="36" t="n"/>
      <c r="E637" s="36" t="n"/>
      <c r="F637" s="36" t="n"/>
      <c r="G637" s="36" t="n"/>
      <c r="H637" s="36" t="n"/>
      <c r="I637" s="37">
        <f>IF($A637="","",IFERROR($B637+$C637-$D637+$E637,0))</f>
        <v/>
      </c>
    </row>
    <row r="638">
      <c r="A638" s="36" t="n"/>
      <c r="B638" s="36" t="n"/>
      <c r="C638" s="36" t="n"/>
      <c r="D638" s="36" t="n"/>
      <c r="E638" s="36" t="n"/>
      <c r="F638" s="36" t="n"/>
      <c r="G638" s="36" t="n"/>
      <c r="H638" s="36" t="n"/>
      <c r="I638" s="37">
        <f>IF($A638="","",IFERROR($B638+$C638-$D638+$E638,0))</f>
        <v/>
      </c>
    </row>
    <row r="639">
      <c r="A639" s="36" t="n"/>
      <c r="B639" s="36" t="n"/>
      <c r="C639" s="36" t="n"/>
      <c r="D639" s="36" t="n"/>
      <c r="E639" s="36" t="n"/>
      <c r="F639" s="36" t="n"/>
      <c r="G639" s="36" t="n"/>
      <c r="H639" s="36" t="n"/>
      <c r="I639" s="37">
        <f>IF($A639="","",IFERROR($B639+$C639-$D639+$E639,0))</f>
        <v/>
      </c>
    </row>
    <row r="640">
      <c r="A640" s="36" t="n"/>
      <c r="B640" s="36" t="n"/>
      <c r="C640" s="36" t="n"/>
      <c r="D640" s="36" t="n"/>
      <c r="E640" s="36" t="n"/>
      <c r="F640" s="36" t="n"/>
      <c r="G640" s="36" t="n"/>
      <c r="H640" s="36" t="n"/>
      <c r="I640" s="37">
        <f>IF($A640="","",IFERROR($B640+$C640-$D640+$E640,0))</f>
        <v/>
      </c>
    </row>
    <row r="641">
      <c r="A641" s="36" t="n"/>
      <c r="B641" s="36" t="n"/>
      <c r="C641" s="36" t="n"/>
      <c r="D641" s="36" t="n"/>
      <c r="E641" s="36" t="n"/>
      <c r="F641" s="36" t="n"/>
      <c r="G641" s="36" t="n"/>
      <c r="H641" s="36" t="n"/>
      <c r="I641" s="37">
        <f>IF($A641="","",IFERROR($B641+$C641-$D641+$E641,0))</f>
        <v/>
      </c>
    </row>
    <row r="642">
      <c r="A642" s="36" t="n"/>
      <c r="B642" s="36" t="n"/>
      <c r="C642" s="36" t="n"/>
      <c r="D642" s="36" t="n"/>
      <c r="E642" s="36" t="n"/>
      <c r="F642" s="36" t="n"/>
      <c r="G642" s="36" t="n"/>
      <c r="H642" s="36" t="n"/>
      <c r="I642" s="37">
        <f>IF($A642="","",IFERROR($B642+$C642-$D642+$E642,0))</f>
        <v/>
      </c>
    </row>
    <row r="643">
      <c r="A643" s="36" t="n"/>
      <c r="B643" s="36" t="n"/>
      <c r="C643" s="36" t="n"/>
      <c r="D643" s="36" t="n"/>
      <c r="E643" s="36" t="n"/>
      <c r="F643" s="36" t="n"/>
      <c r="G643" s="36" t="n"/>
      <c r="H643" s="36" t="n"/>
      <c r="I643" s="37">
        <f>IF($A643="","",IFERROR($B643+$C643-$D643+$E643,0))</f>
        <v/>
      </c>
    </row>
    <row r="644">
      <c r="A644" s="36" t="n"/>
      <c r="B644" s="36" t="n"/>
      <c r="C644" s="36" t="n"/>
      <c r="D644" s="36" t="n"/>
      <c r="E644" s="36" t="n"/>
      <c r="F644" s="36" t="n"/>
      <c r="G644" s="36" t="n"/>
      <c r="H644" s="36" t="n"/>
      <c r="I644" s="37">
        <f>IF($A644="","",IFERROR($B644+$C644-$D644+$E644,0))</f>
        <v/>
      </c>
    </row>
    <row r="645">
      <c r="A645" s="36" t="n"/>
      <c r="B645" s="36" t="n"/>
      <c r="C645" s="36" t="n"/>
      <c r="D645" s="36" t="n"/>
      <c r="E645" s="36" t="n"/>
      <c r="F645" s="36" t="n"/>
      <c r="G645" s="36" t="n"/>
      <c r="H645" s="36" t="n"/>
      <c r="I645" s="37">
        <f>IF($A645="","",IFERROR($B645+$C645-$D645+$E645,0))</f>
        <v/>
      </c>
    </row>
    <row r="646">
      <c r="A646" s="36" t="n"/>
      <c r="B646" s="36" t="n"/>
      <c r="C646" s="36" t="n"/>
      <c r="D646" s="36" t="n"/>
      <c r="E646" s="36" t="n"/>
      <c r="F646" s="36" t="n"/>
      <c r="G646" s="36" t="n"/>
      <c r="H646" s="36" t="n"/>
      <c r="I646" s="37">
        <f>IF($A646="","",IFERROR($B646+$C646-$D646+$E646,0))</f>
        <v/>
      </c>
    </row>
    <row r="647">
      <c r="A647" s="36" t="n"/>
      <c r="B647" s="36" t="n"/>
      <c r="C647" s="36" t="n"/>
      <c r="D647" s="36" t="n"/>
      <c r="E647" s="36" t="n"/>
      <c r="F647" s="36" t="n"/>
      <c r="G647" s="36" t="n"/>
      <c r="H647" s="36" t="n"/>
      <c r="I647" s="37">
        <f>IF($A647="","",IFERROR($B647+$C647-$D647+$E647,0))</f>
        <v/>
      </c>
    </row>
    <row r="648">
      <c r="A648" s="36" t="n"/>
      <c r="B648" s="36" t="n"/>
      <c r="C648" s="36" t="n"/>
      <c r="D648" s="36" t="n"/>
      <c r="E648" s="36" t="n"/>
      <c r="F648" s="36" t="n"/>
      <c r="G648" s="36" t="n"/>
      <c r="H648" s="36" t="n"/>
      <c r="I648" s="37">
        <f>IF($A648="","",IFERROR($B648+$C648-$D648+$E648,0))</f>
        <v/>
      </c>
    </row>
    <row r="649">
      <c r="A649" s="36" t="n"/>
      <c r="B649" s="36" t="n"/>
      <c r="C649" s="36" t="n"/>
      <c r="D649" s="36" t="n"/>
      <c r="E649" s="36" t="n"/>
      <c r="F649" s="36" t="n"/>
      <c r="G649" s="36" t="n"/>
      <c r="H649" s="36" t="n"/>
      <c r="I649" s="37">
        <f>IF($A649="","",IFERROR($B649+$C649-$D649+$E649,0))</f>
        <v/>
      </c>
    </row>
    <row r="650">
      <c r="A650" s="36" t="n"/>
      <c r="B650" s="36" t="n"/>
      <c r="C650" s="36" t="n"/>
      <c r="D650" s="36" t="n"/>
      <c r="E650" s="36" t="n"/>
      <c r="F650" s="36" t="n"/>
      <c r="G650" s="36" t="n"/>
      <c r="H650" s="36" t="n"/>
      <c r="I650" s="37">
        <f>IF($A650="","",IFERROR($B650+$C650-$D650+$E650,0))</f>
        <v/>
      </c>
    </row>
    <row r="651">
      <c r="A651" s="36" t="n"/>
      <c r="B651" s="36" t="n"/>
      <c r="C651" s="36" t="n"/>
      <c r="D651" s="36" t="n"/>
      <c r="E651" s="36" t="n"/>
      <c r="F651" s="36" t="n"/>
      <c r="G651" s="36" t="n"/>
      <c r="H651" s="36" t="n"/>
      <c r="I651" s="37">
        <f>IF($A651="","",IFERROR($B651+$C651-$D651+$E651,0))</f>
        <v/>
      </c>
    </row>
    <row r="652">
      <c r="A652" s="36" t="n"/>
      <c r="B652" s="36" t="n"/>
      <c r="C652" s="36" t="n"/>
      <c r="D652" s="36" t="n"/>
      <c r="E652" s="36" t="n"/>
      <c r="F652" s="36" t="n"/>
      <c r="G652" s="36" t="n"/>
      <c r="H652" s="36" t="n"/>
      <c r="I652" s="37">
        <f>IF($A652="","",IFERROR($B652+$C652-$D652+$E652,0))</f>
        <v/>
      </c>
    </row>
    <row r="653">
      <c r="A653" s="36" t="n"/>
      <c r="B653" s="36" t="n"/>
      <c r="C653" s="36" t="n"/>
      <c r="D653" s="36" t="n"/>
      <c r="E653" s="36" t="n"/>
      <c r="F653" s="36" t="n"/>
      <c r="G653" s="36" t="n"/>
      <c r="H653" s="36" t="n"/>
      <c r="I653" s="37">
        <f>IF($A653="","",IFERROR($B653+$C653-$D653+$E653,0))</f>
        <v/>
      </c>
    </row>
    <row r="654">
      <c r="A654" s="36" t="n"/>
      <c r="B654" s="36" t="n"/>
      <c r="C654" s="36" t="n"/>
      <c r="D654" s="36" t="n"/>
      <c r="E654" s="36" t="n"/>
      <c r="F654" s="36" t="n"/>
      <c r="G654" s="36" t="n"/>
      <c r="H654" s="36" t="n"/>
      <c r="I654" s="37">
        <f>IF($A654="","",IFERROR($B654+$C654-$D654+$E654,0))</f>
        <v/>
      </c>
    </row>
    <row r="655">
      <c r="A655" s="36" t="n"/>
      <c r="B655" s="36" t="n"/>
      <c r="C655" s="36" t="n"/>
      <c r="D655" s="36" t="n"/>
      <c r="E655" s="36" t="n"/>
      <c r="F655" s="36" t="n"/>
      <c r="G655" s="36" t="n"/>
      <c r="H655" s="36" t="n"/>
      <c r="I655" s="37">
        <f>IF($A655="","",IFERROR($B655+$C655-$D655+$E655,0))</f>
        <v/>
      </c>
    </row>
    <row r="656">
      <c r="A656" s="36" t="n"/>
      <c r="B656" s="36" t="n"/>
      <c r="C656" s="36" t="n"/>
      <c r="D656" s="36" t="n"/>
      <c r="E656" s="36" t="n"/>
      <c r="F656" s="36" t="n"/>
      <c r="G656" s="36" t="n"/>
      <c r="H656" s="36" t="n"/>
      <c r="I656" s="37">
        <f>IF($A656="","",IFERROR($B656+$C656-$D656+$E656,0))</f>
        <v/>
      </c>
    </row>
    <row r="657">
      <c r="A657" s="36" t="n"/>
      <c r="B657" s="36" t="n"/>
      <c r="C657" s="36" t="n"/>
      <c r="D657" s="36" t="n"/>
      <c r="E657" s="36" t="n"/>
      <c r="F657" s="36" t="n"/>
      <c r="G657" s="36" t="n"/>
      <c r="H657" s="36" t="n"/>
      <c r="I657" s="37">
        <f>IF($A657="","",IFERROR($B657+$C657-$D657+$E657,0))</f>
        <v/>
      </c>
    </row>
    <row r="658">
      <c r="A658" s="36" t="n"/>
      <c r="B658" s="36" t="n"/>
      <c r="C658" s="36" t="n"/>
      <c r="D658" s="36" t="n"/>
      <c r="E658" s="36" t="n"/>
      <c r="F658" s="36" t="n"/>
      <c r="G658" s="36" t="n"/>
      <c r="H658" s="36" t="n"/>
      <c r="I658" s="37">
        <f>IF($A658="","",IFERROR($B658+$C658-$D658+$E658,0))</f>
        <v/>
      </c>
    </row>
    <row r="659">
      <c r="A659" s="36" t="n"/>
      <c r="B659" s="36" t="n"/>
      <c r="C659" s="36" t="n"/>
      <c r="D659" s="36" t="n"/>
      <c r="E659" s="36" t="n"/>
      <c r="F659" s="36" t="n"/>
      <c r="G659" s="36" t="n"/>
      <c r="H659" s="36" t="n"/>
      <c r="I659" s="37">
        <f>IF($A659="","",IFERROR($B659+$C659-$D659+$E659,0))</f>
        <v/>
      </c>
    </row>
    <row r="660">
      <c r="A660" s="36" t="n"/>
      <c r="B660" s="36" t="n"/>
      <c r="C660" s="36" t="n"/>
      <c r="D660" s="36" t="n"/>
      <c r="E660" s="36" t="n"/>
      <c r="F660" s="36" t="n"/>
      <c r="G660" s="36" t="n"/>
      <c r="H660" s="36" t="n"/>
      <c r="I660" s="37">
        <f>IF($A660="","",IFERROR($B660+$C660-$D660+$E660,0))</f>
        <v/>
      </c>
    </row>
    <row r="661">
      <c r="A661" s="36" t="n"/>
      <c r="B661" s="36" t="n"/>
      <c r="C661" s="36" t="n"/>
      <c r="D661" s="36" t="n"/>
      <c r="E661" s="36" t="n"/>
      <c r="F661" s="36" t="n"/>
      <c r="G661" s="36" t="n"/>
      <c r="H661" s="36" t="n"/>
      <c r="I661" s="37">
        <f>IF($A661="","",IFERROR($B661+$C661-$D661+$E661,0))</f>
        <v/>
      </c>
    </row>
    <row r="662">
      <c r="A662" s="36" t="n"/>
      <c r="B662" s="36" t="n"/>
      <c r="C662" s="36" t="n"/>
      <c r="D662" s="36" t="n"/>
      <c r="E662" s="36" t="n"/>
      <c r="F662" s="36" t="n"/>
      <c r="G662" s="36" t="n"/>
      <c r="H662" s="36" t="n"/>
      <c r="I662" s="37">
        <f>IF($A662="","",IFERROR($B662+$C662-$D662+$E662,0))</f>
        <v/>
      </c>
    </row>
    <row r="663">
      <c r="A663" s="36" t="n"/>
      <c r="B663" s="36" t="n"/>
      <c r="C663" s="36" t="n"/>
      <c r="D663" s="36" t="n"/>
      <c r="E663" s="36" t="n"/>
      <c r="F663" s="36" t="n"/>
      <c r="G663" s="36" t="n"/>
      <c r="H663" s="36" t="n"/>
      <c r="I663" s="37">
        <f>IF($A663="","",IFERROR($B663+$C663-$D663+$E663,0))</f>
        <v/>
      </c>
    </row>
    <row r="664">
      <c r="A664" s="36" t="n"/>
      <c r="B664" s="36" t="n"/>
      <c r="C664" s="36" t="n"/>
      <c r="D664" s="36" t="n"/>
      <c r="E664" s="36" t="n"/>
      <c r="F664" s="36" t="n"/>
      <c r="G664" s="36" t="n"/>
      <c r="H664" s="36" t="n"/>
      <c r="I664" s="37">
        <f>IF($A664="","",IFERROR($B664+$C664-$D664+$E664,0))</f>
        <v/>
      </c>
    </row>
    <row r="665">
      <c r="A665" s="36" t="n"/>
      <c r="B665" s="36" t="n"/>
      <c r="C665" s="36" t="n"/>
      <c r="D665" s="36" t="n"/>
      <c r="E665" s="36" t="n"/>
      <c r="F665" s="36" t="n"/>
      <c r="G665" s="36" t="n"/>
      <c r="H665" s="36" t="n"/>
      <c r="I665" s="37">
        <f>IF($A665="","",IFERROR($B665+$C665-$D665+$E665,0))</f>
        <v/>
      </c>
    </row>
    <row r="666">
      <c r="A666" s="36" t="n"/>
      <c r="B666" s="36" t="n"/>
      <c r="C666" s="36" t="n"/>
      <c r="D666" s="36" t="n"/>
      <c r="E666" s="36" t="n"/>
      <c r="F666" s="36" t="n"/>
      <c r="G666" s="36" t="n"/>
      <c r="H666" s="36" t="n"/>
      <c r="I666" s="37">
        <f>IF($A666="","",IFERROR($B666+$C666-$D666+$E666,0))</f>
        <v/>
      </c>
    </row>
    <row r="667">
      <c r="A667" s="36" t="n"/>
      <c r="B667" s="36" t="n"/>
      <c r="C667" s="36" t="n"/>
      <c r="D667" s="36" t="n"/>
      <c r="E667" s="36" t="n"/>
      <c r="F667" s="36" t="n"/>
      <c r="G667" s="36" t="n"/>
      <c r="H667" s="36" t="n"/>
      <c r="I667" s="37">
        <f>IF($A667="","",IFERROR($B667+$C667-$D667+$E667,0))</f>
        <v/>
      </c>
    </row>
    <row r="668">
      <c r="A668" s="36" t="n"/>
      <c r="B668" s="36" t="n"/>
      <c r="C668" s="36" t="n"/>
      <c r="D668" s="36" t="n"/>
      <c r="E668" s="36" t="n"/>
      <c r="F668" s="36" t="n"/>
      <c r="G668" s="36" t="n"/>
      <c r="H668" s="36" t="n"/>
      <c r="I668" s="37">
        <f>IF($A668="","",IFERROR($B668+$C668-$D668+$E668,0))</f>
        <v/>
      </c>
    </row>
    <row r="669">
      <c r="A669" s="36" t="n"/>
      <c r="B669" s="36" t="n"/>
      <c r="C669" s="36" t="n"/>
      <c r="D669" s="36" t="n"/>
      <c r="E669" s="36" t="n"/>
      <c r="F669" s="36" t="n"/>
      <c r="G669" s="36" t="n"/>
      <c r="H669" s="36" t="n"/>
      <c r="I669" s="37">
        <f>IF($A669="","",IFERROR($B669+$C669-$D669+$E669,0))</f>
        <v/>
      </c>
    </row>
    <row r="670">
      <c r="A670" s="36" t="n"/>
      <c r="B670" s="36" t="n"/>
      <c r="C670" s="36" t="n"/>
      <c r="D670" s="36" t="n"/>
      <c r="E670" s="36" t="n"/>
      <c r="F670" s="36" t="n"/>
      <c r="G670" s="36" t="n"/>
      <c r="H670" s="36" t="n"/>
      <c r="I670" s="37">
        <f>IF($A670="","",IFERROR($B670+$C670-$D670+$E670,0))</f>
        <v/>
      </c>
    </row>
    <row r="671">
      <c r="A671" s="36" t="n"/>
      <c r="B671" s="36" t="n"/>
      <c r="C671" s="36" t="n"/>
      <c r="D671" s="36" t="n"/>
      <c r="E671" s="36" t="n"/>
      <c r="F671" s="36" t="n"/>
      <c r="G671" s="36" t="n"/>
      <c r="H671" s="36" t="n"/>
      <c r="I671" s="37">
        <f>IF($A671="","",IFERROR($B671+$C671-$D671+$E671,0))</f>
        <v/>
      </c>
    </row>
    <row r="672">
      <c r="A672" s="36" t="n"/>
      <c r="B672" s="36" t="n"/>
      <c r="C672" s="36" t="n"/>
      <c r="D672" s="36" t="n"/>
      <c r="E672" s="36" t="n"/>
      <c r="F672" s="36" t="n"/>
      <c r="G672" s="36" t="n"/>
      <c r="H672" s="36" t="n"/>
      <c r="I672" s="37">
        <f>IF($A672="","",IFERROR($B672+$C672-$D672+$E672,0))</f>
        <v/>
      </c>
    </row>
    <row r="673">
      <c r="A673" s="36" t="n"/>
      <c r="B673" s="36" t="n"/>
      <c r="C673" s="36" t="n"/>
      <c r="D673" s="36" t="n"/>
      <c r="E673" s="36" t="n"/>
      <c r="F673" s="36" t="n"/>
      <c r="G673" s="36" t="n"/>
      <c r="H673" s="36" t="n"/>
      <c r="I673" s="37">
        <f>IF($A673="","",IFERROR($B673+$C673-$D673+$E673,0))</f>
        <v/>
      </c>
    </row>
    <row r="674">
      <c r="A674" s="36" t="n"/>
      <c r="B674" s="36" t="n"/>
      <c r="C674" s="36" t="n"/>
      <c r="D674" s="36" t="n"/>
      <c r="E674" s="36" t="n"/>
      <c r="F674" s="36" t="n"/>
      <c r="G674" s="36" t="n"/>
      <c r="H674" s="36" t="n"/>
      <c r="I674" s="37">
        <f>IF($A674="","",IFERROR($B674+$C674-$D674+$E674,0))</f>
        <v/>
      </c>
    </row>
    <row r="675">
      <c r="A675" s="36" t="n"/>
      <c r="B675" s="36" t="n"/>
      <c r="C675" s="36" t="n"/>
      <c r="D675" s="36" t="n"/>
      <c r="E675" s="36" t="n"/>
      <c r="F675" s="36" t="n"/>
      <c r="G675" s="36" t="n"/>
      <c r="H675" s="36" t="n"/>
      <c r="I675" s="37">
        <f>IF($A675="","",IFERROR($B675+$C675-$D675+$E675,0))</f>
        <v/>
      </c>
    </row>
    <row r="676">
      <c r="A676" s="36" t="n"/>
      <c r="B676" s="36" t="n"/>
      <c r="C676" s="36" t="n"/>
      <c r="D676" s="36" t="n"/>
      <c r="E676" s="36" t="n"/>
      <c r="F676" s="36" t="n"/>
      <c r="G676" s="36" t="n"/>
      <c r="H676" s="36" t="n"/>
      <c r="I676" s="37">
        <f>IF($A676="","",IFERROR($B676+$C676-$D676+$E676,0))</f>
        <v/>
      </c>
    </row>
    <row r="677">
      <c r="A677" s="36" t="n"/>
      <c r="B677" s="36" t="n"/>
      <c r="C677" s="36" t="n"/>
      <c r="D677" s="36" t="n"/>
      <c r="E677" s="36" t="n"/>
      <c r="F677" s="36" t="n"/>
      <c r="G677" s="36" t="n"/>
      <c r="H677" s="36" t="n"/>
      <c r="I677" s="37">
        <f>IF($A677="","",IFERROR($B677+$C677-$D677+$E677,0))</f>
        <v/>
      </c>
    </row>
    <row r="678">
      <c r="A678" s="36" t="n"/>
      <c r="B678" s="36" t="n"/>
      <c r="C678" s="36" t="n"/>
      <c r="D678" s="36" t="n"/>
      <c r="E678" s="36" t="n"/>
      <c r="F678" s="36" t="n"/>
      <c r="G678" s="36" t="n"/>
      <c r="H678" s="36" t="n"/>
      <c r="I678" s="37">
        <f>IF($A678="","",IFERROR($B678+$C678-$D678+$E678,0))</f>
        <v/>
      </c>
    </row>
    <row r="679">
      <c r="A679" s="36" t="n"/>
      <c r="B679" s="36" t="n"/>
      <c r="C679" s="36" t="n"/>
      <c r="D679" s="36" t="n"/>
      <c r="E679" s="36" t="n"/>
      <c r="F679" s="36" t="n"/>
      <c r="G679" s="36" t="n"/>
      <c r="H679" s="36" t="n"/>
      <c r="I679" s="37">
        <f>IF($A679="","",IFERROR($B679+$C679-$D679+$E679,0))</f>
        <v/>
      </c>
    </row>
    <row r="680">
      <c r="A680" s="36" t="n"/>
      <c r="B680" s="36" t="n"/>
      <c r="C680" s="36" t="n"/>
      <c r="D680" s="36" t="n"/>
      <c r="E680" s="36" t="n"/>
      <c r="F680" s="36" t="n"/>
      <c r="G680" s="36" t="n"/>
      <c r="H680" s="36" t="n"/>
      <c r="I680" s="37">
        <f>IF($A680="","",IFERROR($B680+$C680-$D680+$E680,0))</f>
        <v/>
      </c>
    </row>
    <row r="681">
      <c r="A681" s="36" t="n"/>
      <c r="B681" s="36" t="n"/>
      <c r="C681" s="36" t="n"/>
      <c r="D681" s="36" t="n"/>
      <c r="E681" s="36" t="n"/>
      <c r="F681" s="36" t="n"/>
      <c r="G681" s="36" t="n"/>
      <c r="H681" s="36" t="n"/>
      <c r="I681" s="37">
        <f>IF($A681="","",IFERROR($B681+$C681-$D681+$E681,0))</f>
        <v/>
      </c>
    </row>
    <row r="682">
      <c r="A682" s="36" t="n"/>
      <c r="B682" s="36" t="n"/>
      <c r="C682" s="36" t="n"/>
      <c r="D682" s="36" t="n"/>
      <c r="E682" s="36" t="n"/>
      <c r="F682" s="36" t="n"/>
      <c r="G682" s="36" t="n"/>
      <c r="H682" s="36" t="n"/>
      <c r="I682" s="37">
        <f>IF($A682="","",IFERROR($B682+$C682-$D682+$E682,0))</f>
        <v/>
      </c>
    </row>
    <row r="683">
      <c r="A683" s="36" t="n"/>
      <c r="B683" s="36" t="n"/>
      <c r="C683" s="36" t="n"/>
      <c r="D683" s="36" t="n"/>
      <c r="E683" s="36" t="n"/>
      <c r="F683" s="36" t="n"/>
      <c r="G683" s="36" t="n"/>
      <c r="H683" s="36" t="n"/>
      <c r="I683" s="37">
        <f>IF($A683="","",IFERROR($B683+$C683-$D683+$E683,0))</f>
        <v/>
      </c>
    </row>
    <row r="684">
      <c r="A684" s="36" t="n"/>
      <c r="B684" s="36" t="n"/>
      <c r="C684" s="36" t="n"/>
      <c r="D684" s="36" t="n"/>
      <c r="E684" s="36" t="n"/>
      <c r="F684" s="36" t="n"/>
      <c r="G684" s="36" t="n"/>
      <c r="H684" s="36" t="n"/>
      <c r="I684" s="37">
        <f>IF($A684="","",IFERROR($B684+$C684-$D684+$E684,0))</f>
        <v/>
      </c>
    </row>
    <row r="685">
      <c r="A685" s="36" t="n"/>
      <c r="B685" s="36" t="n"/>
      <c r="C685" s="36" t="n"/>
      <c r="D685" s="36" t="n"/>
      <c r="E685" s="36" t="n"/>
      <c r="F685" s="36" t="n"/>
      <c r="G685" s="36" t="n"/>
      <c r="H685" s="36" t="n"/>
      <c r="I685" s="37">
        <f>IF($A685="","",IFERROR($B685+$C685-$D685+$E685,0))</f>
        <v/>
      </c>
    </row>
    <row r="686">
      <c r="A686" s="36" t="n"/>
      <c r="B686" s="36" t="n"/>
      <c r="C686" s="36" t="n"/>
      <c r="D686" s="36" t="n"/>
      <c r="E686" s="36" t="n"/>
      <c r="F686" s="36" t="n"/>
      <c r="G686" s="36" t="n"/>
      <c r="H686" s="36" t="n"/>
      <c r="I686" s="37">
        <f>IF($A686="","",IFERROR($B686+$C686-$D686+$E686,0))</f>
        <v/>
      </c>
    </row>
    <row r="687">
      <c r="A687" s="36" t="n"/>
      <c r="B687" s="36" t="n"/>
      <c r="C687" s="36" t="n"/>
      <c r="D687" s="36" t="n"/>
      <c r="E687" s="36" t="n"/>
      <c r="F687" s="36" t="n"/>
      <c r="G687" s="36" t="n"/>
      <c r="H687" s="36" t="n"/>
      <c r="I687" s="37">
        <f>IF($A687="","",IFERROR($B687+$C687-$D687+$E687,0))</f>
        <v/>
      </c>
    </row>
    <row r="688">
      <c r="A688" s="36" t="n"/>
      <c r="B688" s="36" t="n"/>
      <c r="C688" s="36" t="n"/>
      <c r="D688" s="36" t="n"/>
      <c r="E688" s="36" t="n"/>
      <c r="F688" s="36" t="n"/>
      <c r="G688" s="36" t="n"/>
      <c r="H688" s="36" t="n"/>
      <c r="I688" s="37">
        <f>IF($A688="","",IFERROR($B688+$C688-$D688+$E688,0))</f>
        <v/>
      </c>
    </row>
    <row r="689">
      <c r="A689" s="36" t="n"/>
      <c r="B689" s="36" t="n"/>
      <c r="C689" s="36" t="n"/>
      <c r="D689" s="36" t="n"/>
      <c r="E689" s="36" t="n"/>
      <c r="F689" s="36" t="n"/>
      <c r="G689" s="36" t="n"/>
      <c r="H689" s="36" t="n"/>
      <c r="I689" s="37">
        <f>IF($A689="","",IFERROR($B689+$C689-$D689+$E689,0))</f>
        <v/>
      </c>
    </row>
    <row r="690">
      <c r="A690" s="36" t="n"/>
      <c r="B690" s="36" t="n"/>
      <c r="C690" s="36" t="n"/>
      <c r="D690" s="36" t="n"/>
      <c r="E690" s="36" t="n"/>
      <c r="F690" s="36" t="n"/>
      <c r="G690" s="36" t="n"/>
      <c r="H690" s="36" t="n"/>
      <c r="I690" s="37">
        <f>IF($A690="","",IFERROR($B690+$C690-$D690+$E690,0))</f>
        <v/>
      </c>
    </row>
    <row r="691">
      <c r="A691" s="36" t="n"/>
      <c r="B691" s="36" t="n"/>
      <c r="C691" s="36" t="n"/>
      <c r="D691" s="36" t="n"/>
      <c r="E691" s="36" t="n"/>
      <c r="F691" s="36" t="n"/>
      <c r="G691" s="36" t="n"/>
      <c r="H691" s="36" t="n"/>
      <c r="I691" s="37">
        <f>IF($A691="","",IFERROR($B691+$C691-$D691+$E691,0))</f>
        <v/>
      </c>
    </row>
    <row r="692">
      <c r="A692" s="36" t="n"/>
      <c r="B692" s="36" t="n"/>
      <c r="C692" s="36" t="n"/>
      <c r="D692" s="36" t="n"/>
      <c r="E692" s="36" t="n"/>
      <c r="F692" s="36" t="n"/>
      <c r="G692" s="36" t="n"/>
      <c r="H692" s="36" t="n"/>
      <c r="I692" s="37">
        <f>IF($A692="","",IFERROR($B692+$C692-$D692+$E692,0))</f>
        <v/>
      </c>
    </row>
    <row r="693">
      <c r="A693" s="36" t="n"/>
      <c r="B693" s="36" t="n"/>
      <c r="C693" s="36" t="n"/>
      <c r="D693" s="36" t="n"/>
      <c r="E693" s="36" t="n"/>
      <c r="F693" s="36" t="n"/>
      <c r="G693" s="36" t="n"/>
      <c r="H693" s="36" t="n"/>
      <c r="I693" s="37">
        <f>IF($A693="","",IFERROR($B693+$C693-$D693+$E693,0))</f>
        <v/>
      </c>
    </row>
    <row r="694">
      <c r="A694" s="36" t="n"/>
      <c r="B694" s="36" t="n"/>
      <c r="C694" s="36" t="n"/>
      <c r="D694" s="36" t="n"/>
      <c r="E694" s="36" t="n"/>
      <c r="F694" s="36" t="n"/>
      <c r="G694" s="36" t="n"/>
      <c r="H694" s="36" t="n"/>
      <c r="I694" s="37">
        <f>IF($A694="","",IFERROR($B694+$C694-$D694+$E694,0))</f>
        <v/>
      </c>
    </row>
    <row r="695">
      <c r="A695" s="36" t="n"/>
      <c r="B695" s="36" t="n"/>
      <c r="C695" s="36" t="n"/>
      <c r="D695" s="36" t="n"/>
      <c r="E695" s="36" t="n"/>
      <c r="F695" s="36" t="n"/>
      <c r="G695" s="36" t="n"/>
      <c r="H695" s="36" t="n"/>
      <c r="I695" s="37">
        <f>IF($A695="","",IFERROR($B695+$C695-$D695+$E695,0))</f>
        <v/>
      </c>
    </row>
    <row r="696">
      <c r="A696" s="36" t="n"/>
      <c r="B696" s="36" t="n"/>
      <c r="C696" s="36" t="n"/>
      <c r="D696" s="36" t="n"/>
      <c r="E696" s="36" t="n"/>
      <c r="F696" s="36" t="n"/>
      <c r="G696" s="36" t="n"/>
      <c r="H696" s="36" t="n"/>
      <c r="I696" s="37">
        <f>IF($A696="","",IFERROR($B696+$C696-$D696+$E696,0))</f>
        <v/>
      </c>
    </row>
    <row r="697">
      <c r="A697" s="36" t="n"/>
      <c r="B697" s="36" t="n"/>
      <c r="C697" s="36" t="n"/>
      <c r="D697" s="36" t="n"/>
      <c r="E697" s="36" t="n"/>
      <c r="F697" s="36" t="n"/>
      <c r="G697" s="36" t="n"/>
      <c r="H697" s="36" t="n"/>
      <c r="I697" s="37">
        <f>IF($A697="","",IFERROR($B697+$C697-$D697+$E697,0))</f>
        <v/>
      </c>
    </row>
    <row r="698">
      <c r="A698" s="36" t="n"/>
      <c r="B698" s="36" t="n"/>
      <c r="C698" s="36" t="n"/>
      <c r="D698" s="36" t="n"/>
      <c r="E698" s="36" t="n"/>
      <c r="F698" s="36" t="n"/>
      <c r="G698" s="36" t="n"/>
      <c r="H698" s="36" t="n"/>
      <c r="I698" s="37">
        <f>IF($A698="","",IFERROR($B698+$C698-$D698+$E698,0))</f>
        <v/>
      </c>
    </row>
    <row r="699">
      <c r="A699" s="36" t="n"/>
      <c r="B699" s="36" t="n"/>
      <c r="C699" s="36" t="n"/>
      <c r="D699" s="36" t="n"/>
      <c r="E699" s="36" t="n"/>
      <c r="F699" s="36" t="n"/>
      <c r="G699" s="36" t="n"/>
      <c r="H699" s="36" t="n"/>
      <c r="I699" s="37">
        <f>IF($A699="","",IFERROR($B699+$C699-$D699+$E699,0))</f>
        <v/>
      </c>
    </row>
    <row r="700">
      <c r="A700" s="36" t="n"/>
      <c r="B700" s="36" t="n"/>
      <c r="C700" s="36" t="n"/>
      <c r="D700" s="36" t="n"/>
      <c r="E700" s="36" t="n"/>
      <c r="F700" s="36" t="n"/>
      <c r="G700" s="36" t="n"/>
      <c r="H700" s="36" t="n"/>
      <c r="I700" s="37">
        <f>IF($A700="","",IFERROR($B700+$C700-$D700+$E700,0))</f>
        <v/>
      </c>
    </row>
    <row r="701">
      <c r="A701" s="36" t="n"/>
      <c r="B701" s="36" t="n"/>
      <c r="C701" s="36" t="n"/>
      <c r="D701" s="36" t="n"/>
      <c r="E701" s="36" t="n"/>
      <c r="F701" s="36" t="n"/>
      <c r="G701" s="36" t="n"/>
      <c r="H701" s="36" t="n"/>
      <c r="I701" s="37">
        <f>IF($A701="","",IFERROR($B701+$C701-$D701+$E701,0))</f>
        <v/>
      </c>
    </row>
    <row r="702">
      <c r="A702" s="36" t="n"/>
      <c r="B702" s="36" t="n"/>
      <c r="C702" s="36" t="n"/>
      <c r="D702" s="36" t="n"/>
      <c r="E702" s="36" t="n"/>
      <c r="F702" s="36" t="n"/>
      <c r="G702" s="36" t="n"/>
      <c r="H702" s="36" t="n"/>
      <c r="I702" s="37">
        <f>IF($A702="","",IFERROR($B702+$C702-$D702+$E702,0))</f>
        <v/>
      </c>
    </row>
    <row r="703">
      <c r="A703" s="36" t="n"/>
      <c r="B703" s="36" t="n"/>
      <c r="C703" s="36" t="n"/>
      <c r="D703" s="36" t="n"/>
      <c r="E703" s="36" t="n"/>
      <c r="F703" s="36" t="n"/>
      <c r="G703" s="36" t="n"/>
      <c r="H703" s="36" t="n"/>
      <c r="I703" s="37">
        <f>IF($A703="","",IFERROR($B703+$C703-$D703+$E703,0))</f>
        <v/>
      </c>
    </row>
    <row r="704">
      <c r="A704" s="36" t="n"/>
      <c r="B704" s="36" t="n"/>
      <c r="C704" s="36" t="n"/>
      <c r="D704" s="36" t="n"/>
      <c r="E704" s="36" t="n"/>
      <c r="F704" s="36" t="n"/>
      <c r="G704" s="36" t="n"/>
      <c r="H704" s="36" t="n"/>
      <c r="I704" s="37">
        <f>IF($A704="","",IFERROR($B704+$C704-$D704+$E704,0))</f>
        <v/>
      </c>
    </row>
    <row r="705">
      <c r="A705" s="36" t="n"/>
      <c r="B705" s="36" t="n"/>
      <c r="C705" s="36" t="n"/>
      <c r="D705" s="36" t="n"/>
      <c r="E705" s="36" t="n"/>
      <c r="F705" s="36" t="n"/>
      <c r="G705" s="36" t="n"/>
      <c r="H705" s="36" t="n"/>
      <c r="I705" s="37">
        <f>IF($A705="","",IFERROR($B705+$C705-$D705+$E705,0))</f>
        <v/>
      </c>
    </row>
    <row r="706">
      <c r="A706" s="36" t="n"/>
      <c r="B706" s="36" t="n"/>
      <c r="C706" s="36" t="n"/>
      <c r="D706" s="36" t="n"/>
      <c r="E706" s="36" t="n"/>
      <c r="F706" s="36" t="n"/>
      <c r="G706" s="36" t="n"/>
      <c r="H706" s="36" t="n"/>
      <c r="I706" s="37">
        <f>IF($A706="","",IFERROR($B706+$C706-$D706+$E706,0))</f>
        <v/>
      </c>
    </row>
    <row r="707">
      <c r="A707" s="36" t="n"/>
      <c r="B707" s="36" t="n"/>
      <c r="C707" s="36" t="n"/>
      <c r="D707" s="36" t="n"/>
      <c r="E707" s="36" t="n"/>
      <c r="F707" s="36" t="n"/>
      <c r="G707" s="36" t="n"/>
      <c r="H707" s="36" t="n"/>
      <c r="I707" s="37">
        <f>IF($A707="","",IFERROR($B707+$C707-$D707+$E707,0))</f>
        <v/>
      </c>
    </row>
    <row r="708">
      <c r="A708" s="36" t="n"/>
      <c r="B708" s="36" t="n"/>
      <c r="C708" s="36" t="n"/>
      <c r="D708" s="36" t="n"/>
      <c r="E708" s="36" t="n"/>
      <c r="F708" s="36" t="n"/>
      <c r="G708" s="36" t="n"/>
      <c r="H708" s="36" t="n"/>
      <c r="I708" s="37">
        <f>IF($A708="","",IFERROR($B708+$C708-$D708+$E708,0))</f>
        <v/>
      </c>
    </row>
    <row r="709">
      <c r="A709" s="36" t="n"/>
      <c r="B709" s="36" t="n"/>
      <c r="C709" s="36" t="n"/>
      <c r="D709" s="36" t="n"/>
      <c r="E709" s="36" t="n"/>
      <c r="F709" s="36" t="n"/>
      <c r="G709" s="36" t="n"/>
      <c r="H709" s="36" t="n"/>
      <c r="I709" s="37">
        <f>IF($A709="","",IFERROR($B709+$C709-$D709+$E709,0))</f>
        <v/>
      </c>
    </row>
    <row r="710">
      <c r="A710" s="36" t="n"/>
      <c r="B710" s="36" t="n"/>
      <c r="C710" s="36" t="n"/>
      <c r="D710" s="36" t="n"/>
      <c r="E710" s="36" t="n"/>
      <c r="F710" s="36" t="n"/>
      <c r="G710" s="36" t="n"/>
      <c r="H710" s="36" t="n"/>
      <c r="I710" s="37">
        <f>IF($A710="","",IFERROR($B710+$C710-$D710+$E710,0))</f>
        <v/>
      </c>
    </row>
    <row r="711">
      <c r="A711" s="36" t="n"/>
      <c r="B711" s="36" t="n"/>
      <c r="C711" s="36" t="n"/>
      <c r="D711" s="36" t="n"/>
      <c r="E711" s="36" t="n"/>
      <c r="F711" s="36" t="n"/>
      <c r="G711" s="36" t="n"/>
      <c r="H711" s="36" t="n"/>
      <c r="I711" s="37">
        <f>IF($A711="","",IFERROR($B711+$C711-$D711+$E711,0))</f>
        <v/>
      </c>
    </row>
    <row r="712">
      <c r="A712" s="36" t="n"/>
      <c r="B712" s="36" t="n"/>
      <c r="C712" s="36" t="n"/>
      <c r="D712" s="36" t="n"/>
      <c r="E712" s="36" t="n"/>
      <c r="F712" s="36" t="n"/>
      <c r="G712" s="36" t="n"/>
      <c r="H712" s="36" t="n"/>
      <c r="I712" s="37">
        <f>IF($A712="","",IFERROR($B712+$C712-$D712+$E712,0))</f>
        <v/>
      </c>
    </row>
    <row r="713">
      <c r="A713" s="36" t="n"/>
      <c r="B713" s="36" t="n"/>
      <c r="C713" s="36" t="n"/>
      <c r="D713" s="36" t="n"/>
      <c r="E713" s="36" t="n"/>
      <c r="F713" s="36" t="n"/>
      <c r="G713" s="36" t="n"/>
      <c r="H713" s="36" t="n"/>
      <c r="I713" s="37">
        <f>IF($A713="","",IFERROR($B713+$C713-$D713+$E713,0))</f>
        <v/>
      </c>
    </row>
    <row r="714">
      <c r="A714" s="36" t="n"/>
      <c r="B714" s="36" t="n"/>
      <c r="C714" s="36" t="n"/>
      <c r="D714" s="36" t="n"/>
      <c r="E714" s="36" t="n"/>
      <c r="F714" s="36" t="n"/>
      <c r="G714" s="36" t="n"/>
      <c r="H714" s="36" t="n"/>
      <c r="I714" s="37">
        <f>IF($A714="","",IFERROR($B714+$C714-$D714+$E714,0))</f>
        <v/>
      </c>
    </row>
    <row r="715">
      <c r="A715" s="36" t="n"/>
      <c r="B715" s="36" t="n"/>
      <c r="C715" s="36" t="n"/>
      <c r="D715" s="36" t="n"/>
      <c r="E715" s="36" t="n"/>
      <c r="F715" s="36" t="n"/>
      <c r="G715" s="36" t="n"/>
      <c r="H715" s="36" t="n"/>
      <c r="I715" s="37">
        <f>IF($A715="","",IFERROR($B715+$C715-$D715+$E715,0))</f>
        <v/>
      </c>
    </row>
    <row r="716">
      <c r="A716" s="36" t="n"/>
      <c r="B716" s="36" t="n"/>
      <c r="C716" s="36" t="n"/>
      <c r="D716" s="36" t="n"/>
      <c r="E716" s="36" t="n"/>
      <c r="F716" s="36" t="n"/>
      <c r="G716" s="36" t="n"/>
      <c r="H716" s="36" t="n"/>
      <c r="I716" s="37">
        <f>IF($A716="","",IFERROR($B716+$C716-$D716+$E716,0))</f>
        <v/>
      </c>
    </row>
    <row r="717">
      <c r="A717" s="36" t="n"/>
      <c r="B717" s="36" t="n"/>
      <c r="C717" s="36" t="n"/>
      <c r="D717" s="36" t="n"/>
      <c r="E717" s="36" t="n"/>
      <c r="F717" s="36" t="n"/>
      <c r="G717" s="36" t="n"/>
      <c r="H717" s="36" t="n"/>
      <c r="I717" s="37">
        <f>IF($A717="","",IFERROR($B717+$C717-$D717+$E717,0))</f>
        <v/>
      </c>
    </row>
    <row r="718">
      <c r="A718" s="36" t="n"/>
      <c r="B718" s="36" t="n"/>
      <c r="C718" s="36" t="n"/>
      <c r="D718" s="36" t="n"/>
      <c r="E718" s="36" t="n"/>
      <c r="F718" s="36" t="n"/>
      <c r="G718" s="36" t="n"/>
      <c r="H718" s="36" t="n"/>
      <c r="I718" s="37">
        <f>IF($A718="","",IFERROR($B718+$C718-$D718+$E718,0))</f>
        <v/>
      </c>
    </row>
    <row r="719">
      <c r="A719" s="36" t="n"/>
      <c r="B719" s="36" t="n"/>
      <c r="C719" s="36" t="n"/>
      <c r="D719" s="36" t="n"/>
      <c r="E719" s="36" t="n"/>
      <c r="F719" s="36" t="n"/>
      <c r="G719" s="36" t="n"/>
      <c r="H719" s="36" t="n"/>
      <c r="I719" s="37">
        <f>IF($A719="","",IFERROR($B719+$C719-$D719+$E719,0))</f>
        <v/>
      </c>
    </row>
    <row r="720">
      <c r="A720" s="36" t="n"/>
      <c r="B720" s="36" t="n"/>
      <c r="C720" s="36" t="n"/>
      <c r="D720" s="36" t="n"/>
      <c r="E720" s="36" t="n"/>
      <c r="F720" s="36" t="n"/>
      <c r="G720" s="36" t="n"/>
      <c r="H720" s="36" t="n"/>
      <c r="I720" s="37">
        <f>IF($A720="","",IFERROR($B720+$C720-$D720+$E720,0))</f>
        <v/>
      </c>
    </row>
    <row r="721">
      <c r="A721" s="36" t="n"/>
      <c r="B721" s="36" t="n"/>
      <c r="C721" s="36" t="n"/>
      <c r="D721" s="36" t="n"/>
      <c r="E721" s="36" t="n"/>
      <c r="F721" s="36" t="n"/>
      <c r="G721" s="36" t="n"/>
      <c r="H721" s="36" t="n"/>
      <c r="I721" s="37">
        <f>IF($A721="","",IFERROR($B721+$C721-$D721+$E721,0))</f>
        <v/>
      </c>
    </row>
    <row r="722">
      <c r="A722" s="36" t="n"/>
      <c r="B722" s="36" t="n"/>
      <c r="C722" s="36" t="n"/>
      <c r="D722" s="36" t="n"/>
      <c r="E722" s="36" t="n"/>
      <c r="F722" s="36" t="n"/>
      <c r="G722" s="36" t="n"/>
      <c r="H722" s="36" t="n"/>
      <c r="I722" s="37">
        <f>IF($A722="","",IFERROR($B722+$C722-$D722+$E722,0))</f>
        <v/>
      </c>
    </row>
    <row r="723">
      <c r="A723" s="36" t="n"/>
      <c r="B723" s="36" t="n"/>
      <c r="C723" s="36" t="n"/>
      <c r="D723" s="36" t="n"/>
      <c r="E723" s="36" t="n"/>
      <c r="F723" s="36" t="n"/>
      <c r="G723" s="36" t="n"/>
      <c r="H723" s="36" t="n"/>
      <c r="I723" s="37">
        <f>IF($A723="","",IFERROR($B723+$C723-$D723+$E723,0))</f>
        <v/>
      </c>
    </row>
    <row r="724">
      <c r="A724" s="36" t="n"/>
      <c r="B724" s="36" t="n"/>
      <c r="C724" s="36" t="n"/>
      <c r="D724" s="36" t="n"/>
      <c r="E724" s="36" t="n"/>
      <c r="F724" s="36" t="n"/>
      <c r="G724" s="36" t="n"/>
      <c r="H724" s="36" t="n"/>
      <c r="I724" s="37">
        <f>IF($A724="","",IFERROR($B724+$C724-$D724+$E724,0))</f>
        <v/>
      </c>
    </row>
    <row r="725">
      <c r="A725" s="36" t="n"/>
      <c r="B725" s="36" t="n"/>
      <c r="C725" s="36" t="n"/>
      <c r="D725" s="36" t="n"/>
      <c r="E725" s="36" t="n"/>
      <c r="F725" s="36" t="n"/>
      <c r="G725" s="36" t="n"/>
      <c r="H725" s="36" t="n"/>
      <c r="I725" s="37">
        <f>IF($A725="","",IFERROR($B725+$C725-$D725+$E725,0))</f>
        <v/>
      </c>
    </row>
    <row r="726">
      <c r="A726" s="36" t="n"/>
      <c r="B726" s="36" t="n"/>
      <c r="C726" s="36" t="n"/>
      <c r="D726" s="36" t="n"/>
      <c r="E726" s="36" t="n"/>
      <c r="F726" s="36" t="n"/>
      <c r="G726" s="36" t="n"/>
      <c r="H726" s="36" t="n"/>
      <c r="I726" s="37">
        <f>IF($A726="","",IFERROR($B726+$C726-$D726+$E726,0))</f>
        <v/>
      </c>
    </row>
    <row r="727">
      <c r="A727" s="36" t="n"/>
      <c r="B727" s="36" t="n"/>
      <c r="C727" s="36" t="n"/>
      <c r="D727" s="36" t="n"/>
      <c r="E727" s="36" t="n"/>
      <c r="F727" s="36" t="n"/>
      <c r="G727" s="36" t="n"/>
      <c r="H727" s="36" t="n"/>
      <c r="I727" s="37">
        <f>IF($A727="","",IFERROR($B727+$C727-$D727+$E727,0))</f>
        <v/>
      </c>
    </row>
    <row r="728">
      <c r="A728" s="36" t="n"/>
      <c r="B728" s="36" t="n"/>
      <c r="C728" s="36" t="n"/>
      <c r="D728" s="36" t="n"/>
      <c r="E728" s="36" t="n"/>
      <c r="F728" s="36" t="n"/>
      <c r="G728" s="36" t="n"/>
      <c r="H728" s="36" t="n"/>
      <c r="I728" s="37">
        <f>IF($A728="","",IFERROR($B728+$C728-$D728+$E728,0))</f>
        <v/>
      </c>
    </row>
    <row r="729">
      <c r="A729" s="36" t="n"/>
      <c r="B729" s="36" t="n"/>
      <c r="C729" s="36" t="n"/>
      <c r="D729" s="36" t="n"/>
      <c r="E729" s="36" t="n"/>
      <c r="F729" s="36" t="n"/>
      <c r="G729" s="36" t="n"/>
      <c r="H729" s="36" t="n"/>
      <c r="I729" s="37">
        <f>IF($A729="","",IFERROR($B729+$C729-$D729+$E729,0))</f>
        <v/>
      </c>
    </row>
    <row r="730">
      <c r="A730" s="36" t="n"/>
      <c r="B730" s="36" t="n"/>
      <c r="C730" s="36" t="n"/>
      <c r="D730" s="36" t="n"/>
      <c r="E730" s="36" t="n"/>
      <c r="F730" s="36" t="n"/>
      <c r="G730" s="36" t="n"/>
      <c r="H730" s="36" t="n"/>
      <c r="I730" s="37">
        <f>IF($A730="","",IFERROR($B730+$C730-$D730+$E730,0))</f>
        <v/>
      </c>
    </row>
    <row r="731">
      <c r="A731" s="36" t="n"/>
      <c r="B731" s="36" t="n"/>
      <c r="C731" s="36" t="n"/>
      <c r="D731" s="36" t="n"/>
      <c r="E731" s="36" t="n"/>
      <c r="F731" s="36" t="n"/>
      <c r="G731" s="36" t="n"/>
      <c r="H731" s="36" t="n"/>
      <c r="I731" s="37">
        <f>IF($A731="","",IFERROR($B731+$C731-$D731+$E731,0))</f>
        <v/>
      </c>
    </row>
    <row r="732">
      <c r="A732" s="36" t="n"/>
      <c r="B732" s="36" t="n"/>
      <c r="C732" s="36" t="n"/>
      <c r="D732" s="36" t="n"/>
      <c r="E732" s="36" t="n"/>
      <c r="F732" s="36" t="n"/>
      <c r="G732" s="36" t="n"/>
      <c r="H732" s="36" t="n"/>
      <c r="I732" s="37">
        <f>IF($A732="","",IFERROR($B732+$C732-$D732+$E732,0))</f>
        <v/>
      </c>
    </row>
    <row r="733">
      <c r="A733" s="36" t="n"/>
      <c r="B733" s="36" t="n"/>
      <c r="C733" s="36" t="n"/>
      <c r="D733" s="36" t="n"/>
      <c r="E733" s="36" t="n"/>
      <c r="F733" s="36" t="n"/>
      <c r="G733" s="36" t="n"/>
      <c r="H733" s="36" t="n"/>
      <c r="I733" s="37">
        <f>IF($A733="","",IFERROR($B733+$C733-$D733+$E733,0))</f>
        <v/>
      </c>
    </row>
    <row r="734">
      <c r="A734" s="36" t="n"/>
      <c r="B734" s="36" t="n"/>
      <c r="C734" s="36" t="n"/>
      <c r="D734" s="36" t="n"/>
      <c r="E734" s="36" t="n"/>
      <c r="F734" s="36" t="n"/>
      <c r="G734" s="36" t="n"/>
      <c r="H734" s="36" t="n"/>
      <c r="I734" s="37">
        <f>IF($A734="","",IFERROR($B734+$C734-$D734+$E734,0))</f>
        <v/>
      </c>
    </row>
    <row r="735">
      <c r="A735" s="36" t="n"/>
      <c r="B735" s="36" t="n"/>
      <c r="C735" s="36" t="n"/>
      <c r="D735" s="36" t="n"/>
      <c r="E735" s="36" t="n"/>
      <c r="F735" s="36" t="n"/>
      <c r="G735" s="36" t="n"/>
      <c r="H735" s="36" t="n"/>
      <c r="I735" s="37">
        <f>IF($A735="","",IFERROR($B735+$C735-$D735+$E735,0))</f>
        <v/>
      </c>
    </row>
    <row r="736">
      <c r="A736" s="36" t="n"/>
      <c r="B736" s="36" t="n"/>
      <c r="C736" s="36" t="n"/>
      <c r="D736" s="36" t="n"/>
      <c r="E736" s="36" t="n"/>
      <c r="F736" s="36" t="n"/>
      <c r="G736" s="36" t="n"/>
      <c r="H736" s="36" t="n"/>
      <c r="I736" s="37">
        <f>IF($A736="","",IFERROR($B736+$C736-$D736+$E736,0))</f>
        <v/>
      </c>
    </row>
    <row r="737">
      <c r="A737" s="36" t="n"/>
      <c r="B737" s="36" t="n"/>
      <c r="C737" s="36" t="n"/>
      <c r="D737" s="36" t="n"/>
      <c r="E737" s="36" t="n"/>
      <c r="F737" s="36" t="n"/>
      <c r="G737" s="36" t="n"/>
      <c r="H737" s="36" t="n"/>
      <c r="I737" s="37">
        <f>IF($A737="","",IFERROR($B737+$C737-$D737+$E737,0))</f>
        <v/>
      </c>
    </row>
    <row r="738">
      <c r="A738" s="36" t="n"/>
      <c r="B738" s="36" t="n"/>
      <c r="C738" s="36" t="n"/>
      <c r="D738" s="36" t="n"/>
      <c r="E738" s="36" t="n"/>
      <c r="F738" s="36" t="n"/>
      <c r="G738" s="36" t="n"/>
      <c r="H738" s="36" t="n"/>
      <c r="I738" s="37">
        <f>IF($A738="","",IFERROR($B738+$C738-$D738+$E738,0))</f>
        <v/>
      </c>
    </row>
    <row r="739">
      <c r="A739" s="36" t="n"/>
      <c r="B739" s="36" t="n"/>
      <c r="C739" s="36" t="n"/>
      <c r="D739" s="36" t="n"/>
      <c r="E739" s="36" t="n"/>
      <c r="F739" s="36" t="n"/>
      <c r="G739" s="36" t="n"/>
      <c r="H739" s="36" t="n"/>
      <c r="I739" s="37">
        <f>IF($A739="","",IFERROR($B739+$C739-$D739+$E739,0))</f>
        <v/>
      </c>
    </row>
    <row r="740">
      <c r="A740" s="36" t="n"/>
      <c r="B740" s="36" t="n"/>
      <c r="C740" s="36" t="n"/>
      <c r="D740" s="36" t="n"/>
      <c r="E740" s="36" t="n"/>
      <c r="F740" s="36" t="n"/>
      <c r="G740" s="36" t="n"/>
      <c r="H740" s="36" t="n"/>
      <c r="I740" s="37">
        <f>IF($A740="","",IFERROR($B740+$C740-$D740+$E740,0))</f>
        <v/>
      </c>
    </row>
    <row r="741">
      <c r="A741" s="36" t="n"/>
      <c r="B741" s="36" t="n"/>
      <c r="C741" s="36" t="n"/>
      <c r="D741" s="36" t="n"/>
      <c r="E741" s="36" t="n"/>
      <c r="F741" s="36" t="n"/>
      <c r="G741" s="36" t="n"/>
      <c r="H741" s="36" t="n"/>
      <c r="I741" s="37">
        <f>IF($A741="","",IFERROR($B741+$C741-$D741+$E741,0))</f>
        <v/>
      </c>
    </row>
    <row r="742">
      <c r="A742" s="36" t="n"/>
      <c r="B742" s="36" t="n"/>
      <c r="C742" s="36" t="n"/>
      <c r="D742" s="36" t="n"/>
      <c r="E742" s="36" t="n"/>
      <c r="F742" s="36" t="n"/>
      <c r="G742" s="36" t="n"/>
      <c r="H742" s="36" t="n"/>
      <c r="I742" s="37">
        <f>IF($A742="","",IFERROR($B742+$C742-$D742+$E742,0))</f>
        <v/>
      </c>
    </row>
    <row r="743">
      <c r="A743" s="36" t="n"/>
      <c r="B743" s="36" t="n"/>
      <c r="C743" s="36" t="n"/>
      <c r="D743" s="36" t="n"/>
      <c r="E743" s="36" t="n"/>
      <c r="F743" s="36" t="n"/>
      <c r="G743" s="36" t="n"/>
      <c r="H743" s="36" t="n"/>
      <c r="I743" s="37">
        <f>IF($A743="","",IFERROR($B743+$C743-$D743+$E743,0))</f>
        <v/>
      </c>
    </row>
    <row r="744">
      <c r="A744" s="36" t="n"/>
      <c r="B744" s="36" t="n"/>
      <c r="C744" s="36" t="n"/>
      <c r="D744" s="36" t="n"/>
      <c r="E744" s="36" t="n"/>
      <c r="F744" s="36" t="n"/>
      <c r="G744" s="36" t="n"/>
      <c r="H744" s="36" t="n"/>
      <c r="I744" s="37">
        <f>IF($A744="","",IFERROR($B744+$C744-$D744+$E744,0))</f>
        <v/>
      </c>
    </row>
    <row r="745">
      <c r="A745" s="36" t="n"/>
      <c r="B745" s="36" t="n"/>
      <c r="C745" s="36" t="n"/>
      <c r="D745" s="36" t="n"/>
      <c r="E745" s="36" t="n"/>
      <c r="F745" s="36" t="n"/>
      <c r="G745" s="36" t="n"/>
      <c r="H745" s="36" t="n"/>
      <c r="I745" s="37">
        <f>IF($A745="","",IFERROR($B745+$C745-$D745+$E745,0))</f>
        <v/>
      </c>
    </row>
    <row r="746">
      <c r="A746" s="36" t="n"/>
      <c r="B746" s="36" t="n"/>
      <c r="C746" s="36" t="n"/>
      <c r="D746" s="36" t="n"/>
      <c r="E746" s="36" t="n"/>
      <c r="F746" s="36" t="n"/>
      <c r="G746" s="36" t="n"/>
      <c r="H746" s="36" t="n"/>
      <c r="I746" s="37">
        <f>IF($A746="","",IFERROR($B746+$C746-$D746+$E746,0))</f>
        <v/>
      </c>
    </row>
    <row r="747">
      <c r="A747" s="36" t="n"/>
      <c r="B747" s="36" t="n"/>
      <c r="C747" s="36" t="n"/>
      <c r="D747" s="36" t="n"/>
      <c r="E747" s="36" t="n"/>
      <c r="F747" s="36" t="n"/>
      <c r="G747" s="36" t="n"/>
      <c r="H747" s="36" t="n"/>
      <c r="I747" s="37">
        <f>IF($A747="","",IFERROR($B747+$C747-$D747+$E747,0))</f>
        <v/>
      </c>
    </row>
    <row r="748">
      <c r="A748" s="36" t="n"/>
      <c r="B748" s="36" t="n"/>
      <c r="C748" s="36" t="n"/>
      <c r="D748" s="36" t="n"/>
      <c r="E748" s="36" t="n"/>
      <c r="F748" s="36" t="n"/>
      <c r="G748" s="36" t="n"/>
      <c r="H748" s="36" t="n"/>
      <c r="I748" s="37">
        <f>IF($A748="","",IFERROR($B748+$C748-$D748+$E748,0))</f>
        <v/>
      </c>
    </row>
    <row r="749">
      <c r="A749" s="36" t="n"/>
      <c r="B749" s="36" t="n"/>
      <c r="C749" s="36" t="n"/>
      <c r="D749" s="36" t="n"/>
      <c r="E749" s="36" t="n"/>
      <c r="F749" s="36" t="n"/>
      <c r="G749" s="36" t="n"/>
      <c r="H749" s="36" t="n"/>
      <c r="I749" s="37">
        <f>IF($A749="","",IFERROR($B749+$C749-$D749+$E749,0))</f>
        <v/>
      </c>
    </row>
    <row r="750">
      <c r="A750" s="36" t="n"/>
      <c r="B750" s="36" t="n"/>
      <c r="C750" s="36" t="n"/>
      <c r="D750" s="36" t="n"/>
      <c r="E750" s="36" t="n"/>
      <c r="F750" s="36" t="n"/>
      <c r="G750" s="36" t="n"/>
      <c r="H750" s="36" t="n"/>
      <c r="I750" s="37">
        <f>IF($A750="","",IFERROR($B750+$C750-$D750+$E750,0))</f>
        <v/>
      </c>
    </row>
    <row r="751">
      <c r="A751" s="36" t="n"/>
      <c r="B751" s="36" t="n"/>
      <c r="C751" s="36" t="n"/>
      <c r="D751" s="36" t="n"/>
      <c r="E751" s="36" t="n"/>
      <c r="F751" s="36" t="n"/>
      <c r="G751" s="36" t="n"/>
      <c r="H751" s="36" t="n"/>
      <c r="I751" s="37">
        <f>IF($A751="","",IFERROR($B751+$C751-$D751+$E751,0))</f>
        <v/>
      </c>
    </row>
    <row r="752">
      <c r="A752" s="36" t="n"/>
      <c r="B752" s="36" t="n"/>
      <c r="C752" s="36" t="n"/>
      <c r="D752" s="36" t="n"/>
      <c r="E752" s="36" t="n"/>
      <c r="F752" s="36" t="n"/>
      <c r="G752" s="36" t="n"/>
      <c r="H752" s="36" t="n"/>
      <c r="I752" s="37">
        <f>IF($A752="","",IFERROR($B752+$C752-$D752+$E752,0))</f>
        <v/>
      </c>
    </row>
    <row r="753">
      <c r="A753" s="36" t="n"/>
      <c r="B753" s="36" t="n"/>
      <c r="C753" s="36" t="n"/>
      <c r="D753" s="36" t="n"/>
      <c r="E753" s="36" t="n"/>
      <c r="F753" s="36" t="n"/>
      <c r="G753" s="36" t="n"/>
      <c r="H753" s="36" t="n"/>
      <c r="I753" s="37">
        <f>IF($A753="","",IFERROR($B753+$C753-$D753+$E753,0))</f>
        <v/>
      </c>
    </row>
    <row r="754">
      <c r="A754" s="36" t="n"/>
      <c r="B754" s="36" t="n"/>
      <c r="C754" s="36" t="n"/>
      <c r="D754" s="36" t="n"/>
      <c r="E754" s="36" t="n"/>
      <c r="F754" s="36" t="n"/>
      <c r="G754" s="36" t="n"/>
      <c r="H754" s="36" t="n"/>
      <c r="I754" s="37">
        <f>IF($A754="","",IFERROR($B754+$C754-$D754+$E754,0))</f>
        <v/>
      </c>
    </row>
    <row r="755">
      <c r="A755" s="36" t="n"/>
      <c r="B755" s="36" t="n"/>
      <c r="C755" s="36" t="n"/>
      <c r="D755" s="36" t="n"/>
      <c r="E755" s="36" t="n"/>
      <c r="F755" s="36" t="n"/>
      <c r="G755" s="36" t="n"/>
      <c r="H755" s="36" t="n"/>
      <c r="I755" s="37">
        <f>IF($A755="","",IFERROR($B755+$C755-$D755+$E755,0))</f>
        <v/>
      </c>
    </row>
    <row r="756">
      <c r="A756" s="36" t="n"/>
      <c r="B756" s="36" t="n"/>
      <c r="C756" s="36" t="n"/>
      <c r="D756" s="36" t="n"/>
      <c r="E756" s="36" t="n"/>
      <c r="F756" s="36" t="n"/>
      <c r="G756" s="36" t="n"/>
      <c r="H756" s="36" t="n"/>
      <c r="I756" s="37">
        <f>IF($A756="","",IFERROR($B756+$C756-$D756+$E756,0))</f>
        <v/>
      </c>
    </row>
    <row r="757">
      <c r="A757" s="36" t="n"/>
      <c r="B757" s="36" t="n"/>
      <c r="C757" s="36" t="n"/>
      <c r="D757" s="36" t="n"/>
      <c r="E757" s="36" t="n"/>
      <c r="F757" s="36" t="n"/>
      <c r="G757" s="36" t="n"/>
      <c r="H757" s="36" t="n"/>
      <c r="I757" s="37">
        <f>IF($A757="","",IFERROR($B757+$C757-$D757+$E757,0))</f>
        <v/>
      </c>
    </row>
    <row r="758">
      <c r="A758" s="36" t="n"/>
      <c r="B758" s="36" t="n"/>
      <c r="C758" s="36" t="n"/>
      <c r="D758" s="36" t="n"/>
      <c r="E758" s="36" t="n"/>
      <c r="F758" s="36" t="n"/>
      <c r="G758" s="36" t="n"/>
      <c r="H758" s="36" t="n"/>
      <c r="I758" s="37">
        <f>IF($A758="","",IFERROR($B758+$C758-$D758+$E758,0))</f>
        <v/>
      </c>
    </row>
    <row r="759">
      <c r="A759" s="36" t="n"/>
      <c r="B759" s="36" t="n"/>
      <c r="C759" s="36" t="n"/>
      <c r="D759" s="36" t="n"/>
      <c r="E759" s="36" t="n"/>
      <c r="F759" s="36" t="n"/>
      <c r="G759" s="36" t="n"/>
      <c r="H759" s="36" t="n"/>
      <c r="I759" s="37">
        <f>IF($A759="","",IFERROR($B759+$C759-$D759+$E759,0))</f>
        <v/>
      </c>
    </row>
    <row r="760">
      <c r="A760" s="36" t="n"/>
      <c r="B760" s="36" t="n"/>
      <c r="C760" s="36" t="n"/>
      <c r="D760" s="36" t="n"/>
      <c r="E760" s="36" t="n"/>
      <c r="F760" s="36" t="n"/>
      <c r="G760" s="36" t="n"/>
      <c r="H760" s="36" t="n"/>
      <c r="I760" s="37">
        <f>IF($A760="","",IFERROR($B760+$C760-$D760+$E760,0))</f>
        <v/>
      </c>
    </row>
    <row r="761">
      <c r="A761" s="36" t="n"/>
      <c r="B761" s="36" t="n"/>
      <c r="C761" s="36" t="n"/>
      <c r="D761" s="36" t="n"/>
      <c r="E761" s="36" t="n"/>
      <c r="F761" s="36" t="n"/>
      <c r="G761" s="36" t="n"/>
      <c r="H761" s="36" t="n"/>
      <c r="I761" s="37">
        <f>IF($A761="","",IFERROR($B761+$C761-$D761+$E761,0))</f>
        <v/>
      </c>
    </row>
    <row r="762">
      <c r="A762" s="36" t="n"/>
      <c r="B762" s="36" t="n"/>
      <c r="C762" s="36" t="n"/>
      <c r="D762" s="36" t="n"/>
      <c r="E762" s="36" t="n"/>
      <c r="F762" s="36" t="n"/>
      <c r="G762" s="36" t="n"/>
      <c r="H762" s="36" t="n"/>
      <c r="I762" s="37">
        <f>IF($A762="","",IFERROR($B762+$C762-$D762+$E762,0))</f>
        <v/>
      </c>
    </row>
    <row r="763">
      <c r="A763" s="36" t="n"/>
      <c r="B763" s="36" t="n"/>
      <c r="C763" s="36" t="n"/>
      <c r="D763" s="36" t="n"/>
      <c r="E763" s="36" t="n"/>
      <c r="F763" s="36" t="n"/>
      <c r="G763" s="36" t="n"/>
      <c r="H763" s="36" t="n"/>
      <c r="I763" s="37">
        <f>IF($A763="","",IFERROR($B763+$C763-$D763+$E763,0))</f>
        <v/>
      </c>
    </row>
    <row r="764">
      <c r="A764" s="36" t="n"/>
      <c r="B764" s="36" t="n"/>
      <c r="C764" s="36" t="n"/>
      <c r="D764" s="36" t="n"/>
      <c r="E764" s="36" t="n"/>
      <c r="F764" s="36" t="n"/>
      <c r="G764" s="36" t="n"/>
      <c r="H764" s="36" t="n"/>
      <c r="I764" s="37">
        <f>IF($A764="","",IFERROR($B764+$C764-$D764+$E764,0))</f>
        <v/>
      </c>
    </row>
    <row r="765">
      <c r="A765" s="36" t="n"/>
      <c r="B765" s="36" t="n"/>
      <c r="C765" s="36" t="n"/>
      <c r="D765" s="36" t="n"/>
      <c r="E765" s="36" t="n"/>
      <c r="F765" s="36" t="n"/>
      <c r="G765" s="36" t="n"/>
      <c r="H765" s="36" t="n"/>
      <c r="I765" s="37">
        <f>IF($A765="","",IFERROR($B765+$C765-$D765+$E765,0))</f>
        <v/>
      </c>
    </row>
    <row r="766">
      <c r="A766" s="36" t="n"/>
      <c r="B766" s="36" t="n"/>
      <c r="C766" s="36" t="n"/>
      <c r="D766" s="36" t="n"/>
      <c r="E766" s="36" t="n"/>
      <c r="F766" s="36" t="n"/>
      <c r="G766" s="36" t="n"/>
      <c r="H766" s="36" t="n"/>
      <c r="I766" s="37">
        <f>IF($A766="","",IFERROR($B766+$C766-$D766+$E766,0))</f>
        <v/>
      </c>
    </row>
    <row r="767">
      <c r="A767" s="36" t="n"/>
      <c r="B767" s="36" t="n"/>
      <c r="C767" s="36" t="n"/>
      <c r="D767" s="36" t="n"/>
      <c r="E767" s="36" t="n"/>
      <c r="F767" s="36" t="n"/>
      <c r="G767" s="36" t="n"/>
      <c r="H767" s="36" t="n"/>
      <c r="I767" s="37">
        <f>IF($A767="","",IFERROR($B767+$C767-$D767+$E767,0))</f>
        <v/>
      </c>
    </row>
    <row r="768">
      <c r="A768" s="36" t="n"/>
      <c r="B768" s="36" t="n"/>
      <c r="C768" s="36" t="n"/>
      <c r="D768" s="36" t="n"/>
      <c r="E768" s="36" t="n"/>
      <c r="F768" s="36" t="n"/>
      <c r="G768" s="36" t="n"/>
      <c r="H768" s="36" t="n"/>
      <c r="I768" s="37">
        <f>IF($A768="","",IFERROR($B768+$C768-$D768+$E768,0))</f>
        <v/>
      </c>
    </row>
    <row r="769">
      <c r="A769" s="36" t="n"/>
      <c r="B769" s="36" t="n"/>
      <c r="C769" s="36" t="n"/>
      <c r="D769" s="36" t="n"/>
      <c r="E769" s="36" t="n"/>
      <c r="F769" s="36" t="n"/>
      <c r="G769" s="36" t="n"/>
      <c r="H769" s="36" t="n"/>
      <c r="I769" s="37">
        <f>IF($A769="","",IFERROR($B769+$C769-$D769+$E769,0))</f>
        <v/>
      </c>
    </row>
    <row r="770">
      <c r="A770" s="36" t="n"/>
      <c r="B770" s="36" t="n"/>
      <c r="C770" s="36" t="n"/>
      <c r="D770" s="36" t="n"/>
      <c r="E770" s="36" t="n"/>
      <c r="F770" s="36" t="n"/>
      <c r="G770" s="36" t="n"/>
      <c r="H770" s="36" t="n"/>
      <c r="I770" s="37">
        <f>IF($A770="","",IFERROR($B770+$C770-$D770+$E770,0))</f>
        <v/>
      </c>
    </row>
    <row r="771">
      <c r="A771" s="36" t="n"/>
      <c r="B771" s="36" t="n"/>
      <c r="C771" s="36" t="n"/>
      <c r="D771" s="36" t="n"/>
      <c r="E771" s="36" t="n"/>
      <c r="F771" s="36" t="n"/>
      <c r="G771" s="36" t="n"/>
      <c r="H771" s="36" t="n"/>
      <c r="I771" s="37">
        <f>IF($A771="","",IFERROR($B771+$C771-$D771+$E771,0))</f>
        <v/>
      </c>
    </row>
    <row r="772">
      <c r="A772" s="36" t="n"/>
      <c r="B772" s="36" t="n"/>
      <c r="C772" s="36" t="n"/>
      <c r="D772" s="36" t="n"/>
      <c r="E772" s="36" t="n"/>
      <c r="F772" s="36" t="n"/>
      <c r="G772" s="36" t="n"/>
      <c r="H772" s="36" t="n"/>
      <c r="I772" s="37">
        <f>IF($A772="","",IFERROR($B772+$C772-$D772+$E772,0))</f>
        <v/>
      </c>
    </row>
    <row r="773">
      <c r="A773" s="36" t="n"/>
      <c r="B773" s="36" t="n"/>
      <c r="C773" s="36" t="n"/>
      <c r="D773" s="36" t="n"/>
      <c r="E773" s="36" t="n"/>
      <c r="F773" s="36" t="n"/>
      <c r="G773" s="36" t="n"/>
      <c r="H773" s="36" t="n"/>
      <c r="I773" s="37">
        <f>IF($A773="","",IFERROR($B773+$C773-$D773+$E773,0))</f>
        <v/>
      </c>
    </row>
    <row r="774">
      <c r="A774" s="36" t="n"/>
      <c r="B774" s="36" t="n"/>
      <c r="C774" s="36" t="n"/>
      <c r="D774" s="36" t="n"/>
      <c r="E774" s="36" t="n"/>
      <c r="F774" s="36" t="n"/>
      <c r="G774" s="36" t="n"/>
      <c r="H774" s="36" t="n"/>
      <c r="I774" s="37">
        <f>IF($A774="","",IFERROR($B774+$C774-$D774+$E774,0))</f>
        <v/>
      </c>
    </row>
    <row r="775">
      <c r="A775" s="36" t="n"/>
      <c r="B775" s="36" t="n"/>
      <c r="C775" s="36" t="n"/>
      <c r="D775" s="36" t="n"/>
      <c r="E775" s="36" t="n"/>
      <c r="F775" s="36" t="n"/>
      <c r="G775" s="36" t="n"/>
      <c r="H775" s="36" t="n"/>
      <c r="I775" s="37">
        <f>IF($A775="","",IFERROR($B775+$C775-$D775+$E775,0))</f>
        <v/>
      </c>
    </row>
    <row r="776">
      <c r="A776" s="36" t="n"/>
      <c r="B776" s="36" t="n"/>
      <c r="C776" s="36" t="n"/>
      <c r="D776" s="36" t="n"/>
      <c r="E776" s="36" t="n"/>
      <c r="F776" s="36" t="n"/>
      <c r="G776" s="36" t="n"/>
      <c r="H776" s="36" t="n"/>
      <c r="I776" s="37">
        <f>IF($A776="","",IFERROR($B776+$C776-$D776+$E776,0))</f>
        <v/>
      </c>
    </row>
    <row r="777">
      <c r="A777" s="36" t="n"/>
      <c r="B777" s="36" t="n"/>
      <c r="C777" s="36" t="n"/>
      <c r="D777" s="36" t="n"/>
      <c r="E777" s="36" t="n"/>
      <c r="F777" s="36" t="n"/>
      <c r="G777" s="36" t="n"/>
      <c r="H777" s="36" t="n"/>
      <c r="I777" s="37">
        <f>IF($A777="","",IFERROR($B777+$C777-$D777+$E777,0))</f>
        <v/>
      </c>
    </row>
    <row r="778">
      <c r="A778" s="36" t="n"/>
      <c r="B778" s="36" t="n"/>
      <c r="C778" s="36" t="n"/>
      <c r="D778" s="36" t="n"/>
      <c r="E778" s="36" t="n"/>
      <c r="F778" s="36" t="n"/>
      <c r="G778" s="36" t="n"/>
      <c r="H778" s="36" t="n"/>
      <c r="I778" s="37">
        <f>IF($A778="","",IFERROR($B778+$C778-$D778+$E778,0))</f>
        <v/>
      </c>
    </row>
    <row r="779">
      <c r="A779" s="36" t="n"/>
      <c r="B779" s="36" t="n"/>
      <c r="C779" s="36" t="n"/>
      <c r="D779" s="36" t="n"/>
      <c r="E779" s="36" t="n"/>
      <c r="F779" s="36" t="n"/>
      <c r="G779" s="36" t="n"/>
      <c r="H779" s="36" t="n"/>
      <c r="I779" s="37">
        <f>IF($A779="","",IFERROR($B779+$C779-$D779+$E779,0))</f>
        <v/>
      </c>
    </row>
    <row r="780">
      <c r="A780" s="36" t="n"/>
      <c r="B780" s="36" t="n"/>
      <c r="C780" s="36" t="n"/>
      <c r="D780" s="36" t="n"/>
      <c r="E780" s="36" t="n"/>
      <c r="F780" s="36" t="n"/>
      <c r="G780" s="36" t="n"/>
      <c r="H780" s="36" t="n"/>
      <c r="I780" s="37">
        <f>IF($A780="","",IFERROR($B780+$C780-$D780+$E780,0))</f>
        <v/>
      </c>
    </row>
    <row r="781">
      <c r="A781" s="36" t="n"/>
      <c r="B781" s="36" t="n"/>
      <c r="C781" s="36" t="n"/>
      <c r="D781" s="36" t="n"/>
      <c r="E781" s="36" t="n"/>
      <c r="F781" s="36" t="n"/>
      <c r="G781" s="36" t="n"/>
      <c r="H781" s="36" t="n"/>
      <c r="I781" s="37">
        <f>IF($A781="","",IFERROR($B781+$C781-$D781+$E781,0))</f>
        <v/>
      </c>
    </row>
    <row r="782">
      <c r="A782" s="36" t="n"/>
      <c r="B782" s="36" t="n"/>
      <c r="C782" s="36" t="n"/>
      <c r="D782" s="36" t="n"/>
      <c r="E782" s="36" t="n"/>
      <c r="F782" s="36" t="n"/>
      <c r="G782" s="36" t="n"/>
      <c r="H782" s="36" t="n"/>
      <c r="I782" s="37">
        <f>IF($A782="","",IFERROR($B782+$C782-$D782+$E782,0))</f>
        <v/>
      </c>
    </row>
    <row r="783">
      <c r="A783" s="36" t="n"/>
      <c r="B783" s="36" t="n"/>
      <c r="C783" s="36" t="n"/>
      <c r="D783" s="36" t="n"/>
      <c r="E783" s="36" t="n"/>
      <c r="F783" s="36" t="n"/>
      <c r="G783" s="36" t="n"/>
      <c r="H783" s="36" t="n"/>
      <c r="I783" s="37">
        <f>IF($A783="","",IFERROR($B783+$C783-$D783+$E783,0))</f>
        <v/>
      </c>
    </row>
    <row r="784">
      <c r="A784" s="36" t="n"/>
      <c r="B784" s="36" t="n"/>
      <c r="C784" s="36" t="n"/>
      <c r="D784" s="36" t="n"/>
      <c r="E784" s="36" t="n"/>
      <c r="F784" s="36" t="n"/>
      <c r="G784" s="36" t="n"/>
      <c r="H784" s="36" t="n"/>
      <c r="I784" s="37">
        <f>IF($A784="","",IFERROR($B784+$C784-$D784+$E784,0))</f>
        <v/>
      </c>
    </row>
    <row r="785">
      <c r="A785" s="36" t="n"/>
      <c r="B785" s="36" t="n"/>
      <c r="C785" s="36" t="n"/>
      <c r="D785" s="36" t="n"/>
      <c r="E785" s="36" t="n"/>
      <c r="F785" s="36" t="n"/>
      <c r="G785" s="36" t="n"/>
      <c r="H785" s="36" t="n"/>
      <c r="I785" s="37">
        <f>IF($A785="","",IFERROR($B785+$C785-$D785+$E785,0))</f>
        <v/>
      </c>
    </row>
    <row r="786">
      <c r="A786" s="36" t="n"/>
      <c r="B786" s="36" t="n"/>
      <c r="C786" s="36" t="n"/>
      <c r="D786" s="36" t="n"/>
      <c r="E786" s="36" t="n"/>
      <c r="F786" s="36" t="n"/>
      <c r="G786" s="36" t="n"/>
      <c r="H786" s="36" t="n"/>
      <c r="I786" s="37">
        <f>IF($A786="","",IFERROR($B786+$C786-$D786+$E786,0))</f>
        <v/>
      </c>
    </row>
    <row r="787">
      <c r="A787" s="36" t="n"/>
      <c r="B787" s="36" t="n"/>
      <c r="C787" s="36" t="n"/>
      <c r="D787" s="36" t="n"/>
      <c r="E787" s="36" t="n"/>
      <c r="F787" s="36" t="n"/>
      <c r="G787" s="36" t="n"/>
      <c r="H787" s="36" t="n"/>
      <c r="I787" s="37">
        <f>IF($A787="","",IFERROR($B787+$C787-$D787+$E787,0))</f>
        <v/>
      </c>
    </row>
    <row r="788">
      <c r="A788" s="36" t="n"/>
      <c r="B788" s="36" t="n"/>
      <c r="C788" s="36" t="n"/>
      <c r="D788" s="36" t="n"/>
      <c r="E788" s="36" t="n"/>
      <c r="F788" s="36" t="n"/>
      <c r="G788" s="36" t="n"/>
      <c r="H788" s="36" t="n"/>
      <c r="I788" s="37">
        <f>IF($A788="","",IFERROR($B788+$C788-$D788+$E788,0))</f>
        <v/>
      </c>
    </row>
    <row r="789">
      <c r="A789" s="36" t="n"/>
      <c r="B789" s="36" t="n"/>
      <c r="C789" s="36" t="n"/>
      <c r="D789" s="36" t="n"/>
      <c r="E789" s="36" t="n"/>
      <c r="F789" s="36" t="n"/>
      <c r="G789" s="36" t="n"/>
      <c r="H789" s="36" t="n"/>
      <c r="I789" s="37">
        <f>IF($A789="","",IFERROR($B789+$C789-$D789+$E789,0))</f>
        <v/>
      </c>
    </row>
    <row r="790">
      <c r="A790" s="36" t="n"/>
      <c r="B790" s="36" t="n"/>
      <c r="C790" s="36" t="n"/>
      <c r="D790" s="36" t="n"/>
      <c r="E790" s="36" t="n"/>
      <c r="F790" s="36" t="n"/>
      <c r="G790" s="36" t="n"/>
      <c r="H790" s="36" t="n"/>
      <c r="I790" s="37">
        <f>IF($A790="","",IFERROR($B790+$C790-$D790+$E790,0))</f>
        <v/>
      </c>
    </row>
    <row r="791">
      <c r="A791" s="36" t="n"/>
      <c r="B791" s="36" t="n"/>
      <c r="C791" s="36" t="n"/>
      <c r="D791" s="36" t="n"/>
      <c r="E791" s="36" t="n"/>
      <c r="F791" s="36" t="n"/>
      <c r="G791" s="36" t="n"/>
      <c r="H791" s="36" t="n"/>
      <c r="I791" s="37">
        <f>IF($A791="","",IFERROR($B791+$C791-$D791+$E791,0))</f>
        <v/>
      </c>
    </row>
    <row r="792">
      <c r="A792" s="36" t="n"/>
      <c r="B792" s="36" t="n"/>
      <c r="C792" s="36" t="n"/>
      <c r="D792" s="36" t="n"/>
      <c r="E792" s="36" t="n"/>
      <c r="F792" s="36" t="n"/>
      <c r="G792" s="36" t="n"/>
      <c r="H792" s="36" t="n"/>
      <c r="I792" s="37">
        <f>IF($A792="","",IFERROR($B792+$C792-$D792+$E792,0))</f>
        <v/>
      </c>
    </row>
    <row r="793">
      <c r="A793" s="36" t="n"/>
      <c r="B793" s="36" t="n"/>
      <c r="C793" s="36" t="n"/>
      <c r="D793" s="36" t="n"/>
      <c r="E793" s="36" t="n"/>
      <c r="F793" s="36" t="n"/>
      <c r="G793" s="36" t="n"/>
      <c r="H793" s="36" t="n"/>
      <c r="I793" s="37">
        <f>IF($A793="","",IFERROR($B793+$C793-$D793+$E793,0))</f>
        <v/>
      </c>
    </row>
    <row r="794">
      <c r="A794" s="36" t="n"/>
      <c r="B794" s="36" t="n"/>
      <c r="C794" s="36" t="n"/>
      <c r="D794" s="36" t="n"/>
      <c r="E794" s="36" t="n"/>
      <c r="F794" s="36" t="n"/>
      <c r="G794" s="36" t="n"/>
      <c r="H794" s="36" t="n"/>
      <c r="I794" s="37">
        <f>IF($A794="","",IFERROR($B794+$C794-$D794+$E794,0))</f>
        <v/>
      </c>
    </row>
    <row r="795">
      <c r="A795" s="36" t="n"/>
      <c r="B795" s="36" t="n"/>
      <c r="C795" s="36" t="n"/>
      <c r="D795" s="36" t="n"/>
      <c r="E795" s="36" t="n"/>
      <c r="F795" s="36" t="n"/>
      <c r="G795" s="36" t="n"/>
      <c r="H795" s="36" t="n"/>
      <c r="I795" s="37">
        <f>IF($A795="","",IFERROR($B795+$C795-$D795+$E795,0))</f>
        <v/>
      </c>
    </row>
    <row r="796">
      <c r="A796" s="36" t="n"/>
      <c r="B796" s="36" t="n"/>
      <c r="C796" s="36" t="n"/>
      <c r="D796" s="36" t="n"/>
      <c r="E796" s="36" t="n"/>
      <c r="F796" s="36" t="n"/>
      <c r="G796" s="36" t="n"/>
      <c r="H796" s="36" t="n"/>
      <c r="I796" s="37">
        <f>IF($A796="","",IFERROR($B796+$C796-$D796+$E796,0))</f>
        <v/>
      </c>
    </row>
    <row r="797">
      <c r="A797" s="36" t="n"/>
      <c r="B797" s="36" t="n"/>
      <c r="C797" s="36" t="n"/>
      <c r="D797" s="36" t="n"/>
      <c r="E797" s="36" t="n"/>
      <c r="F797" s="36" t="n"/>
      <c r="G797" s="36" t="n"/>
      <c r="H797" s="36" t="n"/>
      <c r="I797" s="37">
        <f>IF($A797="","",IFERROR($B797+$C797-$D797+$E797,0))</f>
        <v/>
      </c>
    </row>
    <row r="798">
      <c r="A798" s="36" t="n"/>
      <c r="B798" s="36" t="n"/>
      <c r="C798" s="36" t="n"/>
      <c r="D798" s="36" t="n"/>
      <c r="E798" s="36" t="n"/>
      <c r="F798" s="36" t="n"/>
      <c r="G798" s="36" t="n"/>
      <c r="H798" s="36" t="n"/>
      <c r="I798" s="37">
        <f>IF($A798="","",IFERROR($B798+$C798-$D798+$E798,0))</f>
        <v/>
      </c>
    </row>
    <row r="799">
      <c r="A799" s="36" t="n"/>
      <c r="B799" s="36" t="n"/>
      <c r="C799" s="36" t="n"/>
      <c r="D799" s="36" t="n"/>
      <c r="E799" s="36" t="n"/>
      <c r="F799" s="36" t="n"/>
      <c r="G799" s="36" t="n"/>
      <c r="H799" s="36" t="n"/>
      <c r="I799" s="37">
        <f>IF($A799="","",IFERROR($B799+$C799-$D799+$E799,0))</f>
        <v/>
      </c>
    </row>
    <row r="800">
      <c r="A800" s="36" t="n"/>
      <c r="B800" s="36" t="n"/>
      <c r="C800" s="36" t="n"/>
      <c r="D800" s="36" t="n"/>
      <c r="E800" s="36" t="n"/>
      <c r="F800" s="36" t="n"/>
      <c r="G800" s="36" t="n"/>
      <c r="H800" s="36" t="n"/>
      <c r="I800" s="37">
        <f>IF($A800="","",IFERROR($B800+$C800-$D800+$E800,0))</f>
        <v/>
      </c>
    </row>
    <row r="801">
      <c r="A801" s="36" t="n"/>
      <c r="B801" s="36" t="n"/>
      <c r="C801" s="36" t="n"/>
      <c r="D801" s="36" t="n"/>
      <c r="E801" s="36" t="n"/>
      <c r="F801" s="36" t="n"/>
      <c r="G801" s="36" t="n"/>
      <c r="H801" s="36" t="n"/>
      <c r="I801" s="37">
        <f>IF($A801="","",IFERROR($B801+$C801-$D801+$E801,0))</f>
        <v/>
      </c>
    </row>
    <row r="802">
      <c r="A802" s="36" t="n"/>
      <c r="B802" s="36" t="n"/>
      <c r="C802" s="36" t="n"/>
      <c r="D802" s="36" t="n"/>
      <c r="E802" s="36" t="n"/>
      <c r="F802" s="36" t="n"/>
      <c r="G802" s="36" t="n"/>
      <c r="H802" s="36" t="n"/>
      <c r="I802" s="37">
        <f>IF($A802="","",IFERROR($B802+$C802-$D802+$E802,0))</f>
        <v/>
      </c>
    </row>
    <row r="803">
      <c r="A803" s="36" t="n"/>
      <c r="B803" s="36" t="n"/>
      <c r="C803" s="36" t="n"/>
      <c r="D803" s="36" t="n"/>
      <c r="E803" s="36" t="n"/>
      <c r="F803" s="36" t="n"/>
      <c r="G803" s="36" t="n"/>
      <c r="H803" s="36" t="n"/>
      <c r="I803" s="37">
        <f>IF($A803="","",IFERROR($B803+$C803-$D803+$E803,0))</f>
        <v/>
      </c>
    </row>
    <row r="804">
      <c r="A804" s="36" t="n"/>
      <c r="B804" s="36" t="n"/>
      <c r="C804" s="36" t="n"/>
      <c r="D804" s="36" t="n"/>
      <c r="E804" s="36" t="n"/>
      <c r="F804" s="36" t="n"/>
      <c r="G804" s="36" t="n"/>
      <c r="H804" s="36" t="n"/>
      <c r="I804" s="37">
        <f>IF($A804="","",IFERROR($B804+$C804-$D804+$E804,0))</f>
        <v/>
      </c>
    </row>
    <row r="805">
      <c r="A805" s="36" t="n"/>
      <c r="B805" s="36" t="n"/>
      <c r="C805" s="36" t="n"/>
      <c r="D805" s="36" t="n"/>
      <c r="E805" s="36" t="n"/>
      <c r="F805" s="36" t="n"/>
      <c r="G805" s="36" t="n"/>
      <c r="H805" s="36" t="n"/>
      <c r="I805" s="37">
        <f>IF($A805="","",IFERROR($B805+$C805-$D805+$E805,0))</f>
        <v/>
      </c>
    </row>
    <row r="806">
      <c r="A806" s="36" t="n"/>
      <c r="B806" s="36" t="n"/>
      <c r="C806" s="36" t="n"/>
      <c r="D806" s="36" t="n"/>
      <c r="E806" s="36" t="n"/>
      <c r="F806" s="36" t="n"/>
      <c r="G806" s="36" t="n"/>
      <c r="H806" s="36" t="n"/>
      <c r="I806" s="37">
        <f>IF($A806="","",IFERROR($B806+$C806-$D806+$E806,0))</f>
        <v/>
      </c>
    </row>
    <row r="807">
      <c r="A807" s="36" t="n"/>
      <c r="B807" s="36" t="n"/>
      <c r="C807" s="36" t="n"/>
      <c r="D807" s="36" t="n"/>
      <c r="E807" s="36" t="n"/>
      <c r="F807" s="36" t="n"/>
      <c r="G807" s="36" t="n"/>
      <c r="H807" s="36" t="n"/>
      <c r="I807" s="37">
        <f>IF($A807="","",IFERROR($B807+$C807-$D807+$E807,0))</f>
        <v/>
      </c>
    </row>
    <row r="808">
      <c r="A808" s="36" t="n"/>
      <c r="B808" s="36" t="n"/>
      <c r="C808" s="36" t="n"/>
      <c r="D808" s="36" t="n"/>
      <c r="E808" s="36" t="n"/>
      <c r="F808" s="36" t="n"/>
      <c r="G808" s="36" t="n"/>
      <c r="H808" s="36" t="n"/>
      <c r="I808" s="37">
        <f>IF($A808="","",IFERROR($B808+$C808-$D808+$E808,0))</f>
        <v/>
      </c>
    </row>
    <row r="809">
      <c r="A809" s="36" t="n"/>
      <c r="B809" s="36" t="n"/>
      <c r="C809" s="36" t="n"/>
      <c r="D809" s="36" t="n"/>
      <c r="E809" s="36" t="n"/>
      <c r="F809" s="36" t="n"/>
      <c r="G809" s="36" t="n"/>
      <c r="H809" s="36" t="n"/>
      <c r="I809" s="37">
        <f>IF($A809="","",IFERROR($B809+$C809-$D809+$E809,0))</f>
        <v/>
      </c>
    </row>
    <row r="810">
      <c r="A810" s="36" t="n"/>
      <c r="B810" s="36" t="n"/>
      <c r="C810" s="36" t="n"/>
      <c r="D810" s="36" t="n"/>
      <c r="E810" s="36" t="n"/>
      <c r="F810" s="36" t="n"/>
      <c r="G810" s="36" t="n"/>
      <c r="H810" s="36" t="n"/>
      <c r="I810" s="37">
        <f>IF($A810="","",IFERROR($B810+$C810-$D810+$E810,0))</f>
        <v/>
      </c>
    </row>
    <row r="811">
      <c r="A811" s="36" t="n"/>
      <c r="B811" s="36" t="n"/>
      <c r="C811" s="36" t="n"/>
      <c r="D811" s="36" t="n"/>
      <c r="E811" s="36" t="n"/>
      <c r="F811" s="36" t="n"/>
      <c r="G811" s="36" t="n"/>
      <c r="H811" s="36" t="n"/>
      <c r="I811" s="37">
        <f>IF($A811="","",IFERROR($B811+$C811-$D811+$E811,0))</f>
        <v/>
      </c>
    </row>
    <row r="812">
      <c r="A812" s="36" t="n"/>
      <c r="B812" s="36" t="n"/>
      <c r="C812" s="36" t="n"/>
      <c r="D812" s="36" t="n"/>
      <c r="E812" s="36" t="n"/>
      <c r="F812" s="36" t="n"/>
      <c r="G812" s="36" t="n"/>
      <c r="H812" s="36" t="n"/>
      <c r="I812" s="37">
        <f>IF($A812="","",IFERROR($B812+$C812-$D812+$E812,0))</f>
        <v/>
      </c>
    </row>
    <row r="813">
      <c r="A813" s="36" t="n"/>
      <c r="B813" s="36" t="n"/>
      <c r="C813" s="36" t="n"/>
      <c r="D813" s="36" t="n"/>
      <c r="E813" s="36" t="n"/>
      <c r="F813" s="36" t="n"/>
      <c r="G813" s="36" t="n"/>
      <c r="H813" s="36" t="n"/>
      <c r="I813" s="37">
        <f>IF($A813="","",IFERROR($B813+$C813-$D813+$E813,0))</f>
        <v/>
      </c>
    </row>
    <row r="814">
      <c r="A814" s="36" t="n"/>
      <c r="B814" s="36" t="n"/>
      <c r="C814" s="36" t="n"/>
      <c r="D814" s="36" t="n"/>
      <c r="E814" s="36" t="n"/>
      <c r="F814" s="36" t="n"/>
      <c r="G814" s="36" t="n"/>
      <c r="H814" s="36" t="n"/>
      <c r="I814" s="37">
        <f>IF($A814="","",IFERROR($B814+$C814-$D814+$E814,0))</f>
        <v/>
      </c>
    </row>
    <row r="815">
      <c r="A815" s="36" t="n"/>
      <c r="B815" s="36" t="n"/>
      <c r="C815" s="36" t="n"/>
      <c r="D815" s="36" t="n"/>
      <c r="E815" s="36" t="n"/>
      <c r="F815" s="36" t="n"/>
      <c r="G815" s="36" t="n"/>
      <c r="H815" s="36" t="n"/>
      <c r="I815" s="37">
        <f>IF($A815="","",IFERROR($B815+$C815-$D815+$E815,0))</f>
        <v/>
      </c>
    </row>
    <row r="816">
      <c r="A816" s="36" t="n"/>
      <c r="B816" s="36" t="n"/>
      <c r="C816" s="36" t="n"/>
      <c r="D816" s="36" t="n"/>
      <c r="E816" s="36" t="n"/>
      <c r="F816" s="36" t="n"/>
      <c r="G816" s="36" t="n"/>
      <c r="H816" s="36" t="n"/>
      <c r="I816" s="37">
        <f>IF($A816="","",IFERROR($B816+$C816-$D816+$E816,0))</f>
        <v/>
      </c>
    </row>
    <row r="817">
      <c r="A817" s="36" t="n"/>
      <c r="B817" s="36" t="n"/>
      <c r="C817" s="36" t="n"/>
      <c r="D817" s="36" t="n"/>
      <c r="E817" s="36" t="n"/>
      <c r="F817" s="36" t="n"/>
      <c r="G817" s="36" t="n"/>
      <c r="H817" s="36" t="n"/>
      <c r="I817" s="37">
        <f>IF($A817="","",IFERROR($B817+$C817-$D817+$E817,0))</f>
        <v/>
      </c>
    </row>
    <row r="818">
      <c r="A818" s="36" t="n"/>
      <c r="B818" s="36" t="n"/>
      <c r="C818" s="36" t="n"/>
      <c r="D818" s="36" t="n"/>
      <c r="E818" s="36" t="n"/>
      <c r="F818" s="36" t="n"/>
      <c r="G818" s="36" t="n"/>
      <c r="H818" s="36" t="n"/>
      <c r="I818" s="37">
        <f>IF($A818="","",IFERROR($B818+$C818-$D818+$E818,0))</f>
        <v/>
      </c>
    </row>
    <row r="819">
      <c r="A819" s="36" t="n"/>
      <c r="B819" s="36" t="n"/>
      <c r="C819" s="36" t="n"/>
      <c r="D819" s="36" t="n"/>
      <c r="E819" s="36" t="n"/>
      <c r="F819" s="36" t="n"/>
      <c r="G819" s="36" t="n"/>
      <c r="H819" s="36" t="n"/>
      <c r="I819" s="37">
        <f>IF($A819="","",IFERROR($B819+$C819-$D819+$E819,0))</f>
        <v/>
      </c>
    </row>
    <row r="820">
      <c r="A820" s="36" t="n"/>
      <c r="B820" s="36" t="n"/>
      <c r="C820" s="36" t="n"/>
      <c r="D820" s="36" t="n"/>
      <c r="E820" s="36" t="n"/>
      <c r="F820" s="36" t="n"/>
      <c r="G820" s="36" t="n"/>
      <c r="H820" s="36" t="n"/>
      <c r="I820" s="37">
        <f>IF($A820="","",IFERROR($B820+$C820-$D820+$E820,0))</f>
        <v/>
      </c>
    </row>
    <row r="821">
      <c r="A821" s="36" t="n"/>
      <c r="B821" s="36" t="n"/>
      <c r="C821" s="36" t="n"/>
      <c r="D821" s="36" t="n"/>
      <c r="E821" s="36" t="n"/>
      <c r="F821" s="36" t="n"/>
      <c r="G821" s="36" t="n"/>
      <c r="H821" s="36" t="n"/>
      <c r="I821" s="37">
        <f>IF($A821="","",IFERROR($B821+$C821-$D821+$E821,0))</f>
        <v/>
      </c>
    </row>
    <row r="822">
      <c r="A822" s="36" t="n"/>
      <c r="B822" s="36" t="n"/>
      <c r="C822" s="36" t="n"/>
      <c r="D822" s="36" t="n"/>
      <c r="E822" s="36" t="n"/>
      <c r="F822" s="36" t="n"/>
      <c r="G822" s="36" t="n"/>
      <c r="H822" s="36" t="n"/>
      <c r="I822" s="37">
        <f>IF($A822="","",IFERROR($B822+$C822-$D822+$E822,0))</f>
        <v/>
      </c>
    </row>
    <row r="823">
      <c r="A823" s="36" t="n"/>
      <c r="B823" s="36" t="n"/>
      <c r="C823" s="36" t="n"/>
      <c r="D823" s="36" t="n"/>
      <c r="E823" s="36" t="n"/>
      <c r="F823" s="36" t="n"/>
      <c r="G823" s="36" t="n"/>
      <c r="H823" s="36" t="n"/>
      <c r="I823" s="37">
        <f>IF($A823="","",IFERROR($B823+$C823-$D823+$E823,0))</f>
        <v/>
      </c>
    </row>
    <row r="824">
      <c r="A824" s="36" t="n"/>
      <c r="B824" s="36" t="n"/>
      <c r="C824" s="36" t="n"/>
      <c r="D824" s="36" t="n"/>
      <c r="E824" s="36" t="n"/>
      <c r="F824" s="36" t="n"/>
      <c r="G824" s="36" t="n"/>
      <c r="H824" s="36" t="n"/>
      <c r="I824" s="37">
        <f>IF($A824="","",IFERROR($B824+$C824-$D824+$E824,0))</f>
        <v/>
      </c>
    </row>
    <row r="825">
      <c r="A825" s="36" t="n"/>
      <c r="B825" s="36" t="n"/>
      <c r="C825" s="36" t="n"/>
      <c r="D825" s="36" t="n"/>
      <c r="E825" s="36" t="n"/>
      <c r="F825" s="36" t="n"/>
      <c r="G825" s="36" t="n"/>
      <c r="H825" s="36" t="n"/>
      <c r="I825" s="37">
        <f>IF($A825="","",IFERROR($B825+$C825-$D825+$E825,0))</f>
        <v/>
      </c>
    </row>
    <row r="826">
      <c r="A826" s="36" t="n"/>
      <c r="B826" s="36" t="n"/>
      <c r="C826" s="36" t="n"/>
      <c r="D826" s="36" t="n"/>
      <c r="E826" s="36" t="n"/>
      <c r="F826" s="36" t="n"/>
      <c r="G826" s="36" t="n"/>
      <c r="H826" s="36" t="n"/>
      <c r="I826" s="37">
        <f>IF($A826="","",IFERROR($B826+$C826-$D826+$E826,0))</f>
        <v/>
      </c>
    </row>
    <row r="827">
      <c r="A827" s="36" t="n"/>
      <c r="B827" s="36" t="n"/>
      <c r="C827" s="36" t="n"/>
      <c r="D827" s="36" t="n"/>
      <c r="E827" s="36" t="n"/>
      <c r="F827" s="36" t="n"/>
      <c r="G827" s="36" t="n"/>
      <c r="H827" s="36" t="n"/>
      <c r="I827" s="37">
        <f>IF($A827="","",IFERROR($B827+$C827-$D827+$E827,0))</f>
        <v/>
      </c>
    </row>
    <row r="828">
      <c r="A828" s="36" t="n"/>
      <c r="B828" s="36" t="n"/>
      <c r="C828" s="36" t="n"/>
      <c r="D828" s="36" t="n"/>
      <c r="E828" s="36" t="n"/>
      <c r="F828" s="36" t="n"/>
      <c r="G828" s="36" t="n"/>
      <c r="H828" s="36" t="n"/>
      <c r="I828" s="37">
        <f>IF($A828="","",IFERROR($B828+$C828-$D828+$E828,0))</f>
        <v/>
      </c>
    </row>
    <row r="829">
      <c r="A829" s="36" t="n"/>
      <c r="B829" s="36" t="n"/>
      <c r="C829" s="36" t="n"/>
      <c r="D829" s="36" t="n"/>
      <c r="E829" s="36" t="n"/>
      <c r="F829" s="36" t="n"/>
      <c r="G829" s="36" t="n"/>
      <c r="H829" s="36" t="n"/>
      <c r="I829" s="37">
        <f>IF($A829="","",IFERROR($B829+$C829-$D829+$E829,0))</f>
        <v/>
      </c>
    </row>
    <row r="830">
      <c r="A830" s="36" t="n"/>
      <c r="B830" s="36" t="n"/>
      <c r="C830" s="36" t="n"/>
      <c r="D830" s="36" t="n"/>
      <c r="E830" s="36" t="n"/>
      <c r="F830" s="36" t="n"/>
      <c r="G830" s="36" t="n"/>
      <c r="H830" s="36" t="n"/>
      <c r="I830" s="37">
        <f>IF($A830="","",IFERROR($B830+$C830-$D830+$E830,0))</f>
        <v/>
      </c>
    </row>
    <row r="831">
      <c r="A831" s="36" t="n"/>
      <c r="B831" s="36" t="n"/>
      <c r="C831" s="36" t="n"/>
      <c r="D831" s="36" t="n"/>
      <c r="E831" s="36" t="n"/>
      <c r="F831" s="36" t="n"/>
      <c r="G831" s="36" t="n"/>
      <c r="H831" s="36" t="n"/>
      <c r="I831" s="37">
        <f>IF($A831="","",IFERROR($B831+$C831-$D831+$E831,0))</f>
        <v/>
      </c>
    </row>
    <row r="832">
      <c r="A832" s="36" t="n"/>
      <c r="B832" s="36" t="n"/>
      <c r="C832" s="36" t="n"/>
      <c r="D832" s="36" t="n"/>
      <c r="E832" s="36" t="n"/>
      <c r="F832" s="36" t="n"/>
      <c r="G832" s="36" t="n"/>
      <c r="H832" s="36" t="n"/>
      <c r="I832" s="37">
        <f>IF($A832="","",IFERROR($B832+$C832-$D832+$E832,0))</f>
        <v/>
      </c>
    </row>
    <row r="833">
      <c r="A833" s="36" t="n"/>
      <c r="B833" s="36" t="n"/>
      <c r="C833" s="36" t="n"/>
      <c r="D833" s="36" t="n"/>
      <c r="E833" s="36" t="n"/>
      <c r="F833" s="36" t="n"/>
      <c r="G833" s="36" t="n"/>
      <c r="H833" s="36" t="n"/>
      <c r="I833" s="37">
        <f>IF($A833="","",IFERROR($B833+$C833-$D833+$E833,0))</f>
        <v/>
      </c>
    </row>
    <row r="834">
      <c r="A834" s="36" t="n"/>
      <c r="B834" s="36" t="n"/>
      <c r="C834" s="36" t="n"/>
      <c r="D834" s="36" t="n"/>
      <c r="E834" s="36" t="n"/>
      <c r="F834" s="36" t="n"/>
      <c r="G834" s="36" t="n"/>
      <c r="H834" s="36" t="n"/>
      <c r="I834" s="37">
        <f>IF($A834="","",IFERROR($B834+$C834-$D834+$E834,0))</f>
        <v/>
      </c>
    </row>
    <row r="835">
      <c r="A835" s="36" t="n"/>
      <c r="B835" s="36" t="n"/>
      <c r="C835" s="36" t="n"/>
      <c r="D835" s="36" t="n"/>
      <c r="E835" s="36" t="n"/>
      <c r="F835" s="36" t="n"/>
      <c r="G835" s="36" t="n"/>
      <c r="H835" s="36" t="n"/>
      <c r="I835" s="37">
        <f>IF($A835="","",IFERROR($B835+$C835-$D835+$E835,0))</f>
        <v/>
      </c>
    </row>
    <row r="836">
      <c r="A836" s="36" t="n"/>
      <c r="B836" s="36" t="n"/>
      <c r="C836" s="36" t="n"/>
      <c r="D836" s="36" t="n"/>
      <c r="E836" s="36" t="n"/>
      <c r="F836" s="36" t="n"/>
      <c r="G836" s="36" t="n"/>
      <c r="H836" s="36" t="n"/>
      <c r="I836" s="37">
        <f>IF($A836="","",IFERROR($B836+$C836-$D836+$E836,0))</f>
        <v/>
      </c>
    </row>
    <row r="837">
      <c r="A837" s="36" t="n"/>
      <c r="B837" s="36" t="n"/>
      <c r="C837" s="36" t="n"/>
      <c r="D837" s="36" t="n"/>
      <c r="E837" s="36" t="n"/>
      <c r="F837" s="36" t="n"/>
      <c r="G837" s="36" t="n"/>
      <c r="H837" s="36" t="n"/>
      <c r="I837" s="37">
        <f>IF($A837="","",IFERROR($B837+$C837-$D837+$E837,0))</f>
        <v/>
      </c>
    </row>
    <row r="838">
      <c r="A838" s="36" t="n"/>
      <c r="B838" s="36" t="n"/>
      <c r="C838" s="36" t="n"/>
      <c r="D838" s="36" t="n"/>
      <c r="E838" s="36" t="n"/>
      <c r="F838" s="36" t="n"/>
      <c r="G838" s="36" t="n"/>
      <c r="H838" s="36" t="n"/>
      <c r="I838" s="37">
        <f>IF($A838="","",IFERROR($B838+$C838-$D838+$E838,0))</f>
        <v/>
      </c>
    </row>
    <row r="839">
      <c r="A839" s="36" t="n"/>
      <c r="B839" s="36" t="n"/>
      <c r="C839" s="36" t="n"/>
      <c r="D839" s="36" t="n"/>
      <c r="E839" s="36" t="n"/>
      <c r="F839" s="36" t="n"/>
      <c r="G839" s="36" t="n"/>
      <c r="H839" s="36" t="n"/>
      <c r="I839" s="37">
        <f>IF($A839="","",IFERROR($B839+$C839-$D839+$E839,0))</f>
        <v/>
      </c>
    </row>
    <row r="840">
      <c r="A840" s="36" t="n"/>
      <c r="B840" s="36" t="n"/>
      <c r="C840" s="36" t="n"/>
      <c r="D840" s="36" t="n"/>
      <c r="E840" s="36" t="n"/>
      <c r="F840" s="36" t="n"/>
      <c r="G840" s="36" t="n"/>
      <c r="H840" s="36" t="n"/>
      <c r="I840" s="37">
        <f>IF($A840="","",IFERROR($B840+$C840-$D840+$E840,0))</f>
        <v/>
      </c>
    </row>
    <row r="841">
      <c r="A841" s="36" t="n"/>
      <c r="B841" s="36" t="n"/>
      <c r="C841" s="36" t="n"/>
      <c r="D841" s="36" t="n"/>
      <c r="E841" s="36" t="n"/>
      <c r="F841" s="36" t="n"/>
      <c r="G841" s="36" t="n"/>
      <c r="H841" s="36" t="n"/>
      <c r="I841" s="37">
        <f>IF($A841="","",IFERROR($B841+$C841-$D841+$E841,0))</f>
        <v/>
      </c>
    </row>
    <row r="842">
      <c r="A842" s="36" t="n"/>
      <c r="B842" s="36" t="n"/>
      <c r="C842" s="36" t="n"/>
      <c r="D842" s="36" t="n"/>
      <c r="E842" s="36" t="n"/>
      <c r="F842" s="36" t="n"/>
      <c r="G842" s="36" t="n"/>
      <c r="H842" s="36" t="n"/>
      <c r="I842" s="37">
        <f>IF($A842="","",IFERROR($B842+$C842-$D842+$E842,0))</f>
        <v/>
      </c>
    </row>
    <row r="843">
      <c r="A843" s="36" t="n"/>
      <c r="B843" s="36" t="n"/>
      <c r="C843" s="36" t="n"/>
      <c r="D843" s="36" t="n"/>
      <c r="E843" s="36" t="n"/>
      <c r="F843" s="36" t="n"/>
      <c r="G843" s="36" t="n"/>
      <c r="H843" s="36" t="n"/>
      <c r="I843" s="37">
        <f>IF($A843="","",IFERROR($B843+$C843-$D843+$E843,0))</f>
        <v/>
      </c>
    </row>
    <row r="844">
      <c r="A844" s="36" t="n"/>
      <c r="B844" s="36" t="n"/>
      <c r="C844" s="36" t="n"/>
      <c r="D844" s="36" t="n"/>
      <c r="E844" s="36" t="n"/>
      <c r="F844" s="36" t="n"/>
      <c r="G844" s="36" t="n"/>
      <c r="H844" s="36" t="n"/>
      <c r="I844" s="37">
        <f>IF($A844="","",IFERROR($B844+$C844-$D844+$E844,0))</f>
        <v/>
      </c>
    </row>
    <row r="845">
      <c r="A845" s="36" t="n"/>
      <c r="B845" s="36" t="n"/>
      <c r="C845" s="36" t="n"/>
      <c r="D845" s="36" t="n"/>
      <c r="E845" s="36" t="n"/>
      <c r="F845" s="36" t="n"/>
      <c r="G845" s="36" t="n"/>
      <c r="H845" s="36" t="n"/>
      <c r="I845" s="37">
        <f>IF($A845="","",IFERROR($B845+$C845-$D845+$E845,0))</f>
        <v/>
      </c>
    </row>
    <row r="846">
      <c r="A846" s="36" t="n"/>
      <c r="B846" s="36" t="n"/>
      <c r="C846" s="36" t="n"/>
      <c r="D846" s="36" t="n"/>
      <c r="E846" s="36" t="n"/>
      <c r="F846" s="36" t="n"/>
      <c r="G846" s="36" t="n"/>
      <c r="H846" s="36" t="n"/>
      <c r="I846" s="37">
        <f>IF($A846="","",IFERROR($B846+$C846-$D846+$E846,0))</f>
        <v/>
      </c>
    </row>
    <row r="847">
      <c r="A847" s="36" t="n"/>
      <c r="B847" s="36" t="n"/>
      <c r="C847" s="36" t="n"/>
      <c r="D847" s="36" t="n"/>
      <c r="E847" s="36" t="n"/>
      <c r="F847" s="36" t="n"/>
      <c r="G847" s="36" t="n"/>
      <c r="H847" s="36" t="n"/>
      <c r="I847" s="37">
        <f>IF($A847="","",IFERROR($B847+$C847-$D847+$E847,0))</f>
        <v/>
      </c>
    </row>
    <row r="848">
      <c r="A848" s="36" t="n"/>
      <c r="B848" s="36" t="n"/>
      <c r="C848" s="36" t="n"/>
      <c r="D848" s="36" t="n"/>
      <c r="E848" s="36" t="n"/>
      <c r="F848" s="36" t="n"/>
      <c r="G848" s="36" t="n"/>
      <c r="H848" s="36" t="n"/>
      <c r="I848" s="37">
        <f>IF($A848="","",IFERROR($B848+$C848-$D848+$E848,0))</f>
        <v/>
      </c>
    </row>
    <row r="849">
      <c r="A849" s="36" t="n"/>
      <c r="B849" s="36" t="n"/>
      <c r="C849" s="36" t="n"/>
      <c r="D849" s="36" t="n"/>
      <c r="E849" s="36" t="n"/>
      <c r="F849" s="36" t="n"/>
      <c r="G849" s="36" t="n"/>
      <c r="H849" s="36" t="n"/>
      <c r="I849" s="37">
        <f>IF($A849="","",IFERROR($B849+$C849-$D849+$E849,0))</f>
        <v/>
      </c>
    </row>
    <row r="850">
      <c r="A850" s="36" t="n"/>
      <c r="B850" s="36" t="n"/>
      <c r="C850" s="36" t="n"/>
      <c r="D850" s="36" t="n"/>
      <c r="E850" s="36" t="n"/>
      <c r="F850" s="36" t="n"/>
      <c r="G850" s="36" t="n"/>
      <c r="H850" s="36" t="n"/>
      <c r="I850" s="37">
        <f>IF($A850="","",IFERROR($B850+$C850-$D850+$E850,0))</f>
        <v/>
      </c>
    </row>
    <row r="851">
      <c r="A851" s="36" t="n"/>
      <c r="B851" s="36" t="n"/>
      <c r="C851" s="36" t="n"/>
      <c r="D851" s="36" t="n"/>
      <c r="E851" s="36" t="n"/>
      <c r="F851" s="36" t="n"/>
      <c r="G851" s="36" t="n"/>
      <c r="H851" s="36" t="n"/>
      <c r="I851" s="37">
        <f>IF($A851="","",IFERROR($B851+$C851-$D851+$E851,0))</f>
        <v/>
      </c>
    </row>
    <row r="852">
      <c r="A852" s="36" t="n"/>
      <c r="B852" s="36" t="n"/>
      <c r="C852" s="36" t="n"/>
      <c r="D852" s="36" t="n"/>
      <c r="E852" s="36" t="n"/>
      <c r="F852" s="36" t="n"/>
      <c r="G852" s="36" t="n"/>
      <c r="H852" s="36" t="n"/>
      <c r="I852" s="37">
        <f>IF($A852="","",IFERROR($B852+$C852-$D852+$E852,0))</f>
        <v/>
      </c>
    </row>
    <row r="853">
      <c r="A853" s="36" t="n"/>
      <c r="B853" s="36" t="n"/>
      <c r="C853" s="36" t="n"/>
      <c r="D853" s="36" t="n"/>
      <c r="E853" s="36" t="n"/>
      <c r="F853" s="36" t="n"/>
      <c r="G853" s="36" t="n"/>
      <c r="H853" s="36" t="n"/>
      <c r="I853" s="37">
        <f>IF($A853="","",IFERROR($B853+$C853-$D853+$E853,0))</f>
        <v/>
      </c>
    </row>
    <row r="854">
      <c r="A854" s="36" t="n"/>
      <c r="B854" s="36" t="n"/>
      <c r="C854" s="36" t="n"/>
      <c r="D854" s="36" t="n"/>
      <c r="E854" s="36" t="n"/>
      <c r="F854" s="36" t="n"/>
      <c r="G854" s="36" t="n"/>
      <c r="H854" s="36" t="n"/>
      <c r="I854" s="37">
        <f>IF($A854="","",IFERROR($B854+$C854-$D854+$E854,0))</f>
        <v/>
      </c>
    </row>
    <row r="855">
      <c r="A855" s="36" t="n"/>
      <c r="B855" s="36" t="n"/>
      <c r="C855" s="36" t="n"/>
      <c r="D855" s="36" t="n"/>
      <c r="E855" s="36" t="n"/>
      <c r="F855" s="36" t="n"/>
      <c r="G855" s="36" t="n"/>
      <c r="H855" s="36" t="n"/>
      <c r="I855" s="37">
        <f>IF($A855="","",IFERROR($B855+$C855-$D855+$E855,0))</f>
        <v/>
      </c>
    </row>
    <row r="856">
      <c r="A856" s="36" t="n"/>
      <c r="B856" s="36" t="n"/>
      <c r="C856" s="36" t="n"/>
      <c r="D856" s="36" t="n"/>
      <c r="E856" s="36" t="n"/>
      <c r="F856" s="36" t="n"/>
      <c r="G856" s="36" t="n"/>
      <c r="H856" s="36" t="n"/>
      <c r="I856" s="37">
        <f>IF($A856="","",IFERROR($B856+$C856-$D856+$E856,0))</f>
        <v/>
      </c>
    </row>
    <row r="857">
      <c r="A857" s="36" t="n"/>
      <c r="B857" s="36" t="n"/>
      <c r="C857" s="36" t="n"/>
      <c r="D857" s="36" t="n"/>
      <c r="E857" s="36" t="n"/>
      <c r="F857" s="36" t="n"/>
      <c r="G857" s="36" t="n"/>
      <c r="H857" s="36" t="n"/>
      <c r="I857" s="37">
        <f>IF($A857="","",IFERROR($B857+$C857-$D857+$E857,0))</f>
        <v/>
      </c>
    </row>
    <row r="858">
      <c r="A858" s="36" t="n"/>
      <c r="B858" s="36" t="n"/>
      <c r="C858" s="36" t="n"/>
      <c r="D858" s="36" t="n"/>
      <c r="E858" s="36" t="n"/>
      <c r="F858" s="36" t="n"/>
      <c r="G858" s="36" t="n"/>
      <c r="H858" s="36" t="n"/>
      <c r="I858" s="37">
        <f>IF($A858="","",IFERROR($B858+$C858-$D858+$E858,0))</f>
        <v/>
      </c>
    </row>
    <row r="859">
      <c r="A859" s="36" t="n"/>
      <c r="B859" s="36" t="n"/>
      <c r="C859" s="36" t="n"/>
      <c r="D859" s="36" t="n"/>
      <c r="E859" s="36" t="n"/>
      <c r="F859" s="36" t="n"/>
      <c r="G859" s="36" t="n"/>
      <c r="H859" s="36" t="n"/>
      <c r="I859" s="37">
        <f>IF($A859="","",IFERROR($B859+$C859-$D859+$E859,0))</f>
        <v/>
      </c>
    </row>
    <row r="860">
      <c r="A860" s="36" t="n"/>
      <c r="B860" s="36" t="n"/>
      <c r="C860" s="36" t="n"/>
      <c r="D860" s="36" t="n"/>
      <c r="E860" s="36" t="n"/>
      <c r="F860" s="36" t="n"/>
      <c r="G860" s="36" t="n"/>
      <c r="H860" s="36" t="n"/>
      <c r="I860" s="37">
        <f>IF($A860="","",IFERROR($B860+$C860-$D860+$E860,0))</f>
        <v/>
      </c>
    </row>
    <row r="861">
      <c r="A861" s="36" t="n"/>
      <c r="B861" s="36" t="n"/>
      <c r="C861" s="36" t="n"/>
      <c r="D861" s="36" t="n"/>
      <c r="E861" s="36" t="n"/>
      <c r="F861" s="36" t="n"/>
      <c r="G861" s="36" t="n"/>
      <c r="H861" s="36" t="n"/>
      <c r="I861" s="37">
        <f>IF($A861="","",IFERROR($B861+$C861-$D861+$E861,0))</f>
        <v/>
      </c>
    </row>
    <row r="862">
      <c r="A862" s="36" t="n"/>
      <c r="B862" s="36" t="n"/>
      <c r="C862" s="36" t="n"/>
      <c r="D862" s="36" t="n"/>
      <c r="E862" s="36" t="n"/>
      <c r="F862" s="36" t="n"/>
      <c r="G862" s="36" t="n"/>
      <c r="H862" s="36" t="n"/>
      <c r="I862" s="37">
        <f>IF($A862="","",IFERROR($B862+$C862-$D862+$E862,0))</f>
        <v/>
      </c>
    </row>
    <row r="863">
      <c r="A863" s="36" t="n"/>
      <c r="B863" s="36" t="n"/>
      <c r="C863" s="36" t="n"/>
      <c r="D863" s="36" t="n"/>
      <c r="E863" s="36" t="n"/>
      <c r="F863" s="36" t="n"/>
      <c r="G863" s="36" t="n"/>
      <c r="H863" s="36" t="n"/>
      <c r="I863" s="37">
        <f>IF($A863="","",IFERROR($B863+$C863-$D863+$E863,0))</f>
        <v/>
      </c>
    </row>
    <row r="864">
      <c r="A864" s="36" t="n"/>
      <c r="B864" s="36" t="n"/>
      <c r="C864" s="36" t="n"/>
      <c r="D864" s="36" t="n"/>
      <c r="E864" s="36" t="n"/>
      <c r="F864" s="36" t="n"/>
      <c r="G864" s="36" t="n"/>
      <c r="H864" s="36" t="n"/>
      <c r="I864" s="37">
        <f>IF($A864="","",IFERROR($B864+$C864-$D864+$E864,0))</f>
        <v/>
      </c>
    </row>
    <row r="865">
      <c r="A865" s="36" t="n"/>
      <c r="B865" s="36" t="n"/>
      <c r="C865" s="36" t="n"/>
      <c r="D865" s="36" t="n"/>
      <c r="E865" s="36" t="n"/>
      <c r="F865" s="36" t="n"/>
      <c r="G865" s="36" t="n"/>
      <c r="H865" s="36" t="n"/>
      <c r="I865" s="37">
        <f>IF($A865="","",IFERROR($B865+$C865-$D865+$E865,0))</f>
        <v/>
      </c>
    </row>
    <row r="866">
      <c r="A866" s="36" t="n"/>
      <c r="B866" s="36" t="n"/>
      <c r="C866" s="36" t="n"/>
      <c r="D866" s="36" t="n"/>
      <c r="E866" s="36" t="n"/>
      <c r="F866" s="36" t="n"/>
      <c r="G866" s="36" t="n"/>
      <c r="H866" s="36" t="n"/>
      <c r="I866" s="37">
        <f>IF($A866="","",IFERROR($B866+$C866-$D866+$E866,0))</f>
        <v/>
      </c>
    </row>
    <row r="867">
      <c r="A867" s="36" t="n"/>
      <c r="B867" s="36" t="n"/>
      <c r="C867" s="36" t="n"/>
      <c r="D867" s="36" t="n"/>
      <c r="E867" s="36" t="n"/>
      <c r="F867" s="36" t="n"/>
      <c r="G867" s="36" t="n"/>
      <c r="H867" s="36" t="n"/>
      <c r="I867" s="37">
        <f>IF($A867="","",IFERROR($B867+$C867-$D867+$E867,0))</f>
        <v/>
      </c>
    </row>
    <row r="868">
      <c r="A868" s="36" t="n"/>
      <c r="B868" s="36" t="n"/>
      <c r="C868" s="36" t="n"/>
      <c r="D868" s="36" t="n"/>
      <c r="E868" s="36" t="n"/>
      <c r="F868" s="36" t="n"/>
      <c r="G868" s="36" t="n"/>
      <c r="H868" s="36" t="n"/>
      <c r="I868" s="37">
        <f>IF($A868="","",IFERROR($B868+$C868-$D868+$E868,0))</f>
        <v/>
      </c>
    </row>
    <row r="869">
      <c r="A869" s="36" t="n"/>
      <c r="B869" s="36" t="n"/>
      <c r="C869" s="36" t="n"/>
      <c r="D869" s="36" t="n"/>
      <c r="E869" s="36" t="n"/>
      <c r="F869" s="36" t="n"/>
      <c r="G869" s="36" t="n"/>
      <c r="H869" s="36" t="n"/>
      <c r="I869" s="37">
        <f>IF($A869="","",IFERROR($B869+$C869-$D869+$E869,0))</f>
        <v/>
      </c>
    </row>
    <row r="870">
      <c r="A870" s="36" t="n"/>
      <c r="B870" s="36" t="n"/>
      <c r="C870" s="36" t="n"/>
      <c r="D870" s="36" t="n"/>
      <c r="E870" s="36" t="n"/>
      <c r="F870" s="36" t="n"/>
      <c r="G870" s="36" t="n"/>
      <c r="H870" s="36" t="n"/>
      <c r="I870" s="37">
        <f>IF($A870="","",IFERROR($B870+$C870-$D870+$E870,0))</f>
        <v/>
      </c>
    </row>
    <row r="871">
      <c r="A871" s="36" t="n"/>
      <c r="B871" s="36" t="n"/>
      <c r="C871" s="36" t="n"/>
      <c r="D871" s="36" t="n"/>
      <c r="E871" s="36" t="n"/>
      <c r="F871" s="36" t="n"/>
      <c r="G871" s="36" t="n"/>
      <c r="H871" s="36" t="n"/>
      <c r="I871" s="37">
        <f>IF($A871="","",IFERROR($B871+$C871-$D871+$E871,0))</f>
        <v/>
      </c>
    </row>
    <row r="872">
      <c r="A872" s="36" t="n"/>
      <c r="B872" s="36" t="n"/>
      <c r="C872" s="36" t="n"/>
      <c r="D872" s="36" t="n"/>
      <c r="E872" s="36" t="n"/>
      <c r="F872" s="36" t="n"/>
      <c r="G872" s="36" t="n"/>
      <c r="H872" s="36" t="n"/>
      <c r="I872" s="37">
        <f>IF($A872="","",IFERROR($B872+$C872-$D872+$E872,0))</f>
        <v/>
      </c>
    </row>
    <row r="873">
      <c r="A873" s="36" t="n"/>
      <c r="B873" s="36" t="n"/>
      <c r="C873" s="36" t="n"/>
      <c r="D873" s="36" t="n"/>
      <c r="E873" s="36" t="n"/>
      <c r="F873" s="36" t="n"/>
      <c r="G873" s="36" t="n"/>
      <c r="H873" s="36" t="n"/>
      <c r="I873" s="37">
        <f>IF($A873="","",IFERROR($B873+$C873-$D873+$E873,0))</f>
        <v/>
      </c>
    </row>
    <row r="874">
      <c r="A874" s="36" t="n"/>
      <c r="B874" s="36" t="n"/>
      <c r="C874" s="36" t="n"/>
      <c r="D874" s="36" t="n"/>
      <c r="E874" s="36" t="n"/>
      <c r="F874" s="36" t="n"/>
      <c r="G874" s="36" t="n"/>
      <c r="H874" s="36" t="n"/>
      <c r="I874" s="37">
        <f>IF($A874="","",IFERROR($B874+$C874-$D874+$E874,0))</f>
        <v/>
      </c>
    </row>
    <row r="875">
      <c r="A875" s="36" t="n"/>
      <c r="B875" s="36" t="n"/>
      <c r="C875" s="36" t="n"/>
      <c r="D875" s="36" t="n"/>
      <c r="E875" s="36" t="n"/>
      <c r="F875" s="36" t="n"/>
      <c r="G875" s="36" t="n"/>
      <c r="H875" s="36" t="n"/>
      <c r="I875" s="37">
        <f>IF($A875="","",IFERROR($B875+$C875-$D875+$E875,0))</f>
        <v/>
      </c>
    </row>
    <row r="876">
      <c r="A876" s="36" t="n"/>
      <c r="B876" s="36" t="n"/>
      <c r="C876" s="36" t="n"/>
      <c r="D876" s="36" t="n"/>
      <c r="E876" s="36" t="n"/>
      <c r="F876" s="36" t="n"/>
      <c r="G876" s="36" t="n"/>
      <c r="H876" s="36" t="n"/>
      <c r="I876" s="37">
        <f>IF($A876="","",IFERROR($B876+$C876-$D876+$E876,0))</f>
        <v/>
      </c>
    </row>
    <row r="877">
      <c r="A877" s="36" t="n"/>
      <c r="B877" s="36" t="n"/>
      <c r="C877" s="36" t="n"/>
      <c r="D877" s="36" t="n"/>
      <c r="E877" s="36" t="n"/>
      <c r="F877" s="36" t="n"/>
      <c r="G877" s="36" t="n"/>
      <c r="H877" s="36" t="n"/>
      <c r="I877" s="37">
        <f>IF($A877="","",IFERROR($B877+$C877-$D877+$E877,0))</f>
        <v/>
      </c>
    </row>
    <row r="878">
      <c r="A878" s="36" t="n"/>
      <c r="B878" s="36" t="n"/>
      <c r="C878" s="36" t="n"/>
      <c r="D878" s="36" t="n"/>
      <c r="E878" s="36" t="n"/>
      <c r="F878" s="36" t="n"/>
      <c r="G878" s="36" t="n"/>
      <c r="H878" s="36" t="n"/>
      <c r="I878" s="37">
        <f>IF($A878="","",IFERROR($B878+$C878-$D878+$E878,0))</f>
        <v/>
      </c>
    </row>
    <row r="879">
      <c r="A879" s="36" t="n"/>
      <c r="B879" s="36" t="n"/>
      <c r="C879" s="36" t="n"/>
      <c r="D879" s="36" t="n"/>
      <c r="E879" s="36" t="n"/>
      <c r="F879" s="36" t="n"/>
      <c r="G879" s="36" t="n"/>
      <c r="H879" s="36" t="n"/>
      <c r="I879" s="37">
        <f>IF($A879="","",IFERROR($B879+$C879-$D879+$E879,0))</f>
        <v/>
      </c>
    </row>
    <row r="880">
      <c r="A880" s="36" t="n"/>
      <c r="B880" s="36" t="n"/>
      <c r="C880" s="36" t="n"/>
      <c r="D880" s="36" t="n"/>
      <c r="E880" s="36" t="n"/>
      <c r="F880" s="36" t="n"/>
      <c r="G880" s="36" t="n"/>
      <c r="H880" s="36" t="n"/>
      <c r="I880" s="37">
        <f>IF($A880="","",IFERROR($B880+$C880-$D880+$E880,0))</f>
        <v/>
      </c>
    </row>
    <row r="881">
      <c r="A881" s="36" t="n"/>
      <c r="B881" s="36" t="n"/>
      <c r="C881" s="36" t="n"/>
      <c r="D881" s="36" t="n"/>
      <c r="E881" s="36" t="n"/>
      <c r="F881" s="36" t="n"/>
      <c r="G881" s="36" t="n"/>
      <c r="H881" s="36" t="n"/>
      <c r="I881" s="37">
        <f>IF($A881="","",IFERROR($B881+$C881-$D881+$E881,0))</f>
        <v/>
      </c>
    </row>
    <row r="882">
      <c r="A882" s="36" t="n"/>
      <c r="B882" s="36" t="n"/>
      <c r="C882" s="36" t="n"/>
      <c r="D882" s="36" t="n"/>
      <c r="E882" s="36" t="n"/>
      <c r="F882" s="36" t="n"/>
      <c r="G882" s="36" t="n"/>
      <c r="H882" s="36" t="n"/>
      <c r="I882" s="37">
        <f>IF($A882="","",IFERROR($B882+$C882-$D882+$E882,0))</f>
        <v/>
      </c>
    </row>
    <row r="883">
      <c r="A883" s="36" t="n"/>
      <c r="B883" s="36" t="n"/>
      <c r="C883" s="36" t="n"/>
      <c r="D883" s="36" t="n"/>
      <c r="E883" s="36" t="n"/>
      <c r="F883" s="36" t="n"/>
      <c r="G883" s="36" t="n"/>
      <c r="H883" s="36" t="n"/>
      <c r="I883" s="37">
        <f>IF($A883="","",IFERROR($B883+$C883-$D883+$E883,0))</f>
        <v/>
      </c>
    </row>
    <row r="884">
      <c r="A884" s="36" t="n"/>
      <c r="B884" s="36" t="n"/>
      <c r="C884" s="36" t="n"/>
      <c r="D884" s="36" t="n"/>
      <c r="E884" s="36" t="n"/>
      <c r="F884" s="36" t="n"/>
      <c r="G884" s="36" t="n"/>
      <c r="H884" s="36" t="n"/>
      <c r="I884" s="37">
        <f>IF($A884="","",IFERROR($B884+$C884-$D884+$E884,0))</f>
        <v/>
      </c>
    </row>
    <row r="885">
      <c r="A885" s="36" t="n"/>
      <c r="B885" s="36" t="n"/>
      <c r="C885" s="36" t="n"/>
      <c r="D885" s="36" t="n"/>
      <c r="E885" s="36" t="n"/>
      <c r="F885" s="36" t="n"/>
      <c r="G885" s="36" t="n"/>
      <c r="H885" s="36" t="n"/>
      <c r="I885" s="37">
        <f>IF($A885="","",IFERROR($B885+$C885-$D885+$E885,0))</f>
        <v/>
      </c>
    </row>
    <row r="886">
      <c r="A886" s="36" t="n"/>
      <c r="B886" s="36" t="n"/>
      <c r="C886" s="36" t="n"/>
      <c r="D886" s="36" t="n"/>
      <c r="E886" s="36" t="n"/>
      <c r="F886" s="36" t="n"/>
      <c r="G886" s="36" t="n"/>
      <c r="H886" s="36" t="n"/>
      <c r="I886" s="37">
        <f>IF($A886="","",IFERROR($B886+$C886-$D886+$E886,0))</f>
        <v/>
      </c>
    </row>
    <row r="887">
      <c r="A887" s="36" t="n"/>
      <c r="B887" s="36" t="n"/>
      <c r="C887" s="36" t="n"/>
      <c r="D887" s="36" t="n"/>
      <c r="E887" s="36" t="n"/>
      <c r="F887" s="36" t="n"/>
      <c r="G887" s="36" t="n"/>
      <c r="H887" s="36" t="n"/>
      <c r="I887" s="37">
        <f>IF($A887="","",IFERROR($B887+$C887-$D887+$E887,0))</f>
        <v/>
      </c>
    </row>
    <row r="888">
      <c r="A888" s="36" t="n"/>
      <c r="B888" s="36" t="n"/>
      <c r="C888" s="36" t="n"/>
      <c r="D888" s="36" t="n"/>
      <c r="E888" s="36" t="n"/>
      <c r="F888" s="36" t="n"/>
      <c r="G888" s="36" t="n"/>
      <c r="H888" s="36" t="n"/>
      <c r="I888" s="37">
        <f>IF($A888="","",IFERROR($B888+$C888-$D888+$E888,0))</f>
        <v/>
      </c>
    </row>
    <row r="889">
      <c r="A889" s="36" t="n"/>
      <c r="B889" s="36" t="n"/>
      <c r="C889" s="36" t="n"/>
      <c r="D889" s="36" t="n"/>
      <c r="E889" s="36" t="n"/>
      <c r="F889" s="36" t="n"/>
      <c r="G889" s="36" t="n"/>
      <c r="H889" s="36" t="n"/>
      <c r="I889" s="37">
        <f>IF($A889="","",IFERROR($B889+$C889-$D889+$E889,0))</f>
        <v/>
      </c>
    </row>
    <row r="890">
      <c r="A890" s="36" t="n"/>
      <c r="B890" s="36" t="n"/>
      <c r="C890" s="36" t="n"/>
      <c r="D890" s="36" t="n"/>
      <c r="E890" s="36" t="n"/>
      <c r="F890" s="36" t="n"/>
      <c r="G890" s="36" t="n"/>
      <c r="H890" s="36" t="n"/>
      <c r="I890" s="37">
        <f>IF($A890="","",IFERROR($B890+$C890-$D890+$E890,0))</f>
        <v/>
      </c>
    </row>
    <row r="891">
      <c r="A891" s="36" t="n"/>
      <c r="B891" s="36" t="n"/>
      <c r="C891" s="36" t="n"/>
      <c r="D891" s="36" t="n"/>
      <c r="E891" s="36" t="n"/>
      <c r="F891" s="36" t="n"/>
      <c r="G891" s="36" t="n"/>
      <c r="H891" s="36" t="n"/>
      <c r="I891" s="37">
        <f>IF($A891="","",IFERROR($B891+$C891-$D891+$E891,0))</f>
        <v/>
      </c>
    </row>
    <row r="892">
      <c r="A892" s="36" t="n"/>
      <c r="B892" s="36" t="n"/>
      <c r="C892" s="36" t="n"/>
      <c r="D892" s="36" t="n"/>
      <c r="E892" s="36" t="n"/>
      <c r="F892" s="36" t="n"/>
      <c r="G892" s="36" t="n"/>
      <c r="H892" s="36" t="n"/>
      <c r="I892" s="37">
        <f>IF($A892="","",IFERROR($B892+$C892-$D892+$E892,0))</f>
        <v/>
      </c>
    </row>
    <row r="893">
      <c r="A893" s="36" t="n"/>
      <c r="B893" s="36" t="n"/>
      <c r="C893" s="36" t="n"/>
      <c r="D893" s="36" t="n"/>
      <c r="E893" s="36" t="n"/>
      <c r="F893" s="36" t="n"/>
      <c r="G893" s="36" t="n"/>
      <c r="H893" s="36" t="n"/>
      <c r="I893" s="37">
        <f>IF($A893="","",IFERROR($B893+$C893-$D893+$E893,0))</f>
        <v/>
      </c>
    </row>
    <row r="894">
      <c r="A894" s="36" t="n"/>
      <c r="B894" s="36" t="n"/>
      <c r="C894" s="36" t="n"/>
      <c r="D894" s="36" t="n"/>
      <c r="E894" s="36" t="n"/>
      <c r="F894" s="36" t="n"/>
      <c r="G894" s="36" t="n"/>
      <c r="H894" s="36" t="n"/>
      <c r="I894" s="37">
        <f>IF($A894="","",IFERROR($B894+$C894-$D894+$E894,0))</f>
        <v/>
      </c>
    </row>
    <row r="895">
      <c r="A895" s="36" t="n"/>
      <c r="B895" s="36" t="n"/>
      <c r="C895" s="36" t="n"/>
      <c r="D895" s="36" t="n"/>
      <c r="E895" s="36" t="n"/>
      <c r="F895" s="36" t="n"/>
      <c r="G895" s="36" t="n"/>
      <c r="H895" s="36" t="n"/>
      <c r="I895" s="37">
        <f>IF($A895="","",IFERROR($B895+$C895-$D895+$E895,0))</f>
        <v/>
      </c>
    </row>
    <row r="896">
      <c r="A896" s="36" t="n"/>
      <c r="B896" s="36" t="n"/>
      <c r="C896" s="36" t="n"/>
      <c r="D896" s="36" t="n"/>
      <c r="E896" s="36" t="n"/>
      <c r="F896" s="36" t="n"/>
      <c r="G896" s="36" t="n"/>
      <c r="H896" s="36" t="n"/>
      <c r="I896" s="37">
        <f>IF($A896="","",IFERROR($B896+$C896-$D896+$E896,0))</f>
        <v/>
      </c>
    </row>
    <row r="897">
      <c r="A897" s="36" t="n"/>
      <c r="B897" s="36" t="n"/>
      <c r="C897" s="36" t="n"/>
      <c r="D897" s="36" t="n"/>
      <c r="E897" s="36" t="n"/>
      <c r="F897" s="36" t="n"/>
      <c r="G897" s="36" t="n"/>
      <c r="H897" s="36" t="n"/>
      <c r="I897" s="37">
        <f>IF($A897="","",IFERROR($B897+$C897-$D897+$E897,0))</f>
        <v/>
      </c>
    </row>
    <row r="898">
      <c r="A898" s="36" t="n"/>
      <c r="B898" s="36" t="n"/>
      <c r="C898" s="36" t="n"/>
      <c r="D898" s="36" t="n"/>
      <c r="E898" s="36" t="n"/>
      <c r="F898" s="36" t="n"/>
      <c r="G898" s="36" t="n"/>
      <c r="H898" s="36" t="n"/>
      <c r="I898" s="37">
        <f>IF($A898="","",IFERROR($B898+$C898-$D898+$E898,0))</f>
        <v/>
      </c>
    </row>
    <row r="899">
      <c r="A899" s="36" t="n"/>
      <c r="B899" s="36" t="n"/>
      <c r="C899" s="36" t="n"/>
      <c r="D899" s="36" t="n"/>
      <c r="E899" s="36" t="n"/>
      <c r="F899" s="36" t="n"/>
      <c r="G899" s="36" t="n"/>
      <c r="H899" s="36" t="n"/>
      <c r="I899" s="37">
        <f>IF($A899="","",IFERROR($B899+$C899-$D899+$E899,0))</f>
        <v/>
      </c>
    </row>
    <row r="900">
      <c r="A900" s="36" t="n"/>
      <c r="B900" s="36" t="n"/>
      <c r="C900" s="36" t="n"/>
      <c r="D900" s="36" t="n"/>
      <c r="E900" s="36" t="n"/>
      <c r="F900" s="36" t="n"/>
      <c r="G900" s="36" t="n"/>
      <c r="H900" s="36" t="n"/>
      <c r="I900" s="37">
        <f>IF($A900="","",IFERROR($B900+$C900-$D900+$E900,0))</f>
        <v/>
      </c>
    </row>
    <row r="901">
      <c r="A901" s="36" t="n"/>
      <c r="B901" s="36" t="n"/>
      <c r="C901" s="36" t="n"/>
      <c r="D901" s="36" t="n"/>
      <c r="E901" s="36" t="n"/>
      <c r="F901" s="36" t="n"/>
      <c r="G901" s="36" t="n"/>
      <c r="H901" s="36" t="n"/>
      <c r="I901" s="37">
        <f>IF($A901="","",IFERROR($B901+$C901-$D901+$E901,0))</f>
        <v/>
      </c>
    </row>
    <row r="902">
      <c r="A902" s="36" t="n"/>
      <c r="B902" s="36" t="n"/>
      <c r="C902" s="36" t="n"/>
      <c r="D902" s="36" t="n"/>
      <c r="E902" s="36" t="n"/>
      <c r="F902" s="36" t="n"/>
      <c r="G902" s="36" t="n"/>
      <c r="H902" s="36" t="n"/>
      <c r="I902" s="37">
        <f>IF($A902="","",IFERROR($B902+$C902-$D902+$E902,0))</f>
        <v/>
      </c>
    </row>
    <row r="903">
      <c r="A903" s="36" t="n"/>
      <c r="B903" s="36" t="n"/>
      <c r="C903" s="36" t="n"/>
      <c r="D903" s="36" t="n"/>
      <c r="E903" s="36" t="n"/>
      <c r="F903" s="36" t="n"/>
      <c r="G903" s="36" t="n"/>
      <c r="H903" s="36" t="n"/>
      <c r="I903" s="37">
        <f>IF($A903="","",IFERROR($B903+$C903-$D903+$E903,0))</f>
        <v/>
      </c>
    </row>
    <row r="904">
      <c r="A904" s="36" t="n"/>
      <c r="B904" s="36" t="n"/>
      <c r="C904" s="36" t="n"/>
      <c r="D904" s="36" t="n"/>
      <c r="E904" s="36" t="n"/>
      <c r="F904" s="36" t="n"/>
      <c r="G904" s="36" t="n"/>
      <c r="H904" s="36" t="n"/>
      <c r="I904" s="37">
        <f>IF($A904="","",IFERROR($B904+$C904-$D904+$E904,0))</f>
        <v/>
      </c>
    </row>
    <row r="905">
      <c r="A905" s="36" t="n"/>
      <c r="B905" s="36" t="n"/>
      <c r="C905" s="36" t="n"/>
      <c r="D905" s="36" t="n"/>
      <c r="E905" s="36" t="n"/>
      <c r="F905" s="36" t="n"/>
      <c r="G905" s="36" t="n"/>
      <c r="H905" s="36" t="n"/>
      <c r="I905" s="37">
        <f>IF($A905="","",IFERROR($B905+$C905-$D905+$E905,0))</f>
        <v/>
      </c>
    </row>
    <row r="906">
      <c r="A906" s="36" t="n"/>
      <c r="B906" s="36" t="n"/>
      <c r="C906" s="36" t="n"/>
      <c r="D906" s="36" t="n"/>
      <c r="E906" s="36" t="n"/>
      <c r="F906" s="36" t="n"/>
      <c r="G906" s="36" t="n"/>
      <c r="H906" s="36" t="n"/>
      <c r="I906" s="37">
        <f>IF($A906="","",IFERROR($B906+$C906-$D906+$E906,0))</f>
        <v/>
      </c>
    </row>
    <row r="907">
      <c r="A907" s="36" t="n"/>
      <c r="B907" s="36" t="n"/>
      <c r="C907" s="36" t="n"/>
      <c r="D907" s="36" t="n"/>
      <c r="E907" s="36" t="n"/>
      <c r="F907" s="36" t="n"/>
      <c r="G907" s="36" t="n"/>
      <c r="H907" s="36" t="n"/>
      <c r="I907" s="37">
        <f>IF($A907="","",IFERROR($B907+$C907-$D907+$E907,0))</f>
        <v/>
      </c>
    </row>
    <row r="908">
      <c r="A908" s="36" t="n"/>
      <c r="B908" s="36" t="n"/>
      <c r="C908" s="36" t="n"/>
      <c r="D908" s="36" t="n"/>
      <c r="E908" s="36" t="n"/>
      <c r="F908" s="36" t="n"/>
      <c r="G908" s="36" t="n"/>
      <c r="H908" s="36" t="n"/>
      <c r="I908" s="37">
        <f>IF($A908="","",IFERROR($B908+$C908-$D908+$E908,0))</f>
        <v/>
      </c>
    </row>
    <row r="909">
      <c r="A909" s="36" t="n"/>
      <c r="B909" s="36" t="n"/>
      <c r="C909" s="36" t="n"/>
      <c r="D909" s="36" t="n"/>
      <c r="E909" s="36" t="n"/>
      <c r="F909" s="36" t="n"/>
      <c r="G909" s="36" t="n"/>
      <c r="H909" s="36" t="n"/>
      <c r="I909" s="37">
        <f>IF($A909="","",IFERROR($B909+$C909-$D909+$E909,0))</f>
        <v/>
      </c>
    </row>
    <row r="910">
      <c r="A910" s="36" t="n"/>
      <c r="B910" s="36" t="n"/>
      <c r="C910" s="36" t="n"/>
      <c r="D910" s="36" t="n"/>
      <c r="E910" s="36" t="n"/>
      <c r="F910" s="36" t="n"/>
      <c r="G910" s="36" t="n"/>
      <c r="H910" s="36" t="n"/>
      <c r="I910" s="37">
        <f>IF($A910="","",IFERROR($B910+$C910-$D910+$E910,0))</f>
        <v/>
      </c>
    </row>
    <row r="911">
      <c r="A911" s="36" t="n"/>
      <c r="B911" s="36" t="n"/>
      <c r="C911" s="36" t="n"/>
      <c r="D911" s="36" t="n"/>
      <c r="E911" s="36" t="n"/>
      <c r="F911" s="36" t="n"/>
      <c r="G911" s="36" t="n"/>
      <c r="H911" s="36" t="n"/>
      <c r="I911" s="37">
        <f>IF($A911="","",IFERROR($B911+$C911-$D911+$E911,0))</f>
        <v/>
      </c>
    </row>
    <row r="912">
      <c r="A912" s="36" t="n"/>
      <c r="B912" s="36" t="n"/>
      <c r="C912" s="36" t="n"/>
      <c r="D912" s="36" t="n"/>
      <c r="E912" s="36" t="n"/>
      <c r="F912" s="36" t="n"/>
      <c r="G912" s="36" t="n"/>
      <c r="H912" s="36" t="n"/>
      <c r="I912" s="37">
        <f>IF($A912="","",IFERROR($B912+$C912-$D912+$E912,0))</f>
        <v/>
      </c>
    </row>
    <row r="913">
      <c r="A913" s="36" t="n"/>
      <c r="B913" s="36" t="n"/>
      <c r="C913" s="36" t="n"/>
      <c r="D913" s="36" t="n"/>
      <c r="E913" s="36" t="n"/>
      <c r="F913" s="36" t="n"/>
      <c r="G913" s="36" t="n"/>
      <c r="H913" s="36" t="n"/>
      <c r="I913" s="37">
        <f>IF($A913="","",IFERROR($B913+$C913-$D913+$E913,0))</f>
        <v/>
      </c>
    </row>
    <row r="914">
      <c r="A914" s="36" t="n"/>
      <c r="B914" s="36" t="n"/>
      <c r="C914" s="36" t="n"/>
      <c r="D914" s="36" t="n"/>
      <c r="E914" s="36" t="n"/>
      <c r="F914" s="36" t="n"/>
      <c r="G914" s="36" t="n"/>
      <c r="H914" s="36" t="n"/>
      <c r="I914" s="37">
        <f>IF($A914="","",IFERROR($B914+$C914-$D914+$E914,0))</f>
        <v/>
      </c>
    </row>
    <row r="915">
      <c r="A915" s="36" t="n"/>
      <c r="B915" s="36" t="n"/>
      <c r="C915" s="36" t="n"/>
      <c r="D915" s="36" t="n"/>
      <c r="E915" s="36" t="n"/>
      <c r="F915" s="36" t="n"/>
      <c r="G915" s="36" t="n"/>
      <c r="H915" s="36" t="n"/>
      <c r="I915" s="37">
        <f>IF($A915="","",IFERROR($B915+$C915-$D915+$E915,0))</f>
        <v/>
      </c>
    </row>
    <row r="916">
      <c r="A916" s="36" t="n"/>
      <c r="B916" s="36" t="n"/>
      <c r="C916" s="36" t="n"/>
      <c r="D916" s="36" t="n"/>
      <c r="E916" s="36" t="n"/>
      <c r="F916" s="36" t="n"/>
      <c r="G916" s="36" t="n"/>
      <c r="H916" s="36" t="n"/>
      <c r="I916" s="37">
        <f>IF($A916="","",IFERROR($B916+$C916-$D916+$E916,0))</f>
        <v/>
      </c>
    </row>
    <row r="917">
      <c r="A917" s="36" t="n"/>
      <c r="B917" s="36" t="n"/>
      <c r="C917" s="36" t="n"/>
      <c r="D917" s="36" t="n"/>
      <c r="E917" s="36" t="n"/>
      <c r="F917" s="36" t="n"/>
      <c r="G917" s="36" t="n"/>
      <c r="H917" s="36" t="n"/>
      <c r="I917" s="37">
        <f>IF($A917="","",IFERROR($B917+$C917-$D917+$E917,0))</f>
        <v/>
      </c>
    </row>
    <row r="918">
      <c r="A918" s="36" t="n"/>
      <c r="B918" s="36" t="n"/>
      <c r="C918" s="36" t="n"/>
      <c r="D918" s="36" t="n"/>
      <c r="E918" s="36" t="n"/>
      <c r="F918" s="36" t="n"/>
      <c r="G918" s="36" t="n"/>
      <c r="H918" s="36" t="n"/>
      <c r="I918" s="37">
        <f>IF($A918="","",IFERROR($B918+$C918-$D918+$E918,0))</f>
        <v/>
      </c>
    </row>
    <row r="919">
      <c r="A919" s="36" t="n"/>
      <c r="B919" s="36" t="n"/>
      <c r="C919" s="36" t="n"/>
      <c r="D919" s="36" t="n"/>
      <c r="E919" s="36" t="n"/>
      <c r="F919" s="36" t="n"/>
      <c r="G919" s="36" t="n"/>
      <c r="H919" s="36" t="n"/>
      <c r="I919" s="37">
        <f>IF($A919="","",IFERROR($B919+$C919-$D919+$E919,0))</f>
        <v/>
      </c>
    </row>
    <row r="920">
      <c r="A920" s="36" t="n"/>
      <c r="B920" s="36" t="n"/>
      <c r="C920" s="36" t="n"/>
      <c r="D920" s="36" t="n"/>
      <c r="E920" s="36" t="n"/>
      <c r="F920" s="36" t="n"/>
      <c r="G920" s="36" t="n"/>
      <c r="H920" s="36" t="n"/>
      <c r="I920" s="37">
        <f>IF($A920="","",IFERROR($B920+$C920-$D920+$E920,0))</f>
        <v/>
      </c>
    </row>
    <row r="921">
      <c r="A921" s="36" t="n"/>
      <c r="B921" s="36" t="n"/>
      <c r="C921" s="36" t="n"/>
      <c r="D921" s="36" t="n"/>
      <c r="E921" s="36" t="n"/>
      <c r="F921" s="36" t="n"/>
      <c r="G921" s="36" t="n"/>
      <c r="H921" s="36" t="n"/>
      <c r="I921" s="37">
        <f>IF($A921="","",IFERROR($B921+$C921-$D921+$E921,0))</f>
        <v/>
      </c>
    </row>
    <row r="922">
      <c r="A922" s="36" t="n"/>
      <c r="B922" s="36" t="n"/>
      <c r="C922" s="36" t="n"/>
      <c r="D922" s="36" t="n"/>
      <c r="E922" s="36" t="n"/>
      <c r="F922" s="36" t="n"/>
      <c r="G922" s="36" t="n"/>
      <c r="H922" s="36" t="n"/>
      <c r="I922" s="37">
        <f>IF($A922="","",IFERROR($B922+$C922-$D922+$E922,0))</f>
        <v/>
      </c>
    </row>
    <row r="923">
      <c r="A923" s="36" t="n"/>
      <c r="B923" s="36" t="n"/>
      <c r="C923" s="36" t="n"/>
      <c r="D923" s="36" t="n"/>
      <c r="E923" s="36" t="n"/>
      <c r="F923" s="36" t="n"/>
      <c r="G923" s="36" t="n"/>
      <c r="H923" s="36" t="n"/>
      <c r="I923" s="37">
        <f>IF($A923="","",IFERROR($B923+$C923-$D923+$E923,0))</f>
        <v/>
      </c>
    </row>
    <row r="924">
      <c r="A924" s="36" t="n"/>
      <c r="B924" s="36" t="n"/>
      <c r="C924" s="36" t="n"/>
      <c r="D924" s="36" t="n"/>
      <c r="E924" s="36" t="n"/>
      <c r="F924" s="36" t="n"/>
      <c r="G924" s="36" t="n"/>
      <c r="H924" s="36" t="n"/>
      <c r="I924" s="37">
        <f>IF($A924="","",IFERROR($B924+$C924-$D924+$E924,0))</f>
        <v/>
      </c>
    </row>
    <row r="925">
      <c r="A925" s="36" t="n"/>
      <c r="B925" s="36" t="n"/>
      <c r="C925" s="36" t="n"/>
      <c r="D925" s="36" t="n"/>
      <c r="E925" s="36" t="n"/>
      <c r="F925" s="36" t="n"/>
      <c r="G925" s="36" t="n"/>
      <c r="H925" s="36" t="n"/>
      <c r="I925" s="37">
        <f>IF($A925="","",IFERROR($B925+$C925-$D925+$E925,0))</f>
        <v/>
      </c>
    </row>
    <row r="926">
      <c r="A926" s="36" t="n"/>
      <c r="B926" s="36" t="n"/>
      <c r="C926" s="36" t="n"/>
      <c r="D926" s="36" t="n"/>
      <c r="E926" s="36" t="n"/>
      <c r="F926" s="36" t="n"/>
      <c r="G926" s="36" t="n"/>
      <c r="H926" s="36" t="n"/>
      <c r="I926" s="37">
        <f>IF($A926="","",IFERROR($B926+$C926-$D926+$E926,0))</f>
        <v/>
      </c>
    </row>
    <row r="927">
      <c r="A927" s="36" t="n"/>
      <c r="B927" s="36" t="n"/>
      <c r="C927" s="36" t="n"/>
      <c r="D927" s="36" t="n"/>
      <c r="E927" s="36" t="n"/>
      <c r="F927" s="36" t="n"/>
      <c r="G927" s="36" t="n"/>
      <c r="H927" s="36" t="n"/>
      <c r="I927" s="37">
        <f>IF($A927="","",IFERROR($B927+$C927-$D927+$E927,0))</f>
        <v/>
      </c>
    </row>
    <row r="928">
      <c r="A928" s="36" t="n"/>
      <c r="B928" s="36" t="n"/>
      <c r="C928" s="36" t="n"/>
      <c r="D928" s="36" t="n"/>
      <c r="E928" s="36" t="n"/>
      <c r="F928" s="36" t="n"/>
      <c r="G928" s="36" t="n"/>
      <c r="H928" s="36" t="n"/>
      <c r="I928" s="37">
        <f>IF($A928="","",IFERROR($B928+$C928-$D928+$E928,0))</f>
        <v/>
      </c>
    </row>
    <row r="929">
      <c r="A929" s="36" t="n"/>
      <c r="B929" s="36" t="n"/>
      <c r="C929" s="36" t="n"/>
      <c r="D929" s="36" t="n"/>
      <c r="E929" s="36" t="n"/>
      <c r="F929" s="36" t="n"/>
      <c r="G929" s="36" t="n"/>
      <c r="H929" s="36" t="n"/>
      <c r="I929" s="37">
        <f>IF($A929="","",IFERROR($B929+$C929-$D929+$E929,0))</f>
        <v/>
      </c>
    </row>
    <row r="930">
      <c r="A930" s="36" t="n"/>
      <c r="B930" s="36" t="n"/>
      <c r="C930" s="36" t="n"/>
      <c r="D930" s="36" t="n"/>
      <c r="E930" s="36" t="n"/>
      <c r="F930" s="36" t="n"/>
      <c r="G930" s="36" t="n"/>
      <c r="H930" s="36" t="n"/>
      <c r="I930" s="37">
        <f>IF($A930="","",IFERROR($B930+$C930-$D930+$E930,0))</f>
        <v/>
      </c>
    </row>
    <row r="931">
      <c r="A931" s="36" t="n"/>
      <c r="B931" s="36" t="n"/>
      <c r="C931" s="36" t="n"/>
      <c r="D931" s="36" t="n"/>
      <c r="E931" s="36" t="n"/>
      <c r="F931" s="36" t="n"/>
      <c r="G931" s="36" t="n"/>
      <c r="H931" s="36" t="n"/>
      <c r="I931" s="37">
        <f>IF($A931="","",IFERROR($B931+$C931-$D931+$E931,0))</f>
        <v/>
      </c>
    </row>
    <row r="932">
      <c r="A932" s="36" t="n"/>
      <c r="B932" s="36" t="n"/>
      <c r="C932" s="36" t="n"/>
      <c r="D932" s="36" t="n"/>
      <c r="E932" s="36" t="n"/>
      <c r="F932" s="36" t="n"/>
      <c r="G932" s="36" t="n"/>
      <c r="H932" s="36" t="n"/>
      <c r="I932" s="37">
        <f>IF($A932="","",IFERROR($B932+$C932-$D932+$E932,0))</f>
        <v/>
      </c>
    </row>
    <row r="933">
      <c r="A933" s="36" t="n"/>
      <c r="B933" s="36" t="n"/>
      <c r="C933" s="36" t="n"/>
      <c r="D933" s="36" t="n"/>
      <c r="E933" s="36" t="n"/>
      <c r="F933" s="36" t="n"/>
      <c r="G933" s="36" t="n"/>
      <c r="H933" s="36" t="n"/>
      <c r="I933" s="37">
        <f>IF($A933="","",IFERROR($B933+$C933-$D933+$E933,0))</f>
        <v/>
      </c>
    </row>
    <row r="934">
      <c r="A934" s="36" t="n"/>
      <c r="B934" s="36" t="n"/>
      <c r="C934" s="36" t="n"/>
      <c r="D934" s="36" t="n"/>
      <c r="E934" s="36" t="n"/>
      <c r="F934" s="36" t="n"/>
      <c r="G934" s="36" t="n"/>
      <c r="H934" s="36" t="n"/>
      <c r="I934" s="37">
        <f>IF($A934="","",IFERROR($B934+$C934-$D934+$E934,0))</f>
        <v/>
      </c>
    </row>
    <row r="935">
      <c r="A935" s="36" t="n"/>
      <c r="B935" s="36" t="n"/>
      <c r="C935" s="36" t="n"/>
      <c r="D935" s="36" t="n"/>
      <c r="E935" s="36" t="n"/>
      <c r="F935" s="36" t="n"/>
      <c r="G935" s="36" t="n"/>
      <c r="H935" s="36" t="n"/>
      <c r="I935" s="37">
        <f>IF($A935="","",IFERROR($B935+$C935-$D935+$E935,0))</f>
        <v/>
      </c>
    </row>
    <row r="936">
      <c r="A936" s="36" t="n"/>
      <c r="B936" s="36" t="n"/>
      <c r="C936" s="36" t="n"/>
      <c r="D936" s="36" t="n"/>
      <c r="E936" s="36" t="n"/>
      <c r="F936" s="36" t="n"/>
      <c r="G936" s="36" t="n"/>
      <c r="H936" s="36" t="n"/>
      <c r="I936" s="37">
        <f>IF($A936="","",IFERROR($B936+$C936-$D936+$E936,0))</f>
        <v/>
      </c>
    </row>
    <row r="937">
      <c r="A937" s="36" t="n"/>
      <c r="B937" s="36" t="n"/>
      <c r="C937" s="36" t="n"/>
      <c r="D937" s="36" t="n"/>
      <c r="E937" s="36" t="n"/>
      <c r="F937" s="36" t="n"/>
      <c r="G937" s="36" t="n"/>
      <c r="H937" s="36" t="n"/>
      <c r="I937" s="37">
        <f>IF($A937="","",IFERROR($B937+$C937-$D937+$E937,0))</f>
        <v/>
      </c>
    </row>
    <row r="938">
      <c r="A938" s="36" t="n"/>
      <c r="B938" s="36" t="n"/>
      <c r="C938" s="36" t="n"/>
      <c r="D938" s="36" t="n"/>
      <c r="E938" s="36" t="n"/>
      <c r="F938" s="36" t="n"/>
      <c r="G938" s="36" t="n"/>
      <c r="H938" s="36" t="n"/>
      <c r="I938" s="37">
        <f>IF($A938="","",IFERROR($B938+$C938-$D938+$E938,0))</f>
        <v/>
      </c>
    </row>
    <row r="939">
      <c r="A939" s="36" t="n"/>
      <c r="B939" s="36" t="n"/>
      <c r="C939" s="36" t="n"/>
      <c r="D939" s="36" t="n"/>
      <c r="E939" s="36" t="n"/>
      <c r="F939" s="36" t="n"/>
      <c r="G939" s="36" t="n"/>
      <c r="H939" s="36" t="n"/>
      <c r="I939" s="37">
        <f>IF($A939="","",IFERROR($B939+$C939-$D939+$E939,0))</f>
        <v/>
      </c>
    </row>
    <row r="940">
      <c r="A940" s="36" t="n"/>
      <c r="B940" s="36" t="n"/>
      <c r="C940" s="36" t="n"/>
      <c r="D940" s="36" t="n"/>
      <c r="E940" s="36" t="n"/>
      <c r="F940" s="36" t="n"/>
      <c r="G940" s="36" t="n"/>
      <c r="H940" s="36" t="n"/>
      <c r="I940" s="37">
        <f>IF($A940="","",IFERROR($B940+$C940-$D940+$E940,0))</f>
        <v/>
      </c>
    </row>
    <row r="941">
      <c r="A941" s="36" t="n"/>
      <c r="B941" s="36" t="n"/>
      <c r="C941" s="36" t="n"/>
      <c r="D941" s="36" t="n"/>
      <c r="E941" s="36" t="n"/>
      <c r="F941" s="36" t="n"/>
      <c r="G941" s="36" t="n"/>
      <c r="H941" s="36" t="n"/>
      <c r="I941" s="37">
        <f>IF($A941="","",IFERROR($B941+$C941-$D941+$E941,0))</f>
        <v/>
      </c>
    </row>
    <row r="942">
      <c r="A942" s="36" t="n"/>
      <c r="B942" s="36" t="n"/>
      <c r="C942" s="36" t="n"/>
      <c r="D942" s="36" t="n"/>
      <c r="E942" s="36" t="n"/>
      <c r="F942" s="36" t="n"/>
      <c r="G942" s="36" t="n"/>
      <c r="H942" s="36" t="n"/>
      <c r="I942" s="37">
        <f>IF($A942="","",IFERROR($B942+$C942-$D942+$E942,0))</f>
        <v/>
      </c>
    </row>
    <row r="943">
      <c r="A943" s="36" t="n"/>
      <c r="B943" s="36" t="n"/>
      <c r="C943" s="36" t="n"/>
      <c r="D943" s="36" t="n"/>
      <c r="E943" s="36" t="n"/>
      <c r="F943" s="36" t="n"/>
      <c r="G943" s="36" t="n"/>
      <c r="H943" s="36" t="n"/>
      <c r="I943" s="37">
        <f>IF($A943="","",IFERROR($B943+$C943-$D943+$E943,0))</f>
        <v/>
      </c>
    </row>
    <row r="944">
      <c r="A944" s="36" t="n"/>
      <c r="B944" s="36" t="n"/>
      <c r="C944" s="36" t="n"/>
      <c r="D944" s="36" t="n"/>
      <c r="E944" s="36" t="n"/>
      <c r="F944" s="36" t="n"/>
      <c r="G944" s="36" t="n"/>
      <c r="H944" s="36" t="n"/>
      <c r="I944" s="37">
        <f>IF($A944="","",IFERROR($B944+$C944-$D944+$E944,0))</f>
        <v/>
      </c>
    </row>
    <row r="945">
      <c r="A945" s="36" t="n"/>
      <c r="B945" s="36" t="n"/>
      <c r="C945" s="36" t="n"/>
      <c r="D945" s="36" t="n"/>
      <c r="E945" s="36" t="n"/>
      <c r="F945" s="36" t="n"/>
      <c r="G945" s="36" t="n"/>
      <c r="H945" s="36" t="n"/>
      <c r="I945" s="37">
        <f>IF($A945="","",IFERROR($B945+$C945-$D945+$E945,0))</f>
        <v/>
      </c>
    </row>
    <row r="946">
      <c r="A946" s="36" t="n"/>
      <c r="B946" s="36" t="n"/>
      <c r="C946" s="36" t="n"/>
      <c r="D946" s="36" t="n"/>
      <c r="E946" s="36" t="n"/>
      <c r="F946" s="36" t="n"/>
      <c r="G946" s="36" t="n"/>
      <c r="H946" s="36" t="n"/>
      <c r="I946" s="37">
        <f>IF($A946="","",IFERROR($B946+$C946-$D946+$E946,0))</f>
        <v/>
      </c>
    </row>
    <row r="947">
      <c r="A947" s="36" t="n"/>
      <c r="B947" s="36" t="n"/>
      <c r="C947" s="36" t="n"/>
      <c r="D947" s="36" t="n"/>
      <c r="E947" s="36" t="n"/>
      <c r="F947" s="36" t="n"/>
      <c r="G947" s="36" t="n"/>
      <c r="H947" s="36" t="n"/>
      <c r="I947" s="37">
        <f>IF($A947="","",IFERROR($B947+$C947-$D947+$E947,0))</f>
        <v/>
      </c>
    </row>
    <row r="948">
      <c r="A948" s="36" t="n"/>
      <c r="B948" s="36" t="n"/>
      <c r="C948" s="36" t="n"/>
      <c r="D948" s="36" t="n"/>
      <c r="E948" s="36" t="n"/>
      <c r="F948" s="36" t="n"/>
      <c r="G948" s="36" t="n"/>
      <c r="H948" s="36" t="n"/>
      <c r="I948" s="37">
        <f>IF($A948="","",IFERROR($B948+$C948-$D948+$E948,0))</f>
        <v/>
      </c>
    </row>
    <row r="949">
      <c r="A949" s="36" t="n"/>
      <c r="B949" s="36" t="n"/>
      <c r="C949" s="36" t="n"/>
      <c r="D949" s="36" t="n"/>
      <c r="E949" s="36" t="n"/>
      <c r="F949" s="36" t="n"/>
      <c r="G949" s="36" t="n"/>
      <c r="H949" s="36" t="n"/>
      <c r="I949" s="37">
        <f>IF($A949="","",IFERROR($B949+$C949-$D949+$E949,0))</f>
        <v/>
      </c>
    </row>
    <row r="950">
      <c r="A950" s="36" t="n"/>
      <c r="B950" s="36" t="n"/>
      <c r="C950" s="36" t="n"/>
      <c r="D950" s="36" t="n"/>
      <c r="E950" s="36" t="n"/>
      <c r="F950" s="36" t="n"/>
      <c r="G950" s="36" t="n"/>
      <c r="H950" s="36" t="n"/>
      <c r="I950" s="37">
        <f>IF($A950="","",IFERROR($B950+$C950-$D950+$E950,0))</f>
        <v/>
      </c>
    </row>
    <row r="951">
      <c r="A951" s="36" t="n"/>
      <c r="B951" s="36" t="n"/>
      <c r="C951" s="36" t="n"/>
      <c r="D951" s="36" t="n"/>
      <c r="E951" s="36" t="n"/>
      <c r="F951" s="36" t="n"/>
      <c r="G951" s="36" t="n"/>
      <c r="H951" s="36" t="n"/>
      <c r="I951" s="37">
        <f>IF($A951="","",IFERROR($B951+$C951-$D951+$E951,0))</f>
        <v/>
      </c>
    </row>
    <row r="952">
      <c r="A952" s="36" t="n"/>
      <c r="B952" s="36" t="n"/>
      <c r="C952" s="36" t="n"/>
      <c r="D952" s="36" t="n"/>
      <c r="E952" s="36" t="n"/>
      <c r="F952" s="36" t="n"/>
      <c r="G952" s="36" t="n"/>
      <c r="H952" s="36" t="n"/>
      <c r="I952" s="37">
        <f>IF($A952="","",IFERROR($B952+$C952-$D952+$E952,0))</f>
        <v/>
      </c>
    </row>
    <row r="953">
      <c r="A953" s="36" t="n"/>
      <c r="B953" s="36" t="n"/>
      <c r="C953" s="36" t="n"/>
      <c r="D953" s="36" t="n"/>
      <c r="E953" s="36" t="n"/>
      <c r="F953" s="36" t="n"/>
      <c r="G953" s="36" t="n"/>
      <c r="H953" s="36" t="n"/>
      <c r="I953" s="37">
        <f>IF($A953="","",IFERROR($B953+$C953-$D953+$E953,0))</f>
        <v/>
      </c>
    </row>
    <row r="954">
      <c r="A954" s="36" t="n"/>
      <c r="B954" s="36" t="n"/>
      <c r="C954" s="36" t="n"/>
      <c r="D954" s="36" t="n"/>
      <c r="E954" s="36" t="n"/>
      <c r="F954" s="36" t="n"/>
      <c r="G954" s="36" t="n"/>
      <c r="H954" s="36" t="n"/>
      <c r="I954" s="37">
        <f>IF($A954="","",IFERROR($B954+$C954-$D954+$E954,0))</f>
        <v/>
      </c>
    </row>
    <row r="955">
      <c r="A955" s="36" t="n"/>
      <c r="B955" s="36" t="n"/>
      <c r="C955" s="36" t="n"/>
      <c r="D955" s="36" t="n"/>
      <c r="E955" s="36" t="n"/>
      <c r="F955" s="36" t="n"/>
      <c r="G955" s="36" t="n"/>
      <c r="H955" s="36" t="n"/>
      <c r="I955" s="37">
        <f>IF($A955="","",IFERROR($B955+$C955-$D955+$E955,0))</f>
        <v/>
      </c>
    </row>
    <row r="956">
      <c r="A956" s="36" t="n"/>
      <c r="B956" s="36" t="n"/>
      <c r="C956" s="36" t="n"/>
      <c r="D956" s="36" t="n"/>
      <c r="E956" s="36" t="n"/>
      <c r="F956" s="36" t="n"/>
      <c r="G956" s="36" t="n"/>
      <c r="H956" s="36" t="n"/>
      <c r="I956" s="37">
        <f>IF($A956="","",IFERROR($B956+$C956-$D956+$E956,0))</f>
        <v/>
      </c>
    </row>
    <row r="957">
      <c r="A957" s="36" t="n"/>
      <c r="B957" s="36" t="n"/>
      <c r="C957" s="36" t="n"/>
      <c r="D957" s="36" t="n"/>
      <c r="E957" s="36" t="n"/>
      <c r="F957" s="36" t="n"/>
      <c r="G957" s="36" t="n"/>
      <c r="H957" s="36" t="n"/>
      <c r="I957" s="37">
        <f>IF($A957="","",IFERROR($B957+$C957-$D957+$E957,0))</f>
        <v/>
      </c>
    </row>
    <row r="958">
      <c r="A958" s="36" t="n"/>
      <c r="B958" s="36" t="n"/>
      <c r="C958" s="36" t="n"/>
      <c r="D958" s="36" t="n"/>
      <c r="E958" s="36" t="n"/>
      <c r="F958" s="36" t="n"/>
      <c r="G958" s="36" t="n"/>
      <c r="H958" s="36" t="n"/>
      <c r="I958" s="37">
        <f>IF($A958="","",IFERROR($B958+$C958-$D958+$E958,0))</f>
        <v/>
      </c>
    </row>
    <row r="959">
      <c r="A959" s="36" t="n"/>
      <c r="B959" s="36" t="n"/>
      <c r="C959" s="36" t="n"/>
      <c r="D959" s="36" t="n"/>
      <c r="E959" s="36" t="n"/>
      <c r="F959" s="36" t="n"/>
      <c r="G959" s="36" t="n"/>
      <c r="H959" s="36" t="n"/>
      <c r="I959" s="37">
        <f>IF($A959="","",IFERROR($B959+$C959-$D959+$E959,0))</f>
        <v/>
      </c>
    </row>
    <row r="960">
      <c r="A960" s="36" t="n"/>
      <c r="B960" s="36" t="n"/>
      <c r="C960" s="36" t="n"/>
      <c r="D960" s="36" t="n"/>
      <c r="E960" s="36" t="n"/>
      <c r="F960" s="36" t="n"/>
      <c r="G960" s="36" t="n"/>
      <c r="H960" s="36" t="n"/>
      <c r="I960" s="37">
        <f>IF($A960="","",IFERROR($B960+$C960-$D960+$E960,0))</f>
        <v/>
      </c>
    </row>
    <row r="961">
      <c r="A961" s="36" t="n"/>
      <c r="B961" s="36" t="n"/>
      <c r="C961" s="36" t="n"/>
      <c r="D961" s="36" t="n"/>
      <c r="E961" s="36" t="n"/>
      <c r="F961" s="36" t="n"/>
      <c r="G961" s="36" t="n"/>
      <c r="H961" s="36" t="n"/>
      <c r="I961" s="37">
        <f>IF($A961="","",IFERROR($B961+$C961-$D961+$E961,0))</f>
        <v/>
      </c>
    </row>
    <row r="962">
      <c r="A962" s="36" t="n"/>
      <c r="B962" s="36" t="n"/>
      <c r="C962" s="36" t="n"/>
      <c r="D962" s="36" t="n"/>
      <c r="E962" s="36" t="n"/>
      <c r="F962" s="36" t="n"/>
      <c r="G962" s="36" t="n"/>
      <c r="H962" s="36" t="n"/>
      <c r="I962" s="37">
        <f>IF($A962="","",IFERROR($B962+$C962-$D962+$E962,0))</f>
        <v/>
      </c>
    </row>
    <row r="963">
      <c r="A963" s="36" t="n"/>
      <c r="B963" s="36" t="n"/>
      <c r="C963" s="36" t="n"/>
      <c r="D963" s="36" t="n"/>
      <c r="E963" s="36" t="n"/>
      <c r="F963" s="36" t="n"/>
      <c r="G963" s="36" t="n"/>
      <c r="H963" s="36" t="n"/>
      <c r="I963" s="37">
        <f>IF($A963="","",IFERROR($B963+$C963-$D963+$E963,0))</f>
        <v/>
      </c>
    </row>
    <row r="964">
      <c r="A964" s="36" t="n"/>
      <c r="B964" s="36" t="n"/>
      <c r="C964" s="36" t="n"/>
      <c r="D964" s="36" t="n"/>
      <c r="E964" s="36" t="n"/>
      <c r="F964" s="36" t="n"/>
      <c r="G964" s="36" t="n"/>
      <c r="H964" s="36" t="n"/>
      <c r="I964" s="37">
        <f>IF($A964="","",IFERROR($B964+$C964-$D964+$E964,0))</f>
        <v/>
      </c>
    </row>
    <row r="965">
      <c r="A965" s="36" t="n"/>
      <c r="B965" s="36" t="n"/>
      <c r="C965" s="36" t="n"/>
      <c r="D965" s="36" t="n"/>
      <c r="E965" s="36" t="n"/>
      <c r="F965" s="36" t="n"/>
      <c r="G965" s="36" t="n"/>
      <c r="H965" s="36" t="n"/>
      <c r="I965" s="37">
        <f>IF($A965="","",IFERROR($B965+$C965-$D965+$E965,0))</f>
        <v/>
      </c>
    </row>
    <row r="966">
      <c r="A966" s="36" t="n"/>
      <c r="B966" s="36" t="n"/>
      <c r="C966" s="36" t="n"/>
      <c r="D966" s="36" t="n"/>
      <c r="E966" s="36" t="n"/>
      <c r="F966" s="36" t="n"/>
      <c r="G966" s="36" t="n"/>
      <c r="H966" s="36" t="n"/>
      <c r="I966" s="37">
        <f>IF($A966="","",IFERROR($B966+$C966-$D966+$E966,0))</f>
        <v/>
      </c>
    </row>
    <row r="967">
      <c r="A967" s="36" t="n"/>
      <c r="B967" s="36" t="n"/>
      <c r="C967" s="36" t="n"/>
      <c r="D967" s="36" t="n"/>
      <c r="E967" s="36" t="n"/>
      <c r="F967" s="36" t="n"/>
      <c r="G967" s="36" t="n"/>
      <c r="H967" s="36" t="n"/>
      <c r="I967" s="37">
        <f>IF($A967="","",IFERROR($B967+$C967-$D967+$E967,0))</f>
        <v/>
      </c>
    </row>
    <row r="968">
      <c r="A968" s="36" t="n"/>
      <c r="B968" s="36" t="n"/>
      <c r="C968" s="36" t="n"/>
      <c r="D968" s="36" t="n"/>
      <c r="E968" s="36" t="n"/>
      <c r="F968" s="36" t="n"/>
      <c r="G968" s="36" t="n"/>
      <c r="H968" s="36" t="n"/>
      <c r="I968" s="37">
        <f>IF($A968="","",IFERROR($B968+$C968-$D968+$E968,0))</f>
        <v/>
      </c>
    </row>
    <row r="969">
      <c r="A969" s="36" t="n"/>
      <c r="B969" s="36" t="n"/>
      <c r="C969" s="36" t="n"/>
      <c r="D969" s="36" t="n"/>
      <c r="E969" s="36" t="n"/>
      <c r="F969" s="36" t="n"/>
      <c r="G969" s="36" t="n"/>
      <c r="H969" s="36" t="n"/>
      <c r="I969" s="37">
        <f>IF($A969="","",IFERROR($B969+$C969-$D969+$E969,0))</f>
        <v/>
      </c>
    </row>
    <row r="970">
      <c r="A970" s="36" t="n"/>
      <c r="B970" s="36" t="n"/>
      <c r="C970" s="36" t="n"/>
      <c r="D970" s="36" t="n"/>
      <c r="E970" s="36" t="n"/>
      <c r="F970" s="36" t="n"/>
      <c r="G970" s="36" t="n"/>
      <c r="H970" s="36" t="n"/>
      <c r="I970" s="37">
        <f>IF($A970="","",IFERROR($B970+$C970-$D970+$E970,0))</f>
        <v/>
      </c>
    </row>
    <row r="971">
      <c r="A971" s="36" t="n"/>
      <c r="B971" s="36" t="n"/>
      <c r="C971" s="36" t="n"/>
      <c r="D971" s="36" t="n"/>
      <c r="E971" s="36" t="n"/>
      <c r="F971" s="36" t="n"/>
      <c r="G971" s="36" t="n"/>
      <c r="H971" s="36" t="n"/>
      <c r="I971" s="37">
        <f>IF($A971="","",IFERROR($B971+$C971-$D971+$E971,0))</f>
        <v/>
      </c>
    </row>
    <row r="972">
      <c r="A972" s="36" t="n"/>
      <c r="B972" s="36" t="n"/>
      <c r="C972" s="36" t="n"/>
      <c r="D972" s="36" t="n"/>
      <c r="E972" s="36" t="n"/>
      <c r="F972" s="36" t="n"/>
      <c r="G972" s="36" t="n"/>
      <c r="H972" s="36" t="n"/>
      <c r="I972" s="37">
        <f>IF($A972="","",IFERROR($B972+$C972-$D972+$E972,0))</f>
        <v/>
      </c>
    </row>
    <row r="973">
      <c r="A973" s="36" t="n"/>
      <c r="B973" s="36" t="n"/>
      <c r="C973" s="36" t="n"/>
      <c r="D973" s="36" t="n"/>
      <c r="E973" s="36" t="n"/>
      <c r="F973" s="36" t="n"/>
      <c r="G973" s="36" t="n"/>
      <c r="H973" s="36" t="n"/>
      <c r="I973" s="37">
        <f>IF($A973="","",IFERROR($B973+$C973-$D973+$E973,0))</f>
        <v/>
      </c>
    </row>
    <row r="974">
      <c r="A974" s="36" t="n"/>
      <c r="B974" s="36" t="n"/>
      <c r="C974" s="36" t="n"/>
      <c r="D974" s="36" t="n"/>
      <c r="E974" s="36" t="n"/>
      <c r="F974" s="36" t="n"/>
      <c r="G974" s="36" t="n"/>
      <c r="H974" s="36" t="n"/>
      <c r="I974" s="37">
        <f>IF($A974="","",IFERROR($B974+$C974-$D974+$E974,0))</f>
        <v/>
      </c>
    </row>
    <row r="975">
      <c r="A975" s="36" t="n"/>
      <c r="B975" s="36" t="n"/>
      <c r="C975" s="36" t="n"/>
      <c r="D975" s="36" t="n"/>
      <c r="E975" s="36" t="n"/>
      <c r="F975" s="36" t="n"/>
      <c r="G975" s="36" t="n"/>
      <c r="H975" s="36" t="n"/>
      <c r="I975" s="37">
        <f>IF($A975="","",IFERROR($B975+$C975-$D975+$E975,0))</f>
        <v/>
      </c>
    </row>
    <row r="976">
      <c r="A976" s="36" t="n"/>
      <c r="B976" s="36" t="n"/>
      <c r="C976" s="36" t="n"/>
      <c r="D976" s="36" t="n"/>
      <c r="E976" s="36" t="n"/>
      <c r="F976" s="36" t="n"/>
      <c r="G976" s="36" t="n"/>
      <c r="H976" s="36" t="n"/>
      <c r="I976" s="37">
        <f>IF($A976="","",IFERROR($B976+$C976-$D976+$E976,0))</f>
        <v/>
      </c>
    </row>
    <row r="977">
      <c r="A977" s="36" t="n"/>
      <c r="B977" s="36" t="n"/>
      <c r="C977" s="36" t="n"/>
      <c r="D977" s="36" t="n"/>
      <c r="E977" s="36" t="n"/>
      <c r="F977" s="36" t="n"/>
      <c r="G977" s="36" t="n"/>
      <c r="H977" s="36" t="n"/>
      <c r="I977" s="37">
        <f>IF($A977="","",IFERROR($B977+$C977-$D977+$E977,0))</f>
        <v/>
      </c>
    </row>
    <row r="978">
      <c r="A978" s="36" t="n"/>
      <c r="B978" s="36" t="n"/>
      <c r="C978" s="36" t="n"/>
      <c r="D978" s="36" t="n"/>
      <c r="E978" s="36" t="n"/>
      <c r="F978" s="36" t="n"/>
      <c r="G978" s="36" t="n"/>
      <c r="H978" s="36" t="n"/>
      <c r="I978" s="37">
        <f>IF($A978="","",IFERROR($B978+$C978-$D978+$E978,0))</f>
        <v/>
      </c>
    </row>
    <row r="979">
      <c r="A979" s="36" t="n"/>
      <c r="B979" s="36" t="n"/>
      <c r="C979" s="36" t="n"/>
      <c r="D979" s="36" t="n"/>
      <c r="E979" s="36" t="n"/>
      <c r="F979" s="36" t="n"/>
      <c r="G979" s="36" t="n"/>
      <c r="H979" s="36" t="n"/>
      <c r="I979" s="37">
        <f>IF($A979="","",IFERROR($B979+$C979-$D979+$E979,0))</f>
        <v/>
      </c>
    </row>
    <row r="980">
      <c r="A980" s="36" t="n"/>
      <c r="B980" s="36" t="n"/>
      <c r="C980" s="36" t="n"/>
      <c r="D980" s="36" t="n"/>
      <c r="E980" s="36" t="n"/>
      <c r="F980" s="36" t="n"/>
      <c r="G980" s="36" t="n"/>
      <c r="H980" s="36" t="n"/>
      <c r="I980" s="37">
        <f>IF($A980="","",IFERROR($B980+$C980-$D980+$E980,0))</f>
        <v/>
      </c>
    </row>
    <row r="981">
      <c r="A981" s="36" t="n"/>
      <c r="B981" s="36" t="n"/>
      <c r="C981" s="36" t="n"/>
      <c r="D981" s="36" t="n"/>
      <c r="E981" s="36" t="n"/>
      <c r="F981" s="36" t="n"/>
      <c r="G981" s="36" t="n"/>
      <c r="H981" s="36" t="n"/>
      <c r="I981" s="37">
        <f>IF($A981="","",IFERROR($B981+$C981-$D981+$E981,0))</f>
        <v/>
      </c>
    </row>
    <row r="982">
      <c r="A982" s="36" t="n"/>
      <c r="B982" s="36" t="n"/>
      <c r="C982" s="36" t="n"/>
      <c r="D982" s="36" t="n"/>
      <c r="E982" s="36" t="n"/>
      <c r="F982" s="36" t="n"/>
      <c r="G982" s="36" t="n"/>
      <c r="H982" s="36" t="n"/>
      <c r="I982" s="37">
        <f>IF($A982="","",IFERROR($B982+$C982-$D982+$E982,0))</f>
        <v/>
      </c>
    </row>
    <row r="983">
      <c r="A983" s="36" t="n"/>
      <c r="B983" s="36" t="n"/>
      <c r="C983" s="36" t="n"/>
      <c r="D983" s="36" t="n"/>
      <c r="E983" s="36" t="n"/>
      <c r="F983" s="36" t="n"/>
      <c r="G983" s="36" t="n"/>
      <c r="H983" s="36" t="n"/>
      <c r="I983" s="37">
        <f>IF($A983="","",IFERROR($B983+$C983-$D983+$E983,0))</f>
        <v/>
      </c>
    </row>
    <row r="984">
      <c r="A984" s="36" t="n"/>
      <c r="B984" s="36" t="n"/>
      <c r="C984" s="36" t="n"/>
      <c r="D984" s="36" t="n"/>
      <c r="E984" s="36" t="n"/>
      <c r="F984" s="36" t="n"/>
      <c r="G984" s="36" t="n"/>
      <c r="H984" s="36" t="n"/>
      <c r="I984" s="37">
        <f>IF($A984="","",IFERROR($B984+$C984-$D984+$E984,0))</f>
        <v/>
      </c>
    </row>
    <row r="985">
      <c r="A985" s="36" t="n"/>
      <c r="B985" s="36" t="n"/>
      <c r="C985" s="36" t="n"/>
      <c r="D985" s="36" t="n"/>
      <c r="E985" s="36" t="n"/>
      <c r="F985" s="36" t="n"/>
      <c r="G985" s="36" t="n"/>
      <c r="H985" s="36" t="n"/>
      <c r="I985" s="37">
        <f>IF($A985="","",IFERROR($B985+$C985-$D985+$E985,0))</f>
        <v/>
      </c>
    </row>
    <row r="986">
      <c r="A986" s="36" t="n"/>
      <c r="B986" s="36" t="n"/>
      <c r="C986" s="36" t="n"/>
      <c r="D986" s="36" t="n"/>
      <c r="E986" s="36" t="n"/>
      <c r="F986" s="36" t="n"/>
      <c r="G986" s="36" t="n"/>
      <c r="H986" s="36" t="n"/>
      <c r="I986" s="37">
        <f>IF($A986="","",IFERROR($B986+$C986-$D986+$E986,0))</f>
        <v/>
      </c>
    </row>
    <row r="987">
      <c r="A987" s="36" t="n"/>
      <c r="B987" s="36" t="n"/>
      <c r="C987" s="36" t="n"/>
      <c r="D987" s="36" t="n"/>
      <c r="E987" s="36" t="n"/>
      <c r="F987" s="36" t="n"/>
      <c r="G987" s="36" t="n"/>
      <c r="H987" s="36" t="n"/>
      <c r="I987" s="37">
        <f>IF($A987="","",IFERROR($B987+$C987-$D987+$E987,0))</f>
        <v/>
      </c>
    </row>
    <row r="988">
      <c r="A988" s="36" t="n"/>
      <c r="B988" s="36" t="n"/>
      <c r="C988" s="36" t="n"/>
      <c r="D988" s="36" t="n"/>
      <c r="E988" s="36" t="n"/>
      <c r="F988" s="36" t="n"/>
      <c r="G988" s="36" t="n"/>
      <c r="H988" s="36" t="n"/>
      <c r="I988" s="37">
        <f>IF($A988="","",IFERROR($B988+$C988-$D988+$E988,0))</f>
        <v/>
      </c>
    </row>
    <row r="989">
      <c r="A989" s="36" t="n"/>
      <c r="B989" s="36" t="n"/>
      <c r="C989" s="36" t="n"/>
      <c r="D989" s="36" t="n"/>
      <c r="E989" s="36" t="n"/>
      <c r="F989" s="36" t="n"/>
      <c r="G989" s="36" t="n"/>
      <c r="H989" s="36" t="n"/>
      <c r="I989" s="37">
        <f>IF($A989="","",IFERROR($B989+$C989-$D989+$E989,0))</f>
        <v/>
      </c>
    </row>
    <row r="990">
      <c r="A990" s="36" t="n"/>
      <c r="B990" s="36" t="n"/>
      <c r="C990" s="36" t="n"/>
      <c r="D990" s="36" t="n"/>
      <c r="E990" s="36" t="n"/>
      <c r="F990" s="36" t="n"/>
      <c r="G990" s="36" t="n"/>
      <c r="H990" s="36" t="n"/>
      <c r="I990" s="37">
        <f>IF($A990="","",IFERROR($B990+$C990-$D990+$E990,0))</f>
        <v/>
      </c>
    </row>
    <row r="991">
      <c r="A991" s="36" t="n"/>
      <c r="B991" s="36" t="n"/>
      <c r="C991" s="36" t="n"/>
      <c r="D991" s="36" t="n"/>
      <c r="E991" s="36" t="n"/>
      <c r="F991" s="36" t="n"/>
      <c r="G991" s="36" t="n"/>
      <c r="H991" s="36" t="n"/>
      <c r="I991" s="37">
        <f>IF($A991="","",IFERROR($B991+$C991-$D991+$E991,0))</f>
        <v/>
      </c>
    </row>
    <row r="992">
      <c r="A992" s="36" t="n"/>
      <c r="B992" s="36" t="n"/>
      <c r="C992" s="36" t="n"/>
      <c r="D992" s="36" t="n"/>
      <c r="E992" s="36" t="n"/>
      <c r="F992" s="36" t="n"/>
      <c r="G992" s="36" t="n"/>
      <c r="H992" s="36" t="n"/>
      <c r="I992" s="37">
        <f>IF($A992="","",IFERROR($B992+$C992-$D992+$E992,0))</f>
        <v/>
      </c>
    </row>
    <row r="993">
      <c r="A993" s="36" t="n"/>
      <c r="B993" s="36" t="n"/>
      <c r="C993" s="36" t="n"/>
      <c r="D993" s="36" t="n"/>
      <c r="E993" s="36" t="n"/>
      <c r="F993" s="36" t="n"/>
      <c r="G993" s="36" t="n"/>
      <c r="H993" s="36" t="n"/>
      <c r="I993" s="37">
        <f>IF($A993="","",IFERROR($B993+$C993-$D993+$E993,0))</f>
        <v/>
      </c>
    </row>
    <row r="994">
      <c r="A994" s="36" t="n"/>
      <c r="B994" s="36" t="n"/>
      <c r="C994" s="36" t="n"/>
      <c r="D994" s="36" t="n"/>
      <c r="E994" s="36" t="n"/>
      <c r="F994" s="36" t="n"/>
      <c r="G994" s="36" t="n"/>
      <c r="H994" s="36" t="n"/>
      <c r="I994" s="37">
        <f>IF($A994="","",IFERROR($B994+$C994-$D994+$E994,0))</f>
        <v/>
      </c>
    </row>
    <row r="995">
      <c r="A995" s="36" t="n"/>
      <c r="B995" s="36" t="n"/>
      <c r="C995" s="36" t="n"/>
      <c r="D995" s="36" t="n"/>
      <c r="E995" s="36" t="n"/>
      <c r="F995" s="36" t="n"/>
      <c r="G995" s="36" t="n"/>
      <c r="H995" s="36" t="n"/>
      <c r="I995" s="37">
        <f>IF($A995="","",IFERROR($B995+$C995-$D995+$E995,0))</f>
        <v/>
      </c>
    </row>
    <row r="996">
      <c r="A996" s="36" t="n"/>
      <c r="B996" s="36" t="n"/>
      <c r="C996" s="36" t="n"/>
      <c r="D996" s="36" t="n"/>
      <c r="E996" s="36" t="n"/>
      <c r="F996" s="36" t="n"/>
      <c r="G996" s="36" t="n"/>
      <c r="H996" s="36" t="n"/>
      <c r="I996" s="37">
        <f>IF($A996="","",IFERROR($B996+$C996-$D996+$E996,0))</f>
        <v/>
      </c>
    </row>
    <row r="997">
      <c r="A997" s="36" t="n"/>
      <c r="B997" s="36" t="n"/>
      <c r="C997" s="36" t="n"/>
      <c r="D997" s="36" t="n"/>
      <c r="E997" s="36" t="n"/>
      <c r="F997" s="36" t="n"/>
      <c r="G997" s="36" t="n"/>
      <c r="H997" s="36" t="n"/>
      <c r="I997" s="37">
        <f>IF($A997="","",IFERROR($B997+$C997-$D997+$E997,0))</f>
        <v/>
      </c>
    </row>
    <row r="998">
      <c r="A998" s="36" t="n"/>
      <c r="B998" s="36" t="n"/>
      <c r="C998" s="36" t="n"/>
      <c r="D998" s="36" t="n"/>
      <c r="E998" s="36" t="n"/>
      <c r="F998" s="36" t="n"/>
      <c r="G998" s="36" t="n"/>
      <c r="H998" s="36" t="n"/>
      <c r="I998" s="37">
        <f>IF($A998="","",IFERROR($B998+$C998-$D998+$E998,0))</f>
        <v/>
      </c>
    </row>
    <row r="999">
      <c r="A999" s="36" t="n"/>
      <c r="B999" s="36" t="n"/>
      <c r="C999" s="36" t="n"/>
      <c r="D999" s="36" t="n"/>
      <c r="E999" s="36" t="n"/>
      <c r="F999" s="36" t="n"/>
      <c r="G999" s="36" t="n"/>
      <c r="H999" s="36" t="n"/>
      <c r="I999" s="37">
        <f>IF($A999="","",IFERROR($B999+$C999-$D999+$E999,0))</f>
        <v/>
      </c>
    </row>
    <row r="1000">
      <c r="A1000" s="36" t="n"/>
      <c r="B1000" s="36" t="n"/>
      <c r="C1000" s="36" t="n"/>
      <c r="D1000" s="36" t="n"/>
      <c r="E1000" s="36" t="n"/>
      <c r="F1000" s="36" t="n"/>
      <c r="G1000" s="36" t="n"/>
      <c r="H1000" s="36" t="n"/>
      <c r="I1000" s="37">
        <f>IF($A1000="","",IFERROR($B1000+$C1000-$D1000+$E1000,0))</f>
        <v/>
      </c>
    </row>
    <row r="1001">
      <c r="A1001" s="36" t="n"/>
      <c r="B1001" s="36" t="n"/>
      <c r="C1001" s="36" t="n"/>
      <c r="D1001" s="36" t="n"/>
      <c r="E1001" s="36" t="n"/>
      <c r="F1001" s="36" t="n"/>
      <c r="G1001" s="36" t="n"/>
      <c r="H1001" s="36" t="n"/>
      <c r="I1001" s="37">
        <f>IF($A1001="","",IFERROR($B1001+$C1001-$D1001+$E1001,0))</f>
        <v/>
      </c>
    </row>
    <row r="1002">
      <c r="A1002" s="36" t="n"/>
      <c r="B1002" s="36" t="n"/>
      <c r="C1002" s="36" t="n"/>
      <c r="D1002" s="36" t="n"/>
      <c r="E1002" s="36" t="n"/>
      <c r="F1002" s="36" t="n"/>
      <c r="G1002" s="36" t="n"/>
      <c r="H1002" s="36" t="n"/>
      <c r="I1002" s="37">
        <f>IF($A1002="","",IFERROR($B1002+$C1002-$D1002+$E1002,0))</f>
        <v/>
      </c>
    </row>
    <row r="1003">
      <c r="A1003" s="36" t="n"/>
      <c r="B1003" s="36" t="n"/>
      <c r="C1003" s="36" t="n"/>
      <c r="D1003" s="36" t="n"/>
      <c r="E1003" s="36" t="n"/>
      <c r="F1003" s="36" t="n"/>
      <c r="G1003" s="36" t="n"/>
      <c r="H1003" s="36" t="n"/>
      <c r="I1003" s="37">
        <f>IF($A1003="","",IFERROR($B1003+$C1003-$D1003+$E1003,0))</f>
        <v/>
      </c>
    </row>
    <row r="1004">
      <c r="A1004" s="36" t="n"/>
      <c r="B1004" s="36" t="n"/>
      <c r="C1004" s="36" t="n"/>
      <c r="D1004" s="36" t="n"/>
      <c r="E1004" s="36" t="n"/>
      <c r="F1004" s="36" t="n"/>
      <c r="G1004" s="36" t="n"/>
      <c r="H1004" s="36" t="n"/>
      <c r="I1004" s="37">
        <f>IF($A1004="","",IFERROR($B1004+$C1004-$D1004+$E1004,0))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3:I3"/>
    <mergeCell ref="A1:AD1"/>
  </mergeCells>
  <conditionalFormatting sqref="B6:B20">
    <cfRule type="cellIs" priority="1" operator="lessThan" dxfId="3">
      <formula>0</formula>
    </cfRule>
  </conditionalFormatting>
  <conditionalFormatting sqref="C6:C20">
    <cfRule type="cellIs" priority="2" operator="lessThan" dxfId="3">
      <formula>0</formula>
    </cfRule>
  </conditionalFormatting>
  <conditionalFormatting sqref="D6:D20">
    <cfRule type="cellIs" priority="3" operator="lessThan" dxfId="3">
      <formula>0</formula>
    </cfRule>
  </conditionalFormatting>
  <conditionalFormatting sqref="E6:E20">
    <cfRule type="cellIs" priority="4" operator="lessThan" dxfId="3">
      <formula>0</formula>
    </cfRule>
  </conditionalFormatting>
  <conditionalFormatting sqref="F6:F20">
    <cfRule type="cellIs" priority="5" operator="lessThan" dxfId="3">
      <formula>0</formula>
    </cfRule>
  </conditionalFormatting>
  <conditionalFormatting sqref="G6:G20">
    <cfRule type="cellIs" priority="6" operator="lessThan" dxfId="3">
      <formula>0</formula>
    </cfRule>
  </conditionalFormatting>
  <conditionalFormatting sqref="H6:H20">
    <cfRule type="cellIs" priority="7" operator="lessThan" dxfId="3">
      <formula>0</formula>
    </cfRule>
  </conditionalFormatting>
  <conditionalFormatting sqref="I6:I20">
    <cfRule type="cellIs" priority="8" operator="lessThan" dxfId="3">
      <formula>0</formula>
    </cfRule>
    <cfRule type="cellIs" priority="9" operator="greaterThan" dxfId="5">
      <formula>0</formula>
    </cfRule>
  </conditionalFormatting>
  <dataValidations count="7">
    <dataValidation sqref="B6:B1004" showDropDown="0" showInputMessage="1" showErrorMessage="1" allowBlank="1" errorTitle="Geçersiz" error="Sınır dışı değer." promptTitle="Ödenmiş" prompt="Ödenmiş değerini girin." type="decimal" errorStyle="stop" operator="between">
      <formula1>0</formula1>
      <formula2>1000000000000</formula2>
    </dataValidation>
    <dataValidation sqref="C6:C1004" showDropDown="0" showInputMessage="1" showErrorMessage="1" allowBlank="1" errorTitle="Geçersiz" error="Sınır dışı değer." promptTitle="Yedek" prompt="Yedek değerini girin." type="decimal" errorStyle="stop" operator="between">
      <formula1>0</formula1>
      <formula2>1000000000000</formula2>
    </dataValidation>
    <dataValidation sqref="D6:D1004" showDropDown="0" showInputMessage="1" showErrorMessage="1" allowBlank="1" errorTitle="Geçersiz" error="Sınır dışı değer." promptTitle="Geçmiş Zarar" prompt="Geçmiş Zarar değerini girin." type="decimal" errorStyle="stop" operator="between">
      <formula1>0</formula1>
      <formula2>1000000000000</formula2>
    </dataValidation>
    <dataValidation sqref="E6:E1004" showDropDown="0" showInputMessage="1" showErrorMessage="1" allowBlank="1" errorTitle="Geçersiz" error="Sınır dışı değer." promptTitle="Dönem Net" prompt="Dönem Net değerini girin." type="decimal" errorStyle="stop" operator="between">
      <formula1>-1000000000000</formula1>
      <formula2>1000000000000</formula2>
    </dataValidation>
    <dataValidation sqref="F6:F1004" showDropDown="0" showInputMessage="1" showErrorMessage="1" allowBlank="1" errorTitle="Geçersiz" error="Sınır dışı değer." promptTitle="Varlık" prompt="Varlık değerini girin." type="decimal" errorStyle="stop" operator="between">
      <formula1>0</formula1>
      <formula2>1000000000000</formula2>
    </dataValidation>
    <dataValidation sqref="G6:G1004" showDropDown="0" showInputMessage="1" showErrorMessage="1" allowBlank="1" errorTitle="Geçersiz" error="Sınır dışı değer." promptTitle="KV Borç" prompt="KV Borç değerini girin." type="decimal" errorStyle="stop" operator="between">
      <formula1>0</formula1>
      <formula2>1000000000000</formula2>
    </dataValidation>
    <dataValidation sqref="H6:H1004" showDropDown="0" showInputMessage="1" showErrorMessage="1" allowBlank="1" errorTitle="Geçersiz" error="Sınır dışı değer." promptTitle="UV Borç" prompt="UV Borç değerini girin." type="decimal" errorStyle="stop" operator="between">
      <formula1>0</formula1>
      <formula2>1000000000000</formula2>
    </dataValidation>
  </dataValidations>
  <pageMargins left="0.75" right="0.75" top="1" bottom="1" header="0.5" footer="0.5"/>
  <drawing xmlns:r="http://schemas.openxmlformats.org/officeDocument/2006/relationships" r:id="rId1"/>
  <legacyDrawing xmlns:r="http://schemas.openxmlformats.org/officeDocument/2006/relationships" r:id="anysvml"/>
  <tableParts count="1">
    <tablePart xmlns:r="http://schemas.openxmlformats.org/officeDocument/2006/relationships" r:id="rId2"/>
  </tableParts>
</worksheet>
</file>

<file path=xl/worksheets/sheet15.xml><?xml version="1.0" encoding="utf-8"?>
<worksheet xmlns="http://schemas.openxmlformats.org/spreadsheetml/2006/main">
  <sheetPr>
    <tabColor rgb="00595959"/>
    <outlinePr summaryBelow="1" summaryRight="1"/>
    <pageSetUpPr/>
  </sheetPr>
  <dimension ref="A1:T8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3" max="3"/>
    <col width="12" customWidth="1" min="5" max="5"/>
  </cols>
  <sheetData>
    <row r="1" ht="26" customHeight="1">
      <c r="A1" s="1" t="inlineStr">
        <is>
          <t>LISTELER — Konkordato + TTK 376 Kriz Paketi</t>
        </is>
      </c>
    </row>
    <row r="3">
      <c r="A3" s="10" t="inlineStr">
        <is>
          <t>Doğrulama listeleri</t>
        </is>
      </c>
    </row>
    <row r="5">
      <c r="A5" s="50" t="inlineStr">
        <is>
          <t>Yıllar</t>
        </is>
      </c>
      <c r="C5" s="50" t="inlineStr">
        <is>
          <t>Yorum A/B</t>
        </is>
      </c>
      <c r="E5" s="50" t="inlineStr">
        <is>
          <t>Evet/Hayır</t>
        </is>
      </c>
    </row>
    <row r="6">
      <c r="A6" s="61" t="n">
        <v>2025</v>
      </c>
      <c r="C6" s="59" t="inlineStr">
        <is>
          <t>A</t>
        </is>
      </c>
      <c r="E6" s="59" t="inlineStr">
        <is>
          <t>Evet</t>
        </is>
      </c>
    </row>
    <row r="7">
      <c r="A7" s="61" t="n">
        <v>2026</v>
      </c>
      <c r="C7" s="59" t="inlineStr">
        <is>
          <t>B</t>
        </is>
      </c>
      <c r="E7" s="59" t="inlineStr">
        <is>
          <t>Hayır</t>
        </is>
      </c>
    </row>
    <row r="8">
      <c r="A8" s="61" t="n">
        <v>2027</v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">
    <mergeCell ref="A1:T1"/>
  </mergeCells>
  <pageMargins left="0.75" right="0.75" top="1" bottom="1" header="0.5" footer="0.5"/>
  <legacyDrawing xmlns:r="http://schemas.openxmlformats.org/officeDocument/2006/relationships" r:id="anysvml"/>
</worksheet>
</file>

<file path=xl/worksheets/sheet16.xml><?xml version="1.0" encoding="utf-8"?>
<worksheet xmlns="http://schemas.openxmlformats.org/spreadsheetml/2006/main">
  <sheetPr>
    <tabColor rgb="000F2742"/>
    <outlinePr summaryBelow="1" summaryRight="1"/>
    <pageSetUpPr/>
  </sheetPr>
  <dimension ref="A1:AD42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10" customWidth="1" min="3" max="3"/>
    <col width="32" customWidth="1" min="4" max="4"/>
    <col width="22" customWidth="1" min="5" max="5"/>
    <col width="14" customWidth="1" min="6" max="6"/>
    <col width="14" customWidth="1" min="7" max="7"/>
    <col width="12" customWidth="1" min="8" max="8"/>
  </cols>
  <sheetData>
    <row r="1" ht="26" customHeight="1">
      <c r="A1" s="1" t="inlineStr">
        <is>
          <t>AYARLAR — Konkordato + TTK 376 Kriz Paketi</t>
        </is>
      </c>
    </row>
    <row r="3">
      <c r="A3" s="9" t="inlineStr">
        <is>
          <t>Parametreler (tek kaynak)</t>
        </is>
      </c>
    </row>
    <row r="5" ht="30" customHeight="1">
      <c r="A5" s="22" t="inlineStr">
        <is>
          <t>anahtar</t>
        </is>
      </c>
      <c r="B5" s="22" t="inlineStr">
        <is>
          <t>deger</t>
        </is>
      </c>
      <c r="C5" s="22" t="inlineStr">
        <is>
          <t>birim</t>
        </is>
      </c>
      <c r="D5" s="22" t="inlineStr">
        <is>
          <t>aciklama</t>
        </is>
      </c>
      <c r="E5" s="22" t="inlineStr">
        <is>
          <t>kaynak</t>
        </is>
      </c>
      <c r="F5" s="22" t="inlineStr">
        <is>
          <t>yururluk_tarihi</t>
        </is>
      </c>
      <c r="G5" s="22" t="inlineStr">
        <is>
          <t>dogrulama_tarihi</t>
        </is>
      </c>
      <c r="H5" s="22" t="inlineStr">
        <is>
          <t>kontrol</t>
        </is>
      </c>
    </row>
    <row r="6">
      <c r="A6" s="7" t="inlineStr">
        <is>
          <t>hesapYili</t>
        </is>
      </c>
      <c r="B6" s="44" t="n">
        <v>2025</v>
      </c>
      <c r="C6" s="7" t="inlineStr">
        <is>
          <t>yıl</t>
        </is>
      </c>
      <c r="D6" s="7" t="inlineStr">
        <is>
          <t>Aktif hesap yılı</t>
        </is>
      </c>
      <c r="E6" s="7" t="inlineStr">
        <is>
          <t>Kullanıcı / GIRDI</t>
        </is>
      </c>
      <c r="F6" s="7" t="inlineStr">
        <is>
          <t>01.01.2025</t>
        </is>
      </c>
      <c r="G6" s="7" t="inlineStr">
        <is>
          <t>11.08.2026</t>
        </is>
      </c>
      <c r="H6" s="62">
        <f>IF(A6="","",IF(B6="","EKSİK","TAM"))</f>
        <v/>
      </c>
    </row>
    <row r="7">
      <c r="A7" s="7" t="inlineStr">
        <is>
          <t>raporTarihi</t>
        </is>
      </c>
      <c r="B7" s="63" t="n">
        <v>46245</v>
      </c>
      <c r="C7" s="7" t="inlineStr">
        <is>
          <t>tarih</t>
        </is>
      </c>
      <c r="D7" s="7" t="inlineStr">
        <is>
          <t>Rapor tarihi (sabit)</t>
        </is>
      </c>
      <c r="E7" s="7" t="inlineStr">
        <is>
          <t>Üretim</t>
        </is>
      </c>
      <c r="F7" s="7" t="inlineStr">
        <is>
          <t>01.01.2025</t>
        </is>
      </c>
      <c r="G7" s="7" t="inlineStr">
        <is>
          <t>11.08.2026</t>
        </is>
      </c>
      <c r="H7" s="62">
        <f>IF(A7="","",IF(B7="","EKSİK","TAM"))</f>
        <v/>
      </c>
    </row>
    <row r="8">
      <c r="A8" s="7" t="inlineStr">
        <is>
          <t>ktk_tolerans</t>
        </is>
      </c>
      <c r="B8" s="64" t="n">
        <v>0.01</v>
      </c>
      <c r="C8" s="7" t="inlineStr">
        <is>
          <t>TL</t>
        </is>
      </c>
      <c r="D8" s="7" t="inlineStr">
        <is>
          <t>Vaka tutarlılık toleransı</t>
        </is>
      </c>
      <c r="E8" s="7" t="inlineStr">
        <is>
          <t>Uygulama notu</t>
        </is>
      </c>
      <c r="F8" s="7" t="inlineStr">
        <is>
          <t>01.01.2025</t>
        </is>
      </c>
      <c r="G8" s="7" t="inlineStr">
        <is>
          <t>11.08.2026</t>
        </is>
      </c>
      <c r="H8" s="62">
        <f>IF(A8="","",IF(B8="","EKSİK","TAM"))</f>
        <v/>
      </c>
    </row>
    <row r="9">
      <c r="A9" s="7" t="inlineStr">
        <is>
          <t>ktk_kacirilanEsik</t>
        </is>
      </c>
      <c r="B9" s="64" t="n">
        <v>50000</v>
      </c>
      <c r="C9" s="7" t="inlineStr">
        <is>
          <t>TL</t>
        </is>
      </c>
      <c r="D9" s="7" t="inlineStr">
        <is>
          <t>PANO fark uyarı eşiği</t>
        </is>
      </c>
      <c r="E9" s="7" t="inlineStr">
        <is>
          <t>İç politika</t>
        </is>
      </c>
      <c r="F9" s="7" t="inlineStr">
        <is>
          <t>01.01.2025</t>
        </is>
      </c>
      <c r="G9" s="7" t="inlineStr">
        <is>
          <t>11.08.2026</t>
        </is>
      </c>
      <c r="H9" s="62">
        <f>IF(A9="","",IF(B9="","EKSİK","TAM"))</f>
        <v/>
      </c>
    </row>
    <row r="10">
      <c r="A10" s="7" t="inlineStr">
        <is>
          <t>ktk_senaryoIyi</t>
        </is>
      </c>
      <c r="B10" s="43" t="n">
        <v>0.9</v>
      </c>
      <c r="C10" s="7" t="inlineStr">
        <is>
          <t>çarpan</t>
        </is>
      </c>
      <c r="D10" s="7" t="inlineStr">
        <is>
          <t>İyimser endeks çarpanı</t>
        </is>
      </c>
      <c r="E10" s="7" t="inlineStr">
        <is>
          <t>Model varsayımı</t>
        </is>
      </c>
      <c r="F10" s="7" t="inlineStr">
        <is>
          <t>01.01.2025</t>
        </is>
      </c>
      <c r="G10" s="7" t="inlineStr">
        <is>
          <t>11.08.2026</t>
        </is>
      </c>
      <c r="H10" s="62">
        <f>IF(A10="","",IF(B10="","EKSİK","TAM"))</f>
        <v/>
      </c>
    </row>
    <row r="11">
      <c r="A11" s="7" t="inlineStr">
        <is>
          <t>ktk_senaryoKotu</t>
        </is>
      </c>
      <c r="B11" s="43" t="n">
        <v>1.1</v>
      </c>
      <c r="C11" s="7" t="inlineStr">
        <is>
          <t>çarpan</t>
        </is>
      </c>
      <c r="D11" s="7" t="inlineStr">
        <is>
          <t>Kötümser endeks çarpanı</t>
        </is>
      </c>
      <c r="E11" s="7" t="inlineStr">
        <is>
          <t>Model varsayımı</t>
        </is>
      </c>
      <c r="F11" s="7" t="inlineStr">
        <is>
          <t>01.01.2025</t>
        </is>
      </c>
      <c r="G11" s="7" t="inlineStr">
        <is>
          <t>11.08.2026</t>
        </is>
      </c>
      <c r="H11" s="62">
        <f>IF(A11="","",IF(B11="","EKSİK","TAM"))</f>
        <v/>
      </c>
    </row>
    <row r="12">
      <c r="A12" s="7" t="inlineStr">
        <is>
          <t>ktk_oranArtisPuan</t>
        </is>
      </c>
      <c r="B12" s="43" t="n">
        <v>0.01</v>
      </c>
      <c r="C12" s="7" t="inlineStr">
        <is>
          <t>oran</t>
        </is>
      </c>
      <c r="D12" s="7" t="inlineStr">
        <is>
          <t>M-SEN sabit +1 puan</t>
        </is>
      </c>
      <c r="E12" s="7" t="inlineStr">
        <is>
          <t>Senaryo motoru</t>
        </is>
      </c>
      <c r="F12" s="7" t="inlineStr">
        <is>
          <t>01.01.2025</t>
        </is>
      </c>
      <c r="G12" s="7" t="inlineStr">
        <is>
          <t>11.08.2026</t>
        </is>
      </c>
      <c r="H12" s="62">
        <f>IF(A12="","",IF(B12="","EKSİK","TAM"))</f>
        <v/>
      </c>
    </row>
    <row r="13">
      <c r="A13" s="7" t="inlineStr">
        <is>
          <t>ktk_tahminAlt</t>
        </is>
      </c>
      <c r="B13" s="43" t="n">
        <v>0.85</v>
      </c>
      <c r="C13" s="7" t="inlineStr">
        <is>
          <t>çarpan</t>
        </is>
      </c>
      <c r="D13" s="7" t="inlineStr">
        <is>
          <t>Tahmin alt bant</t>
        </is>
      </c>
      <c r="E13" s="7" t="inlineStr">
        <is>
          <t>Model varsayımı</t>
        </is>
      </c>
      <c r="F13" s="7" t="inlineStr">
        <is>
          <t>01.01.2025</t>
        </is>
      </c>
      <c r="G13" s="7" t="inlineStr">
        <is>
          <t>11.08.2026</t>
        </is>
      </c>
      <c r="H13" s="62">
        <f>IF(A13="","",IF(B13="","EKSİK","TAM"))</f>
        <v/>
      </c>
    </row>
    <row r="14">
      <c r="A14" s="7" t="inlineStr">
        <is>
          <t>ktk_tahminUst</t>
        </is>
      </c>
      <c r="B14" s="43" t="n">
        <v>1.15</v>
      </c>
      <c r="C14" s="7" t="inlineStr">
        <is>
          <t>çarpan</t>
        </is>
      </c>
      <c r="D14" s="7" t="inlineStr">
        <is>
          <t>Tahmin üst bant</t>
        </is>
      </c>
      <c r="E14" s="7" t="inlineStr">
        <is>
          <t>Model varsayımı</t>
        </is>
      </c>
      <c r="F14" s="7" t="inlineStr">
        <is>
          <t>01.01.2025</t>
        </is>
      </c>
      <c r="G14" s="7" t="inlineStr">
        <is>
          <t>11.08.2026</t>
        </is>
      </c>
      <c r="H14" s="62">
        <f>IF(A14="","",IF(B14="","EKSİK","TAM"))</f>
        <v/>
      </c>
    </row>
    <row r="15">
      <c r="A15" s="7" t="inlineStr">
        <is>
          <t>ktk_tornadoMatrah</t>
        </is>
      </c>
      <c r="B15" s="43" t="n">
        <v>1.05</v>
      </c>
      <c r="C15" s="7" t="inlineStr">
        <is>
          <t>çarpan</t>
        </is>
      </c>
      <c r="D15" s="7" t="inlineStr">
        <is>
          <t>Tornado endeks şoku</t>
        </is>
      </c>
      <c r="E15" s="7" t="inlineStr">
        <is>
          <t>Model varsayımı</t>
        </is>
      </c>
      <c r="F15" s="7" t="inlineStr">
        <is>
          <t>01.01.2025</t>
        </is>
      </c>
      <c r="G15" s="7" t="inlineStr">
        <is>
          <t>11.08.2026</t>
        </is>
      </c>
      <c r="H15" s="62">
        <f>IF(A15="","",IF(B15="","EKSİK","TAM"))</f>
        <v/>
      </c>
    </row>
    <row r="16">
      <c r="A16" s="7" t="inlineStr">
        <is>
          <t>ktk_tornadoMevcut</t>
        </is>
      </c>
      <c r="B16" s="43" t="n">
        <v>0.95</v>
      </c>
      <c r="C16" s="7" t="inlineStr">
        <is>
          <t>çarpan</t>
        </is>
      </c>
      <c r="D16" s="7" t="inlineStr">
        <is>
          <t>Tornado hakediş şoku</t>
        </is>
      </c>
      <c r="E16" s="7" t="inlineStr">
        <is>
          <t>Model varsayımı</t>
        </is>
      </c>
      <c r="F16" s="7" t="inlineStr">
        <is>
          <t>01.01.2025</t>
        </is>
      </c>
      <c r="G16" s="7" t="inlineStr">
        <is>
          <t>11.08.2026</t>
        </is>
      </c>
      <c r="H16" s="62">
        <f>IF(A16="","",IF(B16="","EKSİK","TAM"))</f>
        <v/>
      </c>
    </row>
    <row r="17">
      <c r="A17" s="7" t="inlineStr">
        <is>
          <t>ktk_isverenOran</t>
        </is>
      </c>
      <c r="B17" s="43" t="n">
        <v>0.1</v>
      </c>
      <c r="C17" s="7" t="inlineStr">
        <is>
          <t>oran</t>
        </is>
      </c>
      <c r="D17" s="7" t="inlineStr">
        <is>
          <t>Yorum B yedek sabit artışı</t>
        </is>
      </c>
      <c r="E17" s="7" t="inlineStr">
        <is>
          <t>Fiyat farkı model</t>
        </is>
      </c>
      <c r="F17" s="7" t="inlineStr">
        <is>
          <t>01.01.2025</t>
        </is>
      </c>
      <c r="G17" s="7" t="inlineStr">
        <is>
          <t>11.08.2026</t>
        </is>
      </c>
      <c r="H17" s="62">
        <f>IF(A17="","",IF(B17="","EKSİK","TAM"))</f>
        <v/>
      </c>
    </row>
    <row r="18">
      <c r="A18" s="7" t="inlineStr">
        <is>
          <t>ktk_yuzdelikOran</t>
        </is>
      </c>
      <c r="B18" s="43" t="n">
        <v>0.9</v>
      </c>
      <c r="C18" s="7" t="inlineStr">
        <is>
          <t>oran</t>
        </is>
      </c>
      <c r="D18" s="7" t="inlineStr">
        <is>
          <t>Yüzdelik P90</t>
        </is>
      </c>
      <c r="E18" s="7" t="inlineStr">
        <is>
          <t>İstatistik</t>
        </is>
      </c>
      <c r="F18" s="7" t="inlineStr">
        <is>
          <t>01.01.2025</t>
        </is>
      </c>
      <c r="G18" s="7" t="inlineStr">
        <is>
          <t>11.08.2026</t>
        </is>
      </c>
      <c r="H18" s="62">
        <f>IF(A18="","",IF(B18="","EKSİK","TAM"))</f>
        <v/>
      </c>
    </row>
    <row r="19">
      <c r="A19" s="7" t="inlineStr">
        <is>
          <t>ktk_parmakIzi</t>
        </is>
      </c>
      <c r="B19" s="65" t="inlineStr">
        <is>
          <t>8ccea06fc0b6bbb1</t>
        </is>
      </c>
      <c r="C19" s="7" t="inlineStr">
        <is>
          <t>metin</t>
        </is>
      </c>
      <c r="D19" s="7" t="inlineStr">
        <is>
          <t>Dosya parmak izi etiketi</t>
        </is>
      </c>
      <c r="E19" s="7" t="inlineStr">
        <is>
          <t>Üretim</t>
        </is>
      </c>
      <c r="F19" s="7" t="inlineStr">
        <is>
          <t>01.01.2025</t>
        </is>
      </c>
      <c r="G19" s="7" t="inlineStr">
        <is>
          <t>11.08.2026</t>
        </is>
      </c>
      <c r="H19" s="62">
        <f>IF(A19="","",IF(B19="","EKSİK","TAM"))</f>
        <v/>
      </c>
    </row>
    <row r="20">
      <c r="A20" s="7" t="inlineStr">
        <is>
          <t>dosya_surumu</t>
        </is>
      </c>
      <c r="B20" s="65" t="inlineStr">
        <is>
          <t>1.0.0</t>
        </is>
      </c>
      <c r="C20" s="7" t="inlineStr">
        <is>
          <t>metin</t>
        </is>
      </c>
      <c r="D20" s="7" t="inlineStr">
        <is>
          <t>Ürün sürümü</t>
        </is>
      </c>
      <c r="E20" s="7" t="inlineStr">
        <is>
          <t>ExcelArşiv</t>
        </is>
      </c>
      <c r="F20" s="7" t="inlineStr">
        <is>
          <t>01.01.2025</t>
        </is>
      </c>
      <c r="G20" s="7" t="inlineStr">
        <is>
          <t>11.08.2026</t>
        </is>
      </c>
      <c r="H20" s="62">
        <f>IF(A20="","",IF(B20="","EKSİK","TAM"))</f>
        <v/>
      </c>
    </row>
    <row r="21">
      <c r="A21" s="7" t="inlineStr">
        <is>
          <t>ktk_girisBeklenen</t>
        </is>
      </c>
      <c r="B21" s="44" t="n">
        <v>11</v>
      </c>
      <c r="C21" s="7" t="inlineStr">
        <is>
          <t>adet</t>
        </is>
      </c>
      <c r="D21" s="7" t="inlineStr">
        <is>
          <t>Zorunlu giriş alanı sayısı</t>
        </is>
      </c>
      <c r="E21" s="7" t="inlineStr">
        <is>
          <t>Ürün mimarisi</t>
        </is>
      </c>
      <c r="F21" s="7" t="inlineStr">
        <is>
          <t>01.01.2025</t>
        </is>
      </c>
      <c r="G21" s="7" t="inlineStr">
        <is>
          <t>11.08.2026</t>
        </is>
      </c>
      <c r="H21" s="62">
        <f>IF(A21="","",IF(B21="","EKSİK","TAM"))</f>
        <v/>
      </c>
    </row>
    <row r="22">
      <c r="A22" s="7" t="inlineStr">
        <is>
          <t>ktk_riskDusuk</t>
        </is>
      </c>
      <c r="B22" s="44" t="n">
        <v>15</v>
      </c>
      <c r="C22" s="7" t="inlineStr">
        <is>
          <t>puan</t>
        </is>
      </c>
      <c r="D22" s="7" t="inlineStr">
        <is>
          <t>TALEP ET risk skoru</t>
        </is>
      </c>
      <c r="E22" s="7" t="inlineStr">
        <is>
          <t>İç politika</t>
        </is>
      </c>
      <c r="F22" s="7" t="inlineStr">
        <is>
          <t>01.01.2025</t>
        </is>
      </c>
      <c r="G22" s="7" t="inlineStr">
        <is>
          <t>11.08.2026</t>
        </is>
      </c>
      <c r="H22" s="62">
        <f>IF(A22="","",IF(B22="","EKSİK","TAM"))</f>
        <v/>
      </c>
    </row>
    <row r="23">
      <c r="A23" s="7" t="inlineStr">
        <is>
          <t>ktk_riskOrta</t>
        </is>
      </c>
      <c r="B23" s="44" t="n">
        <v>55</v>
      </c>
      <c r="C23" s="7" t="inlineStr">
        <is>
          <t>puan</t>
        </is>
      </c>
      <c r="D23" s="7" t="inlineStr">
        <is>
          <t>BEKLE risk skoru</t>
        </is>
      </c>
      <c r="E23" s="7" t="inlineStr">
        <is>
          <t>İç politika</t>
        </is>
      </c>
      <c r="F23" s="7" t="inlineStr">
        <is>
          <t>01.01.2025</t>
        </is>
      </c>
      <c r="G23" s="7" t="inlineStr">
        <is>
          <t>11.08.2026</t>
        </is>
      </c>
      <c r="H23" s="62">
        <f>IF(A23="","",IF(B23="","EKSİK","TAM"))</f>
        <v/>
      </c>
    </row>
    <row r="24">
      <c r="A24" s="7" t="inlineStr">
        <is>
          <t>ktk_riskYuksek</t>
        </is>
      </c>
      <c r="B24" s="44" t="n">
        <v>85</v>
      </c>
      <c r="C24" s="7" t="inlineStr">
        <is>
          <t>puan</t>
        </is>
      </c>
      <c r="D24" s="7" t="inlineStr">
        <is>
          <t>VAZGEÇ risk skoru</t>
        </is>
      </c>
      <c r="E24" s="7" t="inlineStr">
        <is>
          <t>İç politika</t>
        </is>
      </c>
      <c r="F24" s="7" t="inlineStr">
        <is>
          <t>01.01.2025</t>
        </is>
      </c>
      <c r="G24" s="7" t="inlineStr">
        <is>
          <t>11.08.2026</t>
        </is>
      </c>
      <c r="H24" s="62">
        <f>IF(A24="","",IF(B24="","EKSİK","TAM"))</f>
        <v/>
      </c>
    </row>
    <row r="25">
      <c r="A25" s="7" t="inlineStr">
        <is>
          <t>ktk_riskEsikOran</t>
        </is>
      </c>
      <c r="B25" s="43" t="n">
        <v>0.5</v>
      </c>
      <c r="C25" s="7" t="inlineStr">
        <is>
          <t>oran</t>
        </is>
      </c>
      <c r="D25" s="7" t="inlineStr">
        <is>
          <t>Yedek risk oranı</t>
        </is>
      </c>
      <c r="E25" s="7" t="inlineStr">
        <is>
          <t>İç politika</t>
        </is>
      </c>
      <c r="F25" s="7" t="inlineStr">
        <is>
          <t>01.01.2025</t>
        </is>
      </c>
      <c r="G25" s="7" t="inlineStr">
        <is>
          <t>11.08.2026</t>
        </is>
      </c>
      <c r="H25" s="62">
        <f>IF(A25="","",IF(B25="","EKSİK","TAM"))</f>
        <v/>
      </c>
    </row>
    <row r="26">
      <c r="A26" s="7" t="inlineStr">
        <is>
          <t>ktk_yilTaban</t>
        </is>
      </c>
      <c r="B26" s="44" t="n">
        <v>2024</v>
      </c>
      <c r="C26" s="7" t="inlineStr">
        <is>
          <t>yıl</t>
        </is>
      </c>
      <c r="D26" s="7" t="inlineStr">
        <is>
          <t>CHOOSE yıl tabanı (hesapYili−taban)</t>
        </is>
      </c>
      <c r="E26" s="7" t="inlineStr">
        <is>
          <t>Ürün mimarisi</t>
        </is>
      </c>
      <c r="F26" s="7" t="inlineStr">
        <is>
          <t>01.01.2025</t>
        </is>
      </c>
      <c r="G26" s="7" t="inlineStr">
        <is>
          <t>11.08.2026</t>
        </is>
      </c>
      <c r="H26" s="62">
        <f>IF(A26="","",IF(B26="","EKSİK","TAM"))</f>
        <v/>
      </c>
    </row>
    <row r="27">
      <c r="A27" s="7" t="inlineStr">
        <is>
          <t>ktk_yuvarMax</t>
        </is>
      </c>
      <c r="B27" s="44" t="n">
        <v>10</v>
      </c>
      <c r="C27" s="7" t="inlineStr">
        <is>
          <t>adet</t>
        </is>
      </c>
      <c r="D27" s="7" t="inlineStr">
        <is>
          <t>ROUND basamak tavanı</t>
        </is>
      </c>
      <c r="E27" s="7" t="inlineStr">
        <is>
          <t>Ürün mimarisi</t>
        </is>
      </c>
      <c r="F27" s="7" t="inlineStr">
        <is>
          <t>01.01.2025</t>
        </is>
      </c>
      <c r="G27" s="7" t="inlineStr">
        <is>
          <t>11.08.2026</t>
        </is>
      </c>
      <c r="H27" s="62">
        <f>IF(A27="","",IF(B27="","EKSİK","TAM"))</f>
        <v/>
      </c>
    </row>
    <row r="28">
      <c r="A28" s="7" t="inlineStr">
        <is>
          <t>ktk_dayanakCarpan</t>
        </is>
      </c>
      <c r="B28" s="44" t="n">
        <v>10</v>
      </c>
      <c r="C28" s="7" t="inlineStr">
        <is>
          <t>adet</t>
        </is>
      </c>
      <c r="D28" s="7" t="inlineStr">
        <is>
          <t>Yedek çarpan</t>
        </is>
      </c>
      <c r="E28" s="7" t="inlineStr">
        <is>
          <t>Ürün mimarisi</t>
        </is>
      </c>
      <c r="F28" s="7" t="inlineStr">
        <is>
          <t>01.01.2025</t>
        </is>
      </c>
      <c r="G28" s="7" t="inlineStr">
        <is>
          <t>11.08.2026</t>
        </is>
      </c>
      <c r="H28" s="62">
        <f>IF(A28="","",IF(B28="","EKSİK","TAM"))</f>
        <v/>
      </c>
    </row>
    <row r="29">
      <c r="A29" s="7" t="inlineStr">
        <is>
          <t>ktk_bazCarpan</t>
        </is>
      </c>
      <c r="B29" s="43" t="n">
        <v>1</v>
      </c>
      <c r="C29" s="7" t="inlineStr">
        <is>
          <t>çarpan</t>
        </is>
      </c>
      <c r="D29" s="7" t="inlineStr">
        <is>
          <t>Baz senaryo çarpanı</t>
        </is>
      </c>
      <c r="E29" s="7" t="inlineStr">
        <is>
          <t>Model varsayımı</t>
        </is>
      </c>
      <c r="F29" s="7" t="inlineStr">
        <is>
          <t>01.01.2025</t>
        </is>
      </c>
      <c r="G29" s="7" t="inlineStr">
        <is>
          <t>11.08.2026</t>
        </is>
      </c>
      <c r="H29" s="62">
        <f>IF(A29="","",IF(B29="","EKSİK","TAM"))</f>
        <v/>
      </c>
    </row>
    <row r="30">
      <c r="A30" s="7" t="inlineStr">
        <is>
          <t>ktk_sifirCarpan</t>
        </is>
      </c>
      <c r="B30" s="43" t="n">
        <v>0</v>
      </c>
      <c r="C30" s="7" t="inlineStr">
        <is>
          <t>çarpan</t>
        </is>
      </c>
      <c r="D30" s="7" t="inlineStr">
        <is>
          <t>Nötr çarpan (sıfır)</t>
        </is>
      </c>
      <c r="E30" s="7" t="inlineStr">
        <is>
          <t>Model varsayımı</t>
        </is>
      </c>
      <c r="F30" s="7" t="inlineStr">
        <is>
          <t>01.01.2025</t>
        </is>
      </c>
      <c r="G30" s="7" t="inlineStr">
        <is>
          <t>11.08.2026</t>
        </is>
      </c>
      <c r="H30" s="62">
        <f>IF(A30="","",IF(B30="","EKSİK","TAM"))</f>
        <v/>
      </c>
    </row>
    <row r="31">
      <c r="A31" s="7" t="inlineStr">
        <is>
          <t>ktk_siraBir</t>
        </is>
      </c>
      <c r="B31" s="44" t="n">
        <v>1</v>
      </c>
      <c r="C31" s="7" t="inlineStr">
        <is>
          <t>adet</t>
        </is>
      </c>
      <c r="D31" s="7" t="inlineStr">
        <is>
          <t>Tornado sıra 1</t>
        </is>
      </c>
      <c r="E31" s="7" t="inlineStr">
        <is>
          <t>Ürün mimarisi</t>
        </is>
      </c>
      <c r="F31" s="7" t="inlineStr">
        <is>
          <t>01.01.2025</t>
        </is>
      </c>
      <c r="G31" s="7" t="inlineStr">
        <is>
          <t>11.08.2026</t>
        </is>
      </c>
      <c r="H31" s="62">
        <f>IF(A31="","",IF(B31="","EKSİK","TAM"))</f>
        <v/>
      </c>
    </row>
    <row r="32">
      <c r="A32" s="7" t="inlineStr">
        <is>
          <t>ktk_siraIki</t>
        </is>
      </c>
      <c r="B32" s="44" t="n">
        <v>2</v>
      </c>
      <c r="C32" s="7" t="inlineStr">
        <is>
          <t>adet</t>
        </is>
      </c>
      <c r="D32" s="7" t="inlineStr">
        <is>
          <t>Tornado sıra 2</t>
        </is>
      </c>
      <c r="E32" s="7" t="inlineStr">
        <is>
          <t>Ürün mimarisi</t>
        </is>
      </c>
      <c r="F32" s="7" t="inlineStr">
        <is>
          <t>01.01.2025</t>
        </is>
      </c>
      <c r="G32" s="7" t="inlineStr">
        <is>
          <t>11.08.2026</t>
        </is>
      </c>
      <c r="H32" s="62">
        <f>IF(A32="","",IF(B32="","EKSİK","TAM"))</f>
        <v/>
      </c>
    </row>
    <row r="33">
      <c r="A33" s="7" t="inlineStr">
        <is>
          <t>ktk_siraUc</t>
        </is>
      </c>
      <c r="B33" s="44" t="n">
        <v>3</v>
      </c>
      <c r="C33" s="7" t="inlineStr">
        <is>
          <t>adet</t>
        </is>
      </c>
      <c r="D33" s="7" t="inlineStr">
        <is>
          <t>Tornado sıra 3</t>
        </is>
      </c>
      <c r="E33" s="7" t="inlineStr">
        <is>
          <t>Ürün mimarisi</t>
        </is>
      </c>
      <c r="F33" s="7" t="inlineStr">
        <is>
          <t>01.01.2025</t>
        </is>
      </c>
      <c r="G33" s="7" t="inlineStr">
        <is>
          <t>11.08.2026</t>
        </is>
      </c>
      <c r="H33" s="62">
        <f>IF(A33="","",IF(B33="","EKSİK","TAM"))</f>
        <v/>
      </c>
    </row>
    <row r="34">
      <c r="A34" s="7" t="inlineStr">
        <is>
          <t>ktk_tahminX</t>
        </is>
      </c>
      <c r="B34" s="44" t="n">
        <v>5</v>
      </c>
      <c r="C34" s="7" t="inlineStr">
        <is>
          <t>adet</t>
        </is>
      </c>
      <c r="D34" s="7" t="inlineStr">
        <is>
          <t>FORECAST X noktası</t>
        </is>
      </c>
      <c r="E34" s="7" t="inlineStr">
        <is>
          <t>Model varsayımı</t>
        </is>
      </c>
      <c r="F34" s="7" t="inlineStr">
        <is>
          <t>01.01.2025</t>
        </is>
      </c>
      <c r="G34" s="7" t="inlineStr">
        <is>
          <t>11.08.2026</t>
        </is>
      </c>
      <c r="H34" s="62">
        <f>IF(A34="","",IF(B34="","EKSİK","TAM"))</f>
        <v/>
      </c>
    </row>
    <row r="35">
      <c r="A35" s="7" t="inlineStr">
        <is>
          <t>vaka_matrah_1</t>
        </is>
      </c>
      <c r="B35" s="64" t="n">
        <v>100000</v>
      </c>
      <c r="C35" s="7" t="inlineStr">
        <is>
          <t>TL</t>
        </is>
      </c>
      <c r="D35" s="7" t="inlineStr">
        <is>
          <t>Vaka1 hakediş</t>
        </is>
      </c>
      <c r="E35" s="7" t="inlineStr">
        <is>
          <t>Tebliğ örneği</t>
        </is>
      </c>
      <c r="F35" s="7" t="inlineStr">
        <is>
          <t>01.01.2025</t>
        </is>
      </c>
      <c r="G35" s="7" t="inlineStr">
        <is>
          <t>11.08.2026</t>
        </is>
      </c>
      <c r="H35" s="62">
        <f>IF(A35="","",IF(B35="","EKSİK","TAM"))</f>
        <v/>
      </c>
    </row>
    <row r="36">
      <c r="A36" s="7" t="inlineStr">
        <is>
          <t>vaka_matrah_2</t>
        </is>
      </c>
      <c r="B36" s="64" t="n">
        <v>200000</v>
      </c>
      <c r="C36" s="7" t="inlineStr">
        <is>
          <t>TL</t>
        </is>
      </c>
      <c r="D36" s="7" t="inlineStr">
        <is>
          <t>Vaka2 hakediş</t>
        </is>
      </c>
      <c r="E36" s="7" t="inlineStr">
        <is>
          <t>Tebliğ örneği</t>
        </is>
      </c>
      <c r="F36" s="7" t="inlineStr">
        <is>
          <t>01.01.2025</t>
        </is>
      </c>
      <c r="G36" s="7" t="inlineStr">
        <is>
          <t>11.08.2026</t>
        </is>
      </c>
      <c r="H36" s="62">
        <f>IF(A36="","",IF(B36="","EKSİK","TAM"))</f>
        <v/>
      </c>
    </row>
    <row r="37">
      <c r="A37" s="7" t="inlineStr">
        <is>
          <t>vaka_tavan</t>
        </is>
      </c>
      <c r="B37" s="64" t="n">
        <v>150000</v>
      </c>
      <c r="C37" s="7" t="inlineStr">
        <is>
          <t>TL</t>
        </is>
      </c>
      <c r="D37" s="7" t="inlineStr">
        <is>
          <t>Vaka4 tavan</t>
        </is>
      </c>
      <c r="E37" s="7" t="inlineStr">
        <is>
          <t>Tebliğ örneği</t>
        </is>
      </c>
      <c r="F37" s="7" t="inlineStr">
        <is>
          <t>01.01.2025</t>
        </is>
      </c>
      <c r="G37" s="7" t="inlineStr">
        <is>
          <t>11.08.2026</t>
        </is>
      </c>
      <c r="H37" s="62">
        <f>IF(A37="","",IF(B37="","EKSİK","TAM"))</f>
        <v/>
      </c>
    </row>
    <row r="38">
      <c r="A38" s="7" t="inlineStr">
        <is>
          <t>vaka_endeks_orani</t>
        </is>
      </c>
      <c r="B38" s="43" t="n">
        <v>1.1</v>
      </c>
      <c r="C38" s="7" t="inlineStr">
        <is>
          <t>çarpan</t>
        </is>
      </c>
      <c r="D38" s="7" t="inlineStr">
        <is>
          <t>Vaka1/3 endeks oranı</t>
        </is>
      </c>
      <c r="E38" s="7" t="inlineStr">
        <is>
          <t>Tebliğ örneği</t>
        </is>
      </c>
      <c r="F38" s="7" t="inlineStr">
        <is>
          <t>01.01.2025</t>
        </is>
      </c>
      <c r="G38" s="7" t="inlineStr">
        <is>
          <t>11.08.2026</t>
        </is>
      </c>
      <c r="H38" s="62">
        <f>IF(A38="","",IF(B38="","EKSİK","TAM"))</f>
        <v/>
      </c>
    </row>
    <row r="40">
      <c r="B40" s="66" t="inlineStr">
        <is>
          <t>Parametre satırları yukarıda; ad tanımları B kolonuna bağlı.</t>
        </is>
      </c>
    </row>
    <row r="42">
      <c r="B42" s="13" t="inlineStr">
        <is>
          <t>Sürüm 1.0.0 | Şifre koruması: 1234 (formül alanları)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">
    <mergeCell ref="A1:AD1"/>
  </mergeCells>
  <dataValidations count="5">
    <dataValidation sqref="B6" showDropDown="0" showInputMessage="1" showErrorMessage="1" allowBlank="1" errorTitle="Geçersiz" error="2025-2027." promptTitle="Hesap Yılı" prompt="Aktif yılı seçin." type="list" errorStyle="stop">
      <formula1>ListeYillar</formula1>
    </dataValidation>
    <dataValidation sqref="B9" showDropDown="0" showInputMessage="1" showErrorMessage="1" allowBlank="1" errorTitle="Geçersiz" error="0 ve üzeri." promptTitle="Fark eşiği" prompt="Uyarı eşiği TL." type="decimal" errorStyle="stop" operator="greaterThanOrEqual">
      <formula1>0</formula1>
    </dataValidation>
    <dataValidation sqref="B10" showDropDown="0" showInputMessage="1" showErrorMessage="1" allowBlank="1" errorTitle="Geçersiz" error="0-2." promptTitle="İyimser çarpan" prompt="0-2 aralığı." type="decimal" errorStyle="stop" operator="between">
      <formula1>0</formula1>
      <formula2>2</formula2>
    </dataValidation>
    <dataValidation sqref="B11" showDropDown="0" showInputMessage="1" showErrorMessage="1" allowBlank="1" errorTitle="Geçersiz" error="0-2." promptTitle="Kötümser çarpan" prompt="0-2 aralığı." type="decimal" errorStyle="stop" operator="between">
      <formula1>0</formula1>
      <formula2>2</formula2>
    </dataValidation>
    <dataValidation sqref="B12" showDropDown="0" showInputMessage="1" showErrorMessage="1" allowBlank="1" errorTitle="Geçersiz" error="0-0.2." promptTitle="Oran artış" prompt="Puan cinsinden." type="decimal" errorStyle="stop" operator="between">
      <formula1>0</formula1>
      <formula2>0.2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7.xml><?xml version="1.0" encoding="utf-8"?>
<worksheet xmlns="http://schemas.openxmlformats.org/spreadsheetml/2006/main">
  <sheetPr>
    <tabColor rgb="001F4E79"/>
    <outlinePr summaryBelow="1" summaryRight="1"/>
    <pageSetUpPr/>
  </sheetPr>
  <dimension ref="A1:AD19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70" customWidth="1" min="2" max="2"/>
  </cols>
  <sheetData>
    <row r="1" ht="26" customHeight="1">
      <c r="A1" s="1" t="inlineStr">
        <is>
          <t>KILAVUZ — Konkordato + TTK 376 Kriz Paketi</t>
        </is>
      </c>
    </row>
    <row r="3">
      <c r="A3" s="9" t="inlineStr">
        <is>
          <t>Karar kuralları</t>
        </is>
      </c>
    </row>
    <row r="5">
      <c r="A5" s="6" t="inlineStr">
        <is>
          <t>• VERİ YOK — giriş tablosu boşsa hesap yapılmaz.</t>
        </is>
      </c>
    </row>
    <row r="6">
      <c r="A6" s="6" t="inlineStr">
        <is>
          <t>• TALEP ET — fiyat farkı oranı talep eşiğinin üzerinde; talep dosyası hazırlayın.</t>
        </is>
      </c>
    </row>
    <row r="7">
      <c r="A7" s="6" t="inlineStr">
        <is>
          <t>• BEKLE — fark bekle bandında; endeks ve hakediş dönemini izleyin.</t>
        </is>
      </c>
    </row>
    <row r="8">
      <c r="A8" s="6" t="inlineStr">
        <is>
          <t>• VAZGEÇ — fark düşük veya olumsuz; talep maliyetine değmeyebilir.</t>
        </is>
      </c>
    </row>
    <row r="10">
      <c r="A10" s="67" t="inlineStr">
        <is>
          <t>Belirsizlik beyanları (M05)</t>
        </is>
      </c>
    </row>
    <row r="11">
      <c r="A11" s="12" t="inlineStr">
        <is>
          <t>Bu nokta mevzuatta tartışmalıdır; dosya yorum A ve yorum B sonucunu yan yana gösterir: endeks_secimi</t>
        </is>
      </c>
    </row>
    <row r="13">
      <c r="A13" s="10" t="inlineStr">
        <is>
          <t>Yorum A</t>
        </is>
      </c>
      <c r="B13" s="6" t="inlineStr">
        <is>
          <t>Pn = sabit pay + (1 − sabit pay) × (güncel endeks / baz endeks); fiyat farkı = hakediş × (Pn − 1). Endeks seçimi tartışmalıdır; yorum B ile yan yana okunmalıdır.</t>
        </is>
      </c>
    </row>
    <row r="14">
      <c r="A14" s="10" t="inlineStr">
        <is>
          <t>Yorum B</t>
        </is>
      </c>
      <c r="B14" s="6" t="inlineStr">
        <is>
          <t>Yorum B, sabit payı +1 puan sıkılaştırır. Dosya her iki yorumun sonucunu MOTOR'da üretir.</t>
        </is>
      </c>
    </row>
    <row r="16">
      <c r="A16" s="10" t="inlineStr">
        <is>
          <t>Kullanım sırası</t>
        </is>
      </c>
    </row>
    <row r="17">
      <c r="A17" s="6" t="inlineStr">
        <is>
          <t>GIRDI → KURALLAR (gerekirse) → MOTOR (inceleme) → SENARYO → VAKALAR → PANO → KANIT_RAPORU → AYARLAR.</t>
        </is>
      </c>
    </row>
    <row r="19">
      <c r="A19" s="8" t="inlineStr">
        <is>
          <t>Sürüm 1.0.0 | Lisans: Tek kullanıcı | ExcelArşiv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9">
    <mergeCell ref="A5:T5"/>
    <mergeCell ref="A8:T8"/>
    <mergeCell ref="A6:T6"/>
    <mergeCell ref="A17:J17"/>
    <mergeCell ref="B14:J14"/>
    <mergeCell ref="A7:T7"/>
    <mergeCell ref="B13:J13"/>
    <mergeCell ref="A11:T11"/>
    <mergeCell ref="A1:A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2026-08-10T22:31:00Z</dcterms:created>
  <dcterms:modified xmlns:dcterms="http://purl.org/dc/terms/" xmlns:xsi="http://www.w3.org/2001/XMLSchema-instance" xsi:type="dcterms:W3CDTF">2026-09-25T14:12:45Z</dcterms:modified>
</cp:coreProperties>
</file>