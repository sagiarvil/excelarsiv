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k_ozKaynak">MOTOR!$G$28</definedName>
    <definedName name="ktk_eksikSermaye">MOTOR!$G$30</definedName>
    <definedName name="ktk_kritikAcik">MOTOR!$G$30</definedName>
    <definedName name="ktk_kacirilan">MOTOR!$G$30</definedName>
    <definedName name="ktk_kararMetni">MOTOR!$G$34</definedName>
    <definedName name="ktk_kararGerekce">MOTOR!$G$35</definedName>
    <definedName name="ktk_maddeAtifMetni">MOTOR!$G$52</definedName>
    <definedName name="ktk_kanitRaporu">MOTOR!$G$53</definedName>
    <definedName name="ktk_kuralYilMatris">KURALLAR!$B$17</definedName>
    <definedName name="ktk_parmakIzi">AYARLAR!$B$19</definedName>
    <definedName name="ktk_senaryoKarsilastirma">SENARYO!$B$11</definedName>
    <definedName name="ktk_yorumSenaryo">SENARYO!$B$12</definedName>
    <definedName name="ktk_duyarlilikSira">SENARYO!$B$19</definedName>
    <definedName name="ktk_yorumDuyarlilik">SENARYO!$B$20</definedName>
    <definedName name="ktk_kuralDegisimSenaryo">SENARYO!$B$22</definedName>
    <definedName name="ktk_yorumKuralDegisim">SENARYO!$B$23</definedName>
    <definedName name="ktk_tahminAralik">SENARYO!$B$32</definedName>
    <definedName name="ktk_yorumTahmin">SENARYO!$B$33</definedName>
    <definedName name="ktk_vakaDurum">VAKALAR!$B$12</definedName>
    <definedName name="ktk_vakaFark">VAKALAR!$B$13</definedName>
    <definedName name="ktk_tolerans">AYARLAR!$B$8</definedName>
    <definedName name="ktk_kacirilanEsik">AYARLAR!$B$9</definedName>
    <definedName name="ktk_senaryoIyi">AYARLAR!$B$10</definedName>
    <definedName name="ktk_senaryoKotu">AYARLAR!$B$11</definedName>
    <definedName name="ktk_oranArtisPuan">AYARLAR!$B$12</definedName>
    <definedName name="ktk_tahminAlt">AYARLAR!$B$13</definedName>
    <definedName name="ktk_tahminUst">AYARLAR!$B$14</definedName>
    <definedName name="ktk_tornadoMatrah">AYARLAR!$B$15</definedName>
    <definedName name="ktk_tornadoMevcut">AYARLAR!$B$16</definedName>
    <definedName name="ktk_isverenOran">AYARLAR!$B$17</definedName>
    <definedName name="ktk_yuzdelikOran">AYARLAR!$B$18</definedName>
    <definedName name="ktk_girisBeklenen">AYARLAR!$B$21</definedName>
    <definedName name="ktk_riskDusuk">AYARLAR!$B$22</definedName>
    <definedName name="ktk_riskOrta">AYARLAR!$B$23</definedName>
    <definedName name="ktk_riskYuksek">AYARLAR!$B$24</definedName>
    <definedName name="ktk_riskEsikOran">AYARLAR!$B$25</definedName>
    <definedName name="ktk_yilTaban">AYARLAR!$B$26</definedName>
    <definedName name="ktk_yuvarMax">AYARLAR!$B$27</definedName>
    <definedName name="ktk_dayanakCarpan">AYARLAR!$B$28</definedName>
    <definedName name="ktk_bazCarpan">AYARLAR!$B$29</definedName>
    <definedName name="ktk_sifirCarpan">AYARLAR!$B$30</definedName>
    <definedName name="ktk_siraBir">AYARLAR!$B$31</definedName>
    <definedName name="ktk_siraIki">AYARLAR!$B$32</definedName>
    <definedName name="ktk_siraUc">AYARLAR!$B$33</definedName>
    <definedName name="ktk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ktk_modulT1">PANO!$C$11</definedName>
    <definedName name="ktk_modulT1Yorum">PANO!$D$11</definedName>
    <definedName name="ktk_modulT2">PANO!$C$12</definedName>
    <definedName name="ktk_modulT2Yorum">PANO!$D$12</definedName>
    <definedName name="ktk_modulO1">PANO!$C$13</definedName>
    <definedName name="ktk_modulO1Yorum">PANO!$D$13</definedName>
    <definedName name="ktk_modulO6">PANO!$C$16</definedName>
    <definedName name="ktk_modulO6Yorum">PANO!$D$16</definedName>
    <definedName name="ktk_modulO8">PANO!$C$17</definedName>
    <definedName name="ktk_modulO8Yorum">PANO!$D$17</definedName>
    <definedName name="ktk_modulI2">PANO!$C$20</definedName>
    <definedName name="kt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TTK 376 / konkordato kriz kararını etkiler | Doğru kullanım: Sırayla izleyin | Örnek: demo satırına bakın | Yanlışsa: Özkaynak oranı ve karar bozulur | Kaynak: TTK 376</t>
      </text>
    </comment>
    <comment ref="A6" authorId="0" shapeId="0">
      <text>
        <t>Tanım: Adım 2 — Karar | Neden önemli: TTK 376 / konkordato kriz kararını etkiler | Doğru kullanım: Sırayla izleyin | Örnek: demo satırına bakın | Yanlışsa: Özkaynak oranı ve karar bozulur | Kaynak: TTK 376</t>
      </text>
    </comment>
    <comment ref="A7" authorId="0" shapeId="0">
      <text>
        <t>Tanım: Adım 3 — Kanıt | Neden önemli: TTK 376 / konkordato kriz kararını etkiler | Doğru kullanım: Sırayla izleyin | Örnek: demo satırına bakın | Yanlışsa: Özkaynak oranı ve karar bozulur | Kaynak: TTK 376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TTK 376 / konkordato kriz kararını etkiler | Doğru kullanım: Şirket unvanını yazın. | Örnek: demo satırına bakın | Yanlışsa: Özkaynak oranı ve karar bozulur | Kaynak: TTK 376</t>
      </text>
    </comment>
    <comment ref="B7" authorId="0" shapeId="0">
      <text>
        <t>Tanım: Bilanço Dönemi | Neden önemli: TTK 376 / konkordato kriz kararını etkiler | Doğru kullanım: Ara dönem veya yıl sonu bilanço referansını yazın. | Örnek: demo satırına bakın | Yanlışsa: Özkaynak oranı ve karar bozulur | Kaynak: TTK 376</t>
      </text>
    </comment>
    <comment ref="B8" authorId="0" shapeId="0">
      <text>
        <t>Tanım: Hesap Yılı | Neden önemli: TTK 376 / konkordato kriz kararını etkiler | Doğru kullanım: 2025, 2026 veya 2027 seçin. | Örnek: demo satırına bakın | Yanlışsa: Özkaynak oranı ve karar bozulur | Kaynak: TTK 376</t>
      </text>
    </comment>
    <comment ref="B9" authorId="0" shapeId="0">
      <text>
        <t>Tanım: Ödenmiş Sermaye [₺] | Neden önemli: TTK 376 / konkordato kriz kararını etkiler | Doğru kullanım: Ödenmiş sermaye tutarını TL girin. | Örnek: demo satırına bakın | Yanlışsa: Özkaynak oranı ve karar bozulur | Kaynak: TTK 376</t>
      </text>
    </comment>
    <comment ref="B10" authorId="0" shapeId="0">
      <text>
        <t>Tanım: Sermaye Yedekleri [₺] | Neden önemli: TTK 376 / konkordato kriz kararını etkiler | Doğru kullanım: Sermaye yedekleri toplamını TL girin. | Örnek: demo satırına bakın | Yanlışsa: Özkaynak oranı ve karar bozulur | Kaynak: TTK 376</t>
      </text>
    </comment>
    <comment ref="B11" authorId="0" shapeId="0">
      <text>
        <t>Tanım: Geçmiş Yıl Zararları [₺] | Neden önemli: TTK 376 / konkordato kriz kararını etkiler | Doğru kullanım: Birikmiş geçmiş yıl zararını pozitif tutar olarak girin. | Örnek: demo satırına bakın | Yanlışsa: Özkaynak oranı ve karar bozulur | Kaynak: TTK 376</t>
      </text>
    </comment>
    <comment ref="B12" authorId="0" shapeId="0">
      <text>
        <t>Tanım: Dönem Net Kâr/Zarar [₺] | Neden önemli: TTK 376 / konkordato kriz kararını etkiler | Doğru kullanım: Dönem net kârı pozitif, zararı negatif girin. | Örnek: demo satırına bakın | Yanlışsa: Özkaynak oranı ve karar bozulur | Kaynak: TTK 376</t>
      </text>
    </comment>
    <comment ref="B13" authorId="0" shapeId="0">
      <text>
        <t>Tanım: Toplam Varlık [₺] | Neden önemli: TTK 376 / konkordato kriz kararını etkiler | Doğru kullanım: Bilanço toplam varlık tutarını TL girin. | Örnek: demo satırına bakın | Yanlışsa: Özkaynak oranı ve karar bozulur | Kaynak: TTK 376</t>
      </text>
    </comment>
    <comment ref="B14" authorId="0" shapeId="0">
      <text>
        <t>Tanım: Kısa Vadeli Borç [₺] | Neden önemli: TTK 376 / konkordato kriz kararını etkiler | Doğru kullanım: Kısa vadeli yabancı kaynakları TL girin. | Örnek: demo satırına bakın | Yanlışsa: Özkaynak oranı ve karar bozulur | Kaynak: TTK 376</t>
      </text>
    </comment>
    <comment ref="B15" authorId="0" shapeId="0">
      <text>
        <t>Tanım: Uzun Vadeli Borç [₺] | Neden önemli: TTK 376 / konkordato kriz kararını etkiler | Doğru kullanım: Uzun vadeli yabancı kaynakları TL girin. | Örnek: demo satırına bakın | Yanlışsa: Özkaynak oranı ve karar bozulur | Kaynak: TTK 376</t>
      </text>
    </comment>
    <comment ref="B16" authorId="0" shapeId="0">
      <text>
        <t>Tanım: Yorum Modu (A/B) | Neden önemli: TTK 376 / konkordato kriz kararını etkiler | Doğru kullanım: Sermaye tamamlama süresi yorumu A (standart) veya B (sıkı) seçin. | Örnek: demo satırına bakın | Yanlışsa: Özkaynak oranı ve karar bozulur | Kaynak: TTK 376</t>
      </text>
    </comment>
    <comment ref="A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B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C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D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E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A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B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C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D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E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A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B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C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D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E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A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B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C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D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E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A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B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C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D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E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A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B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C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D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E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A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B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C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D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E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A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B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C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D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E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A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B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C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D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E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TTK 376 / konkordato kriz kararını etkiler | Doğru kullanım: Raporu hazırlayan kişinin adını yazın. | Örnek: demo satırına bakın | Yanlışsa: Özkaynak oranı ve karar bozulur | Kaynak: TTK 376</t>
      </text>
    </comment>
    <comment ref="B30" authorId="0" shapeId="0">
      <text>
        <t>Tanım: Onay | Neden önemli: TTK 376 / konkordato kriz kararını etkiler | Doğru kullanım: Onaylayan kişinin adını yazın. | Örnek: demo satırına bakın | Yanlışsa: Özkaynak oranı ve karar bozulur | Kaynak: TTK 376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ödenmiş sermaye?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Sermaye tabanı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Eksik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6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6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6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6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6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6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6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7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7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7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7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7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7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7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7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8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8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8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8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8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8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8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8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9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9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9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9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9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9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9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9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0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10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10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10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10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10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10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10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6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6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7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7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7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8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TTK 376 / konkordato kriz kararını etkiler | Doğru kullanım: Aktif hesap yılı | Örnek: demo satırına bakın | Yanlışsa: Özkaynak oranı ve karar bozulur | Kaynak: TTK 376</t>
      </text>
    </comment>
    <comment ref="B7" authorId="0" shapeId="0">
      <text>
        <t>Tanım: raporTarihi | Neden önemli: TTK 376 / konkordato kriz kararını etkiler | Doğru kullanım: Rapor tarihi (sabit) | Örnek: demo satırına bakın | Yanlışsa: Özkaynak oranı ve karar bozulur | Kaynak: TTK 376</t>
      </text>
    </comment>
    <comment ref="B8" authorId="0" shapeId="0">
      <text>
        <t>Tanım: ktk_tolerans | Neden önemli: TTK 376 / konkordato kriz kararını etkiler | Doğru kullanım: Vaka tutarlılık toleransı | Örnek: demo satırına bakın | Yanlışsa: Özkaynak oranı ve karar bozulur | Kaynak: TTK 376</t>
      </text>
    </comment>
    <comment ref="B9" authorId="0" shapeId="0">
      <text>
        <t>Tanım: ktk_kacirilanEsik | Neden önemli: TTK 376 / konkordato kriz kararını etkiler | Doğru kullanım: PANO fark uyarı eşiği | Örnek: demo satırına bakın | Yanlışsa: Özkaynak oranı ve karar bozulur | Kaynak: TTK 376</t>
      </text>
    </comment>
    <comment ref="B10" authorId="0" shapeId="0">
      <text>
        <t>Tanım: ktk_senaryoIyi | Neden önemli: TTK 376 / konkordato kriz kararını etkiler | Doğru kullanım: İyimser endeks çarpanı | Örnek: demo satırına bakın | Yanlışsa: Özkaynak oranı ve karar bozulur | Kaynak: TTK 376</t>
      </text>
    </comment>
    <comment ref="B11" authorId="0" shapeId="0">
      <text>
        <t>Tanım: ktk_senaryoKotu | Neden önemli: TTK 376 / konkordato kriz kararını etkiler | Doğru kullanım: Kötümser endeks çarpanı | Örnek: demo satırına bakın | Yanlışsa: Özkaynak oranı ve karar bozulur | Kaynak: TTK 376</t>
      </text>
    </comment>
    <comment ref="B12" authorId="0" shapeId="0">
      <text>
        <t>Tanım: ktk_oranArtisPuan | Neden önemli: TTK 376 / konkordato kriz kararını etkiler | Doğru kullanım: M-SEN sabit +1 puan | Örnek: demo satırına bakın | Yanlışsa: Özkaynak oranı ve karar bozulur | Kaynak: TTK 376</t>
      </text>
    </comment>
    <comment ref="B13" authorId="0" shapeId="0">
      <text>
        <t>Tanım: ktk_tahminAlt | Neden önemli: TTK 376 / konkordato kriz kararını etkiler | Doğru kullanım: Tahmin alt bant | Örnek: demo satırına bakın | Yanlışsa: Özkaynak oranı ve karar bozulur | Kaynak: TTK 376</t>
      </text>
    </comment>
    <comment ref="B14" authorId="0" shapeId="0">
      <text>
        <t>Tanım: ktk_tahminUst | Neden önemli: TTK 376 / konkordato kriz kararını etkiler | Doğru kullanım: Tahmin üst bant | Örnek: demo satırına bakın | Yanlışsa: Özkaynak oranı ve karar bozulur | Kaynak: TTK 376</t>
      </text>
    </comment>
    <comment ref="B15" authorId="0" shapeId="0">
      <text>
        <t>Tanım: ktk_tornadoMatrah | Neden önemli: TTK 376 / konkordato kriz kararını etkiler | Doğru kullanım: Tornado endeks şoku | Örnek: demo satırına bakın | Yanlışsa: Özkaynak oranı ve karar bozulur | Kaynak: TTK 376</t>
      </text>
    </comment>
    <comment ref="B16" authorId="0" shapeId="0">
      <text>
        <t>Tanım: ktk_tornadoMevcut | Neden önemli: TTK 376 / konkordato kriz kararını etkiler | Doğru kullanım: Tornado hakediş şoku | Örnek: demo satırına bakın | Yanlışsa: Özkaynak oranı ve karar bozulur | Kaynak: TTK 376</t>
      </text>
    </comment>
    <comment ref="B17" authorId="0" shapeId="0">
      <text>
        <t>Tanım: ktk_isverenOran | Neden önemli: TTK 376 / konkordato kriz kararını etkiler | Doğru kullanım: Yorum B yedek sabit artışı | Örnek: demo satırına bakın | Yanlışsa: Özkaynak oranı ve karar bozulur | Kaynak: TTK 376</t>
      </text>
    </comment>
    <comment ref="B18" authorId="0" shapeId="0">
      <text>
        <t>Tanım: ktk_yuzdelikOran | Neden önemli: TTK 376 / konkordato kriz kararını etkiler | Doğru kullanım: Yüzdelik P90 | Örnek: demo satırına bakın | Yanlışsa: Özkaynak oranı ve karar bozulur | Kaynak: TTK 376</t>
      </text>
    </comment>
    <comment ref="B19" authorId="0" shapeId="0">
      <text>
        <t>Tanım: ktk_parmakIzi | Neden önemli: TTK 376 / konkordato kriz kararını etkiler | Doğru kullanım: Dosya parmak izi etiketi | Örnek: demo satırına bakın | Yanlışsa: Özkaynak oranı ve karar bozulur | Kaynak: TTK 376</t>
      </text>
    </comment>
    <comment ref="B20" authorId="0" shapeId="0">
      <text>
        <t>Tanım: dosya_surumu | Neden önemli: TTK 376 / konkordato kriz kararını etkiler | Doğru kullanım: Ürün sürümü | Örnek: demo satırına bakın | Yanlışsa: Özkaynak oranı ve karar bozulur | Kaynak: TTK 376</t>
      </text>
    </comment>
    <comment ref="B21" authorId="0" shapeId="0">
      <text>
        <t>Tanım: ktk_girisBeklenen | Neden önemli: TTK 376 / konkordato kriz kararını etkiler | Doğru kullanım: Zorunlu giriş alanı sayısı | Örnek: demo satırına bakın | Yanlışsa: Özkaynak oranı ve karar bozulur | Kaynak: TTK 376</t>
      </text>
    </comment>
    <comment ref="B22" authorId="0" shapeId="0">
      <text>
        <t>Tanım: ktk_riskDusuk | Neden önemli: TTK 376 / konkordato kriz kararını etkiler | Doğru kullanım: TALEP ET risk skoru | Örnek: demo satırına bakın | Yanlışsa: Özkaynak oranı ve karar bozulur | Kaynak: TTK 376</t>
      </text>
    </comment>
    <comment ref="B23" authorId="0" shapeId="0">
      <text>
        <t>Tanım: ktk_riskOrta | Neden önemli: TTK 376 / konkordato kriz kararını etkiler | Doğru kullanım: BEKLE risk skoru | Örnek: demo satırına bakın | Yanlışsa: Özkaynak oranı ve karar bozulur | Kaynak: TTK 376</t>
      </text>
    </comment>
    <comment ref="B24" authorId="0" shapeId="0">
      <text>
        <t>Tanım: ktk_riskYuksek | Neden önemli: TTK 376 / konkordato kriz kararını etkiler | Doğru kullanım: VAZGEÇ risk skoru | Örnek: demo satırına bakın | Yanlışsa: Özkaynak oranı ve karar bozulur | Kaynak: TTK 376</t>
      </text>
    </comment>
    <comment ref="B25" authorId="0" shapeId="0">
      <text>
        <t>Tanım: ktk_riskEsikOran | Neden önemli: TTK 376 / konkordato kriz kararını etkiler | Doğru kullanım: Yedek risk oranı | Örnek: demo satırına bakın | Yanlışsa: Özkaynak oranı ve karar bozulur | Kaynak: TTK 376</t>
      </text>
    </comment>
    <comment ref="B26" authorId="0" shapeId="0">
      <text>
        <t>Tanım: ktk_yilTaban | Neden önemli: TTK 376 / konkordato kriz kararını etkiler | Doğru kullanım: CHOOSE yıl tabanı (hesapYili−taban) | Örnek: demo satırına bakın | Yanlışsa: Özkaynak oranı ve karar bozulur | Kaynak: TTK 376</t>
      </text>
    </comment>
    <comment ref="B27" authorId="0" shapeId="0">
      <text>
        <t>Tanım: ktk_yuvarMax | Neden önemli: TTK 376 / konkordato kriz kararını etkiler | Doğru kullanım: ROUND basamak tavanı | Örnek: demo satırına bakın | Yanlışsa: Özkaynak oranı ve karar bozulur | Kaynak: TTK 376</t>
      </text>
    </comment>
    <comment ref="B28" authorId="0" shapeId="0">
      <text>
        <t>Tanım: ktk_dayanakCarpan | Neden önemli: TTK 376 / konkordato kriz kararını etkiler | Doğru kullanım: Yedek çarpan | Örnek: demo satırına bakın | Yanlışsa: Özkaynak oranı ve karar bozulur | Kaynak: TTK 376</t>
      </text>
    </comment>
    <comment ref="B29" authorId="0" shapeId="0">
      <text>
        <t>Tanım: ktk_bazCarpan | Neden önemli: TTK 376 / konkordato kriz kararını etkiler | Doğru kullanım: Baz senaryo çarpanı | Örnek: demo satırına bakın | Yanlışsa: Özkaynak oranı ve karar bozulur | Kaynak: TTK 376</t>
      </text>
    </comment>
    <comment ref="B30" authorId="0" shapeId="0">
      <text>
        <t>Tanım: ktk_sifirCarpan | Neden önemli: TTK 376 / konkordato kriz kararını etkiler | Doğru kullanım: Nötr çarpan (sıfır) | Örnek: demo satırına bakın | Yanlışsa: Özkaynak oranı ve karar bozulur | Kaynak: TTK 376</t>
      </text>
    </comment>
    <comment ref="B31" authorId="0" shapeId="0">
      <text>
        <t>Tanım: ktk_siraBir | Neden önemli: TTK 376 / konkordato kriz kararını etkiler | Doğru kullanım: Tornado sıra 1 | Örnek: demo satırına bakın | Yanlışsa: Özkaynak oranı ve karar bozulur | Kaynak: TTK 376</t>
      </text>
    </comment>
    <comment ref="B32" authorId="0" shapeId="0">
      <text>
        <t>Tanım: ktk_siraIki | Neden önemli: TTK 376 / konkordato kriz kararını etkiler | Doğru kullanım: Tornado sıra 2 | Örnek: demo satırına bakın | Yanlışsa: Özkaynak oranı ve karar bozulur | Kaynak: TTK 376</t>
      </text>
    </comment>
    <comment ref="B33" authorId="0" shapeId="0">
      <text>
        <t>Tanım: ktk_siraUc | Neden önemli: TTK 376 / konkordato kriz kararını etkiler | Doğru kullanım: Tornado sıra 3 | Örnek: demo satırına bakın | Yanlışsa: Özkaynak oranı ve karar bozulur | Kaynak: TTK 376</t>
      </text>
    </comment>
    <comment ref="B34" authorId="0" shapeId="0">
      <text>
        <t>Tanım: ktk_tahminX | Neden önemli: TTK 376 / konkordato kriz kararını etkiler | Doğru kullanım: FORECAST X noktası | Örnek: demo satırına bakın | Yanlışsa: Özkaynak oranı ve karar bozulur | Kaynak: TTK 376</t>
      </text>
    </comment>
    <comment ref="B35" authorId="0" shapeId="0">
      <text>
        <t>Tanım: vaka_matrah_1 | Neden önemli: TTK 376 / konkordato kriz kararını etkiler | Doğru kullanım: Vaka1 hakediş | Örnek: demo satırına bakın | Yanlışsa: Özkaynak oranı ve karar bozulur | Kaynak: TTK 376</t>
      </text>
    </comment>
    <comment ref="B36" authorId="0" shapeId="0">
      <text>
        <t>Tanım: vaka_matrah_2 | Neden önemli: TTK 376 / konkordato kriz kararını etkiler | Doğru kullanım: Vaka2 hakediş | Örnek: demo satırına bakın | Yanlışsa: Özkaynak oranı ve karar bozulur | Kaynak: TTK 376</t>
      </text>
    </comment>
    <comment ref="B37" authorId="0" shapeId="0">
      <text>
        <t>Tanım: vaka_tavan | Neden önemli: TTK 376 / konkordato kriz kararını etkiler | Doğru kullanım: Vaka4 tavan | Örnek: demo satırına bakın | Yanlışsa: Özkaynak oranı ve karar bozulur | Kaynak: TTK 376</t>
      </text>
    </comment>
    <comment ref="B38" authorId="0" shapeId="0">
      <text>
        <t>Tanım: vaka_endeks_orani | Neden önemli: TTK 376 / konkordato kriz kararını etkiler | Doğru kullanım: Vaka1/3 endeks oranı | Örnek: demo satırına bakın | Yanlışsa: Özkaynak oranı ve karar bozulur | Kaynak: TTK 376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Ödenmiş"/>
    <tableColumn id="3" name="Yedek"/>
    <tableColumn id="4" name="Geçmiş Zarar"/>
    <tableColumn id="5" name="Dönem Net"/>
    <tableColumn id="6" name="Varlık"/>
    <tableColumn id="7" name="KV Borç"/>
    <tableColumn id="8" name="UV Borç"/>
    <tableColumn id="9" name="Özkaynak">
      <calculatedColumnFormula>=IF(tblOrnek[[#This Row],[Senaryo]]="","",IFERROR(tblOrnek[[#This Row],[Ödenmiş]]+tblOrnek[[#This Row],[Yedek]]-tblOrnek[[#This Row],[Geçmiş Zarar]]+tblOrnek[[#This Row],[Dönem Net]],0))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KONKORDATO + TTK 376 KRIZ PAKETI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CFO, SMMM, hukuk / kriz masası · 2026 Q3 Denetim Standardı</t>
        </is>
      </c>
    </row>
    <row r="5">
      <c r="B5" s="97" t="inlineStr">
        <is>
          <t>ÖZKAYNAK / SERMAYE ORANI</t>
        </is>
      </c>
      <c r="C5" s="98" t="n"/>
      <c r="D5" s="99" t="inlineStr">
        <is>
          <t>KONSOLİDE</t>
        </is>
      </c>
      <c r="E5" s="100" t="inlineStr">
        <is>
          <t>EKSIK SERMAYE TUTARI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1">
      <c r="B11" s="91" t="inlineStr">
        <is>
          <t>KONKORDATO + TTK 376 KRIZ PAKETI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KONKORDATO + TTK 376 KRIZ PAKETI —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KONKORDATO + TTK 376 KRIZ PAKETI — NİHAİ KARAR VE DEĞERLEME</t>
        </is>
      </c>
    </row>
    <row r="3">
      <c r="B3" s="158" t="inlineStr">
        <is>
          <t>Yönetim Kurulu ve İcra Komitesi için Otomatik Finansal Stres Testi Raporu · CFO, SMMM, hukuk / kriz masası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Konkordato + TTK 376 Kriz Paketi</t>
        </is>
      </c>
    </row>
    <row r="3" ht="30" customHeight="1">
      <c r="A3" s="3" t="inlineStr">
        <is>
          <t>Konkordato + TTK 376 Kriz Paketi</t>
        </is>
      </c>
    </row>
    <row r="4">
      <c r="A4" s="4" t="inlineStr">
        <is>
          <t>Ödenmiş sermaye, yedek, zarar ve borç girdilerini girin; TTK 376 özkaynak/sermaye oranını hesaplayıp NORMAL / DİKKAT / KRİZ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1/2 ve 2/3 eşik güncellemesine hazır motor</t>
        </is>
      </c>
    </row>
    <row r="8">
      <c r="A8" s="6" t="inlineStr">
        <is>
          <t>• Özkaynak, sermaye tabanı, kayıp oranı ve eksik sermaye tutarının yan yana hesabı</t>
        </is>
      </c>
    </row>
    <row r="9">
      <c r="A9" s="6" t="inlineStr">
        <is>
          <t>• Baz / iyimser / kötümser + kural değişimi (eşik −1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sermaye tamamlama süresi (yorum A / B)</t>
        </is>
      </c>
    </row>
    <row r="13">
      <c r="A13" s="5" t="inlineStr">
        <is>
          <t>Kimler için?</t>
        </is>
      </c>
    </row>
    <row r="14">
      <c r="A14" s="7" t="inlineStr">
        <is>
          <t>• CFO — özkaynak / sermaye tamamlamayı görmek</t>
        </is>
      </c>
    </row>
    <row r="15">
      <c r="A15" s="7" t="inlineStr">
        <is>
          <t>• Ortaklar kurulu — NORMAL / DİKKAT / KRİZ kararını almak</t>
        </is>
      </c>
    </row>
    <row r="16">
      <c r="A16" s="7" t="inlineStr">
        <is>
          <t>• SMMM / hukuk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Konkordato + TTK 376 Kriz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sermaye, zarar, varlık ve borçları sarı hücrelere girin.</t>
        </is>
      </c>
    </row>
    <row r="6">
      <c r="A6" s="10" t="inlineStr">
        <is>
          <t>Adım 2 — Karar</t>
        </is>
      </c>
      <c r="B6" s="6" t="inlineStr">
        <is>
          <t>PANO'da özkaynak oranını ve NORMAL / DİKKAT / KRİZ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Geçmiş yıl zararını pozitif yerine net özkaynak olarak yazmak</t>
        </is>
      </c>
    </row>
    <row r="11">
      <c r="A11" s="12" t="inlineStr">
        <is>
          <t>• Sermaye yedeklerini ödenmiş sermayeye eklememek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konkordato başvurusu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Konkordato + TTK 376 Kriz Paketi</t>
        </is>
      </c>
    </row>
    <row r="3">
      <c r="A3" s="9" t="inlineStr">
        <is>
          <t>Şirket ve bilanço girdileri</t>
        </is>
      </c>
    </row>
    <row r="4">
      <c r="A4" s="4" t="inlineStr">
        <is>
          <t>Sarı hücreler manuel giriştir. Özkaynak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Bilanço Dönemi</t>
        </is>
      </c>
      <c r="B7" s="31" t="inlineStr">
        <is>
          <t>2025-ARA-06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Ödenmiş Sermaye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Sermaye Yedekleri [₺]</t>
        </is>
      </c>
      <c r="B10" s="33" t="n">
        <v>1000000</v>
      </c>
      <c r="C10" s="28" t="inlineStr">
        <is>
          <t>₺</t>
        </is>
      </c>
    </row>
    <row r="11">
      <c r="A11" s="7" t="inlineStr">
        <is>
          <t>Geçmiş Yıl Zararları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Dönem Net Kâr/Zarar [₺]</t>
        </is>
      </c>
      <c r="B12" s="33" t="n">
        <v>-2500000</v>
      </c>
      <c r="C12" s="28" t="inlineStr">
        <is>
          <t>₺</t>
        </is>
      </c>
    </row>
    <row r="13">
      <c r="A13" s="7" t="inlineStr">
        <is>
          <t>Toplam Varlık [₺]</t>
        </is>
      </c>
      <c r="B13" s="33" t="n">
        <v>25000000</v>
      </c>
      <c r="C13" s="28" t="inlineStr">
        <is>
          <t>₺</t>
        </is>
      </c>
    </row>
    <row r="14">
      <c r="A14" s="7" t="inlineStr">
        <is>
          <t>Kısa Vadeli Borç [₺]</t>
        </is>
      </c>
      <c r="B14" s="33" t="n">
        <v>8000000</v>
      </c>
      <c r="C14" s="28" t="inlineStr">
        <is>
          <t>₺</t>
        </is>
      </c>
    </row>
    <row r="15">
      <c r="A15" s="7" t="inlineStr">
        <is>
          <t>Uzun Vadeli Borç [₺]</t>
        </is>
      </c>
      <c r="B15" s="33" t="n">
        <v>6000000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Özkaynak (ayna) [₺]</t>
        </is>
      </c>
      <c r="B18" s="34">
        <f>IFERROR(ktk_ozKaynak,0)</f>
        <v/>
      </c>
    </row>
    <row r="19">
      <c r="A19" s="10" t="inlineStr">
        <is>
          <t>Giriş doluluk (kalite)</t>
        </is>
      </c>
      <c r="B19" s="35">
        <f>IFERROR(IF(OR(COUNTA(B6:B16)=0,ktk_girisBeklenen=0),0,ROUND(COUNTA(B6:B16)/ktk_girisBeklenen*100,0)),0)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sirket_adi</t>
        </is>
      </c>
      <c r="B24" s="36" t="inlineStr">
        <is>
          <t>Örnek Sanayi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2025-ARA-06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odenmis_sermaye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sermaye_yedekleri</t>
        </is>
      </c>
      <c r="B28" s="39" t="n">
        <v>1000000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gecmis_yil_zararlari</t>
        </is>
      </c>
      <c r="B29" s="39" t="n">
        <v>4000000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donem_net_kar_zarar</t>
        </is>
      </c>
      <c r="B30" s="39" t="n">
        <v>-2500000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toplam_varlik</t>
        </is>
      </c>
      <c r="B31" s="39" t="n">
        <v>25000000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kisa_vadeli_borc</t>
        </is>
      </c>
      <c r="B32" s="39" t="n">
        <v>8000000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uzun_vadeli_borc</t>
        </is>
      </c>
      <c r="B33" s="39" t="n">
        <v>6000000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özkaynak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denmiş Sermaye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Sermaye Yedekler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çmiş Yıl Zararları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Toplam Varlı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ısa Vadeli Borç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Uzun Vadeli Borç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Ödenmiş Sermaye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Sermaye Yedekler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çmiş Zarar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Toplam Varlı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ısa Borç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Uzun Borç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Sınır dışı." promptTitle="Dönem Net" prompt="-1e12 ile 1e12 arasında TL." type="decimal" errorStyle="stop" operator="between">
      <formula1>-1000000000000</formula1>
      <formula2>1000000000000</formula2>
    </dataValidation>
    <dataValidation sqref="B30" showDropDown="0" showInputMessage="1" showErrorMessage="1" allowBlank="1" errorTitle="Geçersiz" error="Sınır dışı." promptTitle="Dönem Net" prompt="Tablo: dönem n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Konkordato + TTK 376 Kriz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KTK-001</t>
        </is>
      </c>
      <c r="B7" s="7" t="inlineStr">
        <is>
          <t>TTK 376/1</t>
        </is>
      </c>
      <c r="C7" s="7" t="inlineStr">
        <is>
          <t>esik_yari</t>
        </is>
      </c>
      <c r="D7" s="7" t="inlineStr">
        <is>
          <t>oran &lt; yarı</t>
        </is>
      </c>
      <c r="E7" s="7" t="inlineStr">
        <is>
          <t>esik_yari</t>
        </is>
      </c>
      <c r="F7" s="43" t="n">
        <v>0.5</v>
      </c>
      <c r="G7" s="43" t="n">
        <v>0.5</v>
      </c>
      <c r="H7" s="43" t="n">
        <v>0.5</v>
      </c>
      <c r="I7" s="7" t="inlineStr">
        <is>
          <t>01.01.2025</t>
        </is>
      </c>
      <c r="J7" s="7" t="inlineStr">
        <is>
          <t>Sermaye ve yedeklerin yarısı karşılıksız</t>
        </is>
      </c>
      <c r="K7" s="37">
        <f>IF($A7="","",IFERROR(CHOOSE(MAX(1,MIN(3,IF(OR(hesapYili="",hesapYili=0),1,hesapYili-ktk_yilTaban))),$F7,$G7,$H7),0))</f>
        <v/>
      </c>
    </row>
    <row r="8">
      <c r="A8" s="7" t="inlineStr">
        <is>
          <t>KTK-002</t>
        </is>
      </c>
      <c r="B8" s="7" t="inlineStr">
        <is>
          <t>TTK 376/2</t>
        </is>
      </c>
      <c r="C8" s="7" t="inlineStr">
        <is>
          <t>esik_ucte_bir</t>
        </is>
      </c>
      <c r="D8" s="7" t="inlineStr">
        <is>
          <t>oran &lt; 1/3</t>
        </is>
      </c>
      <c r="E8" s="7" t="inlineStr">
        <is>
          <t>esik_ucte_bir</t>
        </is>
      </c>
      <c r="F8" s="43" t="n">
        <v>0.333333</v>
      </c>
      <c r="G8" s="43" t="n">
        <v>0.333333</v>
      </c>
      <c r="H8" s="43" t="n">
        <v>0.333333</v>
      </c>
      <c r="I8" s="7" t="inlineStr">
        <is>
          <t>01.01.2025</t>
        </is>
      </c>
      <c r="J8" s="7" t="inlineStr">
        <is>
          <t>2/3 kayıp sonrası kalan 1/3 eşiği</t>
        </is>
      </c>
      <c r="K8" s="37">
        <f>IF($A8="","",IFERROR(CHOOSE(MAX(1,MIN(3,IF(OR(hesapYili="",hesapYili=0),1,hesapYili-ktk_yilTaban))),$F8,$G8,$H8),0))</f>
        <v/>
      </c>
    </row>
    <row r="9">
      <c r="A9" s="7" t="inlineStr">
        <is>
          <t>KTK-003</t>
        </is>
      </c>
      <c r="B9" s="7" t="inlineStr">
        <is>
          <t>TTK 376/3</t>
        </is>
      </c>
      <c r="C9" s="7" t="inlineStr">
        <is>
          <t>borca_batik</t>
        </is>
      </c>
      <c r="D9" s="7" t="inlineStr">
        <is>
          <t>borç &gt;= varlık</t>
        </is>
      </c>
      <c r="E9" s="7" t="inlineStr">
        <is>
          <t>borca_batik</t>
        </is>
      </c>
      <c r="F9" s="43" t="n">
        <v>1</v>
      </c>
      <c r="G9" s="43" t="n">
        <v>1</v>
      </c>
      <c r="H9" s="43" t="n">
        <v>1</v>
      </c>
      <c r="I9" s="7" t="inlineStr">
        <is>
          <t>01.01.2025</t>
        </is>
      </c>
      <c r="J9" s="7" t="inlineStr">
        <is>
          <t>Borca batıklık: borç/aktif oranı tavanı</t>
        </is>
      </c>
      <c r="K9" s="37">
        <f>IF($A9="","",IFERROR(CHOOSE(MAX(1,MIN(3,IF(OR(hesapYili="",hesapYili=0),1,hesapYili-ktk_yilTaban))),$F9,$G9,$H9),0))</f>
        <v/>
      </c>
    </row>
    <row r="10">
      <c r="A10" s="7" t="inlineStr">
        <is>
          <t>KTK-004</t>
        </is>
      </c>
      <c r="B10" s="7" t="inlineStr">
        <is>
          <t>İç politika</t>
        </is>
      </c>
      <c r="C10" s="7" t="inlineStr">
        <is>
          <t>dikkat_borc_aktif</t>
        </is>
      </c>
      <c r="D10" s="7" t="inlineStr">
        <is>
          <t>borç/aktif uyarı</t>
        </is>
      </c>
      <c r="E10" s="7" t="inlineStr">
        <is>
          <t>dikkat_borc_aktif</t>
        </is>
      </c>
      <c r="F10" s="43" t="n">
        <v>0.75</v>
      </c>
      <c r="G10" s="43" t="n">
        <v>0.75</v>
      </c>
      <c r="H10" s="43" t="n">
        <v>0.75</v>
      </c>
      <c r="I10" s="7" t="inlineStr">
        <is>
          <t>01.01.2025</t>
        </is>
      </c>
      <c r="J10" s="7" t="inlineStr">
        <is>
          <t>Borç/aktif dikkat eşiği</t>
        </is>
      </c>
      <c r="K10" s="37">
        <f>IF($A10="","",IFERROR(CHOOSE(MAX(1,MIN(3,IF(OR(hesapYili="",hesapYili=0),1,hesapYili-ktk_yilTaban))),$F10,$G10,$H10),0))</f>
        <v/>
      </c>
    </row>
    <row r="11">
      <c r="A11" s="7" t="inlineStr">
        <is>
          <t>KTK-005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IF($A11="","",IFERROR(CHOOSE(MAX(1,MIN(3,IF(OR(hesapYili="",hesapYili=0),1,hesapYili-ktk_yilTaban))),$F11,$G11,$H11),0))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Yarı eşik (aktif yıl)</t>
        </is>
      </c>
      <c r="B15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16">
      <c r="A16" s="7" t="inlineStr">
        <is>
          <t>1/3 eşik (aktif yıl)</t>
        </is>
      </c>
      <c r="B16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7">
      <c r="A17" s="7" t="inlineStr">
        <is>
          <t>Matris metni</t>
        </is>
      </c>
      <c r="B17" s="21">
        <f>IFERROR(_xlfn.TEXTJOIN(" | ",TRUE,"KTK-001=",TEXT(B15,"0.00"),"KTK-002=",TEXT(B16,"0.0%"),"yıl=",IF(OR(hesapYili="",hesapYili=0),"-",hesapYili)),"-")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Konkordato + TTK 376 Kriz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KTK-005</t>
        </is>
      </c>
      <c r="G7" s="35">
        <f>IFERROR(hesapYili,0)</f>
        <v/>
      </c>
    </row>
    <row r="8">
      <c r="A8" s="45" t="n">
        <v>2</v>
      </c>
      <c r="B8" s="24" t="inlineStr">
        <is>
          <t>Yarı eşik</t>
        </is>
      </c>
      <c r="C8" s="48">
        <f>IFERROR(INDEX(CHOOSE(MAX(1,MIN(3,IF(OR(hesapYili="",hesapYili=0),1,hesapYili-ktk_yilTaban))),tblKurallar[deger_2025],tblKurallar[deger_2026],tblKurallar[deger_2027]),MATCH("KTK-001",tblKurallar[kural_id],0)),0)</f>
        <v/>
      </c>
      <c r="D8" s="47" t="inlineStr">
        <is>
          <t>oran</t>
        </is>
      </c>
      <c r="E8" s="6" t="inlineStr">
        <is>
          <t>TTK 376/1 1/2 eşiği</t>
        </is>
      </c>
      <c r="F8" s="23" t="inlineStr">
        <is>
          <t>KTK-001</t>
        </is>
      </c>
      <c r="G8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9">
      <c r="A9" s="45" t="n">
        <v>3</v>
      </c>
      <c r="B9" s="24" t="inlineStr">
        <is>
          <t>1/3 eşik</t>
        </is>
      </c>
      <c r="C9" s="48">
        <f>IFERROR(INDEX(CHOOSE(MAX(1,MIN(3,IF(OR(hesapYili="",hesapYili=0),1,hesapYili-ktk_yilTaban))),tblKurallar[deger_2025],tblKurallar[deger_2026],tblKurallar[deger_2027]),MATCH("KTK-002",tblKurallar[kural_id],0)),0)</f>
        <v/>
      </c>
      <c r="D9" s="47" t="inlineStr">
        <is>
          <t>oran</t>
        </is>
      </c>
      <c r="E9" s="6" t="inlineStr">
        <is>
          <t>TTK 376/2 kalan 1/3</t>
        </is>
      </c>
      <c r="F9" s="23" t="inlineStr">
        <is>
          <t>KTK-002</t>
        </is>
      </c>
      <c r="G9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0">
      <c r="A10" s="45" t="n">
        <v>4</v>
      </c>
      <c r="B10" s="24" t="inlineStr">
        <is>
          <t>Borca batık tavan</t>
        </is>
      </c>
      <c r="C10" s="48">
        <f>IFERROR(INDEX(CHOOSE(MAX(1,MIN(3,IF(OR(hesapYili="",hesapYili=0),1,hesapYili-ktk_yilTaban))),tblKurallar[deger_2025],tblKurallar[deger_2026],tblKurallar[deger_2027]),MATCH("KTK-003",tblKurallar[kural_id],0)),0)</f>
        <v/>
      </c>
      <c r="D10" s="47" t="inlineStr">
        <is>
          <t>oran</t>
        </is>
      </c>
      <c r="E10" s="6" t="inlineStr">
        <is>
          <t>Borç/aktif tavan</t>
        </is>
      </c>
      <c r="F10" s="23" t="inlineStr">
        <is>
          <t>KTK-003</t>
        </is>
      </c>
      <c r="G10" s="25">
        <f>IFERROR(INDEX(CHOOSE(MAX(1,MIN(3,IF(OR(hesapYili="",hesapYili=0),1,hesapYili-ktk_yilTaban))),tblKurallar[deger_2025],tblKurallar[deger_2026],tblKurallar[deger_2027]),MATCH("KTK-003",tblKurallar[kural_id],0)),0)</f>
        <v/>
      </c>
    </row>
    <row r="11">
      <c r="A11" s="45" t="n">
        <v>5</v>
      </c>
      <c r="B11" s="24" t="inlineStr">
        <is>
          <t>Dikkat borç/aktif</t>
        </is>
      </c>
      <c r="C11" s="48">
        <f>IFERROR(INDEX(CHOOSE(MAX(1,MIN(3,IF(OR(hesapYili="",hesapYili=0),1,hesapYili-ktk_yilTaban))),tblKurallar[deger_2025],tblKurallar[deger_2026],tblKurallar[deger_2027]),MATCH("KTK-004",tblKurallar[kural_id],0)),0)</f>
        <v/>
      </c>
      <c r="D11" s="47" t="inlineStr">
        <is>
          <t>oran</t>
        </is>
      </c>
      <c r="E11" s="6" t="inlineStr">
        <is>
          <t>Borç/aktif uyarı</t>
        </is>
      </c>
      <c r="F11" s="23" t="inlineStr">
        <is>
          <t>KTK-004</t>
        </is>
      </c>
      <c r="G11" s="25">
        <f>IFERROR(INDEX(CHOOSE(MAX(1,MIN(3,IF(OR(hesapYili="",hesapYili=0),1,hesapYili-ktk_yilTaban))),tblKurallar[deger_2025],tblKurallar[deger_2026],tblKurallar[deger_2027]),MATCH("KTK-004",tblKurallar[kural_id],0)),0)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IFERROR(INDEX(CHOOSE(MAX(1,MIN(3,IF(OR(hesapYili="",hesapYili=0),1,hesapYili-ktk_yilTaban))),tblKurallar[deger_2025],tblKurallar[deger_2026],tblKurallar[deger_2027]),MATCH("KTK-005",tblKurallar[kural_id],0)),0)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KTK-005</t>
        </is>
      </c>
      <c r="G12" s="35">
        <f>IFERROR(INDEX(CHOOSE(MAX(1,MIN(3,IF(OR(hesapYili="",hesapYili=0),1,hesapYili-ktk_yilTaban))),tblKurallar[deger_2025],tblKurallar[deger_2026],tblKurallar[deger_2027]),MATCH("KTK-005",tblKurallar[kural_id],0)),0)</f>
        <v/>
      </c>
    </row>
    <row r="13">
      <c r="A13" s="45" t="n">
        <v>7</v>
      </c>
      <c r="B13" s="24" t="inlineStr">
        <is>
          <t>Ödenmiş sermaye</t>
        </is>
      </c>
      <c r="C13" s="49">
        <f>IFERROR(GIRDI!B9,0)</f>
        <v/>
      </c>
      <c r="D13" s="47" t="inlineStr">
        <is>
          <t>TL</t>
        </is>
      </c>
      <c r="E13" s="6" t="inlineStr">
        <is>
          <t>Ödenmiş sermaye</t>
        </is>
      </c>
      <c r="F13" s="23" t="inlineStr">
        <is>
          <t>KTK-001</t>
        </is>
      </c>
      <c r="G13" s="26">
        <f>IFERROR(GIRDI!B9,0)</f>
        <v/>
      </c>
    </row>
    <row r="14">
      <c r="A14" s="45" t="n">
        <v>8</v>
      </c>
      <c r="B14" s="24" t="inlineStr">
        <is>
          <t>Sermaye yedekleri</t>
        </is>
      </c>
      <c r="C14" s="49">
        <f>IFERROR(GIRDI!B10,0)</f>
        <v/>
      </c>
      <c r="D14" s="47" t="inlineStr">
        <is>
          <t>TL</t>
        </is>
      </c>
      <c r="E14" s="6" t="inlineStr">
        <is>
          <t>Sermaye yedekleri</t>
        </is>
      </c>
      <c r="F14" s="23" t="inlineStr">
        <is>
          <t>KTK-001</t>
        </is>
      </c>
      <c r="G14" s="26">
        <f>IFERROR(GIRDI!B10,0)</f>
        <v/>
      </c>
    </row>
    <row r="15">
      <c r="A15" s="45" t="n">
        <v>9</v>
      </c>
      <c r="B15" s="24" t="inlineStr">
        <is>
          <t>Geçmiş yıl zararları</t>
        </is>
      </c>
      <c r="C15" s="49">
        <f>IFERROR(GIRDI!B11,0)</f>
        <v/>
      </c>
      <c r="D15" s="47" t="inlineStr">
        <is>
          <t>TL</t>
        </is>
      </c>
      <c r="E15" s="6" t="inlineStr">
        <is>
          <t>Birikmiş zarar</t>
        </is>
      </c>
      <c r="F15" s="23" t="inlineStr">
        <is>
          <t>KTK-001</t>
        </is>
      </c>
      <c r="G15" s="26">
        <f>IFERROR(GIRDI!B11,0)</f>
        <v/>
      </c>
    </row>
    <row r="16">
      <c r="A16" s="45" t="n">
        <v>10</v>
      </c>
      <c r="B16" s="24" t="inlineStr">
        <is>
          <t>Dönem net kâr/zarar</t>
        </is>
      </c>
      <c r="C16" s="49">
        <f>IFERROR(GIRDI!B12,0)</f>
        <v/>
      </c>
      <c r="D16" s="47" t="inlineStr">
        <is>
          <t>TL</t>
        </is>
      </c>
      <c r="E16" s="6" t="inlineStr">
        <is>
          <t>Dönem sonucu</t>
        </is>
      </c>
      <c r="F16" s="23" t="inlineStr">
        <is>
          <t>KTK-001</t>
        </is>
      </c>
      <c r="G16" s="26">
        <f>IFERROR(GIRDI!B12,0)</f>
        <v/>
      </c>
    </row>
    <row r="17">
      <c r="A17" s="45" t="n">
        <v>11</v>
      </c>
      <c r="B17" s="24" t="inlineStr">
        <is>
          <t>Toplam varlık</t>
        </is>
      </c>
      <c r="C17" s="49">
        <f>IFERROR(GIRDI!B13,0)</f>
        <v/>
      </c>
      <c r="D17" s="47" t="inlineStr">
        <is>
          <t>TL</t>
        </is>
      </c>
      <c r="E17" s="6" t="inlineStr">
        <is>
          <t>Aktif toplamı</t>
        </is>
      </c>
      <c r="F17" s="23" t="inlineStr">
        <is>
          <t>KTK-003</t>
        </is>
      </c>
      <c r="G17" s="26">
        <f>IFERROR(GIRDI!B13,0)</f>
        <v/>
      </c>
    </row>
    <row r="18">
      <c r="A18" s="45" t="n">
        <v>12</v>
      </c>
      <c r="B18" s="24" t="inlineStr">
        <is>
          <t>Kısa vadeli borç</t>
        </is>
      </c>
      <c r="C18" s="49">
        <f>IFERROR(GIRDI!B14,0)</f>
        <v/>
      </c>
      <c r="D18" s="47" t="inlineStr">
        <is>
          <t>TL</t>
        </is>
      </c>
      <c r="E18" s="6" t="inlineStr">
        <is>
          <t>KV yabancı kaynak</t>
        </is>
      </c>
      <c r="F18" s="23" t="inlineStr">
        <is>
          <t>KTK-003</t>
        </is>
      </c>
      <c r="G18" s="26">
        <f>IFERROR(GIRDI!B14,0)</f>
        <v/>
      </c>
    </row>
    <row r="19">
      <c r="A19" s="45" t="n">
        <v>13</v>
      </c>
      <c r="B19" s="24" t="inlineStr">
        <is>
          <t>Uzun vadeli borç</t>
        </is>
      </c>
      <c r="C19" s="49">
        <f>IFERROR(GIRDI!B15,0)</f>
        <v/>
      </c>
      <c r="D19" s="47" t="inlineStr">
        <is>
          <t>TL</t>
        </is>
      </c>
      <c r="E19" s="6" t="inlineStr">
        <is>
          <t>UV yabancı kaynak</t>
        </is>
      </c>
      <c r="F19" s="23" t="inlineStr">
        <is>
          <t>KTK-003</t>
        </is>
      </c>
      <c r="G19" s="26">
        <f>IFERROR(GIRDI!B15,0)</f>
        <v/>
      </c>
    </row>
    <row r="20">
      <c r="A20" s="45" t="n">
        <v>14</v>
      </c>
      <c r="B20" s="24" t="inlineStr">
        <is>
          <t>Yarı eşik efektif</t>
        </is>
      </c>
      <c r="C20" s="48">
        <f>IFERROR(IF(GIRDI!B16="B",MAX(0,G8-ktk_oranArtisPuan),G8),0)</f>
        <v/>
      </c>
      <c r="D20" s="47" t="inlineStr">
        <is>
          <t>oran</t>
        </is>
      </c>
      <c r="E20" s="6" t="inlineStr">
        <is>
          <t>Yorum A/B yarı eşik</t>
        </is>
      </c>
      <c r="F20" s="23" t="inlineStr">
        <is>
          <t>KTK-001</t>
        </is>
      </c>
      <c r="G20" s="25">
        <f>IFERROR(IF(GIRDI!B16="B",MAX(0,G8-ktk_oranArtisPuan),G8),0)</f>
        <v/>
      </c>
    </row>
    <row r="21">
      <c r="A21" s="45" t="n">
        <v>15</v>
      </c>
      <c r="B21" s="24" t="inlineStr">
        <is>
          <t>Sermaye tabanı</t>
        </is>
      </c>
      <c r="C21" s="49">
        <f>IFERROR(G13+G14,0)</f>
        <v/>
      </c>
      <c r="D21" s="47" t="inlineStr">
        <is>
          <t>TL</t>
        </is>
      </c>
      <c r="E21" s="6" t="inlineStr">
        <is>
          <t>Sermaye + yedek</t>
        </is>
      </c>
      <c r="F21" s="23" t="inlineStr">
        <is>
          <t>KTK-001</t>
        </is>
      </c>
      <c r="G21" s="26">
        <f>IFERROR(G13+G14,0)</f>
        <v/>
      </c>
    </row>
    <row r="22">
      <c r="A22" s="45" t="n">
        <v>16</v>
      </c>
      <c r="B22" s="24" t="inlineStr">
        <is>
          <t>Özkaynak</t>
        </is>
      </c>
      <c r="C22" s="49">
        <f>IFERROR(G13+G14-G15+G16,0)</f>
        <v/>
      </c>
      <c r="D22" s="47" t="inlineStr">
        <is>
          <t>TL</t>
        </is>
      </c>
      <c r="E22" s="6" t="inlineStr">
        <is>
          <t>Özkaynak bileşeni</t>
        </is>
      </c>
      <c r="F22" s="23" t="inlineStr">
        <is>
          <t>KTK-001</t>
        </is>
      </c>
      <c r="G22" s="26">
        <f>IFERROR(G13+G14-G15+G16,0)</f>
        <v/>
      </c>
    </row>
    <row r="23">
      <c r="A23" s="45" t="n">
        <v>17</v>
      </c>
      <c r="B23" s="24" t="inlineStr">
        <is>
          <t>Özkaynak / sermaye</t>
        </is>
      </c>
      <c r="C23" s="48">
        <f>IFERROR(IF(G21=0,0,G22/G21),0)</f>
        <v/>
      </c>
      <c r="D23" s="47" t="inlineStr">
        <is>
          <t>oran</t>
        </is>
      </c>
      <c r="E23" s="6" t="inlineStr">
        <is>
          <t>TTK 376 oran</t>
        </is>
      </c>
      <c r="F23" s="23" t="inlineStr">
        <is>
          <t>KTK-001</t>
        </is>
      </c>
      <c r="G23" s="25">
        <f>IFERROR(IF(G21=0,0,G22/G21),0)</f>
        <v/>
      </c>
    </row>
    <row r="24">
      <c r="A24" s="45" t="n">
        <v>18</v>
      </c>
      <c r="B24" s="24" t="inlineStr">
        <is>
          <t>Kayıp oranı</t>
        </is>
      </c>
      <c r="C24" s="48">
        <f>IFERROR(MAX(0,1-G23),0)</f>
        <v/>
      </c>
      <c r="D24" s="47" t="inlineStr">
        <is>
          <t>oran</t>
        </is>
      </c>
      <c r="E24" s="6" t="inlineStr">
        <is>
          <t>1 − oran</t>
        </is>
      </c>
      <c r="F24" s="23" t="inlineStr">
        <is>
          <t>KTK-002</t>
        </is>
      </c>
      <c r="G24" s="25">
        <f>IFERROR(MAX(0,1-G23),0)</f>
        <v/>
      </c>
    </row>
    <row r="25">
      <c r="A25" s="45" t="n">
        <v>19</v>
      </c>
      <c r="B25" s="24" t="inlineStr">
        <is>
          <t>Eksik sermaye (yarıya)</t>
        </is>
      </c>
      <c r="C25" s="49">
        <f>IFERROR(ROUND(MAX(0,G21*G20-G22),MAX(0,MIN(ktk_yuvarMax,IFERROR(N(G12),0)))),0)</f>
        <v/>
      </c>
      <c r="D25" s="47" t="inlineStr">
        <is>
          <t>TL</t>
        </is>
      </c>
      <c r="E25" s="6" t="inlineStr">
        <is>
          <t>Yarı eşiğe tamamlamak</t>
        </is>
      </c>
      <c r="F25" s="23" t="inlineStr">
        <is>
          <t>KTK-001</t>
        </is>
      </c>
      <c r="G25" s="26">
        <f>IFERROR(ROUND(MAX(0,G21*G20-G22),MAX(0,MIN(ktk_yuvarMax,IFERROR(N(G12),0)))),0)</f>
        <v/>
      </c>
    </row>
    <row r="26">
      <c r="A26" s="45" t="n">
        <v>20</v>
      </c>
      <c r="B26" s="24" t="inlineStr">
        <is>
          <t>Eksik sermaye (1/3'e)</t>
        </is>
      </c>
      <c r="C26" s="49">
        <f>IFERROR(ROUND(MAX(0,G21*G9-G22),MAX(0,MIN(ktk_yuvarMax,IFERROR(N(G12),0)))),0)</f>
        <v/>
      </c>
      <c r="D26" s="47" t="inlineStr">
        <is>
          <t>TL</t>
        </is>
      </c>
      <c r="E26" s="6" t="inlineStr">
        <is>
          <t>1/3 eşiğe tamamlamak</t>
        </is>
      </c>
      <c r="F26" s="23" t="inlineStr">
        <is>
          <t>KTK-002</t>
        </is>
      </c>
      <c r="G26" s="26">
        <f>IFERROR(ROUND(MAX(0,G21*G9-G22),MAX(0,MIN(ktk_yuvarMax,IFERROR(N(G12),0)))),0)</f>
        <v/>
      </c>
    </row>
    <row r="27">
      <c r="A27" s="45" t="n">
        <v>21</v>
      </c>
      <c r="B27" s="24" t="inlineStr">
        <is>
          <t>Toplam borç</t>
        </is>
      </c>
      <c r="C27" s="49">
        <f>IFERROR(G18+G19,0)</f>
        <v/>
      </c>
      <c r="D27" s="47" t="inlineStr">
        <is>
          <t>TL</t>
        </is>
      </c>
      <c r="E27" s="6" t="inlineStr">
        <is>
          <t>KV+UV borç</t>
        </is>
      </c>
      <c r="F27" s="23" t="inlineStr">
        <is>
          <t>KTK-003</t>
        </is>
      </c>
      <c r="G27" s="26">
        <f>IFERROR(G18+G19,0)</f>
        <v/>
      </c>
    </row>
    <row r="28">
      <c r="A28" s="45" t="n">
        <v>22</v>
      </c>
      <c r="B28" s="24" t="inlineStr">
        <is>
          <t>Özkaynak (pano)</t>
        </is>
      </c>
      <c r="C28" s="49">
        <f>IFERROR(G22,0)</f>
        <v/>
      </c>
      <c r="D28" s="47" t="inlineStr">
        <is>
          <t>TL</t>
        </is>
      </c>
      <c r="E28" s="6" t="inlineStr">
        <is>
          <t>Özkaynak ayna</t>
        </is>
      </c>
      <c r="F28" s="23" t="inlineStr">
        <is>
          <t>KTK-001</t>
        </is>
      </c>
      <c r="G28" s="26">
        <f>IFERROR(G22,0)</f>
        <v/>
      </c>
    </row>
    <row r="29">
      <c r="A29" s="45" t="n">
        <v>23</v>
      </c>
      <c r="B29" s="24" t="inlineStr">
        <is>
          <t>Eksik (karar)</t>
        </is>
      </c>
      <c r="C29" s="49">
        <f>IFERROR(G25,0)</f>
        <v/>
      </c>
      <c r="D29" s="47" t="inlineStr">
        <is>
          <t>TL</t>
        </is>
      </c>
      <c r="E29" s="6" t="inlineStr">
        <is>
          <t>Eksik sermaye ayna</t>
        </is>
      </c>
      <c r="F29" s="23" t="inlineStr">
        <is>
          <t>KTK-001</t>
        </is>
      </c>
      <c r="G29" s="26">
        <f>IFERROR(G25,0)</f>
        <v/>
      </c>
    </row>
    <row r="30">
      <c r="A30" s="45" t="n">
        <v>24</v>
      </c>
      <c r="B30" s="24" t="inlineStr">
        <is>
          <t>Kritik açık</t>
        </is>
      </c>
      <c r="C30" s="49">
        <f>IFERROR(MAX(G25,G26),0)</f>
        <v/>
      </c>
      <c r="D30" s="47" t="inlineStr">
        <is>
          <t>TL</t>
        </is>
      </c>
      <c r="E30" s="6" t="inlineStr">
        <is>
          <t>En yüksek eksik</t>
        </is>
      </c>
      <c r="F30" s="23" t="inlineStr">
        <is>
          <t>KTK-002</t>
        </is>
      </c>
      <c r="G30" s="26">
        <f>IFERROR(MAX(G25,G26),0)</f>
        <v/>
      </c>
    </row>
    <row r="31">
      <c r="A31" s="45" t="n">
        <v>25</v>
      </c>
      <c r="B31" s="24" t="inlineStr">
        <is>
          <t>Borç / aktif</t>
        </is>
      </c>
      <c r="C31" s="48">
        <f>IFERROR(IF(G17=0,0,G27/G17),0)</f>
        <v/>
      </c>
      <c r="D31" s="47" t="inlineStr">
        <is>
          <t>oran</t>
        </is>
      </c>
      <c r="E31" s="6" t="inlineStr">
        <is>
          <t>Borç yoğunluğu</t>
        </is>
      </c>
      <c r="F31" s="23" t="inlineStr">
        <is>
          <t>KTK-003</t>
        </is>
      </c>
      <c r="G31" s="25">
        <f>IFERROR(IF(G17=0,0,G27/G17),0)</f>
        <v/>
      </c>
    </row>
    <row r="32">
      <c r="A32" s="45" t="n">
        <v>26</v>
      </c>
      <c r="B32" s="24" t="inlineStr">
        <is>
          <t>Varlık − borç</t>
        </is>
      </c>
      <c r="C32" s="49">
        <f>IFERROR(G17-G27,0)</f>
        <v/>
      </c>
      <c r="D32" s="47" t="inlineStr">
        <is>
          <t>TL</t>
        </is>
      </c>
      <c r="E32" s="6" t="inlineStr">
        <is>
          <t>Net aktif</t>
        </is>
      </c>
      <c r="F32" s="23" t="inlineStr">
        <is>
          <t>KTK-003</t>
        </is>
      </c>
      <c r="G32" s="26">
        <f>IFERROR(G17-G27,0)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Anahtarı])=0,"VERI_YOK",IF(OR(G22&lt;0,G31&gt;=G10,G23&lt;G9),"KRIZ",IF(OR(G23&lt;G20,G31&gt;=G11),"DIKKAT","NORMAL"))),"")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KTK-005</t>
        </is>
      </c>
      <c r="G33" s="27">
        <f>IFERROR(IF(COUNTA(tblGirdi[Alan Anahtarı])=0,"VERI_YOK",IF(OR(G22&lt;0,G31&gt;=G10,G23&lt;G9),"KRIZ",IF(OR(G23&lt;G20,G31&gt;=G11),"DIKKAT","NORMAL"))),"")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YOK",IF(G33="KRIZ","KRİZ",IF(G33="DIKKAT","DİKKAT","NORMAL"))),"")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KTK-005</t>
        </is>
      </c>
      <c r="G34" s="27">
        <f>IFERROR(IF(G33="VERI_YOK","VERİ YOK",IF(G33="KRIZ","KRİZ",IF(G33="DIKKAT","DİKKAT","NORMAL"))),"")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KTK-005</t>
        </is>
      </c>
      <c r="G35" s="27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</row>
    <row r="36">
      <c r="A36" s="45" t="n">
        <v>30</v>
      </c>
      <c r="B36" s="24" t="inlineStr">
        <is>
          <t>Özkaynak / varlık</t>
        </is>
      </c>
      <c r="C36" s="48">
        <f>IFERROR(IF(G17=0,0,G22/G17),0)</f>
        <v/>
      </c>
      <c r="D36" s="47" t="inlineStr">
        <is>
          <t>oran</t>
        </is>
      </c>
      <c r="E36" s="6" t="inlineStr">
        <is>
          <t>Özkaynak yoğunluğu</t>
        </is>
      </c>
      <c r="F36" s="23" t="inlineStr">
        <is>
          <t>KTK-001</t>
        </is>
      </c>
      <c r="G36" s="25">
        <f>IFERROR(IF(G17=0,0,G22/G17),0)</f>
        <v/>
      </c>
    </row>
    <row r="37">
      <c r="A37" s="45" t="n">
        <v>31</v>
      </c>
      <c r="B37" s="24" t="inlineStr">
        <is>
          <t>Eksik / sermaye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Eksik oranı</t>
        </is>
      </c>
      <c r="F37" s="23" t="inlineStr">
        <is>
          <t>KTK-001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IFERROR(ROUND(IF(OR(COUNTA(GIRDI!B6:B16)=0,ktk_girisBeklenen=0),0,COUNTA(GIRDI!B6:B16)/ktk_girisBeklenen*100),0),0)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KTK-005</t>
        </is>
      </c>
      <c r="G38" s="35">
        <f>IFERROR(ROUND(IF(OR(COUNTA(GIRDI!B6:B16)=0,ktk_girisBeklenen=0),0,COUNTA(GIRDI!B6:B16)/ktk_girisBeklenen*100),0),0)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IFERROR(IF(G33="VERI_YOK",0,IF(G33="NORMAL",ktk_riskDusuk,IF(G33="DIKKAT",ktk_riskOrta,ktk_riskYuksek))),0)</f>
        <v/>
      </c>
      <c r="D39" s="47" t="inlineStr">
        <is>
          <t>puan</t>
        </is>
      </c>
      <c r="E39" s="6" t="inlineStr">
        <is>
          <t>Kriz riski</t>
        </is>
      </c>
      <c r="F39" s="23" t="inlineStr">
        <is>
          <t>KTK-005</t>
        </is>
      </c>
      <c r="G39" s="35">
        <f>IFERROR(IF(G33="VERI_YOK",0,IF(G33="NORMAL",ktk_riskDusuk,IF(G33="DIKKAT",ktk_riskOrta,ktk_riskYuksek))),0)</f>
        <v/>
      </c>
    </row>
    <row r="40">
      <c r="A40" s="45" t="n">
        <v>34</v>
      </c>
      <c r="B40" s="24" t="inlineStr">
        <is>
          <t>Senaryo iyimser özkaynak</t>
        </is>
      </c>
      <c r="C40" s="49">
        <f>IFERROR(G22*ktk_senaryoIyi,0)</f>
        <v/>
      </c>
      <c r="D40" s="47" t="inlineStr">
        <is>
          <t>TL</t>
        </is>
      </c>
      <c r="E40" s="6" t="inlineStr">
        <is>
          <t>İyimser özkaynak</t>
        </is>
      </c>
      <c r="F40" s="23" t="inlineStr">
        <is>
          <t>KTK-001</t>
        </is>
      </c>
      <c r="G40" s="26">
        <f>IFERROR(G22*ktk_senaryoIyi,0)</f>
        <v/>
      </c>
    </row>
    <row r="41">
      <c r="A41" s="45" t="n">
        <v>35</v>
      </c>
      <c r="B41" s="24" t="inlineStr">
        <is>
          <t>Senaryo kötümser özkaynak</t>
        </is>
      </c>
      <c r="C41" s="49">
        <f>IFERROR(G22*ktk_senaryoKotu,0)</f>
        <v/>
      </c>
      <c r="D41" s="47" t="inlineStr">
        <is>
          <t>TL</t>
        </is>
      </c>
      <c r="E41" s="6" t="inlineStr">
        <is>
          <t>Kötümser özkaynak</t>
        </is>
      </c>
      <c r="F41" s="23" t="inlineStr">
        <is>
          <t>KTK-001</t>
        </is>
      </c>
      <c r="G41" s="26">
        <f>IFERROR(G22*ktk_senaryoKotu,0)</f>
        <v/>
      </c>
    </row>
    <row r="42">
      <c r="A42" s="45" t="n">
        <v>36</v>
      </c>
      <c r="B42" s="24" t="inlineStr">
        <is>
          <t>İyimser oran</t>
        </is>
      </c>
      <c r="C42" s="48">
        <f>IFERROR(IF(G21=0,0,G40/G21),0)</f>
        <v/>
      </c>
      <c r="D42" s="47" t="inlineStr">
        <is>
          <t>oran</t>
        </is>
      </c>
      <c r="E42" s="6" t="inlineStr">
        <is>
          <t>İyimser oran</t>
        </is>
      </c>
      <c r="F42" s="23" t="inlineStr">
        <is>
          <t>KTK-001</t>
        </is>
      </c>
      <c r="G42" s="25">
        <f>IFERROR(IF(G21=0,0,G40/G21),0)</f>
        <v/>
      </c>
    </row>
    <row r="43">
      <c r="A43" s="45" t="n">
        <v>37</v>
      </c>
      <c r="B43" s="24" t="inlineStr">
        <is>
          <t>Kötümser oran</t>
        </is>
      </c>
      <c r="C43" s="48">
        <f>IFERROR(IF(G21=0,0,G41/G21),0)</f>
        <v/>
      </c>
      <c r="D43" s="47" t="inlineStr">
        <is>
          <t>oran</t>
        </is>
      </c>
      <c r="E43" s="6" t="inlineStr">
        <is>
          <t>Kötümser oran</t>
        </is>
      </c>
      <c r="F43" s="23" t="inlineStr">
        <is>
          <t>KTK-001</t>
        </is>
      </c>
      <c r="G43" s="25">
        <f>IFERROR(IF(G21=0,0,G41/G21),0)</f>
        <v/>
      </c>
    </row>
    <row r="44">
      <c r="A44" s="45" t="n">
        <v>38</v>
      </c>
      <c r="B44" s="24" t="inlineStr">
        <is>
          <t>M-SEN yarı−</t>
        </is>
      </c>
      <c r="C44" s="48">
        <f>IFERROR(MAX(0,G8-ktk_oranArtisPuan),0)</f>
        <v/>
      </c>
      <c r="D44" s="47" t="inlineStr">
        <is>
          <t>oran</t>
        </is>
      </c>
      <c r="E44" s="6" t="inlineStr">
        <is>
          <t>Yarı − delta</t>
        </is>
      </c>
      <c r="F44" s="23" t="inlineStr">
        <is>
          <t>KTK-001</t>
        </is>
      </c>
      <c r="G44" s="25">
        <f>IFERROR(MAX(0,G8-ktk_oranArtisPuan),0)</f>
        <v/>
      </c>
    </row>
    <row r="45">
      <c r="A45" s="45" t="n">
        <v>39</v>
      </c>
      <c r="B45" s="24" t="inlineStr">
        <is>
          <t>M-SEN eksik</t>
        </is>
      </c>
      <c r="C45" s="49">
        <f>IFERROR(ROUND(MAX(0,G21*G44-G22),MAX(0,MIN(ktk_yuvarMax,IFERROR(N(G12),0)))),0)</f>
        <v/>
      </c>
      <c r="D45" s="47" t="inlineStr">
        <is>
          <t>TL</t>
        </is>
      </c>
      <c r="E45" s="6" t="inlineStr">
        <is>
          <t>M-SEN eksik sermaye</t>
        </is>
      </c>
      <c r="F45" s="23" t="inlineStr">
        <is>
          <t>KTK-001</t>
        </is>
      </c>
      <c r="G45" s="26">
        <f>IFERROR(ROUND(MAX(0,G21*G44-G22),MAX(0,MIN(ktk_yuvarMax,IFERROR(N(G12),0)))),0)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IFERROR(G45,0)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KTK-001</t>
        </is>
      </c>
      <c r="G46" s="26">
        <f>IFERROR(G45,0)</f>
        <v/>
      </c>
    </row>
    <row r="47">
      <c r="A47" s="45" t="n">
        <v>41</v>
      </c>
      <c r="B47" s="24" t="inlineStr">
        <is>
          <t>Tahmin üst</t>
        </is>
      </c>
      <c r="C47" s="49">
        <f>IFERROR(G30*ktk_tahminUst,0)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KTK-005</t>
        </is>
      </c>
      <c r="G47" s="26">
        <f>IFERROR(G30*ktk_tahminUst,0)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IFERROR(G30*ktk_tahminAlt,0)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KTK-005</t>
        </is>
      </c>
      <c r="G48" s="26">
        <f>IFERROR(G30*ktk_tahminAlt,0)</f>
        <v/>
      </c>
    </row>
    <row r="49">
      <c r="A49" s="45" t="n">
        <v>43</v>
      </c>
      <c r="B49" s="24" t="inlineStr">
        <is>
          <t>Tornado: sermaye etkisi</t>
        </is>
      </c>
      <c r="C49" s="49">
        <f>IFERROR(ABS(ROUND(MAX(0,(G21*ktk_tornadoMatrah)*G20-G22),MAX(0,MIN(ktk_yuvarMax,IFERROR(N(G12),0))))-G25),0)</f>
        <v/>
      </c>
      <c r="D49" s="47" t="inlineStr">
        <is>
          <t>TL</t>
        </is>
      </c>
      <c r="E49" s="6" t="inlineStr">
        <is>
          <t>Sermaye ± etki</t>
        </is>
      </c>
      <c r="F49" s="23" t="inlineStr">
        <is>
          <t>KTK-001</t>
        </is>
      </c>
      <c r="G49" s="26">
        <f>IFERROR(ABS(ROUND(MAX(0,(G21*ktk_tornadoMatrah)*G20-G22),MAX(0,MIN(ktk_yuvarMax,IFERROR(N(G12),0))))-G25),0)</f>
        <v/>
      </c>
    </row>
    <row r="50">
      <c r="A50" s="45" t="n">
        <v>44</v>
      </c>
      <c r="B50" s="24" t="inlineStr">
        <is>
          <t>Tornado: zarar etkisi</t>
        </is>
      </c>
      <c r="C50" s="49">
        <f>IFERROR(ABS(ROUND(MAX(0,G21*G20-(G13+G14-G15*ktk_tornadoMevcut+G16)),MAX(0,MIN(ktk_yuvarMax,IFERROR(N(G12),0))))-G25),0)</f>
        <v/>
      </c>
      <c r="D50" s="47" t="inlineStr">
        <is>
          <t>TL</t>
        </is>
      </c>
      <c r="E50" s="6" t="inlineStr">
        <is>
          <t>Zarar ± etki</t>
        </is>
      </c>
      <c r="F50" s="23" t="inlineStr">
        <is>
          <t>KTK-001</t>
        </is>
      </c>
      <c r="G50" s="26">
        <f>IFERROR(ABS(ROUND(MAX(0,G21*G20-(G13+G14-G15*ktk_tornadoMevcut+G16)),MAX(0,MIN(ktk_yuvarMax,IFERROR(N(G12),0))))-G25),0)</f>
        <v/>
      </c>
    </row>
    <row r="51">
      <c r="A51" s="45" t="n">
        <v>45</v>
      </c>
      <c r="B51" s="24" t="inlineStr">
        <is>
          <t>Tornado: eşik etkisi</t>
        </is>
      </c>
      <c r="C51" s="49">
        <f>IFERROR(ABS(ROUND(MAX(0,G21*(G8+ktk_oranArtisPuan)-G22),MAX(0,MIN(ktk_yuvarMax,IFERROR(N(G12),0))))-G25),0)</f>
        <v/>
      </c>
      <c r="D51" s="47" t="inlineStr">
        <is>
          <t>TL</t>
        </is>
      </c>
      <c r="E51" s="6" t="inlineStr">
        <is>
          <t>Eşik ± etki</t>
        </is>
      </c>
      <c r="F51" s="23" t="inlineStr">
        <is>
          <t>KTK-001</t>
        </is>
      </c>
      <c r="G51" s="26">
        <f>IFERROR(ABS(ROUND(MAX(0,G21*(G8+ktk_oranArtisPuan)-G22),MAX(0,MIN(ktk_yuvarMax,IFERROR(N(G12),0))))-G25),0)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",TRUE,"KTK-001→1/2 eşik","KTK-002→1/3 eşik","KTK-003→borca batık","KTK-004→borç/aktif"),"")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KTK-001</t>
        </is>
      </c>
      <c r="G52" s="27">
        <f>IFERROR(_xlfn.TEXTJOIN(" | ",TRUE,"KTK-001→1/2 eşik","KTK-002→1/3 eşik","KTK-003→borca batık","KTK-004→borç/aktif"),"")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",TRUE,"Oran=",TEXT(G23,"0.0%"),"Özkaynak=",TEXT(G22,"₺ #,##0"),"Eksik=",TEXT(G30,"₺ #,##0"),"Borç/Aktif=",TEXT(G31,"0.0%")),"")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KTK-005</t>
        </is>
      </c>
      <c r="G53" s="27">
        <f>IFERROR(_xlfn.TEXTJOIN(" · ",TRUE,"Oran=",TEXT(G23,"0.0%"),"Özkaynak=",TEXT(G22,"₺ #,##0"),"Eksik=",TEXT(G30,"₺ #,##0"),"Borç/Aktif=",TEXT(G31,"0.0%")),"")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F7="KTK-001"</formula>
    </cfRule>
    <cfRule type="expression" priority="3" dxfId="3">
      <formula>F7="KTK-005"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Konkordato + TTK 376 Kriz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Özkaynak Çarpanı</t>
        </is>
      </c>
      <c r="C5" s="50" t="inlineStr">
        <is>
          <t>Özkaynak</t>
        </is>
      </c>
      <c r="D5" s="50" t="inlineStr">
        <is>
          <t>Eksik Sermaye</t>
        </is>
      </c>
      <c r="E5" s="50" t="inlineStr">
        <is>
          <t>Karar</t>
        </is>
      </c>
      <c r="G5" s="50" t="inlineStr">
        <is>
          <t>EksikDemo</t>
        </is>
      </c>
    </row>
    <row r="6">
      <c r="A6" s="7" t="inlineStr">
        <is>
          <t>İyimser</t>
        </is>
      </c>
      <c r="B6" s="25">
        <f>IFERROR(ktk_senaryoIyi+N(GIRDI!B9)*ktk_sifirCarpan,0)</f>
        <v/>
      </c>
      <c r="C6" s="26">
        <f>IFERROR(MOTOR!G40,0)</f>
        <v/>
      </c>
      <c r="D6" s="26">
        <f>IFERROR(ROUND(MAX(0,MOTOR!G21*MOTOR!G20-MOTOR!G40),2),0)</f>
        <v/>
      </c>
      <c r="E6" s="27">
        <f>IF(COUNTA(tblGirdi[Alan Anahtarı])=0,"VERİ YOK",IF(D6=0,"NORMAL","DİKKAT"))</f>
        <v/>
      </c>
      <c r="G6" s="29" t="n">
        <v>550000</v>
      </c>
    </row>
    <row r="7">
      <c r="A7" s="7" t="inlineStr">
        <is>
          <t>Baz</t>
        </is>
      </c>
      <c r="B7" s="25">
        <f>IFERROR(ktk_bazCarpan+N(GIRDI!B9)*ktk_sifirCarpan,ktk_bazCarpan)</f>
        <v/>
      </c>
      <c r="C7" s="26">
        <f>IFERROR(ktk_ozKaynak,0)</f>
        <v/>
      </c>
      <c r="D7" s="26">
        <f>IFERROR(ktk_eksikSermaye,0)</f>
        <v/>
      </c>
      <c r="E7" s="27">
        <f>IF(COUNTA(tblGirdi[Alan Anahtarı])=0,"VERİ YOK",IFERROR(ktk_kararMetni,"-"))</f>
        <v/>
      </c>
      <c r="G7" s="29" t="n">
        <v>1000000</v>
      </c>
    </row>
    <row r="8">
      <c r="A8" s="7" t="inlineStr">
        <is>
          <t>Kötümser</t>
        </is>
      </c>
      <c r="B8" s="25">
        <f>IFERROR(ktk_senaryoKotu+N(GIRDI!B9)*ktk_sifirCarpan,0)</f>
        <v/>
      </c>
      <c r="C8" s="26">
        <f>IFERROR(MOTOR!G41,0)</f>
        <v/>
      </c>
      <c r="D8" s="26">
        <f>IFERROR(ROUND(MAX(0,MOTOR!G21*MOTOR!G20-MOTOR!G41),2),0)</f>
        <v/>
      </c>
      <c r="E8" s="27">
        <f>IF(COUNTA(tblGirdi[Alan Anahtarı])=0,"VERİ YOK",IF(C8&lt;MOTOR!G21*MOTOR!G9,"KRİZ","DİKKAT"))</f>
        <v/>
      </c>
      <c r="G8" s="29" t="n">
        <v>1900000</v>
      </c>
    </row>
    <row r="9">
      <c r="A9" s="7" t="inlineStr">
        <is>
          <t>M-SEN −1 puan</t>
        </is>
      </c>
      <c r="B9" s="25">
        <f>IFERROR(ktk_bazCarpan+N(GIRDI!B9)*ktk_sifirCarpan,ktk_bazCarpan)</f>
        <v/>
      </c>
      <c r="C9" s="26">
        <f>IFERROR(ktk_ozKaynak,0)</f>
        <v/>
      </c>
      <c r="D9" s="26">
        <f>IFERROR(MOTOR!G46,0)</f>
        <v/>
      </c>
      <c r="E9" s="27">
        <f>IF(COUNTA(tblGirdi[Alan Anahtarı])=0,"VERİ YOK",IF(D9=0,"NORMAL","DİKKAT"))</f>
        <v/>
      </c>
      <c r="G9" s="29" t="n">
        <v>890000</v>
      </c>
    </row>
    <row r="11">
      <c r="A11" s="10" t="inlineStr">
        <is>
          <t>Senaryo bant genişliği (iyimser−kötümser eksik)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eksik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sermaye etkisi</t>
        </is>
      </c>
      <c r="B16" s="26">
        <f>IFERROR(MOTOR!G49,0)</f>
        <v/>
      </c>
      <c r="C16" s="35">
        <f>IFERROR(IF(B16&gt;=MAX(B16:B18),ktk_siraBir,IF(B16&gt;=MIN(B16:B18)+ABS(B16-B17),ktk_siraIki,ktk_siraUc)),ktk_siraUc)</f>
        <v/>
      </c>
      <c r="E16" s="29" t="n">
        <v>550000</v>
      </c>
    </row>
    <row r="17">
      <c r="A17" s="7" t="inlineStr">
        <is>
          <t>Tornado zarar etkisi</t>
        </is>
      </c>
      <c r="B17" s="26">
        <f>IFERROR(MOTOR!G50,0)</f>
        <v/>
      </c>
      <c r="C17" s="35">
        <f>IFERROR(IF(B17&gt;=MAX(B16:B18),ktk_siraBir,IF(B17=MEDIAN(B16:B18),ktk_siraIki,ktk_siraUc)),ktk_siraUc)</f>
        <v/>
      </c>
      <c r="E17" s="29" t="n">
        <v>400000</v>
      </c>
    </row>
    <row r="18">
      <c r="A18" s="7" t="inlineStr">
        <is>
          <t>Tornado eşik etkisi</t>
        </is>
      </c>
      <c r="B18" s="26">
        <f>IFERROR(MOTOR!G51,0)</f>
        <v/>
      </c>
      <c r="C18" s="35">
        <f>IFERROR(IF(B18&gt;=MAX(B16:B18),ktk_siraBir,IF(B18=MEDIAN(B16:B18),ktk_siraIki,ktk_siraUc)),ktk_siraUc)</f>
        <v/>
      </c>
      <c r="E18" s="29" t="n">
        <v>110000</v>
      </c>
    </row>
    <row r="19">
      <c r="A19" s="10" t="inlineStr">
        <is>
          <t>Duyarlılık sıra özeti</t>
        </is>
      </c>
      <c r="B19" s="27">
        <f>IFERROR(CONCATENATE("1)",INDEX(A16:A18,MATCH(ktk_siraBir,C16:C18,0))," 2)",INDEX(A16:A18,MATCH(ktk_siraIki,C16:C18,0))),"-")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eksik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",TRUE,"Yarı eşik −1 puan senaryosunda eksik sermaye ",TEXT(D9,"₺ #,##0")," TL")</f>
        <v/>
      </c>
    </row>
    <row r="25">
      <c r="A25" s="10" t="inlineStr">
        <is>
          <t>Tahmin aralığı (eksik)</t>
        </is>
      </c>
      <c r="B25" s="26">
        <f>MOTOR!G48</f>
        <v/>
      </c>
      <c r="C25" s="26">
        <f>IFERROR(MOTOR!G30,0)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550000</v>
      </c>
    </row>
    <row r="29">
      <c r="A29" s="51" t="n">
        <v>2</v>
      </c>
      <c r="B29" s="26">
        <f>D7</f>
        <v/>
      </c>
      <c r="D29" s="29" t="n">
        <v>1000000</v>
      </c>
    </row>
    <row r="30">
      <c r="A30" s="51" t="n">
        <v>3</v>
      </c>
      <c r="B30" s="26">
        <f>D8</f>
        <v/>
      </c>
      <c r="D30" s="29" t="n">
        <v>1900000</v>
      </c>
    </row>
    <row r="31">
      <c r="A31" s="51" t="n">
        <v>4</v>
      </c>
      <c r="B31" s="26">
        <f>D9</f>
        <v/>
      </c>
      <c r="D31" s="29" t="n">
        <v>890000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Konkordato + TTK 376 Kriz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Yarı eşik × sermaye</t>
        </is>
      </c>
      <c r="C6" s="7" t="inlineStr">
        <is>
          <t>sermaye=vaka_matrah_1; esik=KTK-001</t>
        </is>
      </c>
      <c r="D6" s="52" t="n">
        <v>50000</v>
      </c>
      <c r="E6" s="26">
        <f>IFERROR(ROUND(vaka_matrah_1*INDEX(tblKurallar[deger_2025],MATCH("KTK-001",tblKurallar[kural_id],0)),2),0)</f>
        <v/>
      </c>
      <c r="F6" s="53">
        <f>IF($A6="","",IFERROR($D6-$E6,0))</f>
        <v/>
      </c>
      <c r="G6" s="54">
        <f>IF($A6="","",IFERROR(IF(ABS($F6)&lt;=ktk_tolerans,"TUTARLI","KIRIK"),"KIRIK"))</f>
        <v/>
      </c>
      <c r="H6" s="7" t="inlineStr">
        <is>
          <t>TTK 376/1 yarı eşik</t>
        </is>
      </c>
      <c r="J6" s="29" t="n">
        <v>50000</v>
      </c>
      <c r="K6" s="29" t="n">
        <v>50000</v>
      </c>
    </row>
    <row r="7">
      <c r="A7" s="7" t="inlineStr">
        <is>
          <t>V-002</t>
        </is>
      </c>
      <c r="B7" s="7" t="inlineStr">
        <is>
          <t>1/3 eşik × sermaye</t>
        </is>
      </c>
      <c r="C7" s="7" t="inlineStr">
        <is>
          <t>sermaye=vaka_matrah_2; esik=KTK-002</t>
        </is>
      </c>
      <c r="D7" s="52" t="n">
        <v>66666.60000000001</v>
      </c>
      <c r="E7" s="26">
        <f>IFERROR(ROUND(vaka_matrah_2*INDEX(tblKurallar[deger_2025],MATCH("KTK-002",tblKurallar[kural_id],0)),2),0)</f>
        <v/>
      </c>
      <c r="F7" s="53">
        <f>IF($A7="","",IFERROR($D7-$E7,0))</f>
        <v/>
      </c>
      <c r="G7" s="54">
        <f>IF($A7="","",IFERROR(IF(ABS($F7)&lt;=ktk_tolerans,"TUTARLI","KIRIK"),"KIRIK"))</f>
        <v/>
      </c>
      <c r="H7" s="7" t="inlineStr">
        <is>
          <t>TTK 376/2 1/3 eşik</t>
        </is>
      </c>
      <c r="J7" s="29" t="n">
        <v>66666.60000000001</v>
      </c>
      <c r="K7" s="29" t="n">
        <v>66666.60000000001</v>
      </c>
    </row>
    <row r="8">
      <c r="A8" s="7" t="inlineStr">
        <is>
          <t>V-003</t>
        </is>
      </c>
      <c r="B8" s="7" t="inlineStr">
        <is>
          <t>Birikimli yarı + 1/3</t>
        </is>
      </c>
      <c r="C8" s="7" t="inlineStr">
        <is>
          <t>V-001 + V-002</t>
        </is>
      </c>
      <c r="D8" s="52" t="n">
        <v>116666.6</v>
      </c>
      <c r="E8" s="26">
        <f>IFERROR(ROUND(vaka_matrah_1*INDEX(tblKurallar[deger_2025],MATCH("KTK-001",tblKurallar[kural_id],0))+vaka_matrah_2*INDEX(tblKurallar[deger_2025],MATCH("KTK-002",tblKurallar[kural_id],0)),2),0)</f>
        <v/>
      </c>
      <c r="F8" s="53">
        <f>IF($A8="","",IFERROR($D8-$E8,0))</f>
        <v/>
      </c>
      <c r="G8" s="54">
        <f>IF($A8="","",IFERROR(IF(ABS($F8)&lt;=ktk_tolerans,"TUTARLI","KIRIK"),"KIRIK"))</f>
        <v/>
      </c>
      <c r="H8" s="7" t="inlineStr">
        <is>
          <t>Birikim yorum A</t>
        </is>
      </c>
      <c r="J8" s="29" t="n">
        <v>116666.6</v>
      </c>
      <c r="K8" s="29" t="n">
        <v>116666.6</v>
      </c>
    </row>
    <row r="9">
      <c r="A9" s="7" t="inlineStr">
        <is>
          <t>V-004</t>
        </is>
      </c>
      <c r="B9" s="7" t="inlineStr">
        <is>
          <t>Varlık × borç/aktif dikkat</t>
        </is>
      </c>
      <c r="C9" s="7" t="inlineStr">
        <is>
          <t>varlik=vaka_tavan; oran=KTK-004</t>
        </is>
      </c>
      <c r="D9" s="52" t="n">
        <v>112500</v>
      </c>
      <c r="E9" s="26">
        <f>IFERROR(ROUND(vaka_tavan*INDEX(tblKurallar[deger_2025],MATCH("KTK-004",tblKurallar[kural_id],0)),2),0)</f>
        <v/>
      </c>
      <c r="F9" s="53">
        <f>IF($A9="","",IFERROR($D9-$E9,0))</f>
        <v/>
      </c>
      <c r="G9" s="54">
        <f>IF($A9="","",IFERROR(IF(ABS($F9)&lt;=ktk_tolerans,"TUTARLI","KIRIK"),"KIRIK"))</f>
        <v/>
      </c>
      <c r="H9" s="7" t="inlineStr">
        <is>
          <t>KTK-004 borç/aktif</t>
        </is>
      </c>
      <c r="J9" s="29" t="n">
        <v>112500</v>
      </c>
      <c r="K9" s="29" t="n">
        <v>112500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Konkordato + TTK 376 Kriz Paketi</t>
        </is>
      </c>
    </row>
    <row r="3">
      <c r="A3" s="56" t="inlineStr">
        <is>
          <t>KANIT RAPORU — Konkordato + TTK 376 Kriz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Ödenmiş sermaye</t>
        </is>
      </c>
      <c r="B9" s="26">
        <f>GIRDI!B9</f>
        <v/>
      </c>
    </row>
    <row r="10">
      <c r="A10" s="7" t="inlineStr">
        <is>
          <t>Sermaye yedekleri</t>
        </is>
      </c>
      <c r="B10" s="26">
        <f>GIRDI!B10</f>
        <v/>
      </c>
    </row>
    <row r="11">
      <c r="A11" s="7" t="inlineStr">
        <is>
          <t>Geçmiş yıl zararları</t>
        </is>
      </c>
      <c r="B11" s="26">
        <f>GIRDI!B11</f>
        <v/>
      </c>
    </row>
    <row r="12">
      <c r="A12" s="7" t="inlineStr">
        <is>
          <t>Dönem net kâr/zarar</t>
        </is>
      </c>
      <c r="B12" s="26">
        <f>GIRDI!B12</f>
        <v/>
      </c>
    </row>
    <row r="13">
      <c r="A13" s="7" t="inlineStr">
        <is>
          <t>Toplam varlık</t>
        </is>
      </c>
      <c r="B13" s="26">
        <f>GIRDI!B13</f>
        <v/>
      </c>
    </row>
    <row r="14">
      <c r="A14" s="7" t="inlineStr">
        <is>
          <t>Kısa vadeli borç</t>
        </is>
      </c>
      <c r="B14" s="26">
        <f>GIRDI!B14</f>
        <v/>
      </c>
    </row>
    <row r="15">
      <c r="A15" s="7" t="inlineStr">
        <is>
          <t>Uzun vadeli borç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Özkaynak</t>
        </is>
      </c>
      <c r="B18" s="34">
        <f>ktk_ozKaynak</f>
        <v/>
      </c>
    </row>
    <row r="19">
      <c r="A19" s="7" t="inlineStr">
        <is>
          <t>Eksik sermaye (karar)</t>
        </is>
      </c>
      <c r="B19" s="34">
        <f>ktk_eksikSermaye</f>
        <v/>
      </c>
    </row>
    <row r="20">
      <c r="A20" s="10" t="inlineStr">
        <is>
          <t>KARAR</t>
        </is>
      </c>
      <c r="B20" s="58">
        <f>ktk_kararMetni</f>
        <v/>
      </c>
    </row>
    <row r="21">
      <c r="A21" s="7" t="inlineStr">
        <is>
          <t>Gerekçe</t>
        </is>
      </c>
      <c r="B21" s="21">
        <f>ktk_kararGerekce</f>
        <v/>
      </c>
    </row>
    <row r="23">
      <c r="A23" s="10" t="inlineStr">
        <is>
          <t>Madde atıfları</t>
        </is>
      </c>
      <c r="B23" s="21">
        <f>ktk_maddeAtifMetni</f>
        <v/>
      </c>
    </row>
    <row r="25">
      <c r="A25" s="10" t="inlineStr">
        <is>
          <t>Kanıt gövdesi</t>
        </is>
      </c>
      <c r="B25" s="21">
        <f>ktk_kanitRaporu</f>
        <v/>
      </c>
    </row>
    <row r="27">
      <c r="A27" s="7" t="inlineStr">
        <is>
          <t>Parmak izi (SHA-256 kısaltma)</t>
        </is>
      </c>
      <c r="B27" s="28">
        <f>ktk_parmakIzi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konkordato / TTK 376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&amp;LKonkordato + TTK 376 Kriz Paketi · 1.0.0&amp;CExcelArşiv&amp;RSayfa &amp;P / &amp;N</oddFooter>
    <evenHeader/>
    <evenFooter>&amp;LKonkordato + TTK 376 Kriz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Konkordato + TTK 376 Kriz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ödenmiş sermaye?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IFERROR(IF(AND(N(hesapYili)&gt;N(ktk_yilTaban),N(hesapYili)&lt;=N(ktk_yilTaban)+3),"TEMİZ","HATALI"),"HATALI")</f>
        <v/>
      </c>
    </row>
    <row r="8">
      <c r="A8" s="7" t="inlineStr">
        <is>
          <t>Sermaye tabanı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Eksik eşiği aşıyor mu?</t>
        </is>
      </c>
      <c r="B10" s="27">
        <f>IF(IFERROR(MOTOR!G30,0)&gt;ktk_kacirilanEsik+N(GIRDI!B9)*ktk_sifirCarpan,"AŞIYOR","NORMAL")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IFERROR(ktk_girisBeklenen+COUNTA(GIRDI!B6:B16)*0,0)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Özkaynak kontrol</t>
        </is>
      </c>
      <c r="B17" s="26">
        <f>IFERROR(ktk_ozKaynak,0)</f>
        <v/>
      </c>
    </row>
    <row r="18">
      <c r="A18" s="7" t="inlineStr">
        <is>
          <t>Eksik (karar) kontrol</t>
        </is>
      </c>
      <c r="B18" s="26">
        <f>IFERROR(ktk_eksikSermaye,0)</f>
        <v/>
      </c>
    </row>
    <row r="19">
      <c r="A19" s="7" t="inlineStr">
        <is>
          <t>Karar kontrol</t>
        </is>
      </c>
      <c r="B19" s="27">
        <f>IFERROR(ktk_kararMetni,"-")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Konkordato + TTK 376 Kriz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Ödenmiş</t>
        </is>
      </c>
      <c r="C5" s="22" t="inlineStr">
        <is>
          <t>Yedek</t>
        </is>
      </c>
      <c r="D5" s="22" t="inlineStr">
        <is>
          <t>Geçmiş Zarar</t>
        </is>
      </c>
      <c r="E5" s="22" t="inlineStr">
        <is>
          <t>Dönem Net</t>
        </is>
      </c>
      <c r="F5" s="22" t="inlineStr">
        <is>
          <t>Varlık</t>
        </is>
      </c>
      <c r="G5" s="22" t="inlineStr">
        <is>
          <t>KV Borç</t>
        </is>
      </c>
      <c r="H5" s="22" t="inlineStr">
        <is>
          <t>UV Borç</t>
        </is>
      </c>
      <c r="I5" s="22" t="inlineStr">
        <is>
          <t>Özkaynak</t>
        </is>
      </c>
      <c r="L5" s="50" t="inlineStr">
        <is>
          <t>OzDemo</t>
        </is>
      </c>
    </row>
    <row r="6">
      <c r="A6" s="36" t="inlineStr">
        <is>
          <t>Demo ana</t>
        </is>
      </c>
      <c r="B6" s="39" t="n">
        <v>10000000</v>
      </c>
      <c r="C6" s="39" t="n">
        <v>1000000</v>
      </c>
      <c r="D6" s="39" t="n">
        <v>4000000</v>
      </c>
      <c r="E6" s="39" t="n">
        <v>-2500000</v>
      </c>
      <c r="F6" s="39" t="n">
        <v>25000000</v>
      </c>
      <c r="G6" s="39" t="n">
        <v>8000000</v>
      </c>
      <c r="H6" s="39" t="n">
        <v>6000000</v>
      </c>
      <c r="I6" s="37">
        <f>IF($A6="","",IFERROR($B6+$C6-$D6+$E6,0))</f>
        <v/>
      </c>
      <c r="L6" s="29" t="n">
        <v>4500000</v>
      </c>
    </row>
    <row r="7">
      <c r="A7" s="36" t="inlineStr">
        <is>
          <t>Kriz</t>
        </is>
      </c>
      <c r="B7" s="39" t="n">
        <v>5000000</v>
      </c>
      <c r="C7" s="39" t="n">
        <v>200000</v>
      </c>
      <c r="D7" s="39" t="n">
        <v>3500000</v>
      </c>
      <c r="E7" s="39" t="n">
        <v>-1200000</v>
      </c>
      <c r="F7" s="39" t="n">
        <v>12000000</v>
      </c>
      <c r="G7" s="39" t="n">
        <v>7000000</v>
      </c>
      <c r="H7" s="39" t="n">
        <v>5000000</v>
      </c>
      <c r="I7" s="37">
        <f>IF($A7="","",IFERROR($B7+$C7-$D7+$E7,0))</f>
        <v/>
      </c>
      <c r="L7" s="29" t="n">
        <v>500000</v>
      </c>
    </row>
    <row r="8">
      <c r="A8" s="36" t="inlineStr">
        <is>
          <t>Normal</t>
        </is>
      </c>
      <c r="B8" s="39" t="n">
        <v>8000000</v>
      </c>
      <c r="C8" s="39" t="n">
        <v>2000000</v>
      </c>
      <c r="D8" s="39" t="n">
        <v>500000</v>
      </c>
      <c r="E8" s="39" t="n">
        <v>800000</v>
      </c>
      <c r="F8" s="39" t="n">
        <v>30000000</v>
      </c>
      <c r="G8" s="39" t="n">
        <v>4000000</v>
      </c>
      <c r="H8" s="39" t="n">
        <v>3000000</v>
      </c>
      <c r="I8" s="37">
        <f>IF($A8="","",IFERROR($B8+$C8-$D8+$E8,0))</f>
        <v/>
      </c>
      <c r="L8" s="29" t="n">
        <v>10300000</v>
      </c>
    </row>
    <row r="9">
      <c r="A9" s="36" t="inlineStr">
        <is>
          <t>Yarı eşiğe yakın</t>
        </is>
      </c>
      <c r="B9" s="39" t="n">
        <v>6000000</v>
      </c>
      <c r="C9" s="39" t="n">
        <v>500000</v>
      </c>
      <c r="D9" s="39" t="n">
        <v>2800000</v>
      </c>
      <c r="E9" s="39" t="n">
        <v>-200000</v>
      </c>
      <c r="F9" s="39" t="n">
        <v>18000000</v>
      </c>
      <c r="G9" s="39" t="n">
        <v>6000000</v>
      </c>
      <c r="H9" s="39" t="n">
        <v>4000000</v>
      </c>
      <c r="I9" s="37">
        <f>IF($A9="","",IFERROR($B9+$C9-$D9+$E9,0))</f>
        <v/>
      </c>
      <c r="L9" s="29" t="n">
        <v>3500000</v>
      </c>
    </row>
    <row r="10">
      <c r="A10" s="36" t="inlineStr">
        <is>
          <t>Borca batık</t>
        </is>
      </c>
      <c r="B10" s="39" t="n">
        <v>3000000</v>
      </c>
      <c r="C10" s="39" t="n">
        <v>100000</v>
      </c>
      <c r="D10" s="39" t="n">
        <v>2000000</v>
      </c>
      <c r="E10" s="39" t="n">
        <v>-800000</v>
      </c>
      <c r="F10" s="39" t="n">
        <v>8000000</v>
      </c>
      <c r="G10" s="39" t="n">
        <v>5000000</v>
      </c>
      <c r="H10" s="39" t="n">
        <v>4000000</v>
      </c>
      <c r="I10" s="37">
        <f>IF($A10="","",IFERROR($B10+$C10-$D10+$E10,0))</f>
        <v/>
      </c>
      <c r="L10" s="29" t="n">
        <v>300000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7">
        <f>IF($A11="","",IFERROR($B11+$C11-$D11+$E11,0))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7">
        <f>IF($A12="","",IFERROR($B12+$C12-$D12+$E12,0))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7">
        <f>IF($A13="","",IFERROR($B13+$C13-$D13+$E13,0))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7">
        <f>IF($A14="","",IFERROR($B14+$C14-$D14+$E14,0))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7">
        <f>IF($A15="","",IFERROR($B15+$C15-$D15+$E15,0))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7">
        <f>IF($A16="","",IFERROR($B16+$C16-$D16+$E16,0))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7">
        <f>IF($A17="","",IFERROR($B17+$C17-$D17+$E17,0))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7">
        <f>IF($A18="","",IFERROR($B18+$C18-$D18+$E18,0))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7">
        <f>IF($A19="","",IFERROR($B19+$C19-$D19+$E19,0))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7">
        <f>IF($A20="","",IFERROR($B20+$C20-$D20+$E20,0))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7">
        <f>IF($A21="","",IFERROR($B21+$C21-$D21+$E21,0))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7">
        <f>IF($A22="","",IFERROR($B22+$C22-$D22+$E22,0))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7">
        <f>IF($A23="","",IFERROR($B23+$C23-$D23+$E23,0))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7">
        <f>IF($A24="","",IFERROR($B24+$C24-$D24+$E24,0))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7">
        <f>IF($A25="","",IFERROR($B25+$C25-$D25+$E25,0))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7">
        <f>IF($A26="","",IFERROR($B26+$C26-$D26+$E26,0))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7">
        <f>IF($A27="","",IFERROR($B27+$C27-$D27+$E27,0))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7">
        <f>IF($A28="","",IFERROR($B28+$C28-$D28+$E28,0))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7">
        <f>IF($A29="","",IFERROR($B29+$C29-$D29+$E29,0))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7">
        <f>IF($A30="","",IFERROR($B30+$C30-$D30+$E30,0))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7">
        <f>IF($A31="","",IFERROR($B31+$C31-$D31+$E31,0))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7">
        <f>IF($A32="","",IFERROR($B32+$C32-$D32+$E32,0))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7">
        <f>IF($A33="","",IFERROR($B33+$C33-$D33+$E33,0))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7">
        <f>IF($A34="","",IFERROR($B34+$C34-$D34+$E34,0))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7">
        <f>IF($A35="","",IFERROR($B35+$C35-$D35+$E35,0))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7">
        <f>IF($A36="","",IFERROR($B36+$C36-$D36+$E36,0))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7">
        <f>IF($A37="","",IFERROR($B37+$C37-$D37+$E37,0))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7">
        <f>IF($A38="","",IFERROR($B38+$C38-$D38+$E38,0))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7">
        <f>IF($A39="","",IFERROR($B39+$C39-$D39+$E39,0))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7">
        <f>IF($A40="","",IFERROR($B40+$C40-$D40+$E40,0))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7">
        <f>IF($A41="","",IFERROR($B41+$C41-$D41+$E41,0))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7">
        <f>IF($A42="","",IFERROR($B42+$C42-$D42+$E42,0))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7">
        <f>IF($A43="","",IFERROR($B43+$C43-$D43+$E43,0))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7">
        <f>IF($A44="","",IFERROR($B44+$C44-$D44+$E44,0))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7">
        <f>IF($A45="","",IFERROR($B45+$C45-$D45+$E45,0))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7">
        <f>IF($A46="","",IFERROR($B46+$C46-$D46+$E46,0))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7">
        <f>IF($A47="","",IFERROR($B47+$C47-$D47+$E47,0))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7">
        <f>IF($A48="","",IFERROR($B48+$C48-$D48+$E48,0))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7">
        <f>IF($A49="","",IFERROR($B49+$C49-$D49+$E49,0))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7">
        <f>IF($A50="","",IFERROR($B50+$C50-$D50+$E50,0))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7">
        <f>IF($A51="","",IFERROR($B51+$C51-$D51+$E51,0))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7">
        <f>IF($A52="","",IFERROR($B52+$C52-$D52+$E52,0))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7">
        <f>IF($A53="","",IFERROR($B53+$C53-$D53+$E53,0))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7">
        <f>IF($A54="","",IFERROR($B54+$C54-$D54+$E54,0))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7">
        <f>IF($A55="","",IFERROR($B55+$C55-$D55+$E55,0))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7">
        <f>IF($A56="","",IFERROR($B56+$C56-$D56+$E56,0))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7">
        <f>IF($A57="","",IFERROR($B57+$C57-$D57+$E57,0))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7">
        <f>IF($A58="","",IFERROR($B58+$C58-$D58+$E58,0))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7">
        <f>IF($A59="","",IFERROR($B59+$C59-$D59+$E59,0))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7">
        <f>IF($A60="","",IFERROR($B60+$C60-$D60+$E60,0))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7">
        <f>IF($A61="","",IFERROR($B61+$C61-$D61+$E61,0))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7">
        <f>IF($A62="","",IFERROR($B62+$C62-$D62+$E62,0))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7">
        <f>IF($A63="","",IFERROR($B63+$C63-$D63+$E63,0))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7">
        <f>IF($A64="","",IFERROR($B64+$C64-$D64+$E64,0))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7">
        <f>IF($A65="","",IFERROR($B65+$C65-$D65+$E65,0))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7">
        <f>IF($A66="","",IFERROR($B66+$C66-$D66+$E66,0))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7">
        <f>IF($A67="","",IFERROR($B67+$C67-$D67+$E67,0))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7">
        <f>IF($A68="","",IFERROR($B68+$C68-$D68+$E68,0))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7">
        <f>IF($A69="","",IFERROR($B69+$C69-$D69+$E69,0))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7">
        <f>IF($A70="","",IFERROR($B70+$C70-$D70+$E70,0))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7">
        <f>IF($A71="","",IFERROR($B71+$C71-$D71+$E71,0))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7">
        <f>IF($A72="","",IFERROR($B72+$C72-$D72+$E72,0))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7">
        <f>IF($A73="","",IFERROR($B73+$C73-$D73+$E73,0))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7">
        <f>IF($A74="","",IFERROR($B74+$C74-$D74+$E74,0))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7">
        <f>IF($A75="","",IFERROR($B75+$C75-$D75+$E75,0))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7">
        <f>IF($A76="","",IFERROR($B76+$C76-$D76+$E76,0))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7">
        <f>IF($A77="","",IFERROR($B77+$C77-$D77+$E77,0))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7">
        <f>IF($A78="","",IFERROR($B78+$C78-$D78+$E78,0))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7">
        <f>IF($A79="","",IFERROR($B79+$C79-$D79+$E79,0))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7">
        <f>IF($A80="","",IFERROR($B80+$C80-$D80+$E80,0))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7">
        <f>IF($A81="","",IFERROR($B81+$C81-$D81+$E81,0))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7">
        <f>IF($A82="","",IFERROR($B82+$C82-$D82+$E82,0))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7">
        <f>IF($A83="","",IFERROR($B83+$C83-$D83+$E83,0))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7">
        <f>IF($A84="","",IFERROR($B84+$C84-$D84+$E84,0))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7">
        <f>IF($A85="","",IFERROR($B85+$C85-$D85+$E85,0))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7">
        <f>IF($A86="","",IFERROR($B86+$C86-$D86+$E86,0))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7">
        <f>IF($A87="","",IFERROR($B87+$C87-$D87+$E87,0))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7">
        <f>IF($A88="","",IFERROR($B88+$C88-$D88+$E88,0))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7">
        <f>IF($A89="","",IFERROR($B89+$C89-$D89+$E89,0))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7">
        <f>IF($A90="","",IFERROR($B90+$C90-$D90+$E90,0))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7">
        <f>IF($A91="","",IFERROR($B91+$C91-$D91+$E91,0))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7">
        <f>IF($A92="","",IFERROR($B92+$C92-$D92+$E92,0))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7">
        <f>IF($A93="","",IFERROR($B93+$C93-$D93+$E93,0))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7">
        <f>IF($A94="","",IFERROR($B94+$C94-$D94+$E94,0))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7">
        <f>IF($A95="","",IFERROR($B95+$C95-$D95+$E95,0))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7">
        <f>IF($A96="","",IFERROR($B96+$C96-$D96+$E96,0))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7">
        <f>IF($A97="","",IFERROR($B97+$C97-$D97+$E97,0))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7">
        <f>IF($A98="","",IFERROR($B98+$C98-$D98+$E98,0))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7">
        <f>IF($A99="","",IFERROR($B99+$C99-$D99+$E99,0))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7">
        <f>IF($A100="","",IFERROR($B100+$C100-$D100+$E100,0))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7">
        <f>IF($A101="","",IFERROR($B101+$C101-$D101+$E101,0))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7">
        <f>IF($A102="","",IFERROR($B102+$C102-$D102+$E102,0))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7">
        <f>IF($A103="","",IFERROR($B103+$C103-$D103+$E103,0))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7">
        <f>IF($A104="","",IFERROR($B104+$C104-$D104+$E104,0))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7">
        <f>IF($A105="","",IFERROR($B105+$C105-$D105+$E105,0))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7">
        <f>IF($A106="","",IFERROR($B106+$C106-$D106+$E106,0))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7">
        <f>IF($A107="","",IFERROR($B107+$C107-$D107+$E107,0))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7">
        <f>IF($A108="","",IFERROR($B108+$C108-$D108+$E108,0))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7">
        <f>IF($A109="","",IFERROR($B109+$C109-$D109+$E109,0))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7">
        <f>IF($A110="","",IFERROR($B110+$C110-$D110+$E110,0))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7">
        <f>IF($A111="","",IFERROR($B111+$C111-$D111+$E111,0))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7">
        <f>IF($A112="","",IFERROR($B112+$C112-$D112+$E112,0))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7">
        <f>IF($A113="","",IFERROR($B113+$C113-$D113+$E113,0))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7">
        <f>IF($A114="","",IFERROR($B114+$C114-$D114+$E114,0))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7">
        <f>IF($A115="","",IFERROR($B115+$C115-$D115+$E115,0))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7">
        <f>IF($A116="","",IFERROR($B116+$C116-$D116+$E116,0))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7">
        <f>IF($A117="","",IFERROR($B117+$C117-$D117+$E117,0))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7">
        <f>IF($A118="","",IFERROR($B118+$C118-$D118+$E118,0))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7">
        <f>IF($A119="","",IFERROR($B119+$C119-$D119+$E119,0))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7">
        <f>IF($A120="","",IFERROR($B120+$C120-$D120+$E120,0))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7">
        <f>IF($A121="","",IFERROR($B121+$C121-$D121+$E121,0))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7">
        <f>IF($A122="","",IFERROR($B122+$C122-$D122+$E122,0))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7">
        <f>IF($A123="","",IFERROR($B123+$C123-$D123+$E123,0))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7">
        <f>IF($A124="","",IFERROR($B124+$C124-$D124+$E124,0))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7">
        <f>IF($A125="","",IFERROR($B125+$C125-$D125+$E125,0))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7">
        <f>IF($A126="","",IFERROR($B126+$C126-$D126+$E126,0))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7">
        <f>IF($A127="","",IFERROR($B127+$C127-$D127+$E127,0))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7">
        <f>IF($A128="","",IFERROR($B128+$C128-$D128+$E128,0))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7">
        <f>IF($A129="","",IFERROR($B129+$C129-$D129+$E129,0))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7">
        <f>IF($A130="","",IFERROR($B130+$C130-$D130+$E130,0))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7">
        <f>IF($A131="","",IFERROR($B131+$C131-$D131+$E131,0))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7">
        <f>IF($A132="","",IFERROR($B132+$C132-$D132+$E132,0))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7">
        <f>IF($A133="","",IFERROR($B133+$C133-$D133+$E133,0))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7">
        <f>IF($A134="","",IFERROR($B134+$C134-$D134+$E134,0))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7">
        <f>IF($A135="","",IFERROR($B135+$C135-$D135+$E135,0))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7">
        <f>IF($A136="","",IFERROR($B136+$C136-$D136+$E136,0))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7">
        <f>IF($A137="","",IFERROR($B137+$C137-$D137+$E137,0))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7">
        <f>IF($A138="","",IFERROR($B138+$C138-$D138+$E138,0))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7">
        <f>IF($A139="","",IFERROR($B139+$C139-$D139+$E139,0))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7">
        <f>IF($A140="","",IFERROR($B140+$C140-$D140+$E140,0))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7">
        <f>IF($A141="","",IFERROR($B141+$C141-$D141+$E141,0))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7">
        <f>IF($A142="","",IFERROR($B142+$C142-$D142+$E142,0))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7">
        <f>IF($A143="","",IFERROR($B143+$C143-$D143+$E143,0))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7">
        <f>IF($A144="","",IFERROR($B144+$C144-$D144+$E144,0))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7">
        <f>IF($A145="","",IFERROR($B145+$C145-$D145+$E145,0))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7">
        <f>IF($A146="","",IFERROR($B146+$C146-$D146+$E146,0))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7">
        <f>IF($A147="","",IFERROR($B147+$C147-$D147+$E147,0))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7">
        <f>IF($A148="","",IFERROR($B148+$C148-$D148+$E148,0))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7">
        <f>IF($A149="","",IFERROR($B149+$C149-$D149+$E149,0))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7">
        <f>IF($A150="","",IFERROR($B150+$C150-$D150+$E150,0))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7">
        <f>IF($A151="","",IFERROR($B151+$C151-$D151+$E151,0))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7">
        <f>IF($A152="","",IFERROR($B152+$C152-$D152+$E152,0))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7">
        <f>IF($A153="","",IFERROR($B153+$C153-$D153+$E153,0))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7">
        <f>IF($A154="","",IFERROR($B154+$C154-$D154+$E154,0))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7">
        <f>IF($A155="","",IFERROR($B155+$C155-$D155+$E155,0))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7">
        <f>IF($A156="","",IFERROR($B156+$C156-$D156+$E156,0))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7">
        <f>IF($A157="","",IFERROR($B157+$C157-$D157+$E157,0))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7">
        <f>IF($A158="","",IFERROR($B158+$C158-$D158+$E158,0))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7">
        <f>IF($A159="","",IFERROR($B159+$C159-$D159+$E159,0))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7">
        <f>IF($A160="","",IFERROR($B160+$C160-$D160+$E160,0))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7">
        <f>IF($A161="","",IFERROR($B161+$C161-$D161+$E161,0))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7">
        <f>IF($A162="","",IFERROR($B162+$C162-$D162+$E162,0))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7">
        <f>IF($A163="","",IFERROR($B163+$C163-$D163+$E163,0))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7">
        <f>IF($A164="","",IFERROR($B164+$C164-$D164+$E164,0))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7">
        <f>IF($A165="","",IFERROR($B165+$C165-$D165+$E165,0))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7">
        <f>IF($A166="","",IFERROR($B166+$C166-$D166+$E166,0))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7">
        <f>IF($A167="","",IFERROR($B167+$C167-$D167+$E167,0))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7">
        <f>IF($A168="","",IFERROR($B168+$C168-$D168+$E168,0))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7">
        <f>IF($A169="","",IFERROR($B169+$C169-$D169+$E169,0))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7">
        <f>IF($A170="","",IFERROR($B170+$C170-$D170+$E170,0))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7">
        <f>IF($A171="","",IFERROR($B171+$C171-$D171+$E171,0))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7">
        <f>IF($A172="","",IFERROR($B172+$C172-$D172+$E172,0))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7">
        <f>IF($A173="","",IFERROR($B173+$C173-$D173+$E173,0))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7">
        <f>IF($A174="","",IFERROR($B174+$C174-$D174+$E174,0))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7">
        <f>IF($A175="","",IFERROR($B175+$C175-$D175+$E175,0))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7">
        <f>IF($A176="","",IFERROR($B176+$C176-$D176+$E176,0))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7">
        <f>IF($A177="","",IFERROR($B177+$C177-$D177+$E177,0))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7">
        <f>IF($A178="","",IFERROR($B178+$C178-$D178+$E178,0))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7">
        <f>IF($A179="","",IFERROR($B179+$C179-$D179+$E179,0))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7">
        <f>IF($A180="","",IFERROR($B180+$C180-$D180+$E180,0))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7">
        <f>IF($A181="","",IFERROR($B181+$C181-$D181+$E181,0))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7">
        <f>IF($A182="","",IFERROR($B182+$C182-$D182+$E182,0))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7">
        <f>IF($A183="","",IFERROR($B183+$C183-$D183+$E183,0))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7">
        <f>IF($A184="","",IFERROR($B184+$C184-$D184+$E184,0))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7">
        <f>IF($A185="","",IFERROR($B185+$C185-$D185+$E185,0))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7">
        <f>IF($A186="","",IFERROR($B186+$C186-$D186+$E186,0))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7">
        <f>IF($A187="","",IFERROR($B187+$C187-$D187+$E187,0))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7">
        <f>IF($A188="","",IFERROR($B188+$C188-$D188+$E188,0))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7">
        <f>IF($A189="","",IFERROR($B189+$C189-$D189+$E189,0))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7">
        <f>IF($A190="","",IFERROR($B190+$C190-$D190+$E190,0))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7">
        <f>IF($A191="","",IFERROR($B191+$C191-$D191+$E191,0))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7">
        <f>IF($A192="","",IFERROR($B192+$C192-$D192+$E192,0))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7">
        <f>IF($A193="","",IFERROR($B193+$C193-$D193+$E193,0))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7">
        <f>IF($A194="","",IFERROR($B194+$C194-$D194+$E194,0))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7">
        <f>IF($A195="","",IFERROR($B195+$C195-$D195+$E195,0))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7">
        <f>IF($A196="","",IFERROR($B196+$C196-$D196+$E196,0))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7">
        <f>IF($A197="","",IFERROR($B197+$C197-$D197+$E197,0))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7">
        <f>IF($A198="","",IFERROR($B198+$C198-$D198+$E198,0))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7">
        <f>IF($A199="","",IFERROR($B199+$C199-$D199+$E199,0))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7">
        <f>IF($A200="","",IFERROR($B200+$C200-$D200+$E200,0))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7">
        <f>IF($A201="","",IFERROR($B201+$C201-$D201+$E201,0))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7">
        <f>IF($A202="","",IFERROR($B202+$C202-$D202+$E202,0))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7">
        <f>IF($A203="","",IFERROR($B203+$C203-$D203+$E203,0))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7">
        <f>IF($A204="","",IFERROR($B204+$C204-$D204+$E204,0))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7">
        <f>IF($A205="","",IFERROR($B205+$C205-$D205+$E205,0))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7">
        <f>IF($A206="","",IFERROR($B206+$C206-$D206+$E206,0))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7">
        <f>IF($A207="","",IFERROR($B207+$C207-$D207+$E207,0))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7">
        <f>IF($A208="","",IFERROR($B208+$C208-$D208+$E208,0))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7">
        <f>IF($A209="","",IFERROR($B209+$C209-$D209+$E209,0))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7">
        <f>IF($A210="","",IFERROR($B210+$C210-$D210+$E210,0))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7">
        <f>IF($A211="","",IFERROR($B211+$C211-$D211+$E211,0))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7">
        <f>IF($A212="","",IFERROR($B212+$C212-$D212+$E212,0))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7">
        <f>IF($A213="","",IFERROR($B213+$C213-$D213+$E213,0))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7">
        <f>IF($A214="","",IFERROR($B214+$C214-$D214+$E214,0))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7">
        <f>IF($A215="","",IFERROR($B215+$C215-$D215+$E215,0))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7">
        <f>IF($A216="","",IFERROR($B216+$C216-$D216+$E216,0))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7">
        <f>IF($A217="","",IFERROR($B217+$C217-$D217+$E217,0))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7">
        <f>IF($A218="","",IFERROR($B218+$C218-$D218+$E218,0))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7">
        <f>IF($A219="","",IFERROR($B219+$C219-$D219+$E219,0))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7">
        <f>IF($A220="","",IFERROR($B220+$C220-$D220+$E220,0))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7">
        <f>IF($A221="","",IFERROR($B221+$C221-$D221+$E221,0))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7">
        <f>IF($A222="","",IFERROR($B222+$C222-$D222+$E222,0))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7">
        <f>IF($A223="","",IFERROR($B223+$C223-$D223+$E223,0))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7">
        <f>IF($A224="","",IFERROR($B224+$C224-$D224+$E224,0))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7">
        <f>IF($A225="","",IFERROR($B225+$C225-$D225+$E225,0))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7">
        <f>IF($A226="","",IFERROR($B226+$C226-$D226+$E226,0))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7">
        <f>IF($A227="","",IFERROR($B227+$C227-$D227+$E227,0))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7">
        <f>IF($A228="","",IFERROR($B228+$C228-$D228+$E228,0))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7">
        <f>IF($A229="","",IFERROR($B229+$C229-$D229+$E229,0))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7">
        <f>IF($A230="","",IFERROR($B230+$C230-$D230+$E230,0))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7">
        <f>IF($A231="","",IFERROR($B231+$C231-$D231+$E231,0))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7">
        <f>IF($A232="","",IFERROR($B232+$C232-$D232+$E232,0))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7">
        <f>IF($A233="","",IFERROR($B233+$C233-$D233+$E233,0))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7">
        <f>IF($A234="","",IFERROR($B234+$C234-$D234+$E234,0))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7">
        <f>IF($A235="","",IFERROR($B235+$C235-$D235+$E235,0))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7">
        <f>IF($A236="","",IFERROR($B236+$C236-$D236+$E236,0))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7">
        <f>IF($A237="","",IFERROR($B237+$C237-$D237+$E237,0))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7">
        <f>IF($A238="","",IFERROR($B238+$C238-$D238+$E238,0))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7">
        <f>IF($A239="","",IFERROR($B239+$C239-$D239+$E239,0))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7">
        <f>IF($A240="","",IFERROR($B240+$C240-$D240+$E240,0))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7">
        <f>IF($A241="","",IFERROR($B241+$C241-$D241+$E241,0))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7">
        <f>IF($A242="","",IFERROR($B242+$C242-$D242+$E242,0))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7">
        <f>IF($A243="","",IFERROR($B243+$C243-$D243+$E243,0))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7">
        <f>IF($A244="","",IFERROR($B244+$C244-$D244+$E244,0))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7">
        <f>IF($A245="","",IFERROR($B245+$C245-$D245+$E245,0))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7">
        <f>IF($A246="","",IFERROR($B246+$C246-$D246+$E246,0))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7">
        <f>IF($A247="","",IFERROR($B247+$C247-$D247+$E247,0))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7">
        <f>IF($A248="","",IFERROR($B248+$C248-$D248+$E248,0))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7">
        <f>IF($A249="","",IFERROR($B249+$C249-$D249+$E249,0))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7">
        <f>IF($A250="","",IFERROR($B250+$C250-$D250+$E250,0))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7">
        <f>IF($A251="","",IFERROR($B251+$C251-$D251+$E251,0))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7">
        <f>IF($A252="","",IFERROR($B252+$C252-$D252+$E252,0))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7">
        <f>IF($A253="","",IFERROR($B253+$C253-$D253+$E253,0))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7">
        <f>IF($A254="","",IFERROR($B254+$C254-$D254+$E254,0))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7">
        <f>IF($A255="","",IFERROR($B255+$C255-$D255+$E255,0))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7">
        <f>IF($A256="","",IFERROR($B256+$C256-$D256+$E256,0))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7">
        <f>IF($A257="","",IFERROR($B257+$C257-$D257+$E257,0))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7">
        <f>IF($A258="","",IFERROR($B258+$C258-$D258+$E258,0))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7">
        <f>IF($A259="","",IFERROR($B259+$C259-$D259+$E259,0))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7">
        <f>IF($A260="","",IFERROR($B260+$C260-$D260+$E260,0))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7">
        <f>IF($A261="","",IFERROR($B261+$C261-$D261+$E261,0))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7">
        <f>IF($A262="","",IFERROR($B262+$C262-$D262+$E262,0))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7">
        <f>IF($A263="","",IFERROR($B263+$C263-$D263+$E263,0))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7">
        <f>IF($A264="","",IFERROR($B264+$C264-$D264+$E264,0))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7">
        <f>IF($A265="","",IFERROR($B265+$C265-$D265+$E265,0))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7">
        <f>IF($A266="","",IFERROR($B266+$C266-$D266+$E266,0))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7">
        <f>IF($A267="","",IFERROR($B267+$C267-$D267+$E267,0))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7">
        <f>IF($A268="","",IFERROR($B268+$C268-$D268+$E268,0))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7">
        <f>IF($A269="","",IFERROR($B269+$C269-$D269+$E269,0))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7">
        <f>IF($A270="","",IFERROR($B270+$C270-$D270+$E270,0))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7">
        <f>IF($A271="","",IFERROR($B271+$C271-$D271+$E271,0))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7">
        <f>IF($A272="","",IFERROR($B272+$C272-$D272+$E272,0))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7">
        <f>IF($A273="","",IFERROR($B273+$C273-$D273+$E273,0))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7">
        <f>IF($A274="","",IFERROR($B274+$C274-$D274+$E274,0))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7">
        <f>IF($A275="","",IFERROR($B275+$C275-$D275+$E275,0))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7">
        <f>IF($A276="","",IFERROR($B276+$C276-$D276+$E276,0))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7">
        <f>IF($A277="","",IFERROR($B277+$C277-$D277+$E277,0))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7">
        <f>IF($A278="","",IFERROR($B278+$C278-$D278+$E278,0))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7">
        <f>IF($A279="","",IFERROR($B279+$C279-$D279+$E279,0))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7">
        <f>IF($A280="","",IFERROR($B280+$C280-$D280+$E280,0))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7">
        <f>IF($A281="","",IFERROR($B281+$C281-$D281+$E281,0))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7">
        <f>IF($A282="","",IFERROR($B282+$C282-$D282+$E282,0))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7">
        <f>IF($A283="","",IFERROR($B283+$C283-$D283+$E283,0))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7">
        <f>IF($A284="","",IFERROR($B284+$C284-$D284+$E284,0))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7">
        <f>IF($A285="","",IFERROR($B285+$C285-$D285+$E285,0))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7">
        <f>IF($A286="","",IFERROR($B286+$C286-$D286+$E286,0))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7">
        <f>IF($A287="","",IFERROR($B287+$C287-$D287+$E287,0))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7">
        <f>IF($A288="","",IFERROR($B288+$C288-$D288+$E288,0))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7">
        <f>IF($A289="","",IFERROR($B289+$C289-$D289+$E289,0))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7">
        <f>IF($A290="","",IFERROR($B290+$C290-$D290+$E290,0))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7">
        <f>IF($A291="","",IFERROR($B291+$C291-$D291+$E291,0))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7">
        <f>IF($A292="","",IFERROR($B292+$C292-$D292+$E292,0))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7">
        <f>IF($A293="","",IFERROR($B293+$C293-$D293+$E293,0))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7">
        <f>IF($A294="","",IFERROR($B294+$C294-$D294+$E294,0))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7">
        <f>IF($A295="","",IFERROR($B295+$C295-$D295+$E295,0))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7">
        <f>IF($A296="","",IFERROR($B296+$C296-$D296+$E296,0))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7">
        <f>IF($A297="","",IFERROR($B297+$C297-$D297+$E297,0))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7">
        <f>IF($A298="","",IFERROR($B298+$C298-$D298+$E298,0))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7">
        <f>IF($A299="","",IFERROR($B299+$C299-$D299+$E299,0))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7">
        <f>IF($A300="","",IFERROR($B300+$C300-$D300+$E300,0))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7">
        <f>IF($A301="","",IFERROR($B301+$C301-$D301+$E301,0))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7">
        <f>IF($A302="","",IFERROR($B302+$C302-$D302+$E302,0))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7">
        <f>IF($A303="","",IFERROR($B303+$C303-$D303+$E303,0))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7">
        <f>IF($A304="","",IFERROR($B304+$C304-$D304+$E304,0))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7">
        <f>IF($A305="","",IFERROR($B305+$C305-$D305+$E305,0))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7">
        <f>IF($A306="","",IFERROR($B306+$C306-$D306+$E306,0))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7">
        <f>IF($A307="","",IFERROR($B307+$C307-$D307+$E307,0))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7">
        <f>IF($A308="","",IFERROR($B308+$C308-$D308+$E308,0))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7">
        <f>IF($A309="","",IFERROR($B309+$C309-$D309+$E309,0))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7">
        <f>IF($A310="","",IFERROR($B310+$C310-$D310+$E310,0))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7">
        <f>IF($A311="","",IFERROR($B311+$C311-$D311+$E311,0))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7">
        <f>IF($A312="","",IFERROR($B312+$C312-$D312+$E312,0))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7">
        <f>IF($A313="","",IFERROR($B313+$C313-$D313+$E313,0))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7">
        <f>IF($A314="","",IFERROR($B314+$C314-$D314+$E314,0))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7">
        <f>IF($A315="","",IFERROR($B315+$C315-$D315+$E315,0))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7">
        <f>IF($A316="","",IFERROR($B316+$C316-$D316+$E316,0))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7">
        <f>IF($A317="","",IFERROR($B317+$C317-$D317+$E317,0))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7">
        <f>IF($A318="","",IFERROR($B318+$C318-$D318+$E318,0))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7">
        <f>IF($A319="","",IFERROR($B319+$C319-$D319+$E319,0))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7">
        <f>IF($A320="","",IFERROR($B320+$C320-$D320+$E320,0))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7">
        <f>IF($A321="","",IFERROR($B321+$C321-$D321+$E321,0))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7">
        <f>IF($A322="","",IFERROR($B322+$C322-$D322+$E322,0))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7">
        <f>IF($A323="","",IFERROR($B323+$C323-$D323+$E323,0))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7">
        <f>IF($A324="","",IFERROR($B324+$C324-$D324+$E324,0))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7">
        <f>IF($A325="","",IFERROR($B325+$C325-$D325+$E325,0))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7">
        <f>IF($A326="","",IFERROR($B326+$C326-$D326+$E326,0))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7">
        <f>IF($A327="","",IFERROR($B327+$C327-$D327+$E327,0))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7">
        <f>IF($A328="","",IFERROR($B328+$C328-$D328+$E328,0))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7">
        <f>IF($A329="","",IFERROR($B329+$C329-$D329+$E329,0))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7">
        <f>IF($A330="","",IFERROR($B330+$C330-$D330+$E330,0))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7">
        <f>IF($A331="","",IFERROR($B331+$C331-$D331+$E331,0))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7">
        <f>IF($A332="","",IFERROR($B332+$C332-$D332+$E332,0))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7">
        <f>IF($A333="","",IFERROR($B333+$C333-$D333+$E333,0))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7">
        <f>IF($A334="","",IFERROR($B334+$C334-$D334+$E334,0))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7">
        <f>IF($A335="","",IFERROR($B335+$C335-$D335+$E335,0))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7">
        <f>IF($A336="","",IFERROR($B336+$C336-$D336+$E336,0))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7">
        <f>IF($A337="","",IFERROR($B337+$C337-$D337+$E337,0))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7">
        <f>IF($A338="","",IFERROR($B338+$C338-$D338+$E338,0))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7">
        <f>IF($A339="","",IFERROR($B339+$C339-$D339+$E339,0))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7">
        <f>IF($A340="","",IFERROR($B340+$C340-$D340+$E340,0))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7">
        <f>IF($A341="","",IFERROR($B341+$C341-$D341+$E341,0))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7">
        <f>IF($A342="","",IFERROR($B342+$C342-$D342+$E342,0))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7">
        <f>IF($A343="","",IFERROR($B343+$C343-$D343+$E343,0))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7">
        <f>IF($A344="","",IFERROR($B344+$C344-$D344+$E344,0))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7">
        <f>IF($A345="","",IFERROR($B345+$C345-$D345+$E345,0))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7">
        <f>IF($A346="","",IFERROR($B346+$C346-$D346+$E346,0))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7">
        <f>IF($A347="","",IFERROR($B347+$C347-$D347+$E347,0))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7">
        <f>IF($A348="","",IFERROR($B348+$C348-$D348+$E348,0))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7">
        <f>IF($A349="","",IFERROR($B349+$C349-$D349+$E349,0))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7">
        <f>IF($A350="","",IFERROR($B350+$C350-$D350+$E350,0))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7">
        <f>IF($A351="","",IFERROR($B351+$C351-$D351+$E351,0))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7">
        <f>IF($A352="","",IFERROR($B352+$C352-$D352+$E352,0))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7">
        <f>IF($A353="","",IFERROR($B353+$C353-$D353+$E353,0))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7">
        <f>IF($A354="","",IFERROR($B354+$C354-$D354+$E354,0))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7">
        <f>IF($A355="","",IFERROR($B355+$C355-$D355+$E355,0))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7">
        <f>IF($A356="","",IFERROR($B356+$C356-$D356+$E356,0))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7">
        <f>IF($A357="","",IFERROR($B357+$C357-$D357+$E357,0))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7">
        <f>IF($A358="","",IFERROR($B358+$C358-$D358+$E358,0))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7">
        <f>IF($A359="","",IFERROR($B359+$C359-$D359+$E359,0))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7">
        <f>IF($A360="","",IFERROR($B360+$C360-$D360+$E360,0))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7">
        <f>IF($A361="","",IFERROR($B361+$C361-$D361+$E361,0))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7">
        <f>IF($A362="","",IFERROR($B362+$C362-$D362+$E362,0))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7">
        <f>IF($A363="","",IFERROR($B363+$C363-$D363+$E363,0))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7">
        <f>IF($A364="","",IFERROR($B364+$C364-$D364+$E364,0))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7">
        <f>IF($A365="","",IFERROR($B365+$C365-$D365+$E365,0))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7">
        <f>IF($A366="","",IFERROR($B366+$C366-$D366+$E366,0))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7">
        <f>IF($A367="","",IFERROR($B367+$C367-$D367+$E367,0))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7">
        <f>IF($A368="","",IFERROR($B368+$C368-$D368+$E368,0))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7">
        <f>IF($A369="","",IFERROR($B369+$C369-$D369+$E369,0))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7">
        <f>IF($A370="","",IFERROR($B370+$C370-$D370+$E370,0))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7">
        <f>IF($A371="","",IFERROR($B371+$C371-$D371+$E371,0))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7">
        <f>IF($A372="","",IFERROR($B372+$C372-$D372+$E372,0))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7">
        <f>IF($A373="","",IFERROR($B373+$C373-$D373+$E373,0))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7">
        <f>IF($A374="","",IFERROR($B374+$C374-$D374+$E374,0))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7">
        <f>IF($A375="","",IFERROR($B375+$C375-$D375+$E375,0))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7">
        <f>IF($A376="","",IFERROR($B376+$C376-$D376+$E376,0))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7">
        <f>IF($A377="","",IFERROR($B377+$C377-$D377+$E377,0))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7">
        <f>IF($A378="","",IFERROR($B378+$C378-$D378+$E378,0))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7">
        <f>IF($A379="","",IFERROR($B379+$C379-$D379+$E379,0))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7">
        <f>IF($A380="","",IFERROR($B380+$C380-$D380+$E380,0))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7">
        <f>IF($A381="","",IFERROR($B381+$C381-$D381+$E381,0))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7">
        <f>IF($A382="","",IFERROR($B382+$C382-$D382+$E382,0))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7">
        <f>IF($A383="","",IFERROR($B383+$C383-$D383+$E383,0))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7">
        <f>IF($A384="","",IFERROR($B384+$C384-$D384+$E384,0))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7">
        <f>IF($A385="","",IFERROR($B385+$C385-$D385+$E385,0))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7">
        <f>IF($A386="","",IFERROR($B386+$C386-$D386+$E386,0))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7">
        <f>IF($A387="","",IFERROR($B387+$C387-$D387+$E387,0))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7">
        <f>IF($A388="","",IFERROR($B388+$C388-$D388+$E388,0))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7">
        <f>IF($A389="","",IFERROR($B389+$C389-$D389+$E389,0))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7">
        <f>IF($A390="","",IFERROR($B390+$C390-$D390+$E390,0))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7">
        <f>IF($A391="","",IFERROR($B391+$C391-$D391+$E391,0))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7">
        <f>IF($A392="","",IFERROR($B392+$C392-$D392+$E392,0))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7">
        <f>IF($A393="","",IFERROR($B393+$C393-$D393+$E393,0))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7">
        <f>IF($A394="","",IFERROR($B394+$C394-$D394+$E394,0))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7">
        <f>IF($A395="","",IFERROR($B395+$C395-$D395+$E395,0))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7">
        <f>IF($A396="","",IFERROR($B396+$C396-$D396+$E396,0))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7">
        <f>IF($A397="","",IFERROR($B397+$C397-$D397+$E397,0))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7">
        <f>IF($A398="","",IFERROR($B398+$C398-$D398+$E398,0))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7">
        <f>IF($A399="","",IFERROR($B399+$C399-$D399+$E399,0))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7">
        <f>IF($A400="","",IFERROR($B400+$C400-$D400+$E400,0))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7">
        <f>IF($A401="","",IFERROR($B401+$C401-$D401+$E401,0))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7">
        <f>IF($A402="","",IFERROR($B402+$C402-$D402+$E402,0))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7">
        <f>IF($A403="","",IFERROR($B403+$C403-$D403+$E403,0))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7">
        <f>IF($A404="","",IFERROR($B404+$C404-$D404+$E404,0))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7">
        <f>IF($A405="","",IFERROR($B405+$C405-$D405+$E405,0))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7">
        <f>IF($A406="","",IFERROR($B406+$C406-$D406+$E406,0))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7">
        <f>IF($A407="","",IFERROR($B407+$C407-$D407+$E407,0))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7">
        <f>IF($A408="","",IFERROR($B408+$C408-$D408+$E408,0))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7">
        <f>IF($A409="","",IFERROR($B409+$C409-$D409+$E409,0))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7">
        <f>IF($A410="","",IFERROR($B410+$C410-$D410+$E410,0))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7">
        <f>IF($A411="","",IFERROR($B411+$C411-$D411+$E411,0))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7">
        <f>IF($A412="","",IFERROR($B412+$C412-$D412+$E412,0))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7">
        <f>IF($A413="","",IFERROR($B413+$C413-$D413+$E413,0))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7">
        <f>IF($A414="","",IFERROR($B414+$C414-$D414+$E414,0))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7">
        <f>IF($A415="","",IFERROR($B415+$C415-$D415+$E415,0))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7">
        <f>IF($A416="","",IFERROR($B416+$C416-$D416+$E416,0))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7">
        <f>IF($A417="","",IFERROR($B417+$C417-$D417+$E417,0))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7">
        <f>IF($A418="","",IFERROR($B418+$C418-$D418+$E418,0))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7">
        <f>IF($A419="","",IFERROR($B419+$C419-$D419+$E419,0))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7">
        <f>IF($A420="","",IFERROR($B420+$C420-$D420+$E420,0))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7">
        <f>IF($A421="","",IFERROR($B421+$C421-$D421+$E421,0))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7">
        <f>IF($A422="","",IFERROR($B422+$C422-$D422+$E422,0))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7">
        <f>IF($A423="","",IFERROR($B423+$C423-$D423+$E423,0))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7">
        <f>IF($A424="","",IFERROR($B424+$C424-$D424+$E424,0))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7">
        <f>IF($A425="","",IFERROR($B425+$C425-$D425+$E425,0))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7">
        <f>IF($A426="","",IFERROR($B426+$C426-$D426+$E426,0))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7">
        <f>IF($A427="","",IFERROR($B427+$C427-$D427+$E427,0))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7">
        <f>IF($A428="","",IFERROR($B428+$C428-$D428+$E428,0))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7">
        <f>IF($A429="","",IFERROR($B429+$C429-$D429+$E429,0))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7">
        <f>IF($A430="","",IFERROR($B430+$C430-$D430+$E430,0))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7">
        <f>IF($A431="","",IFERROR($B431+$C431-$D431+$E431,0))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7">
        <f>IF($A432="","",IFERROR($B432+$C432-$D432+$E432,0))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7">
        <f>IF($A433="","",IFERROR($B433+$C433-$D433+$E433,0))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7">
        <f>IF($A434="","",IFERROR($B434+$C434-$D434+$E434,0))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7">
        <f>IF($A435="","",IFERROR($B435+$C435-$D435+$E435,0))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7">
        <f>IF($A436="","",IFERROR($B436+$C436-$D436+$E436,0))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7">
        <f>IF($A437="","",IFERROR($B437+$C437-$D437+$E437,0))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7">
        <f>IF($A438="","",IFERROR($B438+$C438-$D438+$E438,0))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7">
        <f>IF($A439="","",IFERROR($B439+$C439-$D439+$E439,0))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7">
        <f>IF($A440="","",IFERROR($B440+$C440-$D440+$E440,0))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7">
        <f>IF($A441="","",IFERROR($B441+$C441-$D441+$E441,0))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7">
        <f>IF($A442="","",IFERROR($B442+$C442-$D442+$E442,0))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7">
        <f>IF($A443="","",IFERROR($B443+$C443-$D443+$E443,0))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7">
        <f>IF($A444="","",IFERROR($B444+$C444-$D444+$E444,0))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7">
        <f>IF($A445="","",IFERROR($B445+$C445-$D445+$E445,0))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7">
        <f>IF($A446="","",IFERROR($B446+$C446-$D446+$E446,0))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7">
        <f>IF($A447="","",IFERROR($B447+$C447-$D447+$E447,0))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7">
        <f>IF($A448="","",IFERROR($B448+$C448-$D448+$E448,0))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7">
        <f>IF($A449="","",IFERROR($B449+$C449-$D449+$E449,0))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7">
        <f>IF($A450="","",IFERROR($B450+$C450-$D450+$E450,0))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7">
        <f>IF($A451="","",IFERROR($B451+$C451-$D451+$E451,0))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7">
        <f>IF($A452="","",IFERROR($B452+$C452-$D452+$E452,0))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7">
        <f>IF($A453="","",IFERROR($B453+$C453-$D453+$E453,0))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7">
        <f>IF($A454="","",IFERROR($B454+$C454-$D454+$E454,0))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7">
        <f>IF($A455="","",IFERROR($B455+$C455-$D455+$E455,0))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7">
        <f>IF($A456="","",IFERROR($B456+$C456-$D456+$E456,0))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7">
        <f>IF($A457="","",IFERROR($B457+$C457-$D457+$E457,0))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7">
        <f>IF($A458="","",IFERROR($B458+$C458-$D458+$E458,0))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7">
        <f>IF($A459="","",IFERROR($B459+$C459-$D459+$E459,0))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7">
        <f>IF($A460="","",IFERROR($B460+$C460-$D460+$E460,0))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7">
        <f>IF($A461="","",IFERROR($B461+$C461-$D461+$E461,0))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7">
        <f>IF($A462="","",IFERROR($B462+$C462-$D462+$E462,0))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7">
        <f>IF($A463="","",IFERROR($B463+$C463-$D463+$E463,0))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7">
        <f>IF($A464="","",IFERROR($B464+$C464-$D464+$E464,0))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7">
        <f>IF($A465="","",IFERROR($B465+$C465-$D465+$E465,0))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7">
        <f>IF($A466="","",IFERROR($B466+$C466-$D466+$E466,0))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7">
        <f>IF($A467="","",IFERROR($B467+$C467-$D467+$E467,0))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7">
        <f>IF($A468="","",IFERROR($B468+$C468-$D468+$E468,0))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7">
        <f>IF($A469="","",IFERROR($B469+$C469-$D469+$E469,0))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7">
        <f>IF($A470="","",IFERROR($B470+$C470-$D470+$E470,0))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7">
        <f>IF($A471="","",IFERROR($B471+$C471-$D471+$E471,0))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7">
        <f>IF($A472="","",IFERROR($B472+$C472-$D472+$E472,0))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7">
        <f>IF($A473="","",IFERROR($B473+$C473-$D473+$E473,0))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7">
        <f>IF($A474="","",IFERROR($B474+$C474-$D474+$E474,0))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7">
        <f>IF($A475="","",IFERROR($B475+$C475-$D475+$E475,0))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7">
        <f>IF($A476="","",IFERROR($B476+$C476-$D476+$E476,0))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7">
        <f>IF($A477="","",IFERROR($B477+$C477-$D477+$E477,0))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7">
        <f>IF($A478="","",IFERROR($B478+$C478-$D478+$E478,0))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7">
        <f>IF($A479="","",IFERROR($B479+$C479-$D479+$E479,0))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7">
        <f>IF($A480="","",IFERROR($B480+$C480-$D480+$E480,0))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7">
        <f>IF($A481="","",IFERROR($B481+$C481-$D481+$E481,0))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7">
        <f>IF($A482="","",IFERROR($B482+$C482-$D482+$E482,0))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7">
        <f>IF($A483="","",IFERROR($B483+$C483-$D483+$E483,0))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7">
        <f>IF($A484="","",IFERROR($B484+$C484-$D484+$E484,0))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7">
        <f>IF($A485="","",IFERROR($B485+$C485-$D485+$E485,0))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7">
        <f>IF($A486="","",IFERROR($B486+$C486-$D486+$E486,0))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7">
        <f>IF($A487="","",IFERROR($B487+$C487-$D487+$E487,0))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7">
        <f>IF($A488="","",IFERROR($B488+$C488-$D488+$E488,0))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7">
        <f>IF($A489="","",IFERROR($B489+$C489-$D489+$E489,0))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7">
        <f>IF($A490="","",IFERROR($B490+$C490-$D490+$E490,0))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7">
        <f>IF($A491="","",IFERROR($B491+$C491-$D491+$E491,0))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7">
        <f>IF($A492="","",IFERROR($B492+$C492-$D492+$E492,0))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7">
        <f>IF($A493="","",IFERROR($B493+$C493-$D493+$E493,0))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7">
        <f>IF($A494="","",IFERROR($B494+$C494-$D494+$E494,0))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7">
        <f>IF($A495="","",IFERROR($B495+$C495-$D495+$E495,0))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7">
        <f>IF($A496="","",IFERROR($B496+$C496-$D496+$E496,0))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7">
        <f>IF($A497="","",IFERROR($B497+$C497-$D497+$E497,0))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7">
        <f>IF($A498="","",IFERROR($B498+$C498-$D498+$E498,0))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7">
        <f>IF($A499="","",IFERROR($B499+$C499-$D499+$E499,0))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7">
        <f>IF($A500="","",IFERROR($B500+$C500-$D500+$E500,0))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7">
        <f>IF($A501="","",IFERROR($B501+$C501-$D501+$E501,0))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7">
        <f>IF($A502="","",IFERROR($B502+$C502-$D502+$E502,0))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7">
        <f>IF($A503="","",IFERROR($B503+$C503-$D503+$E503,0))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7">
        <f>IF($A504="","",IFERROR($B504+$C504-$D504+$E504,0))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7">
        <f>IF($A505="","",IFERROR($B505+$C505-$D505+$E505,0))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7">
        <f>IF($A506="","",IFERROR($B506+$C506-$D506+$E506,0))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7">
        <f>IF($A507="","",IFERROR($B507+$C507-$D507+$E507,0))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7">
        <f>IF($A508="","",IFERROR($B508+$C508-$D508+$E508,0))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7">
        <f>IF($A509="","",IFERROR($B509+$C509-$D509+$E509,0))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7">
        <f>IF($A510="","",IFERROR($B510+$C510-$D510+$E510,0))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7">
        <f>IF($A511="","",IFERROR($B511+$C511-$D511+$E511,0))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7">
        <f>IF($A512="","",IFERROR($B512+$C512-$D512+$E512,0))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7">
        <f>IF($A513="","",IFERROR($B513+$C513-$D513+$E513,0))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7">
        <f>IF($A514="","",IFERROR($B514+$C514-$D514+$E514,0))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7">
        <f>IF($A515="","",IFERROR($B515+$C515-$D515+$E515,0))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7">
        <f>IF($A516="","",IFERROR($B516+$C516-$D516+$E516,0))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7">
        <f>IF($A517="","",IFERROR($B517+$C517-$D517+$E517,0))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7">
        <f>IF($A518="","",IFERROR($B518+$C518-$D518+$E518,0))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7">
        <f>IF($A519="","",IFERROR($B519+$C519-$D519+$E519,0))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7">
        <f>IF($A520="","",IFERROR($B520+$C520-$D520+$E520,0))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7">
        <f>IF($A521="","",IFERROR($B521+$C521-$D521+$E521,0))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7">
        <f>IF($A522="","",IFERROR($B522+$C522-$D522+$E522,0))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7">
        <f>IF($A523="","",IFERROR($B523+$C523-$D523+$E523,0))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7">
        <f>IF($A524="","",IFERROR($B524+$C524-$D524+$E524,0))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7">
        <f>IF($A525="","",IFERROR($B525+$C525-$D525+$E525,0))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7">
        <f>IF($A526="","",IFERROR($B526+$C526-$D526+$E526,0))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7">
        <f>IF($A527="","",IFERROR($B527+$C527-$D527+$E527,0))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7">
        <f>IF($A528="","",IFERROR($B528+$C528-$D528+$E528,0))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7">
        <f>IF($A529="","",IFERROR($B529+$C529-$D529+$E529,0))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7">
        <f>IF($A530="","",IFERROR($B530+$C530-$D530+$E530,0))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7">
        <f>IF($A531="","",IFERROR($B531+$C531-$D531+$E531,0))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7">
        <f>IF($A532="","",IFERROR($B532+$C532-$D532+$E532,0))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7">
        <f>IF($A533="","",IFERROR($B533+$C533-$D533+$E533,0))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7">
        <f>IF($A534="","",IFERROR($B534+$C534-$D534+$E534,0))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7">
        <f>IF($A535="","",IFERROR($B535+$C535-$D535+$E535,0))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7">
        <f>IF($A536="","",IFERROR($B536+$C536-$D536+$E536,0))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7">
        <f>IF($A537="","",IFERROR($B537+$C537-$D537+$E537,0))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7">
        <f>IF($A538="","",IFERROR($B538+$C538-$D538+$E538,0))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7">
        <f>IF($A539="","",IFERROR($B539+$C539-$D539+$E539,0))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7">
        <f>IF($A540="","",IFERROR($B540+$C540-$D540+$E540,0))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7">
        <f>IF($A541="","",IFERROR($B541+$C541-$D541+$E541,0))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7">
        <f>IF($A542="","",IFERROR($B542+$C542-$D542+$E542,0))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7">
        <f>IF($A543="","",IFERROR($B543+$C543-$D543+$E543,0))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7">
        <f>IF($A544="","",IFERROR($B544+$C544-$D544+$E544,0))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7">
        <f>IF($A545="","",IFERROR($B545+$C545-$D545+$E545,0))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7">
        <f>IF($A546="","",IFERROR($B546+$C546-$D546+$E546,0))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7">
        <f>IF($A547="","",IFERROR($B547+$C547-$D547+$E547,0))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7">
        <f>IF($A548="","",IFERROR($B548+$C548-$D548+$E548,0))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7">
        <f>IF($A549="","",IFERROR($B549+$C549-$D549+$E549,0))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7">
        <f>IF($A550="","",IFERROR($B550+$C550-$D550+$E550,0))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7">
        <f>IF($A551="","",IFERROR($B551+$C551-$D551+$E551,0))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7">
        <f>IF($A552="","",IFERROR($B552+$C552-$D552+$E552,0))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7">
        <f>IF($A553="","",IFERROR($B553+$C553-$D553+$E553,0))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7">
        <f>IF($A554="","",IFERROR($B554+$C554-$D554+$E554,0))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7">
        <f>IF($A555="","",IFERROR($B555+$C555-$D555+$E555,0))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7">
        <f>IF($A556="","",IFERROR($B556+$C556-$D556+$E556,0))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7">
        <f>IF($A557="","",IFERROR($B557+$C557-$D557+$E557,0))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7">
        <f>IF($A558="","",IFERROR($B558+$C558-$D558+$E558,0))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7">
        <f>IF($A559="","",IFERROR($B559+$C559-$D559+$E559,0))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7">
        <f>IF($A560="","",IFERROR($B560+$C560-$D560+$E560,0))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7">
        <f>IF($A561="","",IFERROR($B561+$C561-$D561+$E561,0))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7">
        <f>IF($A562="","",IFERROR($B562+$C562-$D562+$E562,0))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7">
        <f>IF($A563="","",IFERROR($B563+$C563-$D563+$E563,0))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7">
        <f>IF($A564="","",IFERROR($B564+$C564-$D564+$E564,0))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7">
        <f>IF($A565="","",IFERROR($B565+$C565-$D565+$E565,0))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7">
        <f>IF($A566="","",IFERROR($B566+$C566-$D566+$E566,0))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7">
        <f>IF($A567="","",IFERROR($B567+$C567-$D567+$E567,0))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7">
        <f>IF($A568="","",IFERROR($B568+$C568-$D568+$E568,0))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7">
        <f>IF($A569="","",IFERROR($B569+$C569-$D569+$E569,0))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7">
        <f>IF($A570="","",IFERROR($B570+$C570-$D570+$E570,0))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7">
        <f>IF($A571="","",IFERROR($B571+$C571-$D571+$E571,0))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7">
        <f>IF($A572="","",IFERROR($B572+$C572-$D572+$E572,0))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7">
        <f>IF($A573="","",IFERROR($B573+$C573-$D573+$E573,0))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7">
        <f>IF($A574="","",IFERROR($B574+$C574-$D574+$E574,0))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7">
        <f>IF($A575="","",IFERROR($B575+$C575-$D575+$E575,0))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7">
        <f>IF($A576="","",IFERROR($B576+$C576-$D576+$E576,0))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7">
        <f>IF($A577="","",IFERROR($B577+$C577-$D577+$E577,0))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7">
        <f>IF($A578="","",IFERROR($B578+$C578-$D578+$E578,0))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7">
        <f>IF($A579="","",IFERROR($B579+$C579-$D579+$E579,0))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7">
        <f>IF($A580="","",IFERROR($B580+$C580-$D580+$E580,0))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7">
        <f>IF($A581="","",IFERROR($B581+$C581-$D581+$E581,0))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7">
        <f>IF($A582="","",IFERROR($B582+$C582-$D582+$E582,0))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7">
        <f>IF($A583="","",IFERROR($B583+$C583-$D583+$E583,0))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7">
        <f>IF($A584="","",IFERROR($B584+$C584-$D584+$E584,0))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7">
        <f>IF($A585="","",IFERROR($B585+$C585-$D585+$E585,0))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7">
        <f>IF($A586="","",IFERROR($B586+$C586-$D586+$E586,0))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7">
        <f>IF($A587="","",IFERROR($B587+$C587-$D587+$E587,0))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7">
        <f>IF($A588="","",IFERROR($B588+$C588-$D588+$E588,0))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7">
        <f>IF($A589="","",IFERROR($B589+$C589-$D589+$E589,0))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7">
        <f>IF($A590="","",IFERROR($B590+$C590-$D590+$E590,0))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7">
        <f>IF($A591="","",IFERROR($B591+$C591-$D591+$E591,0))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7">
        <f>IF($A592="","",IFERROR($B592+$C592-$D592+$E592,0))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7">
        <f>IF($A593="","",IFERROR($B593+$C593-$D593+$E593,0))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7">
        <f>IF($A594="","",IFERROR($B594+$C594-$D594+$E594,0))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7">
        <f>IF($A595="","",IFERROR($B595+$C595-$D595+$E595,0))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7">
        <f>IF($A596="","",IFERROR($B596+$C596-$D596+$E596,0))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7">
        <f>IF($A597="","",IFERROR($B597+$C597-$D597+$E597,0))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7">
        <f>IF($A598="","",IFERROR($B598+$C598-$D598+$E598,0))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7">
        <f>IF($A599="","",IFERROR($B599+$C599-$D599+$E599,0))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7">
        <f>IF($A600="","",IFERROR($B600+$C600-$D600+$E600,0))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7">
        <f>IF($A601="","",IFERROR($B601+$C601-$D601+$E601,0))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7">
        <f>IF($A602="","",IFERROR($B602+$C602-$D602+$E602,0))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7">
        <f>IF($A603="","",IFERROR($B603+$C603-$D603+$E603,0))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7">
        <f>IF($A604="","",IFERROR($B604+$C604-$D604+$E604,0))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7">
        <f>IF($A605="","",IFERROR($B605+$C605-$D605+$E605,0))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7">
        <f>IF($A606="","",IFERROR($B606+$C606-$D606+$E606,0))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7">
        <f>IF($A607="","",IFERROR($B607+$C607-$D607+$E607,0))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7">
        <f>IF($A608="","",IFERROR($B608+$C608-$D608+$E608,0))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7">
        <f>IF($A609="","",IFERROR($B609+$C609-$D609+$E609,0))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7">
        <f>IF($A610="","",IFERROR($B610+$C610-$D610+$E610,0))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7">
        <f>IF($A611="","",IFERROR($B611+$C611-$D611+$E611,0))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7">
        <f>IF($A612="","",IFERROR($B612+$C612-$D612+$E612,0))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7">
        <f>IF($A613="","",IFERROR($B613+$C613-$D613+$E613,0))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7">
        <f>IF($A614="","",IFERROR($B614+$C614-$D614+$E614,0))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7">
        <f>IF($A615="","",IFERROR($B615+$C615-$D615+$E615,0))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7">
        <f>IF($A616="","",IFERROR($B616+$C616-$D616+$E616,0))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7">
        <f>IF($A617="","",IFERROR($B617+$C617-$D617+$E617,0))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7">
        <f>IF($A618="","",IFERROR($B618+$C618-$D618+$E618,0))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7">
        <f>IF($A619="","",IFERROR($B619+$C619-$D619+$E619,0))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7">
        <f>IF($A620="","",IFERROR($B620+$C620-$D620+$E620,0))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7">
        <f>IF($A621="","",IFERROR($B621+$C621-$D621+$E621,0))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7">
        <f>IF($A622="","",IFERROR($B622+$C622-$D622+$E622,0))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7">
        <f>IF($A623="","",IFERROR($B623+$C623-$D623+$E623,0))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7">
        <f>IF($A624="","",IFERROR($B624+$C624-$D624+$E624,0))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7">
        <f>IF($A625="","",IFERROR($B625+$C625-$D625+$E625,0))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7">
        <f>IF($A626="","",IFERROR($B626+$C626-$D626+$E626,0))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7">
        <f>IF($A627="","",IFERROR($B627+$C627-$D627+$E627,0))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7">
        <f>IF($A628="","",IFERROR($B628+$C628-$D628+$E628,0))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7">
        <f>IF($A629="","",IFERROR($B629+$C629-$D629+$E629,0))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7">
        <f>IF($A630="","",IFERROR($B630+$C630-$D630+$E630,0))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7">
        <f>IF($A631="","",IFERROR($B631+$C631-$D631+$E631,0))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7">
        <f>IF($A632="","",IFERROR($B632+$C632-$D632+$E632,0))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7">
        <f>IF($A633="","",IFERROR($B633+$C633-$D633+$E633,0))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7">
        <f>IF($A634="","",IFERROR($B634+$C634-$D634+$E634,0))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7">
        <f>IF($A635="","",IFERROR($B635+$C635-$D635+$E635,0))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7">
        <f>IF($A636="","",IFERROR($B636+$C636-$D636+$E636,0))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7">
        <f>IF($A637="","",IFERROR($B637+$C637-$D637+$E637,0))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7">
        <f>IF($A638="","",IFERROR($B638+$C638-$D638+$E638,0))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7">
        <f>IF($A639="","",IFERROR($B639+$C639-$D639+$E639,0))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7">
        <f>IF($A640="","",IFERROR($B640+$C640-$D640+$E640,0))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7">
        <f>IF($A641="","",IFERROR($B641+$C641-$D641+$E641,0))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7">
        <f>IF($A642="","",IFERROR($B642+$C642-$D642+$E642,0))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7">
        <f>IF($A643="","",IFERROR($B643+$C643-$D643+$E643,0))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7">
        <f>IF($A644="","",IFERROR($B644+$C644-$D644+$E644,0))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7">
        <f>IF($A645="","",IFERROR($B645+$C645-$D645+$E645,0))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7">
        <f>IF($A646="","",IFERROR($B646+$C646-$D646+$E646,0))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7">
        <f>IF($A647="","",IFERROR($B647+$C647-$D647+$E647,0))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7">
        <f>IF($A648="","",IFERROR($B648+$C648-$D648+$E648,0))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7">
        <f>IF($A649="","",IFERROR($B649+$C649-$D649+$E649,0))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7">
        <f>IF($A650="","",IFERROR($B650+$C650-$D650+$E650,0))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7">
        <f>IF($A651="","",IFERROR($B651+$C651-$D651+$E651,0))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7">
        <f>IF($A652="","",IFERROR($B652+$C652-$D652+$E652,0))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7">
        <f>IF($A653="","",IFERROR($B653+$C653-$D653+$E653,0))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7">
        <f>IF($A654="","",IFERROR($B654+$C654-$D654+$E654,0))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7">
        <f>IF($A655="","",IFERROR($B655+$C655-$D655+$E655,0))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7">
        <f>IF($A656="","",IFERROR($B656+$C656-$D656+$E656,0))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7">
        <f>IF($A657="","",IFERROR($B657+$C657-$D657+$E657,0))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7">
        <f>IF($A658="","",IFERROR($B658+$C658-$D658+$E658,0))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7">
        <f>IF($A659="","",IFERROR($B659+$C659-$D659+$E659,0))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7">
        <f>IF($A660="","",IFERROR($B660+$C660-$D660+$E660,0))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7">
        <f>IF($A661="","",IFERROR($B661+$C661-$D661+$E661,0))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7">
        <f>IF($A662="","",IFERROR($B662+$C662-$D662+$E662,0))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7">
        <f>IF($A663="","",IFERROR($B663+$C663-$D663+$E663,0))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7">
        <f>IF($A664="","",IFERROR($B664+$C664-$D664+$E664,0))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7">
        <f>IF($A665="","",IFERROR($B665+$C665-$D665+$E665,0))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7">
        <f>IF($A666="","",IFERROR($B666+$C666-$D666+$E666,0))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7">
        <f>IF($A667="","",IFERROR($B667+$C667-$D667+$E667,0))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7">
        <f>IF($A668="","",IFERROR($B668+$C668-$D668+$E668,0))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7">
        <f>IF($A669="","",IFERROR($B669+$C669-$D669+$E669,0))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7">
        <f>IF($A670="","",IFERROR($B670+$C670-$D670+$E670,0))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7">
        <f>IF($A671="","",IFERROR($B671+$C671-$D671+$E671,0))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7">
        <f>IF($A672="","",IFERROR($B672+$C672-$D672+$E672,0))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7">
        <f>IF($A673="","",IFERROR($B673+$C673-$D673+$E673,0))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7">
        <f>IF($A674="","",IFERROR($B674+$C674-$D674+$E674,0))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7">
        <f>IF($A675="","",IFERROR($B675+$C675-$D675+$E675,0))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7">
        <f>IF($A676="","",IFERROR($B676+$C676-$D676+$E676,0))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7">
        <f>IF($A677="","",IFERROR($B677+$C677-$D677+$E677,0))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7">
        <f>IF($A678="","",IFERROR($B678+$C678-$D678+$E678,0))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7">
        <f>IF($A679="","",IFERROR($B679+$C679-$D679+$E679,0))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7">
        <f>IF($A680="","",IFERROR($B680+$C680-$D680+$E680,0))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7">
        <f>IF($A681="","",IFERROR($B681+$C681-$D681+$E681,0))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7">
        <f>IF($A682="","",IFERROR($B682+$C682-$D682+$E682,0))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7">
        <f>IF($A683="","",IFERROR($B683+$C683-$D683+$E683,0))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7">
        <f>IF($A684="","",IFERROR($B684+$C684-$D684+$E684,0))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7">
        <f>IF($A685="","",IFERROR($B685+$C685-$D685+$E685,0))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7">
        <f>IF($A686="","",IFERROR($B686+$C686-$D686+$E686,0))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7">
        <f>IF($A687="","",IFERROR($B687+$C687-$D687+$E687,0))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7">
        <f>IF($A688="","",IFERROR($B688+$C688-$D688+$E688,0))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7">
        <f>IF($A689="","",IFERROR($B689+$C689-$D689+$E689,0))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7">
        <f>IF($A690="","",IFERROR($B690+$C690-$D690+$E690,0))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7">
        <f>IF($A691="","",IFERROR($B691+$C691-$D691+$E691,0))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7">
        <f>IF($A692="","",IFERROR($B692+$C692-$D692+$E692,0))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7">
        <f>IF($A693="","",IFERROR($B693+$C693-$D693+$E693,0))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7">
        <f>IF($A694="","",IFERROR($B694+$C694-$D694+$E694,0))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7">
        <f>IF($A695="","",IFERROR($B695+$C695-$D695+$E695,0))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7">
        <f>IF($A696="","",IFERROR($B696+$C696-$D696+$E696,0))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7">
        <f>IF($A697="","",IFERROR($B697+$C697-$D697+$E697,0))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7">
        <f>IF($A698="","",IFERROR($B698+$C698-$D698+$E698,0))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7">
        <f>IF($A699="","",IFERROR($B699+$C699-$D699+$E699,0))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7">
        <f>IF($A700="","",IFERROR($B700+$C700-$D700+$E700,0))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7">
        <f>IF($A701="","",IFERROR($B701+$C701-$D701+$E701,0))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7">
        <f>IF($A702="","",IFERROR($B702+$C702-$D702+$E702,0))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7">
        <f>IF($A703="","",IFERROR($B703+$C703-$D703+$E703,0))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7">
        <f>IF($A704="","",IFERROR($B704+$C704-$D704+$E704,0))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7">
        <f>IF($A705="","",IFERROR($B705+$C705-$D705+$E705,0))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7">
        <f>IF($A706="","",IFERROR($B706+$C706-$D706+$E706,0))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7">
        <f>IF($A707="","",IFERROR($B707+$C707-$D707+$E707,0))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7">
        <f>IF($A708="","",IFERROR($B708+$C708-$D708+$E708,0))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7">
        <f>IF($A709="","",IFERROR($B709+$C709-$D709+$E709,0))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7">
        <f>IF($A710="","",IFERROR($B710+$C710-$D710+$E710,0))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7">
        <f>IF($A711="","",IFERROR($B711+$C711-$D711+$E711,0))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7">
        <f>IF($A712="","",IFERROR($B712+$C712-$D712+$E712,0))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7">
        <f>IF($A713="","",IFERROR($B713+$C713-$D713+$E713,0))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7">
        <f>IF($A714="","",IFERROR($B714+$C714-$D714+$E714,0))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7">
        <f>IF($A715="","",IFERROR($B715+$C715-$D715+$E715,0))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7">
        <f>IF($A716="","",IFERROR($B716+$C716-$D716+$E716,0))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7">
        <f>IF($A717="","",IFERROR($B717+$C717-$D717+$E717,0))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7">
        <f>IF($A718="","",IFERROR($B718+$C718-$D718+$E718,0))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7">
        <f>IF($A719="","",IFERROR($B719+$C719-$D719+$E719,0))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7">
        <f>IF($A720="","",IFERROR($B720+$C720-$D720+$E720,0))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7">
        <f>IF($A721="","",IFERROR($B721+$C721-$D721+$E721,0))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7">
        <f>IF($A722="","",IFERROR($B722+$C722-$D722+$E722,0))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7">
        <f>IF($A723="","",IFERROR($B723+$C723-$D723+$E723,0))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7">
        <f>IF($A724="","",IFERROR($B724+$C724-$D724+$E724,0))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7">
        <f>IF($A725="","",IFERROR($B725+$C725-$D725+$E725,0))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7">
        <f>IF($A726="","",IFERROR($B726+$C726-$D726+$E726,0))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7">
        <f>IF($A727="","",IFERROR($B727+$C727-$D727+$E727,0))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7">
        <f>IF($A728="","",IFERROR($B728+$C728-$D728+$E728,0))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7">
        <f>IF($A729="","",IFERROR($B729+$C729-$D729+$E729,0))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7">
        <f>IF($A730="","",IFERROR($B730+$C730-$D730+$E730,0))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7">
        <f>IF($A731="","",IFERROR($B731+$C731-$D731+$E731,0))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7">
        <f>IF($A732="","",IFERROR($B732+$C732-$D732+$E732,0))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7">
        <f>IF($A733="","",IFERROR($B733+$C733-$D733+$E733,0))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7">
        <f>IF($A734="","",IFERROR($B734+$C734-$D734+$E734,0))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7">
        <f>IF($A735="","",IFERROR($B735+$C735-$D735+$E735,0))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7">
        <f>IF($A736="","",IFERROR($B736+$C736-$D736+$E736,0))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7">
        <f>IF($A737="","",IFERROR($B737+$C737-$D737+$E737,0))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7">
        <f>IF($A738="","",IFERROR($B738+$C738-$D738+$E738,0))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7">
        <f>IF($A739="","",IFERROR($B739+$C739-$D739+$E739,0))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7">
        <f>IF($A740="","",IFERROR($B740+$C740-$D740+$E740,0))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7">
        <f>IF($A741="","",IFERROR($B741+$C741-$D741+$E741,0))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7">
        <f>IF($A742="","",IFERROR($B742+$C742-$D742+$E742,0))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7">
        <f>IF($A743="","",IFERROR($B743+$C743-$D743+$E743,0))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7">
        <f>IF($A744="","",IFERROR($B744+$C744-$D744+$E744,0))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7">
        <f>IF($A745="","",IFERROR($B745+$C745-$D745+$E745,0))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7">
        <f>IF($A746="","",IFERROR($B746+$C746-$D746+$E746,0))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7">
        <f>IF($A747="","",IFERROR($B747+$C747-$D747+$E747,0))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7">
        <f>IF($A748="","",IFERROR($B748+$C748-$D748+$E748,0))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7">
        <f>IF($A749="","",IFERROR($B749+$C749-$D749+$E749,0))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7">
        <f>IF($A750="","",IFERROR($B750+$C750-$D750+$E750,0))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7">
        <f>IF($A751="","",IFERROR($B751+$C751-$D751+$E751,0))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7">
        <f>IF($A752="","",IFERROR($B752+$C752-$D752+$E752,0))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7">
        <f>IF($A753="","",IFERROR($B753+$C753-$D753+$E753,0))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7">
        <f>IF($A754="","",IFERROR($B754+$C754-$D754+$E754,0))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7">
        <f>IF($A755="","",IFERROR($B755+$C755-$D755+$E755,0))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7">
        <f>IF($A756="","",IFERROR($B756+$C756-$D756+$E756,0))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7">
        <f>IF($A757="","",IFERROR($B757+$C757-$D757+$E757,0))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7">
        <f>IF($A758="","",IFERROR($B758+$C758-$D758+$E758,0))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7">
        <f>IF($A759="","",IFERROR($B759+$C759-$D759+$E759,0))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7">
        <f>IF($A760="","",IFERROR($B760+$C760-$D760+$E760,0))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7">
        <f>IF($A761="","",IFERROR($B761+$C761-$D761+$E761,0))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7">
        <f>IF($A762="","",IFERROR($B762+$C762-$D762+$E762,0))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7">
        <f>IF($A763="","",IFERROR($B763+$C763-$D763+$E763,0))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7">
        <f>IF($A764="","",IFERROR($B764+$C764-$D764+$E764,0))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7">
        <f>IF($A765="","",IFERROR($B765+$C765-$D765+$E765,0))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7">
        <f>IF($A766="","",IFERROR($B766+$C766-$D766+$E766,0))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7">
        <f>IF($A767="","",IFERROR($B767+$C767-$D767+$E767,0))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7">
        <f>IF($A768="","",IFERROR($B768+$C768-$D768+$E768,0))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7">
        <f>IF($A769="","",IFERROR($B769+$C769-$D769+$E769,0))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7">
        <f>IF($A770="","",IFERROR($B770+$C770-$D770+$E770,0))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7">
        <f>IF($A771="","",IFERROR($B771+$C771-$D771+$E771,0))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7">
        <f>IF($A772="","",IFERROR($B772+$C772-$D772+$E772,0))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7">
        <f>IF($A773="","",IFERROR($B773+$C773-$D773+$E773,0))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7">
        <f>IF($A774="","",IFERROR($B774+$C774-$D774+$E774,0))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7">
        <f>IF($A775="","",IFERROR($B775+$C775-$D775+$E775,0))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7">
        <f>IF($A776="","",IFERROR($B776+$C776-$D776+$E776,0))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7">
        <f>IF($A777="","",IFERROR($B777+$C777-$D777+$E777,0))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7">
        <f>IF($A778="","",IFERROR($B778+$C778-$D778+$E778,0))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7">
        <f>IF($A779="","",IFERROR($B779+$C779-$D779+$E779,0))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7">
        <f>IF($A780="","",IFERROR($B780+$C780-$D780+$E780,0))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7">
        <f>IF($A781="","",IFERROR($B781+$C781-$D781+$E781,0))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7">
        <f>IF($A782="","",IFERROR($B782+$C782-$D782+$E782,0))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7">
        <f>IF($A783="","",IFERROR($B783+$C783-$D783+$E783,0))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7">
        <f>IF($A784="","",IFERROR($B784+$C784-$D784+$E784,0))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7">
        <f>IF($A785="","",IFERROR($B785+$C785-$D785+$E785,0))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7">
        <f>IF($A786="","",IFERROR($B786+$C786-$D786+$E786,0))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7">
        <f>IF($A787="","",IFERROR($B787+$C787-$D787+$E787,0))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7">
        <f>IF($A788="","",IFERROR($B788+$C788-$D788+$E788,0))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7">
        <f>IF($A789="","",IFERROR($B789+$C789-$D789+$E789,0))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7">
        <f>IF($A790="","",IFERROR($B790+$C790-$D790+$E790,0))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7">
        <f>IF($A791="","",IFERROR($B791+$C791-$D791+$E791,0))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7">
        <f>IF($A792="","",IFERROR($B792+$C792-$D792+$E792,0))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7">
        <f>IF($A793="","",IFERROR($B793+$C793-$D793+$E793,0))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7">
        <f>IF($A794="","",IFERROR($B794+$C794-$D794+$E794,0))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7">
        <f>IF($A795="","",IFERROR($B795+$C795-$D795+$E795,0))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7">
        <f>IF($A796="","",IFERROR($B796+$C796-$D796+$E796,0))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7">
        <f>IF($A797="","",IFERROR($B797+$C797-$D797+$E797,0))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7">
        <f>IF($A798="","",IFERROR($B798+$C798-$D798+$E798,0))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7">
        <f>IF($A799="","",IFERROR($B799+$C799-$D799+$E799,0))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7">
        <f>IF($A800="","",IFERROR($B800+$C800-$D800+$E800,0))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7">
        <f>IF($A801="","",IFERROR($B801+$C801-$D801+$E801,0))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7">
        <f>IF($A802="","",IFERROR($B802+$C802-$D802+$E802,0))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7">
        <f>IF($A803="","",IFERROR($B803+$C803-$D803+$E803,0))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7">
        <f>IF($A804="","",IFERROR($B804+$C804-$D804+$E804,0))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7">
        <f>IF($A805="","",IFERROR($B805+$C805-$D805+$E805,0))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7">
        <f>IF($A806="","",IFERROR($B806+$C806-$D806+$E806,0))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7">
        <f>IF($A807="","",IFERROR($B807+$C807-$D807+$E807,0))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7">
        <f>IF($A808="","",IFERROR($B808+$C808-$D808+$E808,0))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7">
        <f>IF($A809="","",IFERROR($B809+$C809-$D809+$E809,0))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7">
        <f>IF($A810="","",IFERROR($B810+$C810-$D810+$E810,0))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7">
        <f>IF($A811="","",IFERROR($B811+$C811-$D811+$E811,0))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7">
        <f>IF($A812="","",IFERROR($B812+$C812-$D812+$E812,0))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7">
        <f>IF($A813="","",IFERROR($B813+$C813-$D813+$E813,0))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7">
        <f>IF($A814="","",IFERROR($B814+$C814-$D814+$E814,0))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7">
        <f>IF($A815="","",IFERROR($B815+$C815-$D815+$E815,0))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7">
        <f>IF($A816="","",IFERROR($B816+$C816-$D816+$E816,0))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7">
        <f>IF($A817="","",IFERROR($B817+$C817-$D817+$E817,0))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7">
        <f>IF($A818="","",IFERROR($B818+$C818-$D818+$E818,0))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7">
        <f>IF($A819="","",IFERROR($B819+$C819-$D819+$E819,0))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7">
        <f>IF($A820="","",IFERROR($B820+$C820-$D820+$E820,0))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7">
        <f>IF($A821="","",IFERROR($B821+$C821-$D821+$E821,0))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7">
        <f>IF($A822="","",IFERROR($B822+$C822-$D822+$E822,0))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7">
        <f>IF($A823="","",IFERROR($B823+$C823-$D823+$E823,0))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7">
        <f>IF($A824="","",IFERROR($B824+$C824-$D824+$E824,0))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7">
        <f>IF($A825="","",IFERROR($B825+$C825-$D825+$E825,0))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7">
        <f>IF($A826="","",IFERROR($B826+$C826-$D826+$E826,0))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7">
        <f>IF($A827="","",IFERROR($B827+$C827-$D827+$E827,0))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7">
        <f>IF($A828="","",IFERROR($B828+$C828-$D828+$E828,0))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7">
        <f>IF($A829="","",IFERROR($B829+$C829-$D829+$E829,0))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7">
        <f>IF($A830="","",IFERROR($B830+$C830-$D830+$E830,0))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7">
        <f>IF($A831="","",IFERROR($B831+$C831-$D831+$E831,0))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7">
        <f>IF($A832="","",IFERROR($B832+$C832-$D832+$E832,0))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7">
        <f>IF($A833="","",IFERROR($B833+$C833-$D833+$E833,0))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7">
        <f>IF($A834="","",IFERROR($B834+$C834-$D834+$E834,0))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7">
        <f>IF($A835="","",IFERROR($B835+$C835-$D835+$E835,0))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7">
        <f>IF($A836="","",IFERROR($B836+$C836-$D836+$E836,0))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7">
        <f>IF($A837="","",IFERROR($B837+$C837-$D837+$E837,0))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7">
        <f>IF($A838="","",IFERROR($B838+$C838-$D838+$E838,0))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7">
        <f>IF($A839="","",IFERROR($B839+$C839-$D839+$E839,0))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7">
        <f>IF($A840="","",IFERROR($B840+$C840-$D840+$E840,0))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7">
        <f>IF($A841="","",IFERROR($B841+$C841-$D841+$E841,0))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7">
        <f>IF($A842="","",IFERROR($B842+$C842-$D842+$E842,0))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7">
        <f>IF($A843="","",IFERROR($B843+$C843-$D843+$E843,0))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7">
        <f>IF($A844="","",IFERROR($B844+$C844-$D844+$E844,0))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7">
        <f>IF($A845="","",IFERROR($B845+$C845-$D845+$E845,0))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7">
        <f>IF($A846="","",IFERROR($B846+$C846-$D846+$E846,0))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7">
        <f>IF($A847="","",IFERROR($B847+$C847-$D847+$E847,0))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7">
        <f>IF($A848="","",IFERROR($B848+$C848-$D848+$E848,0))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7">
        <f>IF($A849="","",IFERROR($B849+$C849-$D849+$E849,0))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7">
        <f>IF($A850="","",IFERROR($B850+$C850-$D850+$E850,0))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7">
        <f>IF($A851="","",IFERROR($B851+$C851-$D851+$E851,0))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7">
        <f>IF($A852="","",IFERROR($B852+$C852-$D852+$E852,0))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7">
        <f>IF($A853="","",IFERROR($B853+$C853-$D853+$E853,0))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7">
        <f>IF($A854="","",IFERROR($B854+$C854-$D854+$E854,0))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7">
        <f>IF($A855="","",IFERROR($B855+$C855-$D855+$E855,0))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7">
        <f>IF($A856="","",IFERROR($B856+$C856-$D856+$E856,0))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7">
        <f>IF($A857="","",IFERROR($B857+$C857-$D857+$E857,0))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7">
        <f>IF($A858="","",IFERROR($B858+$C858-$D858+$E858,0))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7">
        <f>IF($A859="","",IFERROR($B859+$C859-$D859+$E859,0))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7">
        <f>IF($A860="","",IFERROR($B860+$C860-$D860+$E860,0))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7">
        <f>IF($A861="","",IFERROR($B861+$C861-$D861+$E861,0))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7">
        <f>IF($A862="","",IFERROR($B862+$C862-$D862+$E862,0))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7">
        <f>IF($A863="","",IFERROR($B863+$C863-$D863+$E863,0))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7">
        <f>IF($A864="","",IFERROR($B864+$C864-$D864+$E864,0))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7">
        <f>IF($A865="","",IFERROR($B865+$C865-$D865+$E865,0))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7">
        <f>IF($A866="","",IFERROR($B866+$C866-$D866+$E866,0))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7">
        <f>IF($A867="","",IFERROR($B867+$C867-$D867+$E867,0))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7">
        <f>IF($A868="","",IFERROR($B868+$C868-$D868+$E868,0))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7">
        <f>IF($A869="","",IFERROR($B869+$C869-$D869+$E869,0))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7">
        <f>IF($A870="","",IFERROR($B870+$C870-$D870+$E870,0))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7">
        <f>IF($A871="","",IFERROR($B871+$C871-$D871+$E871,0))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7">
        <f>IF($A872="","",IFERROR($B872+$C872-$D872+$E872,0))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7">
        <f>IF($A873="","",IFERROR($B873+$C873-$D873+$E873,0))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7">
        <f>IF($A874="","",IFERROR($B874+$C874-$D874+$E874,0))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7">
        <f>IF($A875="","",IFERROR($B875+$C875-$D875+$E875,0))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7">
        <f>IF($A876="","",IFERROR($B876+$C876-$D876+$E876,0))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7">
        <f>IF($A877="","",IFERROR($B877+$C877-$D877+$E877,0))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7">
        <f>IF($A878="","",IFERROR($B878+$C878-$D878+$E878,0))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7">
        <f>IF($A879="","",IFERROR($B879+$C879-$D879+$E879,0))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7">
        <f>IF($A880="","",IFERROR($B880+$C880-$D880+$E880,0))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7">
        <f>IF($A881="","",IFERROR($B881+$C881-$D881+$E881,0))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7">
        <f>IF($A882="","",IFERROR($B882+$C882-$D882+$E882,0))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7">
        <f>IF($A883="","",IFERROR($B883+$C883-$D883+$E883,0))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7">
        <f>IF($A884="","",IFERROR($B884+$C884-$D884+$E884,0))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7">
        <f>IF($A885="","",IFERROR($B885+$C885-$D885+$E885,0))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7">
        <f>IF($A886="","",IFERROR($B886+$C886-$D886+$E886,0))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7">
        <f>IF($A887="","",IFERROR($B887+$C887-$D887+$E887,0))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7">
        <f>IF($A888="","",IFERROR($B888+$C888-$D888+$E888,0))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7">
        <f>IF($A889="","",IFERROR($B889+$C889-$D889+$E889,0))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7">
        <f>IF($A890="","",IFERROR($B890+$C890-$D890+$E890,0))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7">
        <f>IF($A891="","",IFERROR($B891+$C891-$D891+$E891,0))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7">
        <f>IF($A892="","",IFERROR($B892+$C892-$D892+$E892,0))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7">
        <f>IF($A893="","",IFERROR($B893+$C893-$D893+$E893,0))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7">
        <f>IF($A894="","",IFERROR($B894+$C894-$D894+$E894,0))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7">
        <f>IF($A895="","",IFERROR($B895+$C895-$D895+$E895,0))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7">
        <f>IF($A896="","",IFERROR($B896+$C896-$D896+$E896,0))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7">
        <f>IF($A897="","",IFERROR($B897+$C897-$D897+$E897,0))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7">
        <f>IF($A898="","",IFERROR($B898+$C898-$D898+$E898,0))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7">
        <f>IF($A899="","",IFERROR($B899+$C899-$D899+$E899,0))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7">
        <f>IF($A900="","",IFERROR($B900+$C900-$D900+$E900,0))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7">
        <f>IF($A901="","",IFERROR($B901+$C901-$D901+$E901,0))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7">
        <f>IF($A902="","",IFERROR($B902+$C902-$D902+$E902,0))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7">
        <f>IF($A903="","",IFERROR($B903+$C903-$D903+$E903,0))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7">
        <f>IF($A904="","",IFERROR($B904+$C904-$D904+$E904,0))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7">
        <f>IF($A905="","",IFERROR($B905+$C905-$D905+$E905,0))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7">
        <f>IF($A906="","",IFERROR($B906+$C906-$D906+$E906,0))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7">
        <f>IF($A907="","",IFERROR($B907+$C907-$D907+$E907,0))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7">
        <f>IF($A908="","",IFERROR($B908+$C908-$D908+$E908,0))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7">
        <f>IF($A909="","",IFERROR($B909+$C909-$D909+$E909,0))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7">
        <f>IF($A910="","",IFERROR($B910+$C910-$D910+$E910,0))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7">
        <f>IF($A911="","",IFERROR($B911+$C911-$D911+$E911,0))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7">
        <f>IF($A912="","",IFERROR($B912+$C912-$D912+$E912,0))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7">
        <f>IF($A913="","",IFERROR($B913+$C913-$D913+$E913,0))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7">
        <f>IF($A914="","",IFERROR($B914+$C914-$D914+$E914,0))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7">
        <f>IF($A915="","",IFERROR($B915+$C915-$D915+$E915,0))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7">
        <f>IF($A916="","",IFERROR($B916+$C916-$D916+$E916,0))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7">
        <f>IF($A917="","",IFERROR($B917+$C917-$D917+$E917,0))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7">
        <f>IF($A918="","",IFERROR($B918+$C918-$D918+$E918,0))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7">
        <f>IF($A919="","",IFERROR($B919+$C919-$D919+$E919,0))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7">
        <f>IF($A920="","",IFERROR($B920+$C920-$D920+$E920,0))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7">
        <f>IF($A921="","",IFERROR($B921+$C921-$D921+$E921,0))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7">
        <f>IF($A922="","",IFERROR($B922+$C922-$D922+$E922,0))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7">
        <f>IF($A923="","",IFERROR($B923+$C923-$D923+$E923,0))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7">
        <f>IF($A924="","",IFERROR($B924+$C924-$D924+$E924,0))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7">
        <f>IF($A925="","",IFERROR($B925+$C925-$D925+$E925,0))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7">
        <f>IF($A926="","",IFERROR($B926+$C926-$D926+$E926,0))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7">
        <f>IF($A927="","",IFERROR($B927+$C927-$D927+$E927,0))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7">
        <f>IF($A928="","",IFERROR($B928+$C928-$D928+$E928,0))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7">
        <f>IF($A929="","",IFERROR($B929+$C929-$D929+$E929,0))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7">
        <f>IF($A930="","",IFERROR($B930+$C930-$D930+$E930,0))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7">
        <f>IF($A931="","",IFERROR($B931+$C931-$D931+$E931,0))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7">
        <f>IF($A932="","",IFERROR($B932+$C932-$D932+$E932,0))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7">
        <f>IF($A933="","",IFERROR($B933+$C933-$D933+$E933,0))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7">
        <f>IF($A934="","",IFERROR($B934+$C934-$D934+$E934,0))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7">
        <f>IF($A935="","",IFERROR($B935+$C935-$D935+$E935,0))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7">
        <f>IF($A936="","",IFERROR($B936+$C936-$D936+$E936,0))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7">
        <f>IF($A937="","",IFERROR($B937+$C937-$D937+$E937,0))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7">
        <f>IF($A938="","",IFERROR($B938+$C938-$D938+$E938,0))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7">
        <f>IF($A939="","",IFERROR($B939+$C939-$D939+$E939,0))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7">
        <f>IF($A940="","",IFERROR($B940+$C940-$D940+$E940,0))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7">
        <f>IF($A941="","",IFERROR($B941+$C941-$D941+$E941,0))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7">
        <f>IF($A942="","",IFERROR($B942+$C942-$D942+$E942,0))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7">
        <f>IF($A943="","",IFERROR($B943+$C943-$D943+$E943,0))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7">
        <f>IF($A944="","",IFERROR($B944+$C944-$D944+$E944,0))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7">
        <f>IF($A945="","",IFERROR($B945+$C945-$D945+$E945,0))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7">
        <f>IF($A946="","",IFERROR($B946+$C946-$D946+$E946,0))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7">
        <f>IF($A947="","",IFERROR($B947+$C947-$D947+$E947,0))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7">
        <f>IF($A948="","",IFERROR($B948+$C948-$D948+$E948,0))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7">
        <f>IF($A949="","",IFERROR($B949+$C949-$D949+$E949,0))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7">
        <f>IF($A950="","",IFERROR($B950+$C950-$D950+$E950,0))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7">
        <f>IF($A951="","",IFERROR($B951+$C951-$D951+$E951,0))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7">
        <f>IF($A952="","",IFERROR($B952+$C952-$D952+$E952,0))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7">
        <f>IF($A953="","",IFERROR($B953+$C953-$D953+$E953,0))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7">
        <f>IF($A954="","",IFERROR($B954+$C954-$D954+$E954,0))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7">
        <f>IF($A955="","",IFERROR($B955+$C955-$D955+$E955,0))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7">
        <f>IF($A956="","",IFERROR($B956+$C956-$D956+$E956,0))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7">
        <f>IF($A957="","",IFERROR($B957+$C957-$D957+$E957,0))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7">
        <f>IF($A958="","",IFERROR($B958+$C958-$D958+$E958,0))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7">
        <f>IF($A959="","",IFERROR($B959+$C959-$D959+$E959,0))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7">
        <f>IF($A960="","",IFERROR($B960+$C960-$D960+$E960,0))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7">
        <f>IF($A961="","",IFERROR($B961+$C961-$D961+$E961,0))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7">
        <f>IF($A962="","",IFERROR($B962+$C962-$D962+$E962,0))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7">
        <f>IF($A963="","",IFERROR($B963+$C963-$D963+$E963,0))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7">
        <f>IF($A964="","",IFERROR($B964+$C964-$D964+$E964,0))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7">
        <f>IF($A965="","",IFERROR($B965+$C965-$D965+$E965,0))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7">
        <f>IF($A966="","",IFERROR($B966+$C966-$D966+$E966,0))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7">
        <f>IF($A967="","",IFERROR($B967+$C967-$D967+$E967,0))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7">
        <f>IF($A968="","",IFERROR($B968+$C968-$D968+$E968,0))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7">
        <f>IF($A969="","",IFERROR($B969+$C969-$D969+$E969,0))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7">
        <f>IF($A970="","",IFERROR($B970+$C970-$D970+$E970,0))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7">
        <f>IF($A971="","",IFERROR($B971+$C971-$D971+$E971,0))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7">
        <f>IF($A972="","",IFERROR($B972+$C972-$D972+$E972,0))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7">
        <f>IF($A973="","",IFERROR($B973+$C973-$D973+$E973,0))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7">
        <f>IF($A974="","",IFERROR($B974+$C974-$D974+$E974,0))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7">
        <f>IF($A975="","",IFERROR($B975+$C975-$D975+$E975,0))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7">
        <f>IF($A976="","",IFERROR($B976+$C976-$D976+$E976,0))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7">
        <f>IF($A977="","",IFERROR($B977+$C977-$D977+$E977,0))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7">
        <f>IF($A978="","",IFERROR($B978+$C978-$D978+$E978,0))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7">
        <f>IF($A979="","",IFERROR($B979+$C979-$D979+$E979,0))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7">
        <f>IF($A980="","",IFERROR($B980+$C980-$D980+$E980,0))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7">
        <f>IF($A981="","",IFERROR($B981+$C981-$D981+$E981,0))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7">
        <f>IF($A982="","",IFERROR($B982+$C982-$D982+$E982,0))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7">
        <f>IF($A983="","",IFERROR($B983+$C983-$D983+$E983,0))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7">
        <f>IF($A984="","",IFERROR($B984+$C984-$D984+$E984,0))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7">
        <f>IF($A985="","",IFERROR($B985+$C985-$D985+$E985,0))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7">
        <f>IF($A986="","",IFERROR($B986+$C986-$D986+$E986,0))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7">
        <f>IF($A987="","",IFERROR($B987+$C987-$D987+$E987,0))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7">
        <f>IF($A988="","",IFERROR($B988+$C988-$D988+$E988,0))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7">
        <f>IF($A989="","",IFERROR($B989+$C989-$D989+$E989,0))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7">
        <f>IF($A990="","",IFERROR($B990+$C990-$D990+$E990,0))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7">
        <f>IF($A991="","",IFERROR($B991+$C991-$D991+$E991,0))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7">
        <f>IF($A992="","",IFERROR($B992+$C992-$D992+$E992,0))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7">
        <f>IF($A993="","",IFERROR($B993+$C993-$D993+$E993,0))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7">
        <f>IF($A994="","",IFERROR($B994+$C994-$D994+$E994,0))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7">
        <f>IF($A995="","",IFERROR($B995+$C995-$D995+$E995,0))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7">
        <f>IF($A996="","",IFERROR($B996+$C996-$D996+$E996,0))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7">
        <f>IF($A997="","",IFERROR($B997+$C997-$D997+$E997,0))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7">
        <f>IF($A998="","",IFERROR($B998+$C998-$D998+$E998,0))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7">
        <f>IF($A999="","",IFERROR($B999+$C999-$D999+$E999,0))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7">
        <f>IF($A1000="","",IFERROR($B1000+$C1000-$D1000+$E1000,0))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6" t="n"/>
      <c r="I1001" s="37">
        <f>IF($A1001="","",IFERROR($B1001+$C1001-$D1001+$E1001,0))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6" t="n"/>
      <c r="I1002" s="37">
        <f>IF($A1002="","",IFERROR($B1002+$C1002-$D1002+$E1002,0))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6" t="n"/>
      <c r="I1003" s="37">
        <f>IF($A1003="","",IFERROR($B1003+$C1003-$D1003+$E1003,0))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6" t="n"/>
      <c r="I1004" s="37">
        <f>IF($A1004="","",IFERROR($B1004+$C1004-$D1004+$E1004,0))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Sınır dışı değer." promptTitle="Ödenmiş" prompt="Ödenmiş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Yedek" prompt="Yedek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eçmiş Zarar" prompt="Geçmiş Zarar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Dönem Net" prompt="Dönem Net değerini girin." type="decimal" errorStyle="stop" operator="between">
      <formula1>-1000000000000</formula1>
      <formula2>1000000000000</formula2>
    </dataValidation>
    <dataValidation sqref="F6:F1004" showDropDown="0" showInputMessage="1" showErrorMessage="1" allowBlank="1" errorTitle="Geçersiz" error="Sınır dışı değer." promptTitle="Varlık" prompt="Varlık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V Borç" prompt="KV Borç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UV Borç" prompt="UV Borç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Konkordato + TTK 376 Kriz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Konkordato + TTK 376 Kriz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ktk_tolerans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ktk_kacirilanEsik</t>
        </is>
      </c>
      <c r="B9" s="64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ktk_senaryoIyi</t>
        </is>
      </c>
      <c r="B10" s="43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ktk_senaryoKotu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ktk_oranArtisPuan</t>
        </is>
      </c>
      <c r="B12" s="43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ktk_tahminAlt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ktk_tahminUst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ktk_tornadoMatrah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ktk_tornadoMevcut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ktk_isverenOran</t>
        </is>
      </c>
      <c r="B17" s="43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ktk_yuzdelikOran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ktk_parmakIzi</t>
        </is>
      </c>
      <c r="B19" s="65" t="inlineStr">
        <is>
          <t>8ccea06fc0b6bbb1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ktk_girisBeklenen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ktk_riskDusuk</t>
        </is>
      </c>
      <c r="B22" s="44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ktk_riskOrta</t>
        </is>
      </c>
      <c r="B23" s="44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ktk_riskYuksek</t>
        </is>
      </c>
      <c r="B24" s="44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ktk_riskEsikOran</t>
        </is>
      </c>
      <c r="B25" s="43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ktk_yilTaban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ktk_yuvarMax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ktk_dayanakCarpan</t>
        </is>
      </c>
      <c r="B28" s="44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ktk_bazCarpan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ktk_sifirCarpan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ktk_siraBir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ktk_siraIki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ktk_siraUc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ktk_tahminX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>
      <c r="A38" s="7" t="inlineStr">
        <is>
          <t>vaka_endeks_orani</t>
        </is>
      </c>
      <c r="B38" s="43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2">
        <f>IF(A38="","",IF(B38="","EKSİK","TAM"))</f>
        <v/>
      </c>
    </row>
    <row r="40">
      <c r="B40" s="66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Konkordato + TTK 376 Kriz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2026-08-10T22:31:00Z</dcterms:created>
  <dcterms:modified xmlns:dcterms="http://purl.org/dc/terms/" xmlns:xsi="http://www.w3.org/2001/XMLSchema-instance" xsi:type="dcterms:W3CDTF">2026-09-25T15:14:04Z</dcterms:modified>
</cp:coreProperties>
</file>