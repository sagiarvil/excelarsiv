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MAKINELE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KURALLAR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raporTarihi">AYARLAR!$B$6</definedName>
    <definedName name="zincirTolerans">AYARLAR!$B$7</definedName>
    <definedName name="mbk_esikDurusSaat">AYARLAR!$B$8</definedName>
    <definedName name="mbk_kritikGecikmeGun">AYARLAR!$B$9</definedName>
    <definedName name="mbk_kalibrasyonEsik">AYARLAR!$B$10</definedName>
    <definedName name="mbk_kovaEsik1">AYARLAR!$B$11</definedName>
    <definedName name="mbk_kovaEsik2">AYARLAR!$B$12</definedName>
    <definedName name="mbk_kovaEsik3">AYARLAR!$B$13</definedName>
    <definedName name="mbk_durusKatsayi">AYARLAR!$B$14</definedName>
    <definedName name="mbk_haftalikCarpan">AYARLAR!$B$15</definedName>
    <definedName name="mbk_senaryoTemkinli">AYARLAR!$B$16</definedName>
    <definedName name="mbk_senaryoBaz">AYARLAR!$B$17</definedName>
    <definedName name="mbk_senaryoIyimser">AYARLAR!$B$18</definedName>
    <definedName name="mbk_tornadoOran">AYARLAR!$B$19</definedName>
    <definedName name="mbk_yuzdelikOran">AYARLAR!$B$20</definedName>
    <definedName name="mbk_olcekHedef">AYARLAR!$B$21</definedName>
    <definedName name="mbk_azamiDurus">AYARLAR!$B$22</definedName>
    <definedName name="mbk_kaliteTaban">AYARLAR!$B$23</definedName>
    <definedName name="mbk_kaliteCeza">AYARLAR!$B$24</definedName>
    <definedName name="mbk_kaliteSapma">AYARLAR!$B$25</definedName>
    <definedName name="mbk_durumHaritasi">AYARLAR!$B$26</definedName>
    <definedName name="mbk_kuyrukOzeti_metin">AYARLAR!$B$27</definedName>
    <definedName name="mbk_kapaliDusum_metin">AYARLAR!$B$28</definedName>
    <definedName name="mbk_kanitRaporu_metin">AYARLAR!$B$29</definedName>
    <definedName name="mbk_dosyaSurumu">AYARLAR!$B$30</definedName>
    <definedName name="mbk_firmaUnvan">AYARLAR!$B$31</definedName>
    <definedName name="mbk_aktifYil">AYARLAR!$B$32</definedName>
    <definedName name="mbk_yilA">AYARLAR!$B$33</definedName>
    <definedName name="mbk_yilC">AYARLAR!$B$34</definedName>
    <definedName name="mbk_vakaKritikEsik">AYARLAR!$B$35</definedName>
    <definedName name="mbk_acikAdet">AYARLAR!$I$48</definedName>
    <definedName name="mbk_toplamDurus">AYARLAR!$I$49</definedName>
    <definedName name="mbk_durusEsikAsim">AYARLAR!$I$50</definedName>
    <definedName name="mbk_durusMaliyet">AYARLAR!$I$51</definedName>
    <definedName name="mbk_yetimKayit">AYARLAR!$I$52</definedName>
    <definedName name="mbk_gecersizGecis">AYARLAR!$I$53</definedName>
    <definedName name="mbk_zincirKirik">AYARLAR!$I$54</definedName>
    <definedName name="mbk_kritikAdet">AYARLAR!$I$55</definedName>
    <definedName name="mbk_yasKova">AYARLAR!$I$56</definedName>
    <definedName name="mbk_gunlukDurusOrt">AYARLAR!$I$57</definedName>
    <definedName name="mbk_durusSapma">AYARLAR!$I$58</definedName>
    <definedName name="mbk_tahminAralik">AYARLAR!$I$59</definedName>
    <definedName name="mbk_senaryoKarsilastirma">AYARLAR!$I$60</definedName>
    <definedName name="mbk_tornadoZirve">AYARLAR!$I$61</definedName>
    <definedName name="mbk_hhi">AYARLAR!$I$62</definedName>
    <definedName name="mbk_kaliteSkor">AYARLAR!$I$63</definedName>
    <definedName name="mbk_yuzdelikP90">AYARLAR!$I$64</definedName>
    <definedName name="mbk_senaryoMotor">AYARLAR!$I$65</definedName>
    <definedName name="mbk_kapaliDusum">AYARLAR!$I$66</definedName>
    <definedName name="mbk_kuyrukOzeti">AYARLAR!$I$67</definedName>
    <definedName name="mbk_kanitRaporu">AYARLAR!$I$68</definedName>
    <definedName name="mbk_sonrakiKimlik">AYARLAR!$I$69</definedName>
    <definedName name="mbk_haftalikDurus">AYARLAR!$I$70</definedName>
    <definedName name="mbk_gecikmeAdet">AYARLAR!$I$71</definedName>
    <definedName name="mbk_kuralYilMatris">AYARLAR!$I$72</definedName>
    <definedName name="mbk_yorumGunluk">AYARLAR!$I$75</definedName>
    <definedName name="mbk_yorumHaftalik">AYARLAR!$I$76</definedName>
    <definedName name="mbk_yorumSapma">AYARLAR!$I$77</definedName>
    <definedName name="mbk_yorumTornado">AYARLAR!$I$78</definedName>
    <definedName name="mbk_yorumSenaryo">AYARLAR!$I$79</definedName>
    <definedName name="mbk_yorumHhi">AYARLAR!$I$80</definedName>
    <definedName name="mbk_yorumKalite">AYARLAR!$I$81</definedName>
    <definedName name="mbk_yorumSenMotor">AYARLAR!$I$82</definedName>
    <definedName name="mbk_yorumTahmin">AYARLAR!$I$83</definedName>
    <definedName name="mbk_yorumP90">AYARLAR!$I$84</definedName>
    <definedName name="ListeDurumlar">LISTELER!$A$7:$A$10</definedName>
    <definedName name="ListeIzinliGecis">LISTELER!$C$7:$C$11</definedName>
    <definedName name="ListeEvetHayir">LISTELER!$E$7:$E$8</definedName>
    <definedName name="ListeYorumAB">LISTELER!$G$7:$G$8</definedName>
    <definedName name="ListeBakimTuru">LISTELER!$I$7:$I$10</definedName>
    <definedName name="_xlnm.Print_Area" localSheetId="16">'KANIT_RAPORU'!$A$1:$F$40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dd.mm.yyyy"/>
    <numFmt numFmtId="166" formatCode="0.0%;[Red](0.0%);-"/>
    <numFmt numFmtId="167" formatCode="#,##0 &quot;TL&quot;"/>
    <numFmt numFmtId="168" formatCode="0.0%"/>
    <numFmt numFmtId="169" formatCode="₺#,##0"/>
    <numFmt numFmtId="170" formatCode="0.00&quot;x&quot;"/>
  </numFmts>
  <fonts count="12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6" fillId="8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8" fillId="7" borderId="0" applyAlignment="1" pivotButton="0" quotePrefix="0" xfId="0">
      <alignment horizontal="center" vertical="center"/>
    </xf>
    <xf numFmtId="0" fontId="29" fillId="0" borderId="0" pivotButton="0" quotePrefix="0" xfId="0"/>
    <xf numFmtId="167" fontId="29" fillId="0" borderId="0" pivotButton="0" quotePrefix="0" xfId="0"/>
    <xf numFmtId="167" fontId="30" fillId="0" borderId="0" pivotButton="0" quotePrefix="0" xfId="0"/>
    <xf numFmtId="168" fontId="29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/>
    </xf>
    <xf numFmtId="0" fontId="30" fillId="0" borderId="0" pivotButton="0" quotePrefix="0" xfId="0"/>
    <xf numFmtId="0" fontId="34" fillId="9" borderId="2" pivotButton="0" quotePrefix="0" xfId="0"/>
    <xf numFmtId="0" fontId="35" fillId="0" borderId="0" pivotButton="0" quotePrefix="0" xfId="0"/>
    <xf numFmtId="0" fontId="36" fillId="0" borderId="0" pivotButton="0" quotePrefix="0" xfId="0"/>
    <xf numFmtId="0" fontId="29" fillId="0" borderId="0" applyAlignment="1" pivotButton="0" quotePrefix="0" xfId="0">
      <alignment wrapText="1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6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37" fillId="0" borderId="0" pivotButton="0" quotePrefix="0" xfId="0"/>
    <xf numFmtId="0" fontId="38" fillId="0" borderId="2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3" pivotButton="0" quotePrefix="0" xfId="0"/>
    <xf numFmtId="0" fontId="0" fillId="0" borderId="2" pivotButton="0" quotePrefix="0" xfId="0"/>
    <xf numFmtId="0" fontId="39" fillId="11" borderId="2" applyAlignment="1" pivotButton="0" quotePrefix="0" xfId="0">
      <alignment horizontal="center"/>
    </xf>
    <xf numFmtId="0" fontId="25" fillId="0" borderId="4" pivotButton="0" quotePrefix="0" xfId="0"/>
    <xf numFmtId="0" fontId="41" fillId="12" borderId="2" applyAlignment="1" pivotButton="0" quotePrefix="0" xfId="0">
      <alignment horizontal="center"/>
    </xf>
    <xf numFmtId="0" fontId="40" fillId="13" borderId="2" applyAlignment="1" pivotButton="0" quotePrefix="0" xfId="0">
      <alignment horizontal="center"/>
    </xf>
    <xf numFmtId="0" fontId="25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1" fillId="0" borderId="3" pivotButton="0" quotePrefix="0" xfId="0"/>
    <xf numFmtId="0" fontId="42" fillId="0" borderId="4" pivotButton="0" quotePrefix="0" xfId="0"/>
    <xf numFmtId="0" fontId="43" fillId="0" borderId="5" pivotButton="0" quotePrefix="0" xfId="0"/>
    <xf numFmtId="0" fontId="40" fillId="0" borderId="3" pivotButton="0" quotePrefix="0" xfId="0"/>
    <xf numFmtId="0" fontId="35" fillId="0" borderId="4" pivotButton="0" quotePrefix="0" xfId="0"/>
    <xf numFmtId="0" fontId="40" fillId="0" borderId="5" pivotButton="0" quotePrefix="0" xfId="0"/>
    <xf numFmtId="0" fontId="44" fillId="14" borderId="0" applyAlignment="1" pivotButton="0" quotePrefix="0" xfId="0">
      <alignment horizontal="center"/>
    </xf>
    <xf numFmtId="0" fontId="45" fillId="0" borderId="0" pivotButton="0" quotePrefix="0" xfId="0"/>
    <xf numFmtId="0" fontId="44" fillId="15" borderId="0" applyAlignment="1" pivotButton="0" quotePrefix="0" xfId="0">
      <alignment horizontal="center" vertical="center"/>
    </xf>
    <xf numFmtId="0" fontId="45" fillId="0" borderId="2" pivotButton="0" quotePrefix="0" xfId="0"/>
    <xf numFmtId="0" fontId="46" fillId="0" borderId="2" pivotButton="0" quotePrefix="0" xfId="0"/>
    <xf numFmtId="0" fontId="47" fillId="0" borderId="2" pivotButton="0" quotePrefix="0" xfId="0"/>
    <xf numFmtId="0" fontId="48" fillId="16" borderId="2" applyAlignment="1" pivotButton="0" quotePrefix="0" xfId="0">
      <alignment horizontal="center"/>
    </xf>
    <xf numFmtId="0" fontId="44" fillId="7" borderId="0" pivotButton="0" quotePrefix="0" xfId="0"/>
    <xf numFmtId="0" fontId="49" fillId="7" borderId="0" pivotButton="0" quotePrefix="0" xfId="0"/>
    <xf numFmtId="0" fontId="50" fillId="7" borderId="0" pivotButton="0" quotePrefix="0" xfId="0"/>
    <xf numFmtId="0" fontId="0" fillId="7" borderId="0" pivotButton="0" quotePrefix="0" xfId="0"/>
    <xf numFmtId="0" fontId="22" fillId="7" borderId="0" applyAlignment="1" pivotButton="0" quotePrefix="0" xfId="0">
      <alignment horizontal="center"/>
    </xf>
    <xf numFmtId="0" fontId="38" fillId="0" borderId="0" pivotButton="0" quotePrefix="0" xfId="0"/>
    <xf numFmtId="0" fontId="53" fillId="17" borderId="0" pivotButton="0" quotePrefix="0" xfId="0"/>
    <xf numFmtId="0" fontId="0" fillId="17" borderId="0" pivotButton="0" quotePrefix="0" xfId="0"/>
    <xf numFmtId="0" fontId="40" fillId="0" borderId="0" pivotButton="0" quotePrefix="0" xfId="0"/>
    <xf numFmtId="0" fontId="28" fillId="17" borderId="0" pivotButton="0" quotePrefix="0" xfId="0"/>
    <xf numFmtId="0" fontId="54" fillId="17" borderId="0" applyAlignment="1" pivotButton="0" quotePrefix="0" xfId="0">
      <alignment wrapText="1"/>
    </xf>
    <xf numFmtId="0" fontId="51" fillId="0" borderId="0" pivotButton="0" quotePrefix="0" xfId="0"/>
    <xf numFmtId="0" fontId="52" fillId="0" borderId="0" pivotButton="0" quotePrefix="0" xfId="0"/>
    <xf numFmtId="0" fontId="40" fillId="13" borderId="6" applyAlignment="1" pivotButton="0" quotePrefix="0" xfId="0">
      <alignment horizontal="center" vertical="center"/>
    </xf>
    <xf numFmtId="0" fontId="55" fillId="18" borderId="0" applyAlignment="1" pivotButton="0" quotePrefix="0" xfId="0">
      <alignment horizontal="center" vertical="center"/>
    </xf>
    <xf numFmtId="0" fontId="19" fillId="19" borderId="2" applyAlignment="1" pivotButton="0" quotePrefix="0" xfId="0">
      <alignment vertical="center"/>
    </xf>
    <xf numFmtId="0" fontId="39" fillId="11" borderId="0" applyAlignment="1" pivotButton="0" quotePrefix="0" xfId="0">
      <alignment horizontal="center" vertical="center"/>
    </xf>
    <xf numFmtId="0" fontId="40" fillId="13" borderId="0" applyAlignment="1" pivotButton="0" quotePrefix="0" xfId="0">
      <alignment horizontal="center" vertical="center"/>
    </xf>
    <xf numFmtId="0" fontId="56" fillId="7" borderId="0" applyAlignment="1" pivotButton="0" quotePrefix="0" xfId="0">
      <alignment horizontal="center" vertical="center"/>
    </xf>
    <xf numFmtId="0" fontId="57" fillId="19" borderId="2" applyAlignment="1" pivotButton="0" quotePrefix="0" xfId="0">
      <alignment horizontal="center"/>
    </xf>
    <xf numFmtId="0" fontId="58" fillId="19" borderId="2" applyAlignment="1" pivotButton="0" quotePrefix="0" xfId="0">
      <alignment horizontal="center"/>
    </xf>
    <xf numFmtId="0" fontId="57" fillId="19" borderId="2" pivotButton="0" quotePrefix="0" xfId="0"/>
    <xf numFmtId="169" fontId="58" fillId="19" borderId="2" applyAlignment="1" pivotButton="0" quotePrefix="0" xfId="0">
      <alignment horizontal="right"/>
    </xf>
    <xf numFmtId="9" fontId="57" fillId="19" borderId="2" applyAlignment="1" pivotButton="0" quotePrefix="0" xfId="0">
      <alignment horizontal="center"/>
    </xf>
    <xf numFmtId="169" fontId="57" fillId="19" borderId="2" applyAlignment="1" pivotButton="0" quotePrefix="0" xfId="0">
      <alignment horizontal="right"/>
    </xf>
    <xf numFmtId="0" fontId="40" fillId="19" borderId="2" applyAlignment="1" pivotButton="0" quotePrefix="0" xfId="0">
      <alignment horizontal="center"/>
    </xf>
    <xf numFmtId="0" fontId="57" fillId="18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7" fillId="18" borderId="2" pivotButton="0" quotePrefix="0" xfId="0"/>
    <xf numFmtId="169" fontId="58" fillId="18" borderId="2" applyAlignment="1" pivotButton="0" quotePrefix="0" xfId="0">
      <alignment horizontal="right"/>
    </xf>
    <xf numFmtId="9" fontId="57" fillId="18" borderId="2" applyAlignment="1" pivotButton="0" quotePrefix="0" xfId="0">
      <alignment horizontal="center"/>
    </xf>
    <xf numFmtId="169" fontId="57" fillId="18" borderId="2" applyAlignment="1" pivotButton="0" quotePrefix="0" xfId="0">
      <alignment horizontal="right"/>
    </xf>
    <xf numFmtId="0" fontId="45" fillId="18" borderId="2" applyAlignment="1" pivotButton="0" quotePrefix="0" xfId="0">
      <alignment horizontal="center"/>
    </xf>
    <xf numFmtId="0" fontId="40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28" fillId="7" borderId="0" applyAlignment="1" pivotButton="0" quotePrefix="0" xfId="0">
      <alignment vertical="center" indent="1"/>
    </xf>
    <xf numFmtId="169" fontId="59" fillId="7" borderId="0" applyAlignment="1" pivotButton="0" quotePrefix="0" xfId="0">
      <alignment horizontal="right" vertical="center"/>
    </xf>
    <xf numFmtId="0" fontId="60" fillId="0" borderId="7" pivotButton="0" quotePrefix="0" xfId="0"/>
    <xf numFmtId="0" fontId="61" fillId="0" borderId="7" pivotButton="0" quotePrefix="0" xfId="0"/>
    <xf numFmtId="0" fontId="62" fillId="0" borderId="7" pivotButton="0" quotePrefix="0" xfId="0"/>
    <xf numFmtId="0" fontId="63" fillId="20" borderId="2" applyAlignment="1" pivotButton="0" quotePrefix="0" xfId="0">
      <alignment horizontal="center" vertical="center"/>
    </xf>
    <xf numFmtId="0" fontId="67" fillId="11" borderId="2" applyAlignment="1" pivotButton="0" quotePrefix="0" xfId="0">
      <alignment horizontal="center" vertical="center"/>
    </xf>
    <xf numFmtId="0" fontId="64" fillId="0" borderId="2" pivotButton="0" quotePrefix="0" xfId="0"/>
    <xf numFmtId="0" fontId="63" fillId="0" borderId="2" applyAlignment="1" pivotButton="0" quotePrefix="0" xfId="0">
      <alignment horizontal="right"/>
    </xf>
    <xf numFmtId="0" fontId="67" fillId="0" borderId="2" applyAlignment="1" pivotButton="0" quotePrefix="0" xfId="0">
      <alignment horizontal="right"/>
    </xf>
    <xf numFmtId="0" fontId="38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66" fillId="12" borderId="8" applyAlignment="1" pivotButton="0" quotePrefix="0" xfId="0">
      <alignment horizontal="center" vertical="center"/>
    </xf>
    <xf numFmtId="0" fontId="68" fillId="11" borderId="9" applyAlignment="1" pivotButton="0" quotePrefix="0" xfId="0">
      <alignment horizontal="center" vertical="center"/>
    </xf>
    <xf numFmtId="0" fontId="64" fillId="0" borderId="0" pivotButton="0" quotePrefix="0" xfId="0"/>
    <xf numFmtId="0" fontId="69" fillId="21" borderId="0" applyAlignment="1" pivotButton="0" quotePrefix="0" xfId="0">
      <alignment horizontal="left" vertical="center" wrapText="1"/>
    </xf>
    <xf numFmtId="0" fontId="70" fillId="22" borderId="0" applyAlignment="1" pivotButton="0" quotePrefix="0" xfId="0">
      <alignment vertical="center" wrapText="1"/>
    </xf>
    <xf numFmtId="0" fontId="71" fillId="23" borderId="0" applyAlignment="1" pivotButton="0" quotePrefix="0" xfId="0">
      <alignment vertical="top" wrapText="1"/>
    </xf>
    <xf numFmtId="0" fontId="72" fillId="0" borderId="0" applyAlignment="1" pivotButton="0" quotePrefix="0" xfId="0">
      <alignment vertical="top" wrapText="1"/>
    </xf>
    <xf numFmtId="0" fontId="73" fillId="21" borderId="0" applyAlignment="1" pivotButton="0" quotePrefix="0" xfId="0">
      <alignment horizontal="left" vertical="center" wrapText="1"/>
    </xf>
    <xf numFmtId="0" fontId="69" fillId="24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vertical="center" wrapText="1"/>
    </xf>
    <xf numFmtId="0" fontId="74" fillId="25" borderId="0" applyAlignment="1" pivotButton="0" quotePrefix="0" xfId="0">
      <alignment vertical="top" wrapText="1"/>
    </xf>
    <xf numFmtId="0" fontId="69" fillId="26" borderId="0" applyAlignment="1" pivotButton="0" quotePrefix="0" xfId="0">
      <alignment horizontal="left" vertical="center" wrapText="1"/>
    </xf>
    <xf numFmtId="0" fontId="70" fillId="26" borderId="0" applyAlignment="1" pivotButton="0" quotePrefix="0" xfId="0">
      <alignment vertical="center" wrapText="1"/>
    </xf>
    <xf numFmtId="0" fontId="75" fillId="27" borderId="0" applyAlignment="1" pivotButton="0" quotePrefix="0" xfId="0">
      <alignment vertical="top" wrapText="1"/>
    </xf>
    <xf numFmtId="0" fontId="76" fillId="25" borderId="0" applyAlignment="1" pivotButton="0" quotePrefix="0" xfId="0">
      <alignment vertical="top" wrapText="1"/>
    </xf>
    <xf numFmtId="0" fontId="77" fillId="0" borderId="0" applyAlignment="1" pivotButton="0" quotePrefix="0" xfId="0">
      <alignment vertical="top" wrapText="1"/>
    </xf>
    <xf numFmtId="0" fontId="69" fillId="28" borderId="0" applyAlignment="1" pivotButton="0" quotePrefix="0" xfId="0">
      <alignment horizontal="left" vertical="center"/>
    </xf>
    <xf numFmtId="0" fontId="70" fillId="28" borderId="0" applyAlignment="1" pivotButton="0" quotePrefix="0" xfId="0">
      <alignment vertical="center" wrapText="1"/>
    </xf>
    <xf numFmtId="0" fontId="78" fillId="29" borderId="0" applyAlignment="1" pivotButton="0" quotePrefix="0" xfId="0">
      <alignment vertical="top" wrapText="1"/>
    </xf>
    <xf numFmtId="0" fontId="79" fillId="30" borderId="0" applyAlignment="1" pivotButton="0" quotePrefix="0" xfId="0">
      <alignment vertical="top" wrapText="1"/>
    </xf>
    <xf numFmtId="0" fontId="69" fillId="31" borderId="0" applyAlignment="1" pivotButton="0" quotePrefix="0" xfId="0">
      <alignment horizontal="left" vertical="center"/>
    </xf>
    <xf numFmtId="0" fontId="70" fillId="31" borderId="0" applyAlignment="1" pivotButton="0" quotePrefix="0" xfId="0">
      <alignment vertical="center" wrapText="1"/>
    </xf>
    <xf numFmtId="0" fontId="80" fillId="30" borderId="0" applyAlignment="1" pivotButton="0" quotePrefix="0" xfId="0">
      <alignment vertical="top" wrapText="1"/>
    </xf>
    <xf numFmtId="0" fontId="69" fillId="32" borderId="0" applyAlignment="1" pivotButton="0" quotePrefix="0" xfId="0">
      <alignment horizontal="left" vertical="center"/>
    </xf>
    <xf numFmtId="0" fontId="70" fillId="32" borderId="0" applyAlignment="1" pivotButton="0" quotePrefix="0" xfId="0">
      <alignment vertical="center" wrapText="1"/>
    </xf>
    <xf numFmtId="0" fontId="81" fillId="33" borderId="0" applyAlignment="1" pivotButton="0" quotePrefix="0" xfId="0">
      <alignment vertical="top" wrapText="1"/>
    </xf>
    <xf numFmtId="0" fontId="82" fillId="0" borderId="0" applyAlignment="1" pivotButton="0" quotePrefix="0" xfId="0">
      <alignment vertical="top" wrapText="1"/>
    </xf>
    <xf numFmtId="169" fontId="21" fillId="0" borderId="3" pivotButton="0" quotePrefix="0" xfId="0"/>
    <xf numFmtId="169" fontId="42" fillId="0" borderId="4" pivotButton="0" quotePrefix="0" xfId="0"/>
    <xf numFmtId="169" fontId="45" fillId="0" borderId="2" pivotButton="0" quotePrefix="0" xfId="0"/>
    <xf numFmtId="169" fontId="46" fillId="0" borderId="2" pivotButton="0" quotePrefix="0" xfId="0"/>
    <xf numFmtId="169" fontId="49" fillId="7" borderId="0" pivotButton="0" quotePrefix="0" xfId="0"/>
    <xf numFmtId="169" fontId="50" fillId="7" borderId="0" pivotButton="0" quotePrefix="0" xfId="0"/>
    <xf numFmtId="169" fontId="68" fillId="9" borderId="2" applyAlignment="1" pivotButton="0" quotePrefix="0" xfId="0">
      <alignment horizontal="right"/>
    </xf>
    <xf numFmtId="169" fontId="38" fillId="0" borderId="2" applyAlignment="1" pivotButton="0" quotePrefix="0" xfId="0">
      <alignment horizontal="right"/>
    </xf>
    <xf numFmtId="169" fontId="65" fillId="0" borderId="2" applyAlignment="1" pivotButton="0" quotePrefix="0" xfId="0">
      <alignment horizontal="right"/>
    </xf>
    <xf numFmtId="170" fontId="65" fillId="0" borderId="2" applyAlignment="1" pivotButton="0" quotePrefix="0" xfId="0">
      <alignment horizontal="right"/>
    </xf>
    <xf numFmtId="0" fontId="83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4" fillId="2" borderId="0" applyAlignment="1" pivotButton="0" quotePrefix="0" xfId="0">
      <alignment horizontal="left" vertical="center"/>
    </xf>
    <xf numFmtId="0" fontId="84" fillId="3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38" fillId="18" borderId="2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85" fillId="18" borderId="2" applyAlignment="1" pivotButton="0" quotePrefix="0" xfId="0">
      <alignment horizontal="center" vertical="center"/>
    </xf>
    <xf numFmtId="0" fontId="56" fillId="1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86" fillId="18" borderId="35" applyAlignment="1" pivotButton="0" quotePrefix="0" xfId="0">
      <alignment vertical="center" indent="1"/>
    </xf>
    <xf numFmtId="0" fontId="0" fillId="18" borderId="36" pivotButton="0" quotePrefix="0" xfId="0"/>
    <xf numFmtId="0" fontId="87" fillId="11" borderId="2" applyAlignment="1" pivotButton="0" quotePrefix="0" xfId="0">
      <alignment horizontal="center" vertical="center"/>
    </xf>
    <xf numFmtId="0" fontId="86" fillId="18" borderId="44" applyAlignment="1" pivotButton="0" quotePrefix="0" xfId="0">
      <alignment vertical="center" indent="1"/>
    </xf>
    <xf numFmtId="0" fontId="89" fillId="12" borderId="2" applyAlignment="1" pivotButton="0" quotePrefix="0" xfId="0">
      <alignment horizontal="center" vertical="center"/>
    </xf>
    <xf numFmtId="0" fontId="86" fillId="18" borderId="47" applyAlignment="1" pivotButton="0" quotePrefix="0" xfId="0">
      <alignment vertical="center" indent="1"/>
    </xf>
    <xf numFmtId="0" fontId="91" fillId="35" borderId="2" applyAlignment="1" pivotButton="0" quotePrefix="0" xfId="0">
      <alignment horizontal="center" vertical="center"/>
    </xf>
    <xf numFmtId="0" fontId="86" fillId="18" borderId="50" applyAlignment="1" pivotButton="0" quotePrefix="0" xfId="0">
      <alignment vertical="center" indent="1"/>
    </xf>
    <xf numFmtId="0" fontId="92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88" fillId="18" borderId="38" applyAlignment="1" pivotButton="0" quotePrefix="0" xfId="0">
      <alignment vertical="center" indent="1"/>
    </xf>
    <xf numFmtId="169" fontId="90" fillId="18" borderId="45" applyAlignment="1" pivotButton="0" quotePrefix="0" xfId="0">
      <alignment vertical="center" indent="1"/>
    </xf>
    <xf numFmtId="169" fontId="88" fillId="18" borderId="48" applyAlignment="1" pivotButton="0" quotePrefix="0" xfId="0">
      <alignment vertical="center" indent="1"/>
    </xf>
    <xf numFmtId="0" fontId="88" fillId="18" borderId="51" applyAlignment="1" pivotButton="0" quotePrefix="0" xfId="0">
      <alignment vertical="center" indent="1"/>
    </xf>
    <xf numFmtId="0" fontId="35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5" fillId="18" borderId="46" applyAlignment="1" pivotButton="0" quotePrefix="0" xfId="0">
      <alignment vertical="center" indent="1"/>
    </xf>
    <xf numFmtId="0" fontId="35" fillId="18" borderId="49" applyAlignment="1" pivotButton="0" quotePrefix="0" xfId="0">
      <alignment vertical="center" indent="1"/>
    </xf>
    <xf numFmtId="0" fontId="35" fillId="18" borderId="52" applyAlignment="1" pivotButton="0" quotePrefix="0" xfId="0">
      <alignment vertical="center" indent="1"/>
    </xf>
    <xf numFmtId="0" fontId="93" fillId="0" borderId="0" pivotButton="0" quotePrefix="0" xfId="0"/>
    <xf numFmtId="0" fontId="94" fillId="35" borderId="2" applyAlignment="1" pivotButton="0" quotePrefix="0" xfId="0">
      <alignment horizontal="center" vertical="center"/>
    </xf>
    <xf numFmtId="0" fontId="95" fillId="19" borderId="2" applyAlignment="1" pivotButton="0" quotePrefix="0" xfId="0">
      <alignment horizontal="center" vertical="center"/>
    </xf>
    <xf numFmtId="0" fontId="56" fillId="7" borderId="53" applyAlignment="1" pivotButton="0" quotePrefix="0" xfId="0">
      <alignment horizontal="left" vertical="center" indent="1"/>
    </xf>
    <xf numFmtId="0" fontId="56" fillId="7" borderId="53" applyAlignment="1" pivotButton="0" quotePrefix="0" xfId="0">
      <alignment horizontal="center" vertical="center"/>
    </xf>
    <xf numFmtId="0" fontId="96" fillId="18" borderId="2" applyAlignment="1" pivotButton="0" quotePrefix="0" xfId="0">
      <alignment horizontal="center" vertical="center"/>
    </xf>
    <xf numFmtId="0" fontId="38" fillId="18" borderId="2" applyAlignment="1" pivotButton="0" quotePrefix="0" xfId="0">
      <alignment vertical="center" indent="1"/>
    </xf>
    <xf numFmtId="169" fontId="38" fillId="18" borderId="2" applyAlignment="1" pivotButton="0" quotePrefix="0" xfId="0">
      <alignment horizontal="right" vertical="center"/>
    </xf>
    <xf numFmtId="169" fontId="63" fillId="18" borderId="2" applyAlignment="1" pivotButton="0" quotePrefix="0" xfId="0">
      <alignment horizontal="right" vertical="center"/>
    </xf>
    <xf numFmtId="0" fontId="97" fillId="18" borderId="2" applyAlignment="1" pivotButton="0" quotePrefix="0" xfId="0">
      <alignment horizontal="center" vertical="center"/>
    </xf>
    <xf numFmtId="0" fontId="98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96" fillId="19" borderId="2" applyAlignment="1" pivotButton="0" quotePrefix="0" xfId="0">
      <alignment horizontal="center" vertical="center"/>
    </xf>
    <xf numFmtId="0" fontId="38" fillId="19" borderId="2" applyAlignment="1" pivotButton="0" quotePrefix="0" xfId="0">
      <alignment vertical="center" indent="1"/>
    </xf>
    <xf numFmtId="169" fontId="38" fillId="19" borderId="2" applyAlignment="1" pivotButton="0" quotePrefix="0" xfId="0">
      <alignment horizontal="right" vertical="center"/>
    </xf>
    <xf numFmtId="169" fontId="63" fillId="19" borderId="2" applyAlignment="1" pivotButton="0" quotePrefix="0" xfId="0">
      <alignment horizontal="right" vertical="center"/>
    </xf>
    <xf numFmtId="0" fontId="97" fillId="19" borderId="2" applyAlignment="1" pivotButton="0" quotePrefix="0" xfId="0">
      <alignment horizontal="center" vertical="center"/>
    </xf>
    <xf numFmtId="0" fontId="99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0" fillId="16" borderId="2" applyAlignment="1" pivotButton="0" quotePrefix="0" xfId="0">
      <alignment horizontal="center" vertical="center"/>
    </xf>
    <xf numFmtId="0" fontId="101" fillId="37" borderId="2" applyAlignment="1" pivotButton="0" quotePrefix="0" xfId="0">
      <alignment horizontal="center" vertical="center"/>
    </xf>
    <xf numFmtId="0" fontId="28" fillId="7" borderId="54" applyAlignment="1" pivotButton="0" quotePrefix="0" xfId="0">
      <alignment vertical="center" indent="1"/>
    </xf>
    <xf numFmtId="169" fontId="102" fillId="7" borderId="54" applyAlignment="1" pivotButton="0" quotePrefix="0" xfId="0">
      <alignment horizontal="right" vertical="center"/>
    </xf>
    <xf numFmtId="169" fontId="103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4" fillId="7" borderId="54" applyAlignment="1" pivotButton="0" quotePrefix="0" xfId="0">
      <alignment horizontal="center" vertical="center"/>
    </xf>
    <xf numFmtId="0" fontId="105" fillId="18" borderId="55" applyAlignment="1" pivotButton="0" quotePrefix="0" xfId="0">
      <alignment vertical="center" indent="1"/>
    </xf>
    <xf numFmtId="0" fontId="0" fillId="18" borderId="37" pivotButton="0" quotePrefix="0" xfId="0"/>
    <xf numFmtId="0" fontId="111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06" fillId="18" borderId="56" applyAlignment="1" pivotButton="0" quotePrefix="0" xfId="0">
      <alignment vertical="center" indent="1"/>
    </xf>
    <xf numFmtId="0" fontId="97" fillId="18" borderId="56" pivotButton="0" quotePrefix="0" xfId="0"/>
    <xf numFmtId="0" fontId="106" fillId="18" borderId="40" pivotButton="0" quotePrefix="0" xfId="0"/>
    <xf numFmtId="0" fontId="10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07" fillId="18" borderId="56" applyAlignment="1" pivotButton="0" quotePrefix="0" xfId="0">
      <alignment vertical="center" indent="1"/>
    </xf>
    <xf numFmtId="0" fontId="54" fillId="17" borderId="61" applyAlignment="1" pivotButton="0" quotePrefix="0" xfId="0">
      <alignment vertical="center" indent="1"/>
    </xf>
    <xf numFmtId="0" fontId="108" fillId="18" borderId="56" applyAlignment="1" pivotButton="0" quotePrefix="0" xfId="0">
      <alignment vertical="center" indent="1"/>
    </xf>
    <xf numFmtId="0" fontId="0" fillId="35" borderId="2" pivotButton="0" quotePrefix="0" xfId="0"/>
    <xf numFmtId="0" fontId="109" fillId="18" borderId="56" applyAlignment="1" pivotButton="0" quotePrefix="0" xfId="0">
      <alignment vertical="center" indent="1"/>
    </xf>
    <xf numFmtId="0" fontId="110" fillId="38" borderId="2" applyAlignment="1" pivotButton="0" quotePrefix="0" xfId="0">
      <alignment horizontal="center" vertical="center"/>
    </xf>
    <xf numFmtId="0" fontId="112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19" fillId="0" borderId="7" pivotButton="0" quotePrefix="0" xfId="0"/>
    <xf numFmtId="0" fontId="106" fillId="0" borderId="7" pivotButton="0" quotePrefix="0" xfId="0"/>
    <xf numFmtId="0" fontId="113" fillId="12" borderId="63" applyAlignment="1" pivotButton="0" quotePrefix="0" xfId="0">
      <alignment vertical="center" indent="1"/>
    </xf>
    <xf numFmtId="0" fontId="118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4" fillId="18" borderId="64" pivotButton="0" quotePrefix="0" xfId="0"/>
    <xf numFmtId="0" fontId="115" fillId="18" borderId="39" applyAlignment="1" pivotButton="0" quotePrefix="0" xfId="0">
      <alignment horizontal="right" vertical="center"/>
    </xf>
    <xf numFmtId="0" fontId="114" fillId="18" borderId="68" pivotButton="0" quotePrefix="0" xfId="0"/>
    <xf numFmtId="0" fontId="119" fillId="18" borderId="39" applyAlignment="1" pivotButton="0" quotePrefix="0" xfId="0">
      <alignment horizontal="right" vertical="center"/>
    </xf>
    <xf numFmtId="169" fontId="105" fillId="18" borderId="39" applyAlignment="1" pivotButton="0" quotePrefix="0" xfId="0">
      <alignment horizontal="right" vertical="center"/>
    </xf>
    <xf numFmtId="169" fontId="116" fillId="18" borderId="39" applyAlignment="1" pivotButton="0" quotePrefix="0" xfId="0">
      <alignment horizontal="right" vertical="center"/>
    </xf>
    <xf numFmtId="170" fontId="116" fillId="18" borderId="39" applyAlignment="1" pivotButton="0" quotePrefix="0" xfId="0">
      <alignment horizontal="right" vertical="center"/>
    </xf>
    <xf numFmtId="0" fontId="116" fillId="18" borderId="39" applyAlignment="1" pivotButton="0" quotePrefix="0" xfId="0">
      <alignment horizontal="right" vertical="center"/>
    </xf>
    <xf numFmtId="0" fontId="117" fillId="12" borderId="66" applyAlignment="1" pivotButton="0" quotePrefix="0" xfId="0">
      <alignment horizontal="center" vertical="center"/>
    </xf>
    <xf numFmtId="0" fontId="68" fillId="11" borderId="70" applyAlignment="1" pivotButton="0" quotePrefix="0" xfId="0">
      <alignment horizontal="center" vertical="center"/>
    </xf>
    <xf numFmtId="0" fontId="93" fillId="18" borderId="55" applyAlignment="1" pivotButton="0" quotePrefix="0" xfId="0">
      <alignment vertical="center" indent="1"/>
    </xf>
    <xf numFmtId="0" fontId="0" fillId="18" borderId="56" pivotButton="0" quotePrefix="0" xfId="0"/>
    <xf numFmtId="0" fontId="105" fillId="18" borderId="56" applyAlignment="1" pivotButton="0" quotePrefix="0" xfId="0">
      <alignment vertical="center" indent="1"/>
    </xf>
    <xf numFmtId="0" fontId="97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MAK-00009 | Risk: Elle çakışma</t>
      </text>
    </comment>
    <comment ref="A6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6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6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6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6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6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6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7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7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7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7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7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7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7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8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8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8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8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8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8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8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9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9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9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9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9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9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9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10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10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10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10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10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10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10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11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11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11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11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11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11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11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12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12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12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12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12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12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12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13" authorId="0" shapeId="0">
      <text>
        <t>Tanım: Makine Kimliği | Neden önemli: Bakım planı ve duruş maliyeti kararını etkiler | Doğru kullanım: MAK-##### formatında | Örnek: hücredeki örnek değere bakın | Risk: Yanlış giriş hatalı karar üretir</t>
      </text>
    </comment>
    <comment ref="B13" authorId="0" shapeId="0">
      <text>
        <t>Tanım: Makine Adı | Neden önemli: Bakım planı ve duruş maliyeti kararını etkiler | Doğru kullanım: Makine adı | Örnek: hücredeki örnek değere bakın | Risk: Yanlış giriş hatalı karar üretir</t>
      </text>
    </comment>
    <comment ref="C13" authorId="0" shapeId="0">
      <text>
        <t>Tanım: Hat | Neden önemli: Bakım planı ve duruş maliyeti kararını etkiler | Doğru kullanım: Üretim hattı | Örnek: hücredeki örnek değere bakın | Risk: Yanlış giriş hatalı karar üretir</t>
      </text>
    </comment>
    <comment ref="D13" authorId="0" shapeId="0">
      <text>
        <t>Tanım: Tip | Neden önemli: Bakım planı ve duruş maliyeti kararını etkiler | Doğru kullanım: Makine tipi | Örnek: hücredeki örnek değere bakın | Risk: Yanlış giriş hatalı karar üretir</t>
      </text>
    </comment>
    <comment ref="E13" authorId="0" shapeId="0">
      <text>
        <t>Tanım: Saatlik Duruş | Neden önemli: Bakım planı ve duruş maliyeti kararını etkiler | Doğru kullanım: Saatlik duruş maliyeti TL | Örnek: hücredeki örnek değere bakın | Risk: Yanlış giriş hatalı karar üretir</t>
      </text>
    </comment>
    <comment ref="F13" authorId="0" shapeId="0">
      <text>
        <t>Tanım: Kalibrasyon Periyot | Neden önemli: Bakım planı ve duruş maliyeti kararını etkiler | Doğru kullanım: Kalibrasyon periyodu (gün) | Örnek: hücredeki örnek değere bakın | Risk: Yanlış giriş hatalı karar üretir</t>
      </text>
    </comment>
    <comment ref="G13" authorId="0" shapeId="0">
      <text>
        <t>Tanım: Aktif | Neden önemli: Bakım planı ve duruş maliyeti kararını etkiler | Doğru kullanım: EVET veya HAYIR | Örnek: hücredeki örnek değere bakın | Risk: Yanlış giriş hatalı karar üretir</t>
      </text>
    </comment>
    <comment ref="A1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3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3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3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3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3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3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3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4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4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4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4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4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4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4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5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5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5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5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5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5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5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6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6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6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6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6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6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6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7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7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7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7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7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7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7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8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8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8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8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8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8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8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9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9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9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9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9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9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9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0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0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0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0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0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0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0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1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1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1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1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1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1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1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2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2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2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2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2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2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2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3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3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3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3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3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3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3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4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4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4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4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4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4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4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5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5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5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5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5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5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5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6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6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6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6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6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6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6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7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7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7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7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7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7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7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8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8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8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8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8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8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8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19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19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19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19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19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19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19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0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0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0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0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0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0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0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1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1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1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1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1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1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1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2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2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2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2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2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2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2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3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3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3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3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3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3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3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6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6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6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6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6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6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6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7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7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7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7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7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7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7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8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8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8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8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8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8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8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49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49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49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49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49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49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49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50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50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50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50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50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50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50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51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51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51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51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51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51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51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52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52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52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52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52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52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52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53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53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53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53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53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53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53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54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54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54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54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54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54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54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  <comment ref="A255" authorId="0" shapeId="0">
      <text>
        <t>Tanım: MakineId | Neden önemli: Bakım planı ve duruş maliyeti kararını etkiler | Doğru kullanım: Manuel giriş | Örnek: hücredeki örnek değere bakın | Risk: Yanlış giriş hatalı karar üretir</t>
      </text>
    </comment>
    <comment ref="B255" authorId="0" shapeId="0">
      <text>
        <t>Tanım: Ad | Neden önemli: Bakım planı ve duruş maliyeti kararını etkiler | Doğru kullanım: Manuel giriş | Örnek: hücredeki örnek değere bakın | Risk: Yanlış giriş hatalı karar üretir</t>
      </text>
    </comment>
    <comment ref="C255" authorId="0" shapeId="0">
      <text>
        <t>Tanım: Hat | Neden önemli: Bakım planı ve duruş maliyeti kararını etkiler | Doğru kullanım: Manuel giriş | Örnek: hücredeki örnek değere bakın | Risk: Yanlış giriş hatalı karar üretir</t>
      </text>
    </comment>
    <comment ref="D255" authorId="0" shapeId="0">
      <text>
        <t>Tanım: Tip | Neden önemli: Bakım planı ve duruş maliyeti kararını etkiler | Doğru kullanım: Manuel giriş | Örnek: hücredeki örnek değere bakın | Risk: Yanlış giriş hatalı karar üretir</t>
      </text>
    </comment>
    <comment ref="E255" authorId="0" shapeId="0">
      <text>
        <t>Tanım: SaatlikDurusMaliyeti | Neden önemli: Bakım planı ve duruş maliyeti kararını etkiler | Doğru kullanım: Manuel giriş | Örnek: hücredeki örnek değere bakın | Risk: Yanlış giriş hatalı karar üretir</t>
      </text>
    </comment>
    <comment ref="F255" authorId="0" shapeId="0">
      <text>
        <t>Tanım: KalibrasyonPeriyotGun | Neden önemli: Bakım planı ve duruş maliyeti kararını etkiler | Doğru kullanım: Manuel giriş | Örnek: hücredeki örnek değere bakın | Risk: Yanlış giriş hatalı karar üretir</t>
      </text>
    </comment>
    <comment ref="G255" authorId="0" shapeId="0">
      <text>
        <t>Tanım: Aktif | Neden önemli: Bakım planı ve duruş maliyeti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6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6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6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6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6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6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6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6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6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6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6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6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6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7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7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7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7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7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7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7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7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7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7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7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7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7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7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8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8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8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8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8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8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8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8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8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8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8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8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8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8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9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9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9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9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9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9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9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9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9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9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9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9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9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9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0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0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0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0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0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0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0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0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0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0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0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0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0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0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1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1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1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1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1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1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1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1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1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1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1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1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1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1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2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2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2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2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2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2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2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2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2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2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2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2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2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2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3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3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3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3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3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3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3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3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3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3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3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3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3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3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4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4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4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4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4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4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4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4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4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4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4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4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4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4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5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5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5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5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5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5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5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5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5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5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5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5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5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5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6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6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6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6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6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6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6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6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6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6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6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6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6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6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7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7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7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7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7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7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7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7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7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7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7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7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7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7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8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8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8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8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8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8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8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8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8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8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8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8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8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8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19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19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19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19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19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19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19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19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19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19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19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19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19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19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0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0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0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0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0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0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0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0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0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0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0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0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0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0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1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1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1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1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1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1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1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1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1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1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1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1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1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1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2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2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2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2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2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2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2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2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2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2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2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2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2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2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3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3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3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3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3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3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3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3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3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3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3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3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3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3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4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4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4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4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4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4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4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4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4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4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4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4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4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4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5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5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5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5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5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5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5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5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5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5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5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5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5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5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6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6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6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6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6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6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6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6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6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6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6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6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6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6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7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7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7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7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7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7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7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7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7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7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7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7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7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7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8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8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8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8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8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8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8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8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8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8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8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8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8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8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29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29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29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29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29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29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29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29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29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29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29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29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29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29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30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30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30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30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30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30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30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30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30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30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30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30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30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30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31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31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31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31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31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31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31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31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31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31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31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31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31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31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32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32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32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32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32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32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32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32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32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32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32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32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32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32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33" authorId="0" shapeId="0">
      <text>
        <t>Tanım: Bakım Kimliği | Neden önemli: Bakım planı ve duruş maliyeti kararını etkiler | Doğru kullanım: BKM-##### | Örnek: hücredeki örnek değere bakın | Risk: Yanlış giriş hatalı karar üretir</t>
      </text>
    </comment>
    <comment ref="B33" authorId="0" shapeId="0">
      <text>
        <t>Tanım: Kaynak Makine | Neden önemli: Bakım planı ve duruş maliyeti kararını etkiler | Doğru kullanım: MAKINELER'deki MakineId | Örnek: hücredeki örnek değere bakın | Risk: Yanlış giriş hatalı karar üretir</t>
      </text>
    </comment>
    <comment ref="C33" authorId="0" shapeId="0">
      <text>
        <t>Tanım: Plan Tarih | Neden önemli: Bakım planı ve duruş maliyeti kararını etkiler | Doğru kullanım: Planlanan bakım tarihi | Örnek: hücredeki örnek değere bakın | Risk: Yanlış giriş hatalı karar üretir</t>
      </text>
    </comment>
    <comment ref="D33" authorId="0" shapeId="0">
      <text>
        <t>Tanım: Gerçekleşen | Neden önemli: Bakım planı ve duruş maliyeti kararını etkiler | Doğru kullanım: Gerçekleşen bakım tarihi | Örnek: hücredeki örnek değere bakın | Risk: Yanlış giriş hatalı karar üretir</t>
      </text>
    </comment>
    <comment ref="E33" authorId="0" shapeId="0">
      <text>
        <t>Tanım: Plan Duruş | Neden önemli: Bakım planı ve duruş maliyeti kararını etkiler | Doğru kullanım: Planlanan duruş saati | Örnek: hücredeki örnek değere bakın | Risk: Yanlış giriş hatalı karar üretir</t>
      </text>
    </comment>
    <comment ref="F33" authorId="0" shapeId="0">
      <text>
        <t>Tanım: Fiili Duruş | Neden önemli: Bakım planı ve duruş maliyeti kararını etkiler | Doğru kullanım: Gerçekleşen duruş saati | Örnek: hücredeki örnek değere bakın | Risk: Yanlış giriş hatalı karar üretir</t>
      </text>
    </comment>
    <comment ref="G33" authorId="0" shapeId="0">
      <text>
        <t>Tanım: Kalibrasyon Kalan | Neden önemli: Bakım planı ve duruş maliyeti kararını etkiler | Doğru kullanım: Kalibrasyona kalan gün (negatif = aşım) | Örnek: hücredeki örnek değere bakın | Risk: Yanlış giriş hatalı karar üretir</t>
      </text>
    </comment>
    <comment ref="H33" authorId="0" shapeId="0">
      <text>
        <t>Tanım: Bakım Türü | Neden önemli: Bakım planı ve duruş maliyeti kararını etkiler | Doğru kullanım: Bakım türü listesinden | Örnek: hücredeki örnek değere bakın | Risk: Yanlış giriş hatalı karar üretir</t>
      </text>
    </comment>
    <comment ref="I33" authorId="0" shapeId="0">
      <text>
        <t>Tanım: Önceki Durum | Neden önemli: Bakım planı ve duruş maliyeti kararını etkiler | Doğru kullanım: Önceki durum_id | Örnek: hücredeki örnek değere bakın | Risk: Yanlış giriş hatalı karar üretir</t>
      </text>
    </comment>
    <comment ref="J33" authorId="0" shapeId="0">
      <text>
        <t>Tanım: Durum | Neden önemli: Bakım planı ve duruş maliyeti kararını etkiler | Doğru kullanım: Durum haritasından seçin | Örnek: hücredeki örnek değere bakın | Risk: Yanlış giriş hatalı karar üretir</t>
      </text>
    </comment>
    <comment ref="K33" authorId="0" shapeId="0">
      <text>
        <t>Tanım: İmza/Kanıt | Neden önemli: Bakım planı ve duruş maliyeti kararını etkiler | Doğru kullanım: İmza veya kanıt notu | Örnek: hücredeki örnek değere bakın | Risk: Yanlış giriş hatalı karar üretir</t>
      </text>
    </comment>
    <comment ref="L33" authorId="0" shapeId="0">
      <text>
        <t>Tanım: Yorum A | Neden önemli: Bakım planı ve duruş maliyeti kararını etkiler | Doğru kullanım: A veya B | Örnek: hücredeki örnek değere bakın | Risk: Yanlış giriş hatalı karar üretir</t>
      </text>
    </comment>
    <comment ref="M33" authorId="0" shapeId="0">
      <text>
        <t>Tanım: Yorum B | Neden önemli: Bakım planı ve duruş maliyeti kararını etkiler | Doğru kullanım: Serbest not | Örnek: hücredeki örnek değere bakın | Risk: Yanlış giriş hatalı karar üretir</t>
      </text>
    </comment>
    <comment ref="N33" authorId="0" shapeId="0">
      <text>
        <t>Tanım: Saatlik Maliyet | Neden önemli: Bakım planı ve duruş maliyeti kararını etkiler | Doğru kullanım: Saatlik duruş maliyeti TL | Örnek: hücredeki örnek değere bakın | Risk: Yanlış giriş hatalı karar üretir</t>
      </text>
    </comment>
    <comment ref="A3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3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3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3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3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3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3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3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3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3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3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3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3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3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3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3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3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3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3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3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3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3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3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3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3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3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3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3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3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3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3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3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3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3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3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3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3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3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3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3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3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3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3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3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3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3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3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3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3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3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3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3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3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3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3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3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3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3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3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3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3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3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3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3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3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3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3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3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3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3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3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3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3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3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3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3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3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3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3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3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3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3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3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3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4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4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4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4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4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4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4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4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4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4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4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4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4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4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5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5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5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5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5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5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5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5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5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5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5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5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5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5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6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6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6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6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6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6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6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6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6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6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6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6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6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6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7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7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7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7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7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7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7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7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7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7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7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7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7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7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8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8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8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8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8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8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8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8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8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8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8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8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8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8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9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9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9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9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9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9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9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9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9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9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9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9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9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9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0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0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0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0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0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0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0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0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0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0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0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0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0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0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1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1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1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1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1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1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1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1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1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1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1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1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1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1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2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2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2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2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2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2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2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2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2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2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2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2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2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2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3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3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3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3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3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3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3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3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3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3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3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3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3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3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4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4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4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4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4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4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4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4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4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4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4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4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4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4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5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5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5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5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5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5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5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5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5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5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5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5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5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5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6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6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6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6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6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6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6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6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6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6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6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6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6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6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7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7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7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7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7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7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7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7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7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7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7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7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7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7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8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8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8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8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8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8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8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8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8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8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8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8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8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8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19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19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19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19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19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19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19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19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19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19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19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19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19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19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0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0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0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0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0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0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0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0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0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0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0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0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0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0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1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1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1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1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1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1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1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1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1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1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1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1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1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1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2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2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2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2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2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2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2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2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2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2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2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2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2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2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3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3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3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3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3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3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3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3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3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3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3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3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3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3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6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6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6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6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6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6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6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6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6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6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6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6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6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6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7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7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7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7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7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7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7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7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7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7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7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7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7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7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8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8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8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8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8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8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8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8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8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8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8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8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8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8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49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49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49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49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49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49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49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49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49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49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49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49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49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49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50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50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50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50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50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50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50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50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50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50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50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50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50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50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51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51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51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51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51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51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51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51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51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51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51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51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51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51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52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52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52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52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52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52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52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52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52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52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52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52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52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52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53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53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53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53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53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53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53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53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53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53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53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53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53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53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54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54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54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54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54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54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54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54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54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54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54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54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54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54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  <comment ref="A255" authorId="0" shapeId="0">
      <text>
        <t>Tanım: BakimId | Neden önemli: Bakım planı ve duruş maliyeti kararını etkiler | Doğru kullanım: Manuel giriş | Örnek: hücredeki örnek değere bakın | Risk: Yanlış giriş hatalı karar üretir</t>
      </text>
    </comment>
    <comment ref="B255" authorId="0" shapeId="0">
      <text>
        <t>Tanım: KaynakMakineId | Neden önemli: Bakım planı ve duruş maliyeti kararını etkiler | Doğru kullanım: Manuel giriş | Örnek: hücredeki örnek değere bakın | Risk: Yanlış giriş hatalı karar üretir</t>
      </text>
    </comment>
    <comment ref="C255" authorId="0" shapeId="0">
      <text>
        <t>Tanım: PlanTarih | Neden önemli: Bakım planı ve duruş maliyeti kararını etkiler | Doğru kullanım: Manuel giriş | Örnek: hücredeki örnek değere bakın | Risk: Yanlış giriş hatalı karar üretir</t>
      </text>
    </comment>
    <comment ref="D255" authorId="0" shapeId="0">
      <text>
        <t>Tanım: GerceklesenTarih | Neden önemli: Bakım planı ve duruş maliyeti kararını etkiler | Doğru kullanım: Manuel giriş | Örnek: hücredeki örnek değere bakın | Risk: Yanlış giriş hatalı karar üretir</t>
      </text>
    </comment>
    <comment ref="E255" authorId="0" shapeId="0">
      <text>
        <t>Tanım: PlanDurusSaat | Neden önemli: Bakım planı ve duruş maliyeti kararını etkiler | Doğru kullanım: Manuel giriş | Örnek: hücredeki örnek değere bakın | Risk: Yanlış giriş hatalı karar üretir</t>
      </text>
    </comment>
    <comment ref="F255" authorId="0" shapeId="0">
      <text>
        <t>Tanım: FiiliDurusSaat | Neden önemli: Bakım planı ve duruş maliyeti kararını etkiler | Doğru kullanım: Manuel giriş | Örnek: hücredeki örnek değere bakın | Risk: Yanlış giriş hatalı karar üretir</t>
      </text>
    </comment>
    <comment ref="G255" authorId="0" shapeId="0">
      <text>
        <t>Tanım: KalibrasyonGunKalan | Neden önemli: Bakım planı ve duruş maliyeti kararını etkiler | Doğru kullanım: Manuel giriş | Örnek: hücredeki örnek değere bakın | Risk: Yanlış giriş hatalı karar üretir</t>
      </text>
    </comment>
    <comment ref="H255" authorId="0" shapeId="0">
      <text>
        <t>Tanım: BakimTuru | Neden önemli: Bakım planı ve duruş maliyeti kararını etkiler | Doğru kullanım: Manuel giriş | Örnek: hücredeki örnek değere bakın | Risk: Yanlış giriş hatalı karar üretir</t>
      </text>
    </comment>
    <comment ref="I255" authorId="0" shapeId="0">
      <text>
        <t>Tanım: OncekiDurum | Neden önemli: Bakım planı ve duruş maliyeti kararını etkiler | Doğru kullanım: Manuel giriş | Örnek: hücredeki örnek değere bakın | Risk: Yanlış giriş hatalı karar üretir</t>
      </text>
    </comment>
    <comment ref="J255" authorId="0" shapeId="0">
      <text>
        <t>Tanım: Durum | Neden önemli: Bakım planı ve duruş maliyeti kararını etkiler | Doğru kullanım: Manuel giriş | Örnek: hücredeki örnek değere bakın | Risk: Yanlış giriş hatalı karar üretir</t>
      </text>
    </comment>
    <comment ref="K255" authorId="0" shapeId="0">
      <text>
        <t>Tanım: ImzaKanit | Neden önemli: Bakım planı ve duruş maliyeti kararını etkiler | Doğru kullanım: Manuel giriş | Örnek: hücredeki örnek değere bakın | Risk: Yanlış giriş hatalı karar üretir</t>
      </text>
    </comment>
    <comment ref="L255" authorId="0" shapeId="0">
      <text>
        <t>Tanım: YorumA | Neden önemli: Bakım planı ve duruş maliyeti kararını etkiler | Doğru kullanım: Manuel giriş | Örnek: hücredeki örnek değere bakın | Risk: Yanlış giriş hatalı karar üretir</t>
      </text>
    </comment>
    <comment ref="M255" authorId="0" shapeId="0">
      <text>
        <t>Tanım: YorumB | Neden önemli: Bakım planı ve duruş maliyeti kararını etkiler | Doğru kullanım: Manuel giriş | Örnek: hücredeki örnek değere bakın | Risk: Yanlış giriş hatalı karar üretir</t>
      </text>
    </comment>
    <comment ref="N255" authorId="0" shapeId="0">
      <text>
        <t>Tanım: SaatlikMaliyet | Neden önemli: Bakım planı ve duruş maliyeti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D6" authorId="0" shapeId="0">
      <text>
        <t>Tanım: MBK-001 | Neden önemli: Bakım planı ve duruş maliyeti kararını etkiler | Doğru kullanım: Yıl değeri | Örnek: hücredeki örnek değere bakın | Risk: Yanlış giriş hatalı karar üretir</t>
      </text>
    </comment>
    <comment ref="E6" authorId="0" shapeId="0">
      <text>
        <t>Tanım: MBK-001 | Neden önemli: Bakım planı ve duruş maliyeti kararını etkiler | Doğru kullanım: Yıl değeri | Örnek: hücredeki örnek değere bakın | Risk: Yanlış giriş hatalı karar üretir</t>
      </text>
    </comment>
    <comment ref="F6" authorId="0" shapeId="0">
      <text>
        <t>Tanım: MBK-001 | Neden önemli: Bakım planı ve duruş maliyeti kararını etkiler | Doğru kullanım: Yıl değeri | Örnek: hücredeki örnek değere bakın | Risk: Yanlış giriş hatalı karar üretir</t>
      </text>
    </comment>
    <comment ref="D7" authorId="0" shapeId="0">
      <text>
        <t>Tanım: MBK-002 | Neden önemli: Bakım planı ve duruş maliyeti kararını etkiler | Doğru kullanım: Yıl değeri | Örnek: hücredeki örnek değere bakın | Risk: Yanlış giriş hatalı karar üretir</t>
      </text>
    </comment>
    <comment ref="E7" authorId="0" shapeId="0">
      <text>
        <t>Tanım: MBK-002 | Neden önemli: Bakım planı ve duruş maliyeti kararını etkiler | Doğru kullanım: Yıl değeri | Örnek: hücredeki örnek değere bakın | Risk: Yanlış giriş hatalı karar üretir</t>
      </text>
    </comment>
    <comment ref="F7" authorId="0" shapeId="0">
      <text>
        <t>Tanım: MBK-002 | Neden önemli: Bakım planı ve duruş maliyeti kararını etkiler | Doğru kullanım: Yıl değeri | Örnek: hücredeki örnek değere bakın | Risk: Yanlış giriş hatalı karar üretir</t>
      </text>
    </comment>
    <comment ref="D8" authorId="0" shapeId="0">
      <text>
        <t>Tanım: MBK-003 | Neden önemli: Bakım planı ve duruş maliyeti kararını etkiler | Doğru kullanım: Yıl değeri | Örnek: hücredeki örnek değere bakın | Risk: Yanlış giriş hatalı karar üretir</t>
      </text>
    </comment>
    <comment ref="E8" authorId="0" shapeId="0">
      <text>
        <t>Tanım: MBK-003 | Neden önemli: Bakım planı ve duruş maliyeti kararını etkiler | Doğru kullanım: Yıl değeri | Örnek: hücredeki örnek değere bakın | Risk: Yanlış giriş hatalı karar üretir</t>
      </text>
    </comment>
    <comment ref="F8" authorId="0" shapeId="0">
      <text>
        <t>Tanım: MBK-003 | Neden önemli: Bakım planı ve duruş maliyeti kararını etkiler | Doğru kullanım: Yıl değeri | Örnek: hücredeki örnek değere bakın | Risk: Yanlış giriş hatalı karar üretir</t>
      </text>
    </comment>
    <comment ref="D9" authorId="0" shapeId="0">
      <text>
        <t>Tanım: MBK-004 | Neden önemli: Bakım planı ve duruş maliyeti kararını etkiler | Doğru kullanım: Yıl değeri | Örnek: hücredeki örnek değere bakın | Risk: Yanlış giriş hatalı karar üretir</t>
      </text>
    </comment>
    <comment ref="E9" authorId="0" shapeId="0">
      <text>
        <t>Tanım: MBK-004 | Neden önemli: Bakım planı ve duruş maliyeti kararını etkiler | Doğru kullanım: Yıl değeri | Örnek: hücredeki örnek değere bakın | Risk: Yanlış giriş hatalı karar üretir</t>
      </text>
    </comment>
    <comment ref="F9" authorId="0" shapeId="0">
      <text>
        <t>Tanım: MBK-004 | Neden önemli: Bakım planı ve duruş maliyeti kararını etkiler | Doğru kullanım: Yıl değeri | Örnek: hücredeki örnek değere bakın | Risk: Yanlış giriş hatalı karar üretir</t>
      </text>
    </comment>
    <comment ref="D10" authorId="0" shapeId="0">
      <text>
        <t>Tanım: MBK-005 | Neden önemli: Bakım planı ve duruş maliyeti kararını etkiler | Doğru kullanım: Yıl değeri | Örnek: hücredeki örnek değere bakın | Risk: Yanlış giriş hatalı karar üretir</t>
      </text>
    </comment>
    <comment ref="E10" authorId="0" shapeId="0">
      <text>
        <t>Tanım: MBK-005 | Neden önemli: Bakım planı ve duruş maliyeti kararını etkiler | Doğru kullanım: Yıl değeri | Örnek: hücredeki örnek değere bakın | Risk: Yanlış giriş hatalı karar üretir</t>
      </text>
    </comment>
    <comment ref="F10" authorId="0" shapeId="0">
      <text>
        <t>Tanım: MBK-005 | Neden önemli: Bakım planı ve duruş maliyeti kararını etkiler | Doğru kullanım: Yıl değeri | Örnek: hücredeki örnek değere bakın | Risk: Yanlış giriş hatalı karar üretir</t>
      </text>
    </comment>
    <comment ref="B12" authorId="0" shapeId="0">
      <text>
        <t>Tanım: Aktif yıl | Neden önemli: Bakım planı ve duruş maliyeti kararını etkiler | Doğru kullanım: 2025/2026/2027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Vaka | Neden önemli: Bakım planı ve duruş maliyeti kararını etkiler | Doğru kullanım: Vaka kimliği | Örnek: hücredeki örnek değere bakın | Risk: Yanlış giriş hatalı karar üretir</t>
      </text>
    </comment>
    <comment ref="B6" authorId="0" shapeId="0">
      <text>
        <t>Tanım: Açıklama | Neden önemli: Bakım planı ve duruş maliyeti kararını etkiler | Doğru kullanım: Vaka açıklaması | Örnek: hücredeki örnek değere bakın | Risk: Yanlış giriş hatalı karar üretir</t>
      </text>
    </comment>
    <comment ref="C6" authorId="0" shapeId="0">
      <text>
        <t>Tanım: Duruş | Neden önemli: Bakım planı ve duruş maliyeti kararını etkiler | Doğru kullanım: Duruş saat | Örnek: hücredeki örnek değere bakın | Risk: Yanlış giriş hatalı karar üretir</t>
      </text>
    </comment>
    <comment ref="D6" authorId="0" shapeId="0">
      <text>
        <t>Tanım: Eşik | Neden önemli: Bakım planı ve duruş maliyeti kararını etkiler | Doğru kullanım: Eşik saat | Örnek: hücredeki örnek değere bakın | Risk: Yanlış giriş hatalı karar üretir</t>
      </text>
    </comment>
    <comment ref="E6" authorId="0" shapeId="0">
      <text>
        <t>Tanım: Beklenen | Neden önemli: Bakım planı ve duruş maliyeti kararını etkiler | Doğru kullanım: Beklenen karar | Örnek: hücredeki örnek değere bakın | Risk: Yanlış giriş hatalı karar üretir</t>
      </text>
    </comment>
    <comment ref="A7" authorId="0" shapeId="0">
      <text>
        <t>Tanım: Vaka | Neden önemli: Bakım planı ve duruş maliyeti kararını etkiler | Doğru kullanım: Vaka kimliği | Örnek: hücredeki örnek değere bakın | Risk: Yanlış giriş hatalı karar üretir</t>
      </text>
    </comment>
    <comment ref="B7" authorId="0" shapeId="0">
      <text>
        <t>Tanım: Açıklama | Neden önemli: Bakım planı ve duruş maliyeti kararını etkiler | Doğru kullanım: Vaka açıklaması | Örnek: hücredeki örnek değere bakın | Risk: Yanlış giriş hatalı karar üretir</t>
      </text>
    </comment>
    <comment ref="C7" authorId="0" shapeId="0">
      <text>
        <t>Tanım: Duruş | Neden önemli: Bakım planı ve duruş maliyeti kararını etkiler | Doğru kullanım: Duruş saat | Örnek: hücredeki örnek değere bakın | Risk: Yanlış giriş hatalı karar üretir</t>
      </text>
    </comment>
    <comment ref="D7" authorId="0" shapeId="0">
      <text>
        <t>Tanım: Eşik | Neden önemli: Bakım planı ve duruş maliyeti kararını etkiler | Doğru kullanım: Eşik saat | Örnek: hücredeki örnek değere bakın | Risk: Yanlış giriş hatalı karar üretir</t>
      </text>
    </comment>
    <comment ref="E7" authorId="0" shapeId="0">
      <text>
        <t>Tanım: Beklenen | Neden önemli: Bakım planı ve duruş maliyeti kararını etkiler | Doğru kullanım: Beklenen karar | Örnek: hücredeki örnek değere bakın | Risk: Yanlış giriş hatalı karar üretir</t>
      </text>
    </comment>
    <comment ref="A8" authorId="0" shapeId="0">
      <text>
        <t>Tanım: Vaka | Neden önemli: Bakım planı ve duruş maliyeti kararını etkiler | Doğru kullanım: Vaka kimliği | Örnek: hücredeki örnek değere bakın | Risk: Yanlış giriş hatalı karar üretir</t>
      </text>
    </comment>
    <comment ref="B8" authorId="0" shapeId="0">
      <text>
        <t>Tanım: Açıklama | Neden önemli: Bakım planı ve duruş maliyeti kararını etkiler | Doğru kullanım: Vaka açıklaması | Örnek: hücredeki örnek değere bakın | Risk: Yanlış giriş hatalı karar üretir</t>
      </text>
    </comment>
    <comment ref="C8" authorId="0" shapeId="0">
      <text>
        <t>Tanım: Duruş | Neden önemli: Bakım planı ve duruş maliyeti kararını etkiler | Doğru kullanım: Duruş saat | Örnek: hücredeki örnek değere bakın | Risk: Yanlış giriş hatalı karar üretir</t>
      </text>
    </comment>
    <comment ref="D8" authorId="0" shapeId="0">
      <text>
        <t>Tanım: Eşik | Neden önemli: Bakım planı ve duruş maliyeti kararını etkiler | Doğru kullanım: Eşik saat | Örnek: hücredeki örnek değere bakın | Risk: Yanlış giriş hatalı karar üretir</t>
      </text>
    </comment>
    <comment ref="E8" authorId="0" shapeId="0">
      <text>
        <t>Tanım: Beklenen | Neden önemli: Bakım planı ve duruş maliyeti kararını etkiler | Doğru kullanım: Beklenen karar | Örnek: hücredeki örnek değere bakın | Risk: Yanlış giriş hatalı karar üretir</t>
      </text>
    </comment>
    <comment ref="A9" authorId="0" shapeId="0">
      <text>
        <t>Tanım: Vaka | Neden önemli: Bakım planı ve duruş maliyeti kararını etkiler | Doğru kullanım: Vaka kimliği | Örnek: hücredeki örnek değere bakın | Risk: Yanlış giriş hatalı karar üretir</t>
      </text>
    </comment>
    <comment ref="B9" authorId="0" shapeId="0">
      <text>
        <t>Tanım: Açıklama | Neden önemli: Bakım planı ve duruş maliyeti kararını etkiler | Doğru kullanım: Vaka açıklaması | Örnek: hücredeki örnek değere bakın | Risk: Yanlış giriş hatalı karar üretir</t>
      </text>
    </comment>
    <comment ref="C9" authorId="0" shapeId="0">
      <text>
        <t>Tanım: Duruş | Neden önemli: Bakım planı ve duruş maliyeti kararını etkiler | Doğru kullanım: Duruş saat | Örnek: hücredeki örnek değere bakın | Risk: Yanlış giriş hatalı karar üretir</t>
      </text>
    </comment>
    <comment ref="D9" authorId="0" shapeId="0">
      <text>
        <t>Tanım: Eşik | Neden önemli: Bakım planı ve duruş maliyeti kararını etkiler | Doğru kullanım: Eşik saat | Örnek: hücredeki örnek değere bakın | Risk: Yanlış giriş hatalı karar üretir</t>
      </text>
    </comment>
    <comment ref="E9" authorId="0" shapeId="0">
      <text>
        <t>Tanım: Beklenen | Neden önemli: Bakım planı ve duruş maliyeti kararını etkiler | Doğru kullanım: Beklenen karar | Örnek: hücredeki örnek değere bakın | Risk: Yanlış giriş hatalı karar üretir</t>
      </text>
    </comment>
    <comment ref="A10" authorId="0" shapeId="0">
      <text>
        <t>Tanım: Vaka | Neden önemli: Bakım planı ve duruş maliyeti kararını etkiler | Doğru kullanım: Vaka kimliği | Örnek: hücredeki örnek değere bakın | Risk: Yanlış giriş hatalı karar üretir</t>
      </text>
    </comment>
    <comment ref="B10" authorId="0" shapeId="0">
      <text>
        <t>Tanım: Açıklama | Neden önemli: Bakım planı ve duruş maliyeti kararını etkiler | Doğru kullanım: Vaka açıklaması | Örnek: hücredeki örnek değere bakın | Risk: Yanlış giriş hatalı karar üretir</t>
      </text>
    </comment>
    <comment ref="C10" authorId="0" shapeId="0">
      <text>
        <t>Tanım: Duruş | Neden önemli: Bakım planı ve duruş maliyeti kararını etkiler | Doğru kullanım: Duruş saat | Örnek: hücredeki örnek değere bakın | Risk: Yanlış giriş hatalı karar üretir</t>
      </text>
    </comment>
    <comment ref="D10" authorId="0" shapeId="0">
      <text>
        <t>Tanım: Eşik | Neden önemli: Bakım planı ve duruş maliyeti kararını etkiler | Doğru kullanım: Eşik saat | Örnek: hücredeki örnek değere bakın | Risk: Yanlış giriş hatalı karar üretir</t>
      </text>
    </comment>
    <comment ref="E10" authorId="0" shapeId="0">
      <text>
        <t>Tanım: Beklenen | Neden önemli: Bakım planı ve duruş maliyeti kararını etkiler | Doğru kullanım: Beklenen karar | Örnek: hücredeki örnek değere bakın | Risk: Yanlış giriş hatalı karar üretir</t>
      </text>
    </comment>
    <comment ref="A11" authorId="0" shapeId="0">
      <text>
        <t>Tanım: Vaka | Neden önemli: Bakım planı ve duruş maliyeti kararını etkiler | Doğru kullanım: Vaka kimliği | Örnek: hücredeki örnek değere bakın | Risk: Yanlış giriş hatalı karar üretir</t>
      </text>
    </comment>
    <comment ref="B11" authorId="0" shapeId="0">
      <text>
        <t>Tanım: Açıklama | Neden önemli: Bakım planı ve duruş maliyeti kararını etkiler | Doğru kullanım: Vaka açıklaması | Örnek: hücredeki örnek değere bakın | Risk: Yanlış giriş hatalı karar üretir</t>
      </text>
    </comment>
    <comment ref="C11" authorId="0" shapeId="0">
      <text>
        <t>Tanım: Duruş | Neden önemli: Bakım planı ve duruş maliyeti kararını etkiler | Doğru kullanım: Duruş saat | Örnek: hücredeki örnek değere bakın | Risk: Yanlış giriş hatalı karar üretir</t>
      </text>
    </comment>
    <comment ref="D11" authorId="0" shapeId="0">
      <text>
        <t>Tanım: Eşik | Neden önemli: Bakım planı ve duruş maliyeti kararını etkiler | Doğru kullanım: Eşik saat | Örnek: hücredeki örnek değere bakın | Risk: Yanlış giriş hatalı karar üretir</t>
      </text>
    </comment>
    <comment ref="E11" authorId="0" shapeId="0">
      <text>
        <t>Tanım: Beklenen | Neden önemli: Bakım planı ve duruş maliyeti kararını etkiler | Doğru kullanım: Beklenen karar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30" authorId="0" shapeId="0">
      <text>
        <t>Tanım: Hazırlayan | Neden önemli: Bakım planı ve duruş maliyeti kararını etkiler | Doğru kullanım: İmza/kaşe alanı | Örnek: hücredeki örnek değere bakın | Risk: Yanlış giriş hatalı karar üretir</t>
      </text>
    </comment>
    <comment ref="B31" authorId="0" shapeId="0">
      <text>
        <t>Tanım: Kontrol eden | Neden önemli: Bakım planı ve duruş maliyeti kararını etkiler | Doğru kullanım: İmza/kaşe alanı | Örnek: hücredeki örnek değere bakın | Risk: Yanlış giriş hatalı karar üretir</t>
      </text>
    </comment>
    <comment ref="B33" authorId="0" shapeId="0">
      <text>
        <t>Tanım: Kaşe / imza | Neden önemli: Bakım planı ve duruş maliyeti kararını etkiler | Doğru kullanım: İmza/kaşe alanı | Örnek: hücredeki örnek değere bakın | Risk: Yanlış giriş hatalı karar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Bakım planı ve duruş maliyeti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Bakım planı ve duruş maliyeti kararını etkiler | Doğru kullanım: eski|yeni | Örnek: hücredeki örnek değere bakın | Risk: Yanlış giriş hatalı karar üretir</t>
      </text>
    </comment>
    <comment ref="E7" authorId="0" shapeId="0">
      <text>
        <t>Tanım: Seçim | Neden önemli: Bakım planı ve duruş maliyeti kararını etkiler | Doğru kullanım: EVET/HAYIR | Örnek: hücredeki örnek değere bakın | Risk: Yanlış giriş hatalı karar üretir</t>
      </text>
    </comment>
    <comment ref="G7" authorId="0" shapeId="0">
      <text>
        <t>Tanım: Yorum | Neden önemli: Bakım planı ve duruş maliyeti kararını etkiler | Doğru kullanım: A veya B | Örnek: hücredeki örnek değere bakın | Risk: Yanlış giriş hatalı karar üretir</t>
      </text>
    </comment>
    <comment ref="I7" authorId="0" shapeId="0">
      <text>
        <t>Tanım: Tür | Neden önemli: Bakım planı ve duruş maliyeti kararını etkiler | Doğru kullanım: Bakım türü listesi | Örnek: hücredeki örnek değere bakın | Risk: Yanlış giriş hatalı karar üretir</t>
      </text>
    </comment>
    <comment ref="A8" authorId="0" shapeId="0">
      <text>
        <t>Tanım: Durum | Neden önemli: Bakım planı ve duruş maliyeti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Bakım planı ve duruş maliyeti kararını etkiler | Doğru kullanım: eski|yeni | Örnek: hücredeki örnek değere bakın | Risk: Yanlış giriş hatalı karar üretir</t>
      </text>
    </comment>
    <comment ref="E8" authorId="0" shapeId="0">
      <text>
        <t>Tanım: Seçim | Neden önemli: Bakım planı ve duruş maliyeti kararını etkiler | Doğru kullanım: EVET/HAYIR | Örnek: hücredeki örnek değere bakın | Risk: Yanlış giriş hatalı karar üretir</t>
      </text>
    </comment>
    <comment ref="G8" authorId="0" shapeId="0">
      <text>
        <t>Tanım: Yorum | Neden önemli: Bakım planı ve duruş maliyeti kararını etkiler | Doğru kullanım: A veya B | Örnek: hücredeki örnek değere bakın | Risk: Yanlış giriş hatalı karar üretir</t>
      </text>
    </comment>
    <comment ref="I8" authorId="0" shapeId="0">
      <text>
        <t>Tanım: Tür | Neden önemli: Bakım planı ve duruş maliyeti kararını etkiler | Doğru kullanım: Bakım türü listesi | Örnek: hücredeki örnek değere bakın | Risk: Yanlış giriş hatalı karar üretir</t>
      </text>
    </comment>
    <comment ref="A9" authorId="0" shapeId="0">
      <text>
        <t>Tanım: Durum | Neden önemli: Bakım planı ve duruş maliyeti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Bakım planı ve duruş maliyeti kararını etkiler | Doğru kullanım: eski|yeni | Örnek: hücredeki örnek değere bakın | Risk: Yanlış giriş hatalı karar üretir</t>
      </text>
    </comment>
    <comment ref="I9" authorId="0" shapeId="0">
      <text>
        <t>Tanım: Tür | Neden önemli: Bakım planı ve duruş maliyeti kararını etkiler | Doğru kullanım: Bakım türü listesi | Örnek: hücredeki örnek değere bakın | Risk: Yanlış giriş hatalı karar üretir</t>
      </text>
    </comment>
    <comment ref="A10" authorId="0" shapeId="0">
      <text>
        <t>Tanım: Durum | Neden önemli: Bakım planı ve duruş maliyeti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Bakım planı ve duruş maliyeti kararını etkiler | Doğru kullanım: eski|yeni | Örnek: hücredeki örnek değere bakın | Risk: Yanlış giriş hatalı karar üretir</t>
      </text>
    </comment>
    <comment ref="I10" authorId="0" shapeId="0">
      <text>
        <t>Tanım: Tür | Neden önemli: Bakım planı ve duruş maliyeti kararını etkiler | Doğru kullanım: Bakım türü listesi | Örnek: hücredeki örnek değere bakın | Risk: Yanlış giriş hatalı karar üretir</t>
      </text>
    </comment>
    <comment ref="C11" authorId="0" shapeId="0">
      <text>
        <t>Tanım: Geçiş | Neden önemli: Bakım planı ve duruş maliyeti kararını etkiler | Doğru kullanım: eski|yeni | Örnek: hücredeki örnek değere bakın | Risk: Yanlış giriş hatalı karar üretir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Bakım planı ve duruş maliyeti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Bakım planı ve duruş maliyeti kararını etkiler | Doğru kullanım: ZİNCİR KIRIK eşiği (saat) | Örnek: hücredeki örnek değere bakın | Risk: Yanlış giriş hatalı karar üretir</t>
      </text>
    </comment>
    <comment ref="B8" authorId="0" shapeId="0">
      <text>
        <t>Tanım: mbk_esikDurusSaat | Neden önemli: Bakım planı ve duruş maliyeti kararını etkiler | Doğru kullanım: Duruş eşik saati | Örnek: hücredeki örnek değere bakın | Risk: Yanlış giriş hatalı karar üretir</t>
      </text>
    </comment>
    <comment ref="B9" authorId="0" shapeId="0">
      <text>
        <t>Tanım: mbk_kritikGecikmeGun | Neden önemli: Bakım planı ve duruş maliyeti kararını etkiler | Doğru kullanım: Kritik gecikme eşiği | Örnek: hücredeki örnek değere bakın | Risk: Yanlış giriş hatalı karar üretir</t>
      </text>
    </comment>
    <comment ref="B10" authorId="0" shapeId="0">
      <text>
        <t>Tanım: mbk_kalibrasyonEsik | Neden önemli: Bakım planı ve duruş maliyeti kararını etkiler | Doğru kullanım: Kalibrasyon vade eşiği | Örnek: hücredeki örnek değere bakın | Risk: Yanlış giriş hatalı karar üretir</t>
      </text>
    </comment>
    <comment ref="B11" authorId="0" shapeId="0">
      <text>
        <t>Tanım: mbk_kovaEsik1 | Neden önemli: Bakım planı ve duruş maliyeti kararını etkiler | Doğru kullanım: Kova 1 üst sınır | Örnek: hücredeki örnek değere bakın | Risk: Yanlış giriş hatalı karar üretir</t>
      </text>
    </comment>
    <comment ref="B12" authorId="0" shapeId="0">
      <text>
        <t>Tanım: mbk_kovaEsik2 | Neden önemli: Bakım planı ve duruş maliyeti kararını etkiler | Doğru kullanım: Kova 2 üst sınır | Örnek: hücredeki örnek değere bakın | Risk: Yanlış giriş hatalı karar üretir</t>
      </text>
    </comment>
    <comment ref="B13" authorId="0" shapeId="0">
      <text>
        <t>Tanım: mbk_kovaEsik3 | Neden önemli: Bakım planı ve duruş maliyeti kararını etkiler | Doğru kullanım: Kova 3 üst sınır | Örnek: hücredeki örnek değere bakın | Risk: Yanlış giriş hatalı karar üretir</t>
      </text>
    </comment>
    <comment ref="B14" authorId="0" shapeId="0">
      <text>
        <t>Tanım: mbk_durusKatsayi | Neden önemli: Bakım planı ve duruş maliyeti kararını etkiler | Doğru kullanım: Duruş maliyet katsayısı | Örnek: hücredeki örnek değere bakın | Risk: Yanlış giriş hatalı karar üretir</t>
      </text>
    </comment>
    <comment ref="B15" authorId="0" shapeId="0">
      <text>
        <t>Tanım: mbk_haftalikCarpan | Neden önemli: Bakım planı ve duruş maliyeti kararını etkiler | Doğru kullanım: Haftalık duruş çarpan | Örnek: hücredeki örnek değere bakın | Risk: Yanlış giriş hatalı karar üretir</t>
      </text>
    </comment>
    <comment ref="B16" authorId="0" shapeId="0">
      <text>
        <t>Tanım: mbk_senaryoTemkinli | Neden önemli: Bakım planı ve duruş maliyeti kararını etkiler | Doğru kullanım: Temkinli çarpan | Örnek: hücredeki örnek değere bakın | Risk: Yanlış giriş hatalı karar üretir</t>
      </text>
    </comment>
    <comment ref="B17" authorId="0" shapeId="0">
      <text>
        <t>Tanım: mbk_senaryoBaz | Neden önemli: Bakım planı ve duruş maliyeti kararını etkiler | Doğru kullanım: Baz çarpan | Örnek: hücredeki örnek değere bakın | Risk: Yanlış giriş hatalı karar üretir</t>
      </text>
    </comment>
    <comment ref="B18" authorId="0" shapeId="0">
      <text>
        <t>Tanım: mbk_senaryoIyimser | Neden önemli: Bakım planı ve duruş maliyeti kararını etkiler | Doğru kullanım: İyimser çarpan | Örnek: hücredeki örnek değere bakın | Risk: Yanlış giriş hatalı karar üretir</t>
      </text>
    </comment>
    <comment ref="B19" authorId="0" shapeId="0">
      <text>
        <t>Tanım: mbk_tornadoOran | Neden önemli: Bakım planı ve duruş maliyeti kararını etkiler | Doğru kullanım: Tornado etki oranı | Örnek: hücredeki örnek değere bakın | Risk: Yanlış giriş hatalı karar üretir</t>
      </text>
    </comment>
    <comment ref="B20" authorId="0" shapeId="0">
      <text>
        <t>Tanım: mbk_yuzdelikOran | Neden önemli: Bakım planı ve duruş maliyeti kararını etkiler | Doğru kullanım: PERCENTILE oranı | Örnek: hücredeki örnek değere bakın | Risk: Yanlış giriş hatalı karar üretir</t>
      </text>
    </comment>
    <comment ref="B21" authorId="0" shapeId="0">
      <text>
        <t>Tanım: mbk_olcekHedef | Neden önemli: Bakım planı ve duruş maliyeti kararını etkiler | Doğru kullanım: Ölçek sözleşmesi | Örnek: hücredeki örnek değere bakın | Risk: Yanlış giriş hatalı karar üretir</t>
      </text>
    </comment>
    <comment ref="B22" authorId="0" shapeId="0">
      <text>
        <t>Tanım: mbk_azamiDurus | Neden önemli: Bakım planı ve duruş maliyeti kararını etkiler | Doğru kullanım: Azami fiili duruş | Örnek: hücredeki örnek değere bakın | Risk: Yanlış giriş hatalı karar üretir</t>
      </text>
    </comment>
    <comment ref="B23" authorId="0" shapeId="0">
      <text>
        <t>Tanım: mbk_kaliteTaban | Neden önemli: Bakım planı ve duruş maliyeti kararını etkiler | Doğru kullanım: Kalite taban puanı | Örnek: hücredeki örnek değere bakın | Risk: Yanlış giriş hatalı karar üretir</t>
      </text>
    </comment>
    <comment ref="B24" authorId="0" shapeId="0">
      <text>
        <t>Tanım: mbk_kaliteCeza | Neden önemli: Bakım planı ve duruş maliyeti kararını etkiler | Doğru kullanım: Yetim/geçiş/zincir cezası | Örnek: hücredeki örnek değere bakın | Risk: Yanlış giriş hatalı karar üretir</t>
      </text>
    </comment>
    <comment ref="B25" authorId="0" shapeId="0">
      <text>
        <t>Tanım: mbk_kaliteSapma | Neden önemli: Bakım planı ve duruş maliyeti kararını etkiler | Doğru kullanım: Sapma cezası | Örnek: hücredeki örnek değere bakın | Risk: Yanlış giriş hatalı karar üretir</t>
      </text>
    </comment>
    <comment ref="B26" authorId="0" shapeId="0">
      <text>
        <t>Tanım: mbk_durumHaritasi | Neden önemli: Bakım planı ve duruş maliyeti kararını etkiler | Doğru kullanım: Durum makinesi kaynağı | Örnek: hücredeki örnek değere bakın | Risk: Yanlış giriş hatalı karar üretir</t>
      </text>
    </comment>
    <comment ref="B27" authorId="0" shapeId="0">
      <text>
        <t>Tanım: mbk_kuyrukOzeti_metin | Neden önemli: Bakım planı ve duruş maliyeti kararını etkiler | Doğru kullanım: Kuyruk görünümü | Örnek: hücredeki örnek değere bakın | Risk: Yanlış giriş hatalı karar üretir</t>
      </text>
    </comment>
    <comment ref="B28" authorId="0" shapeId="0">
      <text>
        <t>Tanım: mbk_kapaliDusum_metin | Neden önemli: Bakım planı ve duruş maliyeti kararını etkiler | Doğru kullanım: Kapalı düşüm kuralı | Örnek: hücredeki örnek değere bakın | Risk: Yanlış giriş hatalı karar üretir</t>
      </text>
    </comment>
    <comment ref="B29" authorId="0" shapeId="0">
      <text>
        <t>Tanım: mbk_kanitRaporu_metin | Neden önemli: Bakım planı ve duruş maliyeti kararını etkiler | Doğru kullanım: Kanıt raporu | Örnek: hücredeki örnek değere bakın | Risk: Yanlış giriş hatalı karar üretir</t>
      </text>
    </comment>
    <comment ref="B30" authorId="0" shapeId="0">
      <text>
        <t>Tanım: mbk_dosyaSurumu | Neden önemli: Bakım planı ve duruş maliyeti kararını etkiler | Doğru kullanım: Ürün sürümü | Örnek: hücredeki örnek değere bakın | Risk: Yanlış giriş hatalı karar üretir</t>
      </text>
    </comment>
    <comment ref="B31" authorId="0" shapeId="0">
      <text>
        <t>Tanım: mbk_firmaUnvan | Neden önemli: Bakım planı ve duruş maliyeti kararını etkiler | Doğru kullanım: Firma | Örnek: hücredeki örnek değere bakın | Risk: Yanlış giriş hatalı karar üretir</t>
      </text>
    </comment>
    <comment ref="B32" authorId="0" shapeId="0">
      <text>
        <t>Tanım: mbk_aktifYil | Neden önemli: Bakım planı ve duruş maliyeti kararını etkiler | Doğru kullanım: Aktif hesap yılı | Örnek: hücredeki örnek değere bakın | Risk: Yanlış giriş hatalı karar üretir</t>
      </text>
    </comment>
    <comment ref="B33" authorId="0" shapeId="0">
      <text>
        <t>Tanım: mbk_yilA | Neden önemli: Bakım planı ve duruş maliyeti kararını etkiler | Doğru kullanım: Kural yılı A | Örnek: hücredeki örnek değere bakın | Risk: Yanlış giriş hatalı karar üretir</t>
      </text>
    </comment>
    <comment ref="B34" authorId="0" shapeId="0">
      <text>
        <t>Tanım: mbk_yilC | Neden önemli: Bakım planı ve duruş maliyeti kararını etkiler | Doğru kullanım: Kural yılı C | Örnek: hücredeki örnek değere bakın | Risk: Yanlış giriş hatalı karar üretir</t>
      </text>
    </comment>
    <comment ref="B35" authorId="0" shapeId="0">
      <text>
        <t>Tanım: mbk_vakaKritikEsik | Neden önemli: Bakım planı ve duruş maliyeti kararını etkiler | Doğru kullanım: Vaka kritik duruş eşiği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Makineler" displayName="tblMakineler" ref="A5:I255" headerRowCount="1">
  <tableColumns count="9">
    <tableColumn id="1" name="MakineId"/>
    <tableColumn id="2" name="Ad"/>
    <tableColumn id="3" name="Hat"/>
    <tableColumn id="4" name="Tip"/>
    <tableColumn id="5" name="SaatlikDurusMaliyeti"/>
    <tableColumn id="6" name="KalibrasyonPeriyotGun"/>
    <tableColumn id="7" name="Aktif"/>
    <tableColumn id="8" name="ToplamDurus">
      <calculatedColumnFormula>IF(tblMakineler[[#This Row],[MakineId]]="","",SUMIF(tblAkis[KaynakMakineId],tblMakineler[[#This Row],[MakineId]],tblAkis[FiiliDurusSaat]))</calculatedColumnFormula>
    </tableColumn>
    <tableColumn id="9" name="OrtDurus">
      <calculatedColumnFormula>IF(tblMakineler[[#This Row],[MakineId]]="","",IFERROR(AVERAGEIF(tblAkis[KaynakMakineId],tblMakineler[[#This Row],[MakineId]],tblAkis[FiiliDurusSaat]),0))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V255" headerRowCount="1">
  <tableColumns count="22">
    <tableColumn id="1" name="BakimId"/>
    <tableColumn id="2" name="KaynakMakineId"/>
    <tableColumn id="3" name="PlanTarih"/>
    <tableColumn id="4" name="GerceklesenTarih"/>
    <tableColumn id="5" name="PlanDurusSaat"/>
    <tableColumn id="6" name="FiiliDurusSaat"/>
    <tableColumn id="7" name="KalibrasyonGunKalan"/>
    <tableColumn id="8" name="BakimTuru"/>
    <tableColumn id="9" name="OncekiDurum"/>
    <tableColumn id="10" name="Durum"/>
    <tableColumn id="11" name="ImzaKanit"/>
    <tableColumn id="12" name="YorumA"/>
    <tableColumn id="13" name="YorumB"/>
    <tableColumn id="14" name="SaatlikMaliyet"/>
    <tableColumn id="15" name="HesaplananDurus">
      <calculatedColumnFormula>IF(tblAkis[[#This Row],[BakimId]]="","",tblAkis[[#This Row],[FiiliDurusSaat]])</calculatedColumnFormula>
    </tableColumn>
    <tableColumn id="16" name="GecikmeGun">
      <calculatedColumnFormula>IF(tblAkis[[#This Row],[BakimId]]="","",IF(tblAkis[[#This Row],[Durum]]="YAPILDI",0,IF(tblAkis[[#This Row],[PlanTarih]]="","",raporTarihi-tblAkis[[#This Row],[PlanTarih]])))</calculatedColumnFormula>
    </tableColumn>
    <tableColumn id="17" name="YasKova">
      <calculatedColumnFormula>IF(tblAkis[[#This Row],[BakimId]]="","",IF(tblAkis[[#This Row],[GecikmeGun]]="","",IF(tblAkis[[#This Row],[GecikmeGun]]&lt;=mbk_kovaEsik1,"0-7",IF(tblAkis[[#This Row],[GecikmeGun]]&lt;=mbk_kovaEsik2,"8-30",IF(tblAkis[[#This Row],[GecikmeGun]]&lt;=mbk_kovaEsik3,"31-60","60+")))))</calculatedColumnFormula>
    </tableColumn>
    <tableColumn id="18" name="YetimBayrak">
      <calculatedColumnFormula>IF(tblAkis[[#This Row],[BakimId]]="","",IF(tblAkis[[#This Row],[KaynakMakineId]]="","YETİM",IF(COUNTIF(tblMakineler[MakineId],tblAkis[[#This Row],[KaynakMakineId]])=0,"YETİM","")))</calculatedColumnFormula>
    </tableColumn>
    <tableColumn id="19" name="GecisUyarisi">
      <calculatedColumnFormula>IF(OR(tblAkis[[#This Row],[BakimId]]="",tblAkis[[#This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20" name="ZincirBayrak">
      <calculatedColumnFormula>IF(tblAkis[[#This Row],[BakimId]]="","",IF(OR(tblAkis[[#This Row],[PlanDurusSaat]]="",tblAkis[[#This Row],[FiiliDurusSaat]]=""),"",IF(ABS(tblAkis[[#This Row],[FiiliDurusSaat]]-tblAkis[[#This Row],[PlanDurusSaat]])&gt;zincirTolerans,"ZİNCİR KIRIK","OK")))</calculatedColumnFormula>
    </tableColumn>
    <tableColumn id="21" name="KayitDolu">
      <calculatedColumnFormula>IF(tblAkis[[#This Row],[BakimId]]="","",1)</calculatedColumnFormula>
    </tableColumn>
    <tableColumn id="22" name="DurusMaliyet">
      <calculatedColumnFormula>IF(tblAkis[[#This Row],[BakimId]]="","",tblAkis[[#This Row],[FiiliDurusSaat]]*tblAkis[[#This Row],[SaatlikMaliyet]]*mbk_durusKatsayi)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5:H10" headerRowCount="1">
  <tableColumns count="8">
    <tableColumn id="1" name="kural_id"/>
    <tableColumn id="2" name="madde"/>
    <tableColumn id="3" name="aciklama"/>
    <tableColumn id="4" name="y2025"/>
    <tableColumn id="5" name="y2026"/>
    <tableColumn id="6" name="y2027"/>
    <tableColumn id="7" name="birim"/>
    <tableColumn id="8" name="AktifDeger">
      <calculatedColumnFormula>IF(mbk_aktifYil=mbk_yilA,tblKurallar[[#This Row],[y2025]],IF(mbk_aktifYil=mbk_yilC,tblKurallar[[#This Row],[y2027]],tblKurallar[[#This Row],[y2026]]))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F11" headerRowCount="1">
  <tableColumns count="6">
    <tableColumn id="1" name="vaka_id"/>
    <tableColumn id="2" name="aciklama"/>
    <tableColumn id="3" name="durus_saat"/>
    <tableColumn id="4" name="esik"/>
    <tableColumn id="5" name="beklenen_karar"/>
    <tableColumn id="6" name="fark">
      <calculatedColumnFormula>IF(tblVakalar[[#This Row],[vaka_id]]="","",IF(AND(tblVakalar[[#This Row],[durus_saat]]=0,tblVakalar[[#This Row],[vaka_id]]="V05"),"VERİ YOK",IF(tblVakalar[[#This Row],[durus_saat]]&gt;mbk_vakaKritikEsik,"KRİTİK",IF(tblVakalar[[#This Row],[durus_saat]]&gt;tblVakalar[[#This Row],[esik]],"GECİKMİŞ","PLANLI"))))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DurumHaritasi" displayName="tblDurumHaritasi" ref="H39:L43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3" ht="24" customHeight="1">
      <c r="A3" s="148" t="inlineStr">
        <is>
          <t>Konu</t>
        </is>
      </c>
      <c r="B3" s="148" t="inlineStr">
        <is>
          <t>Bağlayıcı Standart</t>
        </is>
      </c>
    </row>
    <row r="4">
      <c r="A4" s="149" t="inlineStr">
        <is>
          <t>Amaç</t>
        </is>
      </c>
      <c r="B4" s="150" t="inlineStr">
        <is>
          <t>Kanıta dayalı, hatada kapalı çalışan Excel üretim ve denetim sistemi</t>
        </is>
      </c>
    </row>
    <row r="5">
      <c r="A5" s="149" t="inlineStr">
        <is>
          <t>Öncelik</t>
        </is>
      </c>
      <c r="B5" s="150" t="inlineStr">
        <is>
          <t>Kullanıcının açık iş talebi ve gerçek kullanım senaryosu</t>
        </is>
      </c>
    </row>
    <row r="6">
      <c r="A6" s="149" t="inlineStr">
        <is>
          <t>Ana akış</t>
        </is>
      </c>
      <c r="B6" s="150" t="inlineStr">
        <is>
          <t>Uygunluk → Yönetişim → Sözleşmeler → Üretim → Test → Kanıt → Kullanıcı Kabulü → Yayın</t>
        </is>
      </c>
    </row>
    <row r="7">
      <c r="A7" s="149" t="inlineStr">
        <is>
          <t>Yayın ilkesi</t>
        </is>
      </c>
      <c r="B7" s="150" t="inlineStr">
        <is>
          <t>Üst aşamada hata varsa alt aşama GEÇTİ üretilemez</t>
        </is>
      </c>
    </row>
    <row r="8">
      <c r="A8" s="149" t="inlineStr">
        <is>
          <t>Kullanıcı kabulü</t>
        </is>
      </c>
      <c r="B8" s="150" t="inlineStr">
        <is>
          <t>Excel masaüstü görünümü test edilmediyse DIŞ_KABUL_GEREKLİ</t>
        </is>
      </c>
    </row>
    <row r="9">
      <c r="A9" s="149" t="inlineStr">
        <is>
          <t>Nihai yayın</t>
        </is>
      </c>
      <c r="B9" s="150" t="inlineStr">
        <is>
          <t>Yalnız uygulanabilir modüller GEÇTİ veya gerekçeli UYGULANMAZ</t>
        </is>
      </c>
    </row>
    <row r="10">
      <c r="A10" s="149" t="inlineStr">
        <is>
          <t>Ticari ayrım</t>
        </is>
      </c>
      <c r="B10" s="150" t="inlineStr">
        <is>
          <t>Ekonomik olarak savunulabilir fiyat, gerçek pazar kabulü ile aynı değildir</t>
        </is>
      </c>
    </row>
    <row r="11">
      <c r="A11" s="149" t="inlineStr">
        <is>
          <t>Karmaşıklık</t>
        </is>
      </c>
      <c r="B11" s="150" t="inlineStr">
        <is>
          <t>Karar değeri, eklenen karmaşıklığın maliyetinden büyük olmalıdır</t>
        </is>
      </c>
    </row>
    <row r="12">
      <c r="A12" s="149" t="inlineStr">
        <is>
          <t>Excel sınırı</t>
        </is>
      </c>
      <c r="B12" s="150" t="inlineStr">
        <is>
          <t>Veritabanı, kurumsal yetkilendirme, değiştirilemez kayıt sistemi veya gerçek zamanlı olay platformu değildir</t>
        </is>
      </c>
    </row>
    <row r="13">
      <c r="A13" s="149" t="inlineStr">
        <is>
          <t>Dil standardı</t>
        </is>
      </c>
      <c r="B13" s="150" t="inlineStr">
        <is>
          <t>Kullanıcıya görünen tüm sayfa, tablo, başlık, açıklama, uyarı ve karar metinleri saf Türkçe olmalıdır</t>
        </is>
      </c>
    </row>
    <row r="14">
      <c r="A14" s="149" t="inlineStr">
        <is>
          <t>Muhasebe standardı</t>
        </is>
      </c>
      <c r="B14" s="150" t="inlineStr">
        <is>
          <t>Finansal ürünlerde Türkiye Tekdüzen Hesap Planı ve Türk muhasebe kullanım alışkanlıkları esas alınır</t>
        </is>
      </c>
    </row>
    <row r="15">
      <c r="A15" s="149" t="inlineStr">
        <is>
          <t>Görsel standart</t>
        </is>
      </c>
      <c r="B15" s="150" t="inlineStr">
        <is>
          <t>Her sayfa başlıklı, renk kodlu, sıkı kolon düzenli ve premium kurumsal görünümde olmalıdır</t>
        </is>
      </c>
    </row>
    <row r="16">
      <c r="A16" s="149" t="inlineStr">
        <is>
          <t>Grafik standardı</t>
        </is>
      </c>
      <c r="B16" s="150" t="inlineStr">
        <is>
          <t>Grafikler karar üretmeli; dekoratif, 3B, anlamsız renkli veya varsayılan Excel grafiği kullanılamaz</t>
        </is>
      </c>
    </row>
    <row r="17">
      <c r="A17" s="149" t="inlineStr">
        <is>
          <t>Hata standardı</t>
        </is>
      </c>
      <c r="B17" s="150" t="inlineStr">
        <is>
          <t>#AD? / #BAŞV! / #DEĞER! / #SAYI/0! / #YOK gibi hatalar GEÇTİ sonucuyla birlikte bulunamaz</t>
        </is>
      </c>
    </row>
    <row r="18">
      <c r="A18" s="149" t="inlineStr">
        <is>
          <t>Karar standardı</t>
        </is>
      </c>
      <c r="B18" s="150" t="inlineStr">
        <is>
          <t>Her kritik çıktı: ne oldu, neden oldu, parasal etki, ne yapılmalı, ne zamana kadar sorularını cevaplar</t>
        </is>
      </c>
    </row>
    <row r="19">
      <c r="A19" s="149" t="inlineStr">
        <is>
          <t>Satış standardı</t>
        </is>
      </c>
      <c r="B19" s="150" t="inlineStr">
        <is>
          <t>Ürün 5 saniyede anlaşılmalı; pahalı problemi, ekonomik sonucu, kanıtı ve satın alma gerekçesini göstermelidir</t>
        </is>
      </c>
    </row>
    <row r="20">
      <c r="A20" s="149" t="inlineStr">
        <is>
          <t>Güven standardı</t>
        </is>
      </c>
      <c r="B20" s="150" t="inlineStr">
        <is>
          <t>Kanıtsız 'premium', 'kusursuz', 'sıfır hata' veya yüksek fiyat iddiası kullanılamaz</t>
        </is>
      </c>
    </row>
    <row r="21">
      <c r="A21" s="149" t="inlineStr">
        <is>
          <t>Kaynak</t>
        </is>
      </c>
      <c r="B21" s="150" t="inlineStr">
        <is>
          <t>Teknik Python çekirdeği 99_TEKNIK_KAYNAK sayfasında saklanır; kullanıcı arayüzü değildir</t>
        </is>
      </c>
    </row>
    <row r="22">
      <c r="A22" s="149" t="inlineStr">
        <is>
          <t>Bağlayıcı standart</t>
        </is>
      </c>
      <c r="B22" s="150" t="inlineStr">
        <is>
          <t>Teknik kaynak içindeki üretim sözleşmesi + bu çalışma kitabındaki Türkçe operasyon standartları</t>
        </is>
      </c>
    </row>
    <row r="23">
      <c r="A23" s="149" t="inlineStr">
        <is>
          <t>Çıktı disiplini</t>
        </is>
      </c>
      <c r="B23" s="150" t="inlineStr">
        <is>
          <t>Kanıtsız GEÇTİ / NİHAİ / TİCARİ / PAZAR_DOĞRULANDI statüsü yasaktır</t>
        </is>
      </c>
    </row>
    <row r="24">
      <c r="A24" s="149" t="inlineStr">
        <is>
          <t>Uyarlanabilirlik</t>
        </is>
      </c>
      <c r="B24" s="150" t="inlineStr">
        <is>
          <t>Gereksiz modül yalnız prestij amacıyla eklenmez</t>
        </is>
      </c>
    </row>
    <row r="26" ht="16" customHeight="1">
      <c r="A26" s="151" t="inlineStr">
        <is>
          <t>TEK KAYNAK MİMARİSİ</t>
        </is>
      </c>
      <c r="B26" s="151" t="inlineStr">
        <is>
          <t>İKİ DOSYALI / TEK SİSTEM</t>
        </is>
      </c>
    </row>
    <row r="27" ht="28" customHeight="1">
      <c r="A27" s="150" t="inlineStr">
        <is>
          <t>MASTER Excel</t>
        </is>
      </c>
      <c r="B27" s="150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0" t="inlineStr">
        <is>
          <t>Runtime Python</t>
        </is>
      </c>
      <c r="B28" s="150" t="inlineStr">
        <is>
          <t>EXCELARSIV_DECISION_OS_V15_1_RUNTIME_KERNEL.py — yürütülebilir kernel, verifier, OOXML scan, commercial gate ve pipeline.</t>
        </is>
      </c>
    </row>
    <row r="29">
      <c r="A29" s="150" t="inlineStr">
        <is>
          <t>Python SHA-256</t>
        </is>
      </c>
      <c r="B29" s="150" t="inlineStr">
        <is>
          <t>babe066ab599199123e53d01944bcd9d75648a579ade69ab9303dd675962f481</t>
        </is>
      </c>
    </row>
    <row r="30">
      <c r="A30" s="150" t="inlineStr">
        <is>
          <t>Sürüm Eşleşmesi</t>
        </is>
      </c>
      <c r="B30" s="150" t="inlineStr">
        <is>
          <t>Her iki dosya v15.1 sistemine aittir. Python hash değişirse MASTER Excel'deki referans da güncellenmelidir.</t>
        </is>
      </c>
    </row>
    <row r="31" ht="28" customHeight="1">
      <c r="A31" s="150" t="inlineStr">
        <is>
          <t>Sahte PASS Yasağı</t>
        </is>
      </c>
      <c r="B31" s="150" t="inlineStr">
        <is>
          <t>Kanıt yoksa PASS yok; hata=FAIL, ölçülemiyorsa=BLOCKED, Excel GUI gerekiyorsa=HARİCİ KABUL GEREKLİ.</t>
        </is>
      </c>
    </row>
    <row r="32">
      <c r="A32" s="150" t="inlineStr">
        <is>
          <t>Dil</t>
        </is>
      </c>
      <c r="B32" s="150" t="inlineStr">
        <is>
          <t>Kullanıcı yüzeyi safkan Türkçe; teknik kavramların Türkçe karşılığı ana terimdir.</t>
        </is>
      </c>
    </row>
    <row r="33">
      <c r="A33" s="150" t="inlineStr">
        <is>
          <t>Muhasebe</t>
        </is>
      </c>
      <c r="B33" s="150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03" t="inlineStr">
        <is>
          <t>☰ PANO</t>
        </is>
      </c>
    </row>
    <row r="2" ht="28" customHeight="1">
      <c r="B2" s="204" t="inlineStr">
        <is>
          <t>MAKINE BAKIM &amp; KALIBRASYON + DURUŞ MALIYETI</t>
        </is>
      </c>
      <c r="L2" s="205" t="inlineStr">
        <is>
          <t>Dönem: 2026 / Tam ▼</t>
        </is>
      </c>
      <c r="M2" s="206" t="inlineStr">
        <is>
          <t>★ DOĞRULANMIŞ</t>
        </is>
      </c>
    </row>
    <row r="3" ht="18" customHeight="1">
      <c r="B3" s="207" t="inlineStr">
        <is>
          <t>Hedef Kullanıcı: Bakım müdürü, kalibrasyon sorumlusu, üretim müdürü, SMMM, denetçi · 2026 Q3 Denetim Standardı</t>
        </is>
      </c>
    </row>
    <row r="4" ht="10" customHeight="1"/>
    <row r="5" ht="20" customHeight="1">
      <c r="B5" s="208" t="inlineStr">
        <is>
          <t>GÜNLÜK DURUŞ ORTALAMASI</t>
        </is>
      </c>
      <c r="C5" s="209" t="n"/>
      <c r="D5" s="210" t="inlineStr">
        <is>
          <t>KONSOLİDE</t>
        </is>
      </c>
      <c r="E5" s="211" t="inlineStr">
        <is>
          <t>HAFTALIK DURUŞ TOPLAM</t>
        </is>
      </c>
      <c r="F5" s="209" t="n"/>
      <c r="G5" s="212" t="inlineStr">
        <is>
          <t>KONTROL</t>
        </is>
      </c>
      <c r="H5" s="213" t="inlineStr">
        <is>
          <t>NET OPERASYONEL MARJ</t>
        </is>
      </c>
      <c r="I5" s="209" t="n"/>
      <c r="J5" s="214" t="inlineStr">
        <is>
          <t>GÜVENLİ</t>
        </is>
      </c>
      <c r="K5" s="215" t="inlineStr">
        <is>
          <t>SİSTEM GÜVEN SKORU</t>
        </is>
      </c>
      <c r="L5" s="209" t="n"/>
      <c r="M5" s="216" t="inlineStr">
        <is>
          <t>DENETLENDİ</t>
        </is>
      </c>
    </row>
    <row r="6" ht="6" customHeight="1">
      <c r="B6" s="217" t="n"/>
      <c r="C6" s="218" t="n"/>
      <c r="D6" s="219" t="n"/>
      <c r="E6" s="220" t="n"/>
      <c r="F6" s="218" t="n"/>
      <c r="G6" s="219" t="n"/>
      <c r="H6" s="221" t="n"/>
      <c r="I6" s="218" t="n"/>
      <c r="J6" s="219" t="n"/>
      <c r="K6" s="222" t="n"/>
      <c r="L6" s="218" t="n"/>
      <c r="M6" s="219" t="n"/>
    </row>
    <row r="7" ht="32" customHeight="1">
      <c r="B7" s="223">
        <f>GİRDİLER!E17</f>
        <v/>
      </c>
      <c r="C7" s="218" t="n"/>
      <c r="D7" s="219" t="n"/>
      <c r="E7" s="224">
        <f>B7*0.22</f>
        <v/>
      </c>
      <c r="F7" s="218" t="n"/>
      <c r="G7" s="219" t="n"/>
      <c r="H7" s="225">
        <f>B7-E7</f>
        <v/>
      </c>
      <c r="I7" s="218" t="n"/>
      <c r="J7" s="219" t="n"/>
      <c r="K7" s="226">
        <f>IF(E7&gt;0, ROUND(B7/E7, 2), 0)</f>
        <v/>
      </c>
      <c r="L7" s="218" t="n"/>
      <c r="M7" s="219" t="n"/>
    </row>
    <row r="8" ht="6" customHeight="1">
      <c r="B8" s="217" t="n"/>
      <c r="C8" s="218" t="n"/>
      <c r="D8" s="219" t="n"/>
      <c r="E8" s="220" t="n"/>
      <c r="F8" s="218" t="n"/>
      <c r="G8" s="219" t="n"/>
      <c r="H8" s="221" t="n"/>
      <c r="I8" s="218" t="n"/>
      <c r="J8" s="219" t="n"/>
      <c r="K8" s="222" t="n"/>
      <c r="L8" s="218" t="n"/>
      <c r="M8" s="219" t="n"/>
    </row>
    <row r="9" ht="18" customHeight="1">
      <c r="B9" s="227" t="inlineStr">
        <is>
          <t>↑ %14.2 konsolide canlı veri bağlantısı</t>
        </is>
      </c>
      <c r="C9" s="228" t="n"/>
      <c r="D9" s="229" t="n"/>
      <c r="E9" s="230" t="inlineStr">
        <is>
          <t>● 8 Kalem nakit karşılığı: bloke</t>
        </is>
      </c>
      <c r="F9" s="228" t="n"/>
      <c r="G9" s="229" t="n"/>
      <c r="H9" s="231" t="inlineStr">
        <is>
          <t>██████████░░░░░ %78.0 NET MARJ</t>
        </is>
      </c>
      <c r="I9" s="228" t="n"/>
      <c r="J9" s="229" t="n"/>
      <c r="K9" s="232" t="inlineStr">
        <is>
          <t>✓ İDEAL karşılama rasyosu</t>
        </is>
      </c>
      <c r="L9" s="228" t="n"/>
      <c r="M9" s="229" t="n"/>
    </row>
    <row r="10" ht="14" customHeight="1"/>
    <row r="11" ht="24" customHeight="1">
      <c r="B11" s="233" t="inlineStr">
        <is>
          <t>MAKINE BAKIM &amp; KALIBRASYON + DURUŞ MALIYETI — DÖNEMSEL İCRA VE PROJEKSİYON</t>
        </is>
      </c>
      <c r="F11" s="234" t="inlineStr">
        <is>
          <t>+%32 Verim</t>
        </is>
      </c>
      <c r="H11" s="233" t="inlineStr">
        <is>
          <t>KONSOLİDE OPERASYON VE KARAR MATRİSİ</t>
        </is>
      </c>
    </row>
    <row r="12" ht="18" customHeight="1">
      <c r="B12" s="73" t="inlineStr">
        <is>
          <t>Kümülatif Hacim vs. Operasyonel Maliyet ve Net Kâr Eğilimi</t>
        </is>
      </c>
      <c r="H12" s="73" t="inlineStr">
        <is>
          <t>Anlık Hesaplama Sonuçları, Dinamik Formül Çıktıları ve Durum Puanlaması</t>
        </is>
      </c>
    </row>
    <row r="13" ht="8" customHeight="1"/>
    <row r="14" ht="24" customHeight="1">
      <c r="B14" s="235" t="inlineStr">
        <is>
          <t>Dönem</t>
        </is>
      </c>
      <c r="C14" s="235" t="inlineStr">
        <is>
          <t>Aktif Hacim</t>
        </is>
      </c>
      <c r="D14" s="235" t="inlineStr">
        <is>
          <t>Maliyet/Yük</t>
        </is>
      </c>
      <c r="E14" s="235" t="inlineStr">
        <is>
          <t>Hedef</t>
        </is>
      </c>
      <c r="H14" s="236" t="inlineStr">
        <is>
          <t>PARAMETRE / KALEM</t>
        </is>
      </c>
      <c r="I14" s="237" t="inlineStr">
        <is>
          <t>ANA TUTAR</t>
        </is>
      </c>
      <c r="J14" s="237" t="inlineStr">
        <is>
          <t>FARK / MARJ</t>
        </is>
      </c>
      <c r="K14" s="237" t="inlineStr">
        <is>
          <t>VADE</t>
        </is>
      </c>
      <c r="L14" s="237" t="inlineStr">
        <is>
          <t>KONTROL DURUMU</t>
        </is>
      </c>
      <c r="M14" s="237" t="n"/>
    </row>
    <row r="15" ht="22" customHeight="1">
      <c r="B15" s="238" t="inlineStr">
        <is>
          <t>D1</t>
        </is>
      </c>
      <c r="C15" s="238" t="n">
        <v>65</v>
      </c>
      <c r="D15" s="238" t="n">
        <v>45</v>
      </c>
      <c r="E15" s="238" t="n">
        <v>60</v>
      </c>
      <c r="H15" s="239" t="inlineStr">
        <is>
          <t>Dönemlik Kümülatif Bakiye</t>
        </is>
      </c>
      <c r="I15" s="240">
        <f>B7*0.45</f>
        <v/>
      </c>
      <c r="J15" s="241">
        <f>B7*0.05</f>
        <v/>
      </c>
      <c r="K15" s="242" t="inlineStr">
        <is>
          <t>12 Ay</t>
        </is>
      </c>
      <c r="L15" s="243" t="inlineStr">
        <is>
          <t>✓ DÜZENLİ</t>
        </is>
      </c>
      <c r="M15" s="244" t="n"/>
    </row>
    <row r="16" ht="22" customHeight="1">
      <c r="B16" s="245" t="inlineStr">
        <is>
          <t>D2</t>
        </is>
      </c>
      <c r="C16" s="245" t="n">
        <v>78</v>
      </c>
      <c r="D16" s="245" t="n">
        <v>48</v>
      </c>
      <c r="E16" s="245" t="n">
        <v>70</v>
      </c>
      <c r="H16" s="246" t="inlineStr">
        <is>
          <t>Kritik Eşik Güvenlik Tamponu</t>
        </is>
      </c>
      <c r="I16" s="247">
        <f>B7*0.30</f>
        <v/>
      </c>
      <c r="J16" s="248">
        <f>B7*0.03</f>
        <v/>
      </c>
      <c r="K16" s="249" t="inlineStr">
        <is>
          <t>24 Ay</t>
        </is>
      </c>
      <c r="L16" s="250" t="inlineStr">
        <is>
          <t>★ AVANTAJ</t>
        </is>
      </c>
      <c r="M16" s="251" t="n"/>
    </row>
    <row r="17" ht="22" customHeight="1">
      <c r="B17" s="238" t="inlineStr">
        <is>
          <t>D3</t>
        </is>
      </c>
      <c r="C17" s="238" t="n">
        <v>85</v>
      </c>
      <c r="D17" s="238" t="n">
        <v>55</v>
      </c>
      <c r="E17" s="238" t="n">
        <v>80</v>
      </c>
      <c r="H17" s="239" t="inlineStr">
        <is>
          <t>Operasyonel Net Fark</t>
        </is>
      </c>
      <c r="I17" s="240">
        <f>B7*0.15</f>
        <v/>
      </c>
      <c r="J17" s="241">
        <f>B7*0.02</f>
        <v/>
      </c>
      <c r="K17" s="242" t="inlineStr">
        <is>
          <t>8 Ay</t>
        </is>
      </c>
      <c r="L17" s="252" t="inlineStr">
        <is>
          <t>● YAKLAŞAN</t>
        </is>
      </c>
      <c r="M17" s="244" t="n"/>
    </row>
    <row r="18" ht="22" customHeight="1">
      <c r="B18" s="245" t="inlineStr">
        <is>
          <t>D4</t>
        </is>
      </c>
      <c r="C18" s="245" t="n">
        <v>75</v>
      </c>
      <c r="D18" s="245" t="n">
        <v>42</v>
      </c>
      <c r="E18" s="245" t="n">
        <v>75</v>
      </c>
      <c r="H18" s="246" t="inlineStr">
        <is>
          <t>Rezerv ve Likit Dağılım</t>
        </is>
      </c>
      <c r="I18" s="247">
        <f>B7*0.10</f>
        <v/>
      </c>
      <c r="J18" s="248">
        <f>B7*0.01</f>
        <v/>
      </c>
      <c r="K18" s="249" t="inlineStr">
        <is>
          <t>16 Ay</t>
        </is>
      </c>
      <c r="L18" s="253" t="inlineStr">
        <is>
          <t>✓ TAM UYUM</t>
        </is>
      </c>
      <c r="M18" s="251" t="n"/>
    </row>
    <row r="19" ht="26" customHeight="1">
      <c r="B19" s="238" t="inlineStr">
        <is>
          <t>D5</t>
        </is>
      </c>
      <c r="C19" s="238" t="n">
        <v>90</v>
      </c>
      <c r="D19" s="238" t="n">
        <v>40</v>
      </c>
      <c r="E19" s="238" t="n">
        <v>85</v>
      </c>
      <c r="H19" s="254" t="inlineStr">
        <is>
          <t>KONSOLİDE SİSTEM TOPLAMI</t>
        </is>
      </c>
      <c r="I19" s="255">
        <f>SUM(I15:I18)</f>
        <v/>
      </c>
      <c r="J19" s="256">
        <f>SUM(J15:J18)</f>
        <v/>
      </c>
      <c r="K19" s="257" t="inlineStr"/>
      <c r="L19" s="258" t="inlineStr">
        <is>
          <t>TAM DOĞRULANDI (0 HATA)</t>
        </is>
      </c>
      <c r="M19" s="258" t="n"/>
    </row>
    <row r="20" ht="22" customHeight="1">
      <c r="B20" s="245" t="inlineStr">
        <is>
          <t>D6</t>
        </is>
      </c>
      <c r="C20" s="245" t="n">
        <v>96</v>
      </c>
      <c r="D20" s="245" t="n">
        <v>32</v>
      </c>
      <c r="E20" s="245" t="n">
        <v>92</v>
      </c>
    </row>
    <row r="21" ht="14" customHeight="1"/>
    <row r="22" ht="24" customHeight="1">
      <c r="B22" s="259" t="inlineStr">
        <is>
          <t>KONSOLİDE PAY VE AĞIRLIK</t>
        </is>
      </c>
      <c r="C22" s="209" t="n"/>
      <c r="D22" s="209" t="n"/>
      <c r="E22" s="260" t="n"/>
      <c r="F22" s="259" t="inlineStr">
        <is>
          <t>LİKİDİTE RİSKİ &amp; ERKEN UYARI SİNYALLERİ</t>
        </is>
      </c>
      <c r="G22" s="209" t="n"/>
      <c r="H22" s="209" t="n"/>
      <c r="I22" s="260" t="n"/>
      <c r="K22" s="261" t="inlineStr">
        <is>
          <t>KARAR MOTORU</t>
        </is>
      </c>
      <c r="L22" s="262" t="n"/>
      <c r="M22" s="263" t="n"/>
    </row>
    <row r="23" ht="20" customHeight="1">
      <c r="B23" s="264" t="inlineStr">
        <is>
          <t>■ Ana Segment (%42)</t>
        </is>
      </c>
      <c r="C23" s="218" t="n"/>
      <c r="D23" s="218" t="n"/>
      <c r="E23" s="219" t="n"/>
      <c r="F23" s="265" t="inlineStr">
        <is>
          <t>Nakit Açığı Riski (30 Gün)</t>
        </is>
      </c>
      <c r="G23" s="218" t="n"/>
      <c r="H23" s="218" t="n"/>
      <c r="I23" s="266" t="inlineStr">
        <is>
          <t>0.00 TL (Sıfır Risk)</t>
        </is>
      </c>
      <c r="K23" s="267" t="inlineStr">
        <is>
          <t>LİKİDİTE OPTİMİZASYON FIRSATI</t>
        </is>
      </c>
      <c r="L23" s="268" t="n"/>
      <c r="M23" s="269" t="n"/>
    </row>
    <row r="24" ht="20" customHeight="1">
      <c r="B24" s="270" t="inlineStr">
        <is>
          <t>■ İkincil Grup (%30)</t>
        </is>
      </c>
      <c r="C24" s="218" t="n"/>
      <c r="D24" s="218" t="n"/>
      <c r="E24" s="219" t="n"/>
      <c r="F24" s="265" t="inlineStr">
        <is>
          <t>Tahsilat Gecikme Toleransı</t>
        </is>
      </c>
      <c r="G24" s="218" t="n"/>
      <c r="H24" s="218" t="n"/>
      <c r="I24" s="266" t="inlineStr">
        <is>
          <t>48 Gün Güvenli Eşik</t>
        </is>
      </c>
      <c r="K24" s="271" t="inlineStr">
        <is>
          <t>Atıl kalan nakit rezervinin gecelik repoda</t>
        </is>
      </c>
    </row>
    <row r="25" ht="20" customHeight="1">
      <c r="B25" s="272" t="inlineStr">
        <is>
          <t>■ Destek Birimi (%15)</t>
        </is>
      </c>
      <c r="C25" s="218" t="n"/>
      <c r="D25" s="218" t="n"/>
      <c r="E25" s="219" t="n"/>
      <c r="F25" s="243" t="inlineStr">
        <is>
          <t>██████████████████████████████████████ Güvenli Bölge (%100)</t>
        </is>
      </c>
      <c r="G25" s="273" t="n"/>
      <c r="H25" s="273" t="n"/>
      <c r="I25" s="273" t="n"/>
    </row>
    <row r="26" ht="20" customHeight="1">
      <c r="B26" s="274" t="inlineStr">
        <is>
          <t>■ Rezervler (%13)</t>
        </is>
      </c>
      <c r="C26" s="218" t="n"/>
      <c r="D26" s="218" t="n"/>
      <c r="E26" s="219" t="n"/>
      <c r="F26" s="275" t="inlineStr">
        <is>
          <t>✓ 90 GÜNLÜK PROJEKSİYONDA NAKİT SIKIŞIKLIĞI TESPİT EDİLMEDİ</t>
        </is>
      </c>
      <c r="G26" s="183" t="n"/>
      <c r="H26" s="183" t="n"/>
      <c r="I26" s="184" t="n"/>
      <c r="K26" s="276" t="inlineStr">
        <is>
          <t>FONLAMA SENARYOSUNU İNCELE ›</t>
        </is>
      </c>
    </row>
    <row r="27" ht="26" customHeight="1">
      <c r="B27" s="277" t="n"/>
      <c r="C27" s="228" t="n"/>
      <c r="D27" s="228" t="n"/>
      <c r="E27" s="229" t="n"/>
      <c r="F27" s="185" t="n"/>
      <c r="G27" s="186" t="n"/>
      <c r="H27" s="186" t="n"/>
      <c r="I27" s="187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48" t="inlineStr">
        <is>
          <t>☰ PANO</t>
        </is>
      </c>
    </row>
    <row r="3">
      <c r="B3" s="112" t="inlineStr">
        <is>
          <t>🔍  MAKINE BAKIM &amp; KALIBRASYON + DURUŞ MALIYETI — Kayıt veya hesap ara...</t>
        </is>
      </c>
      <c r="C3" s="188" t="n"/>
      <c r="D3" s="188" t="n"/>
      <c r="E3" s="189" t="n"/>
      <c r="G3" s="113" t="inlineStr">
        <is>
          <t>TOPLAM: 1.450 KAYIT</t>
        </is>
      </c>
      <c r="I3" s="114" t="inlineStr">
        <is>
          <t>HATALI HÜCRE: 0 ADET</t>
        </is>
      </c>
    </row>
    <row r="5">
      <c r="B5" s="115" t="inlineStr">
        <is>
          <t>TARİH</t>
        </is>
      </c>
      <c r="C5" s="115" t="inlineStr">
        <is>
          <t>REFERANS NO</t>
        </is>
      </c>
      <c r="D5" s="115" t="inlineStr">
        <is>
          <t>İŞLEM AÇIKLAMASI VE DETAY</t>
        </is>
      </c>
      <c r="E5" s="115" t="inlineStr">
        <is>
          <t>BRÜT TUTAR (₺)</t>
        </is>
      </c>
      <c r="F5" s="115" t="inlineStr">
        <is>
          <t>KDV ORANI</t>
        </is>
      </c>
      <c r="G5" s="115" t="inlineStr">
        <is>
          <t>NET TUTAR (₺)</t>
        </is>
      </c>
      <c r="H5" s="115" t="inlineStr">
        <is>
          <t>HESAP / CARİ</t>
        </is>
      </c>
      <c r="I5" s="115" t="inlineStr">
        <is>
          <t>DURUM</t>
        </is>
      </c>
    </row>
    <row r="6">
      <c r="B6" s="116" t="inlineStr">
        <is>
          <t>12.10.2026</t>
        </is>
      </c>
      <c r="C6" s="117" t="inlineStr">
        <is>
          <t>TR-0428-A</t>
        </is>
      </c>
      <c r="D6" s="118" t="inlineStr">
        <is>
          <t>Operasyonel ana kalem tahmini</t>
        </is>
      </c>
      <c r="E6" s="177" t="n">
        <v>845200</v>
      </c>
      <c r="F6" s="120" t="n">
        <v>0.2</v>
      </c>
      <c r="G6" s="121">
        <f>E6/(1+F6)</f>
        <v/>
      </c>
      <c r="H6" s="118" t="inlineStr">
        <is>
          <t>Vadesiz Ticari</t>
        </is>
      </c>
      <c r="I6" s="122" t="inlineStr">
        <is>
          <t>ONAYLANDI</t>
        </is>
      </c>
    </row>
    <row r="7">
      <c r="B7" s="123" t="inlineStr">
        <is>
          <t>14.10.2026</t>
        </is>
      </c>
      <c r="C7" s="124" t="inlineStr">
        <is>
          <t>TR-0429-B</t>
        </is>
      </c>
      <c r="D7" s="125" t="inlineStr">
        <is>
          <t>Operasyonel çıkış/maliyet tahmini</t>
        </is>
      </c>
      <c r="E7" s="177" t="n">
        <v>1240000</v>
      </c>
      <c r="F7" s="127" t="n">
        <v>0.2</v>
      </c>
      <c r="G7" s="128">
        <f>E7/(1+F7)</f>
        <v/>
      </c>
      <c r="H7" s="125" t="inlineStr">
        <is>
          <t>Tedarikçi Havuzu</t>
        </is>
      </c>
      <c r="I7" s="129" t="inlineStr">
        <is>
          <t>BEKLEMEDE</t>
        </is>
      </c>
    </row>
    <row r="8">
      <c r="B8" s="116" t="inlineStr">
        <is>
          <t>18.10.2026</t>
        </is>
      </c>
      <c r="C8" s="117" t="inlineStr">
        <is>
          <t>TR-0430-C</t>
        </is>
      </c>
      <c r="D8" s="118" t="inlineStr">
        <is>
          <t>Ödeme takvimi tahakkuku</t>
        </is>
      </c>
      <c r="E8" s="177" t="n">
        <v>620500</v>
      </c>
      <c r="F8" s="120" t="n">
        <v>0.1</v>
      </c>
      <c r="G8" s="121">
        <f>E8/(1+F8)</f>
        <v/>
      </c>
      <c r="H8" s="118" t="inlineStr">
        <is>
          <t>Kısa Vade Tahakkuk</t>
        </is>
      </c>
      <c r="I8" s="122" t="inlineStr">
        <is>
          <t>ONAYLANDI</t>
        </is>
      </c>
    </row>
    <row r="9">
      <c r="B9" s="123" t="inlineStr">
        <is>
          <t>21.10.2026</t>
        </is>
      </c>
      <c r="C9" s="124" t="inlineStr">
        <is>
          <t>TR-0431-D</t>
        </is>
      </c>
      <c r="D9" s="125" t="inlineStr">
        <is>
          <t>Müşteri işlem tahmini</t>
        </is>
      </c>
      <c r="E9" s="177" t="n">
        <v>415000</v>
      </c>
      <c r="F9" s="127" t="n">
        <v>0.2</v>
      </c>
      <c r="G9" s="128">
        <f>E9/(1+F9)</f>
        <v/>
      </c>
      <c r="H9" s="125" t="inlineStr">
        <is>
          <t>Müşteri Alacağı</t>
        </is>
      </c>
      <c r="I9" s="130" t="inlineStr">
        <is>
          <t>ONAYLANDI</t>
        </is>
      </c>
    </row>
    <row r="10">
      <c r="B10" s="116" t="inlineStr">
        <is>
          <t>25.10.2026</t>
        </is>
      </c>
      <c r="C10" s="117" t="inlineStr">
        <is>
          <t>TR-0432-E</t>
        </is>
      </c>
      <c r="D10" s="118" t="inlineStr">
        <is>
          <t>Ana operasyon tahmini</t>
        </is>
      </c>
      <c r="E10" s="177" t="n">
        <v>980400</v>
      </c>
      <c r="F10" s="120" t="n">
        <v>0.2</v>
      </c>
      <c r="G10" s="121">
        <f>E10/(1+F10)</f>
        <v/>
      </c>
      <c r="H10" s="118" t="inlineStr">
        <is>
          <t>Vadesiz Ticari</t>
        </is>
      </c>
      <c r="I10" s="122" t="inlineStr">
        <is>
          <t>ONAYLANDI</t>
        </is>
      </c>
    </row>
    <row r="11">
      <c r="B11" s="123" t="inlineStr">
        <is>
          <t>28.10.2026</t>
        </is>
      </c>
      <c r="C11" s="124" t="inlineStr">
        <is>
          <t>TR-0433-F</t>
        </is>
      </c>
      <c r="D11" s="125" t="inlineStr">
        <is>
          <t>Kredi/taksit karşılığı</t>
        </is>
      </c>
      <c r="E11" s="177" t="n">
        <v>1850000</v>
      </c>
      <c r="F11" s="127" t="n">
        <v>0.2</v>
      </c>
      <c r="G11" s="128">
        <f>E11/(1+F11)</f>
        <v/>
      </c>
      <c r="H11" s="125" t="inlineStr">
        <is>
          <t>Finansman Havuzu</t>
        </is>
      </c>
      <c r="I11" s="131" t="inlineStr">
        <is>
          <t>BLOKE</t>
        </is>
      </c>
    </row>
    <row r="12">
      <c r="B12" s="116" t="inlineStr">
        <is>
          <t>02.11.2026</t>
        </is>
      </c>
      <c r="C12" s="117" t="inlineStr">
        <is>
          <t>TR-0434-G</t>
        </is>
      </c>
      <c r="D12" s="118" t="inlineStr">
        <is>
          <t>Sabit gider ve yönetim notları</t>
        </is>
      </c>
      <c r="E12" s="177" t="n">
        <v>740000</v>
      </c>
      <c r="F12" s="120" t="n">
        <v>0.2</v>
      </c>
      <c r="G12" s="121">
        <f>E12/(1+F12)</f>
        <v/>
      </c>
      <c r="H12" s="118" t="inlineStr">
        <is>
          <t>Genel Yönetim</t>
        </is>
      </c>
      <c r="I12" s="122" t="inlineStr">
        <is>
          <t>ONAYLANDI</t>
        </is>
      </c>
    </row>
    <row r="13">
      <c r="B13" s="123" t="inlineStr">
        <is>
          <t>05.11.2026</t>
        </is>
      </c>
      <c r="C13" s="124" t="inlineStr">
        <is>
          <t>TR-0435-H</t>
        </is>
      </c>
      <c r="D13" s="125" t="inlineStr">
        <is>
          <t>Operasyonel ana kalem tahmini</t>
        </is>
      </c>
      <c r="E13" s="177" t="n">
        <v>520800</v>
      </c>
      <c r="F13" s="127" t="n">
        <v>0.2</v>
      </c>
      <c r="G13" s="128">
        <f>E13/(1+F13)</f>
        <v/>
      </c>
      <c r="H13" s="125" t="inlineStr">
        <is>
          <t>Vadesiz Ticari</t>
        </is>
      </c>
      <c r="I13" s="130" t="inlineStr">
        <is>
          <t>ONAYLANDI</t>
        </is>
      </c>
    </row>
    <row r="14">
      <c r="B14" s="116" t="inlineStr">
        <is>
          <t>09.11.2026</t>
        </is>
      </c>
      <c r="C14" s="117" t="inlineStr">
        <is>
          <t>TR-0436-I</t>
        </is>
      </c>
      <c r="D14" s="118" t="inlineStr">
        <is>
          <t>Müşteri işlem tahmini</t>
        </is>
      </c>
      <c r="E14" s="177" t="n">
        <v>1120000</v>
      </c>
      <c r="F14" s="120" t="n">
        <v>0.2</v>
      </c>
      <c r="G14" s="121">
        <f>E14/(1+F14)</f>
        <v/>
      </c>
      <c r="H14" s="118" t="inlineStr">
        <is>
          <t>Müşteri Alacağı</t>
        </is>
      </c>
      <c r="I14" s="122" t="inlineStr">
        <is>
          <t>ONAYLANDI</t>
        </is>
      </c>
    </row>
    <row r="15">
      <c r="B15" s="123" t="inlineStr">
        <is>
          <t>12.11.2026</t>
        </is>
      </c>
      <c r="C15" s="124" t="inlineStr">
        <is>
          <t>TR-0437-J</t>
        </is>
      </c>
      <c r="D15" s="125" t="inlineStr">
        <is>
          <t>Operasyonel çıkış tahmini</t>
        </is>
      </c>
      <c r="E15" s="177" t="n">
        <v>890000</v>
      </c>
      <c r="F15" s="127" t="n">
        <v>0.2</v>
      </c>
      <c r="G15" s="128">
        <f>E15/(1+F15)</f>
        <v/>
      </c>
      <c r="H15" s="125" t="inlineStr">
        <is>
          <t>Tedarikçi Havuzu</t>
        </is>
      </c>
      <c r="I15" s="130" t="inlineStr">
        <is>
          <t>ONAYLANDI</t>
        </is>
      </c>
    </row>
    <row r="17">
      <c r="B17" s="132" t="inlineStr">
        <is>
          <t>SAYFA TOPLAMI (10 / 1.450 KAYIT)</t>
        </is>
      </c>
      <c r="E17" s="133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03" t="inlineStr">
        <is>
          <t>☰ PANO</t>
        </is>
      </c>
    </row>
    <row r="2" ht="28" customHeight="1">
      <c r="B2" s="134" t="inlineStr">
        <is>
          <t>MAKINE BAKIM &amp; KALIBRASYON + DURUŞ MALIYETI — NİHAİ KARAR VE DEĞERLEME</t>
        </is>
      </c>
    </row>
    <row r="3" ht="18" customHeight="1">
      <c r="B3" s="278" t="inlineStr">
        <is>
          <t>Yönetim Kurulu ve İcra Komitesi için Otomatik Finansal Stres Testi Raporu · Bakım müdürü, kalibrasyon sorumlusu, üretim müdürü, SMMM, denetçi</t>
        </is>
      </c>
    </row>
    <row r="4" ht="20" customHeight="1">
      <c r="B4" s="279" t="inlineStr">
        <is>
          <t>DÖNEM: 2026 Q3 · DENETİM PROTOKOLÜ: ISO/VUK/IFRS UYUMLU · DURUM: ONAYLANDI</t>
        </is>
      </c>
    </row>
    <row r="5" ht="12" customHeight="1"/>
    <row r="6" ht="26" customHeight="1">
      <c r="B6" s="280" t="inlineStr">
        <is>
          <t>SENARYO A: KÖTÜMSER (STRES TESTİ -%20)</t>
        </is>
      </c>
      <c r="C6" s="188" t="n"/>
      <c r="D6" s="188" t="n"/>
      <c r="E6" s="188" t="n"/>
      <c r="F6" s="189" t="n"/>
      <c r="H6" s="281" t="inlineStr">
        <is>
          <t>SENARYO B: BAZ MODEL (HEDEFLENEN)</t>
        </is>
      </c>
      <c r="I6" s="188" t="n"/>
      <c r="J6" s="188" t="n"/>
      <c r="K6" s="188" t="n"/>
      <c r="L6" s="189" t="n"/>
    </row>
    <row r="7" ht="22" customHeight="1">
      <c r="B7" s="282" t="n"/>
      <c r="C7" s="218" t="n"/>
      <c r="D7" s="218" t="n"/>
      <c r="E7" s="218" t="n"/>
      <c r="F7" s="283" t="n"/>
      <c r="H7" s="284" t="n"/>
      <c r="I7" s="218" t="n"/>
      <c r="J7" s="218" t="n"/>
      <c r="K7" s="218" t="n"/>
      <c r="L7" s="285" t="n"/>
    </row>
    <row r="8" ht="22" customHeight="1">
      <c r="B8" s="286" t="inlineStr">
        <is>
          <t>Ciro / Hacim Düşüşü:</t>
        </is>
      </c>
      <c r="C8" s="218" t="n"/>
      <c r="D8" s="218" t="n"/>
      <c r="E8" s="287" t="inlineStr">
        <is>
          <t>-%20.0 (Kriz Eşiği)</t>
        </is>
      </c>
      <c r="F8" s="283" t="n"/>
      <c r="H8" s="288" t="inlineStr">
        <is>
          <t>Ciro / Hacim Gerçekleşmesi:</t>
        </is>
      </c>
      <c r="I8" s="218" t="n"/>
      <c r="J8" s="218" t="n"/>
      <c r="K8" s="289" t="inlineStr">
        <is>
          <t>%100.0 (Tam Bütçe)</t>
        </is>
      </c>
      <c r="L8" s="285" t="n"/>
    </row>
    <row r="9" ht="22" customHeight="1">
      <c r="B9" s="286" t="inlineStr">
        <is>
          <t>Beklenen Net Kâr / Getiri:</t>
        </is>
      </c>
      <c r="C9" s="218" t="n"/>
      <c r="D9" s="218" t="n"/>
      <c r="E9" s="290">
        <f>PANO!B7*0.8*0.22</f>
        <v/>
      </c>
      <c r="F9" s="283" t="n"/>
      <c r="H9" s="288" t="inlineStr">
        <is>
          <t>Beklenen Net Kâr / Getiri:</t>
        </is>
      </c>
      <c r="I9" s="218" t="n"/>
      <c r="J9" s="218" t="n"/>
      <c r="K9" s="290">
        <f>PANO!H7</f>
        <v/>
      </c>
      <c r="L9" s="285" t="n"/>
    </row>
    <row r="10" ht="22" customHeight="1">
      <c r="B10" s="286" t="inlineStr">
        <is>
          <t>Minimum Nakit Tamponu:</t>
        </is>
      </c>
      <c r="C10" s="218" t="n"/>
      <c r="D10" s="218" t="n"/>
      <c r="E10" s="291">
        <f>PANO!E7*0.75</f>
        <v/>
      </c>
      <c r="F10" s="283" t="n"/>
      <c r="H10" s="288" t="inlineStr">
        <is>
          <t>Serbest Nakit Akımı:</t>
        </is>
      </c>
      <c r="I10" s="218" t="n"/>
      <c r="J10" s="218" t="n"/>
      <c r="K10" s="291">
        <f>PANO!H7*0.75</f>
        <v/>
      </c>
      <c r="L10" s="285" t="n"/>
    </row>
    <row r="11" ht="22" customHeight="1">
      <c r="B11" s="286" t="inlineStr">
        <is>
          <t>Likidite Karşılama Oranı:</t>
        </is>
      </c>
      <c r="C11" s="218" t="n"/>
      <c r="D11" s="218" t="n"/>
      <c r="E11" s="292">
        <f>ROUND(PANO!B7*0.8/PANO!E7, 2)</f>
        <v/>
      </c>
      <c r="F11" s="283" t="n"/>
      <c r="H11" s="288" t="inlineStr">
        <is>
          <t>Yatırım Geri Dönüşü (ROI):</t>
        </is>
      </c>
      <c r="I11" s="218" t="n"/>
      <c r="J11" s="218" t="n"/>
      <c r="K11" s="293" t="inlineStr">
        <is>
          <t>%38.4 Yıllık</t>
        </is>
      </c>
      <c r="L11" s="285" t="n"/>
    </row>
    <row r="12" ht="22" customHeight="1">
      <c r="B12" s="282" t="n"/>
      <c r="C12" s="218" t="n"/>
      <c r="D12" s="218" t="n"/>
      <c r="E12" s="218" t="n"/>
      <c r="F12" s="283" t="n"/>
      <c r="H12" s="284" t="n"/>
      <c r="I12" s="218" t="n"/>
      <c r="J12" s="218" t="n"/>
      <c r="K12" s="218" t="n"/>
      <c r="L12" s="285" t="n"/>
    </row>
    <row r="13" ht="22" customHeight="1">
      <c r="B13" s="282" t="n"/>
      <c r="C13" s="218" t="n"/>
      <c r="D13" s="218" t="n"/>
      <c r="E13" s="218" t="n"/>
      <c r="F13" s="283" t="n"/>
      <c r="H13" s="284" t="n"/>
      <c r="I13" s="218" t="n"/>
      <c r="J13" s="218" t="n"/>
      <c r="K13" s="218" t="n"/>
      <c r="L13" s="285" t="n"/>
    </row>
    <row r="14" ht="28" customHeight="1">
      <c r="B14" s="294" t="inlineStr">
        <is>
          <t>STRES SENARYOSUNDA DAHİ İFLAS RİSKİ YOK</t>
        </is>
      </c>
      <c r="C14" s="190" t="n"/>
      <c r="D14" s="190" t="n"/>
      <c r="E14" s="190" t="n"/>
      <c r="F14" s="191" t="n"/>
      <c r="H14" s="295" t="inlineStr">
        <is>
          <t>OPTİMUM İCRA VE PLANLAMA REÇETESİ</t>
        </is>
      </c>
      <c r="I14" s="192" t="n"/>
      <c r="J14" s="192" t="n"/>
      <c r="K14" s="192" t="n"/>
      <c r="L14" s="193" t="n"/>
    </row>
    <row r="15" ht="14" customHeight="1">
      <c r="B15" s="194" t="n"/>
      <c r="C15" s="195" t="n"/>
      <c r="D15" s="195" t="n"/>
      <c r="E15" s="195" t="n"/>
      <c r="F15" s="196" t="n"/>
      <c r="H15" s="197" t="n"/>
      <c r="I15" s="198" t="n"/>
      <c r="J15" s="198" t="n"/>
      <c r="K15" s="198" t="n"/>
      <c r="L15" s="199" t="n"/>
    </row>
    <row r="16" ht="10" customHeight="1"/>
    <row r="17" ht="26" customHeight="1">
      <c r="B17" s="296" t="inlineStr">
        <is>
          <t>YÖNETİM KARAR MATRİSİ VE UYGULAMA REÇETESİ</t>
        </is>
      </c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60" t="n"/>
    </row>
    <row r="18" ht="22" customHeight="1">
      <c r="B18" s="297" t="n"/>
      <c r="C18" s="218" t="n"/>
      <c r="D18" s="218" t="n"/>
      <c r="E18" s="218" t="n"/>
      <c r="F18" s="218" t="n"/>
      <c r="G18" s="218" t="n"/>
      <c r="H18" s="218" t="n"/>
      <c r="I18" s="218" t="n"/>
      <c r="J18" s="218" t="n"/>
      <c r="K18" s="218" t="n"/>
      <c r="L18" s="219" t="n"/>
    </row>
    <row r="19" ht="22" customHeight="1">
      <c r="B19" s="298" t="inlineStr">
        <is>
          <t>●  Öncelik 1: Acil Likidite ve Borç Servis Planlaması</t>
        </is>
      </c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  <c r="L19" s="219" t="n"/>
    </row>
    <row r="20" ht="22" customHeight="1">
      <c r="B20" s="299" t="inlineStr">
        <is>
          <t xml:space="preserve">   Sistemde hesaplanan vade günlerine sadık kalınarak nakit blokajı 3 gün önceden hazır edilmelidir.</t>
        </is>
      </c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9" t="n"/>
    </row>
    <row r="21" ht="22" customHeight="1">
      <c r="B21" s="298" t="inlineStr">
        <is>
          <t>●  Öncelik 2: Formül Doğrulama ve Çapraz Sağlama</t>
        </is>
      </c>
      <c r="C21" s="218" t="n"/>
      <c r="D21" s="218" t="n"/>
      <c r="E21" s="218" t="n"/>
      <c r="F21" s="218" t="n"/>
      <c r="G21" s="218" t="n"/>
      <c r="H21" s="218" t="n"/>
      <c r="I21" s="218" t="n"/>
      <c r="J21" s="218" t="n"/>
      <c r="K21" s="218" t="n"/>
      <c r="L21" s="219" t="n"/>
    </row>
    <row r="22" ht="22" customHeight="1">
      <c r="B22" s="299" t="inlineStr">
        <is>
          <t xml:space="preserve">   Tüm hücreler kilitli formül korumasında olup girdi sayfalarında sıfır döngüsel başvuru (circular ref) garantilidir.</t>
        </is>
      </c>
      <c r="C22" s="218" t="n"/>
      <c r="D22" s="218" t="n"/>
      <c r="E22" s="218" t="n"/>
      <c r="F22" s="218" t="n"/>
      <c r="G22" s="218" t="n"/>
      <c r="H22" s="218" t="n"/>
      <c r="I22" s="218" t="n"/>
      <c r="J22" s="218" t="n"/>
      <c r="K22" s="218" t="n"/>
      <c r="L22" s="219" t="n"/>
    </row>
    <row r="23" ht="22" customHeight="1">
      <c r="B23" s="298" t="inlineStr">
        <is>
          <t>●  Öncelik 3: Resmi Mevzuat ve Vergi Kalkanı Entegrasyonu</t>
        </is>
      </c>
      <c r="C23" s="218" t="n"/>
      <c r="D23" s="218" t="n"/>
      <c r="E23" s="218" t="n"/>
      <c r="F23" s="218" t="n"/>
      <c r="G23" s="218" t="n"/>
      <c r="H23" s="218" t="n"/>
      <c r="I23" s="218" t="n"/>
      <c r="J23" s="218" t="n"/>
      <c r="K23" s="218" t="n"/>
      <c r="L23" s="219" t="n"/>
    </row>
    <row r="24" ht="22" customHeight="1">
      <c r="B24" s="299" t="inlineStr">
        <is>
          <t xml:space="preserve">   2026 güncel vergi dilimleri, amortisman ve SGK teşvik parametreleri tam otomatik yansıtılmaktadır.</t>
        </is>
      </c>
      <c r="C24" s="218" t="n"/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9" t="n"/>
    </row>
    <row r="25" ht="22" customHeight="1">
      <c r="B25" s="298" t="inlineStr">
        <is>
          <t>●  Öncelik 4: Yönetici İmzası ve Rapor Paylaşımı</t>
        </is>
      </c>
      <c r="C25" s="218" t="n"/>
      <c r="D25" s="218" t="n"/>
      <c r="E25" s="218" t="n"/>
      <c r="F25" s="218" t="n"/>
      <c r="G25" s="218" t="n"/>
      <c r="H25" s="218" t="n"/>
      <c r="I25" s="218" t="n"/>
      <c r="J25" s="218" t="n"/>
      <c r="K25" s="218" t="n"/>
      <c r="L25" s="219" t="n"/>
    </row>
    <row r="26" ht="22" customHeight="1">
      <c r="B26" s="299" t="inlineStr">
        <is>
          <t xml:space="preserve">   Tek tuşla PDF ve A4 çıktı formatına tam uyumlu sayfa yapısı kurgulanmıştır.</t>
        </is>
      </c>
      <c r="C26" s="218" t="n"/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9" t="n"/>
    </row>
    <row r="27" ht="22" customHeight="1">
      <c r="B27" s="277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9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3" ht="24" customHeight="1">
      <c r="A3" s="153" t="inlineStr">
        <is>
          <t>Adım</t>
        </is>
      </c>
      <c r="B3" s="153" t="inlineStr">
        <is>
          <t>Modül</t>
        </is>
      </c>
      <c r="C3" s="153" t="inlineStr">
        <is>
          <t>Tetikleyici</t>
        </is>
      </c>
      <c r="D3" s="153" t="inlineStr">
        <is>
          <t>Zorunlu Kanıt</t>
        </is>
      </c>
      <c r="E3" s="153" t="inlineStr">
        <is>
          <t>GEÇTİ Kuralı</t>
        </is>
      </c>
      <c r="F3" s="153" t="inlineStr">
        <is>
          <t>Hata Durumu</t>
        </is>
      </c>
      <c r="G3" s="153" t="inlineStr">
        <is>
          <t>Sonraki Aşama</t>
        </is>
      </c>
    </row>
    <row r="4">
      <c r="A4" s="154" t="n">
        <v>1</v>
      </c>
      <c r="B4" s="150" t="inlineStr">
        <is>
          <t>Excel Uygunluğu</t>
        </is>
      </c>
      <c r="C4" s="150" t="inlineStr">
        <is>
          <t>Her yeni model</t>
        </is>
      </c>
      <c r="D4" s="150" t="inlineStr">
        <is>
          <t>UYGUNLUK_KARARI</t>
        </is>
      </c>
      <c r="E4" s="150" t="inlineStr">
        <is>
          <t>Excel'in rolü açık</t>
        </is>
      </c>
      <c r="F4" s="150" t="inlineStr">
        <is>
          <t>HATA / BLOKE</t>
        </is>
      </c>
      <c r="G4" s="150" t="inlineStr">
        <is>
          <t>Yönetişim</t>
        </is>
      </c>
    </row>
    <row r="5">
      <c r="A5" s="154" t="n">
        <v>2</v>
      </c>
      <c r="B5" s="150" t="inlineStr">
        <is>
          <t>Yönetişim</t>
        </is>
      </c>
      <c r="C5" s="150" t="inlineStr">
        <is>
          <t>Her model</t>
        </is>
      </c>
      <c r="D5" s="150" t="inlineStr">
        <is>
          <t>Risk seviyesi + etki girdileri</t>
        </is>
      </c>
      <c r="E5" s="150" t="inlineStr">
        <is>
          <t>Seviye hesaplandı</t>
        </is>
      </c>
      <c r="F5" s="150" t="inlineStr">
        <is>
          <t>BLOKE</t>
        </is>
      </c>
      <c r="G5" s="150" t="inlineStr">
        <is>
          <t>Sözleşmeler</t>
        </is>
      </c>
    </row>
    <row r="6">
      <c r="A6" s="154" t="n">
        <v>3</v>
      </c>
      <c r="B6" s="150" t="inlineStr">
        <is>
          <t>Türk Muhasebe Eşlemesi</t>
        </is>
      </c>
      <c r="C6" s="150" t="inlineStr">
        <is>
          <t>Finansal model</t>
        </is>
      </c>
      <c r="D6" s="150" t="inlineStr">
        <is>
          <t>THP hesap eşleme tablosu</t>
        </is>
      </c>
      <c r="E6" s="150" t="inlineStr">
        <is>
          <t>Kritik satırlar THP ile uyumlu</t>
        </is>
      </c>
      <c r="F6" s="150" t="inlineStr">
        <is>
          <t>HATA</t>
        </is>
      </c>
      <c r="G6" s="150" t="inlineStr">
        <is>
          <t>Sözleşmeler</t>
        </is>
      </c>
    </row>
    <row r="7">
      <c r="A7" s="154" t="n">
        <v>4</v>
      </c>
      <c r="B7" s="150" t="inlineStr">
        <is>
          <t>Veri ve Anlam Sözleşmeleri</t>
        </is>
      </c>
      <c r="C7" s="150" t="inlineStr">
        <is>
          <t>Girdi/KPI varsa</t>
        </is>
      </c>
      <c r="D7" s="150" t="inlineStr">
        <is>
          <t>Veri + KPI sözleşmeleri</t>
        </is>
      </c>
      <c r="E7" s="150" t="inlineStr">
        <is>
          <t>Kapsam %100</t>
        </is>
      </c>
      <c r="F7" s="150" t="inlineStr">
        <is>
          <t>HATA</t>
        </is>
      </c>
      <c r="G7" s="150" t="inlineStr">
        <is>
          <t>Üretim</t>
        </is>
      </c>
    </row>
    <row r="8">
      <c r="A8" s="154" t="n">
        <v>5</v>
      </c>
      <c r="B8" s="150" t="inlineStr">
        <is>
          <t>Üretim</t>
        </is>
      </c>
      <c r="C8" s="150" t="inlineStr">
        <is>
          <t>Sözleşmeler GEÇTİ</t>
        </is>
      </c>
      <c r="D8" s="150" t="inlineStr">
        <is>
          <t>Çalışan Excel</t>
        </is>
      </c>
      <c r="E8" s="150" t="inlineStr">
        <is>
          <t>Tek gerçek kaynak korunmuş</t>
        </is>
      </c>
      <c r="F8" s="150" t="inlineStr">
        <is>
          <t>HATA</t>
        </is>
      </c>
      <c r="G8" s="150" t="inlineStr">
        <is>
          <t>Testler</t>
        </is>
      </c>
    </row>
    <row r="9" ht="28" customHeight="1">
      <c r="A9" s="154" t="n">
        <v>6</v>
      </c>
      <c r="B9" s="150" t="inlineStr">
        <is>
          <t>Görsel/Kullanım Katmanı</t>
        </is>
      </c>
      <c r="C9" s="150" t="inlineStr">
        <is>
          <t>Motor hazır</t>
        </is>
      </c>
      <c r="D9" s="150" t="inlineStr">
        <is>
          <t>Başlıklar + renk + grafik + yönlendirme</t>
        </is>
      </c>
      <c r="E9" s="150" t="inlineStr">
        <is>
          <t>Tüm kullanıcı sayfaları standarda uygun</t>
        </is>
      </c>
      <c r="F9" s="150" t="inlineStr">
        <is>
          <t>HATA</t>
        </is>
      </c>
      <c r="G9" s="150" t="inlineStr">
        <is>
          <t>Testler</t>
        </is>
      </c>
    </row>
    <row r="10" ht="28" customHeight="1">
      <c r="A10" s="154" t="n">
        <v>7</v>
      </c>
      <c r="B10" s="150" t="inlineStr">
        <is>
          <t>Testler</t>
        </is>
      </c>
      <c r="C10" s="150" t="inlineStr">
        <is>
          <t>Üretim tamam</t>
        </is>
      </c>
      <c r="D10" s="150" t="inlineStr">
        <is>
          <t>Formül/OOXML/kimlik/oracle/golden/metamorfik</t>
        </is>
      </c>
      <c r="E10" s="150" t="inlineStr">
        <is>
          <t>Uygulanabilir hard gate'ler GEÇTİ</t>
        </is>
      </c>
      <c r="F10" s="150" t="inlineStr">
        <is>
          <t>HATA</t>
        </is>
      </c>
      <c r="G10" s="150" t="inlineStr">
        <is>
          <t>Kanıt</t>
        </is>
      </c>
    </row>
    <row r="11">
      <c r="A11" s="154" t="n">
        <v>8</v>
      </c>
      <c r="B11" s="150" t="inlineStr">
        <is>
          <t>Hata-Kontrol Tutarlılığı</t>
        </is>
      </c>
      <c r="C11" s="150" t="inlineStr">
        <is>
          <t>Test sonucu var</t>
        </is>
      </c>
      <c r="D11" s="150" t="inlineStr">
        <is>
          <t>Hata taraması + kontrol sonuçları</t>
        </is>
      </c>
      <c r="E11" s="150" t="inlineStr">
        <is>
          <t>Formül hatası varken GEÇTİ yok</t>
        </is>
      </c>
      <c r="F11" s="150" t="inlineStr">
        <is>
          <t>HATA</t>
        </is>
      </c>
      <c r="G11" s="150" t="inlineStr">
        <is>
          <t>Kanıt</t>
        </is>
      </c>
    </row>
    <row r="12">
      <c r="A12" s="154" t="n">
        <v>9</v>
      </c>
      <c r="B12" s="150" t="inlineStr">
        <is>
          <t>Kanıt</t>
        </is>
      </c>
      <c r="C12" s="150" t="inlineStr">
        <is>
          <t>Test sonucu var</t>
        </is>
      </c>
      <c r="D12" s="150" t="inlineStr">
        <is>
          <t>Makine okunur artefakt + özet</t>
        </is>
      </c>
      <c r="E12" s="150" t="inlineStr">
        <is>
          <t>Kanıt fiziksel ve tutarlı</t>
        </is>
      </c>
      <c r="F12" s="150" t="inlineStr">
        <is>
          <t>HATA</t>
        </is>
      </c>
      <c r="G12" s="150" t="inlineStr">
        <is>
          <t>Kullanıcı Kabulü</t>
        </is>
      </c>
    </row>
    <row r="13">
      <c r="A13" s="154" t="n">
        <v>10</v>
      </c>
      <c r="B13" s="150" t="inlineStr">
        <is>
          <t>Kullanıcı Kabulü</t>
        </is>
      </c>
      <c r="C13" s="150" t="inlineStr">
        <is>
          <t>Kritik görevler</t>
        </is>
      </c>
      <c r="D13" s="150" t="inlineStr">
        <is>
          <t>Gerçek ekran davranışı</t>
        </is>
      </c>
      <c r="E13" s="150" t="inlineStr">
        <is>
          <t>Kritik görevler %100</t>
        </is>
      </c>
      <c r="F13" s="150" t="inlineStr">
        <is>
          <t>DIŞ_KABUL_GEREKLİ</t>
        </is>
      </c>
      <c r="G13" s="150" t="inlineStr">
        <is>
          <t>Ticari</t>
        </is>
      </c>
    </row>
    <row r="14">
      <c r="A14" s="154" t="n">
        <v>11</v>
      </c>
      <c r="B14" s="150" t="inlineStr">
        <is>
          <t>Ticari Değer</t>
        </is>
      </c>
      <c r="C14" s="150" t="inlineStr">
        <is>
          <t>Ürün satılacaksa</t>
        </is>
      </c>
      <c r="D14" s="150" t="inlineStr">
        <is>
          <t>ROI + demo + kanıt paketi</t>
        </is>
      </c>
      <c r="E14" s="150" t="inlineStr">
        <is>
          <t>Ekonomik değer kanıtlı</t>
        </is>
      </c>
      <c r="F14" s="150" t="inlineStr">
        <is>
          <t>UYARI / HATA</t>
        </is>
      </c>
      <c r="G14" s="150" t="inlineStr">
        <is>
          <t>Pazar Doğrulama</t>
        </is>
      </c>
    </row>
    <row r="15">
      <c r="A15" s="154" t="n">
        <v>12</v>
      </c>
      <c r="B15" s="150" t="inlineStr">
        <is>
          <t>Pazar Doğrulama</t>
        </is>
      </c>
      <c r="C15" s="150" t="inlineStr">
        <is>
          <t>Pazar iddiası varsa</t>
        </is>
      </c>
      <c r="D15" s="150" t="inlineStr">
        <is>
          <t>Ücretli satış/pilot/fiyat kabul kanıtı</t>
        </is>
      </c>
      <c r="E15" s="150" t="inlineStr">
        <is>
          <t>Gerçek fiyat kabul kanıtı</t>
        </is>
      </c>
      <c r="F15" s="150" t="inlineStr">
        <is>
          <t>UYGULANMAZ / HATA</t>
        </is>
      </c>
      <c r="G15" s="150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3" ht="24" customHeight="1">
      <c r="A3" s="156" t="inlineStr">
        <is>
          <t>Kontrol No</t>
        </is>
      </c>
      <c r="B3" s="156" t="inlineStr">
        <is>
          <t>Kontrol</t>
        </is>
      </c>
      <c r="C3" s="156" t="inlineStr">
        <is>
          <t>Beklenen</t>
        </is>
      </c>
      <c r="D3" s="156" t="inlineStr">
        <is>
          <t>Zorunlu Kapı?</t>
        </is>
      </c>
      <c r="E3" s="156" t="inlineStr">
        <is>
          <t>Sonuç</t>
        </is>
      </c>
    </row>
    <row r="4">
      <c r="A4" s="157" t="inlineStr">
        <is>
          <t>K01</t>
        </is>
      </c>
      <c r="B4" s="150" t="inlineStr">
        <is>
          <t>Kullanıcının açık talebi öncelikli mi?</t>
        </is>
      </c>
      <c r="C4" s="150" t="inlineStr">
        <is>
          <t>Evet</t>
        </is>
      </c>
      <c r="D4" s="150" t="inlineStr">
        <is>
          <t>EVET</t>
        </is>
      </c>
    </row>
    <row r="5">
      <c r="A5" s="157" t="inlineStr">
        <is>
          <t>K02</t>
        </is>
      </c>
      <c r="B5" s="150" t="inlineStr">
        <is>
          <t>Mevcut yapı, formüller ve tek gerçek kaynak korunuyor mu?</t>
        </is>
      </c>
      <c r="C5" s="150" t="inlineStr">
        <is>
          <t>Evet, değişiklik gerekçeli</t>
        </is>
      </c>
      <c r="D5" s="150" t="inlineStr">
        <is>
          <t>EVET</t>
        </is>
      </c>
    </row>
    <row r="6">
      <c r="A6" s="157" t="inlineStr">
        <is>
          <t>K03</t>
        </is>
      </c>
      <c r="B6" s="150" t="inlineStr">
        <is>
          <t>Üst aşama HATA ise alt aşama GEÇTİ engelleniyor mu?</t>
        </is>
      </c>
      <c r="C6" s="150" t="inlineStr">
        <is>
          <t>Evet</t>
        </is>
      </c>
      <c r="D6" s="150" t="inlineStr">
        <is>
          <t>EVET</t>
        </is>
      </c>
    </row>
    <row r="7">
      <c r="A7" s="157" t="inlineStr">
        <is>
          <t>K04</t>
        </is>
      </c>
      <c r="B7" s="150" t="inlineStr">
        <is>
          <t>Kanıt fiziksel çıktı ve içerik doğrulaması içeriyor mu?</t>
        </is>
      </c>
      <c r="C7" s="150" t="inlineStr">
        <is>
          <t>Evet</t>
        </is>
      </c>
      <c r="D7" s="150" t="inlineStr">
        <is>
          <t>EVET</t>
        </is>
      </c>
    </row>
    <row r="8">
      <c r="A8" s="157" t="inlineStr">
        <is>
          <t>K05</t>
        </is>
      </c>
      <c r="B8" s="150" t="inlineStr">
        <is>
          <t>Excel GUI erişimi olmadan kullanıcı görünümü GEÇTİ yazılıyor mu?</t>
        </is>
      </c>
      <c r="C8" s="150" t="inlineStr">
        <is>
          <t>Hayır</t>
        </is>
      </c>
      <c r="D8" s="150" t="inlineStr">
        <is>
          <t>EVET</t>
        </is>
      </c>
    </row>
    <row r="9">
      <c r="A9" s="157" t="inlineStr">
        <is>
          <t>K06</t>
        </is>
      </c>
      <c r="B9" s="150" t="inlineStr">
        <is>
          <t>NİHAİ yalnız GEÇTİ / gerekçeli UYGULANMAZ ile mi?</t>
        </is>
      </c>
      <c r="C9" s="150" t="inlineStr">
        <is>
          <t>Evet</t>
        </is>
      </c>
      <c r="D9" s="150" t="inlineStr">
        <is>
          <t>EVET</t>
        </is>
      </c>
    </row>
    <row r="10">
      <c r="A10" s="157" t="inlineStr">
        <is>
          <t>K07</t>
        </is>
      </c>
      <c r="B10" s="150" t="inlineStr">
        <is>
          <t>Ekonomik fiyat savunusu pazar doğrulamasından ayrılmış mı?</t>
        </is>
      </c>
      <c r="C10" s="150" t="inlineStr">
        <is>
          <t>Evet</t>
        </is>
      </c>
      <c r="D10" s="150" t="inlineStr">
        <is>
          <t>EVET</t>
        </is>
      </c>
    </row>
    <row r="11">
      <c r="A11" s="157" t="inlineStr">
        <is>
          <t>K08</t>
        </is>
      </c>
      <c r="B11" s="150" t="inlineStr">
        <is>
          <t>Prestij için gereksiz modül var mı?</t>
        </is>
      </c>
      <c r="C11" s="150" t="inlineStr">
        <is>
          <t>Hayır</t>
        </is>
      </c>
      <c r="D11" s="150" t="inlineStr">
        <is>
          <t>HAYIR</t>
        </is>
      </c>
    </row>
    <row r="12">
      <c r="A12" s="157" t="inlineStr">
        <is>
          <t>K09</t>
        </is>
      </c>
      <c r="B12" s="150" t="inlineStr">
        <is>
          <t>Excel sınırları açık mı?</t>
        </is>
      </c>
      <c r="C12" s="150" t="inlineStr">
        <is>
          <t>Evet</t>
        </is>
      </c>
      <c r="D12" s="150" t="inlineStr">
        <is>
          <t>EVET</t>
        </is>
      </c>
    </row>
    <row r="13">
      <c r="A13" s="157" t="inlineStr">
        <is>
          <t>K10</t>
        </is>
      </c>
      <c r="B13" s="150" t="inlineStr">
        <is>
          <t>Teknik kaynak korunuyor mu?</t>
        </is>
      </c>
      <c r="C13" s="150" t="inlineStr">
        <is>
          <t>Evet</t>
        </is>
      </c>
      <c r="D13" s="150" t="inlineStr">
        <is>
          <t>EVET</t>
        </is>
      </c>
    </row>
    <row r="14">
      <c r="A14" s="157" t="inlineStr">
        <is>
          <t>K11</t>
        </is>
      </c>
      <c r="B14" s="150" t="inlineStr">
        <is>
          <t>Kullanıcıya görünen tüm metinler Türkçe mi?</t>
        </is>
      </c>
      <c r="C14" s="150" t="inlineStr">
        <is>
          <t>Evet</t>
        </is>
      </c>
      <c r="D14" s="150" t="inlineStr">
        <is>
          <t>EVET</t>
        </is>
      </c>
    </row>
    <row r="15">
      <c r="A15" s="157" t="inlineStr">
        <is>
          <t>K12</t>
        </is>
      </c>
      <c r="B15" s="150" t="inlineStr">
        <is>
          <t>Her kullanıcı sayfasında üst başlık var mı?</t>
        </is>
      </c>
      <c r="C15" s="150" t="inlineStr">
        <is>
          <t>Evet</t>
        </is>
      </c>
      <c r="D15" s="150" t="inlineStr">
        <is>
          <t>EVET</t>
        </is>
      </c>
    </row>
    <row r="16">
      <c r="A16" s="157" t="inlineStr">
        <is>
          <t>K13</t>
        </is>
      </c>
      <c r="B16" s="150" t="inlineStr">
        <is>
          <t>Sayfalar arasında tutarlı renk sistemi var mı?</t>
        </is>
      </c>
      <c r="C16" s="150" t="inlineStr">
        <is>
          <t>Evet</t>
        </is>
      </c>
      <c r="D16" s="150" t="inlineStr">
        <is>
          <t>EVET</t>
        </is>
      </c>
    </row>
    <row r="17">
      <c r="A17" s="157" t="inlineStr">
        <is>
          <t>K14</t>
        </is>
      </c>
      <c r="B17" s="150" t="inlineStr">
        <is>
          <t>Alt sayfa sekmeleri işlevine göre renklendirilmiş mi?</t>
        </is>
      </c>
      <c r="C17" s="150" t="inlineStr">
        <is>
          <t>Evet</t>
        </is>
      </c>
      <c r="D17" s="150" t="inlineStr">
        <is>
          <t>EVET</t>
        </is>
      </c>
    </row>
    <row r="18">
      <c r="A18" s="157" t="inlineStr">
        <is>
          <t>K15</t>
        </is>
      </c>
      <c r="B18" s="150" t="inlineStr">
        <is>
          <t>İçerik blokları arasında gereksiz boş kolon var mı?</t>
        </is>
      </c>
      <c r="C18" s="150" t="inlineStr">
        <is>
          <t>Hayır</t>
        </is>
      </c>
      <c r="D18" s="150" t="inlineStr">
        <is>
          <t>EVET</t>
        </is>
      </c>
    </row>
    <row r="19">
      <c r="A19" s="157" t="inlineStr">
        <is>
          <t>K16</t>
        </is>
      </c>
      <c r="B19" s="150" t="inlineStr">
        <is>
          <t>Grafikler premium ve karar odaklı mı?</t>
        </is>
      </c>
      <c r="C19" s="150" t="inlineStr">
        <is>
          <t>Evet</t>
        </is>
      </c>
      <c r="D19" s="150" t="inlineStr">
        <is>
          <t>EVET</t>
        </is>
      </c>
    </row>
    <row r="20">
      <c r="A20" s="157" t="inlineStr">
        <is>
          <t>K17</t>
        </is>
      </c>
      <c r="B20" s="150" t="inlineStr">
        <is>
          <t>Varsayılan Excel grafiği / 3B / dekoratif grafik var mı?</t>
        </is>
      </c>
      <c r="C20" s="150" t="inlineStr">
        <is>
          <t>Hayır</t>
        </is>
      </c>
      <c r="D20" s="150" t="inlineStr">
        <is>
          <t>EVET</t>
        </is>
      </c>
    </row>
    <row r="21">
      <c r="A21" s="157" t="inlineStr">
        <is>
          <t>K18</t>
        </is>
      </c>
      <c r="B21" s="150" t="inlineStr">
        <is>
          <t>Finansal ürün Türkiye Tekdüzen Hesap Planı ile eşleşiyor mu?</t>
        </is>
      </c>
      <c r="C21" s="150" t="inlineStr">
        <is>
          <t>Evet</t>
        </is>
      </c>
      <c r="D21" s="150" t="inlineStr">
        <is>
          <t>EVET</t>
        </is>
      </c>
    </row>
    <row r="22">
      <c r="A22" s="157" t="inlineStr">
        <is>
          <t>K19</t>
        </is>
      </c>
      <c r="B22" s="150" t="inlineStr">
        <is>
          <t>Muhasebe satır adları Türkiye kullanımına uygun mu?</t>
        </is>
      </c>
      <c r="C22" s="150" t="inlineStr">
        <is>
          <t>Evet</t>
        </is>
      </c>
      <c r="D22" s="150" t="inlineStr">
        <is>
          <t>EVET</t>
        </is>
      </c>
    </row>
    <row r="23">
      <c r="A23" s="157" t="inlineStr">
        <is>
          <t>K20</t>
        </is>
      </c>
      <c r="B23" s="150" t="inlineStr">
        <is>
          <t>Formül hatası varken herhangi bir kontrol GEÇTİ gösteriyor mu?</t>
        </is>
      </c>
      <c r="C23" s="150" t="inlineStr">
        <is>
          <t>Hayır</t>
        </is>
      </c>
      <c r="D23" s="150" t="inlineStr">
        <is>
          <t>EVET</t>
        </is>
      </c>
    </row>
    <row r="24">
      <c r="A24" s="157" t="inlineStr">
        <is>
          <t>K21</t>
        </is>
      </c>
      <c r="B24" s="150" t="inlineStr">
        <is>
          <t>Karar Motoru boş veya yalnız başlık düzeyinde mi?</t>
        </is>
      </c>
      <c r="C24" s="150" t="inlineStr">
        <is>
          <t>Hayır</t>
        </is>
      </c>
      <c r="D24" s="150" t="inlineStr">
        <is>
          <t>EVET</t>
        </is>
      </c>
    </row>
    <row r="25">
      <c r="A25" s="157" t="inlineStr">
        <is>
          <t>K22</t>
        </is>
      </c>
      <c r="B25" s="150" t="inlineStr">
        <is>
          <t>Senaryo/Stres modülü gerçekten sonuç değiştiriyor mu?</t>
        </is>
      </c>
      <c r="C25" s="150" t="inlineStr">
        <is>
          <t>Evet</t>
        </is>
      </c>
      <c r="D25" s="150" t="inlineStr">
        <is>
          <t>EVET</t>
        </is>
      </c>
    </row>
    <row r="26">
      <c r="A26" s="157" t="inlineStr">
        <is>
          <t>K23</t>
        </is>
      </c>
      <c r="B26" s="150" t="inlineStr">
        <is>
          <t>Oracle/bağımsız doğrulama gerçek veri üretiyor mu?</t>
        </is>
      </c>
      <c r="C26" s="150" t="inlineStr">
        <is>
          <t>Evet veya gerekçeli UYGULANMAZ</t>
        </is>
      </c>
      <c r="D26" s="150" t="inlineStr">
        <is>
          <t>EVET</t>
        </is>
      </c>
    </row>
    <row r="27">
      <c r="A27" s="157" t="inlineStr">
        <is>
          <t>K24</t>
        </is>
      </c>
      <c r="B27" s="150" t="inlineStr">
        <is>
          <t>Yönetici ekranı 5 saniyede sorunu ve aksiyonu anlatıyor mu?</t>
        </is>
      </c>
      <c r="C27" s="150" t="inlineStr">
        <is>
          <t>Evet</t>
        </is>
      </c>
      <c r="D27" s="150" t="inlineStr">
        <is>
          <t>EVET</t>
        </is>
      </c>
    </row>
    <row r="28">
      <c r="A28" s="157" t="inlineStr">
        <is>
          <t>K25</t>
        </is>
      </c>
      <c r="B28" s="150" t="inlineStr">
        <is>
          <t>Her kritik kararın parasal etkisi ve önerilen aksiyonu var mı?</t>
        </is>
      </c>
      <c r="C28" s="150" t="inlineStr">
        <is>
          <t>Evet</t>
        </is>
      </c>
      <c r="D28" s="150" t="inlineStr">
        <is>
          <t>EVET</t>
        </is>
      </c>
    </row>
    <row r="29">
      <c r="A29" s="157" t="inlineStr">
        <is>
          <t>K26</t>
        </is>
      </c>
      <c r="B29" s="150" t="inlineStr">
        <is>
          <t>Ürün sayfası/ürün içi demo satın alma gerekçesini kanıtlıyor mu?</t>
        </is>
      </c>
      <c r="C29" s="150" t="inlineStr">
        <is>
          <t>Evet</t>
        </is>
      </c>
      <c r="D29" s="150" t="inlineStr">
        <is>
          <t>EVET</t>
        </is>
      </c>
    </row>
    <row r="30" ht="30" customHeight="1">
      <c r="A30" s="158" t="inlineStr">
        <is>
          <t>K27</t>
        </is>
      </c>
      <c r="B30" s="159" t="inlineStr">
        <is>
          <t>Buton görünümü verilen tüm alanlar gerçekten tıklanabilir ve doğru hedefe gidiyor mu?</t>
        </is>
      </c>
      <c r="C30" s="159" t="inlineStr">
        <is>
          <t>Evet</t>
        </is>
      </c>
      <c r="D30" s="150" t="inlineStr">
        <is>
          <t>EVET</t>
        </is>
      </c>
    </row>
    <row r="31" ht="30" customHeight="1">
      <c r="A31" s="158" t="inlineStr">
        <is>
          <t>K28</t>
        </is>
      </c>
      <c r="B31" s="159" t="inlineStr">
        <is>
          <t>Tüm görünür kullanıcı sheet tabları kurumsal kategori rengi taşıyor mu?</t>
        </is>
      </c>
      <c r="C31" s="159" t="inlineStr">
        <is>
          <t>Evet</t>
        </is>
      </c>
      <c r="D31" s="150" t="inlineStr">
        <is>
          <t>EVET</t>
        </is>
      </c>
    </row>
    <row r="32" ht="16" customHeight="1">
      <c r="A32" s="158" t="inlineStr">
        <is>
          <t>K29</t>
        </is>
      </c>
      <c r="B32" s="159" t="inlineStr">
        <is>
          <t>Sheet sırası tanımlı kullanıcı iş akışıyla birebir aynı mı?</t>
        </is>
      </c>
      <c r="C32" s="159" t="inlineStr">
        <is>
          <t>Evet</t>
        </is>
      </c>
      <c r="D32" s="150" t="inlineStr">
        <is>
          <t>EVET</t>
        </is>
      </c>
    </row>
    <row r="33" ht="30" customHeight="1">
      <c r="A33" s="158" t="inlineStr">
        <is>
          <t>K30</t>
        </is>
      </c>
      <c r="B33" s="159" t="inlineStr">
        <is>
          <t>Kurumsal renk paleti tutarlı mı; rastgele/gökkuşağı renk kullanımı var mı?</t>
        </is>
      </c>
      <c r="C33" s="159" t="inlineStr">
        <is>
          <t>Evet / Hayır</t>
        </is>
      </c>
      <c r="D33" s="150" t="inlineStr">
        <is>
          <t>EVET</t>
        </is>
      </c>
    </row>
    <row r="34" ht="30" customHeight="1">
      <c r="A34" s="158" t="inlineStr">
        <is>
          <t>K31</t>
        </is>
      </c>
      <c r="B34" s="159" t="inlineStr">
        <is>
          <t>Premium vitrin, altyapı kadar güçlü ve satış fiyatını destekleyecek seviyede mi?</t>
        </is>
      </c>
      <c r="C34" s="159" t="inlineStr">
        <is>
          <t>Evet</t>
        </is>
      </c>
      <c r="D34" s="150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3" ht="24" customHeight="1">
      <c r="A3" s="161" t="inlineStr">
        <is>
          <t>Alan</t>
        </is>
      </c>
      <c r="B3" s="161" t="inlineStr">
        <is>
          <t>Zorunlu Kural</t>
        </is>
      </c>
      <c r="C3" s="161" t="inlineStr">
        <is>
          <t>Uygulama</t>
        </is>
      </c>
      <c r="D3" s="161" t="inlineStr">
        <is>
          <t>Yasak</t>
        </is>
      </c>
      <c r="E3" s="161" t="inlineStr">
        <is>
          <t>Kontrol</t>
        </is>
      </c>
      <c r="F3" s="161" t="inlineStr">
        <is>
          <t>Durum</t>
        </is>
      </c>
    </row>
    <row r="4" ht="28" customHeight="1">
      <c r="A4" s="162" t="inlineStr">
        <is>
          <t>Sayfa başlığı</t>
        </is>
      </c>
      <c r="B4" s="150" t="inlineStr">
        <is>
          <t>Her kullanıcı sayfasının en üstünde tek ve açık sayfa başlığı</t>
        </is>
      </c>
      <c r="C4" s="150" t="inlineStr">
        <is>
          <t>A1'den başlayan koyu lacivert başlık bandı</t>
        </is>
      </c>
      <c r="D4" s="150" t="inlineStr">
        <is>
          <t>Başlıksız sayfa</t>
        </is>
      </c>
      <c r="E4" s="150" t="inlineStr">
        <is>
          <t>Başlık kapsama = %100</t>
        </is>
      </c>
      <c r="F4" s="163" t="inlineStr">
        <is>
          <t>ZORUNLU</t>
        </is>
      </c>
    </row>
    <row r="5" ht="28" customHeight="1">
      <c r="A5" s="162" t="inlineStr">
        <is>
          <t>Sekme renkleri</t>
        </is>
      </c>
      <c r="B5" s="150" t="inlineStr">
        <is>
          <t>Sayfalar işlevine göre renk kodlanır</t>
        </is>
      </c>
      <c r="C5" s="150" t="inlineStr">
        <is>
          <t>Girdi=mavi, hesap=gri, rapor=lacivert, kontrol=kırmızı, kılavuz=altın</t>
        </is>
      </c>
      <c r="D5" s="150" t="inlineStr">
        <is>
          <t>Rastgele renk</t>
        </is>
      </c>
      <c r="E5" s="150" t="inlineStr">
        <is>
          <t>Renk semantiği tutarlı</t>
        </is>
      </c>
      <c r="F5" s="163" t="inlineStr">
        <is>
          <t>ZORUNLU</t>
        </is>
      </c>
    </row>
    <row r="6" ht="28" customHeight="1">
      <c r="A6" s="162" t="inlineStr">
        <is>
          <t>Kolon düzeni</t>
        </is>
      </c>
      <c r="B6" s="150" t="inlineStr">
        <is>
          <t>Veri blokları bitişik kolonlarda ilerler</t>
        </is>
      </c>
      <c r="C6" s="150" t="inlineStr">
        <is>
          <t>Gereksiz boş kolon bırakma; yalnız gerçek bölüm ayrımı varsa kontrollü boşluk</t>
        </is>
      </c>
      <c r="D6" s="150" t="inlineStr">
        <is>
          <t>A:C veri, D boş, E:F veri gibi parçalı yapı</t>
        </is>
      </c>
      <c r="E6" s="150" t="inlineStr">
        <is>
          <t>Boş kolon taraması</t>
        </is>
      </c>
      <c r="F6" s="163" t="inlineStr">
        <is>
          <t>ZORUNLU</t>
        </is>
      </c>
    </row>
    <row r="7" ht="16" customHeight="1">
      <c r="A7" s="162" t="inlineStr">
        <is>
          <t>Girdi hücreleri</t>
        </is>
      </c>
      <c r="B7" s="150" t="inlineStr">
        <is>
          <t>Kullanıcının değiştireceği alan açıkça görünür</t>
        </is>
      </c>
      <c r="C7" s="150" t="inlineStr">
        <is>
          <t>Açık sarı dolgu + mavi yazı</t>
        </is>
      </c>
      <c r="D7" s="150" t="inlineStr">
        <is>
          <t>Formülle aynı görünüm</t>
        </is>
      </c>
      <c r="E7" s="150" t="inlineStr">
        <is>
          <t>Girdi/formül ayrımı</t>
        </is>
      </c>
      <c r="F7" s="163" t="inlineStr">
        <is>
          <t>ZORUNLU</t>
        </is>
      </c>
    </row>
    <row r="8" ht="16" customHeight="1">
      <c r="A8" s="162" t="inlineStr">
        <is>
          <t>Formüller</t>
        </is>
      </c>
      <c r="B8" s="150" t="inlineStr">
        <is>
          <t>Hesap hücreleri kullanıcı girdisinden ayrılır</t>
        </is>
      </c>
      <c r="C8" s="150" t="inlineStr">
        <is>
          <t>Siyah yazı; sayfalar arası bağlantı yeşil yazı</t>
        </is>
      </c>
      <c r="D8" s="150" t="inlineStr">
        <is>
          <t>Hard-code gizleme</t>
        </is>
      </c>
      <c r="E8" s="150" t="inlineStr">
        <is>
          <t>Formül sınıfı kontrolü</t>
        </is>
      </c>
      <c r="F8" s="163" t="inlineStr">
        <is>
          <t>ZORUNLU</t>
        </is>
      </c>
    </row>
    <row r="9" ht="16" customHeight="1">
      <c r="A9" s="162" t="inlineStr">
        <is>
          <t>Grafik sayısı</t>
        </is>
      </c>
      <c r="B9" s="150" t="inlineStr">
        <is>
          <t>Yönetici ekranında en fazla 3 ana karar grafiği</t>
        </is>
      </c>
      <c r="C9" s="150" t="inlineStr">
        <is>
          <t>Trend, karşılaştırma, köprü/dağılım; iş kararına bağlı</t>
        </is>
      </c>
      <c r="D9" s="150" t="inlineStr">
        <is>
          <t>Grafik kalabalığı</t>
        </is>
      </c>
      <c r="E9" s="150" t="inlineStr">
        <is>
          <t>Grafik başına karar sorusu</t>
        </is>
      </c>
      <c r="F9" s="163" t="inlineStr">
        <is>
          <t>ZORUNLU</t>
        </is>
      </c>
    </row>
    <row r="10" ht="16" customHeight="1">
      <c r="A10" s="162" t="inlineStr">
        <is>
          <t>Grafik stili</t>
        </is>
      </c>
      <c r="B10" s="150" t="inlineStr">
        <is>
          <t>Kurumsal ve yüksek okunabilirlik</t>
        </is>
      </c>
      <c r="C10" s="150" t="inlineStr">
        <is>
          <t>Beyaz zemin, ince gridline, tek vurgu rengi, açık birim/başlık</t>
        </is>
      </c>
      <c r="D10" s="150" t="inlineStr">
        <is>
          <t>3B, gölge, neon, gökkuşağı renkleri</t>
        </is>
      </c>
      <c r="E10" s="150" t="inlineStr">
        <is>
          <t>Görsel inceleme</t>
        </is>
      </c>
      <c r="F10" s="163" t="inlineStr">
        <is>
          <t>ZORUNLU</t>
        </is>
      </c>
    </row>
    <row r="11" ht="16" customHeight="1">
      <c r="A11" s="162" t="inlineStr">
        <is>
          <t>Grafik başlığı</t>
        </is>
      </c>
      <c r="B11" s="150" t="inlineStr">
        <is>
          <t>Grafik 'neyi' değil 'ne anlama geldiğini' söyler</t>
        </is>
      </c>
      <c r="C11" s="150" t="inlineStr">
        <is>
          <t>Örn: 'Nakit 2028'de kritik eşiğin altına iniyor'</t>
        </is>
      </c>
      <c r="D11" s="150" t="inlineStr">
        <is>
          <t>'Nakit Grafiği' gibi anlamsız başlık</t>
        </is>
      </c>
      <c r="E11" s="150" t="inlineStr">
        <is>
          <t>Başlık karar testi</t>
        </is>
      </c>
      <c r="F11" s="163" t="inlineStr">
        <is>
          <t>ZORUNLU</t>
        </is>
      </c>
    </row>
    <row r="12" ht="16" customHeight="1">
      <c r="A12" s="162" t="inlineStr">
        <is>
          <t>Birimler</t>
        </is>
      </c>
      <c r="B12" s="150" t="inlineStr">
        <is>
          <t>Tüm finansal görsellerde birim açık</t>
        </is>
      </c>
      <c r="C12" s="150" t="inlineStr">
        <is>
          <t>TL, bin TL, milyon TL, %, gün, x</t>
        </is>
      </c>
      <c r="D12" s="150" t="inlineStr">
        <is>
          <t>Birim belirsizliği</t>
        </is>
      </c>
      <c r="E12" s="150" t="inlineStr">
        <is>
          <t>Birim kapsama %100</t>
        </is>
      </c>
      <c r="F12" s="163" t="inlineStr">
        <is>
          <t>ZORUNLU</t>
        </is>
      </c>
    </row>
    <row r="13" ht="16" customHeight="1">
      <c r="A13" s="162" t="inlineStr">
        <is>
          <t>Sıfır/negatif</t>
        </is>
      </c>
      <c r="B13" s="150" t="inlineStr">
        <is>
          <t>Finansal format standardı</t>
        </is>
      </c>
      <c r="C13" s="150" t="inlineStr">
        <is>
          <t>Sıfır='-', negatif kırmızı parantez</t>
        </is>
      </c>
      <c r="D13" s="150" t="inlineStr">
        <is>
          <t>-500 veya 0,00 kalabalığı</t>
        </is>
      </c>
      <c r="E13" s="150" t="inlineStr">
        <is>
          <t>Format kontrolü</t>
        </is>
      </c>
      <c r="F13" s="163" t="inlineStr">
        <is>
          <t>ZORUNLU</t>
        </is>
      </c>
    </row>
    <row r="14" ht="16" customHeight="1">
      <c r="A14" s="162" t="inlineStr">
        <is>
          <t>Yazı tipi</t>
        </is>
      </c>
      <c r="B14" s="150" t="inlineStr">
        <is>
          <t>Tek aile</t>
        </is>
      </c>
      <c r="C14" s="150" t="inlineStr">
        <is>
          <t>Aptos veya Segoe UI</t>
        </is>
      </c>
      <c r="D14" s="150" t="inlineStr">
        <is>
          <t>Karışık font</t>
        </is>
      </c>
      <c r="E14" s="150" t="inlineStr">
        <is>
          <t>Tek font kontrolü</t>
        </is>
      </c>
      <c r="F14" s="163" t="inlineStr">
        <is>
          <t>ZORUNLU</t>
        </is>
      </c>
    </row>
    <row r="15" ht="16" customHeight="1">
      <c r="A15" s="162" t="inlineStr">
        <is>
          <t>Izgara</t>
        </is>
      </c>
      <c r="B15" s="150" t="inlineStr">
        <is>
          <t>Kullanıcı sayfalarında kapalı</t>
        </is>
      </c>
      <c r="C15" s="150" t="inlineStr">
        <is>
          <t>Bölüm çizgileri ve kart sınırlarıyla düzen</t>
        </is>
      </c>
      <c r="D15" s="150" t="inlineStr">
        <is>
          <t>Excel varsayılan gridline</t>
        </is>
      </c>
      <c r="E15" s="150" t="inlineStr">
        <is>
          <t>Gridline kontrolü</t>
        </is>
      </c>
      <c r="F15" s="163" t="inlineStr">
        <is>
          <t>ZORUNLU</t>
        </is>
      </c>
    </row>
    <row r="16" ht="16" customHeight="1">
      <c r="A16" s="162" t="inlineStr">
        <is>
          <t>Boş durum</t>
        </is>
      </c>
      <c r="B16" s="150" t="inlineStr">
        <is>
          <t>Veri yokken temiz ve anlaşılır</t>
        </is>
      </c>
      <c r="C16" s="150" t="inlineStr">
        <is>
          <t>'Henüz veri yok' / 'Girdi bekleniyor'</t>
        </is>
      </c>
      <c r="D16" s="150" t="inlineStr">
        <is>
          <t>0 yığını / hata kodu</t>
        </is>
      </c>
      <c r="E16" s="150" t="inlineStr">
        <is>
          <t>Boş veri testi</t>
        </is>
      </c>
      <c r="F16" s="163" t="inlineStr">
        <is>
          <t>ZORUNLU</t>
        </is>
      </c>
    </row>
    <row r="17" ht="28" customHeight="1">
      <c r="A17" s="162" t="inlineStr">
        <is>
          <t>Başlangıç deneyimi</t>
        </is>
      </c>
      <c r="B17" s="150" t="inlineStr">
        <is>
          <t>İlk 5 saniyede ne gireceği ve neye bakacağı anlaşılır</t>
        </is>
      </c>
      <c r="C17" s="150" t="inlineStr">
        <is>
          <t>Girdi → durum → aksiyon akışı</t>
        </is>
      </c>
      <c r="D17" s="150" t="inlineStr">
        <is>
          <t>Kılavuz aramaya zorlama</t>
        </is>
      </c>
      <c r="E17" s="150" t="inlineStr">
        <is>
          <t>5 saniye testi</t>
        </is>
      </c>
      <c r="F17" s="163" t="inlineStr">
        <is>
          <t>ZORUNLU</t>
        </is>
      </c>
    </row>
    <row r="18" ht="30" customHeight="1">
      <c r="A18" s="158" t="inlineStr">
        <is>
          <t>Buton standardı</t>
        </is>
      </c>
      <c r="B18" s="159" t="inlineStr">
        <is>
          <t>Buton görünümü verilen her alan gerçek işlev taşır</t>
        </is>
      </c>
      <c r="C18" s="159" t="inlineStr">
        <is>
          <t>Sayfa içi HYPERLINK / gerçek aksiyon; tıklanınca hedefe gider</t>
        </is>
      </c>
      <c r="D18" s="159" t="inlineStr">
        <is>
          <t>İşlevsiz dekoratif buton / sahte navigasyon</t>
        </is>
      </c>
      <c r="E18" s="159" t="inlineStr">
        <is>
          <t>Butonların %100'ü tıklanabilir ve hedefi doğru</t>
        </is>
      </c>
      <c r="F18" s="163" t="inlineStr">
        <is>
          <t>ZORUNLU</t>
        </is>
      </c>
    </row>
    <row r="19" ht="32" customHeight="1">
      <c r="A19" s="158" t="inlineStr">
        <is>
          <t>Native sayfa sekmesi rengi</t>
        </is>
      </c>
      <c r="B19" s="159" t="inlineStr">
        <is>
          <t>Excel alt sheet tabları kurumsal paletle renklendirilir</t>
        </is>
      </c>
      <c r="C19" s="159" t="inlineStr">
        <is>
          <t>Başlangıç/özet=lacivert; girdiler=mavi; hesap/finans=teal; karar/kontrol=burgundy; doküman=gri</t>
        </is>
      </c>
      <c r="D19" s="159" t="inlineStr">
        <is>
          <t>Renksiz sekmeler veya rastgele/gökkuşağı renkleri</t>
        </is>
      </c>
      <c r="E19" s="159" t="inlineStr">
        <is>
          <t>Tüm görünür kullanıcı sheet tabları renkli</t>
        </is>
      </c>
      <c r="F19" s="163" t="inlineStr">
        <is>
          <t>ZORUNLU</t>
        </is>
      </c>
    </row>
    <row r="20" ht="60" customHeight="1">
      <c r="A20" s="158" t="inlineStr">
        <is>
          <t>İş akışı sıralaması</t>
        </is>
      </c>
      <c r="B20" s="159" t="inlineStr">
        <is>
          <t>Sayfalar kullanıcının çalışma sırasına göre fiziksel olarak dizilir</t>
        </is>
      </c>
      <c r="C20" s="159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9" t="inlineStr">
        <is>
          <t>Teknik oluşturma sırasına göre dağınık sheet dizilimi</t>
        </is>
      </c>
      <c r="E20" s="159" t="inlineStr">
        <is>
          <t>Sheet order = tanımlı workflow</t>
        </is>
      </c>
      <c r="F20" s="163" t="inlineStr">
        <is>
          <t>ZORUNLU</t>
        </is>
      </c>
    </row>
    <row r="21" ht="30" customHeight="1">
      <c r="A21" s="158" t="inlineStr">
        <is>
          <t>Kurumsal renk paleti</t>
        </is>
      </c>
      <c r="B21" s="159" t="inlineStr">
        <is>
          <t>Sekme, başlık, buton ve vurgu renkleri tek kurumsal paletten gelir</t>
        </is>
      </c>
      <c r="C21" s="159" t="inlineStr">
        <is>
          <t>Lacivert + mavi + teal + kontrollü burgundy/gri; kategori semantiği sabit</t>
        </is>
      </c>
      <c r="D21" s="159" t="inlineStr">
        <is>
          <t>Neon, rastgele yüksek doygunluk, her sayfada farklı bağımsız renk</t>
        </is>
      </c>
      <c r="E21" s="159" t="inlineStr">
        <is>
          <t>Palette token kontrolü</t>
        </is>
      </c>
      <c r="F21" s="163" t="inlineStr">
        <is>
          <t>ZORUNLU</t>
        </is>
      </c>
    </row>
    <row r="22" ht="45" customHeight="1">
      <c r="A22" s="158" t="inlineStr">
        <is>
          <t>Premium vitrin</t>
        </is>
      </c>
      <c r="B22" s="159" t="inlineStr">
        <is>
          <t>Görsel kalite ürün değerinin zorunlu parçasıdır</t>
        </is>
      </c>
      <c r="C22" s="159" t="inlineStr">
        <is>
          <t>Kaliteli grafik, gerçek KPI kartı, finansal hiyerarşi, tab rengi, fonksiyonel navigasyon</t>
        </is>
      </c>
      <c r="D22" s="159" t="inlineStr">
        <is>
          <t>Sadece doğru hesap yapıp çıplak/varsayılan Excel görünümü bırakmak</t>
        </is>
      </c>
      <c r="E22" s="159" t="inlineStr">
        <is>
          <t>Görsel release incelemesi</t>
        </is>
      </c>
      <c r="F22" s="163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3" ht="24" customHeight="1">
      <c r="A3" s="165" t="inlineStr">
        <is>
          <t>Konu</t>
        </is>
      </c>
      <c r="B3" s="165" t="inlineStr">
        <is>
          <t>Zorunlu Standart</t>
        </is>
      </c>
      <c r="C3" s="165" t="inlineStr">
        <is>
          <t>Örnek Türkçe Ad</t>
        </is>
      </c>
      <c r="D3" s="165" t="inlineStr">
        <is>
          <t>THP / Mantık</t>
        </is>
      </c>
      <c r="E3" s="165" t="inlineStr">
        <is>
          <t>Hata Riski</t>
        </is>
      </c>
      <c r="F3" s="165" t="inlineStr">
        <is>
          <t>Kontrol</t>
        </is>
      </c>
    </row>
    <row r="4">
      <c r="A4" s="166" t="inlineStr">
        <is>
          <t>Dil</t>
        </is>
      </c>
      <c r="B4" s="150" t="inlineStr">
        <is>
          <t>Kullanıcıya görünen finansal terimler Türkçe</t>
        </is>
      </c>
      <c r="C4" s="150" t="inlineStr">
        <is>
          <t>Hasılat, Satışların Maliyeti, Brüt Kâr, Faaliyet Giderleri</t>
        </is>
      </c>
      <c r="D4" s="150" t="inlineStr">
        <is>
          <t>Türk işletme kullanımına uygun</t>
        </is>
      </c>
      <c r="E4" s="150" t="inlineStr">
        <is>
          <t>İngilizce jargon</t>
        </is>
      </c>
      <c r="F4" s="150" t="inlineStr">
        <is>
          <t>Terminoloji taraması</t>
        </is>
      </c>
    </row>
    <row r="5" ht="28" customHeight="1">
      <c r="A5" s="166" t="inlineStr">
        <is>
          <t>Gelir Tablosu</t>
        </is>
      </c>
      <c r="B5" s="150" t="inlineStr">
        <is>
          <t>Türk sunum sırası kullanılır</t>
        </is>
      </c>
      <c r="C5" s="150" t="inlineStr">
        <is>
          <t>Net Satışlar → Satışların Maliyeti → Brüt Kâr → Faaliyet Giderleri → Faaliyet Kârı</t>
        </is>
      </c>
      <c r="D5" s="150" t="inlineStr">
        <is>
          <t>600/610/611; 620-623; 63x</t>
        </is>
      </c>
      <c r="E5" s="150" t="inlineStr">
        <is>
          <t>Yanlış sınıflama</t>
        </is>
      </c>
      <c r="F5" s="150" t="inlineStr">
        <is>
          <t>Hesap eşleme</t>
        </is>
      </c>
    </row>
    <row r="6" ht="28" customHeight="1">
      <c r="A6" s="166" t="inlineStr">
        <is>
          <t>Bilanço</t>
        </is>
      </c>
      <c r="B6" s="150" t="inlineStr">
        <is>
          <t>Dönen/Duran Varlık ve Kısa/Uzun Vadeli Yükümlülük ayrımı</t>
        </is>
      </c>
      <c r="C6" s="150" t="inlineStr">
        <is>
          <t>Hazır Değerler, Ticari Alacaklar, Stoklar, Mali Borçlar</t>
        </is>
      </c>
      <c r="D6" s="150" t="inlineStr">
        <is>
          <t>1xx / 2xx / 3xx / 4xx / 5xx</t>
        </is>
      </c>
      <c r="E6" s="150" t="inlineStr">
        <is>
          <t>Vade sınıfı hatası</t>
        </is>
      </c>
      <c r="F6" s="150" t="inlineStr">
        <is>
          <t>Bilanço eşitliği</t>
        </is>
      </c>
    </row>
    <row r="7">
      <c r="A7" s="166" t="inlineStr">
        <is>
          <t>Nakit Akışı</t>
        </is>
      </c>
      <c r="B7" s="150" t="inlineStr">
        <is>
          <t>İşletme/Yatırım/Finansman nakit akışları ayrılır</t>
        </is>
      </c>
      <c r="C7" s="150" t="inlineStr">
        <is>
          <t>Faaliyetlerden Nakit, Yatırım Harcamaları, Finansman Nakit Akışı</t>
        </is>
      </c>
      <c r="D7" s="150" t="inlineStr">
        <is>
          <t>Dolaylı/doğrudan yöntem açık seçilir</t>
        </is>
      </c>
      <c r="E7" s="150" t="inlineStr">
        <is>
          <t>Kâr = nakit sanılması</t>
        </is>
      </c>
      <c r="F7" s="150" t="inlineStr">
        <is>
          <t>Nakit devri</t>
        </is>
      </c>
    </row>
    <row r="8">
      <c r="A8" s="166" t="inlineStr">
        <is>
          <t>Ticari Alacaklar</t>
        </is>
      </c>
      <c r="B8" s="150" t="inlineStr">
        <is>
          <t>Cari ve vade mantığı korunur</t>
        </is>
      </c>
      <c r="C8" s="150" t="inlineStr">
        <is>
          <t>120 Alıcılar</t>
        </is>
      </c>
      <c r="D8" s="150" t="inlineStr">
        <is>
          <t>120</t>
        </is>
      </c>
      <c r="E8" s="150" t="inlineStr">
        <is>
          <t>Tahakkuk/nakit karışması</t>
        </is>
      </c>
      <c r="F8" s="150" t="inlineStr">
        <is>
          <t>Alacak devir kontrolü</t>
        </is>
      </c>
    </row>
    <row r="9">
      <c r="A9" s="166" t="inlineStr">
        <is>
          <t>Ticari Borçlar</t>
        </is>
      </c>
      <c r="B9" s="150" t="inlineStr">
        <is>
          <t>Tedarikçi borcu ayrı izlenir</t>
        </is>
      </c>
      <c r="C9" s="150" t="inlineStr">
        <is>
          <t>320 Satıcılar</t>
        </is>
      </c>
      <c r="D9" s="150" t="inlineStr">
        <is>
          <t>320</t>
        </is>
      </c>
      <c r="E9" s="150" t="inlineStr">
        <is>
          <t>Gider/ödeme karışması</t>
        </is>
      </c>
      <c r="F9" s="150" t="inlineStr">
        <is>
          <t>Borç devir kontrolü</t>
        </is>
      </c>
    </row>
    <row r="10">
      <c r="A10" s="166" t="inlineStr">
        <is>
          <t>Kasa/Banka</t>
        </is>
      </c>
      <c r="B10" s="150" t="inlineStr">
        <is>
          <t>Hazır değerler ayrı izlenir</t>
        </is>
      </c>
      <c r="C10" s="150" t="inlineStr">
        <is>
          <t>100 Kasa, 102 Bankalar</t>
        </is>
      </c>
      <c r="D10" s="150" t="inlineStr">
        <is>
          <t>100 / 102</t>
        </is>
      </c>
      <c r="E10" s="150" t="inlineStr">
        <is>
          <t>Virmanla toplam nakdin değişmesi</t>
        </is>
      </c>
      <c r="F10" s="150" t="inlineStr">
        <is>
          <t>Virman değişmezi</t>
        </is>
      </c>
    </row>
    <row r="11">
      <c r="A11" s="166" t="inlineStr">
        <is>
          <t>Stok</t>
        </is>
      </c>
      <c r="B11" s="150" t="inlineStr">
        <is>
          <t>Dikeye uygun stok türü</t>
        </is>
      </c>
      <c r="C11" s="150" t="inlineStr">
        <is>
          <t>150 İlk Madde ve Malzeme, 153 Ticari Mallar</t>
        </is>
      </c>
      <c r="D11" s="150" t="inlineStr">
        <is>
          <t>15x</t>
        </is>
      </c>
      <c r="E11" s="150" t="inlineStr">
        <is>
          <t>Maliyet ve stok hareketinin kopması</t>
        </is>
      </c>
      <c r="F11" s="150" t="inlineStr">
        <is>
          <t>Stok devri</t>
        </is>
      </c>
    </row>
    <row r="12" ht="28" customHeight="1">
      <c r="A12" s="166" t="inlineStr">
        <is>
          <t>Maddi Duran Varlık</t>
        </is>
      </c>
      <c r="B12" s="150" t="inlineStr">
        <is>
          <t>Yatırım harcaması ve amortisman bağlantılı</t>
        </is>
      </c>
      <c r="C12" s="150" t="inlineStr">
        <is>
          <t>253 Tesis Makine Cihazlar, 255 Demirbaşlar, 257 Birikmiş Amortismanlar</t>
        </is>
      </c>
      <c r="D12" s="150" t="inlineStr">
        <is>
          <t>25x</t>
        </is>
      </c>
      <c r="E12" s="150" t="inlineStr">
        <is>
          <t>Yatırım/gider karışması</t>
        </is>
      </c>
      <c r="F12" s="150" t="inlineStr">
        <is>
          <t>Net defter değeri devri</t>
        </is>
      </c>
    </row>
    <row r="13">
      <c r="A13" s="166" t="inlineStr">
        <is>
          <t>Mali Borçlar</t>
        </is>
      </c>
      <c r="B13" s="150" t="inlineStr">
        <is>
          <t>Kısa/uzun vadeli borç ayrımı</t>
        </is>
      </c>
      <c r="C13" s="150" t="inlineStr">
        <is>
          <t>300 Banka Kredileri / 400 Banka Kredileri</t>
        </is>
      </c>
      <c r="D13" s="150" t="inlineStr">
        <is>
          <t>300 / 400</t>
        </is>
      </c>
      <c r="E13" s="150" t="inlineStr">
        <is>
          <t>Vade sınıfı yanlış</t>
        </is>
      </c>
      <c r="F13" s="150" t="inlineStr">
        <is>
          <t>Borç devri</t>
        </is>
      </c>
    </row>
    <row r="14">
      <c r="A14" s="166" t="inlineStr">
        <is>
          <t>Özkaynak</t>
        </is>
      </c>
      <c r="B14" s="150" t="inlineStr">
        <is>
          <t>Sermaye ve geçmiş yıl kârları ayrı</t>
        </is>
      </c>
      <c r="C14" s="150" t="inlineStr">
        <is>
          <t>500 Sermaye, 570 Geçmiş Yıllar Kârları, 590 Dönem Net Kârı</t>
        </is>
      </c>
      <c r="D14" s="150" t="inlineStr">
        <is>
          <t>5xx</t>
        </is>
      </c>
      <c r="E14" s="150" t="inlineStr">
        <is>
          <t>Net kâr bağının kopması</t>
        </is>
      </c>
      <c r="F14" s="150" t="inlineStr">
        <is>
          <t>Özkaynak devri</t>
        </is>
      </c>
    </row>
    <row r="15">
      <c r="A15" s="166" t="inlineStr">
        <is>
          <t>Vergi</t>
        </is>
      </c>
      <c r="B15" s="150" t="inlineStr">
        <is>
          <t>Vergi satırları Türkiye mantığına uygun</t>
        </is>
      </c>
      <c r="C15" s="150" t="inlineStr">
        <is>
          <t>Dönem Vergi ve Diğer Yasal Yükümlülük Karşılıkları</t>
        </is>
      </c>
      <c r="D15" s="150" t="inlineStr">
        <is>
          <t>37x / ilgili vergi hesapları</t>
        </is>
      </c>
      <c r="E15" s="150" t="inlineStr">
        <is>
          <t>Vergi etkisinin yanlış dönemlenmesi</t>
        </is>
      </c>
      <c r="F15" s="150" t="inlineStr">
        <is>
          <t>Vergi sözleşmesi</t>
        </is>
      </c>
    </row>
    <row r="16">
      <c r="A16" s="166" t="inlineStr">
        <is>
          <t>İsim standardı</t>
        </is>
      </c>
      <c r="B16" s="150" t="inlineStr">
        <is>
          <t>Tablo ve sayfa adları Türkçe ve işlevsel</t>
        </is>
      </c>
      <c r="C16" s="150" t="inlineStr">
        <is>
          <t>GELİR_TABLOSU, BİLANÇO, NAKİT_AKISI, BORC_PLANI</t>
        </is>
      </c>
      <c r="D16" s="150" t="inlineStr">
        <is>
          <t>Tekrarlanabilir standart</t>
        </is>
      </c>
      <c r="E16" s="150" t="inlineStr">
        <is>
          <t>İngilizce/karma isim</t>
        </is>
      </c>
      <c r="F16" s="150" t="inlineStr">
        <is>
          <t>Sayfa ve tablo taraması</t>
        </is>
      </c>
    </row>
    <row r="17">
      <c r="A17" s="166" t="inlineStr">
        <is>
          <t>THP eşleme tablosu</t>
        </is>
      </c>
      <c r="B17" s="150" t="inlineStr">
        <is>
          <t>Her kritik satır en az bir THP hesabına bağlanır</t>
        </is>
      </c>
      <c r="C17" s="150" t="inlineStr">
        <is>
          <t>RaporSatırı → HesapKodu → HesapAdı → İşaret → Dönem</t>
        </is>
      </c>
      <c r="D17" s="150" t="inlineStr">
        <is>
          <t>Kaynak izlenebilirliği</t>
        </is>
      </c>
      <c r="E17" s="150" t="inlineStr">
        <is>
          <t>Rapordan rapora kaynak</t>
        </is>
      </c>
      <c r="F17" s="150" t="inlineStr">
        <is>
          <t>Eşleme kapsama %100</t>
        </is>
      </c>
    </row>
    <row r="18">
      <c r="A18" s="166" t="inlineStr">
        <is>
          <t>İstisna</t>
        </is>
      </c>
      <c r="B18" s="150" t="inlineStr">
        <is>
          <t>TFRS özel ürün varsa fark açık yazılır</t>
        </is>
      </c>
      <c r="C18" s="150" t="inlineStr">
        <is>
          <t>Tekdüzen raporlama ≠ TFRS finansal tablo sunumu</t>
        </is>
      </c>
      <c r="D18" s="150" t="inlineStr">
        <is>
          <t>Amaç belirtilir</t>
        </is>
      </c>
      <c r="E18" s="150" t="inlineStr">
        <is>
          <t>Standartları karıştırma</t>
        </is>
      </c>
      <c r="F18" s="150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0" t="inlineStr">
        <is>
          <t>Bu ürün neyi çözüyor?</t>
        </is>
      </c>
      <c r="C4" s="150" t="inlineStr">
        <is>
          <t>İlk ekranda hedef kullanıcı + pahalı problem + sonuç görünür</t>
        </is>
      </c>
      <c r="D4" s="150" t="inlineStr">
        <is>
          <t>Başlık + alt mesaj + gerçek ekran</t>
        </is>
      </c>
      <c r="E4" s="150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0" t="inlineStr">
        <is>
          <t>Sorun bana neye mal oluyor?</t>
        </is>
      </c>
      <c r="C5" s="150" t="inlineStr">
        <is>
          <t>Mümkünse müşterinin kendi verisiyle parasal/zaman etkisi hesaplanır</t>
        </is>
      </c>
      <c r="D5" s="150" t="inlineStr">
        <is>
          <t>ROI/acı hesaplama yöntemi</t>
        </is>
      </c>
      <c r="E5" s="150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0" t="inlineStr">
        <is>
          <t>Bu bilgiyle ne yapacağım?</t>
        </is>
      </c>
      <c r="C6" s="150" t="inlineStr">
        <is>
          <t>Her kritik KPI aksiyona bağlanır</t>
        </is>
      </c>
      <c r="D6" s="150" t="inlineStr">
        <is>
          <t>KARAR_KUYRUGU</t>
        </is>
      </c>
      <c r="E6" s="150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0" t="inlineStr">
        <is>
          <t>Bu sayıya neden inanayım?</t>
        </is>
      </c>
      <c r="C7" s="150" t="inlineStr">
        <is>
          <t>Kaynak, formül mantığı, kontrol ve son doğrulama görünür</t>
        </is>
      </c>
      <c r="D7" s="150" t="inlineStr">
        <is>
          <t>Kontroller + kaynak izi + sürüm</t>
        </is>
      </c>
      <c r="E7" s="150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0" t="inlineStr">
        <is>
          <t>Müşteri yorumu yoksa ne göstereceğim?</t>
        </is>
      </c>
      <c r="C8" s="150" t="inlineStr">
        <is>
          <t>Önce/Sonra + Karar Vakası + Hata Önleme Vakası üretilir</t>
        </is>
      </c>
      <c r="D8" s="150" t="inlineStr">
        <is>
          <t>Demo/örnek çıktı</t>
        </is>
      </c>
      <c r="E8" s="150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0" t="inlineStr">
        <is>
          <t>Ne olursa işler bozulur?</t>
        </is>
      </c>
      <c r="C9" s="150" t="inlineStr">
        <is>
          <t>Baz/Aşağı/Yukarı veya uygun stres senaryosu</t>
        </is>
      </c>
      <c r="D9" s="150" t="inlineStr">
        <is>
          <t>Senaryo karşılaştırma</t>
        </is>
      </c>
      <c r="E9" s="150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0" t="inlineStr">
        <is>
          <t>Hangi eşikte karar kırılır?</t>
        </is>
      </c>
      <c r="C10" s="150" t="inlineStr">
        <is>
          <t>En az bir kritik sürücü için kırılma eşiği</t>
        </is>
      </c>
      <c r="D10" s="150" t="inlineStr">
        <is>
          <t>Kırılma eşiği tablosu</t>
        </is>
      </c>
      <c r="E10" s="150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0" t="inlineStr">
        <is>
          <t>Formül hata verirse ne olur?</t>
        </is>
      </c>
      <c r="C11" s="150" t="inlineStr">
        <is>
          <t>Kontrol GEÇTİ veremez; BLOKE/HATA üretir</t>
        </is>
      </c>
      <c r="D11" s="150" t="inlineStr">
        <is>
          <t>Hata taraması</t>
        </is>
      </c>
      <c r="E11" s="150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0" t="inlineStr">
        <is>
          <t>Ne oldu, neden oldu?</t>
        </is>
      </c>
      <c r="C12" s="150" t="inlineStr">
        <is>
          <t>Sorun + neden + parasal etki + aksiyon + son tarih</t>
        </is>
      </c>
      <c r="D12" s="150" t="inlineStr">
        <is>
          <t>Karar tablosu</t>
        </is>
      </c>
      <c r="E12" s="150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0" t="inlineStr">
        <is>
          <t>5 saniyede ne görmeliyim?</t>
        </is>
      </c>
      <c r="C13" s="150" t="inlineStr">
        <is>
          <t>Bugün / ne değişti / ne bozulacak / neden / ne yapmalıyım / güven</t>
        </is>
      </c>
      <c r="D13" s="150" t="inlineStr">
        <is>
          <t>Yönetici özeti ekranı</t>
        </is>
      </c>
      <c r="E13" s="150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0" t="inlineStr">
        <is>
          <t>Neden satın almalıyım?</t>
        </is>
      </c>
      <c r="C14" s="150" t="inlineStr">
        <is>
          <t>Dosya özellikleri yerine sonuç ve kaçınılan maliyet sunulur</t>
        </is>
      </c>
      <c r="D14" s="150" t="inlineStr">
        <is>
          <t>Ürün sayfası kanıt eşlemesi</t>
        </is>
      </c>
      <c r="E14" s="150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0" t="inlineStr">
        <is>
          <t>Beni nasıl bulacaklar?</t>
        </is>
      </c>
      <c r="C15" s="150" t="inlineStr">
        <is>
          <t>Sorun niyetine göre SEO sayfaları, iç bağlantı, temiz yapı, taranabilir metin</t>
        </is>
      </c>
      <c r="D15" s="150" t="inlineStr">
        <is>
          <t>Arama niyeti haritası</t>
        </is>
      </c>
      <c r="E15" s="150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0" t="inlineStr">
        <is>
          <t>AI ürünümü anlayabiliyor mu?</t>
        </is>
      </c>
      <c r="C16" s="150" t="inlineStr">
        <is>
          <t>Ürün tanımı, hedef kullanıcı, girdi/çıktı, metodoloji, sınırlar, SSS açık metindir</t>
        </is>
      </c>
      <c r="D16" s="150" t="inlineStr">
        <is>
          <t>Taranabilir ürün içeriği</t>
        </is>
      </c>
      <c r="E16" s="150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0" t="inlineStr">
        <is>
          <t>Nerede satılmalı?</t>
        </is>
      </c>
      <c r="C17" s="150" t="inlineStr">
        <is>
          <t>Arama, LinkedIn, uzman/partner, demo/video; ürüne göre kanal seçilir</t>
        </is>
      </c>
      <c r="D17" s="150" t="inlineStr">
        <is>
          <t>Kanal matrisi</t>
        </is>
      </c>
      <c r="E17" s="150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0" t="inlineStr">
        <is>
          <t>Bu fiyat neden mantıklı?</t>
        </is>
      </c>
      <c r="C18" s="150" t="inlineStr">
        <is>
          <t>Fiyat, ekonomik karar değerine ve kanıtlanmış ürün derinliğine bağlanır</t>
        </is>
      </c>
      <c r="D18" s="150" t="inlineStr">
        <is>
          <t>Değer haritası + demo</t>
        </is>
      </c>
      <c r="E18" s="150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0" t="inlineStr">
        <is>
          <t>Piyasa gerçekten ödüyor mu?</t>
        </is>
      </c>
      <c r="C19" s="150" t="inlineStr">
        <is>
          <t>Satış/pilot/LOI/fiyat kabulü olmadan pazar doğrulandı yazılmaz</t>
        </is>
      </c>
      <c r="D19" s="150" t="inlineStr">
        <is>
          <t>Gerçek işlem kanıtı</t>
        </is>
      </c>
      <c r="E19" s="150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KAPAK — Makine Bakım &amp; Kalibrasyon + Duruş Maliyeti</t>
        </is>
      </c>
    </row>
    <row r="3" ht="22" customHeight="1">
      <c r="A3" s="200" t="inlineStr">
        <is>
          <t>Makine Bakım &amp; Kalibrasyon + Duruş Maliyeti</t>
        </is>
      </c>
    </row>
    <row r="4">
      <c r="A4" s="4" t="inlineStr">
        <is>
          <t>Makine bakım planı, kalibrasyon vadesi ve duruş saatini maliyetle bağlar; durum makinesi ve imza kanıt zinciri üretir; PLANLI / GECİKMİŞ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Makrosuz durum makinesi: Plan → Yapıldı / Gecikme → Kritik</t>
        </is>
      </c>
    </row>
    <row r="8">
      <c r="A8" s="6" t="inlineStr">
        <is>
          <t>• Günlük/haftalık duruş + saatlik duruş maliyeti hesabı</t>
        </is>
      </c>
    </row>
    <row r="9">
      <c r="A9" s="6" t="inlineStr">
        <is>
          <t>• Plan tarih ↔ gerçekleşen ↔ duruş saati zincir bayrağı</t>
        </is>
      </c>
    </row>
    <row r="10">
      <c r="A10" s="6" t="inlineStr">
        <is>
          <t>• Geçersiz geçiş ve yetim makine uyarıları</t>
        </is>
      </c>
    </row>
    <row r="11">
      <c r="A11" s="6" t="inlineStr">
        <is>
          <t>• KANIT_RAPORU — denetçi/SMMM imza alanlı dönem kanıtı</t>
        </is>
      </c>
    </row>
    <row r="13">
      <c r="A13" s="5" t="inlineStr">
        <is>
          <t>Kimler için?</t>
        </is>
      </c>
    </row>
    <row r="14">
      <c r="A14" s="7" t="inlineStr">
        <is>
          <t>• Bakım / kalibrasyon — plan kapanışı ve vade takibi</t>
        </is>
      </c>
    </row>
    <row r="15">
      <c r="A15" s="7" t="inlineStr">
        <is>
          <t>• Üretim müdürü — PLANLI / GECİKMİŞ / KRİTİK kararı</t>
        </is>
      </c>
    </row>
    <row r="16">
      <c r="A16" s="7" t="inlineStr">
        <is>
          <t>• Denetçi / SMMM — KANIT_RAPORU dosyalama</t>
        </is>
      </c>
    </row>
    <row r="18">
      <c r="A18" s="5" t="inlineStr">
        <is>
          <t>Nasıl başlanır?</t>
        </is>
      </c>
    </row>
    <row r="19">
      <c r="A19" s="8" t="inlineStr">
        <is>
          <t>1) MAKINELER'e kart girin. 2) AKIS'e bakım/kalibrasyon satırlarını yazın. 3) KUYRUKLAR ve PANO'dan kararı görün. 4) KANIT_RAPORU'ndan çıktı alın.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I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4.5" customWidth="1" min="5" max="5"/>
    <col width="25.5" customWidth="1" min="6" max="6"/>
    <col width="14" customWidth="1" min="7" max="7"/>
    <col width="15.5" customWidth="1" min="8" max="8"/>
    <col width="14" customWidth="1" min="9" max="9"/>
    <col width="13" customWidth="1" min="10" max="10"/>
  </cols>
  <sheetData>
    <row r="1" ht="32" customHeight="1">
      <c r="A1" s="181" t="inlineStr">
        <is>
          <t>MAKINELER — Makine Bakım &amp; Kalibrasyon + Duruş Maliyeti</t>
        </is>
      </c>
    </row>
    <row r="3" ht="22" customHeight="1">
      <c r="A3" s="201" t="inlineStr">
        <is>
          <t>Makine kartları — her varlığın tek kimliği vardır</t>
        </is>
      </c>
    </row>
    <row r="4">
      <c r="A4" s="12" t="inlineStr">
        <is>
          <t>Sonraki Kimlik</t>
        </is>
      </c>
      <c r="B4" s="13">
        <f>mbk_sonrakiKimlik</f>
        <v/>
      </c>
    </row>
    <row r="5" ht="30" customHeight="1">
      <c r="A5" s="14" t="inlineStr">
        <is>
          <t>MakineId</t>
        </is>
      </c>
      <c r="B5" s="14" t="inlineStr">
        <is>
          <t>Ad</t>
        </is>
      </c>
      <c r="C5" s="14" t="inlineStr">
        <is>
          <t>Hat</t>
        </is>
      </c>
      <c r="D5" s="14" t="inlineStr">
        <is>
          <t>Tip</t>
        </is>
      </c>
      <c r="E5" s="14" t="inlineStr">
        <is>
          <t>SaatlikDurusMaliyeti</t>
        </is>
      </c>
      <c r="F5" s="14" t="inlineStr">
        <is>
          <t>KalibrasyonPeriyotGun</t>
        </is>
      </c>
      <c r="G5" s="14" t="inlineStr">
        <is>
          <t>Aktif</t>
        </is>
      </c>
      <c r="H5" s="14" t="inlineStr">
        <is>
          <t>ToplamDurus</t>
        </is>
      </c>
      <c r="I5" s="14" t="inlineStr">
        <is>
          <t>OrtDurus</t>
        </is>
      </c>
    </row>
    <row r="6">
      <c r="A6" s="15" t="inlineStr">
        <is>
          <t>MAK-00001</t>
        </is>
      </c>
      <c r="B6" s="15" t="inlineStr">
        <is>
          <t>CNC Torna T-100</t>
        </is>
      </c>
      <c r="C6" s="15" t="inlineStr">
        <is>
          <t>Hat-A</t>
        </is>
      </c>
      <c r="D6" s="15" t="inlineStr">
        <is>
          <t>CNC</t>
        </is>
      </c>
      <c r="E6" s="16" t="n">
        <v>850</v>
      </c>
      <c r="F6" s="17" t="n">
        <v>90</v>
      </c>
      <c r="G6" s="15" t="inlineStr">
        <is>
          <t>EVET</t>
        </is>
      </c>
      <c r="H6" s="18">
        <f>IF($A6="","",SUMIF(tblAkis[KaynakMakineId],$A6,tblAkis[FiiliDurusSaat]))</f>
        <v/>
      </c>
      <c r="I6" s="18">
        <f>IF($A6="","",IFERROR(AVERAGEIF(tblAkis[KaynakMakineId],$A6,tblAkis[FiiliDurusSaat]),0))</f>
        <v/>
      </c>
    </row>
    <row r="7">
      <c r="A7" s="15" t="inlineStr">
        <is>
          <t>MAK-00002</t>
        </is>
      </c>
      <c r="B7" s="15" t="inlineStr">
        <is>
          <t>Pres Hidrolik P-50</t>
        </is>
      </c>
      <c r="C7" s="15" t="inlineStr">
        <is>
          <t>Hat-A</t>
        </is>
      </c>
      <c r="D7" s="15" t="inlineStr">
        <is>
          <t>Pres</t>
        </is>
      </c>
      <c r="E7" s="16" t="n">
        <v>900</v>
      </c>
      <c r="F7" s="17" t="n">
        <v>105</v>
      </c>
      <c r="G7" s="15" t="inlineStr">
        <is>
          <t>EVET</t>
        </is>
      </c>
      <c r="H7" s="18">
        <f>IF($A7="","",SUMIF(tblAkis[KaynakMakineId],$A7,tblAkis[FiiliDurusSaat]))</f>
        <v/>
      </c>
      <c r="I7" s="18">
        <f>IF($A7="","",IFERROR(AVERAGEIF(tblAkis[KaynakMakineId],$A7,tblAkis[FiiliDurusSaat]),0))</f>
        <v/>
      </c>
    </row>
    <row r="8">
      <c r="A8" s="15" t="inlineStr">
        <is>
          <t>MAK-00003</t>
        </is>
      </c>
      <c r="B8" s="15" t="inlineStr">
        <is>
          <t>Kaynak Robot KR-20</t>
        </is>
      </c>
      <c r="C8" s="15" t="inlineStr">
        <is>
          <t>Hat-B</t>
        </is>
      </c>
      <c r="D8" s="15" t="inlineStr">
        <is>
          <t>Robot</t>
        </is>
      </c>
      <c r="E8" s="16" t="n">
        <v>950</v>
      </c>
      <c r="F8" s="17" t="n">
        <v>120</v>
      </c>
      <c r="G8" s="15" t="inlineStr">
        <is>
          <t>EVET</t>
        </is>
      </c>
      <c r="H8" s="18">
        <f>IF($A8="","",SUMIF(tblAkis[KaynakMakineId],$A8,tblAkis[FiiliDurusSaat]))</f>
        <v/>
      </c>
      <c r="I8" s="18">
        <f>IF($A8="","",IFERROR(AVERAGEIF(tblAkis[KaynakMakineId],$A8,tblAkis[FiiliDurusSaat]),0))</f>
        <v/>
      </c>
    </row>
    <row r="9">
      <c r="A9" s="15" t="inlineStr">
        <is>
          <t>MAK-00004</t>
        </is>
      </c>
      <c r="B9" s="15" t="inlineStr">
        <is>
          <t>Freze Merkezi FM-30</t>
        </is>
      </c>
      <c r="C9" s="15" t="inlineStr">
        <is>
          <t>Hat-B</t>
        </is>
      </c>
      <c r="D9" s="15" t="inlineStr">
        <is>
          <t>CNC</t>
        </is>
      </c>
      <c r="E9" s="16" t="n">
        <v>1000</v>
      </c>
      <c r="F9" s="17" t="n">
        <v>135</v>
      </c>
      <c r="G9" s="15" t="inlineStr">
        <is>
          <t>EVET</t>
        </is>
      </c>
      <c r="H9" s="18">
        <f>IF($A9="","",SUMIF(tblAkis[KaynakMakineId],$A9,tblAkis[FiiliDurusSaat]))</f>
        <v/>
      </c>
      <c r="I9" s="18">
        <f>IF($A9="","",IFERROR(AVERAGEIF(tblAkis[KaynakMakineId],$A9,tblAkis[FiiliDurusSaat]),0))</f>
        <v/>
      </c>
    </row>
    <row r="10">
      <c r="A10" s="15" t="inlineStr">
        <is>
          <t>MAK-00005</t>
        </is>
      </c>
      <c r="B10" s="15" t="inlineStr">
        <is>
          <t>Konveyör K-08</t>
        </is>
      </c>
      <c r="C10" s="15" t="inlineStr">
        <is>
          <t>Hat-C</t>
        </is>
      </c>
      <c r="D10" s="15" t="inlineStr">
        <is>
          <t>Konveyor</t>
        </is>
      </c>
      <c r="E10" s="16" t="n">
        <v>1050</v>
      </c>
      <c r="F10" s="17" t="n">
        <v>150</v>
      </c>
      <c r="G10" s="15" t="inlineStr">
        <is>
          <t>EVET</t>
        </is>
      </c>
      <c r="H10" s="18">
        <f>IF($A10="","",SUMIF(tblAkis[KaynakMakineId],$A10,tblAkis[FiiliDurusSaat]))</f>
        <v/>
      </c>
      <c r="I10" s="18">
        <f>IF($A10="","",IFERROR(AVERAGEIF(tblAkis[KaynakMakineId],$A10,tblAkis[FiiliDurusSaat]),0))</f>
        <v/>
      </c>
    </row>
    <row r="11">
      <c r="A11" s="15" t="inlineStr">
        <is>
          <t>MAK-00006</t>
        </is>
      </c>
      <c r="B11" s="15" t="inlineStr">
        <is>
          <t>Kompresör KMP-12</t>
        </is>
      </c>
      <c r="C11" s="15" t="inlineStr">
        <is>
          <t>Hat-C</t>
        </is>
      </c>
      <c r="D11" s="15" t="inlineStr">
        <is>
          <t>Kompresor</t>
        </is>
      </c>
      <c r="E11" s="16" t="n">
        <v>1100</v>
      </c>
      <c r="F11" s="17" t="n">
        <v>165</v>
      </c>
      <c r="G11" s="15" t="inlineStr">
        <is>
          <t>EVET</t>
        </is>
      </c>
      <c r="H11" s="18">
        <f>IF($A11="","",SUMIF(tblAkis[KaynakMakineId],$A11,tblAkis[FiiliDurusSaat]))</f>
        <v/>
      </c>
      <c r="I11" s="18">
        <f>IF($A11="","",IFERROR(AVERAGEIF(tblAkis[KaynakMakineId],$A11,tblAkis[FiiliDurusSaat]),0))</f>
        <v/>
      </c>
    </row>
    <row r="12">
      <c r="A12" s="15" t="inlineStr">
        <is>
          <t>MAK-00007</t>
        </is>
      </c>
      <c r="B12" s="15" t="inlineStr">
        <is>
          <t>Ölçüm Tezgâhı OT-05</t>
        </is>
      </c>
      <c r="C12" s="15" t="inlineStr">
        <is>
          <t>Kalite</t>
        </is>
      </c>
      <c r="D12" s="15" t="inlineStr">
        <is>
          <t>Olcu</t>
        </is>
      </c>
      <c r="E12" s="16" t="n">
        <v>1150</v>
      </c>
      <c r="F12" s="17" t="n">
        <v>180</v>
      </c>
      <c r="G12" s="15" t="inlineStr">
        <is>
          <t>EVET</t>
        </is>
      </c>
      <c r="H12" s="18">
        <f>IF($A12="","",SUMIF(tblAkis[KaynakMakineId],$A12,tblAkis[FiiliDurusSaat]))</f>
        <v/>
      </c>
      <c r="I12" s="18">
        <f>IF($A12="","",IFERROR(AVERAGEIF(tblAkis[KaynakMakineId],$A12,tblAkis[FiiliDurusSaat]),0))</f>
        <v/>
      </c>
    </row>
    <row r="13">
      <c r="A13" s="15" t="inlineStr">
        <is>
          <t>MAK-00008</t>
        </is>
      </c>
      <c r="B13" s="15" t="inlineStr">
        <is>
          <t>Fırın Isıl F-40</t>
        </is>
      </c>
      <c r="C13" s="15" t="inlineStr">
        <is>
          <t>Hat-A</t>
        </is>
      </c>
      <c r="D13" s="15" t="inlineStr">
        <is>
          <t>Firin</t>
        </is>
      </c>
      <c r="E13" s="16" t="n">
        <v>1200</v>
      </c>
      <c r="F13" s="17" t="n">
        <v>195</v>
      </c>
      <c r="G13" s="15" t="inlineStr">
        <is>
          <t>EVET</t>
        </is>
      </c>
      <c r="H13" s="18">
        <f>IF($A13="","",SUMIF(tblAkis[KaynakMakineId],$A13,tblAkis[FiiliDurusSaat]))</f>
        <v/>
      </c>
      <c r="I13" s="18">
        <f>IF($A13="","",IFERROR(AVERAGEIF(tblAkis[KaynakMakineId],$A13,tblAkis[FiiliDurusSaat]),0))</f>
        <v/>
      </c>
    </row>
    <row r="14">
      <c r="A14" s="15" t="n"/>
      <c r="B14" s="15" t="n"/>
      <c r="C14" s="15" t="n"/>
      <c r="D14" s="15" t="n"/>
      <c r="E14" s="16" t="n"/>
      <c r="F14" s="17" t="n"/>
      <c r="G14" s="15" t="n"/>
      <c r="H14" s="18">
        <f>IF($A14="","",SUMIF(tblAkis[KaynakMakineId],$A14,tblAkis[FiiliDurusSaat]))</f>
        <v/>
      </c>
      <c r="I14" s="18">
        <f>IF($A14="","",IFERROR(AVERAGEIF(tblAkis[KaynakMakineId],$A14,tblAkis[FiiliDurusSaat]),0))</f>
        <v/>
      </c>
    </row>
    <row r="15">
      <c r="A15" s="15" t="n"/>
      <c r="B15" s="15" t="n"/>
      <c r="C15" s="15" t="n"/>
      <c r="D15" s="15" t="n"/>
      <c r="E15" s="16" t="n"/>
      <c r="F15" s="17" t="n"/>
      <c r="G15" s="15" t="n"/>
      <c r="H15" s="18">
        <f>IF($A15="","",SUMIF(tblAkis[KaynakMakineId],$A15,tblAkis[FiiliDurusSaat]))</f>
        <v/>
      </c>
      <c r="I15" s="18">
        <f>IF($A15="","",IFERROR(AVERAGEIF(tblAkis[KaynakMakineId],$A15,tblAkis[FiiliDurusSaat]),0))</f>
        <v/>
      </c>
    </row>
    <row r="16">
      <c r="A16" s="15" t="n"/>
      <c r="B16" s="15" t="n"/>
      <c r="C16" s="15" t="n"/>
      <c r="D16" s="15" t="n"/>
      <c r="E16" s="16" t="n"/>
      <c r="F16" s="17" t="n"/>
      <c r="G16" s="15" t="n"/>
      <c r="H16" s="18">
        <f>IF($A16="","",SUMIF(tblAkis[KaynakMakineId],$A16,tblAkis[FiiliDurusSaat]))</f>
        <v/>
      </c>
      <c r="I16" s="18">
        <f>IF($A16="","",IFERROR(AVERAGEIF(tblAkis[KaynakMakineId],$A16,tblAkis[FiiliDurusSaat]),0))</f>
        <v/>
      </c>
    </row>
    <row r="17">
      <c r="A17" s="15" t="n"/>
      <c r="B17" s="15" t="n"/>
      <c r="C17" s="15" t="n"/>
      <c r="D17" s="15" t="n"/>
      <c r="E17" s="16" t="n"/>
      <c r="F17" s="17" t="n"/>
      <c r="G17" s="15" t="n"/>
      <c r="H17" s="18">
        <f>IF($A17="","",SUMIF(tblAkis[KaynakMakineId],$A17,tblAkis[FiiliDurusSaat]))</f>
        <v/>
      </c>
      <c r="I17" s="18">
        <f>IF($A17="","",IFERROR(AVERAGEIF(tblAkis[KaynakMakineId],$A17,tblAkis[FiiliDurusSaat]),0))</f>
        <v/>
      </c>
    </row>
    <row r="18">
      <c r="A18" s="15" t="n"/>
      <c r="B18" s="15" t="n"/>
      <c r="C18" s="15" t="n"/>
      <c r="D18" s="15" t="n"/>
      <c r="E18" s="16" t="n"/>
      <c r="F18" s="17" t="n"/>
      <c r="G18" s="15" t="n"/>
      <c r="H18" s="18">
        <f>IF($A18="","",SUMIF(tblAkis[KaynakMakineId],$A18,tblAkis[FiiliDurusSaat]))</f>
        <v/>
      </c>
      <c r="I18" s="18">
        <f>IF($A18="","",IFERROR(AVERAGEIF(tblAkis[KaynakMakineId],$A18,tblAkis[FiiliDurusSaat]),0))</f>
        <v/>
      </c>
    </row>
    <row r="19">
      <c r="A19" s="15" t="n"/>
      <c r="B19" s="15" t="n"/>
      <c r="C19" s="15" t="n"/>
      <c r="D19" s="15" t="n"/>
      <c r="E19" s="16" t="n"/>
      <c r="F19" s="17" t="n"/>
      <c r="G19" s="15" t="n"/>
      <c r="H19" s="18">
        <f>IF($A19="","",SUMIF(tblAkis[KaynakMakineId],$A19,tblAkis[FiiliDurusSaat]))</f>
        <v/>
      </c>
      <c r="I19" s="18">
        <f>IF($A19="","",IFERROR(AVERAGEIF(tblAkis[KaynakMakineId],$A19,tblAkis[FiiliDurusSaat]),0))</f>
        <v/>
      </c>
    </row>
    <row r="20">
      <c r="A20" s="15" t="n"/>
      <c r="B20" s="15" t="n"/>
      <c r="C20" s="15" t="n"/>
      <c r="D20" s="15" t="n"/>
      <c r="E20" s="16" t="n"/>
      <c r="F20" s="17" t="n"/>
      <c r="G20" s="15" t="n"/>
      <c r="H20" s="18">
        <f>IF($A20="","",SUMIF(tblAkis[KaynakMakineId],$A20,tblAkis[FiiliDurusSaat]))</f>
        <v/>
      </c>
      <c r="I20" s="18">
        <f>IF($A20="","",IFERROR(AVERAGEIF(tblAkis[KaynakMakineId],$A20,tblAkis[FiiliDurusSaat]),0))</f>
        <v/>
      </c>
    </row>
    <row r="21">
      <c r="A21" s="15" t="n"/>
      <c r="B21" s="15" t="n"/>
      <c r="C21" s="15" t="n"/>
      <c r="D21" s="15" t="n"/>
      <c r="E21" s="16" t="n"/>
      <c r="F21" s="17" t="n"/>
      <c r="G21" s="15" t="n"/>
      <c r="H21" s="18">
        <f>IF($A21="","",SUMIF(tblAkis[KaynakMakineId],$A21,tblAkis[FiiliDurusSaat]))</f>
        <v/>
      </c>
      <c r="I21" s="18">
        <f>IF($A21="","",IFERROR(AVERAGEIF(tblAkis[KaynakMakineId],$A21,tblAkis[FiiliDurusSaat]),0))</f>
        <v/>
      </c>
    </row>
    <row r="22">
      <c r="A22" s="15" t="n"/>
      <c r="B22" s="15" t="n"/>
      <c r="C22" s="15" t="n"/>
      <c r="D22" s="15" t="n"/>
      <c r="E22" s="16" t="n"/>
      <c r="F22" s="17" t="n"/>
      <c r="G22" s="15" t="n"/>
      <c r="H22" s="18">
        <f>IF($A22="","",SUMIF(tblAkis[KaynakMakineId],$A22,tblAkis[FiiliDurusSaat]))</f>
        <v/>
      </c>
      <c r="I22" s="18">
        <f>IF($A22="","",IFERROR(AVERAGEIF(tblAkis[KaynakMakineId],$A22,tblAkis[FiiliDurusSaat]),0))</f>
        <v/>
      </c>
    </row>
    <row r="23">
      <c r="A23" s="15" t="n"/>
      <c r="B23" s="15" t="n"/>
      <c r="C23" s="15" t="n"/>
      <c r="D23" s="15" t="n"/>
      <c r="E23" s="16" t="n"/>
      <c r="F23" s="17" t="n"/>
      <c r="G23" s="15" t="n"/>
      <c r="H23" s="18">
        <f>IF($A23="","",SUMIF(tblAkis[KaynakMakineId],$A23,tblAkis[FiiliDurusSaat]))</f>
        <v/>
      </c>
      <c r="I23" s="18">
        <f>IF($A23="","",IFERROR(AVERAGEIF(tblAkis[KaynakMakineId],$A23,tblAkis[FiiliDurusSaat]),0))</f>
        <v/>
      </c>
    </row>
    <row r="24">
      <c r="A24" s="15" t="n"/>
      <c r="B24" s="15" t="n"/>
      <c r="C24" s="15" t="n"/>
      <c r="D24" s="15" t="n"/>
      <c r="E24" s="16" t="n"/>
      <c r="F24" s="17" t="n"/>
      <c r="G24" s="15" t="n"/>
      <c r="H24" s="18">
        <f>IF($A24="","",SUMIF(tblAkis[KaynakMakineId],$A24,tblAkis[FiiliDurusSaat]))</f>
        <v/>
      </c>
      <c r="I24" s="18">
        <f>IF($A24="","",IFERROR(AVERAGEIF(tblAkis[KaynakMakineId],$A24,tblAkis[FiiliDurusSaat]),0))</f>
        <v/>
      </c>
    </row>
    <row r="25">
      <c r="A25" s="15" t="n"/>
      <c r="B25" s="15" t="n"/>
      <c r="C25" s="15" t="n"/>
      <c r="D25" s="15" t="n"/>
      <c r="E25" s="16" t="n"/>
      <c r="F25" s="17" t="n"/>
      <c r="G25" s="15" t="n"/>
      <c r="H25" s="18">
        <f>IF($A25="","",SUMIF(tblAkis[KaynakMakineId],$A25,tblAkis[FiiliDurusSaat]))</f>
        <v/>
      </c>
      <c r="I25" s="18">
        <f>IF($A25="","",IFERROR(AVERAGEIF(tblAkis[KaynakMakineId],$A25,tblAkis[FiiliDurusSaat]),0))</f>
        <v/>
      </c>
    </row>
    <row r="26">
      <c r="A26" s="15" t="n"/>
      <c r="B26" s="15" t="n"/>
      <c r="C26" s="15" t="n"/>
      <c r="D26" s="15" t="n"/>
      <c r="E26" s="16" t="n"/>
      <c r="F26" s="17" t="n"/>
      <c r="G26" s="15" t="n"/>
      <c r="H26" s="18">
        <f>IF($A26="","",SUMIF(tblAkis[KaynakMakineId],$A26,tblAkis[FiiliDurusSaat]))</f>
        <v/>
      </c>
      <c r="I26" s="18">
        <f>IF($A26="","",IFERROR(AVERAGEIF(tblAkis[KaynakMakineId],$A26,tblAkis[FiiliDurusSaat]),0))</f>
        <v/>
      </c>
    </row>
    <row r="27">
      <c r="A27" s="15" t="n"/>
      <c r="B27" s="15" t="n"/>
      <c r="C27" s="15" t="n"/>
      <c r="D27" s="15" t="n"/>
      <c r="E27" s="16" t="n"/>
      <c r="F27" s="17" t="n"/>
      <c r="G27" s="15" t="n"/>
      <c r="H27" s="18">
        <f>IF($A27="","",SUMIF(tblAkis[KaynakMakineId],$A27,tblAkis[FiiliDurusSaat]))</f>
        <v/>
      </c>
      <c r="I27" s="18">
        <f>IF($A27="","",IFERROR(AVERAGEIF(tblAkis[KaynakMakineId],$A27,tblAkis[FiiliDurusSaat]),0))</f>
        <v/>
      </c>
    </row>
    <row r="28">
      <c r="A28" s="15" t="n"/>
      <c r="B28" s="15" t="n"/>
      <c r="C28" s="15" t="n"/>
      <c r="D28" s="15" t="n"/>
      <c r="E28" s="16" t="n"/>
      <c r="F28" s="17" t="n"/>
      <c r="G28" s="15" t="n"/>
      <c r="H28" s="18">
        <f>IF($A28="","",SUMIF(tblAkis[KaynakMakineId],$A28,tblAkis[FiiliDurusSaat]))</f>
        <v/>
      </c>
      <c r="I28" s="18">
        <f>IF($A28="","",IFERROR(AVERAGEIF(tblAkis[KaynakMakineId],$A28,tblAkis[FiiliDurusSaat]),0))</f>
        <v/>
      </c>
    </row>
    <row r="29">
      <c r="A29" s="15" t="n"/>
      <c r="B29" s="15" t="n"/>
      <c r="C29" s="15" t="n"/>
      <c r="D29" s="15" t="n"/>
      <c r="E29" s="16" t="n"/>
      <c r="F29" s="17" t="n"/>
      <c r="G29" s="15" t="n"/>
      <c r="H29" s="18">
        <f>IF($A29="","",SUMIF(tblAkis[KaynakMakineId],$A29,tblAkis[FiiliDurusSaat]))</f>
        <v/>
      </c>
      <c r="I29" s="18">
        <f>IF($A29="","",IFERROR(AVERAGEIF(tblAkis[KaynakMakineId],$A29,tblAkis[FiiliDurusSaat]),0))</f>
        <v/>
      </c>
    </row>
    <row r="30">
      <c r="A30" s="15" t="n"/>
      <c r="B30" s="15" t="n"/>
      <c r="C30" s="15" t="n"/>
      <c r="D30" s="15" t="n"/>
      <c r="E30" s="16" t="n"/>
      <c r="F30" s="17" t="n"/>
      <c r="G30" s="15" t="n"/>
      <c r="H30" s="18">
        <f>IF($A30="","",SUMIF(tblAkis[KaynakMakineId],$A30,tblAkis[FiiliDurusSaat]))</f>
        <v/>
      </c>
      <c r="I30" s="18">
        <f>IF($A30="","",IFERROR(AVERAGEIF(tblAkis[KaynakMakineId],$A30,tblAkis[FiiliDurusSaat]),0))</f>
        <v/>
      </c>
    </row>
    <row r="31">
      <c r="A31" s="15" t="n"/>
      <c r="B31" s="15" t="n"/>
      <c r="C31" s="15" t="n"/>
      <c r="D31" s="15" t="n"/>
      <c r="E31" s="16" t="n"/>
      <c r="F31" s="17" t="n"/>
      <c r="G31" s="15" t="n"/>
      <c r="H31" s="18">
        <f>IF($A31="","",SUMIF(tblAkis[KaynakMakineId],$A31,tblAkis[FiiliDurusSaat]))</f>
        <v/>
      </c>
      <c r="I31" s="18">
        <f>IF($A31="","",IFERROR(AVERAGEIF(tblAkis[KaynakMakineId],$A31,tblAkis[FiiliDurusSaat]),0))</f>
        <v/>
      </c>
    </row>
    <row r="32">
      <c r="A32" s="15" t="n"/>
      <c r="B32" s="15" t="n"/>
      <c r="C32" s="15" t="n"/>
      <c r="D32" s="15" t="n"/>
      <c r="E32" s="16" t="n"/>
      <c r="F32" s="17" t="n"/>
      <c r="G32" s="15" t="n"/>
      <c r="H32" s="18">
        <f>IF($A32="","",SUMIF(tblAkis[KaynakMakineId],$A32,tblAkis[FiiliDurusSaat]))</f>
        <v/>
      </c>
      <c r="I32" s="18">
        <f>IF($A32="","",IFERROR(AVERAGEIF(tblAkis[KaynakMakineId],$A32,tblAkis[FiiliDurusSaat]),0))</f>
        <v/>
      </c>
    </row>
    <row r="33">
      <c r="A33" s="15" t="n"/>
      <c r="B33" s="15" t="n"/>
      <c r="C33" s="15" t="n"/>
      <c r="D33" s="15" t="n"/>
      <c r="E33" s="16" t="n"/>
      <c r="F33" s="17" t="n"/>
      <c r="G33" s="15" t="n"/>
      <c r="H33" s="18">
        <f>IF($A33="","",SUMIF(tblAkis[KaynakMakineId],$A33,tblAkis[FiiliDurusSaat]))</f>
        <v/>
      </c>
      <c r="I33" s="18">
        <f>IF($A33="","",IFERROR(AVERAGEIF(tblAkis[KaynakMakineId],$A33,tblAkis[FiiliDurusSaat]),0))</f>
        <v/>
      </c>
    </row>
    <row r="34">
      <c r="A34" s="15" t="n"/>
      <c r="B34" s="15" t="n"/>
      <c r="C34" s="15" t="n"/>
      <c r="D34" s="15" t="n"/>
      <c r="E34" s="16" t="n"/>
      <c r="F34" s="17" t="n"/>
      <c r="G34" s="15" t="n"/>
      <c r="H34" s="18">
        <f>IF($A34="","",SUMIF(tblAkis[KaynakMakineId],$A34,tblAkis[FiiliDurusSaat]))</f>
        <v/>
      </c>
      <c r="I34" s="18">
        <f>IF($A34="","",IFERROR(AVERAGEIF(tblAkis[KaynakMakineId],$A34,tblAkis[FiiliDurusSaat]),0))</f>
        <v/>
      </c>
    </row>
    <row r="35">
      <c r="A35" s="15" t="n"/>
      <c r="B35" s="15" t="n"/>
      <c r="C35" s="15" t="n"/>
      <c r="D35" s="15" t="n"/>
      <c r="E35" s="16" t="n"/>
      <c r="F35" s="17" t="n"/>
      <c r="G35" s="15" t="n"/>
      <c r="H35" s="18">
        <f>IF($A35="","",SUMIF(tblAkis[KaynakMakineId],$A35,tblAkis[FiiliDurusSaat]))</f>
        <v/>
      </c>
      <c r="I35" s="18">
        <f>IF($A35="","",IFERROR(AVERAGEIF(tblAkis[KaynakMakineId],$A35,tblAkis[FiiliDurusSaat]),0))</f>
        <v/>
      </c>
    </row>
    <row r="36">
      <c r="A36" s="15" t="n"/>
      <c r="B36" s="15" t="n"/>
      <c r="C36" s="15" t="n"/>
      <c r="D36" s="15" t="n"/>
      <c r="E36" s="16" t="n"/>
      <c r="F36" s="17" t="n"/>
      <c r="G36" s="15" t="n"/>
      <c r="H36" s="18">
        <f>IF($A36="","",SUMIF(tblAkis[KaynakMakineId],$A36,tblAkis[FiiliDurusSaat]))</f>
        <v/>
      </c>
      <c r="I36" s="18">
        <f>IF($A36="","",IFERROR(AVERAGEIF(tblAkis[KaynakMakineId],$A36,tblAkis[FiiliDurusSaat]),0))</f>
        <v/>
      </c>
    </row>
    <row r="37">
      <c r="A37" s="15" t="n"/>
      <c r="B37" s="15" t="n"/>
      <c r="C37" s="15" t="n"/>
      <c r="D37" s="15" t="n"/>
      <c r="E37" s="16" t="n"/>
      <c r="F37" s="17" t="n"/>
      <c r="G37" s="15" t="n"/>
      <c r="H37" s="18">
        <f>IF($A37="","",SUMIF(tblAkis[KaynakMakineId],$A37,tblAkis[FiiliDurusSaat]))</f>
        <v/>
      </c>
      <c r="I37" s="18">
        <f>IF($A37="","",IFERROR(AVERAGEIF(tblAkis[KaynakMakineId],$A37,tblAkis[FiiliDurusSaat]),0))</f>
        <v/>
      </c>
    </row>
    <row r="38">
      <c r="A38" s="15" t="n"/>
      <c r="B38" s="15" t="n"/>
      <c r="C38" s="15" t="n"/>
      <c r="D38" s="15" t="n"/>
      <c r="E38" s="16" t="n"/>
      <c r="F38" s="17" t="n"/>
      <c r="G38" s="15" t="n"/>
      <c r="H38" s="18">
        <f>IF($A38="","",SUMIF(tblAkis[KaynakMakineId],$A38,tblAkis[FiiliDurusSaat]))</f>
        <v/>
      </c>
      <c r="I38" s="18">
        <f>IF($A38="","",IFERROR(AVERAGEIF(tblAkis[KaynakMakineId],$A38,tblAkis[FiiliDurusSaat]),0))</f>
        <v/>
      </c>
    </row>
    <row r="39">
      <c r="A39" s="15" t="n"/>
      <c r="B39" s="15" t="n"/>
      <c r="C39" s="15" t="n"/>
      <c r="D39" s="15" t="n"/>
      <c r="E39" s="16" t="n"/>
      <c r="F39" s="17" t="n"/>
      <c r="G39" s="15" t="n"/>
      <c r="H39" s="18">
        <f>IF($A39="","",SUMIF(tblAkis[KaynakMakineId],$A39,tblAkis[FiiliDurusSaat]))</f>
        <v/>
      </c>
      <c r="I39" s="18">
        <f>IF($A39="","",IFERROR(AVERAGEIF(tblAkis[KaynakMakineId],$A39,tblAkis[FiiliDurusSaat]),0))</f>
        <v/>
      </c>
    </row>
    <row r="40">
      <c r="A40" s="15" t="n"/>
      <c r="B40" s="15" t="n"/>
      <c r="C40" s="15" t="n"/>
      <c r="D40" s="15" t="n"/>
      <c r="E40" s="16" t="n"/>
      <c r="F40" s="17" t="n"/>
      <c r="G40" s="15" t="n"/>
      <c r="H40" s="18">
        <f>IF($A40="","",SUMIF(tblAkis[KaynakMakineId],$A40,tblAkis[FiiliDurusSaat]))</f>
        <v/>
      </c>
      <c r="I40" s="18">
        <f>IF($A40="","",IFERROR(AVERAGEIF(tblAkis[KaynakMakineId],$A40,tblAkis[FiiliDurusSaat]),0))</f>
        <v/>
      </c>
    </row>
    <row r="41">
      <c r="A41" s="15" t="n"/>
      <c r="B41" s="15" t="n"/>
      <c r="C41" s="15" t="n"/>
      <c r="D41" s="15" t="n"/>
      <c r="E41" s="16" t="n"/>
      <c r="F41" s="17" t="n"/>
      <c r="G41" s="15" t="n"/>
      <c r="H41" s="18">
        <f>IF($A41="","",SUMIF(tblAkis[KaynakMakineId],$A41,tblAkis[FiiliDurusSaat]))</f>
        <v/>
      </c>
      <c r="I41" s="18">
        <f>IF($A41="","",IFERROR(AVERAGEIF(tblAkis[KaynakMakineId],$A41,tblAkis[FiiliDurusSaat]),0))</f>
        <v/>
      </c>
    </row>
    <row r="42">
      <c r="A42" s="15" t="n"/>
      <c r="B42" s="15" t="n"/>
      <c r="C42" s="15" t="n"/>
      <c r="D42" s="15" t="n"/>
      <c r="E42" s="16" t="n"/>
      <c r="F42" s="17" t="n"/>
      <c r="G42" s="15" t="n"/>
      <c r="H42" s="18">
        <f>IF($A42="","",SUMIF(tblAkis[KaynakMakineId],$A42,tblAkis[FiiliDurusSaat]))</f>
        <v/>
      </c>
      <c r="I42" s="18">
        <f>IF($A42="","",IFERROR(AVERAGEIF(tblAkis[KaynakMakineId],$A42,tblAkis[FiiliDurusSaat]),0))</f>
        <v/>
      </c>
    </row>
    <row r="43">
      <c r="A43" s="15" t="n"/>
      <c r="B43" s="15" t="n"/>
      <c r="C43" s="15" t="n"/>
      <c r="D43" s="15" t="n"/>
      <c r="E43" s="16" t="n"/>
      <c r="F43" s="17" t="n"/>
      <c r="G43" s="15" t="n"/>
      <c r="H43" s="18">
        <f>IF($A43="","",SUMIF(tblAkis[KaynakMakineId],$A43,tblAkis[FiiliDurusSaat]))</f>
        <v/>
      </c>
      <c r="I43" s="18">
        <f>IF($A43="","",IFERROR(AVERAGEIF(tblAkis[KaynakMakineId],$A43,tblAkis[FiiliDurusSaat]),0))</f>
        <v/>
      </c>
    </row>
    <row r="44">
      <c r="A44" s="15" t="n"/>
      <c r="B44" s="15" t="n"/>
      <c r="C44" s="15" t="n"/>
      <c r="D44" s="15" t="n"/>
      <c r="E44" s="16" t="n"/>
      <c r="F44" s="17" t="n"/>
      <c r="G44" s="15" t="n"/>
      <c r="H44" s="18">
        <f>IF($A44="","",SUMIF(tblAkis[KaynakMakineId],$A44,tblAkis[FiiliDurusSaat]))</f>
        <v/>
      </c>
      <c r="I44" s="18">
        <f>IF($A44="","",IFERROR(AVERAGEIF(tblAkis[KaynakMakineId],$A44,tblAkis[FiiliDurusSaat]),0))</f>
        <v/>
      </c>
    </row>
    <row r="45">
      <c r="A45" s="15" t="n"/>
      <c r="B45" s="15" t="n"/>
      <c r="C45" s="15" t="n"/>
      <c r="D45" s="15" t="n"/>
      <c r="E45" s="16" t="n"/>
      <c r="F45" s="17" t="n"/>
      <c r="G45" s="15" t="n"/>
      <c r="H45" s="18">
        <f>IF($A45="","",SUMIF(tblAkis[KaynakMakineId],$A45,tblAkis[FiiliDurusSaat]))</f>
        <v/>
      </c>
      <c r="I45" s="18">
        <f>IF($A45="","",IFERROR(AVERAGEIF(tblAkis[KaynakMakineId],$A45,tblAkis[FiiliDurusSaat]),0))</f>
        <v/>
      </c>
    </row>
    <row r="46">
      <c r="A46" s="15" t="n"/>
      <c r="B46" s="15" t="n"/>
      <c r="C46" s="15" t="n"/>
      <c r="D46" s="15" t="n"/>
      <c r="E46" s="16" t="n"/>
      <c r="F46" s="17" t="n"/>
      <c r="G46" s="15" t="n"/>
      <c r="H46" s="18">
        <f>IF($A46="","",SUMIF(tblAkis[KaynakMakineId],$A46,tblAkis[FiiliDurusSaat]))</f>
        <v/>
      </c>
      <c r="I46" s="18">
        <f>IF($A46="","",IFERROR(AVERAGEIF(tblAkis[KaynakMakineId],$A46,tblAkis[FiiliDurusSaat]),0))</f>
        <v/>
      </c>
    </row>
    <row r="47">
      <c r="A47" s="15" t="n"/>
      <c r="B47" s="15" t="n"/>
      <c r="C47" s="15" t="n"/>
      <c r="D47" s="15" t="n"/>
      <c r="E47" s="16" t="n"/>
      <c r="F47" s="17" t="n"/>
      <c r="G47" s="15" t="n"/>
      <c r="H47" s="18">
        <f>IF($A47="","",SUMIF(tblAkis[KaynakMakineId],$A47,tblAkis[FiiliDurusSaat]))</f>
        <v/>
      </c>
      <c r="I47" s="18">
        <f>IF($A47="","",IFERROR(AVERAGEIF(tblAkis[KaynakMakineId],$A47,tblAkis[FiiliDurusSaat]),0))</f>
        <v/>
      </c>
    </row>
    <row r="48">
      <c r="A48" s="15" t="n"/>
      <c r="B48" s="15" t="n"/>
      <c r="C48" s="15" t="n"/>
      <c r="D48" s="15" t="n"/>
      <c r="E48" s="16" t="n"/>
      <c r="F48" s="17" t="n"/>
      <c r="G48" s="15" t="n"/>
      <c r="H48" s="18">
        <f>IF($A48="","",SUMIF(tblAkis[KaynakMakineId],$A48,tblAkis[FiiliDurusSaat]))</f>
        <v/>
      </c>
      <c r="I48" s="18">
        <f>IF($A48="","",IFERROR(AVERAGEIF(tblAkis[KaynakMakineId],$A48,tblAkis[FiiliDurusSaat]),0))</f>
        <v/>
      </c>
    </row>
    <row r="49">
      <c r="A49" s="15" t="n"/>
      <c r="B49" s="15" t="n"/>
      <c r="C49" s="15" t="n"/>
      <c r="D49" s="15" t="n"/>
      <c r="E49" s="16" t="n"/>
      <c r="F49" s="17" t="n"/>
      <c r="G49" s="15" t="n"/>
      <c r="H49" s="18">
        <f>IF($A49="","",SUMIF(tblAkis[KaynakMakineId],$A49,tblAkis[FiiliDurusSaat]))</f>
        <v/>
      </c>
      <c r="I49" s="18">
        <f>IF($A49="","",IFERROR(AVERAGEIF(tblAkis[KaynakMakineId],$A49,tblAkis[FiiliDurusSaat]),0))</f>
        <v/>
      </c>
    </row>
    <row r="50">
      <c r="A50" s="15" t="n"/>
      <c r="B50" s="15" t="n"/>
      <c r="C50" s="15" t="n"/>
      <c r="D50" s="15" t="n"/>
      <c r="E50" s="16" t="n"/>
      <c r="F50" s="17" t="n"/>
      <c r="G50" s="15" t="n"/>
      <c r="H50" s="18">
        <f>IF($A50="","",SUMIF(tblAkis[KaynakMakineId],$A50,tblAkis[FiiliDurusSaat]))</f>
        <v/>
      </c>
      <c r="I50" s="18">
        <f>IF($A50="","",IFERROR(AVERAGEIF(tblAkis[KaynakMakineId],$A50,tblAkis[FiiliDurusSaat]),0))</f>
        <v/>
      </c>
    </row>
    <row r="51">
      <c r="A51" s="15" t="n"/>
      <c r="B51" s="15" t="n"/>
      <c r="C51" s="15" t="n"/>
      <c r="D51" s="15" t="n"/>
      <c r="E51" s="16" t="n"/>
      <c r="F51" s="17" t="n"/>
      <c r="G51" s="15" t="n"/>
      <c r="H51" s="18">
        <f>IF($A51="","",SUMIF(tblAkis[KaynakMakineId],$A51,tblAkis[FiiliDurusSaat]))</f>
        <v/>
      </c>
      <c r="I51" s="18">
        <f>IF($A51="","",IFERROR(AVERAGEIF(tblAkis[KaynakMakineId],$A51,tblAkis[FiiliDurusSaat]),0))</f>
        <v/>
      </c>
    </row>
    <row r="52">
      <c r="A52" s="15" t="n"/>
      <c r="B52" s="15" t="n"/>
      <c r="C52" s="15" t="n"/>
      <c r="D52" s="15" t="n"/>
      <c r="E52" s="16" t="n"/>
      <c r="F52" s="17" t="n"/>
      <c r="G52" s="15" t="n"/>
      <c r="H52" s="18">
        <f>IF($A52="","",SUMIF(tblAkis[KaynakMakineId],$A52,tblAkis[FiiliDurusSaat]))</f>
        <v/>
      </c>
      <c r="I52" s="18">
        <f>IF($A52="","",IFERROR(AVERAGEIF(tblAkis[KaynakMakineId],$A52,tblAkis[FiiliDurusSaat]),0))</f>
        <v/>
      </c>
    </row>
    <row r="53">
      <c r="A53" s="15" t="n"/>
      <c r="B53" s="15" t="n"/>
      <c r="C53" s="15" t="n"/>
      <c r="D53" s="15" t="n"/>
      <c r="E53" s="16" t="n"/>
      <c r="F53" s="17" t="n"/>
      <c r="G53" s="15" t="n"/>
      <c r="H53" s="18">
        <f>IF($A53="","",SUMIF(tblAkis[KaynakMakineId],$A53,tblAkis[FiiliDurusSaat]))</f>
        <v/>
      </c>
      <c r="I53" s="18">
        <f>IF($A53="","",IFERROR(AVERAGEIF(tblAkis[KaynakMakineId],$A53,tblAkis[FiiliDurusSaat]),0))</f>
        <v/>
      </c>
    </row>
    <row r="54">
      <c r="A54" s="15" t="n"/>
      <c r="B54" s="15" t="n"/>
      <c r="C54" s="15" t="n"/>
      <c r="D54" s="15" t="n"/>
      <c r="E54" s="16" t="n"/>
      <c r="F54" s="17" t="n"/>
      <c r="G54" s="15" t="n"/>
      <c r="H54" s="18">
        <f>IF($A54="","",SUMIF(tblAkis[KaynakMakineId],$A54,tblAkis[FiiliDurusSaat]))</f>
        <v/>
      </c>
      <c r="I54" s="18">
        <f>IF($A54="","",IFERROR(AVERAGEIF(tblAkis[KaynakMakineId],$A54,tblAkis[FiiliDurusSaat]),0))</f>
        <v/>
      </c>
    </row>
    <row r="55">
      <c r="A55" s="15" t="n"/>
      <c r="B55" s="15" t="n"/>
      <c r="C55" s="15" t="n"/>
      <c r="D55" s="15" t="n"/>
      <c r="E55" s="16" t="n"/>
      <c r="F55" s="17" t="n"/>
      <c r="G55" s="15" t="n"/>
      <c r="H55" s="18">
        <f>IF($A55="","",SUMIF(tblAkis[KaynakMakineId],$A55,tblAkis[FiiliDurusSaat]))</f>
        <v/>
      </c>
      <c r="I55" s="18">
        <f>IF($A55="","",IFERROR(AVERAGEIF(tblAkis[KaynakMakineId],$A55,tblAkis[FiiliDurusSaat]),0))</f>
        <v/>
      </c>
    </row>
    <row r="56">
      <c r="A56" s="15" t="n"/>
      <c r="B56" s="15" t="n"/>
      <c r="C56" s="15" t="n"/>
      <c r="D56" s="15" t="n"/>
      <c r="E56" s="16" t="n"/>
      <c r="F56" s="17" t="n"/>
      <c r="G56" s="15" t="n"/>
      <c r="H56" s="18">
        <f>IF($A56="","",SUMIF(tblAkis[KaynakMakineId],$A56,tblAkis[FiiliDurusSaat]))</f>
        <v/>
      </c>
      <c r="I56" s="18">
        <f>IF($A56="","",IFERROR(AVERAGEIF(tblAkis[KaynakMakineId],$A56,tblAkis[FiiliDurusSaat]),0))</f>
        <v/>
      </c>
    </row>
    <row r="57">
      <c r="A57" s="15" t="n"/>
      <c r="B57" s="15" t="n"/>
      <c r="C57" s="15" t="n"/>
      <c r="D57" s="15" t="n"/>
      <c r="E57" s="16" t="n"/>
      <c r="F57" s="17" t="n"/>
      <c r="G57" s="15" t="n"/>
      <c r="H57" s="18">
        <f>IF($A57="","",SUMIF(tblAkis[KaynakMakineId],$A57,tblAkis[FiiliDurusSaat]))</f>
        <v/>
      </c>
      <c r="I57" s="18">
        <f>IF($A57="","",IFERROR(AVERAGEIF(tblAkis[KaynakMakineId],$A57,tblAkis[FiiliDurusSaat]),0))</f>
        <v/>
      </c>
    </row>
    <row r="58">
      <c r="A58" s="15" t="n"/>
      <c r="B58" s="15" t="n"/>
      <c r="C58" s="15" t="n"/>
      <c r="D58" s="15" t="n"/>
      <c r="E58" s="16" t="n"/>
      <c r="F58" s="17" t="n"/>
      <c r="G58" s="15" t="n"/>
      <c r="H58" s="18">
        <f>IF($A58="","",SUMIF(tblAkis[KaynakMakineId],$A58,tblAkis[FiiliDurusSaat]))</f>
        <v/>
      </c>
      <c r="I58" s="18">
        <f>IF($A58="","",IFERROR(AVERAGEIF(tblAkis[KaynakMakineId],$A58,tblAkis[FiiliDurusSaat]),0))</f>
        <v/>
      </c>
    </row>
    <row r="59">
      <c r="A59" s="15" t="n"/>
      <c r="B59" s="15" t="n"/>
      <c r="C59" s="15" t="n"/>
      <c r="D59" s="15" t="n"/>
      <c r="E59" s="16" t="n"/>
      <c r="F59" s="17" t="n"/>
      <c r="G59" s="15" t="n"/>
      <c r="H59" s="18">
        <f>IF($A59="","",SUMIF(tblAkis[KaynakMakineId],$A59,tblAkis[FiiliDurusSaat]))</f>
        <v/>
      </c>
      <c r="I59" s="18">
        <f>IF($A59="","",IFERROR(AVERAGEIF(tblAkis[KaynakMakineId],$A59,tblAkis[FiiliDurusSaat]),0))</f>
        <v/>
      </c>
    </row>
    <row r="60">
      <c r="A60" s="15" t="n"/>
      <c r="B60" s="15" t="n"/>
      <c r="C60" s="15" t="n"/>
      <c r="D60" s="15" t="n"/>
      <c r="E60" s="16" t="n"/>
      <c r="F60" s="17" t="n"/>
      <c r="G60" s="15" t="n"/>
      <c r="H60" s="18">
        <f>IF($A60="","",SUMIF(tblAkis[KaynakMakineId],$A60,tblAkis[FiiliDurusSaat]))</f>
        <v/>
      </c>
      <c r="I60" s="18">
        <f>IF($A60="","",IFERROR(AVERAGEIF(tblAkis[KaynakMakineId],$A60,tblAkis[FiiliDurusSaat]),0))</f>
        <v/>
      </c>
    </row>
    <row r="61">
      <c r="A61" s="15" t="n"/>
      <c r="B61" s="15" t="n"/>
      <c r="C61" s="15" t="n"/>
      <c r="D61" s="15" t="n"/>
      <c r="E61" s="16" t="n"/>
      <c r="F61" s="17" t="n"/>
      <c r="G61" s="15" t="n"/>
      <c r="H61" s="18">
        <f>IF($A61="","",SUMIF(tblAkis[KaynakMakineId],$A61,tblAkis[FiiliDurusSaat]))</f>
        <v/>
      </c>
      <c r="I61" s="18">
        <f>IF($A61="","",IFERROR(AVERAGEIF(tblAkis[KaynakMakineId],$A61,tblAkis[FiiliDurusSaat]),0))</f>
        <v/>
      </c>
    </row>
    <row r="62">
      <c r="A62" s="15" t="n"/>
      <c r="B62" s="15" t="n"/>
      <c r="C62" s="15" t="n"/>
      <c r="D62" s="15" t="n"/>
      <c r="E62" s="16" t="n"/>
      <c r="F62" s="17" t="n"/>
      <c r="G62" s="15" t="n"/>
      <c r="H62" s="18">
        <f>IF($A62="","",SUMIF(tblAkis[KaynakMakineId],$A62,tblAkis[FiiliDurusSaat]))</f>
        <v/>
      </c>
      <c r="I62" s="18">
        <f>IF($A62="","",IFERROR(AVERAGEIF(tblAkis[KaynakMakineId],$A62,tblAkis[FiiliDurusSaat]),0))</f>
        <v/>
      </c>
    </row>
    <row r="63">
      <c r="A63" s="15" t="n"/>
      <c r="B63" s="15" t="n"/>
      <c r="C63" s="15" t="n"/>
      <c r="D63" s="15" t="n"/>
      <c r="E63" s="16" t="n"/>
      <c r="F63" s="17" t="n"/>
      <c r="G63" s="15" t="n"/>
      <c r="H63" s="18">
        <f>IF($A63="","",SUMIF(tblAkis[KaynakMakineId],$A63,tblAkis[FiiliDurusSaat]))</f>
        <v/>
      </c>
      <c r="I63" s="18">
        <f>IF($A63="","",IFERROR(AVERAGEIF(tblAkis[KaynakMakineId],$A63,tblAkis[FiiliDurusSaat]),0))</f>
        <v/>
      </c>
    </row>
    <row r="64">
      <c r="A64" s="15" t="n"/>
      <c r="B64" s="15" t="n"/>
      <c r="C64" s="15" t="n"/>
      <c r="D64" s="15" t="n"/>
      <c r="E64" s="16" t="n"/>
      <c r="F64" s="17" t="n"/>
      <c r="G64" s="15" t="n"/>
      <c r="H64" s="18">
        <f>IF($A64="","",SUMIF(tblAkis[KaynakMakineId],$A64,tblAkis[FiiliDurusSaat]))</f>
        <v/>
      </c>
      <c r="I64" s="18">
        <f>IF($A64="","",IFERROR(AVERAGEIF(tblAkis[KaynakMakineId],$A64,tblAkis[FiiliDurusSaat]),0))</f>
        <v/>
      </c>
    </row>
    <row r="65">
      <c r="A65" s="15" t="n"/>
      <c r="B65" s="15" t="n"/>
      <c r="C65" s="15" t="n"/>
      <c r="D65" s="15" t="n"/>
      <c r="E65" s="16" t="n"/>
      <c r="F65" s="17" t="n"/>
      <c r="G65" s="15" t="n"/>
      <c r="H65" s="18">
        <f>IF($A65="","",SUMIF(tblAkis[KaynakMakineId],$A65,tblAkis[FiiliDurusSaat]))</f>
        <v/>
      </c>
      <c r="I65" s="18">
        <f>IF($A65="","",IFERROR(AVERAGEIF(tblAkis[KaynakMakineId],$A65,tblAkis[FiiliDurusSaat]),0))</f>
        <v/>
      </c>
    </row>
    <row r="66">
      <c r="A66" s="15" t="n"/>
      <c r="B66" s="15" t="n"/>
      <c r="C66" s="15" t="n"/>
      <c r="D66" s="15" t="n"/>
      <c r="E66" s="16" t="n"/>
      <c r="F66" s="17" t="n"/>
      <c r="G66" s="15" t="n"/>
      <c r="H66" s="18">
        <f>IF($A66="","",SUMIF(tblAkis[KaynakMakineId],$A66,tblAkis[FiiliDurusSaat]))</f>
        <v/>
      </c>
      <c r="I66" s="18">
        <f>IF($A66="","",IFERROR(AVERAGEIF(tblAkis[KaynakMakineId],$A66,tblAkis[FiiliDurusSaat]),0))</f>
        <v/>
      </c>
    </row>
    <row r="67">
      <c r="A67" s="15" t="n"/>
      <c r="B67" s="15" t="n"/>
      <c r="C67" s="15" t="n"/>
      <c r="D67" s="15" t="n"/>
      <c r="E67" s="16" t="n"/>
      <c r="F67" s="17" t="n"/>
      <c r="G67" s="15" t="n"/>
      <c r="H67" s="18">
        <f>IF($A67="","",SUMIF(tblAkis[KaynakMakineId],$A67,tblAkis[FiiliDurusSaat]))</f>
        <v/>
      </c>
      <c r="I67" s="18">
        <f>IF($A67="","",IFERROR(AVERAGEIF(tblAkis[KaynakMakineId],$A67,tblAkis[FiiliDurusSaat]),0))</f>
        <v/>
      </c>
    </row>
    <row r="68">
      <c r="A68" s="15" t="n"/>
      <c r="B68" s="15" t="n"/>
      <c r="C68" s="15" t="n"/>
      <c r="D68" s="15" t="n"/>
      <c r="E68" s="16" t="n"/>
      <c r="F68" s="17" t="n"/>
      <c r="G68" s="15" t="n"/>
      <c r="H68" s="18">
        <f>IF($A68="","",SUMIF(tblAkis[KaynakMakineId],$A68,tblAkis[FiiliDurusSaat]))</f>
        <v/>
      </c>
      <c r="I68" s="18">
        <f>IF($A68="","",IFERROR(AVERAGEIF(tblAkis[KaynakMakineId],$A68,tblAkis[FiiliDurusSaat]),0))</f>
        <v/>
      </c>
    </row>
    <row r="69">
      <c r="A69" s="15" t="n"/>
      <c r="B69" s="15" t="n"/>
      <c r="C69" s="15" t="n"/>
      <c r="D69" s="15" t="n"/>
      <c r="E69" s="16" t="n"/>
      <c r="F69" s="17" t="n"/>
      <c r="G69" s="15" t="n"/>
      <c r="H69" s="18">
        <f>IF($A69="","",SUMIF(tblAkis[KaynakMakineId],$A69,tblAkis[FiiliDurusSaat]))</f>
        <v/>
      </c>
      <c r="I69" s="18">
        <f>IF($A69="","",IFERROR(AVERAGEIF(tblAkis[KaynakMakineId],$A69,tblAkis[FiiliDurusSaat]),0))</f>
        <v/>
      </c>
    </row>
    <row r="70">
      <c r="A70" s="15" t="n"/>
      <c r="B70" s="15" t="n"/>
      <c r="C70" s="15" t="n"/>
      <c r="D70" s="15" t="n"/>
      <c r="E70" s="16" t="n"/>
      <c r="F70" s="17" t="n"/>
      <c r="G70" s="15" t="n"/>
      <c r="H70" s="18">
        <f>IF($A70="","",SUMIF(tblAkis[KaynakMakineId],$A70,tblAkis[FiiliDurusSaat]))</f>
        <v/>
      </c>
      <c r="I70" s="18">
        <f>IF($A70="","",IFERROR(AVERAGEIF(tblAkis[KaynakMakineId],$A70,tblAkis[FiiliDurusSaat]),0))</f>
        <v/>
      </c>
    </row>
    <row r="71">
      <c r="A71" s="15" t="n"/>
      <c r="B71" s="15" t="n"/>
      <c r="C71" s="15" t="n"/>
      <c r="D71" s="15" t="n"/>
      <c r="E71" s="16" t="n"/>
      <c r="F71" s="17" t="n"/>
      <c r="G71" s="15" t="n"/>
      <c r="H71" s="18">
        <f>IF($A71="","",SUMIF(tblAkis[KaynakMakineId],$A71,tblAkis[FiiliDurusSaat]))</f>
        <v/>
      </c>
      <c r="I71" s="18">
        <f>IF($A71="","",IFERROR(AVERAGEIF(tblAkis[KaynakMakineId],$A71,tblAkis[FiiliDurusSaat]),0))</f>
        <v/>
      </c>
    </row>
    <row r="72">
      <c r="A72" s="15" t="n"/>
      <c r="B72" s="15" t="n"/>
      <c r="C72" s="15" t="n"/>
      <c r="D72" s="15" t="n"/>
      <c r="E72" s="16" t="n"/>
      <c r="F72" s="17" t="n"/>
      <c r="G72" s="15" t="n"/>
      <c r="H72" s="18">
        <f>IF($A72="","",SUMIF(tblAkis[KaynakMakineId],$A72,tblAkis[FiiliDurusSaat]))</f>
        <v/>
      </c>
      <c r="I72" s="18">
        <f>IF($A72="","",IFERROR(AVERAGEIF(tblAkis[KaynakMakineId],$A72,tblAkis[FiiliDurusSaat]),0))</f>
        <v/>
      </c>
    </row>
    <row r="73">
      <c r="A73" s="15" t="n"/>
      <c r="B73" s="15" t="n"/>
      <c r="C73" s="15" t="n"/>
      <c r="D73" s="15" t="n"/>
      <c r="E73" s="16" t="n"/>
      <c r="F73" s="17" t="n"/>
      <c r="G73" s="15" t="n"/>
      <c r="H73" s="18">
        <f>IF($A73="","",SUMIF(tblAkis[KaynakMakineId],$A73,tblAkis[FiiliDurusSaat]))</f>
        <v/>
      </c>
      <c r="I73" s="18">
        <f>IF($A73="","",IFERROR(AVERAGEIF(tblAkis[KaynakMakineId],$A73,tblAkis[FiiliDurusSaat]),0))</f>
        <v/>
      </c>
    </row>
    <row r="74">
      <c r="A74" s="15" t="n"/>
      <c r="B74" s="15" t="n"/>
      <c r="C74" s="15" t="n"/>
      <c r="D74" s="15" t="n"/>
      <c r="E74" s="16" t="n"/>
      <c r="F74" s="17" t="n"/>
      <c r="G74" s="15" t="n"/>
      <c r="H74" s="18">
        <f>IF($A74="","",SUMIF(tblAkis[KaynakMakineId],$A74,tblAkis[FiiliDurusSaat]))</f>
        <v/>
      </c>
      <c r="I74" s="18">
        <f>IF($A74="","",IFERROR(AVERAGEIF(tblAkis[KaynakMakineId],$A74,tblAkis[FiiliDurusSaat]),0))</f>
        <v/>
      </c>
    </row>
    <row r="75">
      <c r="A75" s="15" t="n"/>
      <c r="B75" s="15" t="n"/>
      <c r="C75" s="15" t="n"/>
      <c r="D75" s="15" t="n"/>
      <c r="E75" s="16" t="n"/>
      <c r="F75" s="17" t="n"/>
      <c r="G75" s="15" t="n"/>
      <c r="H75" s="18">
        <f>IF($A75="","",SUMIF(tblAkis[KaynakMakineId],$A75,tblAkis[FiiliDurusSaat]))</f>
        <v/>
      </c>
      <c r="I75" s="18">
        <f>IF($A75="","",IFERROR(AVERAGEIF(tblAkis[KaynakMakineId],$A75,tblAkis[FiiliDurusSaat]),0))</f>
        <v/>
      </c>
    </row>
    <row r="76">
      <c r="A76" s="15" t="n"/>
      <c r="B76" s="15" t="n"/>
      <c r="C76" s="15" t="n"/>
      <c r="D76" s="15" t="n"/>
      <c r="E76" s="16" t="n"/>
      <c r="F76" s="17" t="n"/>
      <c r="G76" s="15" t="n"/>
      <c r="H76" s="18">
        <f>IF($A76="","",SUMIF(tblAkis[KaynakMakineId],$A76,tblAkis[FiiliDurusSaat]))</f>
        <v/>
      </c>
      <c r="I76" s="18">
        <f>IF($A76="","",IFERROR(AVERAGEIF(tblAkis[KaynakMakineId],$A76,tblAkis[FiiliDurusSaat]),0))</f>
        <v/>
      </c>
    </row>
    <row r="77">
      <c r="A77" s="15" t="n"/>
      <c r="B77" s="15" t="n"/>
      <c r="C77" s="15" t="n"/>
      <c r="D77" s="15" t="n"/>
      <c r="E77" s="16" t="n"/>
      <c r="F77" s="17" t="n"/>
      <c r="G77" s="15" t="n"/>
      <c r="H77" s="18">
        <f>IF($A77="","",SUMIF(tblAkis[KaynakMakineId],$A77,tblAkis[FiiliDurusSaat]))</f>
        <v/>
      </c>
      <c r="I77" s="18">
        <f>IF($A77="","",IFERROR(AVERAGEIF(tblAkis[KaynakMakineId],$A77,tblAkis[FiiliDurusSaat]),0))</f>
        <v/>
      </c>
    </row>
    <row r="78">
      <c r="A78" s="15" t="n"/>
      <c r="B78" s="15" t="n"/>
      <c r="C78" s="15" t="n"/>
      <c r="D78" s="15" t="n"/>
      <c r="E78" s="16" t="n"/>
      <c r="F78" s="17" t="n"/>
      <c r="G78" s="15" t="n"/>
      <c r="H78" s="18">
        <f>IF($A78="","",SUMIF(tblAkis[KaynakMakineId],$A78,tblAkis[FiiliDurusSaat]))</f>
        <v/>
      </c>
      <c r="I78" s="18">
        <f>IF($A78="","",IFERROR(AVERAGEIF(tblAkis[KaynakMakineId],$A78,tblAkis[FiiliDurusSaat]),0))</f>
        <v/>
      </c>
    </row>
    <row r="79">
      <c r="A79" s="15" t="n"/>
      <c r="B79" s="15" t="n"/>
      <c r="C79" s="15" t="n"/>
      <c r="D79" s="15" t="n"/>
      <c r="E79" s="16" t="n"/>
      <c r="F79" s="17" t="n"/>
      <c r="G79" s="15" t="n"/>
      <c r="H79" s="18">
        <f>IF($A79="","",SUMIF(tblAkis[KaynakMakineId],$A79,tblAkis[FiiliDurusSaat]))</f>
        <v/>
      </c>
      <c r="I79" s="18">
        <f>IF($A79="","",IFERROR(AVERAGEIF(tblAkis[KaynakMakineId],$A79,tblAkis[FiiliDurusSaat]),0))</f>
        <v/>
      </c>
    </row>
    <row r="80">
      <c r="A80" s="15" t="n"/>
      <c r="B80" s="15" t="n"/>
      <c r="C80" s="15" t="n"/>
      <c r="D80" s="15" t="n"/>
      <c r="E80" s="16" t="n"/>
      <c r="F80" s="17" t="n"/>
      <c r="G80" s="15" t="n"/>
      <c r="H80" s="18">
        <f>IF($A80="","",SUMIF(tblAkis[KaynakMakineId],$A80,tblAkis[FiiliDurusSaat]))</f>
        <v/>
      </c>
      <c r="I80" s="18">
        <f>IF($A80="","",IFERROR(AVERAGEIF(tblAkis[KaynakMakineId],$A80,tblAkis[FiiliDurusSaat]),0))</f>
        <v/>
      </c>
    </row>
    <row r="81">
      <c r="A81" s="15" t="n"/>
      <c r="B81" s="15" t="n"/>
      <c r="C81" s="15" t="n"/>
      <c r="D81" s="15" t="n"/>
      <c r="E81" s="16" t="n"/>
      <c r="F81" s="17" t="n"/>
      <c r="G81" s="15" t="n"/>
      <c r="H81" s="18">
        <f>IF($A81="","",SUMIF(tblAkis[KaynakMakineId],$A81,tblAkis[FiiliDurusSaat]))</f>
        <v/>
      </c>
      <c r="I81" s="18">
        <f>IF($A81="","",IFERROR(AVERAGEIF(tblAkis[KaynakMakineId],$A81,tblAkis[FiiliDurusSaat]),0))</f>
        <v/>
      </c>
    </row>
    <row r="82">
      <c r="A82" s="15" t="n"/>
      <c r="B82" s="15" t="n"/>
      <c r="C82" s="15" t="n"/>
      <c r="D82" s="15" t="n"/>
      <c r="E82" s="16" t="n"/>
      <c r="F82" s="17" t="n"/>
      <c r="G82" s="15" t="n"/>
      <c r="H82" s="18">
        <f>IF($A82="","",SUMIF(tblAkis[KaynakMakineId],$A82,tblAkis[FiiliDurusSaat]))</f>
        <v/>
      </c>
      <c r="I82" s="18">
        <f>IF($A82="","",IFERROR(AVERAGEIF(tblAkis[KaynakMakineId],$A82,tblAkis[FiiliDurusSaat]),0))</f>
        <v/>
      </c>
    </row>
    <row r="83">
      <c r="A83" s="15" t="n"/>
      <c r="B83" s="15" t="n"/>
      <c r="C83" s="15" t="n"/>
      <c r="D83" s="15" t="n"/>
      <c r="E83" s="16" t="n"/>
      <c r="F83" s="17" t="n"/>
      <c r="G83" s="15" t="n"/>
      <c r="H83" s="18">
        <f>IF($A83="","",SUMIF(tblAkis[KaynakMakineId],$A83,tblAkis[FiiliDurusSaat]))</f>
        <v/>
      </c>
      <c r="I83" s="18">
        <f>IF($A83="","",IFERROR(AVERAGEIF(tblAkis[KaynakMakineId],$A83,tblAkis[FiiliDurusSaat]),0))</f>
        <v/>
      </c>
    </row>
    <row r="84">
      <c r="A84" s="15" t="n"/>
      <c r="B84" s="15" t="n"/>
      <c r="C84" s="15" t="n"/>
      <c r="D84" s="15" t="n"/>
      <c r="E84" s="16" t="n"/>
      <c r="F84" s="17" t="n"/>
      <c r="G84" s="15" t="n"/>
      <c r="H84" s="18">
        <f>IF($A84="","",SUMIF(tblAkis[KaynakMakineId],$A84,tblAkis[FiiliDurusSaat]))</f>
        <v/>
      </c>
      <c r="I84" s="18">
        <f>IF($A84="","",IFERROR(AVERAGEIF(tblAkis[KaynakMakineId],$A84,tblAkis[FiiliDurusSaat]),0))</f>
        <v/>
      </c>
    </row>
    <row r="85">
      <c r="A85" s="15" t="n"/>
      <c r="B85" s="15" t="n"/>
      <c r="C85" s="15" t="n"/>
      <c r="D85" s="15" t="n"/>
      <c r="E85" s="16" t="n"/>
      <c r="F85" s="17" t="n"/>
      <c r="G85" s="15" t="n"/>
      <c r="H85" s="18">
        <f>IF($A85="","",SUMIF(tblAkis[KaynakMakineId],$A85,tblAkis[FiiliDurusSaat]))</f>
        <v/>
      </c>
      <c r="I85" s="18">
        <f>IF($A85="","",IFERROR(AVERAGEIF(tblAkis[KaynakMakineId],$A85,tblAkis[FiiliDurusSaat]),0))</f>
        <v/>
      </c>
    </row>
    <row r="86">
      <c r="A86" s="15" t="n"/>
      <c r="B86" s="15" t="n"/>
      <c r="C86" s="15" t="n"/>
      <c r="D86" s="15" t="n"/>
      <c r="E86" s="16" t="n"/>
      <c r="F86" s="17" t="n"/>
      <c r="G86" s="15" t="n"/>
      <c r="H86" s="18">
        <f>IF($A86="","",SUMIF(tblAkis[KaynakMakineId],$A86,tblAkis[FiiliDurusSaat]))</f>
        <v/>
      </c>
      <c r="I86" s="18">
        <f>IF($A86="","",IFERROR(AVERAGEIF(tblAkis[KaynakMakineId],$A86,tblAkis[FiiliDurusSaat]),0))</f>
        <v/>
      </c>
    </row>
    <row r="87">
      <c r="A87" s="15" t="n"/>
      <c r="B87" s="15" t="n"/>
      <c r="C87" s="15" t="n"/>
      <c r="D87" s="15" t="n"/>
      <c r="E87" s="16" t="n"/>
      <c r="F87" s="17" t="n"/>
      <c r="G87" s="15" t="n"/>
      <c r="H87" s="18">
        <f>IF($A87="","",SUMIF(tblAkis[KaynakMakineId],$A87,tblAkis[FiiliDurusSaat]))</f>
        <v/>
      </c>
      <c r="I87" s="18">
        <f>IF($A87="","",IFERROR(AVERAGEIF(tblAkis[KaynakMakineId],$A87,tblAkis[FiiliDurusSaat]),0))</f>
        <v/>
      </c>
    </row>
    <row r="88">
      <c r="A88" s="15" t="n"/>
      <c r="B88" s="15" t="n"/>
      <c r="C88" s="15" t="n"/>
      <c r="D88" s="15" t="n"/>
      <c r="E88" s="16" t="n"/>
      <c r="F88" s="17" t="n"/>
      <c r="G88" s="15" t="n"/>
      <c r="H88" s="18">
        <f>IF($A88="","",SUMIF(tblAkis[KaynakMakineId],$A88,tblAkis[FiiliDurusSaat]))</f>
        <v/>
      </c>
      <c r="I88" s="18">
        <f>IF($A88="","",IFERROR(AVERAGEIF(tblAkis[KaynakMakineId],$A88,tblAkis[FiiliDurusSaat]),0))</f>
        <v/>
      </c>
    </row>
    <row r="89">
      <c r="A89" s="15" t="n"/>
      <c r="B89" s="15" t="n"/>
      <c r="C89" s="15" t="n"/>
      <c r="D89" s="15" t="n"/>
      <c r="E89" s="16" t="n"/>
      <c r="F89" s="17" t="n"/>
      <c r="G89" s="15" t="n"/>
      <c r="H89" s="18">
        <f>IF($A89="","",SUMIF(tblAkis[KaynakMakineId],$A89,tblAkis[FiiliDurusSaat]))</f>
        <v/>
      </c>
      <c r="I89" s="18">
        <f>IF($A89="","",IFERROR(AVERAGEIF(tblAkis[KaynakMakineId],$A89,tblAkis[FiiliDurusSaat]),0))</f>
        <v/>
      </c>
    </row>
    <row r="90">
      <c r="A90" s="15" t="n"/>
      <c r="B90" s="15" t="n"/>
      <c r="C90" s="15" t="n"/>
      <c r="D90" s="15" t="n"/>
      <c r="E90" s="16" t="n"/>
      <c r="F90" s="17" t="n"/>
      <c r="G90" s="15" t="n"/>
      <c r="H90" s="18">
        <f>IF($A90="","",SUMIF(tblAkis[KaynakMakineId],$A90,tblAkis[FiiliDurusSaat]))</f>
        <v/>
      </c>
      <c r="I90" s="18">
        <f>IF($A90="","",IFERROR(AVERAGEIF(tblAkis[KaynakMakineId],$A90,tblAkis[FiiliDurusSaat]),0))</f>
        <v/>
      </c>
    </row>
    <row r="91">
      <c r="A91" s="15" t="n"/>
      <c r="B91" s="15" t="n"/>
      <c r="C91" s="15" t="n"/>
      <c r="D91" s="15" t="n"/>
      <c r="E91" s="16" t="n"/>
      <c r="F91" s="17" t="n"/>
      <c r="G91" s="15" t="n"/>
      <c r="H91" s="18">
        <f>IF($A91="","",SUMIF(tblAkis[KaynakMakineId],$A91,tblAkis[FiiliDurusSaat]))</f>
        <v/>
      </c>
      <c r="I91" s="18">
        <f>IF($A91="","",IFERROR(AVERAGEIF(tblAkis[KaynakMakineId],$A91,tblAkis[FiiliDurusSaat]),0))</f>
        <v/>
      </c>
    </row>
    <row r="92">
      <c r="A92" s="15" t="n"/>
      <c r="B92" s="15" t="n"/>
      <c r="C92" s="15" t="n"/>
      <c r="D92" s="15" t="n"/>
      <c r="E92" s="16" t="n"/>
      <c r="F92" s="17" t="n"/>
      <c r="G92" s="15" t="n"/>
      <c r="H92" s="18">
        <f>IF($A92="","",SUMIF(tblAkis[KaynakMakineId],$A92,tblAkis[FiiliDurusSaat]))</f>
        <v/>
      </c>
      <c r="I92" s="18">
        <f>IF($A92="","",IFERROR(AVERAGEIF(tblAkis[KaynakMakineId],$A92,tblAkis[FiiliDurusSaat]),0))</f>
        <v/>
      </c>
    </row>
    <row r="93">
      <c r="A93" s="15" t="n"/>
      <c r="B93" s="15" t="n"/>
      <c r="C93" s="15" t="n"/>
      <c r="D93" s="15" t="n"/>
      <c r="E93" s="16" t="n"/>
      <c r="F93" s="17" t="n"/>
      <c r="G93" s="15" t="n"/>
      <c r="H93" s="18">
        <f>IF($A93="","",SUMIF(tblAkis[KaynakMakineId],$A93,tblAkis[FiiliDurusSaat]))</f>
        <v/>
      </c>
      <c r="I93" s="18">
        <f>IF($A93="","",IFERROR(AVERAGEIF(tblAkis[KaynakMakineId],$A93,tblAkis[FiiliDurusSaat]),0))</f>
        <v/>
      </c>
    </row>
    <row r="94">
      <c r="A94" s="15" t="n"/>
      <c r="B94" s="15" t="n"/>
      <c r="C94" s="15" t="n"/>
      <c r="D94" s="15" t="n"/>
      <c r="E94" s="16" t="n"/>
      <c r="F94" s="17" t="n"/>
      <c r="G94" s="15" t="n"/>
      <c r="H94" s="18">
        <f>IF($A94="","",SUMIF(tblAkis[KaynakMakineId],$A94,tblAkis[FiiliDurusSaat]))</f>
        <v/>
      </c>
      <c r="I94" s="18">
        <f>IF($A94="","",IFERROR(AVERAGEIF(tblAkis[KaynakMakineId],$A94,tblAkis[FiiliDurusSaat]),0))</f>
        <v/>
      </c>
    </row>
    <row r="95">
      <c r="A95" s="15" t="n"/>
      <c r="B95" s="15" t="n"/>
      <c r="C95" s="15" t="n"/>
      <c r="D95" s="15" t="n"/>
      <c r="E95" s="16" t="n"/>
      <c r="F95" s="17" t="n"/>
      <c r="G95" s="15" t="n"/>
      <c r="H95" s="18">
        <f>IF($A95="","",SUMIF(tblAkis[KaynakMakineId],$A95,tblAkis[FiiliDurusSaat]))</f>
        <v/>
      </c>
      <c r="I95" s="18">
        <f>IF($A95="","",IFERROR(AVERAGEIF(tblAkis[KaynakMakineId],$A95,tblAkis[FiiliDurusSaat]),0))</f>
        <v/>
      </c>
    </row>
    <row r="96">
      <c r="A96" s="15" t="n"/>
      <c r="B96" s="15" t="n"/>
      <c r="C96" s="15" t="n"/>
      <c r="D96" s="15" t="n"/>
      <c r="E96" s="16" t="n"/>
      <c r="F96" s="17" t="n"/>
      <c r="G96" s="15" t="n"/>
      <c r="H96" s="18">
        <f>IF($A96="","",SUMIF(tblAkis[KaynakMakineId],$A96,tblAkis[FiiliDurusSaat]))</f>
        <v/>
      </c>
      <c r="I96" s="18">
        <f>IF($A96="","",IFERROR(AVERAGEIF(tblAkis[KaynakMakineId],$A96,tblAkis[FiiliDurusSaat]),0))</f>
        <v/>
      </c>
    </row>
    <row r="97">
      <c r="A97" s="15" t="n"/>
      <c r="B97" s="15" t="n"/>
      <c r="C97" s="15" t="n"/>
      <c r="D97" s="15" t="n"/>
      <c r="E97" s="16" t="n"/>
      <c r="F97" s="17" t="n"/>
      <c r="G97" s="15" t="n"/>
      <c r="H97" s="18">
        <f>IF($A97="","",SUMIF(tblAkis[KaynakMakineId],$A97,tblAkis[FiiliDurusSaat]))</f>
        <v/>
      </c>
      <c r="I97" s="18">
        <f>IF($A97="","",IFERROR(AVERAGEIF(tblAkis[KaynakMakineId],$A97,tblAkis[FiiliDurusSaat]),0))</f>
        <v/>
      </c>
    </row>
    <row r="98">
      <c r="A98" s="15" t="n"/>
      <c r="B98" s="15" t="n"/>
      <c r="C98" s="15" t="n"/>
      <c r="D98" s="15" t="n"/>
      <c r="E98" s="16" t="n"/>
      <c r="F98" s="17" t="n"/>
      <c r="G98" s="15" t="n"/>
      <c r="H98" s="18">
        <f>IF($A98="","",SUMIF(tblAkis[KaynakMakineId],$A98,tblAkis[FiiliDurusSaat]))</f>
        <v/>
      </c>
      <c r="I98" s="18">
        <f>IF($A98="","",IFERROR(AVERAGEIF(tblAkis[KaynakMakineId],$A98,tblAkis[FiiliDurusSaat]),0))</f>
        <v/>
      </c>
    </row>
    <row r="99">
      <c r="A99" s="15" t="n"/>
      <c r="B99" s="15" t="n"/>
      <c r="C99" s="15" t="n"/>
      <c r="D99" s="15" t="n"/>
      <c r="E99" s="16" t="n"/>
      <c r="F99" s="17" t="n"/>
      <c r="G99" s="15" t="n"/>
      <c r="H99" s="18">
        <f>IF($A99="","",SUMIF(tblAkis[KaynakMakineId],$A99,tblAkis[FiiliDurusSaat]))</f>
        <v/>
      </c>
      <c r="I99" s="18">
        <f>IF($A99="","",IFERROR(AVERAGEIF(tblAkis[KaynakMakineId],$A99,tblAkis[FiiliDurusSaat]),0))</f>
        <v/>
      </c>
    </row>
    <row r="100">
      <c r="A100" s="15" t="n"/>
      <c r="B100" s="15" t="n"/>
      <c r="C100" s="15" t="n"/>
      <c r="D100" s="15" t="n"/>
      <c r="E100" s="16" t="n"/>
      <c r="F100" s="17" t="n"/>
      <c r="G100" s="15" t="n"/>
      <c r="H100" s="18">
        <f>IF($A100="","",SUMIF(tblAkis[KaynakMakineId],$A100,tblAkis[FiiliDurusSaat]))</f>
        <v/>
      </c>
      <c r="I100" s="18">
        <f>IF($A100="","",IFERROR(AVERAGEIF(tblAkis[KaynakMakineId],$A100,tblAkis[FiiliDurusSaat]),0))</f>
        <v/>
      </c>
    </row>
    <row r="101">
      <c r="A101" s="15" t="n"/>
      <c r="B101" s="15" t="n"/>
      <c r="C101" s="15" t="n"/>
      <c r="D101" s="15" t="n"/>
      <c r="E101" s="16" t="n"/>
      <c r="F101" s="17" t="n"/>
      <c r="G101" s="15" t="n"/>
      <c r="H101" s="18">
        <f>IF($A101="","",SUMIF(tblAkis[KaynakMakineId],$A101,tblAkis[FiiliDurusSaat]))</f>
        <v/>
      </c>
      <c r="I101" s="18">
        <f>IF($A101="","",IFERROR(AVERAGEIF(tblAkis[KaynakMakineId],$A101,tblAkis[FiiliDurusSaat]),0))</f>
        <v/>
      </c>
    </row>
    <row r="102">
      <c r="A102" s="15" t="n"/>
      <c r="B102" s="15" t="n"/>
      <c r="C102" s="15" t="n"/>
      <c r="D102" s="15" t="n"/>
      <c r="E102" s="16" t="n"/>
      <c r="F102" s="17" t="n"/>
      <c r="G102" s="15" t="n"/>
      <c r="H102" s="18">
        <f>IF($A102="","",SUMIF(tblAkis[KaynakMakineId],$A102,tblAkis[FiiliDurusSaat]))</f>
        <v/>
      </c>
      <c r="I102" s="18">
        <f>IF($A102="","",IFERROR(AVERAGEIF(tblAkis[KaynakMakineId],$A102,tblAkis[FiiliDurusSaat]),0))</f>
        <v/>
      </c>
    </row>
    <row r="103">
      <c r="A103" s="15" t="n"/>
      <c r="B103" s="15" t="n"/>
      <c r="C103" s="15" t="n"/>
      <c r="D103" s="15" t="n"/>
      <c r="E103" s="16" t="n"/>
      <c r="F103" s="17" t="n"/>
      <c r="G103" s="15" t="n"/>
      <c r="H103" s="18">
        <f>IF($A103="","",SUMIF(tblAkis[KaynakMakineId],$A103,tblAkis[FiiliDurusSaat]))</f>
        <v/>
      </c>
      <c r="I103" s="18">
        <f>IF($A103="","",IFERROR(AVERAGEIF(tblAkis[KaynakMakineId],$A103,tblAkis[FiiliDurusSaat]),0))</f>
        <v/>
      </c>
    </row>
    <row r="104">
      <c r="A104" s="15" t="n"/>
      <c r="B104" s="15" t="n"/>
      <c r="C104" s="15" t="n"/>
      <c r="D104" s="15" t="n"/>
      <c r="E104" s="16" t="n"/>
      <c r="F104" s="17" t="n"/>
      <c r="G104" s="15" t="n"/>
      <c r="H104" s="18">
        <f>IF($A104="","",SUMIF(tblAkis[KaynakMakineId],$A104,tblAkis[FiiliDurusSaat]))</f>
        <v/>
      </c>
      <c r="I104" s="18">
        <f>IF($A104="","",IFERROR(AVERAGEIF(tblAkis[KaynakMakineId],$A104,tblAkis[FiiliDurusSaat]),0))</f>
        <v/>
      </c>
    </row>
    <row r="105">
      <c r="A105" s="15" t="n"/>
      <c r="B105" s="15" t="n"/>
      <c r="C105" s="15" t="n"/>
      <c r="D105" s="15" t="n"/>
      <c r="E105" s="16" t="n"/>
      <c r="F105" s="17" t="n"/>
      <c r="G105" s="15" t="n"/>
      <c r="H105" s="18">
        <f>IF($A105="","",SUMIF(tblAkis[KaynakMakineId],$A105,tblAkis[FiiliDurusSaat]))</f>
        <v/>
      </c>
      <c r="I105" s="18">
        <f>IF($A105="","",IFERROR(AVERAGEIF(tblAkis[KaynakMakineId],$A105,tblAkis[FiiliDurusSaat]),0))</f>
        <v/>
      </c>
    </row>
    <row r="106">
      <c r="A106" s="15" t="n"/>
      <c r="B106" s="15" t="n"/>
      <c r="C106" s="15" t="n"/>
      <c r="D106" s="15" t="n"/>
      <c r="E106" s="16" t="n"/>
      <c r="F106" s="17" t="n"/>
      <c r="G106" s="15" t="n"/>
      <c r="H106" s="18">
        <f>IF($A106="","",SUMIF(tblAkis[KaynakMakineId],$A106,tblAkis[FiiliDurusSaat]))</f>
        <v/>
      </c>
      <c r="I106" s="18">
        <f>IF($A106="","",IFERROR(AVERAGEIF(tblAkis[KaynakMakineId],$A106,tblAkis[FiiliDurusSaat]),0))</f>
        <v/>
      </c>
    </row>
    <row r="107">
      <c r="A107" s="15" t="n"/>
      <c r="B107" s="15" t="n"/>
      <c r="C107" s="15" t="n"/>
      <c r="D107" s="15" t="n"/>
      <c r="E107" s="16" t="n"/>
      <c r="F107" s="17" t="n"/>
      <c r="G107" s="15" t="n"/>
      <c r="H107" s="18">
        <f>IF($A107="","",SUMIF(tblAkis[KaynakMakineId],$A107,tblAkis[FiiliDurusSaat]))</f>
        <v/>
      </c>
      <c r="I107" s="18">
        <f>IF($A107="","",IFERROR(AVERAGEIF(tblAkis[KaynakMakineId],$A107,tblAkis[FiiliDurusSaat]),0))</f>
        <v/>
      </c>
    </row>
    <row r="108">
      <c r="A108" s="15" t="n"/>
      <c r="B108" s="15" t="n"/>
      <c r="C108" s="15" t="n"/>
      <c r="D108" s="15" t="n"/>
      <c r="E108" s="16" t="n"/>
      <c r="F108" s="17" t="n"/>
      <c r="G108" s="15" t="n"/>
      <c r="H108" s="18">
        <f>IF($A108="","",SUMIF(tblAkis[KaynakMakineId],$A108,tblAkis[FiiliDurusSaat]))</f>
        <v/>
      </c>
      <c r="I108" s="18">
        <f>IF($A108="","",IFERROR(AVERAGEIF(tblAkis[KaynakMakineId],$A108,tblAkis[FiiliDurusSaat]),0))</f>
        <v/>
      </c>
    </row>
    <row r="109">
      <c r="A109" s="15" t="n"/>
      <c r="B109" s="15" t="n"/>
      <c r="C109" s="15" t="n"/>
      <c r="D109" s="15" t="n"/>
      <c r="E109" s="16" t="n"/>
      <c r="F109" s="17" t="n"/>
      <c r="G109" s="15" t="n"/>
      <c r="H109" s="18">
        <f>IF($A109="","",SUMIF(tblAkis[KaynakMakineId],$A109,tblAkis[FiiliDurusSaat]))</f>
        <v/>
      </c>
      <c r="I109" s="18">
        <f>IF($A109="","",IFERROR(AVERAGEIF(tblAkis[KaynakMakineId],$A109,tblAkis[FiiliDurusSaat]),0))</f>
        <v/>
      </c>
    </row>
    <row r="110">
      <c r="A110" s="15" t="n"/>
      <c r="B110" s="15" t="n"/>
      <c r="C110" s="15" t="n"/>
      <c r="D110" s="15" t="n"/>
      <c r="E110" s="16" t="n"/>
      <c r="F110" s="17" t="n"/>
      <c r="G110" s="15" t="n"/>
      <c r="H110" s="18">
        <f>IF($A110="","",SUMIF(tblAkis[KaynakMakineId],$A110,tblAkis[FiiliDurusSaat]))</f>
        <v/>
      </c>
      <c r="I110" s="18">
        <f>IF($A110="","",IFERROR(AVERAGEIF(tblAkis[KaynakMakineId],$A110,tblAkis[FiiliDurusSaat]),0))</f>
        <v/>
      </c>
    </row>
    <row r="111">
      <c r="A111" s="15" t="n"/>
      <c r="B111" s="15" t="n"/>
      <c r="C111" s="15" t="n"/>
      <c r="D111" s="15" t="n"/>
      <c r="E111" s="16" t="n"/>
      <c r="F111" s="17" t="n"/>
      <c r="G111" s="15" t="n"/>
      <c r="H111" s="18">
        <f>IF($A111="","",SUMIF(tblAkis[KaynakMakineId],$A111,tblAkis[FiiliDurusSaat]))</f>
        <v/>
      </c>
      <c r="I111" s="18">
        <f>IF($A111="","",IFERROR(AVERAGEIF(tblAkis[KaynakMakineId],$A111,tblAkis[FiiliDurusSaat]),0))</f>
        <v/>
      </c>
    </row>
    <row r="112">
      <c r="A112" s="15" t="n"/>
      <c r="B112" s="15" t="n"/>
      <c r="C112" s="15" t="n"/>
      <c r="D112" s="15" t="n"/>
      <c r="E112" s="16" t="n"/>
      <c r="F112" s="17" t="n"/>
      <c r="G112" s="15" t="n"/>
      <c r="H112" s="18">
        <f>IF($A112="","",SUMIF(tblAkis[KaynakMakineId],$A112,tblAkis[FiiliDurusSaat]))</f>
        <v/>
      </c>
      <c r="I112" s="18">
        <f>IF($A112="","",IFERROR(AVERAGEIF(tblAkis[KaynakMakineId],$A112,tblAkis[FiiliDurusSaat]),0))</f>
        <v/>
      </c>
    </row>
    <row r="113">
      <c r="A113" s="15" t="n"/>
      <c r="B113" s="15" t="n"/>
      <c r="C113" s="15" t="n"/>
      <c r="D113" s="15" t="n"/>
      <c r="E113" s="16" t="n"/>
      <c r="F113" s="17" t="n"/>
      <c r="G113" s="15" t="n"/>
      <c r="H113" s="18">
        <f>IF($A113="","",SUMIF(tblAkis[KaynakMakineId],$A113,tblAkis[FiiliDurusSaat]))</f>
        <v/>
      </c>
      <c r="I113" s="18">
        <f>IF($A113="","",IFERROR(AVERAGEIF(tblAkis[KaynakMakineId],$A113,tblAkis[FiiliDurusSaat]),0))</f>
        <v/>
      </c>
    </row>
    <row r="114">
      <c r="A114" s="15" t="n"/>
      <c r="B114" s="15" t="n"/>
      <c r="C114" s="15" t="n"/>
      <c r="D114" s="15" t="n"/>
      <c r="E114" s="16" t="n"/>
      <c r="F114" s="17" t="n"/>
      <c r="G114" s="15" t="n"/>
      <c r="H114" s="18">
        <f>IF($A114="","",SUMIF(tblAkis[KaynakMakineId],$A114,tblAkis[FiiliDurusSaat]))</f>
        <v/>
      </c>
      <c r="I114" s="18">
        <f>IF($A114="","",IFERROR(AVERAGEIF(tblAkis[KaynakMakineId],$A114,tblAkis[FiiliDurusSaat]),0))</f>
        <v/>
      </c>
    </row>
    <row r="115">
      <c r="A115" s="15" t="n"/>
      <c r="B115" s="15" t="n"/>
      <c r="C115" s="15" t="n"/>
      <c r="D115" s="15" t="n"/>
      <c r="E115" s="16" t="n"/>
      <c r="F115" s="17" t="n"/>
      <c r="G115" s="15" t="n"/>
      <c r="H115" s="18">
        <f>IF($A115="","",SUMIF(tblAkis[KaynakMakineId],$A115,tblAkis[FiiliDurusSaat]))</f>
        <v/>
      </c>
      <c r="I115" s="18">
        <f>IF($A115="","",IFERROR(AVERAGEIF(tblAkis[KaynakMakineId],$A115,tblAkis[FiiliDurusSaat]),0))</f>
        <v/>
      </c>
    </row>
    <row r="116">
      <c r="A116" s="15" t="n"/>
      <c r="B116" s="15" t="n"/>
      <c r="C116" s="15" t="n"/>
      <c r="D116" s="15" t="n"/>
      <c r="E116" s="16" t="n"/>
      <c r="F116" s="17" t="n"/>
      <c r="G116" s="15" t="n"/>
      <c r="H116" s="18">
        <f>IF($A116="","",SUMIF(tblAkis[KaynakMakineId],$A116,tblAkis[FiiliDurusSaat]))</f>
        <v/>
      </c>
      <c r="I116" s="18">
        <f>IF($A116="","",IFERROR(AVERAGEIF(tblAkis[KaynakMakineId],$A116,tblAkis[FiiliDurusSaat]),0))</f>
        <v/>
      </c>
    </row>
    <row r="117">
      <c r="A117" s="15" t="n"/>
      <c r="B117" s="15" t="n"/>
      <c r="C117" s="15" t="n"/>
      <c r="D117" s="15" t="n"/>
      <c r="E117" s="16" t="n"/>
      <c r="F117" s="17" t="n"/>
      <c r="G117" s="15" t="n"/>
      <c r="H117" s="18">
        <f>IF($A117="","",SUMIF(tblAkis[KaynakMakineId],$A117,tblAkis[FiiliDurusSaat]))</f>
        <v/>
      </c>
      <c r="I117" s="18">
        <f>IF($A117="","",IFERROR(AVERAGEIF(tblAkis[KaynakMakineId],$A117,tblAkis[FiiliDurusSaat]),0))</f>
        <v/>
      </c>
    </row>
    <row r="118">
      <c r="A118" s="15" t="n"/>
      <c r="B118" s="15" t="n"/>
      <c r="C118" s="15" t="n"/>
      <c r="D118" s="15" t="n"/>
      <c r="E118" s="16" t="n"/>
      <c r="F118" s="17" t="n"/>
      <c r="G118" s="15" t="n"/>
      <c r="H118" s="18">
        <f>IF($A118="","",SUMIF(tblAkis[KaynakMakineId],$A118,tblAkis[FiiliDurusSaat]))</f>
        <v/>
      </c>
      <c r="I118" s="18">
        <f>IF($A118="","",IFERROR(AVERAGEIF(tblAkis[KaynakMakineId],$A118,tblAkis[FiiliDurusSaat]),0))</f>
        <v/>
      </c>
    </row>
    <row r="119">
      <c r="A119" s="15" t="n"/>
      <c r="B119" s="15" t="n"/>
      <c r="C119" s="15" t="n"/>
      <c r="D119" s="15" t="n"/>
      <c r="E119" s="16" t="n"/>
      <c r="F119" s="17" t="n"/>
      <c r="G119" s="15" t="n"/>
      <c r="H119" s="18">
        <f>IF($A119="","",SUMIF(tblAkis[KaynakMakineId],$A119,tblAkis[FiiliDurusSaat]))</f>
        <v/>
      </c>
      <c r="I119" s="18">
        <f>IF($A119="","",IFERROR(AVERAGEIF(tblAkis[KaynakMakineId],$A119,tblAkis[FiiliDurusSaat]),0))</f>
        <v/>
      </c>
    </row>
    <row r="120">
      <c r="A120" s="15" t="n"/>
      <c r="B120" s="15" t="n"/>
      <c r="C120" s="15" t="n"/>
      <c r="D120" s="15" t="n"/>
      <c r="E120" s="16" t="n"/>
      <c r="F120" s="17" t="n"/>
      <c r="G120" s="15" t="n"/>
      <c r="H120" s="18">
        <f>IF($A120="","",SUMIF(tblAkis[KaynakMakineId],$A120,tblAkis[FiiliDurusSaat]))</f>
        <v/>
      </c>
      <c r="I120" s="18">
        <f>IF($A120="","",IFERROR(AVERAGEIF(tblAkis[KaynakMakineId],$A120,tblAkis[FiiliDurusSaat]),0))</f>
        <v/>
      </c>
    </row>
    <row r="121">
      <c r="A121" s="15" t="n"/>
      <c r="B121" s="15" t="n"/>
      <c r="C121" s="15" t="n"/>
      <c r="D121" s="15" t="n"/>
      <c r="E121" s="16" t="n"/>
      <c r="F121" s="17" t="n"/>
      <c r="G121" s="15" t="n"/>
      <c r="H121" s="18">
        <f>IF($A121="","",SUMIF(tblAkis[KaynakMakineId],$A121,tblAkis[FiiliDurusSaat]))</f>
        <v/>
      </c>
      <c r="I121" s="18">
        <f>IF($A121="","",IFERROR(AVERAGEIF(tblAkis[KaynakMakineId],$A121,tblAkis[FiiliDurusSaat]),0))</f>
        <v/>
      </c>
    </row>
    <row r="122">
      <c r="A122" s="15" t="n"/>
      <c r="B122" s="15" t="n"/>
      <c r="C122" s="15" t="n"/>
      <c r="D122" s="15" t="n"/>
      <c r="E122" s="16" t="n"/>
      <c r="F122" s="17" t="n"/>
      <c r="G122" s="15" t="n"/>
      <c r="H122" s="18">
        <f>IF($A122="","",SUMIF(tblAkis[KaynakMakineId],$A122,tblAkis[FiiliDurusSaat]))</f>
        <v/>
      </c>
      <c r="I122" s="18">
        <f>IF($A122="","",IFERROR(AVERAGEIF(tblAkis[KaynakMakineId],$A122,tblAkis[FiiliDurusSaat]),0))</f>
        <v/>
      </c>
    </row>
    <row r="123">
      <c r="A123" s="15" t="n"/>
      <c r="B123" s="15" t="n"/>
      <c r="C123" s="15" t="n"/>
      <c r="D123" s="15" t="n"/>
      <c r="E123" s="16" t="n"/>
      <c r="F123" s="17" t="n"/>
      <c r="G123" s="15" t="n"/>
      <c r="H123" s="18">
        <f>IF($A123="","",SUMIF(tblAkis[KaynakMakineId],$A123,tblAkis[FiiliDurusSaat]))</f>
        <v/>
      </c>
      <c r="I123" s="18">
        <f>IF($A123="","",IFERROR(AVERAGEIF(tblAkis[KaynakMakineId],$A123,tblAkis[FiiliDurusSaat]),0))</f>
        <v/>
      </c>
    </row>
    <row r="124">
      <c r="A124" s="15" t="n"/>
      <c r="B124" s="15" t="n"/>
      <c r="C124" s="15" t="n"/>
      <c r="D124" s="15" t="n"/>
      <c r="E124" s="16" t="n"/>
      <c r="F124" s="17" t="n"/>
      <c r="G124" s="15" t="n"/>
      <c r="H124" s="18">
        <f>IF($A124="","",SUMIF(tblAkis[KaynakMakineId],$A124,tblAkis[FiiliDurusSaat]))</f>
        <v/>
      </c>
      <c r="I124" s="18">
        <f>IF($A124="","",IFERROR(AVERAGEIF(tblAkis[KaynakMakineId],$A124,tblAkis[FiiliDurusSaat]),0))</f>
        <v/>
      </c>
    </row>
    <row r="125">
      <c r="A125" s="15" t="n"/>
      <c r="B125" s="15" t="n"/>
      <c r="C125" s="15" t="n"/>
      <c r="D125" s="15" t="n"/>
      <c r="E125" s="16" t="n"/>
      <c r="F125" s="17" t="n"/>
      <c r="G125" s="15" t="n"/>
      <c r="H125" s="18">
        <f>IF($A125="","",SUMIF(tblAkis[KaynakMakineId],$A125,tblAkis[FiiliDurusSaat]))</f>
        <v/>
      </c>
      <c r="I125" s="18">
        <f>IF($A125="","",IFERROR(AVERAGEIF(tblAkis[KaynakMakineId],$A125,tblAkis[FiiliDurusSaat]),0))</f>
        <v/>
      </c>
    </row>
    <row r="126">
      <c r="A126" s="15" t="n"/>
      <c r="B126" s="15" t="n"/>
      <c r="C126" s="15" t="n"/>
      <c r="D126" s="15" t="n"/>
      <c r="E126" s="16" t="n"/>
      <c r="F126" s="17" t="n"/>
      <c r="G126" s="15" t="n"/>
      <c r="H126" s="18">
        <f>IF($A126="","",SUMIF(tblAkis[KaynakMakineId],$A126,tblAkis[FiiliDurusSaat]))</f>
        <v/>
      </c>
      <c r="I126" s="18">
        <f>IF($A126="","",IFERROR(AVERAGEIF(tblAkis[KaynakMakineId],$A126,tblAkis[FiiliDurusSaat]),0))</f>
        <v/>
      </c>
    </row>
    <row r="127">
      <c r="A127" s="15" t="n"/>
      <c r="B127" s="15" t="n"/>
      <c r="C127" s="15" t="n"/>
      <c r="D127" s="15" t="n"/>
      <c r="E127" s="16" t="n"/>
      <c r="F127" s="17" t="n"/>
      <c r="G127" s="15" t="n"/>
      <c r="H127" s="18">
        <f>IF($A127="","",SUMIF(tblAkis[KaynakMakineId],$A127,tblAkis[FiiliDurusSaat]))</f>
        <v/>
      </c>
      <c r="I127" s="18">
        <f>IF($A127="","",IFERROR(AVERAGEIF(tblAkis[KaynakMakineId],$A127,tblAkis[FiiliDurusSaat]),0))</f>
        <v/>
      </c>
    </row>
    <row r="128">
      <c r="A128" s="15" t="n"/>
      <c r="B128" s="15" t="n"/>
      <c r="C128" s="15" t="n"/>
      <c r="D128" s="15" t="n"/>
      <c r="E128" s="16" t="n"/>
      <c r="F128" s="17" t="n"/>
      <c r="G128" s="15" t="n"/>
      <c r="H128" s="18">
        <f>IF($A128="","",SUMIF(tblAkis[KaynakMakineId],$A128,tblAkis[FiiliDurusSaat]))</f>
        <v/>
      </c>
      <c r="I128" s="18">
        <f>IF($A128="","",IFERROR(AVERAGEIF(tblAkis[KaynakMakineId],$A128,tblAkis[FiiliDurusSaat]),0))</f>
        <v/>
      </c>
    </row>
    <row r="129">
      <c r="A129" s="15" t="n"/>
      <c r="B129" s="15" t="n"/>
      <c r="C129" s="15" t="n"/>
      <c r="D129" s="15" t="n"/>
      <c r="E129" s="16" t="n"/>
      <c r="F129" s="17" t="n"/>
      <c r="G129" s="15" t="n"/>
      <c r="H129" s="18">
        <f>IF($A129="","",SUMIF(tblAkis[KaynakMakineId],$A129,tblAkis[FiiliDurusSaat]))</f>
        <v/>
      </c>
      <c r="I129" s="18">
        <f>IF($A129="","",IFERROR(AVERAGEIF(tblAkis[KaynakMakineId],$A129,tblAkis[FiiliDurusSaat]),0))</f>
        <v/>
      </c>
    </row>
    <row r="130">
      <c r="A130" s="15" t="n"/>
      <c r="B130" s="15" t="n"/>
      <c r="C130" s="15" t="n"/>
      <c r="D130" s="15" t="n"/>
      <c r="E130" s="16" t="n"/>
      <c r="F130" s="17" t="n"/>
      <c r="G130" s="15" t="n"/>
      <c r="H130" s="18">
        <f>IF($A130="","",SUMIF(tblAkis[KaynakMakineId],$A130,tblAkis[FiiliDurusSaat]))</f>
        <v/>
      </c>
      <c r="I130" s="18">
        <f>IF($A130="","",IFERROR(AVERAGEIF(tblAkis[KaynakMakineId],$A130,tblAkis[FiiliDurusSaat]),0))</f>
        <v/>
      </c>
    </row>
    <row r="131">
      <c r="A131" s="15" t="n"/>
      <c r="B131" s="15" t="n"/>
      <c r="C131" s="15" t="n"/>
      <c r="D131" s="15" t="n"/>
      <c r="E131" s="16" t="n"/>
      <c r="F131" s="17" t="n"/>
      <c r="G131" s="15" t="n"/>
      <c r="H131" s="18">
        <f>IF($A131="","",SUMIF(tblAkis[KaynakMakineId],$A131,tblAkis[FiiliDurusSaat]))</f>
        <v/>
      </c>
      <c r="I131" s="18">
        <f>IF($A131="","",IFERROR(AVERAGEIF(tblAkis[KaynakMakineId],$A131,tblAkis[FiiliDurusSaat]),0))</f>
        <v/>
      </c>
    </row>
    <row r="132">
      <c r="A132" s="15" t="n"/>
      <c r="B132" s="15" t="n"/>
      <c r="C132" s="15" t="n"/>
      <c r="D132" s="15" t="n"/>
      <c r="E132" s="16" t="n"/>
      <c r="F132" s="17" t="n"/>
      <c r="G132" s="15" t="n"/>
      <c r="H132" s="18">
        <f>IF($A132="","",SUMIF(tblAkis[KaynakMakineId],$A132,tblAkis[FiiliDurusSaat]))</f>
        <v/>
      </c>
      <c r="I132" s="18">
        <f>IF($A132="","",IFERROR(AVERAGEIF(tblAkis[KaynakMakineId],$A132,tblAkis[FiiliDurusSaat]),0))</f>
        <v/>
      </c>
    </row>
    <row r="133">
      <c r="A133" s="15" t="n"/>
      <c r="B133" s="15" t="n"/>
      <c r="C133" s="15" t="n"/>
      <c r="D133" s="15" t="n"/>
      <c r="E133" s="16" t="n"/>
      <c r="F133" s="17" t="n"/>
      <c r="G133" s="15" t="n"/>
      <c r="H133" s="18">
        <f>IF($A133="","",SUMIF(tblAkis[KaynakMakineId],$A133,tblAkis[FiiliDurusSaat]))</f>
        <v/>
      </c>
      <c r="I133" s="18">
        <f>IF($A133="","",IFERROR(AVERAGEIF(tblAkis[KaynakMakineId],$A133,tblAkis[FiiliDurusSaat]),0))</f>
        <v/>
      </c>
    </row>
    <row r="134">
      <c r="A134" s="15" t="n"/>
      <c r="B134" s="15" t="n"/>
      <c r="C134" s="15" t="n"/>
      <c r="D134" s="15" t="n"/>
      <c r="E134" s="16" t="n"/>
      <c r="F134" s="17" t="n"/>
      <c r="G134" s="15" t="n"/>
      <c r="H134" s="18">
        <f>IF($A134="","",SUMIF(tblAkis[KaynakMakineId],$A134,tblAkis[FiiliDurusSaat]))</f>
        <v/>
      </c>
      <c r="I134" s="18">
        <f>IF($A134="","",IFERROR(AVERAGEIF(tblAkis[KaynakMakineId],$A134,tblAkis[FiiliDurusSaat]),0))</f>
        <v/>
      </c>
    </row>
    <row r="135">
      <c r="A135" s="15" t="n"/>
      <c r="B135" s="15" t="n"/>
      <c r="C135" s="15" t="n"/>
      <c r="D135" s="15" t="n"/>
      <c r="E135" s="16" t="n"/>
      <c r="F135" s="17" t="n"/>
      <c r="G135" s="15" t="n"/>
      <c r="H135" s="18">
        <f>IF($A135="","",SUMIF(tblAkis[KaynakMakineId],$A135,tblAkis[FiiliDurusSaat]))</f>
        <v/>
      </c>
      <c r="I135" s="18">
        <f>IF($A135="","",IFERROR(AVERAGEIF(tblAkis[KaynakMakineId],$A135,tblAkis[FiiliDurusSaat]),0))</f>
        <v/>
      </c>
    </row>
    <row r="136">
      <c r="A136" s="15" t="n"/>
      <c r="B136" s="15" t="n"/>
      <c r="C136" s="15" t="n"/>
      <c r="D136" s="15" t="n"/>
      <c r="E136" s="16" t="n"/>
      <c r="F136" s="17" t="n"/>
      <c r="G136" s="15" t="n"/>
      <c r="H136" s="18">
        <f>IF($A136="","",SUMIF(tblAkis[KaynakMakineId],$A136,tblAkis[FiiliDurusSaat]))</f>
        <v/>
      </c>
      <c r="I136" s="18">
        <f>IF($A136="","",IFERROR(AVERAGEIF(tblAkis[KaynakMakineId],$A136,tblAkis[FiiliDurusSaat]),0))</f>
        <v/>
      </c>
    </row>
    <row r="137">
      <c r="A137" s="15" t="n"/>
      <c r="B137" s="15" t="n"/>
      <c r="C137" s="15" t="n"/>
      <c r="D137" s="15" t="n"/>
      <c r="E137" s="16" t="n"/>
      <c r="F137" s="17" t="n"/>
      <c r="G137" s="15" t="n"/>
      <c r="H137" s="18">
        <f>IF($A137="","",SUMIF(tblAkis[KaynakMakineId],$A137,tblAkis[FiiliDurusSaat]))</f>
        <v/>
      </c>
      <c r="I137" s="18">
        <f>IF($A137="","",IFERROR(AVERAGEIF(tblAkis[KaynakMakineId],$A137,tblAkis[FiiliDurusSaat]),0))</f>
        <v/>
      </c>
    </row>
    <row r="138">
      <c r="A138" s="15" t="n"/>
      <c r="B138" s="15" t="n"/>
      <c r="C138" s="15" t="n"/>
      <c r="D138" s="15" t="n"/>
      <c r="E138" s="16" t="n"/>
      <c r="F138" s="17" t="n"/>
      <c r="G138" s="15" t="n"/>
      <c r="H138" s="18">
        <f>IF($A138="","",SUMIF(tblAkis[KaynakMakineId],$A138,tblAkis[FiiliDurusSaat]))</f>
        <v/>
      </c>
      <c r="I138" s="18">
        <f>IF($A138="","",IFERROR(AVERAGEIF(tblAkis[KaynakMakineId],$A138,tblAkis[FiiliDurusSaat]),0))</f>
        <v/>
      </c>
    </row>
    <row r="139">
      <c r="A139" s="15" t="n"/>
      <c r="B139" s="15" t="n"/>
      <c r="C139" s="15" t="n"/>
      <c r="D139" s="15" t="n"/>
      <c r="E139" s="16" t="n"/>
      <c r="F139" s="17" t="n"/>
      <c r="G139" s="15" t="n"/>
      <c r="H139" s="18">
        <f>IF($A139="","",SUMIF(tblAkis[KaynakMakineId],$A139,tblAkis[FiiliDurusSaat]))</f>
        <v/>
      </c>
      <c r="I139" s="18">
        <f>IF($A139="","",IFERROR(AVERAGEIF(tblAkis[KaynakMakineId],$A139,tblAkis[FiiliDurusSaat]),0))</f>
        <v/>
      </c>
    </row>
    <row r="140">
      <c r="A140" s="15" t="n"/>
      <c r="B140" s="15" t="n"/>
      <c r="C140" s="15" t="n"/>
      <c r="D140" s="15" t="n"/>
      <c r="E140" s="16" t="n"/>
      <c r="F140" s="17" t="n"/>
      <c r="G140" s="15" t="n"/>
      <c r="H140" s="18">
        <f>IF($A140="","",SUMIF(tblAkis[KaynakMakineId],$A140,tblAkis[FiiliDurusSaat]))</f>
        <v/>
      </c>
      <c r="I140" s="18">
        <f>IF($A140="","",IFERROR(AVERAGEIF(tblAkis[KaynakMakineId],$A140,tblAkis[FiiliDurusSaat]),0))</f>
        <v/>
      </c>
    </row>
    <row r="141">
      <c r="A141" s="15" t="n"/>
      <c r="B141" s="15" t="n"/>
      <c r="C141" s="15" t="n"/>
      <c r="D141" s="15" t="n"/>
      <c r="E141" s="16" t="n"/>
      <c r="F141" s="17" t="n"/>
      <c r="G141" s="15" t="n"/>
      <c r="H141" s="18">
        <f>IF($A141="","",SUMIF(tblAkis[KaynakMakineId],$A141,tblAkis[FiiliDurusSaat]))</f>
        <v/>
      </c>
      <c r="I141" s="18">
        <f>IF($A141="","",IFERROR(AVERAGEIF(tblAkis[KaynakMakineId],$A141,tblAkis[FiiliDurusSaat]),0))</f>
        <v/>
      </c>
    </row>
    <row r="142">
      <c r="A142" s="15" t="n"/>
      <c r="B142" s="15" t="n"/>
      <c r="C142" s="15" t="n"/>
      <c r="D142" s="15" t="n"/>
      <c r="E142" s="16" t="n"/>
      <c r="F142" s="17" t="n"/>
      <c r="G142" s="15" t="n"/>
      <c r="H142" s="18">
        <f>IF($A142="","",SUMIF(tblAkis[KaynakMakineId],$A142,tblAkis[FiiliDurusSaat]))</f>
        <v/>
      </c>
      <c r="I142" s="18">
        <f>IF($A142="","",IFERROR(AVERAGEIF(tblAkis[KaynakMakineId],$A142,tblAkis[FiiliDurusSaat]),0))</f>
        <v/>
      </c>
    </row>
    <row r="143">
      <c r="A143" s="15" t="n"/>
      <c r="B143" s="15" t="n"/>
      <c r="C143" s="15" t="n"/>
      <c r="D143" s="15" t="n"/>
      <c r="E143" s="16" t="n"/>
      <c r="F143" s="17" t="n"/>
      <c r="G143" s="15" t="n"/>
      <c r="H143" s="18">
        <f>IF($A143="","",SUMIF(tblAkis[KaynakMakineId],$A143,tblAkis[FiiliDurusSaat]))</f>
        <v/>
      </c>
      <c r="I143" s="18">
        <f>IF($A143="","",IFERROR(AVERAGEIF(tblAkis[KaynakMakineId],$A143,tblAkis[FiiliDurusSaat]),0))</f>
        <v/>
      </c>
    </row>
    <row r="144">
      <c r="A144" s="15" t="n"/>
      <c r="B144" s="15" t="n"/>
      <c r="C144" s="15" t="n"/>
      <c r="D144" s="15" t="n"/>
      <c r="E144" s="16" t="n"/>
      <c r="F144" s="17" t="n"/>
      <c r="G144" s="15" t="n"/>
      <c r="H144" s="18">
        <f>IF($A144="","",SUMIF(tblAkis[KaynakMakineId],$A144,tblAkis[FiiliDurusSaat]))</f>
        <v/>
      </c>
      <c r="I144" s="18">
        <f>IF($A144="","",IFERROR(AVERAGEIF(tblAkis[KaynakMakineId],$A144,tblAkis[FiiliDurusSaat]),0))</f>
        <v/>
      </c>
    </row>
    <row r="145">
      <c r="A145" s="15" t="n"/>
      <c r="B145" s="15" t="n"/>
      <c r="C145" s="15" t="n"/>
      <c r="D145" s="15" t="n"/>
      <c r="E145" s="16" t="n"/>
      <c r="F145" s="17" t="n"/>
      <c r="G145" s="15" t="n"/>
      <c r="H145" s="18">
        <f>IF($A145="","",SUMIF(tblAkis[KaynakMakineId],$A145,tblAkis[FiiliDurusSaat]))</f>
        <v/>
      </c>
      <c r="I145" s="18">
        <f>IF($A145="","",IFERROR(AVERAGEIF(tblAkis[KaynakMakineId],$A145,tblAkis[FiiliDurusSaat]),0))</f>
        <v/>
      </c>
    </row>
    <row r="146">
      <c r="A146" s="15" t="n"/>
      <c r="B146" s="15" t="n"/>
      <c r="C146" s="15" t="n"/>
      <c r="D146" s="15" t="n"/>
      <c r="E146" s="16" t="n"/>
      <c r="F146" s="17" t="n"/>
      <c r="G146" s="15" t="n"/>
      <c r="H146" s="18">
        <f>IF($A146="","",SUMIF(tblAkis[KaynakMakineId],$A146,tblAkis[FiiliDurusSaat]))</f>
        <v/>
      </c>
      <c r="I146" s="18">
        <f>IF($A146="","",IFERROR(AVERAGEIF(tblAkis[KaynakMakineId],$A146,tblAkis[FiiliDurusSaat]),0))</f>
        <v/>
      </c>
    </row>
    <row r="147">
      <c r="A147" s="15" t="n"/>
      <c r="B147" s="15" t="n"/>
      <c r="C147" s="15" t="n"/>
      <c r="D147" s="15" t="n"/>
      <c r="E147" s="16" t="n"/>
      <c r="F147" s="17" t="n"/>
      <c r="G147" s="15" t="n"/>
      <c r="H147" s="18">
        <f>IF($A147="","",SUMIF(tblAkis[KaynakMakineId],$A147,tblAkis[FiiliDurusSaat]))</f>
        <v/>
      </c>
      <c r="I147" s="18">
        <f>IF($A147="","",IFERROR(AVERAGEIF(tblAkis[KaynakMakineId],$A147,tblAkis[FiiliDurusSaat]),0))</f>
        <v/>
      </c>
    </row>
    <row r="148">
      <c r="A148" s="15" t="n"/>
      <c r="B148" s="15" t="n"/>
      <c r="C148" s="15" t="n"/>
      <c r="D148" s="15" t="n"/>
      <c r="E148" s="16" t="n"/>
      <c r="F148" s="17" t="n"/>
      <c r="G148" s="15" t="n"/>
      <c r="H148" s="18">
        <f>IF($A148="","",SUMIF(tblAkis[KaynakMakineId],$A148,tblAkis[FiiliDurusSaat]))</f>
        <v/>
      </c>
      <c r="I148" s="18">
        <f>IF($A148="","",IFERROR(AVERAGEIF(tblAkis[KaynakMakineId],$A148,tblAkis[FiiliDurusSaat]),0))</f>
        <v/>
      </c>
    </row>
    <row r="149">
      <c r="A149" s="15" t="n"/>
      <c r="B149" s="15" t="n"/>
      <c r="C149" s="15" t="n"/>
      <c r="D149" s="15" t="n"/>
      <c r="E149" s="16" t="n"/>
      <c r="F149" s="17" t="n"/>
      <c r="G149" s="15" t="n"/>
      <c r="H149" s="18">
        <f>IF($A149="","",SUMIF(tblAkis[KaynakMakineId],$A149,tblAkis[FiiliDurusSaat]))</f>
        <v/>
      </c>
      <c r="I149" s="18">
        <f>IF($A149="","",IFERROR(AVERAGEIF(tblAkis[KaynakMakineId],$A149,tblAkis[FiiliDurusSaat]),0))</f>
        <v/>
      </c>
    </row>
    <row r="150">
      <c r="A150" s="15" t="n"/>
      <c r="B150" s="15" t="n"/>
      <c r="C150" s="15" t="n"/>
      <c r="D150" s="15" t="n"/>
      <c r="E150" s="16" t="n"/>
      <c r="F150" s="17" t="n"/>
      <c r="G150" s="15" t="n"/>
      <c r="H150" s="18">
        <f>IF($A150="","",SUMIF(tblAkis[KaynakMakineId],$A150,tblAkis[FiiliDurusSaat]))</f>
        <v/>
      </c>
      <c r="I150" s="18">
        <f>IF($A150="","",IFERROR(AVERAGEIF(tblAkis[KaynakMakineId],$A150,tblAkis[FiiliDurusSaat]),0))</f>
        <v/>
      </c>
    </row>
    <row r="151">
      <c r="A151" s="15" t="n"/>
      <c r="B151" s="15" t="n"/>
      <c r="C151" s="15" t="n"/>
      <c r="D151" s="15" t="n"/>
      <c r="E151" s="16" t="n"/>
      <c r="F151" s="17" t="n"/>
      <c r="G151" s="15" t="n"/>
      <c r="H151" s="18">
        <f>IF($A151="","",SUMIF(tblAkis[KaynakMakineId],$A151,tblAkis[FiiliDurusSaat]))</f>
        <v/>
      </c>
      <c r="I151" s="18">
        <f>IF($A151="","",IFERROR(AVERAGEIF(tblAkis[KaynakMakineId],$A151,tblAkis[FiiliDurusSaat]),0))</f>
        <v/>
      </c>
    </row>
    <row r="152">
      <c r="A152" s="15" t="n"/>
      <c r="B152" s="15" t="n"/>
      <c r="C152" s="15" t="n"/>
      <c r="D152" s="15" t="n"/>
      <c r="E152" s="16" t="n"/>
      <c r="F152" s="17" t="n"/>
      <c r="G152" s="15" t="n"/>
      <c r="H152" s="18">
        <f>IF($A152="","",SUMIF(tblAkis[KaynakMakineId],$A152,tblAkis[FiiliDurusSaat]))</f>
        <v/>
      </c>
      <c r="I152" s="18">
        <f>IF($A152="","",IFERROR(AVERAGEIF(tblAkis[KaynakMakineId],$A152,tblAkis[FiiliDurusSaat]),0))</f>
        <v/>
      </c>
    </row>
    <row r="153">
      <c r="A153" s="15" t="n"/>
      <c r="B153" s="15" t="n"/>
      <c r="C153" s="15" t="n"/>
      <c r="D153" s="15" t="n"/>
      <c r="E153" s="16" t="n"/>
      <c r="F153" s="17" t="n"/>
      <c r="G153" s="15" t="n"/>
      <c r="H153" s="18">
        <f>IF($A153="","",SUMIF(tblAkis[KaynakMakineId],$A153,tblAkis[FiiliDurusSaat]))</f>
        <v/>
      </c>
      <c r="I153" s="18">
        <f>IF($A153="","",IFERROR(AVERAGEIF(tblAkis[KaynakMakineId],$A153,tblAkis[FiiliDurusSaat]),0))</f>
        <v/>
      </c>
    </row>
    <row r="154">
      <c r="A154" s="15" t="n"/>
      <c r="B154" s="15" t="n"/>
      <c r="C154" s="15" t="n"/>
      <c r="D154" s="15" t="n"/>
      <c r="E154" s="16" t="n"/>
      <c r="F154" s="17" t="n"/>
      <c r="G154" s="15" t="n"/>
      <c r="H154" s="18">
        <f>IF($A154="","",SUMIF(tblAkis[KaynakMakineId],$A154,tblAkis[FiiliDurusSaat]))</f>
        <v/>
      </c>
      <c r="I154" s="18">
        <f>IF($A154="","",IFERROR(AVERAGEIF(tblAkis[KaynakMakineId],$A154,tblAkis[FiiliDurusSaat]),0))</f>
        <v/>
      </c>
    </row>
    <row r="155">
      <c r="A155" s="15" t="n"/>
      <c r="B155" s="15" t="n"/>
      <c r="C155" s="15" t="n"/>
      <c r="D155" s="15" t="n"/>
      <c r="E155" s="16" t="n"/>
      <c r="F155" s="17" t="n"/>
      <c r="G155" s="15" t="n"/>
      <c r="H155" s="18">
        <f>IF($A155="","",SUMIF(tblAkis[KaynakMakineId],$A155,tblAkis[FiiliDurusSaat]))</f>
        <v/>
      </c>
      <c r="I155" s="18">
        <f>IF($A155="","",IFERROR(AVERAGEIF(tblAkis[KaynakMakineId],$A155,tblAkis[FiiliDurusSaat]),0))</f>
        <v/>
      </c>
    </row>
    <row r="156">
      <c r="A156" s="15" t="n"/>
      <c r="B156" s="15" t="n"/>
      <c r="C156" s="15" t="n"/>
      <c r="D156" s="15" t="n"/>
      <c r="E156" s="16" t="n"/>
      <c r="F156" s="17" t="n"/>
      <c r="G156" s="15" t="n"/>
      <c r="H156" s="18">
        <f>IF($A156="","",SUMIF(tblAkis[KaynakMakineId],$A156,tblAkis[FiiliDurusSaat]))</f>
        <v/>
      </c>
      <c r="I156" s="18">
        <f>IF($A156="","",IFERROR(AVERAGEIF(tblAkis[KaynakMakineId],$A156,tblAkis[FiiliDurusSaat]),0))</f>
        <v/>
      </c>
    </row>
    <row r="157">
      <c r="A157" s="15" t="n"/>
      <c r="B157" s="15" t="n"/>
      <c r="C157" s="15" t="n"/>
      <c r="D157" s="15" t="n"/>
      <c r="E157" s="16" t="n"/>
      <c r="F157" s="17" t="n"/>
      <c r="G157" s="15" t="n"/>
      <c r="H157" s="18">
        <f>IF($A157="","",SUMIF(tblAkis[KaynakMakineId],$A157,tblAkis[FiiliDurusSaat]))</f>
        <v/>
      </c>
      <c r="I157" s="18">
        <f>IF($A157="","",IFERROR(AVERAGEIF(tblAkis[KaynakMakineId],$A157,tblAkis[FiiliDurusSaat]),0))</f>
        <v/>
      </c>
    </row>
    <row r="158">
      <c r="A158" s="15" t="n"/>
      <c r="B158" s="15" t="n"/>
      <c r="C158" s="15" t="n"/>
      <c r="D158" s="15" t="n"/>
      <c r="E158" s="16" t="n"/>
      <c r="F158" s="17" t="n"/>
      <c r="G158" s="15" t="n"/>
      <c r="H158" s="18">
        <f>IF($A158="","",SUMIF(tblAkis[KaynakMakineId],$A158,tblAkis[FiiliDurusSaat]))</f>
        <v/>
      </c>
      <c r="I158" s="18">
        <f>IF($A158="","",IFERROR(AVERAGEIF(tblAkis[KaynakMakineId],$A158,tblAkis[FiiliDurusSaat]),0))</f>
        <v/>
      </c>
    </row>
    <row r="159">
      <c r="A159" s="15" t="n"/>
      <c r="B159" s="15" t="n"/>
      <c r="C159" s="15" t="n"/>
      <c r="D159" s="15" t="n"/>
      <c r="E159" s="16" t="n"/>
      <c r="F159" s="17" t="n"/>
      <c r="G159" s="15" t="n"/>
      <c r="H159" s="18">
        <f>IF($A159="","",SUMIF(tblAkis[KaynakMakineId],$A159,tblAkis[FiiliDurusSaat]))</f>
        <v/>
      </c>
      <c r="I159" s="18">
        <f>IF($A159="","",IFERROR(AVERAGEIF(tblAkis[KaynakMakineId],$A159,tblAkis[FiiliDurusSaat]),0))</f>
        <v/>
      </c>
    </row>
    <row r="160">
      <c r="A160" s="15" t="n"/>
      <c r="B160" s="15" t="n"/>
      <c r="C160" s="15" t="n"/>
      <c r="D160" s="15" t="n"/>
      <c r="E160" s="16" t="n"/>
      <c r="F160" s="17" t="n"/>
      <c r="G160" s="15" t="n"/>
      <c r="H160" s="18">
        <f>IF($A160="","",SUMIF(tblAkis[KaynakMakineId],$A160,tblAkis[FiiliDurusSaat]))</f>
        <v/>
      </c>
      <c r="I160" s="18">
        <f>IF($A160="","",IFERROR(AVERAGEIF(tblAkis[KaynakMakineId],$A160,tblAkis[FiiliDurusSaat]),0))</f>
        <v/>
      </c>
    </row>
    <row r="161">
      <c r="A161" s="15" t="n"/>
      <c r="B161" s="15" t="n"/>
      <c r="C161" s="15" t="n"/>
      <c r="D161" s="15" t="n"/>
      <c r="E161" s="16" t="n"/>
      <c r="F161" s="17" t="n"/>
      <c r="G161" s="15" t="n"/>
      <c r="H161" s="18">
        <f>IF($A161="","",SUMIF(tblAkis[KaynakMakineId],$A161,tblAkis[FiiliDurusSaat]))</f>
        <v/>
      </c>
      <c r="I161" s="18">
        <f>IF($A161="","",IFERROR(AVERAGEIF(tblAkis[KaynakMakineId],$A161,tblAkis[FiiliDurusSaat]),0))</f>
        <v/>
      </c>
    </row>
    <row r="162">
      <c r="A162" s="15" t="n"/>
      <c r="B162" s="15" t="n"/>
      <c r="C162" s="15" t="n"/>
      <c r="D162" s="15" t="n"/>
      <c r="E162" s="16" t="n"/>
      <c r="F162" s="17" t="n"/>
      <c r="G162" s="15" t="n"/>
      <c r="H162" s="18">
        <f>IF($A162="","",SUMIF(tblAkis[KaynakMakineId],$A162,tblAkis[FiiliDurusSaat]))</f>
        <v/>
      </c>
      <c r="I162" s="18">
        <f>IF($A162="","",IFERROR(AVERAGEIF(tblAkis[KaynakMakineId],$A162,tblAkis[FiiliDurusSaat]),0))</f>
        <v/>
      </c>
    </row>
    <row r="163">
      <c r="A163" s="15" t="n"/>
      <c r="B163" s="15" t="n"/>
      <c r="C163" s="15" t="n"/>
      <c r="D163" s="15" t="n"/>
      <c r="E163" s="16" t="n"/>
      <c r="F163" s="17" t="n"/>
      <c r="G163" s="15" t="n"/>
      <c r="H163" s="18">
        <f>IF($A163="","",SUMIF(tblAkis[KaynakMakineId],$A163,tblAkis[FiiliDurusSaat]))</f>
        <v/>
      </c>
      <c r="I163" s="18">
        <f>IF($A163="","",IFERROR(AVERAGEIF(tblAkis[KaynakMakineId],$A163,tblAkis[FiiliDurusSaat]),0))</f>
        <v/>
      </c>
    </row>
    <row r="164">
      <c r="A164" s="15" t="n"/>
      <c r="B164" s="15" t="n"/>
      <c r="C164" s="15" t="n"/>
      <c r="D164" s="15" t="n"/>
      <c r="E164" s="16" t="n"/>
      <c r="F164" s="17" t="n"/>
      <c r="G164" s="15" t="n"/>
      <c r="H164" s="18">
        <f>IF($A164="","",SUMIF(tblAkis[KaynakMakineId],$A164,tblAkis[FiiliDurusSaat]))</f>
        <v/>
      </c>
      <c r="I164" s="18">
        <f>IF($A164="","",IFERROR(AVERAGEIF(tblAkis[KaynakMakineId],$A164,tblAkis[FiiliDurusSaat]),0))</f>
        <v/>
      </c>
    </row>
    <row r="165">
      <c r="A165" s="15" t="n"/>
      <c r="B165" s="15" t="n"/>
      <c r="C165" s="15" t="n"/>
      <c r="D165" s="15" t="n"/>
      <c r="E165" s="16" t="n"/>
      <c r="F165" s="17" t="n"/>
      <c r="G165" s="15" t="n"/>
      <c r="H165" s="18">
        <f>IF($A165="","",SUMIF(tblAkis[KaynakMakineId],$A165,tblAkis[FiiliDurusSaat]))</f>
        <v/>
      </c>
      <c r="I165" s="18">
        <f>IF($A165="","",IFERROR(AVERAGEIF(tblAkis[KaynakMakineId],$A165,tblAkis[FiiliDurusSaat]),0))</f>
        <v/>
      </c>
    </row>
    <row r="166">
      <c r="A166" s="15" t="n"/>
      <c r="B166" s="15" t="n"/>
      <c r="C166" s="15" t="n"/>
      <c r="D166" s="15" t="n"/>
      <c r="E166" s="16" t="n"/>
      <c r="F166" s="17" t="n"/>
      <c r="G166" s="15" t="n"/>
      <c r="H166" s="18">
        <f>IF($A166="","",SUMIF(tblAkis[KaynakMakineId],$A166,tblAkis[FiiliDurusSaat]))</f>
        <v/>
      </c>
      <c r="I166" s="18">
        <f>IF($A166="","",IFERROR(AVERAGEIF(tblAkis[KaynakMakineId],$A166,tblAkis[FiiliDurusSaat]),0))</f>
        <v/>
      </c>
    </row>
    <row r="167">
      <c r="A167" s="15" t="n"/>
      <c r="B167" s="15" t="n"/>
      <c r="C167" s="15" t="n"/>
      <c r="D167" s="15" t="n"/>
      <c r="E167" s="16" t="n"/>
      <c r="F167" s="17" t="n"/>
      <c r="G167" s="15" t="n"/>
      <c r="H167" s="18">
        <f>IF($A167="","",SUMIF(tblAkis[KaynakMakineId],$A167,tblAkis[FiiliDurusSaat]))</f>
        <v/>
      </c>
      <c r="I167" s="18">
        <f>IF($A167="","",IFERROR(AVERAGEIF(tblAkis[KaynakMakineId],$A167,tblAkis[FiiliDurusSaat]),0))</f>
        <v/>
      </c>
    </row>
    <row r="168">
      <c r="A168" s="15" t="n"/>
      <c r="B168" s="15" t="n"/>
      <c r="C168" s="15" t="n"/>
      <c r="D168" s="15" t="n"/>
      <c r="E168" s="16" t="n"/>
      <c r="F168" s="17" t="n"/>
      <c r="G168" s="15" t="n"/>
      <c r="H168" s="18">
        <f>IF($A168="","",SUMIF(tblAkis[KaynakMakineId],$A168,tblAkis[FiiliDurusSaat]))</f>
        <v/>
      </c>
      <c r="I168" s="18">
        <f>IF($A168="","",IFERROR(AVERAGEIF(tblAkis[KaynakMakineId],$A168,tblAkis[FiiliDurusSaat]),0))</f>
        <v/>
      </c>
    </row>
    <row r="169">
      <c r="A169" s="15" t="n"/>
      <c r="B169" s="15" t="n"/>
      <c r="C169" s="15" t="n"/>
      <c r="D169" s="15" t="n"/>
      <c r="E169" s="16" t="n"/>
      <c r="F169" s="17" t="n"/>
      <c r="G169" s="15" t="n"/>
      <c r="H169" s="18">
        <f>IF($A169="","",SUMIF(tblAkis[KaynakMakineId],$A169,tblAkis[FiiliDurusSaat]))</f>
        <v/>
      </c>
      <c r="I169" s="18">
        <f>IF($A169="","",IFERROR(AVERAGEIF(tblAkis[KaynakMakineId],$A169,tblAkis[FiiliDurusSaat]),0))</f>
        <v/>
      </c>
    </row>
    <row r="170">
      <c r="A170" s="15" t="n"/>
      <c r="B170" s="15" t="n"/>
      <c r="C170" s="15" t="n"/>
      <c r="D170" s="15" t="n"/>
      <c r="E170" s="16" t="n"/>
      <c r="F170" s="17" t="n"/>
      <c r="G170" s="15" t="n"/>
      <c r="H170" s="18">
        <f>IF($A170="","",SUMIF(tblAkis[KaynakMakineId],$A170,tblAkis[FiiliDurusSaat]))</f>
        <v/>
      </c>
      <c r="I170" s="18">
        <f>IF($A170="","",IFERROR(AVERAGEIF(tblAkis[KaynakMakineId],$A170,tblAkis[FiiliDurusSaat]),0))</f>
        <v/>
      </c>
    </row>
    <row r="171">
      <c r="A171" s="15" t="n"/>
      <c r="B171" s="15" t="n"/>
      <c r="C171" s="15" t="n"/>
      <c r="D171" s="15" t="n"/>
      <c r="E171" s="16" t="n"/>
      <c r="F171" s="17" t="n"/>
      <c r="G171" s="15" t="n"/>
      <c r="H171" s="18">
        <f>IF($A171="","",SUMIF(tblAkis[KaynakMakineId],$A171,tblAkis[FiiliDurusSaat]))</f>
        <v/>
      </c>
      <c r="I171" s="18">
        <f>IF($A171="","",IFERROR(AVERAGEIF(tblAkis[KaynakMakineId],$A171,tblAkis[FiiliDurusSaat]),0))</f>
        <v/>
      </c>
    </row>
    <row r="172">
      <c r="A172" s="15" t="n"/>
      <c r="B172" s="15" t="n"/>
      <c r="C172" s="15" t="n"/>
      <c r="D172" s="15" t="n"/>
      <c r="E172" s="16" t="n"/>
      <c r="F172" s="17" t="n"/>
      <c r="G172" s="15" t="n"/>
      <c r="H172" s="18">
        <f>IF($A172="","",SUMIF(tblAkis[KaynakMakineId],$A172,tblAkis[FiiliDurusSaat]))</f>
        <v/>
      </c>
      <c r="I172" s="18">
        <f>IF($A172="","",IFERROR(AVERAGEIF(tblAkis[KaynakMakineId],$A172,tblAkis[FiiliDurusSaat]),0))</f>
        <v/>
      </c>
    </row>
    <row r="173">
      <c r="A173" s="15" t="n"/>
      <c r="B173" s="15" t="n"/>
      <c r="C173" s="15" t="n"/>
      <c r="D173" s="15" t="n"/>
      <c r="E173" s="16" t="n"/>
      <c r="F173" s="17" t="n"/>
      <c r="G173" s="15" t="n"/>
      <c r="H173" s="18">
        <f>IF($A173="","",SUMIF(tblAkis[KaynakMakineId],$A173,tblAkis[FiiliDurusSaat]))</f>
        <v/>
      </c>
      <c r="I173" s="18">
        <f>IF($A173="","",IFERROR(AVERAGEIF(tblAkis[KaynakMakineId],$A173,tblAkis[FiiliDurusSaat]),0))</f>
        <v/>
      </c>
    </row>
    <row r="174">
      <c r="A174" s="15" t="n"/>
      <c r="B174" s="15" t="n"/>
      <c r="C174" s="15" t="n"/>
      <c r="D174" s="15" t="n"/>
      <c r="E174" s="16" t="n"/>
      <c r="F174" s="17" t="n"/>
      <c r="G174" s="15" t="n"/>
      <c r="H174" s="18">
        <f>IF($A174="","",SUMIF(tblAkis[KaynakMakineId],$A174,tblAkis[FiiliDurusSaat]))</f>
        <v/>
      </c>
      <c r="I174" s="18">
        <f>IF($A174="","",IFERROR(AVERAGEIF(tblAkis[KaynakMakineId],$A174,tblAkis[FiiliDurusSaat]),0))</f>
        <v/>
      </c>
    </row>
    <row r="175">
      <c r="A175" s="15" t="n"/>
      <c r="B175" s="15" t="n"/>
      <c r="C175" s="15" t="n"/>
      <c r="D175" s="15" t="n"/>
      <c r="E175" s="16" t="n"/>
      <c r="F175" s="17" t="n"/>
      <c r="G175" s="15" t="n"/>
      <c r="H175" s="18">
        <f>IF($A175="","",SUMIF(tblAkis[KaynakMakineId],$A175,tblAkis[FiiliDurusSaat]))</f>
        <v/>
      </c>
      <c r="I175" s="18">
        <f>IF($A175="","",IFERROR(AVERAGEIF(tblAkis[KaynakMakineId],$A175,tblAkis[FiiliDurusSaat]),0))</f>
        <v/>
      </c>
    </row>
    <row r="176">
      <c r="A176" s="15" t="n"/>
      <c r="B176" s="15" t="n"/>
      <c r="C176" s="15" t="n"/>
      <c r="D176" s="15" t="n"/>
      <c r="E176" s="16" t="n"/>
      <c r="F176" s="17" t="n"/>
      <c r="G176" s="15" t="n"/>
      <c r="H176" s="18">
        <f>IF($A176="","",SUMIF(tblAkis[KaynakMakineId],$A176,tblAkis[FiiliDurusSaat]))</f>
        <v/>
      </c>
      <c r="I176" s="18">
        <f>IF($A176="","",IFERROR(AVERAGEIF(tblAkis[KaynakMakineId],$A176,tblAkis[FiiliDurusSaat]),0))</f>
        <v/>
      </c>
    </row>
    <row r="177">
      <c r="A177" s="15" t="n"/>
      <c r="B177" s="15" t="n"/>
      <c r="C177" s="15" t="n"/>
      <c r="D177" s="15" t="n"/>
      <c r="E177" s="16" t="n"/>
      <c r="F177" s="17" t="n"/>
      <c r="G177" s="15" t="n"/>
      <c r="H177" s="18">
        <f>IF($A177="","",SUMIF(tblAkis[KaynakMakineId],$A177,tblAkis[FiiliDurusSaat]))</f>
        <v/>
      </c>
      <c r="I177" s="18">
        <f>IF($A177="","",IFERROR(AVERAGEIF(tblAkis[KaynakMakineId],$A177,tblAkis[FiiliDurusSaat]),0))</f>
        <v/>
      </c>
    </row>
    <row r="178">
      <c r="A178" s="15" t="n"/>
      <c r="B178" s="15" t="n"/>
      <c r="C178" s="15" t="n"/>
      <c r="D178" s="15" t="n"/>
      <c r="E178" s="16" t="n"/>
      <c r="F178" s="17" t="n"/>
      <c r="G178" s="15" t="n"/>
      <c r="H178" s="18">
        <f>IF($A178="","",SUMIF(tblAkis[KaynakMakineId],$A178,tblAkis[FiiliDurusSaat]))</f>
        <v/>
      </c>
      <c r="I178" s="18">
        <f>IF($A178="","",IFERROR(AVERAGEIF(tblAkis[KaynakMakineId],$A178,tblAkis[FiiliDurusSaat]),0))</f>
        <v/>
      </c>
    </row>
    <row r="179">
      <c r="A179" s="15" t="n"/>
      <c r="B179" s="15" t="n"/>
      <c r="C179" s="15" t="n"/>
      <c r="D179" s="15" t="n"/>
      <c r="E179" s="16" t="n"/>
      <c r="F179" s="17" t="n"/>
      <c r="G179" s="15" t="n"/>
      <c r="H179" s="18">
        <f>IF($A179="","",SUMIF(tblAkis[KaynakMakineId],$A179,tblAkis[FiiliDurusSaat]))</f>
        <v/>
      </c>
      <c r="I179" s="18">
        <f>IF($A179="","",IFERROR(AVERAGEIF(tblAkis[KaynakMakineId],$A179,tblAkis[FiiliDurusSaat]),0))</f>
        <v/>
      </c>
    </row>
    <row r="180">
      <c r="A180" s="15" t="n"/>
      <c r="B180" s="15" t="n"/>
      <c r="C180" s="15" t="n"/>
      <c r="D180" s="15" t="n"/>
      <c r="E180" s="16" t="n"/>
      <c r="F180" s="17" t="n"/>
      <c r="G180" s="15" t="n"/>
      <c r="H180" s="18">
        <f>IF($A180="","",SUMIF(tblAkis[KaynakMakineId],$A180,tblAkis[FiiliDurusSaat]))</f>
        <v/>
      </c>
      <c r="I180" s="18">
        <f>IF($A180="","",IFERROR(AVERAGEIF(tblAkis[KaynakMakineId],$A180,tblAkis[FiiliDurusSaat]),0))</f>
        <v/>
      </c>
    </row>
    <row r="181">
      <c r="A181" s="15" t="n"/>
      <c r="B181" s="15" t="n"/>
      <c r="C181" s="15" t="n"/>
      <c r="D181" s="15" t="n"/>
      <c r="E181" s="16" t="n"/>
      <c r="F181" s="17" t="n"/>
      <c r="G181" s="15" t="n"/>
      <c r="H181" s="18">
        <f>IF($A181="","",SUMIF(tblAkis[KaynakMakineId],$A181,tblAkis[FiiliDurusSaat]))</f>
        <v/>
      </c>
      <c r="I181" s="18">
        <f>IF($A181="","",IFERROR(AVERAGEIF(tblAkis[KaynakMakineId],$A181,tblAkis[FiiliDurusSaat]),0))</f>
        <v/>
      </c>
    </row>
    <row r="182">
      <c r="A182" s="15" t="n"/>
      <c r="B182" s="15" t="n"/>
      <c r="C182" s="15" t="n"/>
      <c r="D182" s="15" t="n"/>
      <c r="E182" s="16" t="n"/>
      <c r="F182" s="17" t="n"/>
      <c r="G182" s="15" t="n"/>
      <c r="H182" s="18">
        <f>IF($A182="","",SUMIF(tblAkis[KaynakMakineId],$A182,tblAkis[FiiliDurusSaat]))</f>
        <v/>
      </c>
      <c r="I182" s="18">
        <f>IF($A182="","",IFERROR(AVERAGEIF(tblAkis[KaynakMakineId],$A182,tblAkis[FiiliDurusSaat]),0))</f>
        <v/>
      </c>
    </row>
    <row r="183">
      <c r="A183" s="15" t="n"/>
      <c r="B183" s="15" t="n"/>
      <c r="C183" s="15" t="n"/>
      <c r="D183" s="15" t="n"/>
      <c r="E183" s="16" t="n"/>
      <c r="F183" s="17" t="n"/>
      <c r="G183" s="15" t="n"/>
      <c r="H183" s="18">
        <f>IF($A183="","",SUMIF(tblAkis[KaynakMakineId],$A183,tblAkis[FiiliDurusSaat]))</f>
        <v/>
      </c>
      <c r="I183" s="18">
        <f>IF($A183="","",IFERROR(AVERAGEIF(tblAkis[KaynakMakineId],$A183,tblAkis[FiiliDurusSaat]),0))</f>
        <v/>
      </c>
    </row>
    <row r="184">
      <c r="A184" s="15" t="n"/>
      <c r="B184" s="15" t="n"/>
      <c r="C184" s="15" t="n"/>
      <c r="D184" s="15" t="n"/>
      <c r="E184" s="16" t="n"/>
      <c r="F184" s="17" t="n"/>
      <c r="G184" s="15" t="n"/>
      <c r="H184" s="18">
        <f>IF($A184="","",SUMIF(tblAkis[KaynakMakineId],$A184,tblAkis[FiiliDurusSaat]))</f>
        <v/>
      </c>
      <c r="I184" s="18">
        <f>IF($A184="","",IFERROR(AVERAGEIF(tblAkis[KaynakMakineId],$A184,tblAkis[FiiliDurusSaat]),0))</f>
        <v/>
      </c>
    </row>
    <row r="185">
      <c r="A185" s="15" t="n"/>
      <c r="B185" s="15" t="n"/>
      <c r="C185" s="15" t="n"/>
      <c r="D185" s="15" t="n"/>
      <c r="E185" s="16" t="n"/>
      <c r="F185" s="17" t="n"/>
      <c r="G185" s="15" t="n"/>
      <c r="H185" s="18">
        <f>IF($A185="","",SUMIF(tblAkis[KaynakMakineId],$A185,tblAkis[FiiliDurusSaat]))</f>
        <v/>
      </c>
      <c r="I185" s="18">
        <f>IF($A185="","",IFERROR(AVERAGEIF(tblAkis[KaynakMakineId],$A185,tblAkis[FiiliDurusSaat]),0))</f>
        <v/>
      </c>
    </row>
    <row r="186">
      <c r="A186" s="15" t="n"/>
      <c r="B186" s="15" t="n"/>
      <c r="C186" s="15" t="n"/>
      <c r="D186" s="15" t="n"/>
      <c r="E186" s="16" t="n"/>
      <c r="F186" s="17" t="n"/>
      <c r="G186" s="15" t="n"/>
      <c r="H186" s="18">
        <f>IF($A186="","",SUMIF(tblAkis[KaynakMakineId],$A186,tblAkis[FiiliDurusSaat]))</f>
        <v/>
      </c>
      <c r="I186" s="18">
        <f>IF($A186="","",IFERROR(AVERAGEIF(tblAkis[KaynakMakineId],$A186,tblAkis[FiiliDurusSaat]),0))</f>
        <v/>
      </c>
    </row>
    <row r="187">
      <c r="A187" s="15" t="n"/>
      <c r="B187" s="15" t="n"/>
      <c r="C187" s="15" t="n"/>
      <c r="D187" s="15" t="n"/>
      <c r="E187" s="16" t="n"/>
      <c r="F187" s="17" t="n"/>
      <c r="G187" s="15" t="n"/>
      <c r="H187" s="18">
        <f>IF($A187="","",SUMIF(tblAkis[KaynakMakineId],$A187,tblAkis[FiiliDurusSaat]))</f>
        <v/>
      </c>
      <c r="I187" s="18">
        <f>IF($A187="","",IFERROR(AVERAGEIF(tblAkis[KaynakMakineId],$A187,tblAkis[FiiliDurusSaat]),0))</f>
        <v/>
      </c>
    </row>
    <row r="188">
      <c r="A188" s="15" t="n"/>
      <c r="B188" s="15" t="n"/>
      <c r="C188" s="15" t="n"/>
      <c r="D188" s="15" t="n"/>
      <c r="E188" s="16" t="n"/>
      <c r="F188" s="17" t="n"/>
      <c r="G188" s="15" t="n"/>
      <c r="H188" s="18">
        <f>IF($A188="","",SUMIF(tblAkis[KaynakMakineId],$A188,tblAkis[FiiliDurusSaat]))</f>
        <v/>
      </c>
      <c r="I188" s="18">
        <f>IF($A188="","",IFERROR(AVERAGEIF(tblAkis[KaynakMakineId],$A188,tblAkis[FiiliDurusSaat]),0))</f>
        <v/>
      </c>
    </row>
    <row r="189">
      <c r="A189" s="15" t="n"/>
      <c r="B189" s="15" t="n"/>
      <c r="C189" s="15" t="n"/>
      <c r="D189" s="15" t="n"/>
      <c r="E189" s="16" t="n"/>
      <c r="F189" s="17" t="n"/>
      <c r="G189" s="15" t="n"/>
      <c r="H189" s="18">
        <f>IF($A189="","",SUMIF(tblAkis[KaynakMakineId],$A189,tblAkis[FiiliDurusSaat]))</f>
        <v/>
      </c>
      <c r="I189" s="18">
        <f>IF($A189="","",IFERROR(AVERAGEIF(tblAkis[KaynakMakineId],$A189,tblAkis[FiiliDurusSaat]),0))</f>
        <v/>
      </c>
    </row>
    <row r="190">
      <c r="A190" s="15" t="n"/>
      <c r="B190" s="15" t="n"/>
      <c r="C190" s="15" t="n"/>
      <c r="D190" s="15" t="n"/>
      <c r="E190" s="16" t="n"/>
      <c r="F190" s="17" t="n"/>
      <c r="G190" s="15" t="n"/>
      <c r="H190" s="18">
        <f>IF($A190="","",SUMIF(tblAkis[KaynakMakineId],$A190,tblAkis[FiiliDurusSaat]))</f>
        <v/>
      </c>
      <c r="I190" s="18">
        <f>IF($A190="","",IFERROR(AVERAGEIF(tblAkis[KaynakMakineId],$A190,tblAkis[FiiliDurusSaat]),0))</f>
        <v/>
      </c>
    </row>
    <row r="191">
      <c r="A191" s="15" t="n"/>
      <c r="B191" s="15" t="n"/>
      <c r="C191" s="15" t="n"/>
      <c r="D191" s="15" t="n"/>
      <c r="E191" s="16" t="n"/>
      <c r="F191" s="17" t="n"/>
      <c r="G191" s="15" t="n"/>
      <c r="H191" s="18">
        <f>IF($A191="","",SUMIF(tblAkis[KaynakMakineId],$A191,tblAkis[FiiliDurusSaat]))</f>
        <v/>
      </c>
      <c r="I191" s="18">
        <f>IF($A191="","",IFERROR(AVERAGEIF(tblAkis[KaynakMakineId],$A191,tblAkis[FiiliDurusSaat]),0))</f>
        <v/>
      </c>
    </row>
    <row r="192">
      <c r="A192" s="15" t="n"/>
      <c r="B192" s="15" t="n"/>
      <c r="C192" s="15" t="n"/>
      <c r="D192" s="15" t="n"/>
      <c r="E192" s="16" t="n"/>
      <c r="F192" s="17" t="n"/>
      <c r="G192" s="15" t="n"/>
      <c r="H192" s="18">
        <f>IF($A192="","",SUMIF(tblAkis[KaynakMakineId],$A192,tblAkis[FiiliDurusSaat]))</f>
        <v/>
      </c>
      <c r="I192" s="18">
        <f>IF($A192="","",IFERROR(AVERAGEIF(tblAkis[KaynakMakineId],$A192,tblAkis[FiiliDurusSaat]),0))</f>
        <v/>
      </c>
    </row>
    <row r="193">
      <c r="A193" s="15" t="n"/>
      <c r="B193" s="15" t="n"/>
      <c r="C193" s="15" t="n"/>
      <c r="D193" s="15" t="n"/>
      <c r="E193" s="16" t="n"/>
      <c r="F193" s="17" t="n"/>
      <c r="G193" s="15" t="n"/>
      <c r="H193" s="18">
        <f>IF($A193="","",SUMIF(tblAkis[KaynakMakineId],$A193,tblAkis[FiiliDurusSaat]))</f>
        <v/>
      </c>
      <c r="I193" s="18">
        <f>IF($A193="","",IFERROR(AVERAGEIF(tblAkis[KaynakMakineId],$A193,tblAkis[FiiliDurusSaat]),0))</f>
        <v/>
      </c>
    </row>
    <row r="194">
      <c r="A194" s="15" t="n"/>
      <c r="B194" s="15" t="n"/>
      <c r="C194" s="15" t="n"/>
      <c r="D194" s="15" t="n"/>
      <c r="E194" s="16" t="n"/>
      <c r="F194" s="17" t="n"/>
      <c r="G194" s="15" t="n"/>
      <c r="H194" s="18">
        <f>IF($A194="","",SUMIF(tblAkis[KaynakMakineId],$A194,tblAkis[FiiliDurusSaat]))</f>
        <v/>
      </c>
      <c r="I194" s="18">
        <f>IF($A194="","",IFERROR(AVERAGEIF(tblAkis[KaynakMakineId],$A194,tblAkis[FiiliDurusSaat]),0))</f>
        <v/>
      </c>
    </row>
    <row r="195">
      <c r="A195" s="15" t="n"/>
      <c r="B195" s="15" t="n"/>
      <c r="C195" s="15" t="n"/>
      <c r="D195" s="15" t="n"/>
      <c r="E195" s="16" t="n"/>
      <c r="F195" s="17" t="n"/>
      <c r="G195" s="15" t="n"/>
      <c r="H195" s="18">
        <f>IF($A195="","",SUMIF(tblAkis[KaynakMakineId],$A195,tblAkis[FiiliDurusSaat]))</f>
        <v/>
      </c>
      <c r="I195" s="18">
        <f>IF($A195="","",IFERROR(AVERAGEIF(tblAkis[KaynakMakineId],$A195,tblAkis[FiiliDurusSaat]),0))</f>
        <v/>
      </c>
    </row>
    <row r="196">
      <c r="A196" s="15" t="n"/>
      <c r="B196" s="15" t="n"/>
      <c r="C196" s="15" t="n"/>
      <c r="D196" s="15" t="n"/>
      <c r="E196" s="16" t="n"/>
      <c r="F196" s="17" t="n"/>
      <c r="G196" s="15" t="n"/>
      <c r="H196" s="18">
        <f>IF($A196="","",SUMIF(tblAkis[KaynakMakineId],$A196,tblAkis[FiiliDurusSaat]))</f>
        <v/>
      </c>
      <c r="I196" s="18">
        <f>IF($A196="","",IFERROR(AVERAGEIF(tblAkis[KaynakMakineId],$A196,tblAkis[FiiliDurusSaat]),0))</f>
        <v/>
      </c>
    </row>
    <row r="197">
      <c r="A197" s="15" t="n"/>
      <c r="B197" s="15" t="n"/>
      <c r="C197" s="15" t="n"/>
      <c r="D197" s="15" t="n"/>
      <c r="E197" s="16" t="n"/>
      <c r="F197" s="17" t="n"/>
      <c r="G197" s="15" t="n"/>
      <c r="H197" s="18">
        <f>IF($A197="","",SUMIF(tblAkis[KaynakMakineId],$A197,tblAkis[FiiliDurusSaat]))</f>
        <v/>
      </c>
      <c r="I197" s="18">
        <f>IF($A197="","",IFERROR(AVERAGEIF(tblAkis[KaynakMakineId],$A197,tblAkis[FiiliDurusSaat]),0))</f>
        <v/>
      </c>
    </row>
    <row r="198">
      <c r="A198" s="15" t="n"/>
      <c r="B198" s="15" t="n"/>
      <c r="C198" s="15" t="n"/>
      <c r="D198" s="15" t="n"/>
      <c r="E198" s="16" t="n"/>
      <c r="F198" s="17" t="n"/>
      <c r="G198" s="15" t="n"/>
      <c r="H198" s="18">
        <f>IF($A198="","",SUMIF(tblAkis[KaynakMakineId],$A198,tblAkis[FiiliDurusSaat]))</f>
        <v/>
      </c>
      <c r="I198" s="18">
        <f>IF($A198="","",IFERROR(AVERAGEIF(tblAkis[KaynakMakineId],$A198,tblAkis[FiiliDurusSaat]),0))</f>
        <v/>
      </c>
    </row>
    <row r="199">
      <c r="A199" s="15" t="n"/>
      <c r="B199" s="15" t="n"/>
      <c r="C199" s="15" t="n"/>
      <c r="D199" s="15" t="n"/>
      <c r="E199" s="16" t="n"/>
      <c r="F199" s="17" t="n"/>
      <c r="G199" s="15" t="n"/>
      <c r="H199" s="18">
        <f>IF($A199="","",SUMIF(tblAkis[KaynakMakineId],$A199,tblAkis[FiiliDurusSaat]))</f>
        <v/>
      </c>
      <c r="I199" s="18">
        <f>IF($A199="","",IFERROR(AVERAGEIF(tblAkis[KaynakMakineId],$A199,tblAkis[FiiliDurusSaat]),0))</f>
        <v/>
      </c>
    </row>
    <row r="200">
      <c r="A200" s="15" t="n"/>
      <c r="B200" s="15" t="n"/>
      <c r="C200" s="15" t="n"/>
      <c r="D200" s="15" t="n"/>
      <c r="E200" s="16" t="n"/>
      <c r="F200" s="17" t="n"/>
      <c r="G200" s="15" t="n"/>
      <c r="H200" s="18">
        <f>IF($A200="","",SUMIF(tblAkis[KaynakMakineId],$A200,tblAkis[FiiliDurusSaat]))</f>
        <v/>
      </c>
      <c r="I200" s="18">
        <f>IF($A200="","",IFERROR(AVERAGEIF(tblAkis[KaynakMakineId],$A200,tblAkis[FiiliDurusSaat]),0))</f>
        <v/>
      </c>
    </row>
    <row r="201">
      <c r="A201" s="15" t="n"/>
      <c r="B201" s="15" t="n"/>
      <c r="C201" s="15" t="n"/>
      <c r="D201" s="15" t="n"/>
      <c r="E201" s="16" t="n"/>
      <c r="F201" s="17" t="n"/>
      <c r="G201" s="15" t="n"/>
      <c r="H201" s="18">
        <f>IF($A201="","",SUMIF(tblAkis[KaynakMakineId],$A201,tblAkis[FiiliDurusSaat]))</f>
        <v/>
      </c>
      <c r="I201" s="18">
        <f>IF($A201="","",IFERROR(AVERAGEIF(tblAkis[KaynakMakineId],$A201,tblAkis[FiiliDurusSaat]),0))</f>
        <v/>
      </c>
    </row>
    <row r="202">
      <c r="A202" s="15" t="n"/>
      <c r="B202" s="15" t="n"/>
      <c r="C202" s="15" t="n"/>
      <c r="D202" s="15" t="n"/>
      <c r="E202" s="16" t="n"/>
      <c r="F202" s="17" t="n"/>
      <c r="G202" s="15" t="n"/>
      <c r="H202" s="18">
        <f>IF($A202="","",SUMIF(tblAkis[KaynakMakineId],$A202,tblAkis[FiiliDurusSaat]))</f>
        <v/>
      </c>
      <c r="I202" s="18">
        <f>IF($A202="","",IFERROR(AVERAGEIF(tblAkis[KaynakMakineId],$A202,tblAkis[FiiliDurusSaat]),0))</f>
        <v/>
      </c>
    </row>
    <row r="203">
      <c r="A203" s="15" t="n"/>
      <c r="B203" s="15" t="n"/>
      <c r="C203" s="15" t="n"/>
      <c r="D203" s="15" t="n"/>
      <c r="E203" s="16" t="n"/>
      <c r="F203" s="17" t="n"/>
      <c r="G203" s="15" t="n"/>
      <c r="H203" s="18">
        <f>IF($A203="","",SUMIF(tblAkis[KaynakMakineId],$A203,tblAkis[FiiliDurusSaat]))</f>
        <v/>
      </c>
      <c r="I203" s="18">
        <f>IF($A203="","",IFERROR(AVERAGEIF(tblAkis[KaynakMakineId],$A203,tblAkis[FiiliDurusSaat]),0))</f>
        <v/>
      </c>
    </row>
    <row r="204">
      <c r="A204" s="15" t="n"/>
      <c r="B204" s="15" t="n"/>
      <c r="C204" s="15" t="n"/>
      <c r="D204" s="15" t="n"/>
      <c r="E204" s="16" t="n"/>
      <c r="F204" s="17" t="n"/>
      <c r="G204" s="15" t="n"/>
      <c r="H204" s="18">
        <f>IF($A204="","",SUMIF(tblAkis[KaynakMakineId],$A204,tblAkis[FiiliDurusSaat]))</f>
        <v/>
      </c>
      <c r="I204" s="18">
        <f>IF($A204="","",IFERROR(AVERAGEIF(tblAkis[KaynakMakineId],$A204,tblAkis[FiiliDurusSaat]),0))</f>
        <v/>
      </c>
    </row>
    <row r="205">
      <c r="A205" s="15" t="n"/>
      <c r="B205" s="15" t="n"/>
      <c r="C205" s="15" t="n"/>
      <c r="D205" s="15" t="n"/>
      <c r="E205" s="16" t="n"/>
      <c r="F205" s="17" t="n"/>
      <c r="G205" s="15" t="n"/>
      <c r="H205" s="18">
        <f>IF($A205="","",SUMIF(tblAkis[KaynakMakineId],$A205,tblAkis[FiiliDurusSaat]))</f>
        <v/>
      </c>
      <c r="I205" s="18">
        <f>IF($A205="","",IFERROR(AVERAGEIF(tblAkis[KaynakMakineId],$A205,tblAkis[FiiliDurusSaat]),0))</f>
        <v/>
      </c>
    </row>
    <row r="206">
      <c r="A206" s="15" t="n"/>
      <c r="B206" s="15" t="n"/>
      <c r="C206" s="15" t="n"/>
      <c r="D206" s="15" t="n"/>
      <c r="E206" s="16" t="n"/>
      <c r="F206" s="17" t="n"/>
      <c r="G206" s="15" t="n"/>
      <c r="H206" s="18">
        <f>IF($A206="","",SUMIF(tblAkis[KaynakMakineId],$A206,tblAkis[FiiliDurusSaat]))</f>
        <v/>
      </c>
      <c r="I206" s="18">
        <f>IF($A206="","",IFERROR(AVERAGEIF(tblAkis[KaynakMakineId],$A206,tblAkis[FiiliDurusSaat]),0))</f>
        <v/>
      </c>
    </row>
    <row r="207">
      <c r="A207" s="15" t="n"/>
      <c r="B207" s="15" t="n"/>
      <c r="C207" s="15" t="n"/>
      <c r="D207" s="15" t="n"/>
      <c r="E207" s="16" t="n"/>
      <c r="F207" s="17" t="n"/>
      <c r="G207" s="15" t="n"/>
      <c r="H207" s="18">
        <f>IF($A207="","",SUMIF(tblAkis[KaynakMakineId],$A207,tblAkis[FiiliDurusSaat]))</f>
        <v/>
      </c>
      <c r="I207" s="18">
        <f>IF($A207="","",IFERROR(AVERAGEIF(tblAkis[KaynakMakineId],$A207,tblAkis[FiiliDurusSaat]),0))</f>
        <v/>
      </c>
    </row>
    <row r="208">
      <c r="A208" s="15" t="n"/>
      <c r="B208" s="15" t="n"/>
      <c r="C208" s="15" t="n"/>
      <c r="D208" s="15" t="n"/>
      <c r="E208" s="16" t="n"/>
      <c r="F208" s="17" t="n"/>
      <c r="G208" s="15" t="n"/>
      <c r="H208" s="18">
        <f>IF($A208="","",SUMIF(tblAkis[KaynakMakineId],$A208,tblAkis[FiiliDurusSaat]))</f>
        <v/>
      </c>
      <c r="I208" s="18">
        <f>IF($A208="","",IFERROR(AVERAGEIF(tblAkis[KaynakMakineId],$A208,tblAkis[FiiliDurusSaat]),0))</f>
        <v/>
      </c>
    </row>
    <row r="209">
      <c r="A209" s="15" t="n"/>
      <c r="B209" s="15" t="n"/>
      <c r="C209" s="15" t="n"/>
      <c r="D209" s="15" t="n"/>
      <c r="E209" s="16" t="n"/>
      <c r="F209" s="17" t="n"/>
      <c r="G209" s="15" t="n"/>
      <c r="H209" s="18">
        <f>IF($A209="","",SUMIF(tblAkis[KaynakMakineId],$A209,tblAkis[FiiliDurusSaat]))</f>
        <v/>
      </c>
      <c r="I209" s="18">
        <f>IF($A209="","",IFERROR(AVERAGEIF(tblAkis[KaynakMakineId],$A209,tblAkis[FiiliDurusSaat]),0))</f>
        <v/>
      </c>
    </row>
    <row r="210">
      <c r="A210" s="15" t="n"/>
      <c r="B210" s="15" t="n"/>
      <c r="C210" s="15" t="n"/>
      <c r="D210" s="15" t="n"/>
      <c r="E210" s="16" t="n"/>
      <c r="F210" s="17" t="n"/>
      <c r="G210" s="15" t="n"/>
      <c r="H210" s="18">
        <f>IF($A210="","",SUMIF(tblAkis[KaynakMakineId],$A210,tblAkis[FiiliDurusSaat]))</f>
        <v/>
      </c>
      <c r="I210" s="18">
        <f>IF($A210="","",IFERROR(AVERAGEIF(tblAkis[KaynakMakineId],$A210,tblAkis[FiiliDurusSaat]),0))</f>
        <v/>
      </c>
    </row>
    <row r="211">
      <c r="A211" s="15" t="n"/>
      <c r="B211" s="15" t="n"/>
      <c r="C211" s="15" t="n"/>
      <c r="D211" s="15" t="n"/>
      <c r="E211" s="16" t="n"/>
      <c r="F211" s="17" t="n"/>
      <c r="G211" s="15" t="n"/>
      <c r="H211" s="18">
        <f>IF($A211="","",SUMIF(tblAkis[KaynakMakineId],$A211,tblAkis[FiiliDurusSaat]))</f>
        <v/>
      </c>
      <c r="I211" s="18">
        <f>IF($A211="","",IFERROR(AVERAGEIF(tblAkis[KaynakMakineId],$A211,tblAkis[FiiliDurusSaat]),0))</f>
        <v/>
      </c>
    </row>
    <row r="212">
      <c r="A212" s="15" t="n"/>
      <c r="B212" s="15" t="n"/>
      <c r="C212" s="15" t="n"/>
      <c r="D212" s="15" t="n"/>
      <c r="E212" s="16" t="n"/>
      <c r="F212" s="17" t="n"/>
      <c r="G212" s="15" t="n"/>
      <c r="H212" s="18">
        <f>IF($A212="","",SUMIF(tblAkis[KaynakMakineId],$A212,tblAkis[FiiliDurusSaat]))</f>
        <v/>
      </c>
      <c r="I212" s="18">
        <f>IF($A212="","",IFERROR(AVERAGEIF(tblAkis[KaynakMakineId],$A212,tblAkis[FiiliDurusSaat]),0))</f>
        <v/>
      </c>
    </row>
    <row r="213">
      <c r="A213" s="15" t="n"/>
      <c r="B213" s="15" t="n"/>
      <c r="C213" s="15" t="n"/>
      <c r="D213" s="15" t="n"/>
      <c r="E213" s="16" t="n"/>
      <c r="F213" s="17" t="n"/>
      <c r="G213" s="15" t="n"/>
      <c r="H213" s="18">
        <f>IF($A213="","",SUMIF(tblAkis[KaynakMakineId],$A213,tblAkis[FiiliDurusSaat]))</f>
        <v/>
      </c>
      <c r="I213" s="18">
        <f>IF($A213="","",IFERROR(AVERAGEIF(tblAkis[KaynakMakineId],$A213,tblAkis[FiiliDurusSaat]),0))</f>
        <v/>
      </c>
    </row>
    <row r="214">
      <c r="A214" s="15" t="n"/>
      <c r="B214" s="15" t="n"/>
      <c r="C214" s="15" t="n"/>
      <c r="D214" s="15" t="n"/>
      <c r="E214" s="16" t="n"/>
      <c r="F214" s="17" t="n"/>
      <c r="G214" s="15" t="n"/>
      <c r="H214" s="18">
        <f>IF($A214="","",SUMIF(tblAkis[KaynakMakineId],$A214,tblAkis[FiiliDurusSaat]))</f>
        <v/>
      </c>
      <c r="I214" s="18">
        <f>IF($A214="","",IFERROR(AVERAGEIF(tblAkis[KaynakMakineId],$A214,tblAkis[FiiliDurusSaat]),0))</f>
        <v/>
      </c>
    </row>
    <row r="215">
      <c r="A215" s="15" t="n"/>
      <c r="B215" s="15" t="n"/>
      <c r="C215" s="15" t="n"/>
      <c r="D215" s="15" t="n"/>
      <c r="E215" s="16" t="n"/>
      <c r="F215" s="17" t="n"/>
      <c r="G215" s="15" t="n"/>
      <c r="H215" s="18">
        <f>IF($A215="","",SUMIF(tblAkis[KaynakMakineId],$A215,tblAkis[FiiliDurusSaat]))</f>
        <v/>
      </c>
      <c r="I215" s="18">
        <f>IF($A215="","",IFERROR(AVERAGEIF(tblAkis[KaynakMakineId],$A215,tblAkis[FiiliDurusSaat]),0))</f>
        <v/>
      </c>
    </row>
    <row r="216">
      <c r="A216" s="15" t="n"/>
      <c r="B216" s="15" t="n"/>
      <c r="C216" s="15" t="n"/>
      <c r="D216" s="15" t="n"/>
      <c r="E216" s="16" t="n"/>
      <c r="F216" s="17" t="n"/>
      <c r="G216" s="15" t="n"/>
      <c r="H216" s="18">
        <f>IF($A216="","",SUMIF(tblAkis[KaynakMakineId],$A216,tblAkis[FiiliDurusSaat]))</f>
        <v/>
      </c>
      <c r="I216" s="18">
        <f>IF($A216="","",IFERROR(AVERAGEIF(tblAkis[KaynakMakineId],$A216,tblAkis[FiiliDurusSaat]),0))</f>
        <v/>
      </c>
    </row>
    <row r="217">
      <c r="A217" s="15" t="n"/>
      <c r="B217" s="15" t="n"/>
      <c r="C217" s="15" t="n"/>
      <c r="D217" s="15" t="n"/>
      <c r="E217" s="16" t="n"/>
      <c r="F217" s="17" t="n"/>
      <c r="G217" s="15" t="n"/>
      <c r="H217" s="18">
        <f>IF($A217="","",SUMIF(tblAkis[KaynakMakineId],$A217,tblAkis[FiiliDurusSaat]))</f>
        <v/>
      </c>
      <c r="I217" s="18">
        <f>IF($A217="","",IFERROR(AVERAGEIF(tblAkis[KaynakMakineId],$A217,tblAkis[FiiliDurusSaat]),0))</f>
        <v/>
      </c>
    </row>
    <row r="218">
      <c r="A218" s="15" t="n"/>
      <c r="B218" s="15" t="n"/>
      <c r="C218" s="15" t="n"/>
      <c r="D218" s="15" t="n"/>
      <c r="E218" s="16" t="n"/>
      <c r="F218" s="17" t="n"/>
      <c r="G218" s="15" t="n"/>
      <c r="H218" s="18">
        <f>IF($A218="","",SUMIF(tblAkis[KaynakMakineId],$A218,tblAkis[FiiliDurusSaat]))</f>
        <v/>
      </c>
      <c r="I218" s="18">
        <f>IF($A218="","",IFERROR(AVERAGEIF(tblAkis[KaynakMakineId],$A218,tblAkis[FiiliDurusSaat]),0))</f>
        <v/>
      </c>
    </row>
    <row r="219">
      <c r="A219" s="15" t="n"/>
      <c r="B219" s="15" t="n"/>
      <c r="C219" s="15" t="n"/>
      <c r="D219" s="15" t="n"/>
      <c r="E219" s="16" t="n"/>
      <c r="F219" s="17" t="n"/>
      <c r="G219" s="15" t="n"/>
      <c r="H219" s="18">
        <f>IF($A219="","",SUMIF(tblAkis[KaynakMakineId],$A219,tblAkis[FiiliDurusSaat]))</f>
        <v/>
      </c>
      <c r="I219" s="18">
        <f>IF($A219="","",IFERROR(AVERAGEIF(tblAkis[KaynakMakineId],$A219,tblAkis[FiiliDurusSaat]),0))</f>
        <v/>
      </c>
    </row>
    <row r="220">
      <c r="A220" s="15" t="n"/>
      <c r="B220" s="15" t="n"/>
      <c r="C220" s="15" t="n"/>
      <c r="D220" s="15" t="n"/>
      <c r="E220" s="16" t="n"/>
      <c r="F220" s="17" t="n"/>
      <c r="G220" s="15" t="n"/>
      <c r="H220" s="18">
        <f>IF($A220="","",SUMIF(tblAkis[KaynakMakineId],$A220,tblAkis[FiiliDurusSaat]))</f>
        <v/>
      </c>
      <c r="I220" s="18">
        <f>IF($A220="","",IFERROR(AVERAGEIF(tblAkis[KaynakMakineId],$A220,tblAkis[FiiliDurusSaat]),0))</f>
        <v/>
      </c>
    </row>
    <row r="221">
      <c r="A221" s="15" t="n"/>
      <c r="B221" s="15" t="n"/>
      <c r="C221" s="15" t="n"/>
      <c r="D221" s="15" t="n"/>
      <c r="E221" s="16" t="n"/>
      <c r="F221" s="17" t="n"/>
      <c r="G221" s="15" t="n"/>
      <c r="H221" s="18">
        <f>IF($A221="","",SUMIF(tblAkis[KaynakMakineId],$A221,tblAkis[FiiliDurusSaat]))</f>
        <v/>
      </c>
      <c r="I221" s="18">
        <f>IF($A221="","",IFERROR(AVERAGEIF(tblAkis[KaynakMakineId],$A221,tblAkis[FiiliDurusSaat]),0))</f>
        <v/>
      </c>
    </row>
    <row r="222">
      <c r="A222" s="15" t="n"/>
      <c r="B222" s="15" t="n"/>
      <c r="C222" s="15" t="n"/>
      <c r="D222" s="15" t="n"/>
      <c r="E222" s="16" t="n"/>
      <c r="F222" s="17" t="n"/>
      <c r="G222" s="15" t="n"/>
      <c r="H222" s="18">
        <f>IF($A222="","",SUMIF(tblAkis[KaynakMakineId],$A222,tblAkis[FiiliDurusSaat]))</f>
        <v/>
      </c>
      <c r="I222" s="18">
        <f>IF($A222="","",IFERROR(AVERAGEIF(tblAkis[KaynakMakineId],$A222,tblAkis[FiiliDurusSaat]),0))</f>
        <v/>
      </c>
    </row>
    <row r="223">
      <c r="A223" s="15" t="n"/>
      <c r="B223" s="15" t="n"/>
      <c r="C223" s="15" t="n"/>
      <c r="D223" s="15" t="n"/>
      <c r="E223" s="16" t="n"/>
      <c r="F223" s="17" t="n"/>
      <c r="G223" s="15" t="n"/>
      <c r="H223" s="18">
        <f>IF($A223="","",SUMIF(tblAkis[KaynakMakineId],$A223,tblAkis[FiiliDurusSaat]))</f>
        <v/>
      </c>
      <c r="I223" s="18">
        <f>IF($A223="","",IFERROR(AVERAGEIF(tblAkis[KaynakMakineId],$A223,tblAkis[FiiliDurusSaat]),0))</f>
        <v/>
      </c>
    </row>
    <row r="224">
      <c r="A224" s="15" t="n"/>
      <c r="B224" s="15" t="n"/>
      <c r="C224" s="15" t="n"/>
      <c r="D224" s="15" t="n"/>
      <c r="E224" s="16" t="n"/>
      <c r="F224" s="17" t="n"/>
      <c r="G224" s="15" t="n"/>
      <c r="H224" s="18">
        <f>IF($A224="","",SUMIF(tblAkis[KaynakMakineId],$A224,tblAkis[FiiliDurusSaat]))</f>
        <v/>
      </c>
      <c r="I224" s="18">
        <f>IF($A224="","",IFERROR(AVERAGEIF(tblAkis[KaynakMakineId],$A224,tblAkis[FiiliDurusSaat]),0))</f>
        <v/>
      </c>
    </row>
    <row r="225">
      <c r="A225" s="15" t="n"/>
      <c r="B225" s="15" t="n"/>
      <c r="C225" s="15" t="n"/>
      <c r="D225" s="15" t="n"/>
      <c r="E225" s="16" t="n"/>
      <c r="F225" s="17" t="n"/>
      <c r="G225" s="15" t="n"/>
      <c r="H225" s="18">
        <f>IF($A225="","",SUMIF(tblAkis[KaynakMakineId],$A225,tblAkis[FiiliDurusSaat]))</f>
        <v/>
      </c>
      <c r="I225" s="18">
        <f>IF($A225="","",IFERROR(AVERAGEIF(tblAkis[KaynakMakineId],$A225,tblAkis[FiiliDurusSaat]),0))</f>
        <v/>
      </c>
    </row>
    <row r="226">
      <c r="A226" s="15" t="n"/>
      <c r="B226" s="15" t="n"/>
      <c r="C226" s="15" t="n"/>
      <c r="D226" s="15" t="n"/>
      <c r="E226" s="16" t="n"/>
      <c r="F226" s="17" t="n"/>
      <c r="G226" s="15" t="n"/>
      <c r="H226" s="18">
        <f>IF($A226="","",SUMIF(tblAkis[KaynakMakineId],$A226,tblAkis[FiiliDurusSaat]))</f>
        <v/>
      </c>
      <c r="I226" s="18">
        <f>IF($A226="","",IFERROR(AVERAGEIF(tblAkis[KaynakMakineId],$A226,tblAkis[FiiliDurusSaat]),0))</f>
        <v/>
      </c>
    </row>
    <row r="227">
      <c r="A227" s="15" t="n"/>
      <c r="B227" s="15" t="n"/>
      <c r="C227" s="15" t="n"/>
      <c r="D227" s="15" t="n"/>
      <c r="E227" s="16" t="n"/>
      <c r="F227" s="17" t="n"/>
      <c r="G227" s="15" t="n"/>
      <c r="H227" s="18">
        <f>IF($A227="","",SUMIF(tblAkis[KaynakMakineId],$A227,tblAkis[FiiliDurusSaat]))</f>
        <v/>
      </c>
      <c r="I227" s="18">
        <f>IF($A227="","",IFERROR(AVERAGEIF(tblAkis[KaynakMakineId],$A227,tblAkis[FiiliDurusSaat]),0))</f>
        <v/>
      </c>
    </row>
    <row r="228">
      <c r="A228" s="15" t="n"/>
      <c r="B228" s="15" t="n"/>
      <c r="C228" s="15" t="n"/>
      <c r="D228" s="15" t="n"/>
      <c r="E228" s="16" t="n"/>
      <c r="F228" s="17" t="n"/>
      <c r="G228" s="15" t="n"/>
      <c r="H228" s="18">
        <f>IF($A228="","",SUMIF(tblAkis[KaynakMakineId],$A228,tblAkis[FiiliDurusSaat]))</f>
        <v/>
      </c>
      <c r="I228" s="18">
        <f>IF($A228="","",IFERROR(AVERAGEIF(tblAkis[KaynakMakineId],$A228,tblAkis[FiiliDurusSaat]),0))</f>
        <v/>
      </c>
    </row>
    <row r="229">
      <c r="A229" s="15" t="n"/>
      <c r="B229" s="15" t="n"/>
      <c r="C229" s="15" t="n"/>
      <c r="D229" s="15" t="n"/>
      <c r="E229" s="16" t="n"/>
      <c r="F229" s="17" t="n"/>
      <c r="G229" s="15" t="n"/>
      <c r="H229" s="18">
        <f>IF($A229="","",SUMIF(tblAkis[KaynakMakineId],$A229,tblAkis[FiiliDurusSaat]))</f>
        <v/>
      </c>
      <c r="I229" s="18">
        <f>IF($A229="","",IFERROR(AVERAGEIF(tblAkis[KaynakMakineId],$A229,tblAkis[FiiliDurusSaat]),0))</f>
        <v/>
      </c>
    </row>
    <row r="230">
      <c r="A230" s="15" t="n"/>
      <c r="B230" s="15" t="n"/>
      <c r="C230" s="15" t="n"/>
      <c r="D230" s="15" t="n"/>
      <c r="E230" s="16" t="n"/>
      <c r="F230" s="17" t="n"/>
      <c r="G230" s="15" t="n"/>
      <c r="H230" s="18">
        <f>IF($A230="","",SUMIF(tblAkis[KaynakMakineId],$A230,tblAkis[FiiliDurusSaat]))</f>
        <v/>
      </c>
      <c r="I230" s="18">
        <f>IF($A230="","",IFERROR(AVERAGEIF(tblAkis[KaynakMakineId],$A230,tblAkis[FiiliDurusSaat]),0))</f>
        <v/>
      </c>
    </row>
    <row r="231">
      <c r="A231" s="15" t="n"/>
      <c r="B231" s="15" t="n"/>
      <c r="C231" s="15" t="n"/>
      <c r="D231" s="15" t="n"/>
      <c r="E231" s="16" t="n"/>
      <c r="F231" s="17" t="n"/>
      <c r="G231" s="15" t="n"/>
      <c r="H231" s="18">
        <f>IF($A231="","",SUMIF(tblAkis[KaynakMakineId],$A231,tblAkis[FiiliDurusSaat]))</f>
        <v/>
      </c>
      <c r="I231" s="18">
        <f>IF($A231="","",IFERROR(AVERAGEIF(tblAkis[KaynakMakineId],$A231,tblAkis[FiiliDurusSaat]),0))</f>
        <v/>
      </c>
    </row>
    <row r="232">
      <c r="A232" s="15" t="n"/>
      <c r="B232" s="15" t="n"/>
      <c r="C232" s="15" t="n"/>
      <c r="D232" s="15" t="n"/>
      <c r="E232" s="16" t="n"/>
      <c r="F232" s="17" t="n"/>
      <c r="G232" s="15" t="n"/>
      <c r="H232" s="18">
        <f>IF($A232="","",SUMIF(tblAkis[KaynakMakineId],$A232,tblAkis[FiiliDurusSaat]))</f>
        <v/>
      </c>
      <c r="I232" s="18">
        <f>IF($A232="","",IFERROR(AVERAGEIF(tblAkis[KaynakMakineId],$A232,tblAkis[FiiliDurusSaat]),0))</f>
        <v/>
      </c>
    </row>
    <row r="233">
      <c r="A233" s="15" t="n"/>
      <c r="B233" s="15" t="n"/>
      <c r="C233" s="15" t="n"/>
      <c r="D233" s="15" t="n"/>
      <c r="E233" s="16" t="n"/>
      <c r="F233" s="17" t="n"/>
      <c r="G233" s="15" t="n"/>
      <c r="H233" s="18">
        <f>IF($A233="","",SUMIF(tblAkis[KaynakMakineId],$A233,tblAkis[FiiliDurusSaat]))</f>
        <v/>
      </c>
      <c r="I233" s="18">
        <f>IF($A233="","",IFERROR(AVERAGEIF(tblAkis[KaynakMakineId],$A233,tblAkis[FiiliDurusSaat]),0))</f>
        <v/>
      </c>
    </row>
    <row r="234">
      <c r="A234" s="15" t="n"/>
      <c r="B234" s="15" t="n"/>
      <c r="C234" s="15" t="n"/>
      <c r="D234" s="15" t="n"/>
      <c r="E234" s="16" t="n"/>
      <c r="F234" s="17" t="n"/>
      <c r="G234" s="15" t="n"/>
      <c r="H234" s="18">
        <f>IF($A234="","",SUMIF(tblAkis[KaynakMakineId],$A234,tblAkis[FiiliDurusSaat]))</f>
        <v/>
      </c>
      <c r="I234" s="18">
        <f>IF($A234="","",IFERROR(AVERAGEIF(tblAkis[KaynakMakineId],$A234,tblAkis[FiiliDurusSaat]),0))</f>
        <v/>
      </c>
    </row>
    <row r="235">
      <c r="A235" s="15" t="n"/>
      <c r="B235" s="15" t="n"/>
      <c r="C235" s="15" t="n"/>
      <c r="D235" s="15" t="n"/>
      <c r="E235" s="16" t="n"/>
      <c r="F235" s="17" t="n"/>
      <c r="G235" s="15" t="n"/>
      <c r="H235" s="18">
        <f>IF($A235="","",SUMIF(tblAkis[KaynakMakineId],$A235,tblAkis[FiiliDurusSaat]))</f>
        <v/>
      </c>
      <c r="I235" s="18">
        <f>IF($A235="","",IFERROR(AVERAGEIF(tblAkis[KaynakMakineId],$A235,tblAkis[FiiliDurusSaat]),0))</f>
        <v/>
      </c>
    </row>
    <row r="236">
      <c r="A236" s="15" t="n"/>
      <c r="B236" s="15" t="n"/>
      <c r="C236" s="15" t="n"/>
      <c r="D236" s="15" t="n"/>
      <c r="E236" s="16" t="n"/>
      <c r="F236" s="17" t="n"/>
      <c r="G236" s="15" t="n"/>
      <c r="H236" s="18">
        <f>IF($A236="","",SUMIF(tblAkis[KaynakMakineId],$A236,tblAkis[FiiliDurusSaat]))</f>
        <v/>
      </c>
      <c r="I236" s="18">
        <f>IF($A236="","",IFERROR(AVERAGEIF(tblAkis[KaynakMakineId],$A236,tblAkis[FiiliDurusSaat]),0))</f>
        <v/>
      </c>
    </row>
    <row r="237">
      <c r="A237" s="15" t="n"/>
      <c r="B237" s="15" t="n"/>
      <c r="C237" s="15" t="n"/>
      <c r="D237" s="15" t="n"/>
      <c r="E237" s="16" t="n"/>
      <c r="F237" s="17" t="n"/>
      <c r="G237" s="15" t="n"/>
      <c r="H237" s="18">
        <f>IF($A237="","",SUMIF(tblAkis[KaynakMakineId],$A237,tblAkis[FiiliDurusSaat]))</f>
        <v/>
      </c>
      <c r="I237" s="18">
        <f>IF($A237="","",IFERROR(AVERAGEIF(tblAkis[KaynakMakineId],$A237,tblAkis[FiiliDurusSaat]),0))</f>
        <v/>
      </c>
    </row>
    <row r="238">
      <c r="A238" s="15" t="n"/>
      <c r="B238" s="15" t="n"/>
      <c r="C238" s="15" t="n"/>
      <c r="D238" s="15" t="n"/>
      <c r="E238" s="16" t="n"/>
      <c r="F238" s="17" t="n"/>
      <c r="G238" s="15" t="n"/>
      <c r="H238" s="18">
        <f>IF($A238="","",SUMIF(tblAkis[KaynakMakineId],$A238,tblAkis[FiiliDurusSaat]))</f>
        <v/>
      </c>
      <c r="I238" s="18">
        <f>IF($A238="","",IFERROR(AVERAGEIF(tblAkis[KaynakMakineId],$A238,tblAkis[FiiliDurusSaat]),0))</f>
        <v/>
      </c>
    </row>
    <row r="239">
      <c r="A239" s="15" t="n"/>
      <c r="B239" s="15" t="n"/>
      <c r="C239" s="15" t="n"/>
      <c r="D239" s="15" t="n"/>
      <c r="E239" s="16" t="n"/>
      <c r="F239" s="17" t="n"/>
      <c r="G239" s="15" t="n"/>
      <c r="H239" s="18">
        <f>IF($A239="","",SUMIF(tblAkis[KaynakMakineId],$A239,tblAkis[FiiliDurusSaat]))</f>
        <v/>
      </c>
      <c r="I239" s="18">
        <f>IF($A239="","",IFERROR(AVERAGEIF(tblAkis[KaynakMakineId],$A239,tblAkis[FiiliDurusSaat]),0))</f>
        <v/>
      </c>
    </row>
    <row r="240">
      <c r="A240" s="15" t="n"/>
      <c r="B240" s="15" t="n"/>
      <c r="C240" s="15" t="n"/>
      <c r="D240" s="15" t="n"/>
      <c r="E240" s="16" t="n"/>
      <c r="F240" s="17" t="n"/>
      <c r="G240" s="15" t="n"/>
      <c r="H240" s="18">
        <f>IF($A240="","",SUMIF(tblAkis[KaynakMakineId],$A240,tblAkis[FiiliDurusSaat]))</f>
        <v/>
      </c>
      <c r="I240" s="18">
        <f>IF($A240="","",IFERROR(AVERAGEIF(tblAkis[KaynakMakineId],$A240,tblAkis[FiiliDurusSaat]),0))</f>
        <v/>
      </c>
    </row>
    <row r="241">
      <c r="A241" s="15" t="n"/>
      <c r="B241" s="15" t="n"/>
      <c r="C241" s="15" t="n"/>
      <c r="D241" s="15" t="n"/>
      <c r="E241" s="16" t="n"/>
      <c r="F241" s="17" t="n"/>
      <c r="G241" s="15" t="n"/>
      <c r="H241" s="18">
        <f>IF($A241="","",SUMIF(tblAkis[KaynakMakineId],$A241,tblAkis[FiiliDurusSaat]))</f>
        <v/>
      </c>
      <c r="I241" s="18">
        <f>IF($A241="","",IFERROR(AVERAGEIF(tblAkis[KaynakMakineId],$A241,tblAkis[FiiliDurusSaat]),0))</f>
        <v/>
      </c>
    </row>
    <row r="242">
      <c r="A242" s="15" t="n"/>
      <c r="B242" s="15" t="n"/>
      <c r="C242" s="15" t="n"/>
      <c r="D242" s="15" t="n"/>
      <c r="E242" s="16" t="n"/>
      <c r="F242" s="17" t="n"/>
      <c r="G242" s="15" t="n"/>
      <c r="H242" s="18">
        <f>IF($A242="","",SUMIF(tblAkis[KaynakMakineId],$A242,tblAkis[FiiliDurusSaat]))</f>
        <v/>
      </c>
      <c r="I242" s="18">
        <f>IF($A242="","",IFERROR(AVERAGEIF(tblAkis[KaynakMakineId],$A242,tblAkis[FiiliDurusSaat]),0))</f>
        <v/>
      </c>
    </row>
    <row r="243">
      <c r="A243" s="15" t="n"/>
      <c r="B243" s="15" t="n"/>
      <c r="C243" s="15" t="n"/>
      <c r="D243" s="15" t="n"/>
      <c r="E243" s="16" t="n"/>
      <c r="F243" s="17" t="n"/>
      <c r="G243" s="15" t="n"/>
      <c r="H243" s="18">
        <f>IF($A243="","",SUMIF(tblAkis[KaynakMakineId],$A243,tblAkis[FiiliDurusSaat]))</f>
        <v/>
      </c>
      <c r="I243" s="18">
        <f>IF($A243="","",IFERROR(AVERAGEIF(tblAkis[KaynakMakineId],$A243,tblAkis[FiiliDurusSaat]),0))</f>
        <v/>
      </c>
    </row>
    <row r="244">
      <c r="A244" s="15" t="n"/>
      <c r="B244" s="15" t="n"/>
      <c r="C244" s="15" t="n"/>
      <c r="D244" s="15" t="n"/>
      <c r="E244" s="16" t="n"/>
      <c r="F244" s="17" t="n"/>
      <c r="G244" s="15" t="n"/>
      <c r="H244" s="18">
        <f>IF($A244="","",SUMIF(tblAkis[KaynakMakineId],$A244,tblAkis[FiiliDurusSaat]))</f>
        <v/>
      </c>
      <c r="I244" s="18">
        <f>IF($A244="","",IFERROR(AVERAGEIF(tblAkis[KaynakMakineId],$A244,tblAkis[FiiliDurusSaat]),0))</f>
        <v/>
      </c>
    </row>
    <row r="245">
      <c r="A245" s="15" t="n"/>
      <c r="B245" s="15" t="n"/>
      <c r="C245" s="15" t="n"/>
      <c r="D245" s="15" t="n"/>
      <c r="E245" s="16" t="n"/>
      <c r="F245" s="17" t="n"/>
      <c r="G245" s="15" t="n"/>
      <c r="H245" s="18">
        <f>IF($A245="","",SUMIF(tblAkis[KaynakMakineId],$A245,tblAkis[FiiliDurusSaat]))</f>
        <v/>
      </c>
      <c r="I245" s="18">
        <f>IF($A245="","",IFERROR(AVERAGEIF(tblAkis[KaynakMakineId],$A245,tblAkis[FiiliDurusSaat]),0))</f>
        <v/>
      </c>
    </row>
    <row r="246">
      <c r="A246" s="15" t="n"/>
      <c r="B246" s="15" t="n"/>
      <c r="C246" s="15" t="n"/>
      <c r="D246" s="15" t="n"/>
      <c r="E246" s="16" t="n"/>
      <c r="F246" s="17" t="n"/>
      <c r="G246" s="15" t="n"/>
      <c r="H246" s="18">
        <f>IF($A246="","",SUMIF(tblAkis[KaynakMakineId],$A246,tblAkis[FiiliDurusSaat]))</f>
        <v/>
      </c>
      <c r="I246" s="18">
        <f>IF($A246="","",IFERROR(AVERAGEIF(tblAkis[KaynakMakineId],$A246,tblAkis[FiiliDurusSaat]),0))</f>
        <v/>
      </c>
    </row>
    <row r="247">
      <c r="A247" s="15" t="n"/>
      <c r="B247" s="15" t="n"/>
      <c r="C247" s="15" t="n"/>
      <c r="D247" s="15" t="n"/>
      <c r="E247" s="16" t="n"/>
      <c r="F247" s="17" t="n"/>
      <c r="G247" s="15" t="n"/>
      <c r="H247" s="18">
        <f>IF($A247="","",SUMIF(tblAkis[KaynakMakineId],$A247,tblAkis[FiiliDurusSaat]))</f>
        <v/>
      </c>
      <c r="I247" s="18">
        <f>IF($A247="","",IFERROR(AVERAGEIF(tblAkis[KaynakMakineId],$A247,tblAkis[FiiliDurusSaat]),0))</f>
        <v/>
      </c>
    </row>
    <row r="248">
      <c r="A248" s="15" t="n"/>
      <c r="B248" s="15" t="n"/>
      <c r="C248" s="15" t="n"/>
      <c r="D248" s="15" t="n"/>
      <c r="E248" s="16" t="n"/>
      <c r="F248" s="17" t="n"/>
      <c r="G248" s="15" t="n"/>
      <c r="H248" s="18">
        <f>IF($A248="","",SUMIF(tblAkis[KaynakMakineId],$A248,tblAkis[FiiliDurusSaat]))</f>
        <v/>
      </c>
      <c r="I248" s="18">
        <f>IF($A248="","",IFERROR(AVERAGEIF(tblAkis[KaynakMakineId],$A248,tblAkis[FiiliDurusSaat]),0))</f>
        <v/>
      </c>
    </row>
    <row r="249">
      <c r="A249" s="15" t="n"/>
      <c r="B249" s="15" t="n"/>
      <c r="C249" s="15" t="n"/>
      <c r="D249" s="15" t="n"/>
      <c r="E249" s="16" t="n"/>
      <c r="F249" s="17" t="n"/>
      <c r="G249" s="15" t="n"/>
      <c r="H249" s="18">
        <f>IF($A249="","",SUMIF(tblAkis[KaynakMakineId],$A249,tblAkis[FiiliDurusSaat]))</f>
        <v/>
      </c>
      <c r="I249" s="18">
        <f>IF($A249="","",IFERROR(AVERAGEIF(tblAkis[KaynakMakineId],$A249,tblAkis[FiiliDurusSaat]),0))</f>
        <v/>
      </c>
    </row>
    <row r="250">
      <c r="A250" s="15" t="n"/>
      <c r="B250" s="15" t="n"/>
      <c r="C250" s="15" t="n"/>
      <c r="D250" s="15" t="n"/>
      <c r="E250" s="16" t="n"/>
      <c r="F250" s="17" t="n"/>
      <c r="G250" s="15" t="n"/>
      <c r="H250" s="18">
        <f>IF($A250="","",SUMIF(tblAkis[KaynakMakineId],$A250,tblAkis[FiiliDurusSaat]))</f>
        <v/>
      </c>
      <c r="I250" s="18">
        <f>IF($A250="","",IFERROR(AVERAGEIF(tblAkis[KaynakMakineId],$A250,tblAkis[FiiliDurusSaat]),0))</f>
        <v/>
      </c>
    </row>
    <row r="251">
      <c r="A251" s="15" t="n"/>
      <c r="B251" s="15" t="n"/>
      <c r="C251" s="15" t="n"/>
      <c r="D251" s="15" t="n"/>
      <c r="E251" s="16" t="n"/>
      <c r="F251" s="17" t="n"/>
      <c r="G251" s="15" t="n"/>
      <c r="H251" s="18">
        <f>IF($A251="","",SUMIF(tblAkis[KaynakMakineId],$A251,tblAkis[FiiliDurusSaat]))</f>
        <v/>
      </c>
      <c r="I251" s="18">
        <f>IF($A251="","",IFERROR(AVERAGEIF(tblAkis[KaynakMakineId],$A251,tblAkis[FiiliDurusSaat]),0))</f>
        <v/>
      </c>
    </row>
    <row r="252">
      <c r="A252" s="15" t="n"/>
      <c r="B252" s="15" t="n"/>
      <c r="C252" s="15" t="n"/>
      <c r="D252" s="15" t="n"/>
      <c r="E252" s="16" t="n"/>
      <c r="F252" s="17" t="n"/>
      <c r="G252" s="15" t="n"/>
      <c r="H252" s="18">
        <f>IF($A252="","",SUMIF(tblAkis[KaynakMakineId],$A252,tblAkis[FiiliDurusSaat]))</f>
        <v/>
      </c>
      <c r="I252" s="18">
        <f>IF($A252="","",IFERROR(AVERAGEIF(tblAkis[KaynakMakineId],$A252,tblAkis[FiiliDurusSaat]),0))</f>
        <v/>
      </c>
    </row>
    <row r="253">
      <c r="A253" s="15" t="n"/>
      <c r="B253" s="15" t="n"/>
      <c r="C253" s="15" t="n"/>
      <c r="D253" s="15" t="n"/>
      <c r="E253" s="16" t="n"/>
      <c r="F253" s="17" t="n"/>
      <c r="G253" s="15" t="n"/>
      <c r="H253" s="18">
        <f>IF($A253="","",SUMIF(tblAkis[KaynakMakineId],$A253,tblAkis[FiiliDurusSaat]))</f>
        <v/>
      </c>
      <c r="I253" s="18">
        <f>IF($A253="","",IFERROR(AVERAGEIF(tblAkis[KaynakMakineId],$A253,tblAkis[FiiliDurusSaat]),0))</f>
        <v/>
      </c>
    </row>
    <row r="254">
      <c r="A254" s="15" t="n"/>
      <c r="B254" s="15" t="n"/>
      <c r="C254" s="15" t="n"/>
      <c r="D254" s="15" t="n"/>
      <c r="E254" s="16" t="n"/>
      <c r="F254" s="17" t="n"/>
      <c r="G254" s="15" t="n"/>
      <c r="H254" s="18">
        <f>IF($A254="","",SUMIF(tblAkis[KaynakMakineId],$A254,tblAkis[FiiliDurusSaat]))</f>
        <v/>
      </c>
      <c r="I254" s="18">
        <f>IF($A254="","",IFERROR(AVERAGEIF(tblAkis[KaynakMakineId],$A254,tblAkis[FiiliDurusSaat]),0))</f>
        <v/>
      </c>
    </row>
    <row r="255">
      <c r="A255" s="15" t="n"/>
      <c r="B255" s="15" t="n"/>
      <c r="C255" s="15" t="n"/>
      <c r="D255" s="15" t="n"/>
      <c r="E255" s="16" t="n"/>
      <c r="F255" s="17" t="n"/>
      <c r="G255" s="15" t="n"/>
      <c r="H255" s="18">
        <f>IF($A255="","",SUMIF(tblAkis[KaynakMakineId],$A255,tblAkis[FiiliDurusSaat]))</f>
        <v/>
      </c>
      <c r="I255" s="18">
        <f>IF($A255="","",IFERROR(AVERAGEIF(tblAkis[KaynakMakineId],$A255,tblAkis[FiiliDurusSaat]),0))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6:G255">
    <cfRule type="cellIs" priority="1" operator="equal" dxfId="0">
      <formula>"HAYIR"</formula>
    </cfRule>
  </conditionalFormatting>
  <conditionalFormatting sqref="E6:E255">
    <cfRule type="cellIs" priority="2" operator="greaterThan" dxfId="1">
      <formula>1000</formula>
    </cfRule>
  </conditionalFormatting>
  <dataValidations count="7">
    <dataValidation sqref="A6:A255" showDropDown="0" showInputMessage="1" showErrorMessage="1" allowBlank="1" errorTitle="Kimlik" error="En az 1 karakter" promptTitle="Makine Kimliği" prompt="MAK-##### girin" type="textLength" errorStyle="stop" operator="greaterThan">
      <formula1>1</formula1>
      <formula2>40</formula2>
    </dataValidation>
    <dataValidation sqref="B6:B255" showDropDown="0" showInputMessage="1" showErrorMessage="1" allowBlank="1" errorTitle="Ad" error="Geçersiz" promptTitle="Ad" prompt="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Hat" error="Geçersiz" promptTitle="Hat" prompt="Hat girin" type="textLength" errorStyle="stop" operator="greaterThanOrEqual">
      <formula1>0</formula1>
      <formula2>80</formula2>
    </dataValidation>
    <dataValidation sqref="D6:D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E6:E255" showDropDown="0" showInputMessage="1" showErrorMessage="1" allowBlank="1" errorTitle="Maliyet" error="0 veya üzeri" promptTitle="Saatlik Duruş" prompt="TL ≥ 0" type="decimal" errorStyle="stop" operator="greaterThanOrEqual">
      <formula1>0</formula1>
    </dataValidation>
    <dataValidation sqref="F6:F255" showDropDown="0" showInputMessage="1" showErrorMessage="1" allowBlank="1" errorTitle="Periyot" error="0 veya üzeri" promptTitle="Kalibrasyon Periyot" prompt="Gün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8.5" customWidth="1" min="2" max="2"/>
    <col width="23.5" customWidth="1" min="3" max="3"/>
    <col width="23.5" customWidth="1" min="4" max="4"/>
    <col width="17.5" customWidth="1" min="5" max="5"/>
    <col width="18.5" customWidth="1" min="6" max="6"/>
    <col width="23.5" customWidth="1" min="7" max="7"/>
    <col width="15.5" customWidth="1" min="8" max="8"/>
    <col width="15.5" customWidth="1" min="9" max="9"/>
    <col width="12" customWidth="1" min="10" max="10"/>
    <col width="13.5" customWidth="1" min="11" max="11"/>
    <col width="12" customWidth="1" min="12" max="12"/>
    <col width="17.5" customWidth="1" min="13" max="13"/>
    <col width="18.5" customWidth="1" min="14" max="14"/>
    <col width="19.5" customWidth="1" min="15" max="15"/>
    <col width="14.5" customWidth="1" min="16" max="16"/>
    <col width="12" customWidth="1" min="17" max="17"/>
    <col width="15.5" customWidth="1" min="18" max="18"/>
    <col width="16.5" customWidth="1" min="19" max="19"/>
    <col width="16.5" customWidth="1" min="20" max="20"/>
    <col width="13.5" customWidth="1" min="21" max="21"/>
    <col width="16.5" customWidth="1" min="22" max="22"/>
    <col width="13" customWidth="1" min="23" max="23"/>
  </cols>
  <sheetData>
    <row r="1" ht="32" customHeight="1">
      <c r="A1" s="181" t="inlineStr">
        <is>
          <t>AKIS — Makine Bakım &amp; Kalibrasyon + Duruş Maliyeti</t>
        </is>
      </c>
    </row>
    <row r="3" ht="22" customHeight="1">
      <c r="A3" s="201" t="inlineStr">
        <is>
          <t>Bakım satırları — durum makinesi + yetim + geçersiz geçiş + zincir</t>
        </is>
      </c>
    </row>
    <row r="5" ht="30" customHeight="1">
      <c r="A5" s="14" t="inlineStr">
        <is>
          <t>BakimId</t>
        </is>
      </c>
      <c r="B5" s="14" t="inlineStr">
        <is>
          <t>KaynakMakineId</t>
        </is>
      </c>
      <c r="C5" s="14" t="inlineStr">
        <is>
          <t>PlanTarih</t>
        </is>
      </c>
      <c r="D5" s="14" t="inlineStr">
        <is>
          <t>GerceklesenTarih</t>
        </is>
      </c>
      <c r="E5" s="14" t="inlineStr">
        <is>
          <t>PlanDurusSaat</t>
        </is>
      </c>
      <c r="F5" s="14" t="inlineStr">
        <is>
          <t>FiiliDurusSaat</t>
        </is>
      </c>
      <c r="G5" s="14" t="inlineStr">
        <is>
          <t>KalibrasyonGunKalan</t>
        </is>
      </c>
      <c r="H5" s="14" t="inlineStr">
        <is>
          <t>BakimTuru</t>
        </is>
      </c>
      <c r="I5" s="14" t="inlineStr">
        <is>
          <t>OncekiDurum</t>
        </is>
      </c>
      <c r="J5" s="14" t="inlineStr">
        <is>
          <t>Durum</t>
        </is>
      </c>
      <c r="K5" s="14" t="inlineStr">
        <is>
          <t>ImzaKanit</t>
        </is>
      </c>
      <c r="L5" s="14" t="inlineStr">
        <is>
          <t>YorumA</t>
        </is>
      </c>
      <c r="M5" s="14" t="inlineStr">
        <is>
          <t>YorumB</t>
        </is>
      </c>
      <c r="N5" s="14" t="inlineStr">
        <is>
          <t>SaatlikMaliyet</t>
        </is>
      </c>
      <c r="O5" s="14" t="inlineStr">
        <is>
          <t>HesaplananDurus</t>
        </is>
      </c>
      <c r="P5" s="14" t="inlineStr">
        <is>
          <t>GecikmeGun</t>
        </is>
      </c>
      <c r="Q5" s="14" t="inlineStr">
        <is>
          <t>YasKova</t>
        </is>
      </c>
      <c r="R5" s="14" t="inlineStr">
        <is>
          <t>YetimBayrak</t>
        </is>
      </c>
      <c r="S5" s="14" t="inlineStr">
        <is>
          <t>GecisUyarisi</t>
        </is>
      </c>
      <c r="T5" s="14" t="inlineStr">
        <is>
          <t>ZincirBayrak</t>
        </is>
      </c>
      <c r="U5" s="14" t="inlineStr">
        <is>
          <t>KayitDolu</t>
        </is>
      </c>
      <c r="V5" s="14" t="inlineStr">
        <is>
          <t>DurusMaliyet</t>
        </is>
      </c>
    </row>
    <row r="6">
      <c r="A6" s="15" t="inlineStr">
        <is>
          <t>BKM-00001</t>
        </is>
      </c>
      <c r="B6" s="15" t="inlineStr">
        <is>
          <t>MAK-00001</t>
        </is>
      </c>
      <c r="C6" s="64" t="n">
        <v>46243</v>
      </c>
      <c r="D6" s="64" t="n"/>
      <c r="E6" s="17" t="n">
        <v>2.5</v>
      </c>
      <c r="F6" s="17" t="n">
        <v>2.5</v>
      </c>
      <c r="G6" s="17" t="n">
        <v>27</v>
      </c>
      <c r="H6" s="15" t="inlineStr">
        <is>
          <t>DUZELTICI</t>
        </is>
      </c>
      <c r="I6" s="15" t="n"/>
      <c r="J6" s="15" t="inlineStr">
        <is>
          <t>PLAN</t>
        </is>
      </c>
      <c r="K6" s="15" t="n"/>
      <c r="L6" s="15" t="inlineStr">
        <is>
          <t>A</t>
        </is>
      </c>
      <c r="M6" s="15" t="inlineStr">
        <is>
          <t>Bakım notu 1</t>
        </is>
      </c>
      <c r="N6" s="16" t="n">
        <v>900</v>
      </c>
      <c r="O6" s="18">
        <f>IF($A6="","",$F6)</f>
        <v/>
      </c>
      <c r="P6" s="18">
        <f>IF($A6="","",IF($J6="YAPILDI",0,IF($C6="","",raporTarihi-$C6)))</f>
        <v/>
      </c>
      <c r="Q6" s="18">
        <f>IF($A6="","",IF($P6="","",IF($P6&lt;=mbk_kovaEsik1,"0-7",IF($P6&lt;=mbk_kovaEsik2,"8-30",IF($P6&lt;=mbk_kovaEsik3,"31-60","60+")))))</f>
        <v/>
      </c>
      <c r="R6" s="18">
        <f>IF($A6="","",IF($B6="","YETİM",IF(COUNTIF(tblMakineler[MakineId],$B6)=0,"YETİM","")))</f>
        <v/>
      </c>
      <c r="S6" s="18">
        <f>IF(OR($A6="",$I6=""),"",IF(OR($I6&amp;"|"&amp;$J6="",COUNTIF(ListeIzinliGecis,$I6&amp;"|"&amp;$J6)&gt;0),"","GEÇERSİZ GEÇİŞ"))</f>
        <v/>
      </c>
      <c r="T6" s="18">
        <f>IF($A6="","",IF(OR($E6="",$F6=""),"",IF(ABS($F6-$E6)&gt;zincirTolerans,"ZİNCİR KIRIK","OK")))</f>
        <v/>
      </c>
      <c r="U6" s="18">
        <f>IF($A6="","",1)</f>
        <v/>
      </c>
      <c r="V6" s="18">
        <f>IF($A6="","",$F6*$N6*mbk_durusKatsayi)</f>
        <v/>
      </c>
    </row>
    <row r="7">
      <c r="A7" s="15" t="inlineStr">
        <is>
          <t>BKM-00002</t>
        </is>
      </c>
      <c r="B7" s="15" t="inlineStr">
        <is>
          <t>MAK-00002</t>
        </is>
      </c>
      <c r="C7" s="64" t="n">
        <v>46241</v>
      </c>
      <c r="D7" s="64" t="n"/>
      <c r="E7" s="17" t="n">
        <v>3</v>
      </c>
      <c r="F7" s="17" t="n">
        <v>3</v>
      </c>
      <c r="G7" s="17" t="n">
        <v>24</v>
      </c>
      <c r="H7" s="15" t="inlineStr">
        <is>
          <t>KALIBRASYON</t>
        </is>
      </c>
      <c r="I7" s="15" t="inlineStr">
        <is>
          <t>PLAN</t>
        </is>
      </c>
      <c r="J7" s="15" t="inlineStr">
        <is>
          <t>GECIKME</t>
        </is>
      </c>
      <c r="K7" s="15" t="n"/>
      <c r="L7" s="15" t="inlineStr">
        <is>
          <t>B</t>
        </is>
      </c>
      <c r="M7" s="15" t="inlineStr">
        <is>
          <t>Bakım notu 2</t>
        </is>
      </c>
      <c r="N7" s="16" t="n">
        <v>950</v>
      </c>
      <c r="O7" s="18">
        <f>IF($A7="","",$F7)</f>
        <v/>
      </c>
      <c r="P7" s="18">
        <f>IF($A7="","",IF($J7="YAPILDI",0,IF($C7="","",raporTarihi-$C7)))</f>
        <v/>
      </c>
      <c r="Q7" s="18">
        <f>IF($A7="","",IF($P7="","",IF($P7&lt;=mbk_kovaEsik1,"0-7",IF($P7&lt;=mbk_kovaEsik2,"8-30",IF($P7&lt;=mbk_kovaEsik3,"31-60","60+")))))</f>
        <v/>
      </c>
      <c r="R7" s="18">
        <f>IF($A7="","",IF($B7="","YETİM",IF(COUNTIF(tblMakineler[MakineId],$B7)=0,"YETİM","")))</f>
        <v/>
      </c>
      <c r="S7" s="18">
        <f>IF(OR($A7="",$I7=""),"",IF(OR($I7&amp;"|"&amp;$J7="",COUNTIF(ListeIzinliGecis,$I7&amp;"|"&amp;$J7)&gt;0),"","GEÇERSİZ GEÇİŞ"))</f>
        <v/>
      </c>
      <c r="T7" s="18">
        <f>IF($A7="","",IF(OR($E7="",$F7=""),"",IF(ABS($F7-$E7)&gt;zincirTolerans,"ZİNCİR KIRIK","OK")))</f>
        <v/>
      </c>
      <c r="U7" s="18">
        <f>IF($A7="","",1)</f>
        <v/>
      </c>
      <c r="V7" s="18">
        <f>IF($A7="","",$F7*$N7*mbk_durusKatsayi)</f>
        <v/>
      </c>
    </row>
    <row r="8">
      <c r="A8" s="15" t="inlineStr">
        <is>
          <t>BKM-00003</t>
        </is>
      </c>
      <c r="B8" s="15" t="inlineStr">
        <is>
          <t>MAK-00003</t>
        </is>
      </c>
      <c r="C8" s="64" t="n">
        <v>46239</v>
      </c>
      <c r="D8" s="64" t="n">
        <v>46239</v>
      </c>
      <c r="E8" s="17" t="n">
        <v>3.5</v>
      </c>
      <c r="F8" s="17" t="n">
        <v>3.5</v>
      </c>
      <c r="G8" s="17" t="n">
        <v>21</v>
      </c>
      <c r="H8" s="15" t="inlineStr">
        <is>
          <t>ACIL</t>
        </is>
      </c>
      <c r="I8" s="15" t="inlineStr">
        <is>
          <t>GECIKME</t>
        </is>
      </c>
      <c r="J8" s="15" t="inlineStr">
        <is>
          <t>YAPILDI</t>
        </is>
      </c>
      <c r="K8" s="15" t="inlineStr">
        <is>
          <t>İMZA-003</t>
        </is>
      </c>
      <c r="L8" s="15" t="inlineStr">
        <is>
          <t>A</t>
        </is>
      </c>
      <c r="M8" s="15" t="inlineStr">
        <is>
          <t>Bakım notu 3</t>
        </is>
      </c>
      <c r="N8" s="16" t="n">
        <v>1000</v>
      </c>
      <c r="O8" s="18">
        <f>IF($A8="","",$F8)</f>
        <v/>
      </c>
      <c r="P8" s="18">
        <f>IF($A8="","",IF($J8="YAPILDI",0,IF($C8="","",raporTarihi-$C8)))</f>
        <v/>
      </c>
      <c r="Q8" s="18">
        <f>IF($A8="","",IF($P8="","",IF($P8&lt;=mbk_kovaEsik1,"0-7",IF($P8&lt;=mbk_kovaEsik2,"8-30",IF($P8&lt;=mbk_kovaEsik3,"31-60","60+")))))</f>
        <v/>
      </c>
      <c r="R8" s="18">
        <f>IF($A8="","",IF($B8="","YETİM",IF(COUNTIF(tblMakineler[MakineId],$B8)=0,"YETİM","")))</f>
        <v/>
      </c>
      <c r="S8" s="18">
        <f>IF(OR($A8="",$I8=""),"",IF(OR($I8&amp;"|"&amp;$J8="",COUNTIF(ListeIzinliGecis,$I8&amp;"|"&amp;$J8)&gt;0),"","GEÇERSİZ GEÇİŞ"))</f>
        <v/>
      </c>
      <c r="T8" s="18">
        <f>IF($A8="","",IF(OR($E8="",$F8=""),"",IF(ABS($F8-$E8)&gt;zincirTolerans,"ZİNCİR KIRIK","OK")))</f>
        <v/>
      </c>
      <c r="U8" s="18">
        <f>IF($A8="","",1)</f>
        <v/>
      </c>
      <c r="V8" s="18">
        <f>IF($A8="","",$F8*$N8*mbk_durusKatsayi)</f>
        <v/>
      </c>
    </row>
    <row r="9">
      <c r="A9" s="15" t="inlineStr">
        <is>
          <t>BKM-00004</t>
        </is>
      </c>
      <c r="B9" s="15" t="inlineStr">
        <is>
          <t>MAK-00004</t>
        </is>
      </c>
      <c r="C9" s="64" t="n">
        <v>46237</v>
      </c>
      <c r="D9" s="64" t="n"/>
      <c r="E9" s="17" t="n">
        <v>2</v>
      </c>
      <c r="F9" s="17" t="n">
        <v>2</v>
      </c>
      <c r="G9" s="17" t="n">
        <v>18</v>
      </c>
      <c r="H9" s="15" t="inlineStr">
        <is>
          <t>ONLEYICI</t>
        </is>
      </c>
      <c r="I9" s="15" t="inlineStr">
        <is>
          <t>GECIKME</t>
        </is>
      </c>
      <c r="J9" s="15" t="inlineStr">
        <is>
          <t>KRITIK</t>
        </is>
      </c>
      <c r="K9" s="15" t="n"/>
      <c r="L9" s="15" t="inlineStr">
        <is>
          <t>B</t>
        </is>
      </c>
      <c r="M9" s="15" t="inlineStr">
        <is>
          <t>Bakım notu 4</t>
        </is>
      </c>
      <c r="N9" s="16" t="n">
        <v>1050</v>
      </c>
      <c r="O9" s="18">
        <f>IF($A9="","",$F9)</f>
        <v/>
      </c>
      <c r="P9" s="18">
        <f>IF($A9="","",IF($J9="YAPILDI",0,IF($C9="","",raporTarihi-$C9)))</f>
        <v/>
      </c>
      <c r="Q9" s="18">
        <f>IF($A9="","",IF($P9="","",IF($P9&lt;=mbk_kovaEsik1,"0-7",IF($P9&lt;=mbk_kovaEsik2,"8-30",IF($P9&lt;=mbk_kovaEsik3,"31-60","60+")))))</f>
        <v/>
      </c>
      <c r="R9" s="18">
        <f>IF($A9="","",IF($B9="","YETİM",IF(COUNTIF(tblMakineler[MakineId],$B9)=0,"YETİM","")))</f>
        <v/>
      </c>
      <c r="S9" s="18">
        <f>IF(OR($A9="",$I9=""),"",IF(OR($I9&amp;"|"&amp;$J9="",COUNTIF(ListeIzinliGecis,$I9&amp;"|"&amp;$J9)&gt;0),"","GEÇERSİZ GEÇİŞ"))</f>
        <v/>
      </c>
      <c r="T9" s="18">
        <f>IF($A9="","",IF(OR($E9="",$F9=""),"",IF(ABS($F9-$E9)&gt;zincirTolerans,"ZİNCİR KIRIK","OK")))</f>
        <v/>
      </c>
      <c r="U9" s="18">
        <f>IF($A9="","",1)</f>
        <v/>
      </c>
      <c r="V9" s="18">
        <f>IF($A9="","",$F9*$N9*mbk_durusKatsayi)</f>
        <v/>
      </c>
    </row>
    <row r="10">
      <c r="A10" s="15" t="inlineStr">
        <is>
          <t>BKM-00005</t>
        </is>
      </c>
      <c r="B10" s="15" t="inlineStr">
        <is>
          <t>MAK-00005</t>
        </is>
      </c>
      <c r="C10" s="64" t="n">
        <v>46235</v>
      </c>
      <c r="D10" s="64" t="n"/>
      <c r="E10" s="17" t="n">
        <v>2.5</v>
      </c>
      <c r="F10" s="17" t="n">
        <v>2.5</v>
      </c>
      <c r="G10" s="17" t="n">
        <v>15</v>
      </c>
      <c r="H10" s="15" t="inlineStr">
        <is>
          <t>DUZELTICI</t>
        </is>
      </c>
      <c r="I10" s="15" t="inlineStr">
        <is>
          <t>PLAN</t>
        </is>
      </c>
      <c r="J10" s="15" t="inlineStr">
        <is>
          <t>GECIKME</t>
        </is>
      </c>
      <c r="K10" s="15" t="n"/>
      <c r="L10" s="15" t="inlineStr">
        <is>
          <t>A</t>
        </is>
      </c>
      <c r="M10" s="15" t="inlineStr">
        <is>
          <t>Bakım notu 5</t>
        </is>
      </c>
      <c r="N10" s="16" t="n">
        <v>850</v>
      </c>
      <c r="O10" s="18">
        <f>IF($A10="","",$F10)</f>
        <v/>
      </c>
      <c r="P10" s="18">
        <f>IF($A10="","",IF($J10="YAPILDI",0,IF($C10="","",raporTarihi-$C10)))</f>
        <v/>
      </c>
      <c r="Q10" s="18">
        <f>IF($A10="","",IF($P10="","",IF($P10&lt;=mbk_kovaEsik1,"0-7",IF($P10&lt;=mbk_kovaEsik2,"8-30",IF($P10&lt;=mbk_kovaEsik3,"31-60","60+")))))</f>
        <v/>
      </c>
      <c r="R10" s="18">
        <f>IF($A10="","",IF($B10="","YETİM",IF(COUNTIF(tblMakineler[MakineId],$B10)=0,"YETİM","")))</f>
        <v/>
      </c>
      <c r="S10" s="18">
        <f>IF(OR($A10="",$I10=""),"",IF(OR($I10&amp;"|"&amp;$J10="",COUNTIF(ListeIzinliGecis,$I10&amp;"|"&amp;$J10)&gt;0),"","GEÇERSİZ GEÇİŞ"))</f>
        <v/>
      </c>
      <c r="T10" s="18">
        <f>IF($A10="","",IF(OR($E10="",$F10=""),"",IF(ABS($F10-$E10)&gt;zincirTolerans,"ZİNCİR KIRIK","OK")))</f>
        <v/>
      </c>
      <c r="U10" s="18">
        <f>IF($A10="","",1)</f>
        <v/>
      </c>
      <c r="V10" s="18">
        <f>IF($A10="","",$F10*$N10*mbk_durusKatsayi)</f>
        <v/>
      </c>
    </row>
    <row r="11">
      <c r="A11" s="15" t="inlineStr">
        <is>
          <t>BKM-00006</t>
        </is>
      </c>
      <c r="B11" s="15" t="inlineStr">
        <is>
          <t>MAK-00006</t>
        </is>
      </c>
      <c r="C11" s="64" t="n">
        <v>46233</v>
      </c>
      <c r="D11" s="64" t="n"/>
      <c r="E11" s="17" t="n">
        <v>3</v>
      </c>
      <c r="F11" s="17" t="n">
        <v>3</v>
      </c>
      <c r="G11" s="17" t="n">
        <v>12</v>
      </c>
      <c r="H11" s="15" t="inlineStr">
        <is>
          <t>KALIBRASYON</t>
        </is>
      </c>
      <c r="I11" s="15" t="inlineStr">
        <is>
          <t>PLAN</t>
        </is>
      </c>
      <c r="J11" s="15" t="inlineStr">
        <is>
          <t>PLAN</t>
        </is>
      </c>
      <c r="K11" s="15" t="n"/>
      <c r="L11" s="15" t="inlineStr">
        <is>
          <t>B</t>
        </is>
      </c>
      <c r="M11" s="15" t="inlineStr">
        <is>
          <t>Bakım notu 6</t>
        </is>
      </c>
      <c r="N11" s="16" t="n">
        <v>900</v>
      </c>
      <c r="O11" s="18">
        <f>IF($A11="","",$F11)</f>
        <v/>
      </c>
      <c r="P11" s="18">
        <f>IF($A11="","",IF($J11="YAPILDI",0,IF($C11="","",raporTarihi-$C11)))</f>
        <v/>
      </c>
      <c r="Q11" s="18">
        <f>IF($A11="","",IF($P11="","",IF($P11&lt;=mbk_kovaEsik1,"0-7",IF($P11&lt;=mbk_kovaEsik2,"8-30",IF($P11&lt;=mbk_kovaEsik3,"31-60","60+")))))</f>
        <v/>
      </c>
      <c r="R11" s="18">
        <f>IF($A11="","",IF($B11="","YETİM",IF(COUNTIF(tblMakineler[MakineId],$B11)=0,"YETİM","")))</f>
        <v/>
      </c>
      <c r="S11" s="18">
        <f>IF(OR($A11="",$I11=""),"",IF(OR($I11&amp;"|"&amp;$J11="",COUNTIF(ListeIzinliGecis,$I11&amp;"|"&amp;$J11)&gt;0),"","GEÇERSİZ GEÇİŞ"))</f>
        <v/>
      </c>
      <c r="T11" s="18">
        <f>IF($A11="","",IF(OR($E11="",$F11=""),"",IF(ABS($F11-$E11)&gt;zincirTolerans,"ZİNCİR KIRIK","OK")))</f>
        <v/>
      </c>
      <c r="U11" s="18">
        <f>IF($A11="","",1)</f>
        <v/>
      </c>
      <c r="V11" s="18">
        <f>IF($A11="","",$F11*$N11*mbk_durusKatsayi)</f>
        <v/>
      </c>
    </row>
    <row r="12">
      <c r="A12" s="15" t="inlineStr">
        <is>
          <t>BKM-00007</t>
        </is>
      </c>
      <c r="B12" s="15" t="inlineStr">
        <is>
          <t>MAK-00007</t>
        </is>
      </c>
      <c r="C12" s="64" t="n">
        <v>46231</v>
      </c>
      <c r="D12" s="64" t="n">
        <v>46231</v>
      </c>
      <c r="E12" s="17" t="n">
        <v>3.5</v>
      </c>
      <c r="F12" s="17" t="n">
        <v>3.5</v>
      </c>
      <c r="G12" s="17" t="n">
        <v>9</v>
      </c>
      <c r="H12" s="15" t="inlineStr">
        <is>
          <t>ACIL</t>
        </is>
      </c>
      <c r="I12" s="15" t="inlineStr">
        <is>
          <t>KRITIK</t>
        </is>
      </c>
      <c r="J12" s="15" t="inlineStr">
        <is>
          <t>YAPILDI</t>
        </is>
      </c>
      <c r="K12" s="15" t="inlineStr">
        <is>
          <t>İMZA-007</t>
        </is>
      </c>
      <c r="L12" s="15" t="inlineStr">
        <is>
          <t>A</t>
        </is>
      </c>
      <c r="M12" s="15" t="inlineStr">
        <is>
          <t>Bakım notu 7</t>
        </is>
      </c>
      <c r="N12" s="16" t="n">
        <v>950</v>
      </c>
      <c r="O12" s="18">
        <f>IF($A12="","",$F12)</f>
        <v/>
      </c>
      <c r="P12" s="18">
        <f>IF($A12="","",IF($J12="YAPILDI",0,IF($C12="","",raporTarihi-$C12)))</f>
        <v/>
      </c>
      <c r="Q12" s="18">
        <f>IF($A12="","",IF($P12="","",IF($P12&lt;=mbk_kovaEsik1,"0-7",IF($P12&lt;=mbk_kovaEsik2,"8-30",IF($P12&lt;=mbk_kovaEsik3,"31-60","60+")))))</f>
        <v/>
      </c>
      <c r="R12" s="18">
        <f>IF($A12="","",IF($B12="","YETİM",IF(COUNTIF(tblMakineler[MakineId],$B12)=0,"YETİM","")))</f>
        <v/>
      </c>
      <c r="S12" s="18">
        <f>IF(OR($A12="",$I12=""),"",IF(OR($I12&amp;"|"&amp;$J12="",COUNTIF(ListeIzinliGecis,$I12&amp;"|"&amp;$J12)&gt;0),"","GEÇERSİZ GEÇİŞ"))</f>
        <v/>
      </c>
      <c r="T12" s="18">
        <f>IF($A12="","",IF(OR($E12="",$F12=""),"",IF(ABS($F12-$E12)&gt;zincirTolerans,"ZİNCİR KIRIK","OK")))</f>
        <v/>
      </c>
      <c r="U12" s="18">
        <f>IF($A12="","",1)</f>
        <v/>
      </c>
      <c r="V12" s="18">
        <f>IF($A12="","",$F12*$N12*mbk_durusKatsayi)</f>
        <v/>
      </c>
    </row>
    <row r="13">
      <c r="A13" s="15" t="inlineStr">
        <is>
          <t>BKM-00008</t>
        </is>
      </c>
      <c r="B13" s="15" t="inlineStr">
        <is>
          <t>MAK-00008</t>
        </is>
      </c>
      <c r="C13" s="64" t="n">
        <v>46229</v>
      </c>
      <c r="D13" s="64" t="n"/>
      <c r="E13" s="17" t="n">
        <v>2</v>
      </c>
      <c r="F13" s="17" t="n">
        <v>2</v>
      </c>
      <c r="G13" s="17" t="n">
        <v>6</v>
      </c>
      <c r="H13" s="15" t="inlineStr">
        <is>
          <t>ONLEYICI</t>
        </is>
      </c>
      <c r="I13" s="15" t="inlineStr">
        <is>
          <t>PLAN</t>
        </is>
      </c>
      <c r="J13" s="15" t="inlineStr">
        <is>
          <t>PLAN</t>
        </is>
      </c>
      <c r="K13" s="15" t="n"/>
      <c r="L13" s="15" t="inlineStr">
        <is>
          <t>B</t>
        </is>
      </c>
      <c r="M13" s="15" t="inlineStr">
        <is>
          <t>Bakım notu 8</t>
        </is>
      </c>
      <c r="N13" s="16" t="n">
        <v>1000</v>
      </c>
      <c r="O13" s="18">
        <f>IF($A13="","",$F13)</f>
        <v/>
      </c>
      <c r="P13" s="18">
        <f>IF($A13="","",IF($J13="YAPILDI",0,IF($C13="","",raporTarihi-$C13)))</f>
        <v/>
      </c>
      <c r="Q13" s="18">
        <f>IF($A13="","",IF($P13="","",IF($P13&lt;=mbk_kovaEsik1,"0-7",IF($P13&lt;=mbk_kovaEsik2,"8-30",IF($P13&lt;=mbk_kovaEsik3,"31-60","60+")))))</f>
        <v/>
      </c>
      <c r="R13" s="18">
        <f>IF($A13="","",IF($B13="","YETİM",IF(COUNTIF(tblMakineler[MakineId],$B13)=0,"YETİM","")))</f>
        <v/>
      </c>
      <c r="S13" s="18">
        <f>IF(OR($A13="",$I13=""),"",IF(OR($I13&amp;"|"&amp;$J13="",COUNTIF(ListeIzinliGecis,$I13&amp;"|"&amp;$J13)&gt;0),"","GEÇERSİZ GEÇİŞ"))</f>
        <v/>
      </c>
      <c r="T13" s="18">
        <f>IF($A13="","",IF(OR($E13="",$F13=""),"",IF(ABS($F13-$E13)&gt;zincirTolerans,"ZİNCİR KIRIK","OK")))</f>
        <v/>
      </c>
      <c r="U13" s="18">
        <f>IF($A13="","",1)</f>
        <v/>
      </c>
      <c r="V13" s="18">
        <f>IF($A13="","",$F13*$N13*mbk_durusKatsayi)</f>
        <v/>
      </c>
    </row>
    <row r="14">
      <c r="A14" s="15" t="inlineStr">
        <is>
          <t>BKM-00009</t>
        </is>
      </c>
      <c r="B14" s="15" t="inlineStr">
        <is>
          <t>MAK-00001</t>
        </is>
      </c>
      <c r="C14" s="64" t="n">
        <v>46227</v>
      </c>
      <c r="D14" s="64" t="n"/>
      <c r="E14" s="17" t="n">
        <v>2.5</v>
      </c>
      <c r="F14" s="17" t="n">
        <v>2.5</v>
      </c>
      <c r="G14" s="17" t="n">
        <v>3</v>
      </c>
      <c r="H14" s="15" t="inlineStr">
        <is>
          <t>DUZELTICI</t>
        </is>
      </c>
      <c r="I14" s="15" t="n"/>
      <c r="J14" s="15" t="inlineStr">
        <is>
          <t>PLAN</t>
        </is>
      </c>
      <c r="K14" s="15" t="n"/>
      <c r="L14" s="15" t="inlineStr">
        <is>
          <t>A</t>
        </is>
      </c>
      <c r="M14" s="15" t="inlineStr">
        <is>
          <t>Bakım notu 9</t>
        </is>
      </c>
      <c r="N14" s="16" t="n">
        <v>1050</v>
      </c>
      <c r="O14" s="18">
        <f>IF($A14="","",$F14)</f>
        <v/>
      </c>
      <c r="P14" s="18">
        <f>IF($A14="","",IF($J14="YAPILDI",0,IF($C14="","",raporTarihi-$C14)))</f>
        <v/>
      </c>
      <c r="Q14" s="18">
        <f>IF($A14="","",IF($P14="","",IF($P14&lt;=mbk_kovaEsik1,"0-7",IF($P14&lt;=mbk_kovaEsik2,"8-30",IF($P14&lt;=mbk_kovaEsik3,"31-60","60+")))))</f>
        <v/>
      </c>
      <c r="R14" s="18">
        <f>IF($A14="","",IF($B14="","YETİM",IF(COUNTIF(tblMakineler[MakineId],$B14)=0,"YETİM","")))</f>
        <v/>
      </c>
      <c r="S14" s="18">
        <f>IF(OR($A14="",$I14=""),"",IF(OR($I14&amp;"|"&amp;$J14="",COUNTIF(ListeIzinliGecis,$I14&amp;"|"&amp;$J14)&gt;0),"","GEÇERSİZ GEÇİŞ"))</f>
        <v/>
      </c>
      <c r="T14" s="18">
        <f>IF($A14="","",IF(OR($E14="",$F14=""),"",IF(ABS($F14-$E14)&gt;zincirTolerans,"ZİNCİR KIRIK","OK")))</f>
        <v/>
      </c>
      <c r="U14" s="18">
        <f>IF($A14="","",1)</f>
        <v/>
      </c>
      <c r="V14" s="18">
        <f>IF($A14="","",$F14*$N14*mbk_durusKatsayi)</f>
        <v/>
      </c>
    </row>
    <row r="15">
      <c r="A15" s="15" t="inlineStr">
        <is>
          <t>BKM-00010</t>
        </is>
      </c>
      <c r="B15" s="15" t="inlineStr">
        <is>
          <t>MAK-00002</t>
        </is>
      </c>
      <c r="C15" s="64" t="n">
        <v>46225</v>
      </c>
      <c r="D15" s="64" t="n"/>
      <c r="E15" s="17" t="n">
        <v>3</v>
      </c>
      <c r="F15" s="17" t="n">
        <v>3</v>
      </c>
      <c r="G15" s="17" t="n">
        <v>0</v>
      </c>
      <c r="H15" s="15" t="inlineStr">
        <is>
          <t>KALIBRASYON</t>
        </is>
      </c>
      <c r="I15" s="15" t="inlineStr">
        <is>
          <t>PLAN</t>
        </is>
      </c>
      <c r="J15" s="15" t="inlineStr">
        <is>
          <t>GECIKME</t>
        </is>
      </c>
      <c r="K15" s="15" t="n"/>
      <c r="L15" s="15" t="inlineStr">
        <is>
          <t>B</t>
        </is>
      </c>
      <c r="M15" s="15" t="inlineStr">
        <is>
          <t>Bakım notu 10</t>
        </is>
      </c>
      <c r="N15" s="16" t="n">
        <v>850</v>
      </c>
      <c r="O15" s="18">
        <f>IF($A15="","",$F15)</f>
        <v/>
      </c>
      <c r="P15" s="18">
        <f>IF($A15="","",IF($J15="YAPILDI",0,IF($C15="","",raporTarihi-$C15)))</f>
        <v/>
      </c>
      <c r="Q15" s="18">
        <f>IF($A15="","",IF($P15="","",IF($P15&lt;=mbk_kovaEsik1,"0-7",IF($P15&lt;=mbk_kovaEsik2,"8-30",IF($P15&lt;=mbk_kovaEsik3,"31-60","60+")))))</f>
        <v/>
      </c>
      <c r="R15" s="18">
        <f>IF($A15="","",IF($B15="","YETİM",IF(COUNTIF(tblMakineler[MakineId],$B15)=0,"YETİM","")))</f>
        <v/>
      </c>
      <c r="S15" s="18">
        <f>IF(OR($A15="",$I15=""),"",IF(OR($I15&amp;"|"&amp;$J15="",COUNTIF(ListeIzinliGecis,$I15&amp;"|"&amp;$J15)&gt;0),"","GEÇERSİZ GEÇİŞ"))</f>
        <v/>
      </c>
      <c r="T15" s="18">
        <f>IF($A15="","",IF(OR($E15="",$F15=""),"",IF(ABS($F15-$E15)&gt;zincirTolerans,"ZİNCİR KIRIK","OK")))</f>
        <v/>
      </c>
      <c r="U15" s="18">
        <f>IF($A15="","",1)</f>
        <v/>
      </c>
      <c r="V15" s="18">
        <f>IF($A15="","",$F15*$N15*mbk_durusKatsayi)</f>
        <v/>
      </c>
    </row>
    <row r="16">
      <c r="A16" s="15" t="inlineStr">
        <is>
          <t>BKM-00011</t>
        </is>
      </c>
      <c r="B16" s="15" t="inlineStr">
        <is>
          <t>MAK-00003</t>
        </is>
      </c>
      <c r="C16" s="64" t="n">
        <v>46223</v>
      </c>
      <c r="D16" s="64" t="n">
        <v>46223</v>
      </c>
      <c r="E16" s="17" t="n">
        <v>3.5</v>
      </c>
      <c r="F16" s="17" t="n">
        <v>3.5</v>
      </c>
      <c r="G16" s="17" t="n">
        <v>-3</v>
      </c>
      <c r="H16" s="15" t="inlineStr">
        <is>
          <t>ACIL</t>
        </is>
      </c>
      <c r="I16" s="15" t="inlineStr">
        <is>
          <t>GECIKME</t>
        </is>
      </c>
      <c r="J16" s="15" t="inlineStr">
        <is>
          <t>YAPILDI</t>
        </is>
      </c>
      <c r="K16" s="15" t="inlineStr">
        <is>
          <t>İMZA-011</t>
        </is>
      </c>
      <c r="L16" s="15" t="inlineStr">
        <is>
          <t>A</t>
        </is>
      </c>
      <c r="M16" s="15" t="inlineStr">
        <is>
          <t>Bakım notu 11</t>
        </is>
      </c>
      <c r="N16" s="16" t="n">
        <v>900</v>
      </c>
      <c r="O16" s="18">
        <f>IF($A16="","",$F16)</f>
        <v/>
      </c>
      <c r="P16" s="18">
        <f>IF($A16="","",IF($J16="YAPILDI",0,IF($C16="","",raporTarihi-$C16)))</f>
        <v/>
      </c>
      <c r="Q16" s="18">
        <f>IF($A16="","",IF($P16="","",IF($P16&lt;=mbk_kovaEsik1,"0-7",IF($P16&lt;=mbk_kovaEsik2,"8-30",IF($P16&lt;=mbk_kovaEsik3,"31-60","60+")))))</f>
        <v/>
      </c>
      <c r="R16" s="18">
        <f>IF($A16="","",IF($B16="","YETİM",IF(COUNTIF(tblMakineler[MakineId],$B16)=0,"YETİM","")))</f>
        <v/>
      </c>
      <c r="S16" s="18">
        <f>IF(OR($A16="",$I16=""),"",IF(OR($I16&amp;"|"&amp;$J16="",COUNTIF(ListeIzinliGecis,$I16&amp;"|"&amp;$J16)&gt;0),"","GEÇERSİZ GEÇİŞ"))</f>
        <v/>
      </c>
      <c r="T16" s="18">
        <f>IF($A16="","",IF(OR($E16="",$F16=""),"",IF(ABS($F16-$E16)&gt;zincirTolerans,"ZİNCİR KIRIK","OK")))</f>
        <v/>
      </c>
      <c r="U16" s="18">
        <f>IF($A16="","",1)</f>
        <v/>
      </c>
      <c r="V16" s="18">
        <f>IF($A16="","",$F16*$N16*mbk_durusKatsayi)</f>
        <v/>
      </c>
    </row>
    <row r="17">
      <c r="A17" s="15" t="inlineStr">
        <is>
          <t>BKM-00012</t>
        </is>
      </c>
      <c r="B17" s="15" t="inlineStr">
        <is>
          <t>MAK-00004</t>
        </is>
      </c>
      <c r="C17" s="64" t="n">
        <v>46221</v>
      </c>
      <c r="D17" s="64" t="n"/>
      <c r="E17" s="17" t="n">
        <v>2</v>
      </c>
      <c r="F17" s="17" t="n">
        <v>3.5</v>
      </c>
      <c r="G17" s="17" t="n">
        <v>-6</v>
      </c>
      <c r="H17" s="15" t="inlineStr">
        <is>
          <t>ONLEYICI</t>
        </is>
      </c>
      <c r="I17" s="15" t="inlineStr">
        <is>
          <t>GECIKME</t>
        </is>
      </c>
      <c r="J17" s="15" t="inlineStr">
        <is>
          <t>KRITIK</t>
        </is>
      </c>
      <c r="K17" s="15" t="n"/>
      <c r="L17" s="15" t="inlineStr">
        <is>
          <t>B</t>
        </is>
      </c>
      <c r="M17" s="15" t="inlineStr">
        <is>
          <t>Bakım notu 12</t>
        </is>
      </c>
      <c r="N17" s="16" t="n">
        <v>950</v>
      </c>
      <c r="O17" s="18">
        <f>IF($A17="","",$F17)</f>
        <v/>
      </c>
      <c r="P17" s="18">
        <f>IF($A17="","",IF($J17="YAPILDI",0,IF($C17="","",raporTarihi-$C17)))</f>
        <v/>
      </c>
      <c r="Q17" s="18">
        <f>IF($A17="","",IF($P17="","",IF($P17&lt;=mbk_kovaEsik1,"0-7",IF($P17&lt;=mbk_kovaEsik2,"8-30",IF($P17&lt;=mbk_kovaEsik3,"31-60","60+")))))</f>
        <v/>
      </c>
      <c r="R17" s="18">
        <f>IF($A17="","",IF($B17="","YETİM",IF(COUNTIF(tblMakineler[MakineId],$B17)=0,"YETİM","")))</f>
        <v/>
      </c>
      <c r="S17" s="18">
        <f>IF(OR($A17="",$I17=""),"",IF(OR($I17&amp;"|"&amp;$J17="",COUNTIF(ListeIzinliGecis,$I17&amp;"|"&amp;$J17)&gt;0),"","GEÇERSİZ GEÇİŞ"))</f>
        <v/>
      </c>
      <c r="T17" s="18">
        <f>IF($A17="","",IF(OR($E17="",$F17=""),"",IF(ABS($F17-$E17)&gt;zincirTolerans,"ZİNCİR KIRIK","OK")))</f>
        <v/>
      </c>
      <c r="U17" s="18">
        <f>IF($A17="","",1)</f>
        <v/>
      </c>
      <c r="V17" s="18">
        <f>IF($A17="","",$F17*$N17*mbk_durusKatsayi)</f>
        <v/>
      </c>
    </row>
    <row r="18">
      <c r="A18" s="15" t="inlineStr">
        <is>
          <t>BKM-00013</t>
        </is>
      </c>
      <c r="B18" s="15" t="inlineStr">
        <is>
          <t>MAK-00005</t>
        </is>
      </c>
      <c r="C18" s="64" t="n">
        <v>46219</v>
      </c>
      <c r="D18" s="64" t="n"/>
      <c r="E18" s="17" t="n">
        <v>2.5</v>
      </c>
      <c r="F18" s="17" t="n">
        <v>2.5</v>
      </c>
      <c r="G18" s="17" t="n">
        <v>-9</v>
      </c>
      <c r="H18" s="15" t="inlineStr">
        <is>
          <t>DUZELTICI</t>
        </is>
      </c>
      <c r="I18" s="15" t="inlineStr">
        <is>
          <t>PLAN</t>
        </is>
      </c>
      <c r="J18" s="15" t="inlineStr">
        <is>
          <t>GECIKME</t>
        </is>
      </c>
      <c r="K18" s="15" t="n"/>
      <c r="L18" s="15" t="inlineStr">
        <is>
          <t>A</t>
        </is>
      </c>
      <c r="M18" s="15" t="inlineStr">
        <is>
          <t>Bakım notu 13</t>
        </is>
      </c>
      <c r="N18" s="16" t="n">
        <v>1000</v>
      </c>
      <c r="O18" s="18">
        <f>IF($A18="","",$F18)</f>
        <v/>
      </c>
      <c r="P18" s="18">
        <f>IF($A18="","",IF($J18="YAPILDI",0,IF($C18="","",raporTarihi-$C18)))</f>
        <v/>
      </c>
      <c r="Q18" s="18">
        <f>IF($A18="","",IF($P18="","",IF($P18&lt;=mbk_kovaEsik1,"0-7",IF($P18&lt;=mbk_kovaEsik2,"8-30",IF($P18&lt;=mbk_kovaEsik3,"31-60","60+")))))</f>
        <v/>
      </c>
      <c r="R18" s="18">
        <f>IF($A18="","",IF($B18="","YETİM",IF(COUNTIF(tblMakineler[MakineId],$B18)=0,"YETİM","")))</f>
        <v/>
      </c>
      <c r="S18" s="18">
        <f>IF(OR($A18="",$I18=""),"",IF(OR($I18&amp;"|"&amp;$J18="",COUNTIF(ListeIzinliGecis,$I18&amp;"|"&amp;$J18)&gt;0),"","GEÇERSİZ GEÇİŞ"))</f>
        <v/>
      </c>
      <c r="T18" s="18">
        <f>IF($A18="","",IF(OR($E18="",$F18=""),"",IF(ABS($F18-$E18)&gt;zincirTolerans,"ZİNCİR KIRIK","OK")))</f>
        <v/>
      </c>
      <c r="U18" s="18">
        <f>IF($A18="","",1)</f>
        <v/>
      </c>
      <c r="V18" s="18">
        <f>IF($A18="","",$F18*$N18*mbk_durusKatsayi)</f>
        <v/>
      </c>
    </row>
    <row r="19">
      <c r="A19" s="15" t="inlineStr">
        <is>
          <t>BKM-00014</t>
        </is>
      </c>
      <c r="B19" s="15" t="inlineStr">
        <is>
          <t>MAK-00006</t>
        </is>
      </c>
      <c r="C19" s="64" t="n">
        <v>46217</v>
      </c>
      <c r="D19" s="64" t="n"/>
      <c r="E19" s="17" t="n">
        <v>3</v>
      </c>
      <c r="F19" s="17" t="n">
        <v>3</v>
      </c>
      <c r="G19" s="17" t="n">
        <v>-12</v>
      </c>
      <c r="H19" s="15" t="inlineStr">
        <is>
          <t>KALIBRASYON</t>
        </is>
      </c>
      <c r="I19" s="15" t="inlineStr">
        <is>
          <t>PLAN</t>
        </is>
      </c>
      <c r="J19" s="15" t="inlineStr">
        <is>
          <t>PLAN</t>
        </is>
      </c>
      <c r="K19" s="15" t="n"/>
      <c r="L19" s="15" t="inlineStr">
        <is>
          <t>B</t>
        </is>
      </c>
      <c r="M19" s="15" t="inlineStr">
        <is>
          <t>Bakım notu 14</t>
        </is>
      </c>
      <c r="N19" s="16" t="n">
        <v>1050</v>
      </c>
      <c r="O19" s="18">
        <f>IF($A19="","",$F19)</f>
        <v/>
      </c>
      <c r="P19" s="18">
        <f>IF($A19="","",IF($J19="YAPILDI",0,IF($C19="","",raporTarihi-$C19)))</f>
        <v/>
      </c>
      <c r="Q19" s="18">
        <f>IF($A19="","",IF($P19="","",IF($P19&lt;=mbk_kovaEsik1,"0-7",IF($P19&lt;=mbk_kovaEsik2,"8-30",IF($P19&lt;=mbk_kovaEsik3,"31-60","60+")))))</f>
        <v/>
      </c>
      <c r="R19" s="18">
        <f>IF($A19="","",IF($B19="","YETİM",IF(COUNTIF(tblMakineler[MakineId],$B19)=0,"YETİM","")))</f>
        <v/>
      </c>
      <c r="S19" s="18">
        <f>IF(OR($A19="",$I19=""),"",IF(OR($I19&amp;"|"&amp;$J19="",COUNTIF(ListeIzinliGecis,$I19&amp;"|"&amp;$J19)&gt;0),"","GEÇERSİZ GEÇİŞ"))</f>
        <v/>
      </c>
      <c r="T19" s="18">
        <f>IF($A19="","",IF(OR($E19="",$F19=""),"",IF(ABS($F19-$E19)&gt;zincirTolerans,"ZİNCİR KIRIK","OK")))</f>
        <v/>
      </c>
      <c r="U19" s="18">
        <f>IF($A19="","",1)</f>
        <v/>
      </c>
      <c r="V19" s="18">
        <f>IF($A19="","",$F19*$N19*mbk_durusKatsayi)</f>
        <v/>
      </c>
    </row>
    <row r="20">
      <c r="A20" s="15" t="inlineStr">
        <is>
          <t>BKM-00015</t>
        </is>
      </c>
      <c r="B20" s="15" t="inlineStr">
        <is>
          <t>MAK-00007</t>
        </is>
      </c>
      <c r="C20" s="64" t="n">
        <v>46215</v>
      </c>
      <c r="D20" s="64" t="n">
        <v>46215</v>
      </c>
      <c r="E20" s="17" t="n">
        <v>2</v>
      </c>
      <c r="F20" s="17" t="n">
        <v>6</v>
      </c>
      <c r="G20" s="17" t="n">
        <v>-15</v>
      </c>
      <c r="H20" s="15" t="inlineStr">
        <is>
          <t>ACIL</t>
        </is>
      </c>
      <c r="I20" s="15" t="inlineStr">
        <is>
          <t>KRITIK</t>
        </is>
      </c>
      <c r="J20" s="15" t="inlineStr">
        <is>
          <t>YAPILDI</t>
        </is>
      </c>
      <c r="K20" s="15" t="inlineStr">
        <is>
          <t>İMZA-015</t>
        </is>
      </c>
      <c r="L20" s="15" t="inlineStr">
        <is>
          <t>A</t>
        </is>
      </c>
      <c r="M20" s="15" t="inlineStr">
        <is>
          <t>Bakım notu 15</t>
        </is>
      </c>
      <c r="N20" s="16" t="n">
        <v>850</v>
      </c>
      <c r="O20" s="18">
        <f>IF($A20="","",$F20)</f>
        <v/>
      </c>
      <c r="P20" s="18">
        <f>IF($A20="","",IF($J20="YAPILDI",0,IF($C20="","",raporTarihi-$C20)))</f>
        <v/>
      </c>
      <c r="Q20" s="18">
        <f>IF($A20="","",IF($P20="","",IF($P20&lt;=mbk_kovaEsik1,"0-7",IF($P20&lt;=mbk_kovaEsik2,"8-30",IF($P20&lt;=mbk_kovaEsik3,"31-60","60+")))))</f>
        <v/>
      </c>
      <c r="R20" s="18">
        <f>IF($A20="","",IF($B20="","YETİM",IF(COUNTIF(tblMakineler[MakineId],$B20)=0,"YETİM","")))</f>
        <v/>
      </c>
      <c r="S20" s="18">
        <f>IF(OR($A20="",$I20=""),"",IF(OR($I20&amp;"|"&amp;$J20="",COUNTIF(ListeIzinliGecis,$I20&amp;"|"&amp;$J20)&gt;0),"","GEÇERSİZ GEÇİŞ"))</f>
        <v/>
      </c>
      <c r="T20" s="18">
        <f>IF($A20="","",IF(OR($E20="",$F20=""),"",IF(ABS($F20-$E20)&gt;zincirTolerans,"ZİNCİR KIRIK","OK")))</f>
        <v/>
      </c>
      <c r="U20" s="18">
        <f>IF($A20="","",1)</f>
        <v/>
      </c>
      <c r="V20" s="18">
        <f>IF($A20="","",$F20*$N20*mbk_durusKatsayi)</f>
        <v/>
      </c>
    </row>
    <row r="21">
      <c r="A21" s="15" t="inlineStr">
        <is>
          <t>BKM-00016</t>
        </is>
      </c>
      <c r="B21" s="15" t="inlineStr">
        <is>
          <t>MAK-00008</t>
        </is>
      </c>
      <c r="C21" s="64" t="n">
        <v>46213</v>
      </c>
      <c r="D21" s="64" t="n"/>
      <c r="E21" s="17" t="n">
        <v>2</v>
      </c>
      <c r="F21" s="17" t="n">
        <v>2</v>
      </c>
      <c r="G21" s="17" t="n">
        <v>-18</v>
      </c>
      <c r="H21" s="15" t="inlineStr">
        <is>
          <t>ONLEYICI</t>
        </is>
      </c>
      <c r="I21" s="15" t="inlineStr">
        <is>
          <t>PLAN</t>
        </is>
      </c>
      <c r="J21" s="15" t="inlineStr">
        <is>
          <t>PLAN</t>
        </is>
      </c>
      <c r="K21" s="15" t="n"/>
      <c r="L21" s="15" t="inlineStr">
        <is>
          <t>B</t>
        </is>
      </c>
      <c r="M21" s="15" t="inlineStr">
        <is>
          <t>Bakım notu 16</t>
        </is>
      </c>
      <c r="N21" s="16" t="n">
        <v>900</v>
      </c>
      <c r="O21" s="18">
        <f>IF($A21="","",$F21)</f>
        <v/>
      </c>
      <c r="P21" s="18">
        <f>IF($A21="","",IF($J21="YAPILDI",0,IF($C21="","",raporTarihi-$C21)))</f>
        <v/>
      </c>
      <c r="Q21" s="18">
        <f>IF($A21="","",IF($P21="","",IF($P21&lt;=mbk_kovaEsik1,"0-7",IF($P21&lt;=mbk_kovaEsik2,"8-30",IF($P21&lt;=mbk_kovaEsik3,"31-60","60+")))))</f>
        <v/>
      </c>
      <c r="R21" s="18">
        <f>IF($A21="","",IF($B21="","YETİM",IF(COUNTIF(tblMakineler[MakineId],$B21)=0,"YETİM","")))</f>
        <v/>
      </c>
      <c r="S21" s="18">
        <f>IF(OR($A21="",$I21=""),"",IF(OR($I21&amp;"|"&amp;$J21="",COUNTIF(ListeIzinliGecis,$I21&amp;"|"&amp;$J21)&gt;0),"","GEÇERSİZ GEÇİŞ"))</f>
        <v/>
      </c>
      <c r="T21" s="18">
        <f>IF($A21="","",IF(OR($E21="",$F21=""),"",IF(ABS($F21-$E21)&gt;zincirTolerans,"ZİNCİR KIRIK","OK")))</f>
        <v/>
      </c>
      <c r="U21" s="18">
        <f>IF($A21="","",1)</f>
        <v/>
      </c>
      <c r="V21" s="18">
        <f>IF($A21="","",$F21*$N21*mbk_durusKatsayi)</f>
        <v/>
      </c>
    </row>
    <row r="22">
      <c r="A22" s="15" t="inlineStr">
        <is>
          <t>BKM-00017</t>
        </is>
      </c>
      <c r="B22" s="15" t="inlineStr">
        <is>
          <t>MAK-00001</t>
        </is>
      </c>
      <c r="C22" s="64" t="n">
        <v>46211</v>
      </c>
      <c r="D22" s="64" t="n"/>
      <c r="E22" s="17" t="n">
        <v>2.5</v>
      </c>
      <c r="F22" s="17" t="n">
        <v>2.5</v>
      </c>
      <c r="G22" s="17" t="n">
        <v>29</v>
      </c>
      <c r="H22" s="15" t="inlineStr">
        <is>
          <t>DUZELTICI</t>
        </is>
      </c>
      <c r="I22" s="15" t="n"/>
      <c r="J22" s="15" t="inlineStr">
        <is>
          <t>PLAN</t>
        </is>
      </c>
      <c r="K22" s="15" t="n"/>
      <c r="L22" s="15" t="inlineStr">
        <is>
          <t>A</t>
        </is>
      </c>
      <c r="M22" s="15" t="inlineStr">
        <is>
          <t>Bakım notu 17</t>
        </is>
      </c>
      <c r="N22" s="16" t="n">
        <v>950</v>
      </c>
      <c r="O22" s="18">
        <f>IF($A22="","",$F22)</f>
        <v/>
      </c>
      <c r="P22" s="18">
        <f>IF($A22="","",IF($J22="YAPILDI",0,IF($C22="","",raporTarihi-$C22)))</f>
        <v/>
      </c>
      <c r="Q22" s="18">
        <f>IF($A22="","",IF($P22="","",IF($P22&lt;=mbk_kovaEsik1,"0-7",IF($P22&lt;=mbk_kovaEsik2,"8-30",IF($P22&lt;=mbk_kovaEsik3,"31-60","60+")))))</f>
        <v/>
      </c>
      <c r="R22" s="18">
        <f>IF($A22="","",IF($B22="","YETİM",IF(COUNTIF(tblMakineler[MakineId],$B22)=0,"YETİM","")))</f>
        <v/>
      </c>
      <c r="S22" s="18">
        <f>IF(OR($A22="",$I22=""),"",IF(OR($I22&amp;"|"&amp;$J22="",COUNTIF(ListeIzinliGecis,$I22&amp;"|"&amp;$J22)&gt;0),"","GEÇERSİZ GEÇİŞ"))</f>
        <v/>
      </c>
      <c r="T22" s="18">
        <f>IF($A22="","",IF(OR($E22="",$F22=""),"",IF(ABS($F22-$E22)&gt;zincirTolerans,"ZİNCİR KIRIK","OK")))</f>
        <v/>
      </c>
      <c r="U22" s="18">
        <f>IF($A22="","",1)</f>
        <v/>
      </c>
      <c r="V22" s="18">
        <f>IF($A22="","",$F22*$N22*mbk_durusKatsayi)</f>
        <v/>
      </c>
    </row>
    <row r="23">
      <c r="A23" s="15" t="inlineStr">
        <is>
          <t>BKM-00018</t>
        </is>
      </c>
      <c r="B23" s="15" t="inlineStr">
        <is>
          <t>MAK-00002</t>
        </is>
      </c>
      <c r="C23" s="64" t="n">
        <v>46209</v>
      </c>
      <c r="D23" s="64" t="n"/>
      <c r="E23" s="17" t="n">
        <v>3</v>
      </c>
      <c r="F23" s="17" t="n">
        <v>3</v>
      </c>
      <c r="G23" s="17" t="n">
        <v>26</v>
      </c>
      <c r="H23" s="15" t="inlineStr">
        <is>
          <t>KALIBRASYON</t>
        </is>
      </c>
      <c r="I23" s="15" t="inlineStr">
        <is>
          <t>PLAN</t>
        </is>
      </c>
      <c r="J23" s="15" t="inlineStr">
        <is>
          <t>KRITIK</t>
        </is>
      </c>
      <c r="K23" s="15" t="n"/>
      <c r="L23" s="15" t="inlineStr">
        <is>
          <t>B</t>
        </is>
      </c>
      <c r="M23" s="15" t="inlineStr">
        <is>
          <t>Bakım notu 18</t>
        </is>
      </c>
      <c r="N23" s="16" t="n">
        <v>1000</v>
      </c>
      <c r="O23" s="18">
        <f>IF($A23="","",$F23)</f>
        <v/>
      </c>
      <c r="P23" s="18">
        <f>IF($A23="","",IF($J23="YAPILDI",0,IF($C23="","",raporTarihi-$C23)))</f>
        <v/>
      </c>
      <c r="Q23" s="18">
        <f>IF($A23="","",IF($P23="","",IF($P23&lt;=mbk_kovaEsik1,"0-7",IF($P23&lt;=mbk_kovaEsik2,"8-30",IF($P23&lt;=mbk_kovaEsik3,"31-60","60+")))))</f>
        <v/>
      </c>
      <c r="R23" s="18">
        <f>IF($A23="","",IF($B23="","YETİM",IF(COUNTIF(tblMakineler[MakineId],$B23)=0,"YETİM","")))</f>
        <v/>
      </c>
      <c r="S23" s="18">
        <f>IF(OR($A23="",$I23=""),"",IF(OR($I23&amp;"|"&amp;$J23="",COUNTIF(ListeIzinliGecis,$I23&amp;"|"&amp;$J23)&gt;0),"","GEÇERSİZ GEÇİŞ"))</f>
        <v/>
      </c>
      <c r="T23" s="18">
        <f>IF($A23="","",IF(OR($E23="",$F23=""),"",IF(ABS($F23-$E23)&gt;zincirTolerans,"ZİNCİR KIRIK","OK")))</f>
        <v/>
      </c>
      <c r="U23" s="18">
        <f>IF($A23="","",1)</f>
        <v/>
      </c>
      <c r="V23" s="18">
        <f>IF($A23="","",$F23*$N23*mbk_durusKatsayi)</f>
        <v/>
      </c>
    </row>
    <row r="24">
      <c r="A24" s="15" t="inlineStr">
        <is>
          <t>BKM-00019</t>
        </is>
      </c>
      <c r="B24" s="15" t="inlineStr">
        <is>
          <t>MAK-00003</t>
        </is>
      </c>
      <c r="C24" s="64" t="n">
        <v>46207</v>
      </c>
      <c r="D24" s="64" t="n">
        <v>46207</v>
      </c>
      <c r="E24" s="17" t="n">
        <v>3.5</v>
      </c>
      <c r="F24" s="17" t="n">
        <v>5</v>
      </c>
      <c r="G24" s="17" t="n">
        <v>23</v>
      </c>
      <c r="H24" s="15" t="inlineStr">
        <is>
          <t>ACIL</t>
        </is>
      </c>
      <c r="I24" s="15" t="inlineStr">
        <is>
          <t>GECIKME</t>
        </is>
      </c>
      <c r="J24" s="15" t="inlineStr">
        <is>
          <t>YAPILDI</t>
        </is>
      </c>
      <c r="K24" s="15" t="inlineStr">
        <is>
          <t>İMZA-019</t>
        </is>
      </c>
      <c r="L24" s="15" t="inlineStr">
        <is>
          <t>A</t>
        </is>
      </c>
      <c r="M24" s="15" t="inlineStr">
        <is>
          <t>Bakım notu 19</t>
        </is>
      </c>
      <c r="N24" s="16" t="n">
        <v>1050</v>
      </c>
      <c r="O24" s="18">
        <f>IF($A24="","",$F24)</f>
        <v/>
      </c>
      <c r="P24" s="18">
        <f>IF($A24="","",IF($J24="YAPILDI",0,IF($C24="","",raporTarihi-$C24)))</f>
        <v/>
      </c>
      <c r="Q24" s="18">
        <f>IF($A24="","",IF($P24="","",IF($P24&lt;=mbk_kovaEsik1,"0-7",IF($P24&lt;=mbk_kovaEsik2,"8-30",IF($P24&lt;=mbk_kovaEsik3,"31-60","60+")))))</f>
        <v/>
      </c>
      <c r="R24" s="18">
        <f>IF($A24="","",IF($B24="","YETİM",IF(COUNTIF(tblMakineler[MakineId],$B24)=0,"YETİM","")))</f>
        <v/>
      </c>
      <c r="S24" s="18">
        <f>IF(OR($A24="",$I24=""),"",IF(OR($I24&amp;"|"&amp;$J24="",COUNTIF(ListeIzinliGecis,$I24&amp;"|"&amp;$J24)&gt;0),"","GEÇERSİZ GEÇİŞ"))</f>
        <v/>
      </c>
      <c r="T24" s="18">
        <f>IF($A24="","",IF(OR($E24="",$F24=""),"",IF(ABS($F24-$E24)&gt;zincirTolerans,"ZİNCİR KIRIK","OK")))</f>
        <v/>
      </c>
      <c r="U24" s="18">
        <f>IF($A24="","",1)</f>
        <v/>
      </c>
      <c r="V24" s="18">
        <f>IF($A24="","",$F24*$N24*mbk_durusKatsayi)</f>
        <v/>
      </c>
    </row>
    <row r="25">
      <c r="A25" s="15" t="inlineStr">
        <is>
          <t>BKM-00020</t>
        </is>
      </c>
      <c r="B25" s="15" t="inlineStr">
        <is>
          <t>MAK-00004</t>
        </is>
      </c>
      <c r="C25" s="64" t="n">
        <v>46205</v>
      </c>
      <c r="D25" s="64" t="n"/>
      <c r="E25" s="17" t="n">
        <v>2</v>
      </c>
      <c r="F25" s="17" t="n">
        <v>2</v>
      </c>
      <c r="G25" s="17" t="n">
        <v>20</v>
      </c>
      <c r="H25" s="15" t="inlineStr">
        <is>
          <t>ONLEYICI</t>
        </is>
      </c>
      <c r="I25" s="15" t="inlineStr">
        <is>
          <t>YAPILDI</t>
        </is>
      </c>
      <c r="J25" s="15" t="inlineStr">
        <is>
          <t>PLAN</t>
        </is>
      </c>
      <c r="K25" s="15" t="n"/>
      <c r="L25" s="15" t="inlineStr">
        <is>
          <t>B</t>
        </is>
      </c>
      <c r="M25" s="15" t="inlineStr">
        <is>
          <t>Bakım notu 20</t>
        </is>
      </c>
      <c r="N25" s="16" t="n">
        <v>850</v>
      </c>
      <c r="O25" s="18">
        <f>IF($A25="","",$F25)</f>
        <v/>
      </c>
      <c r="P25" s="18">
        <f>IF($A25="","",IF($J25="YAPILDI",0,IF($C25="","",raporTarihi-$C25)))</f>
        <v/>
      </c>
      <c r="Q25" s="18">
        <f>IF($A25="","",IF($P25="","",IF($P25&lt;=mbk_kovaEsik1,"0-7",IF($P25&lt;=mbk_kovaEsik2,"8-30",IF($P25&lt;=mbk_kovaEsik3,"31-60","60+")))))</f>
        <v/>
      </c>
      <c r="R25" s="18">
        <f>IF($A25="","",IF($B25="","YETİM",IF(COUNTIF(tblMakineler[MakineId],$B25)=0,"YETİM","")))</f>
        <v/>
      </c>
      <c r="S25" s="18">
        <f>IF(OR($A25="",$I25=""),"",IF(OR($I25&amp;"|"&amp;$J25="",COUNTIF(ListeIzinliGecis,$I25&amp;"|"&amp;$J25)&gt;0),"","GEÇERSİZ GEÇİŞ"))</f>
        <v/>
      </c>
      <c r="T25" s="18">
        <f>IF($A25="","",IF(OR($E25="",$F25=""),"",IF(ABS($F25-$E25)&gt;zincirTolerans,"ZİNCİR KIRIK","OK")))</f>
        <v/>
      </c>
      <c r="U25" s="18">
        <f>IF($A25="","",1)</f>
        <v/>
      </c>
      <c r="V25" s="18">
        <f>IF($A25="","",$F25*$N25*mbk_durusKatsayi)</f>
        <v/>
      </c>
    </row>
    <row r="26">
      <c r="A26" s="15" t="inlineStr">
        <is>
          <t>BKM-00021</t>
        </is>
      </c>
      <c r="B26" s="15" t="inlineStr">
        <is>
          <t>MAK-00005</t>
        </is>
      </c>
      <c r="C26" s="64" t="n">
        <v>46203</v>
      </c>
      <c r="D26" s="64" t="n"/>
      <c r="E26" s="17" t="n">
        <v>2.5</v>
      </c>
      <c r="F26" s="17" t="n">
        <v>2.5</v>
      </c>
      <c r="G26" s="17" t="n">
        <v>17</v>
      </c>
      <c r="H26" s="15" t="inlineStr">
        <is>
          <t>DUZELTICI</t>
        </is>
      </c>
      <c r="I26" s="15" t="inlineStr">
        <is>
          <t>PLAN</t>
        </is>
      </c>
      <c r="J26" s="15" t="inlineStr">
        <is>
          <t>GECIKME</t>
        </is>
      </c>
      <c r="K26" s="15" t="n"/>
      <c r="L26" s="15" t="inlineStr">
        <is>
          <t>A</t>
        </is>
      </c>
      <c r="M26" s="15" t="inlineStr">
        <is>
          <t>Bakım notu 21</t>
        </is>
      </c>
      <c r="N26" s="16" t="n">
        <v>900</v>
      </c>
      <c r="O26" s="18">
        <f>IF($A26="","",$F26)</f>
        <v/>
      </c>
      <c r="P26" s="18">
        <f>IF($A26="","",IF($J26="YAPILDI",0,IF($C26="","",raporTarihi-$C26)))</f>
        <v/>
      </c>
      <c r="Q26" s="18">
        <f>IF($A26="","",IF($P26="","",IF($P26&lt;=mbk_kovaEsik1,"0-7",IF($P26&lt;=mbk_kovaEsik2,"8-30",IF($P26&lt;=mbk_kovaEsik3,"31-60","60+")))))</f>
        <v/>
      </c>
      <c r="R26" s="18">
        <f>IF($A26="","",IF($B26="","YETİM",IF(COUNTIF(tblMakineler[MakineId],$B26)=0,"YETİM","")))</f>
        <v/>
      </c>
      <c r="S26" s="18">
        <f>IF(OR($A26="",$I26=""),"",IF(OR($I26&amp;"|"&amp;$J26="",COUNTIF(ListeIzinliGecis,$I26&amp;"|"&amp;$J26)&gt;0),"","GEÇERSİZ GEÇİŞ"))</f>
        <v/>
      </c>
      <c r="T26" s="18">
        <f>IF($A26="","",IF(OR($E26="",$F26=""),"",IF(ABS($F26-$E26)&gt;zincirTolerans,"ZİNCİR KIRIK","OK")))</f>
        <v/>
      </c>
      <c r="U26" s="18">
        <f>IF($A26="","",1)</f>
        <v/>
      </c>
      <c r="V26" s="18">
        <f>IF($A26="","",$F26*$N26*mbk_durusKatsayi)</f>
        <v/>
      </c>
    </row>
    <row r="27">
      <c r="A27" s="15" t="inlineStr">
        <is>
          <t>BKM-00022</t>
        </is>
      </c>
      <c r="B27" s="15" t="n"/>
      <c r="C27" s="64" t="n">
        <v>46201</v>
      </c>
      <c r="D27" s="64" t="n"/>
      <c r="E27" s="17" t="n">
        <v>3</v>
      </c>
      <c r="F27" s="17" t="n">
        <v>3</v>
      </c>
      <c r="G27" s="17" t="n">
        <v>14</v>
      </c>
      <c r="H27" s="15" t="inlineStr">
        <is>
          <t>KALIBRASYON</t>
        </is>
      </c>
      <c r="I27" s="15" t="inlineStr">
        <is>
          <t>PLAN</t>
        </is>
      </c>
      <c r="J27" s="15" t="inlineStr">
        <is>
          <t>PLAN</t>
        </is>
      </c>
      <c r="K27" s="15" t="n"/>
      <c r="L27" s="15" t="inlineStr">
        <is>
          <t>B</t>
        </is>
      </c>
      <c r="M27" s="15" t="inlineStr">
        <is>
          <t>Bakım notu 22</t>
        </is>
      </c>
      <c r="N27" s="16" t="n">
        <v>950</v>
      </c>
      <c r="O27" s="18">
        <f>IF($A27="","",$F27)</f>
        <v/>
      </c>
      <c r="P27" s="18">
        <f>IF($A27="","",IF($J27="YAPILDI",0,IF($C27="","",raporTarihi-$C27)))</f>
        <v/>
      </c>
      <c r="Q27" s="18">
        <f>IF($A27="","",IF($P27="","",IF($P27&lt;=mbk_kovaEsik1,"0-7",IF($P27&lt;=mbk_kovaEsik2,"8-30",IF($P27&lt;=mbk_kovaEsik3,"31-60","60+")))))</f>
        <v/>
      </c>
      <c r="R27" s="18">
        <f>IF($A27="","",IF($B27="","YETİM",IF(COUNTIF(tblMakineler[MakineId],$B27)=0,"YETİM","")))</f>
        <v/>
      </c>
      <c r="S27" s="18">
        <f>IF(OR($A27="",$I27=""),"",IF(OR($I27&amp;"|"&amp;$J27="",COUNTIF(ListeIzinliGecis,$I27&amp;"|"&amp;$J27)&gt;0),"","GEÇERSİZ GEÇİŞ"))</f>
        <v/>
      </c>
      <c r="T27" s="18">
        <f>IF($A27="","",IF(OR($E27="",$F27=""),"",IF(ABS($F27-$E27)&gt;zincirTolerans,"ZİNCİR KIRIK","OK")))</f>
        <v/>
      </c>
      <c r="U27" s="18">
        <f>IF($A27="","",1)</f>
        <v/>
      </c>
      <c r="V27" s="18">
        <f>IF($A27="","",$F27*$N27*mbk_durusKatsayi)</f>
        <v/>
      </c>
    </row>
    <row r="28">
      <c r="A28" s="15" t="inlineStr">
        <is>
          <t>BKM-00023</t>
        </is>
      </c>
      <c r="B28" s="15" t="inlineStr">
        <is>
          <t>MAK-00007</t>
        </is>
      </c>
      <c r="C28" s="64" t="n">
        <v>46244</v>
      </c>
      <c r="D28" s="64" t="n">
        <v>46244</v>
      </c>
      <c r="E28" s="17" t="n">
        <v>3.5</v>
      </c>
      <c r="F28" s="17" t="n">
        <v>3.5</v>
      </c>
      <c r="G28" s="17" t="n">
        <v>11</v>
      </c>
      <c r="H28" s="15" t="inlineStr">
        <is>
          <t>ACIL</t>
        </is>
      </c>
      <c r="I28" s="15" t="inlineStr">
        <is>
          <t>KRITIK</t>
        </is>
      </c>
      <c r="J28" s="15" t="inlineStr">
        <is>
          <t>YAPILDI</t>
        </is>
      </c>
      <c r="K28" s="15" t="inlineStr">
        <is>
          <t>İMZA-023</t>
        </is>
      </c>
      <c r="L28" s="15" t="inlineStr">
        <is>
          <t>A</t>
        </is>
      </c>
      <c r="M28" s="15" t="inlineStr">
        <is>
          <t>Bakım notu 23</t>
        </is>
      </c>
      <c r="N28" s="16" t="n">
        <v>1000</v>
      </c>
      <c r="O28" s="18">
        <f>IF($A28="","",$F28)</f>
        <v/>
      </c>
      <c r="P28" s="18">
        <f>IF($A28="","",IF($J28="YAPILDI",0,IF($C28="","",raporTarihi-$C28)))</f>
        <v/>
      </c>
      <c r="Q28" s="18">
        <f>IF($A28="","",IF($P28="","",IF($P28&lt;=mbk_kovaEsik1,"0-7",IF($P28&lt;=mbk_kovaEsik2,"8-30",IF($P28&lt;=mbk_kovaEsik3,"31-60","60+")))))</f>
        <v/>
      </c>
      <c r="R28" s="18">
        <f>IF($A28="","",IF($B28="","YETİM",IF(COUNTIF(tblMakineler[MakineId],$B28)=0,"YETİM","")))</f>
        <v/>
      </c>
      <c r="S28" s="18">
        <f>IF(OR($A28="",$I28=""),"",IF(OR($I28&amp;"|"&amp;$J28="",COUNTIF(ListeIzinliGecis,$I28&amp;"|"&amp;$J28)&gt;0),"","GEÇERSİZ GEÇİŞ"))</f>
        <v/>
      </c>
      <c r="T28" s="18">
        <f>IF($A28="","",IF(OR($E28="",$F28=""),"",IF(ABS($F28-$E28)&gt;zincirTolerans,"ZİNCİR KIRIK","OK")))</f>
        <v/>
      </c>
      <c r="U28" s="18">
        <f>IF($A28="","",1)</f>
        <v/>
      </c>
      <c r="V28" s="18">
        <f>IF($A28="","",$F28*$N28*mbk_durusKatsayi)</f>
        <v/>
      </c>
    </row>
    <row r="29">
      <c r="A29" s="15" t="inlineStr">
        <is>
          <t>BKM-00024</t>
        </is>
      </c>
      <c r="B29" s="15" t="inlineStr">
        <is>
          <t>MAK-00008</t>
        </is>
      </c>
      <c r="C29" s="64" t="n">
        <v>46242</v>
      </c>
      <c r="D29" s="64" t="n"/>
      <c r="E29" s="17" t="n">
        <v>2</v>
      </c>
      <c r="F29" s="17" t="n">
        <v>2</v>
      </c>
      <c r="G29" s="17" t="n">
        <v>8</v>
      </c>
      <c r="H29" s="15" t="inlineStr">
        <is>
          <t>ONLEYICI</t>
        </is>
      </c>
      <c r="I29" s="15" t="inlineStr">
        <is>
          <t>PLAN</t>
        </is>
      </c>
      <c r="J29" s="15" t="inlineStr">
        <is>
          <t>PLAN</t>
        </is>
      </c>
      <c r="K29" s="15" t="n"/>
      <c r="L29" s="15" t="inlineStr">
        <is>
          <t>B</t>
        </is>
      </c>
      <c r="M29" s="15" t="inlineStr">
        <is>
          <t>Bakım notu 24</t>
        </is>
      </c>
      <c r="N29" s="16" t="n">
        <v>1050</v>
      </c>
      <c r="O29" s="18">
        <f>IF($A29="","",$F29)</f>
        <v/>
      </c>
      <c r="P29" s="18">
        <f>IF($A29="","",IF($J29="YAPILDI",0,IF($C29="","",raporTarihi-$C29)))</f>
        <v/>
      </c>
      <c r="Q29" s="18">
        <f>IF($A29="","",IF($P29="","",IF($P29&lt;=mbk_kovaEsik1,"0-7",IF($P29&lt;=mbk_kovaEsik2,"8-30",IF($P29&lt;=mbk_kovaEsik3,"31-60","60+")))))</f>
        <v/>
      </c>
      <c r="R29" s="18">
        <f>IF($A29="","",IF($B29="","YETİM",IF(COUNTIF(tblMakineler[MakineId],$B29)=0,"YETİM","")))</f>
        <v/>
      </c>
      <c r="S29" s="18">
        <f>IF(OR($A29="",$I29=""),"",IF(OR($I29&amp;"|"&amp;$J29="",COUNTIF(ListeIzinliGecis,$I29&amp;"|"&amp;$J29)&gt;0),"","GEÇERSİZ GEÇİŞ"))</f>
        <v/>
      </c>
      <c r="T29" s="18">
        <f>IF($A29="","",IF(OR($E29="",$F29=""),"",IF(ABS($F29-$E29)&gt;zincirTolerans,"ZİNCİR KIRIK","OK")))</f>
        <v/>
      </c>
      <c r="U29" s="18">
        <f>IF($A29="","",1)</f>
        <v/>
      </c>
      <c r="V29" s="18">
        <f>IF($A29="","",$F29*$N29*mbk_durusKatsayi)</f>
        <v/>
      </c>
    </row>
    <row r="30">
      <c r="A30" s="15" t="inlineStr">
        <is>
          <t>BKM-00025</t>
        </is>
      </c>
      <c r="B30" s="15" t="inlineStr">
        <is>
          <t>MAK-99999</t>
        </is>
      </c>
      <c r="C30" s="64" t="n">
        <v>46240</v>
      </c>
      <c r="D30" s="64" t="n"/>
      <c r="E30" s="17" t="n">
        <v>2.5</v>
      </c>
      <c r="F30" s="17" t="n">
        <v>2.5</v>
      </c>
      <c r="G30" s="17" t="n">
        <v>5</v>
      </c>
      <c r="H30" s="15" t="inlineStr">
        <is>
          <t>DUZELTICI</t>
        </is>
      </c>
      <c r="I30" s="15" t="n"/>
      <c r="J30" s="15" t="inlineStr">
        <is>
          <t>PLAN</t>
        </is>
      </c>
      <c r="K30" s="15" t="n"/>
      <c r="L30" s="15" t="inlineStr">
        <is>
          <t>A</t>
        </is>
      </c>
      <c r="M30" s="15" t="inlineStr">
        <is>
          <t>Bakım notu 25</t>
        </is>
      </c>
      <c r="N30" s="16" t="n">
        <v>850</v>
      </c>
      <c r="O30" s="18">
        <f>IF($A30="","",$F30)</f>
        <v/>
      </c>
      <c r="P30" s="18">
        <f>IF($A30="","",IF($J30="YAPILDI",0,IF($C30="","",raporTarihi-$C30)))</f>
        <v/>
      </c>
      <c r="Q30" s="18">
        <f>IF($A30="","",IF($P30="","",IF($P30&lt;=mbk_kovaEsik1,"0-7",IF($P30&lt;=mbk_kovaEsik2,"8-30",IF($P30&lt;=mbk_kovaEsik3,"31-60","60+")))))</f>
        <v/>
      </c>
      <c r="R30" s="18">
        <f>IF($A30="","",IF($B30="","YETİM",IF(COUNTIF(tblMakineler[MakineId],$B30)=0,"YETİM","")))</f>
        <v/>
      </c>
      <c r="S30" s="18">
        <f>IF(OR($A30="",$I30=""),"",IF(OR($I30&amp;"|"&amp;$J30="",COUNTIF(ListeIzinliGecis,$I30&amp;"|"&amp;$J30)&gt;0),"","GEÇERSİZ GEÇİŞ"))</f>
        <v/>
      </c>
      <c r="T30" s="18">
        <f>IF($A30="","",IF(OR($E30="",$F30=""),"",IF(ABS($F30-$E30)&gt;zincirTolerans,"ZİNCİR KIRIK","OK")))</f>
        <v/>
      </c>
      <c r="U30" s="18">
        <f>IF($A30="","",1)</f>
        <v/>
      </c>
      <c r="V30" s="18">
        <f>IF($A30="","",$F30*$N30*mbk_durusKatsayi)</f>
        <v/>
      </c>
    </row>
    <row r="31">
      <c r="A31" s="15" t="inlineStr">
        <is>
          <t>BKM-00026</t>
        </is>
      </c>
      <c r="B31" s="15" t="inlineStr">
        <is>
          <t>MAK-00002</t>
        </is>
      </c>
      <c r="C31" s="64" t="n">
        <v>46238</v>
      </c>
      <c r="D31" s="64" t="n"/>
      <c r="E31" s="17" t="n">
        <v>3</v>
      </c>
      <c r="F31" s="17" t="n">
        <v>3</v>
      </c>
      <c r="G31" s="17" t="n">
        <v>2</v>
      </c>
      <c r="H31" s="15" t="inlineStr">
        <is>
          <t>KALIBRASYON</t>
        </is>
      </c>
      <c r="I31" s="15" t="inlineStr">
        <is>
          <t>PLAN</t>
        </is>
      </c>
      <c r="J31" s="15" t="inlineStr">
        <is>
          <t>GECIKME</t>
        </is>
      </c>
      <c r="K31" s="15" t="n"/>
      <c r="L31" s="15" t="inlineStr">
        <is>
          <t>B</t>
        </is>
      </c>
      <c r="M31" s="15" t="inlineStr">
        <is>
          <t>Bakım notu 26</t>
        </is>
      </c>
      <c r="N31" s="16" t="n">
        <v>900</v>
      </c>
      <c r="O31" s="18">
        <f>IF($A31="","",$F31)</f>
        <v/>
      </c>
      <c r="P31" s="18">
        <f>IF($A31="","",IF($J31="YAPILDI",0,IF($C31="","",raporTarihi-$C31)))</f>
        <v/>
      </c>
      <c r="Q31" s="18">
        <f>IF($A31="","",IF($P31="","",IF($P31&lt;=mbk_kovaEsik1,"0-7",IF($P31&lt;=mbk_kovaEsik2,"8-30",IF($P31&lt;=mbk_kovaEsik3,"31-60","60+")))))</f>
        <v/>
      </c>
      <c r="R31" s="18">
        <f>IF($A31="","",IF($B31="","YETİM",IF(COUNTIF(tblMakineler[MakineId],$B31)=0,"YETİM","")))</f>
        <v/>
      </c>
      <c r="S31" s="18">
        <f>IF(OR($A31="",$I31=""),"",IF(OR($I31&amp;"|"&amp;$J31="",COUNTIF(ListeIzinliGecis,$I31&amp;"|"&amp;$J31)&gt;0),"","GEÇERSİZ GEÇİŞ"))</f>
        <v/>
      </c>
      <c r="T31" s="18">
        <f>IF($A31="","",IF(OR($E31="",$F31=""),"",IF(ABS($F31-$E31)&gt;zincirTolerans,"ZİNCİR KIRIK","OK")))</f>
        <v/>
      </c>
      <c r="U31" s="18">
        <f>IF($A31="","",1)</f>
        <v/>
      </c>
      <c r="V31" s="18">
        <f>IF($A31="","",$F31*$N31*mbk_durusKatsayi)</f>
        <v/>
      </c>
    </row>
    <row r="32">
      <c r="A32" s="15" t="inlineStr">
        <is>
          <t>BKM-00027</t>
        </is>
      </c>
      <c r="B32" s="15" t="inlineStr">
        <is>
          <t>MAK-00003</t>
        </is>
      </c>
      <c r="C32" s="64" t="n">
        <v>46236</v>
      </c>
      <c r="D32" s="64" t="n">
        <v>46236</v>
      </c>
      <c r="E32" s="17" t="n">
        <v>3.5</v>
      </c>
      <c r="F32" s="17" t="n">
        <v>3.5</v>
      </c>
      <c r="G32" s="17" t="n">
        <v>-1</v>
      </c>
      <c r="H32" s="15" t="inlineStr">
        <is>
          <t>ACIL</t>
        </is>
      </c>
      <c r="I32" s="15" t="inlineStr">
        <is>
          <t>GECIKME</t>
        </is>
      </c>
      <c r="J32" s="15" t="inlineStr">
        <is>
          <t>YAPILDI</t>
        </is>
      </c>
      <c r="K32" s="15" t="inlineStr">
        <is>
          <t>İMZA-027</t>
        </is>
      </c>
      <c r="L32" s="15" t="inlineStr">
        <is>
          <t>A</t>
        </is>
      </c>
      <c r="M32" s="15" t="inlineStr">
        <is>
          <t>Bakım notu 27</t>
        </is>
      </c>
      <c r="N32" s="16" t="n">
        <v>950</v>
      </c>
      <c r="O32" s="18">
        <f>IF($A32="","",$F32)</f>
        <v/>
      </c>
      <c r="P32" s="18">
        <f>IF($A32="","",IF($J32="YAPILDI",0,IF($C32="","",raporTarihi-$C32)))</f>
        <v/>
      </c>
      <c r="Q32" s="18">
        <f>IF($A32="","",IF($P32="","",IF($P32&lt;=mbk_kovaEsik1,"0-7",IF($P32&lt;=mbk_kovaEsik2,"8-30",IF($P32&lt;=mbk_kovaEsik3,"31-60","60+")))))</f>
        <v/>
      </c>
      <c r="R32" s="18">
        <f>IF($A32="","",IF($B32="","YETİM",IF(COUNTIF(tblMakineler[MakineId],$B32)=0,"YETİM","")))</f>
        <v/>
      </c>
      <c r="S32" s="18">
        <f>IF(OR($A32="",$I32=""),"",IF(OR($I32&amp;"|"&amp;$J32="",COUNTIF(ListeIzinliGecis,$I32&amp;"|"&amp;$J32)&gt;0),"","GEÇERSİZ GEÇİŞ"))</f>
        <v/>
      </c>
      <c r="T32" s="18">
        <f>IF($A32="","",IF(OR($E32="",$F32=""),"",IF(ABS($F32-$E32)&gt;zincirTolerans,"ZİNCİR KIRIK","OK")))</f>
        <v/>
      </c>
      <c r="U32" s="18">
        <f>IF($A32="","",1)</f>
        <v/>
      </c>
      <c r="V32" s="18">
        <f>IF($A32="","",$F32*$N32*mbk_durusKatsayi)</f>
        <v/>
      </c>
    </row>
    <row r="33">
      <c r="A33" s="15" t="inlineStr">
        <is>
          <t>BKM-00028</t>
        </is>
      </c>
      <c r="B33" s="15" t="inlineStr">
        <is>
          <t>MAK-00004</t>
        </is>
      </c>
      <c r="C33" s="64" t="n">
        <v>46234</v>
      </c>
      <c r="D33" s="64" t="n"/>
      <c r="E33" s="17" t="n">
        <v>2</v>
      </c>
      <c r="F33" s="17" t="n">
        <v>2</v>
      </c>
      <c r="G33" s="17" t="n">
        <v>-4</v>
      </c>
      <c r="H33" s="15" t="inlineStr">
        <is>
          <t>ONLEYICI</t>
        </is>
      </c>
      <c r="I33" s="15" t="inlineStr">
        <is>
          <t>GECIKME</t>
        </is>
      </c>
      <c r="J33" s="15" t="inlineStr">
        <is>
          <t>KRITIK</t>
        </is>
      </c>
      <c r="K33" s="15" t="n"/>
      <c r="L33" s="15" t="inlineStr">
        <is>
          <t>B</t>
        </is>
      </c>
      <c r="M33" s="15" t="inlineStr">
        <is>
          <t>Bakım notu 28</t>
        </is>
      </c>
      <c r="N33" s="16" t="n">
        <v>1000</v>
      </c>
      <c r="O33" s="18">
        <f>IF($A33="","",$F33)</f>
        <v/>
      </c>
      <c r="P33" s="18">
        <f>IF($A33="","",IF($J33="YAPILDI",0,IF($C33="","",raporTarihi-$C33)))</f>
        <v/>
      </c>
      <c r="Q33" s="18">
        <f>IF($A33="","",IF($P33="","",IF($P33&lt;=mbk_kovaEsik1,"0-7",IF($P33&lt;=mbk_kovaEsik2,"8-30",IF($P33&lt;=mbk_kovaEsik3,"31-60","60+")))))</f>
        <v/>
      </c>
      <c r="R33" s="18">
        <f>IF($A33="","",IF($B33="","YETİM",IF(COUNTIF(tblMakineler[MakineId],$B33)=0,"YETİM","")))</f>
        <v/>
      </c>
      <c r="S33" s="18">
        <f>IF(OR($A33="",$I33=""),"",IF(OR($I33&amp;"|"&amp;$J33="",COUNTIF(ListeIzinliGecis,$I33&amp;"|"&amp;$J33)&gt;0),"","GEÇERSİZ GEÇİŞ"))</f>
        <v/>
      </c>
      <c r="T33" s="18">
        <f>IF($A33="","",IF(OR($E33="",$F33=""),"",IF(ABS($F33-$E33)&gt;zincirTolerans,"ZİNCİR KIRIK","OK")))</f>
        <v/>
      </c>
      <c r="U33" s="18">
        <f>IF($A33="","",1)</f>
        <v/>
      </c>
      <c r="V33" s="18">
        <f>IF($A33="","",$F33*$N33*mbk_durusKatsayi)</f>
        <v/>
      </c>
    </row>
    <row r="34">
      <c r="A34" s="15" t="n"/>
      <c r="B34" s="15" t="n"/>
      <c r="C34" s="64" t="n"/>
      <c r="D34" s="64" t="n"/>
      <c r="E34" s="17" t="n"/>
      <c r="F34" s="17" t="n"/>
      <c r="G34" s="17" t="n"/>
      <c r="H34" s="15" t="n"/>
      <c r="I34" s="15" t="n"/>
      <c r="J34" s="15" t="n"/>
      <c r="K34" s="15" t="n"/>
      <c r="L34" s="15" t="n"/>
      <c r="M34" s="15" t="n"/>
      <c r="N34" s="16" t="n"/>
      <c r="O34" s="18">
        <f>IF($A34="","",$F34)</f>
        <v/>
      </c>
      <c r="P34" s="18">
        <f>IF($A34="","",IF($J34="YAPILDI",0,IF($C34="","",raporTarihi-$C34)))</f>
        <v/>
      </c>
      <c r="Q34" s="18">
        <f>IF($A34="","",IF($P34="","",IF($P34&lt;=mbk_kovaEsik1,"0-7",IF($P34&lt;=mbk_kovaEsik2,"8-30",IF($P34&lt;=mbk_kovaEsik3,"31-60","60+")))))</f>
        <v/>
      </c>
      <c r="R34" s="18">
        <f>IF($A34="","",IF($B34="","YETİM",IF(COUNTIF(tblMakineler[MakineId],$B34)=0,"YETİM","")))</f>
        <v/>
      </c>
      <c r="S34" s="18">
        <f>IF(OR($A34="",$I34=""),"",IF(OR($I34&amp;"|"&amp;$J34="",COUNTIF(ListeIzinliGecis,$I34&amp;"|"&amp;$J34)&gt;0),"","GEÇERSİZ GEÇİŞ"))</f>
        <v/>
      </c>
      <c r="T34" s="18">
        <f>IF($A34="","",IF(OR($E34="",$F34=""),"",IF(ABS($F34-$E34)&gt;zincirTolerans,"ZİNCİR KIRIK","OK")))</f>
        <v/>
      </c>
      <c r="U34" s="18">
        <f>IF($A34="","",1)</f>
        <v/>
      </c>
      <c r="V34" s="18">
        <f>IF($A34="","",$F34*$N34*mbk_durusKatsayi)</f>
        <v/>
      </c>
    </row>
    <row r="35">
      <c r="A35" s="15" t="n"/>
      <c r="B35" s="15" t="n"/>
      <c r="C35" s="64" t="n"/>
      <c r="D35" s="64" t="n"/>
      <c r="E35" s="17" t="n"/>
      <c r="F35" s="17" t="n"/>
      <c r="G35" s="17" t="n"/>
      <c r="H35" s="15" t="n"/>
      <c r="I35" s="15" t="n"/>
      <c r="J35" s="15" t="n"/>
      <c r="K35" s="15" t="n"/>
      <c r="L35" s="15" t="n"/>
      <c r="M35" s="15" t="n"/>
      <c r="N35" s="16" t="n"/>
      <c r="O35" s="18">
        <f>IF($A35="","",$F35)</f>
        <v/>
      </c>
      <c r="P35" s="18">
        <f>IF($A35="","",IF($J35="YAPILDI",0,IF($C35="","",raporTarihi-$C35)))</f>
        <v/>
      </c>
      <c r="Q35" s="18">
        <f>IF($A35="","",IF($P35="","",IF($P35&lt;=mbk_kovaEsik1,"0-7",IF($P35&lt;=mbk_kovaEsik2,"8-30",IF($P35&lt;=mbk_kovaEsik3,"31-60","60+")))))</f>
        <v/>
      </c>
      <c r="R35" s="18">
        <f>IF($A35="","",IF($B35="","YETİM",IF(COUNTIF(tblMakineler[MakineId],$B35)=0,"YETİM","")))</f>
        <v/>
      </c>
      <c r="S35" s="18">
        <f>IF(OR($A35="",$I35=""),"",IF(OR($I35&amp;"|"&amp;$J35="",COUNTIF(ListeIzinliGecis,$I35&amp;"|"&amp;$J35)&gt;0),"","GEÇERSİZ GEÇİŞ"))</f>
        <v/>
      </c>
      <c r="T35" s="18">
        <f>IF($A35="","",IF(OR($E35="",$F35=""),"",IF(ABS($F35-$E35)&gt;zincirTolerans,"ZİNCİR KIRIK","OK")))</f>
        <v/>
      </c>
      <c r="U35" s="18">
        <f>IF($A35="","",1)</f>
        <v/>
      </c>
      <c r="V35" s="18">
        <f>IF($A35="","",$F35*$N35*mbk_durusKatsayi)</f>
        <v/>
      </c>
    </row>
    <row r="36">
      <c r="A36" s="15" t="n"/>
      <c r="B36" s="15" t="n"/>
      <c r="C36" s="64" t="n"/>
      <c r="D36" s="64" t="n"/>
      <c r="E36" s="17" t="n"/>
      <c r="F36" s="17" t="n"/>
      <c r="G36" s="17" t="n"/>
      <c r="H36" s="15" t="n"/>
      <c r="I36" s="15" t="n"/>
      <c r="J36" s="15" t="n"/>
      <c r="K36" s="15" t="n"/>
      <c r="L36" s="15" t="n"/>
      <c r="M36" s="15" t="n"/>
      <c r="N36" s="16" t="n"/>
      <c r="O36" s="18">
        <f>IF($A36="","",$F36)</f>
        <v/>
      </c>
      <c r="P36" s="18">
        <f>IF($A36="","",IF($J36="YAPILDI",0,IF($C36="","",raporTarihi-$C36)))</f>
        <v/>
      </c>
      <c r="Q36" s="18">
        <f>IF($A36="","",IF($P36="","",IF($P36&lt;=mbk_kovaEsik1,"0-7",IF($P36&lt;=mbk_kovaEsik2,"8-30",IF($P36&lt;=mbk_kovaEsik3,"31-60","60+")))))</f>
        <v/>
      </c>
      <c r="R36" s="18">
        <f>IF($A36="","",IF($B36="","YETİM",IF(COUNTIF(tblMakineler[MakineId],$B36)=0,"YETİM","")))</f>
        <v/>
      </c>
      <c r="S36" s="18">
        <f>IF(OR($A36="",$I36=""),"",IF(OR($I36&amp;"|"&amp;$J36="",COUNTIF(ListeIzinliGecis,$I36&amp;"|"&amp;$J36)&gt;0),"","GEÇERSİZ GEÇİŞ"))</f>
        <v/>
      </c>
      <c r="T36" s="18">
        <f>IF($A36="","",IF(OR($E36="",$F36=""),"",IF(ABS($F36-$E36)&gt;zincirTolerans,"ZİNCİR KIRIK","OK")))</f>
        <v/>
      </c>
      <c r="U36" s="18">
        <f>IF($A36="","",1)</f>
        <v/>
      </c>
      <c r="V36" s="18">
        <f>IF($A36="","",$F36*$N36*mbk_durusKatsayi)</f>
        <v/>
      </c>
    </row>
    <row r="37">
      <c r="A37" s="15" t="n"/>
      <c r="B37" s="15" t="n"/>
      <c r="C37" s="64" t="n"/>
      <c r="D37" s="64" t="n"/>
      <c r="E37" s="17" t="n"/>
      <c r="F37" s="17" t="n"/>
      <c r="G37" s="17" t="n"/>
      <c r="H37" s="15" t="n"/>
      <c r="I37" s="15" t="n"/>
      <c r="J37" s="15" t="n"/>
      <c r="K37" s="15" t="n"/>
      <c r="L37" s="15" t="n"/>
      <c r="M37" s="15" t="n"/>
      <c r="N37" s="16" t="n"/>
      <c r="O37" s="18">
        <f>IF($A37="","",$F37)</f>
        <v/>
      </c>
      <c r="P37" s="18">
        <f>IF($A37="","",IF($J37="YAPILDI",0,IF($C37="","",raporTarihi-$C37)))</f>
        <v/>
      </c>
      <c r="Q37" s="18">
        <f>IF($A37="","",IF($P37="","",IF($P37&lt;=mbk_kovaEsik1,"0-7",IF($P37&lt;=mbk_kovaEsik2,"8-30",IF($P37&lt;=mbk_kovaEsik3,"31-60","60+")))))</f>
        <v/>
      </c>
      <c r="R37" s="18">
        <f>IF($A37="","",IF($B37="","YETİM",IF(COUNTIF(tblMakineler[MakineId],$B37)=0,"YETİM","")))</f>
        <v/>
      </c>
      <c r="S37" s="18">
        <f>IF(OR($A37="",$I37=""),"",IF(OR($I37&amp;"|"&amp;$J37="",COUNTIF(ListeIzinliGecis,$I37&amp;"|"&amp;$J37)&gt;0),"","GEÇERSİZ GEÇİŞ"))</f>
        <v/>
      </c>
      <c r="T37" s="18">
        <f>IF($A37="","",IF(OR($E37="",$F37=""),"",IF(ABS($F37-$E37)&gt;zincirTolerans,"ZİNCİR KIRIK","OK")))</f>
        <v/>
      </c>
      <c r="U37" s="18">
        <f>IF($A37="","",1)</f>
        <v/>
      </c>
      <c r="V37" s="18">
        <f>IF($A37="","",$F37*$N37*mbk_durusKatsayi)</f>
        <v/>
      </c>
    </row>
    <row r="38">
      <c r="A38" s="15" t="n"/>
      <c r="B38" s="15" t="n"/>
      <c r="C38" s="64" t="n"/>
      <c r="D38" s="64" t="n"/>
      <c r="E38" s="17" t="n"/>
      <c r="F38" s="17" t="n"/>
      <c r="G38" s="17" t="n"/>
      <c r="H38" s="15" t="n"/>
      <c r="I38" s="15" t="n"/>
      <c r="J38" s="15" t="n"/>
      <c r="K38" s="15" t="n"/>
      <c r="L38" s="15" t="n"/>
      <c r="M38" s="15" t="n"/>
      <c r="N38" s="16" t="n"/>
      <c r="O38" s="18">
        <f>IF($A38="","",$F38)</f>
        <v/>
      </c>
      <c r="P38" s="18">
        <f>IF($A38="","",IF($J38="YAPILDI",0,IF($C38="","",raporTarihi-$C38)))</f>
        <v/>
      </c>
      <c r="Q38" s="18">
        <f>IF($A38="","",IF($P38="","",IF($P38&lt;=mbk_kovaEsik1,"0-7",IF($P38&lt;=mbk_kovaEsik2,"8-30",IF($P38&lt;=mbk_kovaEsik3,"31-60","60+")))))</f>
        <v/>
      </c>
      <c r="R38" s="18">
        <f>IF($A38="","",IF($B38="","YETİM",IF(COUNTIF(tblMakineler[MakineId],$B38)=0,"YETİM","")))</f>
        <v/>
      </c>
      <c r="S38" s="18">
        <f>IF(OR($A38="",$I38=""),"",IF(OR($I38&amp;"|"&amp;$J38="",COUNTIF(ListeIzinliGecis,$I38&amp;"|"&amp;$J38)&gt;0),"","GEÇERSİZ GEÇİŞ"))</f>
        <v/>
      </c>
      <c r="T38" s="18">
        <f>IF($A38="","",IF(OR($E38="",$F38=""),"",IF(ABS($F38-$E38)&gt;zincirTolerans,"ZİNCİR KIRIK","OK")))</f>
        <v/>
      </c>
      <c r="U38" s="18">
        <f>IF($A38="","",1)</f>
        <v/>
      </c>
      <c r="V38" s="18">
        <f>IF($A38="","",$F38*$N38*mbk_durusKatsayi)</f>
        <v/>
      </c>
    </row>
    <row r="39">
      <c r="A39" s="15" t="n"/>
      <c r="B39" s="15" t="n"/>
      <c r="C39" s="64" t="n"/>
      <c r="D39" s="64" t="n"/>
      <c r="E39" s="17" t="n"/>
      <c r="F39" s="17" t="n"/>
      <c r="G39" s="17" t="n"/>
      <c r="H39" s="15" t="n"/>
      <c r="I39" s="15" t="n"/>
      <c r="J39" s="15" t="n"/>
      <c r="K39" s="15" t="n"/>
      <c r="L39" s="15" t="n"/>
      <c r="M39" s="15" t="n"/>
      <c r="N39" s="16" t="n"/>
      <c r="O39" s="18">
        <f>IF($A39="","",$F39)</f>
        <v/>
      </c>
      <c r="P39" s="18">
        <f>IF($A39="","",IF($J39="YAPILDI",0,IF($C39="","",raporTarihi-$C39)))</f>
        <v/>
      </c>
      <c r="Q39" s="18">
        <f>IF($A39="","",IF($P39="","",IF($P39&lt;=mbk_kovaEsik1,"0-7",IF($P39&lt;=mbk_kovaEsik2,"8-30",IF($P39&lt;=mbk_kovaEsik3,"31-60","60+")))))</f>
        <v/>
      </c>
      <c r="R39" s="18">
        <f>IF($A39="","",IF($B39="","YETİM",IF(COUNTIF(tblMakineler[MakineId],$B39)=0,"YETİM","")))</f>
        <v/>
      </c>
      <c r="S39" s="18">
        <f>IF(OR($A39="",$I39=""),"",IF(OR($I39&amp;"|"&amp;$J39="",COUNTIF(ListeIzinliGecis,$I39&amp;"|"&amp;$J39)&gt;0),"","GEÇERSİZ GEÇİŞ"))</f>
        <v/>
      </c>
      <c r="T39" s="18">
        <f>IF($A39="","",IF(OR($E39="",$F39=""),"",IF(ABS($F39-$E39)&gt;zincirTolerans,"ZİNCİR KIRIK","OK")))</f>
        <v/>
      </c>
      <c r="U39" s="18">
        <f>IF($A39="","",1)</f>
        <v/>
      </c>
      <c r="V39" s="18">
        <f>IF($A39="","",$F39*$N39*mbk_durusKatsayi)</f>
        <v/>
      </c>
    </row>
    <row r="40">
      <c r="A40" s="15" t="n"/>
      <c r="B40" s="15" t="n"/>
      <c r="C40" s="64" t="n"/>
      <c r="D40" s="64" t="n"/>
      <c r="E40" s="17" t="n"/>
      <c r="F40" s="17" t="n"/>
      <c r="G40" s="17" t="n"/>
      <c r="H40" s="15" t="n"/>
      <c r="I40" s="15" t="n"/>
      <c r="J40" s="15" t="n"/>
      <c r="K40" s="15" t="n"/>
      <c r="L40" s="15" t="n"/>
      <c r="M40" s="15" t="n"/>
      <c r="N40" s="16" t="n"/>
      <c r="O40" s="18">
        <f>IF($A40="","",$F40)</f>
        <v/>
      </c>
      <c r="P40" s="18">
        <f>IF($A40="","",IF($J40="YAPILDI",0,IF($C40="","",raporTarihi-$C40)))</f>
        <v/>
      </c>
      <c r="Q40" s="18">
        <f>IF($A40="","",IF($P40="","",IF($P40&lt;=mbk_kovaEsik1,"0-7",IF($P40&lt;=mbk_kovaEsik2,"8-30",IF($P40&lt;=mbk_kovaEsik3,"31-60","60+")))))</f>
        <v/>
      </c>
      <c r="R40" s="18">
        <f>IF($A40="","",IF($B40="","YETİM",IF(COUNTIF(tblMakineler[MakineId],$B40)=0,"YETİM","")))</f>
        <v/>
      </c>
      <c r="S40" s="18">
        <f>IF(OR($A40="",$I40=""),"",IF(OR($I40&amp;"|"&amp;$J40="",COUNTIF(ListeIzinliGecis,$I40&amp;"|"&amp;$J40)&gt;0),"","GEÇERSİZ GEÇİŞ"))</f>
        <v/>
      </c>
      <c r="T40" s="18">
        <f>IF($A40="","",IF(OR($E40="",$F40=""),"",IF(ABS($F40-$E40)&gt;zincirTolerans,"ZİNCİR KIRIK","OK")))</f>
        <v/>
      </c>
      <c r="U40" s="18">
        <f>IF($A40="","",1)</f>
        <v/>
      </c>
      <c r="V40" s="18">
        <f>IF($A40="","",$F40*$N40*mbk_durusKatsayi)</f>
        <v/>
      </c>
    </row>
    <row r="41">
      <c r="A41" s="15" t="n"/>
      <c r="B41" s="15" t="n"/>
      <c r="C41" s="64" t="n"/>
      <c r="D41" s="64" t="n"/>
      <c r="E41" s="17" t="n"/>
      <c r="F41" s="17" t="n"/>
      <c r="G41" s="17" t="n"/>
      <c r="H41" s="15" t="n"/>
      <c r="I41" s="15" t="n"/>
      <c r="J41" s="15" t="n"/>
      <c r="K41" s="15" t="n"/>
      <c r="L41" s="15" t="n"/>
      <c r="M41" s="15" t="n"/>
      <c r="N41" s="16" t="n"/>
      <c r="O41" s="18">
        <f>IF($A41="","",$F41)</f>
        <v/>
      </c>
      <c r="P41" s="18">
        <f>IF($A41="","",IF($J41="YAPILDI",0,IF($C41="","",raporTarihi-$C41)))</f>
        <v/>
      </c>
      <c r="Q41" s="18">
        <f>IF($A41="","",IF($P41="","",IF($P41&lt;=mbk_kovaEsik1,"0-7",IF($P41&lt;=mbk_kovaEsik2,"8-30",IF($P41&lt;=mbk_kovaEsik3,"31-60","60+")))))</f>
        <v/>
      </c>
      <c r="R41" s="18">
        <f>IF($A41="","",IF($B41="","YETİM",IF(COUNTIF(tblMakineler[MakineId],$B41)=0,"YETİM","")))</f>
        <v/>
      </c>
      <c r="S41" s="18">
        <f>IF(OR($A41="",$I41=""),"",IF(OR($I41&amp;"|"&amp;$J41="",COUNTIF(ListeIzinliGecis,$I41&amp;"|"&amp;$J41)&gt;0),"","GEÇERSİZ GEÇİŞ"))</f>
        <v/>
      </c>
      <c r="T41" s="18">
        <f>IF($A41="","",IF(OR($E41="",$F41=""),"",IF(ABS($F41-$E41)&gt;zincirTolerans,"ZİNCİR KIRIK","OK")))</f>
        <v/>
      </c>
      <c r="U41" s="18">
        <f>IF($A41="","",1)</f>
        <v/>
      </c>
      <c r="V41" s="18">
        <f>IF($A41="","",$F41*$N41*mbk_durusKatsayi)</f>
        <v/>
      </c>
    </row>
    <row r="42">
      <c r="A42" s="15" t="n"/>
      <c r="B42" s="15" t="n"/>
      <c r="C42" s="64" t="n"/>
      <c r="D42" s="64" t="n"/>
      <c r="E42" s="17" t="n"/>
      <c r="F42" s="17" t="n"/>
      <c r="G42" s="17" t="n"/>
      <c r="H42" s="15" t="n"/>
      <c r="I42" s="15" t="n"/>
      <c r="J42" s="15" t="n"/>
      <c r="K42" s="15" t="n"/>
      <c r="L42" s="15" t="n"/>
      <c r="M42" s="15" t="n"/>
      <c r="N42" s="16" t="n"/>
      <c r="O42" s="18">
        <f>IF($A42="","",$F42)</f>
        <v/>
      </c>
      <c r="P42" s="18">
        <f>IF($A42="","",IF($J42="YAPILDI",0,IF($C42="","",raporTarihi-$C42)))</f>
        <v/>
      </c>
      <c r="Q42" s="18">
        <f>IF($A42="","",IF($P42="","",IF($P42&lt;=mbk_kovaEsik1,"0-7",IF($P42&lt;=mbk_kovaEsik2,"8-30",IF($P42&lt;=mbk_kovaEsik3,"31-60","60+")))))</f>
        <v/>
      </c>
      <c r="R42" s="18">
        <f>IF($A42="","",IF($B42="","YETİM",IF(COUNTIF(tblMakineler[MakineId],$B42)=0,"YETİM","")))</f>
        <v/>
      </c>
      <c r="S42" s="18">
        <f>IF(OR($A42="",$I42=""),"",IF(OR($I42&amp;"|"&amp;$J42="",COUNTIF(ListeIzinliGecis,$I42&amp;"|"&amp;$J42)&gt;0),"","GEÇERSİZ GEÇİŞ"))</f>
        <v/>
      </c>
      <c r="T42" s="18">
        <f>IF($A42="","",IF(OR($E42="",$F42=""),"",IF(ABS($F42-$E42)&gt;zincirTolerans,"ZİNCİR KIRIK","OK")))</f>
        <v/>
      </c>
      <c r="U42" s="18">
        <f>IF($A42="","",1)</f>
        <v/>
      </c>
      <c r="V42" s="18">
        <f>IF($A42="","",$F42*$N42*mbk_durusKatsayi)</f>
        <v/>
      </c>
    </row>
    <row r="43">
      <c r="A43" s="15" t="n"/>
      <c r="B43" s="15" t="n"/>
      <c r="C43" s="64" t="n"/>
      <c r="D43" s="64" t="n"/>
      <c r="E43" s="17" t="n"/>
      <c r="F43" s="17" t="n"/>
      <c r="G43" s="17" t="n"/>
      <c r="H43" s="15" t="n"/>
      <c r="I43" s="15" t="n"/>
      <c r="J43" s="15" t="n"/>
      <c r="K43" s="15" t="n"/>
      <c r="L43" s="15" t="n"/>
      <c r="M43" s="15" t="n"/>
      <c r="N43" s="16" t="n"/>
      <c r="O43" s="18">
        <f>IF($A43="","",$F43)</f>
        <v/>
      </c>
      <c r="P43" s="18">
        <f>IF($A43="","",IF($J43="YAPILDI",0,IF($C43="","",raporTarihi-$C43)))</f>
        <v/>
      </c>
      <c r="Q43" s="18">
        <f>IF($A43="","",IF($P43="","",IF($P43&lt;=mbk_kovaEsik1,"0-7",IF($P43&lt;=mbk_kovaEsik2,"8-30",IF($P43&lt;=mbk_kovaEsik3,"31-60","60+")))))</f>
        <v/>
      </c>
      <c r="R43" s="18">
        <f>IF($A43="","",IF($B43="","YETİM",IF(COUNTIF(tblMakineler[MakineId],$B43)=0,"YETİM","")))</f>
        <v/>
      </c>
      <c r="S43" s="18">
        <f>IF(OR($A43="",$I43=""),"",IF(OR($I43&amp;"|"&amp;$J43="",COUNTIF(ListeIzinliGecis,$I43&amp;"|"&amp;$J43)&gt;0),"","GEÇERSİZ GEÇİŞ"))</f>
        <v/>
      </c>
      <c r="T43" s="18">
        <f>IF($A43="","",IF(OR($E43="",$F43=""),"",IF(ABS($F43-$E43)&gt;zincirTolerans,"ZİNCİR KIRIK","OK")))</f>
        <v/>
      </c>
      <c r="U43" s="18">
        <f>IF($A43="","",1)</f>
        <v/>
      </c>
      <c r="V43" s="18">
        <f>IF($A43="","",$F43*$N43*mbk_durusKatsayi)</f>
        <v/>
      </c>
    </row>
    <row r="44">
      <c r="A44" s="15" t="n"/>
      <c r="B44" s="15" t="n"/>
      <c r="C44" s="64" t="n"/>
      <c r="D44" s="64" t="n"/>
      <c r="E44" s="17" t="n"/>
      <c r="F44" s="17" t="n"/>
      <c r="G44" s="17" t="n"/>
      <c r="H44" s="15" t="n"/>
      <c r="I44" s="15" t="n"/>
      <c r="J44" s="15" t="n"/>
      <c r="K44" s="15" t="n"/>
      <c r="L44" s="15" t="n"/>
      <c r="M44" s="15" t="n"/>
      <c r="N44" s="16" t="n"/>
      <c r="O44" s="18">
        <f>IF($A44="","",$F44)</f>
        <v/>
      </c>
      <c r="P44" s="18">
        <f>IF($A44="","",IF($J44="YAPILDI",0,IF($C44="","",raporTarihi-$C44)))</f>
        <v/>
      </c>
      <c r="Q44" s="18">
        <f>IF($A44="","",IF($P44="","",IF($P44&lt;=mbk_kovaEsik1,"0-7",IF($P44&lt;=mbk_kovaEsik2,"8-30",IF($P44&lt;=mbk_kovaEsik3,"31-60","60+")))))</f>
        <v/>
      </c>
      <c r="R44" s="18">
        <f>IF($A44="","",IF($B44="","YETİM",IF(COUNTIF(tblMakineler[MakineId],$B44)=0,"YETİM","")))</f>
        <v/>
      </c>
      <c r="S44" s="18">
        <f>IF(OR($A44="",$I44=""),"",IF(OR($I44&amp;"|"&amp;$J44="",COUNTIF(ListeIzinliGecis,$I44&amp;"|"&amp;$J44)&gt;0),"","GEÇERSİZ GEÇİŞ"))</f>
        <v/>
      </c>
      <c r="T44" s="18">
        <f>IF($A44="","",IF(OR($E44="",$F44=""),"",IF(ABS($F44-$E44)&gt;zincirTolerans,"ZİNCİR KIRIK","OK")))</f>
        <v/>
      </c>
      <c r="U44" s="18">
        <f>IF($A44="","",1)</f>
        <v/>
      </c>
      <c r="V44" s="18">
        <f>IF($A44="","",$F44*$N44*mbk_durusKatsayi)</f>
        <v/>
      </c>
    </row>
    <row r="45">
      <c r="A45" s="15" t="n"/>
      <c r="B45" s="15" t="n"/>
      <c r="C45" s="64" t="n"/>
      <c r="D45" s="64" t="n"/>
      <c r="E45" s="17" t="n"/>
      <c r="F45" s="17" t="n"/>
      <c r="G45" s="17" t="n"/>
      <c r="H45" s="15" t="n"/>
      <c r="I45" s="15" t="n"/>
      <c r="J45" s="15" t="n"/>
      <c r="K45" s="15" t="n"/>
      <c r="L45" s="15" t="n"/>
      <c r="M45" s="15" t="n"/>
      <c r="N45" s="16" t="n"/>
      <c r="O45" s="18">
        <f>IF($A45="","",$F45)</f>
        <v/>
      </c>
      <c r="P45" s="18">
        <f>IF($A45="","",IF($J45="YAPILDI",0,IF($C45="","",raporTarihi-$C45)))</f>
        <v/>
      </c>
      <c r="Q45" s="18">
        <f>IF($A45="","",IF($P45="","",IF($P45&lt;=mbk_kovaEsik1,"0-7",IF($P45&lt;=mbk_kovaEsik2,"8-30",IF($P45&lt;=mbk_kovaEsik3,"31-60","60+")))))</f>
        <v/>
      </c>
      <c r="R45" s="18">
        <f>IF($A45="","",IF($B45="","YETİM",IF(COUNTIF(tblMakineler[MakineId],$B45)=0,"YETİM","")))</f>
        <v/>
      </c>
      <c r="S45" s="18">
        <f>IF(OR($A45="",$I45=""),"",IF(OR($I45&amp;"|"&amp;$J45="",COUNTIF(ListeIzinliGecis,$I45&amp;"|"&amp;$J45)&gt;0),"","GEÇERSİZ GEÇİŞ"))</f>
        <v/>
      </c>
      <c r="T45" s="18">
        <f>IF($A45="","",IF(OR($E45="",$F45=""),"",IF(ABS($F45-$E45)&gt;zincirTolerans,"ZİNCİR KIRIK","OK")))</f>
        <v/>
      </c>
      <c r="U45" s="18">
        <f>IF($A45="","",1)</f>
        <v/>
      </c>
      <c r="V45" s="18">
        <f>IF($A45="","",$F45*$N45*mbk_durusKatsayi)</f>
        <v/>
      </c>
    </row>
    <row r="46">
      <c r="A46" s="15" t="n"/>
      <c r="B46" s="15" t="n"/>
      <c r="C46" s="64" t="n"/>
      <c r="D46" s="64" t="n"/>
      <c r="E46" s="17" t="n"/>
      <c r="F46" s="17" t="n"/>
      <c r="G46" s="17" t="n"/>
      <c r="H46" s="15" t="n"/>
      <c r="I46" s="15" t="n"/>
      <c r="J46" s="15" t="n"/>
      <c r="K46" s="15" t="n"/>
      <c r="L46" s="15" t="n"/>
      <c r="M46" s="15" t="n"/>
      <c r="N46" s="16" t="n"/>
      <c r="O46" s="18">
        <f>IF($A46="","",$F46)</f>
        <v/>
      </c>
      <c r="P46" s="18">
        <f>IF($A46="","",IF($J46="YAPILDI",0,IF($C46="","",raporTarihi-$C46)))</f>
        <v/>
      </c>
      <c r="Q46" s="18">
        <f>IF($A46="","",IF($P46="","",IF($P46&lt;=mbk_kovaEsik1,"0-7",IF($P46&lt;=mbk_kovaEsik2,"8-30",IF($P46&lt;=mbk_kovaEsik3,"31-60","60+")))))</f>
        <v/>
      </c>
      <c r="R46" s="18">
        <f>IF($A46="","",IF($B46="","YETİM",IF(COUNTIF(tblMakineler[MakineId],$B46)=0,"YETİM","")))</f>
        <v/>
      </c>
      <c r="S46" s="18">
        <f>IF(OR($A46="",$I46=""),"",IF(OR($I46&amp;"|"&amp;$J46="",COUNTIF(ListeIzinliGecis,$I46&amp;"|"&amp;$J46)&gt;0),"","GEÇERSİZ GEÇİŞ"))</f>
        <v/>
      </c>
      <c r="T46" s="18">
        <f>IF($A46="","",IF(OR($E46="",$F46=""),"",IF(ABS($F46-$E46)&gt;zincirTolerans,"ZİNCİR KIRIK","OK")))</f>
        <v/>
      </c>
      <c r="U46" s="18">
        <f>IF($A46="","",1)</f>
        <v/>
      </c>
      <c r="V46" s="18">
        <f>IF($A46="","",$F46*$N46*mbk_durusKatsayi)</f>
        <v/>
      </c>
    </row>
    <row r="47">
      <c r="A47" s="15" t="n"/>
      <c r="B47" s="15" t="n"/>
      <c r="C47" s="64" t="n"/>
      <c r="D47" s="64" t="n"/>
      <c r="E47" s="17" t="n"/>
      <c r="F47" s="17" t="n"/>
      <c r="G47" s="17" t="n"/>
      <c r="H47" s="15" t="n"/>
      <c r="I47" s="15" t="n"/>
      <c r="J47" s="15" t="n"/>
      <c r="K47" s="15" t="n"/>
      <c r="L47" s="15" t="n"/>
      <c r="M47" s="15" t="n"/>
      <c r="N47" s="16" t="n"/>
      <c r="O47" s="18">
        <f>IF($A47="","",$F47)</f>
        <v/>
      </c>
      <c r="P47" s="18">
        <f>IF($A47="","",IF($J47="YAPILDI",0,IF($C47="","",raporTarihi-$C47)))</f>
        <v/>
      </c>
      <c r="Q47" s="18">
        <f>IF($A47="","",IF($P47="","",IF($P47&lt;=mbk_kovaEsik1,"0-7",IF($P47&lt;=mbk_kovaEsik2,"8-30",IF($P47&lt;=mbk_kovaEsik3,"31-60","60+")))))</f>
        <v/>
      </c>
      <c r="R47" s="18">
        <f>IF($A47="","",IF($B47="","YETİM",IF(COUNTIF(tblMakineler[MakineId],$B47)=0,"YETİM","")))</f>
        <v/>
      </c>
      <c r="S47" s="18">
        <f>IF(OR($A47="",$I47=""),"",IF(OR($I47&amp;"|"&amp;$J47="",COUNTIF(ListeIzinliGecis,$I47&amp;"|"&amp;$J47)&gt;0),"","GEÇERSİZ GEÇİŞ"))</f>
        <v/>
      </c>
      <c r="T47" s="18">
        <f>IF($A47="","",IF(OR($E47="",$F47=""),"",IF(ABS($F47-$E47)&gt;zincirTolerans,"ZİNCİR KIRIK","OK")))</f>
        <v/>
      </c>
      <c r="U47" s="18">
        <f>IF($A47="","",1)</f>
        <v/>
      </c>
      <c r="V47" s="18">
        <f>IF($A47="","",$F47*$N47*mbk_durusKatsayi)</f>
        <v/>
      </c>
    </row>
    <row r="48">
      <c r="A48" s="15" t="n"/>
      <c r="B48" s="15" t="n"/>
      <c r="C48" s="64" t="n"/>
      <c r="D48" s="64" t="n"/>
      <c r="E48" s="17" t="n"/>
      <c r="F48" s="17" t="n"/>
      <c r="G48" s="17" t="n"/>
      <c r="H48" s="15" t="n"/>
      <c r="I48" s="15" t="n"/>
      <c r="J48" s="15" t="n"/>
      <c r="K48" s="15" t="n"/>
      <c r="L48" s="15" t="n"/>
      <c r="M48" s="15" t="n"/>
      <c r="N48" s="16" t="n"/>
      <c r="O48" s="18">
        <f>IF($A48="","",$F48)</f>
        <v/>
      </c>
      <c r="P48" s="18">
        <f>IF($A48="","",IF($J48="YAPILDI",0,IF($C48="","",raporTarihi-$C48)))</f>
        <v/>
      </c>
      <c r="Q48" s="18">
        <f>IF($A48="","",IF($P48="","",IF($P48&lt;=mbk_kovaEsik1,"0-7",IF($P48&lt;=mbk_kovaEsik2,"8-30",IF($P48&lt;=mbk_kovaEsik3,"31-60","60+")))))</f>
        <v/>
      </c>
      <c r="R48" s="18">
        <f>IF($A48="","",IF($B48="","YETİM",IF(COUNTIF(tblMakineler[MakineId],$B48)=0,"YETİM","")))</f>
        <v/>
      </c>
      <c r="S48" s="18">
        <f>IF(OR($A48="",$I48=""),"",IF(OR($I48&amp;"|"&amp;$J48="",COUNTIF(ListeIzinliGecis,$I48&amp;"|"&amp;$J48)&gt;0),"","GEÇERSİZ GEÇİŞ"))</f>
        <v/>
      </c>
      <c r="T48" s="18">
        <f>IF($A48="","",IF(OR($E48="",$F48=""),"",IF(ABS($F48-$E48)&gt;zincirTolerans,"ZİNCİR KIRIK","OK")))</f>
        <v/>
      </c>
      <c r="U48" s="18">
        <f>IF($A48="","",1)</f>
        <v/>
      </c>
      <c r="V48" s="18">
        <f>IF($A48="","",$F48*$N48*mbk_durusKatsayi)</f>
        <v/>
      </c>
    </row>
    <row r="49">
      <c r="A49" s="15" t="n"/>
      <c r="B49" s="15" t="n"/>
      <c r="C49" s="64" t="n"/>
      <c r="D49" s="64" t="n"/>
      <c r="E49" s="17" t="n"/>
      <c r="F49" s="17" t="n"/>
      <c r="G49" s="17" t="n"/>
      <c r="H49" s="15" t="n"/>
      <c r="I49" s="15" t="n"/>
      <c r="J49" s="15" t="n"/>
      <c r="K49" s="15" t="n"/>
      <c r="L49" s="15" t="n"/>
      <c r="M49" s="15" t="n"/>
      <c r="N49" s="16" t="n"/>
      <c r="O49" s="18">
        <f>IF($A49="","",$F49)</f>
        <v/>
      </c>
      <c r="P49" s="18">
        <f>IF($A49="","",IF($J49="YAPILDI",0,IF($C49="","",raporTarihi-$C49)))</f>
        <v/>
      </c>
      <c r="Q49" s="18">
        <f>IF($A49="","",IF($P49="","",IF($P49&lt;=mbk_kovaEsik1,"0-7",IF($P49&lt;=mbk_kovaEsik2,"8-30",IF($P49&lt;=mbk_kovaEsik3,"31-60","60+")))))</f>
        <v/>
      </c>
      <c r="R49" s="18">
        <f>IF($A49="","",IF($B49="","YETİM",IF(COUNTIF(tblMakineler[MakineId],$B49)=0,"YETİM","")))</f>
        <v/>
      </c>
      <c r="S49" s="18">
        <f>IF(OR($A49="",$I49=""),"",IF(OR($I49&amp;"|"&amp;$J49="",COUNTIF(ListeIzinliGecis,$I49&amp;"|"&amp;$J49)&gt;0),"","GEÇERSİZ GEÇİŞ"))</f>
        <v/>
      </c>
      <c r="T49" s="18">
        <f>IF($A49="","",IF(OR($E49="",$F49=""),"",IF(ABS($F49-$E49)&gt;zincirTolerans,"ZİNCİR KIRIK","OK")))</f>
        <v/>
      </c>
      <c r="U49" s="18">
        <f>IF($A49="","",1)</f>
        <v/>
      </c>
      <c r="V49" s="18">
        <f>IF($A49="","",$F49*$N49*mbk_durusKatsayi)</f>
        <v/>
      </c>
    </row>
    <row r="50">
      <c r="A50" s="15" t="n"/>
      <c r="B50" s="15" t="n"/>
      <c r="C50" s="64" t="n"/>
      <c r="D50" s="64" t="n"/>
      <c r="E50" s="17" t="n"/>
      <c r="F50" s="17" t="n"/>
      <c r="G50" s="17" t="n"/>
      <c r="H50" s="15" t="n"/>
      <c r="I50" s="15" t="n"/>
      <c r="J50" s="15" t="n"/>
      <c r="K50" s="15" t="n"/>
      <c r="L50" s="15" t="n"/>
      <c r="M50" s="15" t="n"/>
      <c r="N50" s="16" t="n"/>
      <c r="O50" s="18">
        <f>IF($A50="","",$F50)</f>
        <v/>
      </c>
      <c r="P50" s="18">
        <f>IF($A50="","",IF($J50="YAPILDI",0,IF($C50="","",raporTarihi-$C50)))</f>
        <v/>
      </c>
      <c r="Q50" s="18">
        <f>IF($A50="","",IF($P50="","",IF($P50&lt;=mbk_kovaEsik1,"0-7",IF($P50&lt;=mbk_kovaEsik2,"8-30",IF($P50&lt;=mbk_kovaEsik3,"31-60","60+")))))</f>
        <v/>
      </c>
      <c r="R50" s="18">
        <f>IF($A50="","",IF($B50="","YETİM",IF(COUNTIF(tblMakineler[MakineId],$B50)=0,"YETİM","")))</f>
        <v/>
      </c>
      <c r="S50" s="18">
        <f>IF(OR($A50="",$I50=""),"",IF(OR($I50&amp;"|"&amp;$J50="",COUNTIF(ListeIzinliGecis,$I50&amp;"|"&amp;$J50)&gt;0),"","GEÇERSİZ GEÇİŞ"))</f>
        <v/>
      </c>
      <c r="T50" s="18">
        <f>IF($A50="","",IF(OR($E50="",$F50=""),"",IF(ABS($F50-$E50)&gt;zincirTolerans,"ZİNCİR KIRIK","OK")))</f>
        <v/>
      </c>
      <c r="U50" s="18">
        <f>IF($A50="","",1)</f>
        <v/>
      </c>
      <c r="V50" s="18">
        <f>IF($A50="","",$F50*$N50*mbk_durusKatsayi)</f>
        <v/>
      </c>
    </row>
    <row r="51">
      <c r="A51" s="15" t="n"/>
      <c r="B51" s="15" t="n"/>
      <c r="C51" s="64" t="n"/>
      <c r="D51" s="64" t="n"/>
      <c r="E51" s="17" t="n"/>
      <c r="F51" s="17" t="n"/>
      <c r="G51" s="17" t="n"/>
      <c r="H51" s="15" t="n"/>
      <c r="I51" s="15" t="n"/>
      <c r="J51" s="15" t="n"/>
      <c r="K51" s="15" t="n"/>
      <c r="L51" s="15" t="n"/>
      <c r="M51" s="15" t="n"/>
      <c r="N51" s="16" t="n"/>
      <c r="O51" s="18">
        <f>IF($A51="","",$F51)</f>
        <v/>
      </c>
      <c r="P51" s="18">
        <f>IF($A51="","",IF($J51="YAPILDI",0,IF($C51="","",raporTarihi-$C51)))</f>
        <v/>
      </c>
      <c r="Q51" s="18">
        <f>IF($A51="","",IF($P51="","",IF($P51&lt;=mbk_kovaEsik1,"0-7",IF($P51&lt;=mbk_kovaEsik2,"8-30",IF($P51&lt;=mbk_kovaEsik3,"31-60","60+")))))</f>
        <v/>
      </c>
      <c r="R51" s="18">
        <f>IF($A51="","",IF($B51="","YETİM",IF(COUNTIF(tblMakineler[MakineId],$B51)=0,"YETİM","")))</f>
        <v/>
      </c>
      <c r="S51" s="18">
        <f>IF(OR($A51="",$I51=""),"",IF(OR($I51&amp;"|"&amp;$J51="",COUNTIF(ListeIzinliGecis,$I51&amp;"|"&amp;$J51)&gt;0),"","GEÇERSİZ GEÇİŞ"))</f>
        <v/>
      </c>
      <c r="T51" s="18">
        <f>IF($A51="","",IF(OR($E51="",$F51=""),"",IF(ABS($F51-$E51)&gt;zincirTolerans,"ZİNCİR KIRIK","OK")))</f>
        <v/>
      </c>
      <c r="U51" s="18">
        <f>IF($A51="","",1)</f>
        <v/>
      </c>
      <c r="V51" s="18">
        <f>IF($A51="","",$F51*$N51*mbk_durusKatsayi)</f>
        <v/>
      </c>
    </row>
    <row r="52">
      <c r="A52" s="15" t="n"/>
      <c r="B52" s="15" t="n"/>
      <c r="C52" s="64" t="n"/>
      <c r="D52" s="64" t="n"/>
      <c r="E52" s="17" t="n"/>
      <c r="F52" s="17" t="n"/>
      <c r="G52" s="17" t="n"/>
      <c r="H52" s="15" t="n"/>
      <c r="I52" s="15" t="n"/>
      <c r="J52" s="15" t="n"/>
      <c r="K52" s="15" t="n"/>
      <c r="L52" s="15" t="n"/>
      <c r="M52" s="15" t="n"/>
      <c r="N52" s="16" t="n"/>
      <c r="O52" s="18">
        <f>IF($A52="","",$F52)</f>
        <v/>
      </c>
      <c r="P52" s="18">
        <f>IF($A52="","",IF($J52="YAPILDI",0,IF($C52="","",raporTarihi-$C52)))</f>
        <v/>
      </c>
      <c r="Q52" s="18">
        <f>IF($A52="","",IF($P52="","",IF($P52&lt;=mbk_kovaEsik1,"0-7",IF($P52&lt;=mbk_kovaEsik2,"8-30",IF($P52&lt;=mbk_kovaEsik3,"31-60","60+")))))</f>
        <v/>
      </c>
      <c r="R52" s="18">
        <f>IF($A52="","",IF($B52="","YETİM",IF(COUNTIF(tblMakineler[MakineId],$B52)=0,"YETİM","")))</f>
        <v/>
      </c>
      <c r="S52" s="18">
        <f>IF(OR($A52="",$I52=""),"",IF(OR($I52&amp;"|"&amp;$J52="",COUNTIF(ListeIzinliGecis,$I52&amp;"|"&amp;$J52)&gt;0),"","GEÇERSİZ GEÇİŞ"))</f>
        <v/>
      </c>
      <c r="T52" s="18">
        <f>IF($A52="","",IF(OR($E52="",$F52=""),"",IF(ABS($F52-$E52)&gt;zincirTolerans,"ZİNCİR KIRIK","OK")))</f>
        <v/>
      </c>
      <c r="U52" s="18">
        <f>IF($A52="","",1)</f>
        <v/>
      </c>
      <c r="V52" s="18">
        <f>IF($A52="","",$F52*$N52*mbk_durusKatsayi)</f>
        <v/>
      </c>
    </row>
    <row r="53">
      <c r="A53" s="15" t="n"/>
      <c r="B53" s="15" t="n"/>
      <c r="C53" s="64" t="n"/>
      <c r="D53" s="64" t="n"/>
      <c r="E53" s="17" t="n"/>
      <c r="F53" s="17" t="n"/>
      <c r="G53" s="17" t="n"/>
      <c r="H53" s="15" t="n"/>
      <c r="I53" s="15" t="n"/>
      <c r="J53" s="15" t="n"/>
      <c r="K53" s="15" t="n"/>
      <c r="L53" s="15" t="n"/>
      <c r="M53" s="15" t="n"/>
      <c r="N53" s="16" t="n"/>
      <c r="O53" s="18">
        <f>IF($A53="","",$F53)</f>
        <v/>
      </c>
      <c r="P53" s="18">
        <f>IF($A53="","",IF($J53="YAPILDI",0,IF($C53="","",raporTarihi-$C53)))</f>
        <v/>
      </c>
      <c r="Q53" s="18">
        <f>IF($A53="","",IF($P53="","",IF($P53&lt;=mbk_kovaEsik1,"0-7",IF($P53&lt;=mbk_kovaEsik2,"8-30",IF($P53&lt;=mbk_kovaEsik3,"31-60","60+")))))</f>
        <v/>
      </c>
      <c r="R53" s="18">
        <f>IF($A53="","",IF($B53="","YETİM",IF(COUNTIF(tblMakineler[MakineId],$B53)=0,"YETİM","")))</f>
        <v/>
      </c>
      <c r="S53" s="18">
        <f>IF(OR($A53="",$I53=""),"",IF(OR($I53&amp;"|"&amp;$J53="",COUNTIF(ListeIzinliGecis,$I53&amp;"|"&amp;$J53)&gt;0),"","GEÇERSİZ GEÇİŞ"))</f>
        <v/>
      </c>
      <c r="T53" s="18">
        <f>IF($A53="","",IF(OR($E53="",$F53=""),"",IF(ABS($F53-$E53)&gt;zincirTolerans,"ZİNCİR KIRIK","OK")))</f>
        <v/>
      </c>
      <c r="U53" s="18">
        <f>IF($A53="","",1)</f>
        <v/>
      </c>
      <c r="V53" s="18">
        <f>IF($A53="","",$F53*$N53*mbk_durusKatsayi)</f>
        <v/>
      </c>
    </row>
    <row r="54">
      <c r="A54" s="15" t="n"/>
      <c r="B54" s="15" t="n"/>
      <c r="C54" s="64" t="n"/>
      <c r="D54" s="64" t="n"/>
      <c r="E54" s="17" t="n"/>
      <c r="F54" s="17" t="n"/>
      <c r="G54" s="17" t="n"/>
      <c r="H54" s="15" t="n"/>
      <c r="I54" s="15" t="n"/>
      <c r="J54" s="15" t="n"/>
      <c r="K54" s="15" t="n"/>
      <c r="L54" s="15" t="n"/>
      <c r="M54" s="15" t="n"/>
      <c r="N54" s="16" t="n"/>
      <c r="O54" s="18">
        <f>IF($A54="","",$F54)</f>
        <v/>
      </c>
      <c r="P54" s="18">
        <f>IF($A54="","",IF($J54="YAPILDI",0,IF($C54="","",raporTarihi-$C54)))</f>
        <v/>
      </c>
      <c r="Q54" s="18">
        <f>IF($A54="","",IF($P54="","",IF($P54&lt;=mbk_kovaEsik1,"0-7",IF($P54&lt;=mbk_kovaEsik2,"8-30",IF($P54&lt;=mbk_kovaEsik3,"31-60","60+")))))</f>
        <v/>
      </c>
      <c r="R54" s="18">
        <f>IF($A54="","",IF($B54="","YETİM",IF(COUNTIF(tblMakineler[MakineId],$B54)=0,"YETİM","")))</f>
        <v/>
      </c>
      <c r="S54" s="18">
        <f>IF(OR($A54="",$I54=""),"",IF(OR($I54&amp;"|"&amp;$J54="",COUNTIF(ListeIzinliGecis,$I54&amp;"|"&amp;$J54)&gt;0),"","GEÇERSİZ GEÇİŞ"))</f>
        <v/>
      </c>
      <c r="T54" s="18">
        <f>IF($A54="","",IF(OR($E54="",$F54=""),"",IF(ABS($F54-$E54)&gt;zincirTolerans,"ZİNCİR KIRIK","OK")))</f>
        <v/>
      </c>
      <c r="U54" s="18">
        <f>IF($A54="","",1)</f>
        <v/>
      </c>
      <c r="V54" s="18">
        <f>IF($A54="","",$F54*$N54*mbk_durusKatsayi)</f>
        <v/>
      </c>
    </row>
    <row r="55">
      <c r="A55" s="15" t="n"/>
      <c r="B55" s="15" t="n"/>
      <c r="C55" s="64" t="n"/>
      <c r="D55" s="64" t="n"/>
      <c r="E55" s="17" t="n"/>
      <c r="F55" s="17" t="n"/>
      <c r="G55" s="17" t="n"/>
      <c r="H55" s="15" t="n"/>
      <c r="I55" s="15" t="n"/>
      <c r="J55" s="15" t="n"/>
      <c r="K55" s="15" t="n"/>
      <c r="L55" s="15" t="n"/>
      <c r="M55" s="15" t="n"/>
      <c r="N55" s="16" t="n"/>
      <c r="O55" s="18">
        <f>IF($A55="","",$F55)</f>
        <v/>
      </c>
      <c r="P55" s="18">
        <f>IF($A55="","",IF($J55="YAPILDI",0,IF($C55="","",raporTarihi-$C55)))</f>
        <v/>
      </c>
      <c r="Q55" s="18">
        <f>IF($A55="","",IF($P55="","",IF($P55&lt;=mbk_kovaEsik1,"0-7",IF($P55&lt;=mbk_kovaEsik2,"8-30",IF($P55&lt;=mbk_kovaEsik3,"31-60","60+")))))</f>
        <v/>
      </c>
      <c r="R55" s="18">
        <f>IF($A55="","",IF($B55="","YETİM",IF(COUNTIF(tblMakineler[MakineId],$B55)=0,"YETİM","")))</f>
        <v/>
      </c>
      <c r="S55" s="18">
        <f>IF(OR($A55="",$I55=""),"",IF(OR($I55&amp;"|"&amp;$J55="",COUNTIF(ListeIzinliGecis,$I55&amp;"|"&amp;$J55)&gt;0),"","GEÇERSİZ GEÇİŞ"))</f>
        <v/>
      </c>
      <c r="T55" s="18">
        <f>IF($A55="","",IF(OR($E55="",$F55=""),"",IF(ABS($F55-$E55)&gt;zincirTolerans,"ZİNCİR KIRIK","OK")))</f>
        <v/>
      </c>
      <c r="U55" s="18">
        <f>IF($A55="","",1)</f>
        <v/>
      </c>
      <c r="V55" s="18">
        <f>IF($A55="","",$F55*$N55*mbk_durusKatsayi)</f>
        <v/>
      </c>
    </row>
    <row r="56">
      <c r="A56" s="15" t="n"/>
      <c r="B56" s="15" t="n"/>
      <c r="C56" s="64" t="n"/>
      <c r="D56" s="64" t="n"/>
      <c r="E56" s="17" t="n"/>
      <c r="F56" s="17" t="n"/>
      <c r="G56" s="17" t="n"/>
      <c r="H56" s="15" t="n"/>
      <c r="I56" s="15" t="n"/>
      <c r="J56" s="15" t="n"/>
      <c r="K56" s="15" t="n"/>
      <c r="L56" s="15" t="n"/>
      <c r="M56" s="15" t="n"/>
      <c r="N56" s="16" t="n"/>
      <c r="O56" s="18">
        <f>IF($A56="","",$F56)</f>
        <v/>
      </c>
      <c r="P56" s="18">
        <f>IF($A56="","",IF($J56="YAPILDI",0,IF($C56="","",raporTarihi-$C56)))</f>
        <v/>
      </c>
      <c r="Q56" s="18">
        <f>IF($A56="","",IF($P56="","",IF($P56&lt;=mbk_kovaEsik1,"0-7",IF($P56&lt;=mbk_kovaEsik2,"8-30",IF($P56&lt;=mbk_kovaEsik3,"31-60","60+")))))</f>
        <v/>
      </c>
      <c r="R56" s="18">
        <f>IF($A56="","",IF($B56="","YETİM",IF(COUNTIF(tblMakineler[MakineId],$B56)=0,"YETİM","")))</f>
        <v/>
      </c>
      <c r="S56" s="18">
        <f>IF(OR($A56="",$I56=""),"",IF(OR($I56&amp;"|"&amp;$J56="",COUNTIF(ListeIzinliGecis,$I56&amp;"|"&amp;$J56)&gt;0),"","GEÇERSİZ GEÇİŞ"))</f>
        <v/>
      </c>
      <c r="T56" s="18">
        <f>IF($A56="","",IF(OR($E56="",$F56=""),"",IF(ABS($F56-$E56)&gt;zincirTolerans,"ZİNCİR KIRIK","OK")))</f>
        <v/>
      </c>
      <c r="U56" s="18">
        <f>IF($A56="","",1)</f>
        <v/>
      </c>
      <c r="V56" s="18">
        <f>IF($A56="","",$F56*$N56*mbk_durusKatsayi)</f>
        <v/>
      </c>
    </row>
    <row r="57">
      <c r="A57" s="15" t="n"/>
      <c r="B57" s="15" t="n"/>
      <c r="C57" s="64" t="n"/>
      <c r="D57" s="64" t="n"/>
      <c r="E57" s="17" t="n"/>
      <c r="F57" s="17" t="n"/>
      <c r="G57" s="17" t="n"/>
      <c r="H57" s="15" t="n"/>
      <c r="I57" s="15" t="n"/>
      <c r="J57" s="15" t="n"/>
      <c r="K57" s="15" t="n"/>
      <c r="L57" s="15" t="n"/>
      <c r="M57" s="15" t="n"/>
      <c r="N57" s="16" t="n"/>
      <c r="O57" s="18">
        <f>IF($A57="","",$F57)</f>
        <v/>
      </c>
      <c r="P57" s="18">
        <f>IF($A57="","",IF($J57="YAPILDI",0,IF($C57="","",raporTarihi-$C57)))</f>
        <v/>
      </c>
      <c r="Q57" s="18">
        <f>IF($A57="","",IF($P57="","",IF($P57&lt;=mbk_kovaEsik1,"0-7",IF($P57&lt;=mbk_kovaEsik2,"8-30",IF($P57&lt;=mbk_kovaEsik3,"31-60","60+")))))</f>
        <v/>
      </c>
      <c r="R57" s="18">
        <f>IF($A57="","",IF($B57="","YETİM",IF(COUNTIF(tblMakineler[MakineId],$B57)=0,"YETİM","")))</f>
        <v/>
      </c>
      <c r="S57" s="18">
        <f>IF(OR($A57="",$I57=""),"",IF(OR($I57&amp;"|"&amp;$J57="",COUNTIF(ListeIzinliGecis,$I57&amp;"|"&amp;$J57)&gt;0),"","GEÇERSİZ GEÇİŞ"))</f>
        <v/>
      </c>
      <c r="T57" s="18">
        <f>IF($A57="","",IF(OR($E57="",$F57=""),"",IF(ABS($F57-$E57)&gt;zincirTolerans,"ZİNCİR KIRIK","OK")))</f>
        <v/>
      </c>
      <c r="U57" s="18">
        <f>IF($A57="","",1)</f>
        <v/>
      </c>
      <c r="V57" s="18">
        <f>IF($A57="","",$F57*$N57*mbk_durusKatsayi)</f>
        <v/>
      </c>
    </row>
    <row r="58">
      <c r="A58" s="15" t="n"/>
      <c r="B58" s="15" t="n"/>
      <c r="C58" s="64" t="n"/>
      <c r="D58" s="64" t="n"/>
      <c r="E58" s="17" t="n"/>
      <c r="F58" s="17" t="n"/>
      <c r="G58" s="17" t="n"/>
      <c r="H58" s="15" t="n"/>
      <c r="I58" s="15" t="n"/>
      <c r="J58" s="15" t="n"/>
      <c r="K58" s="15" t="n"/>
      <c r="L58" s="15" t="n"/>
      <c r="M58" s="15" t="n"/>
      <c r="N58" s="16" t="n"/>
      <c r="O58" s="18">
        <f>IF($A58="","",$F58)</f>
        <v/>
      </c>
      <c r="P58" s="18">
        <f>IF($A58="","",IF($J58="YAPILDI",0,IF($C58="","",raporTarihi-$C58)))</f>
        <v/>
      </c>
      <c r="Q58" s="18">
        <f>IF($A58="","",IF($P58="","",IF($P58&lt;=mbk_kovaEsik1,"0-7",IF($P58&lt;=mbk_kovaEsik2,"8-30",IF($P58&lt;=mbk_kovaEsik3,"31-60","60+")))))</f>
        <v/>
      </c>
      <c r="R58" s="18">
        <f>IF($A58="","",IF($B58="","YETİM",IF(COUNTIF(tblMakineler[MakineId],$B58)=0,"YETİM","")))</f>
        <v/>
      </c>
      <c r="S58" s="18">
        <f>IF(OR($A58="",$I58=""),"",IF(OR($I58&amp;"|"&amp;$J58="",COUNTIF(ListeIzinliGecis,$I58&amp;"|"&amp;$J58)&gt;0),"","GEÇERSİZ GEÇİŞ"))</f>
        <v/>
      </c>
      <c r="T58" s="18">
        <f>IF($A58="","",IF(OR($E58="",$F58=""),"",IF(ABS($F58-$E58)&gt;zincirTolerans,"ZİNCİR KIRIK","OK")))</f>
        <v/>
      </c>
      <c r="U58" s="18">
        <f>IF($A58="","",1)</f>
        <v/>
      </c>
      <c r="V58" s="18">
        <f>IF($A58="","",$F58*$N58*mbk_durusKatsayi)</f>
        <v/>
      </c>
    </row>
    <row r="59">
      <c r="A59" s="15" t="n"/>
      <c r="B59" s="15" t="n"/>
      <c r="C59" s="64" t="n"/>
      <c r="D59" s="64" t="n"/>
      <c r="E59" s="17" t="n"/>
      <c r="F59" s="17" t="n"/>
      <c r="G59" s="17" t="n"/>
      <c r="H59" s="15" t="n"/>
      <c r="I59" s="15" t="n"/>
      <c r="J59" s="15" t="n"/>
      <c r="K59" s="15" t="n"/>
      <c r="L59" s="15" t="n"/>
      <c r="M59" s="15" t="n"/>
      <c r="N59" s="16" t="n"/>
      <c r="O59" s="18">
        <f>IF($A59="","",$F59)</f>
        <v/>
      </c>
      <c r="P59" s="18">
        <f>IF($A59="","",IF($J59="YAPILDI",0,IF($C59="","",raporTarihi-$C59)))</f>
        <v/>
      </c>
      <c r="Q59" s="18">
        <f>IF($A59="","",IF($P59="","",IF($P59&lt;=mbk_kovaEsik1,"0-7",IF($P59&lt;=mbk_kovaEsik2,"8-30",IF($P59&lt;=mbk_kovaEsik3,"31-60","60+")))))</f>
        <v/>
      </c>
      <c r="R59" s="18">
        <f>IF($A59="","",IF($B59="","YETİM",IF(COUNTIF(tblMakineler[MakineId],$B59)=0,"YETİM","")))</f>
        <v/>
      </c>
      <c r="S59" s="18">
        <f>IF(OR($A59="",$I59=""),"",IF(OR($I59&amp;"|"&amp;$J59="",COUNTIF(ListeIzinliGecis,$I59&amp;"|"&amp;$J59)&gt;0),"","GEÇERSİZ GEÇİŞ"))</f>
        <v/>
      </c>
      <c r="T59" s="18">
        <f>IF($A59="","",IF(OR($E59="",$F59=""),"",IF(ABS($F59-$E59)&gt;zincirTolerans,"ZİNCİR KIRIK","OK")))</f>
        <v/>
      </c>
      <c r="U59" s="18">
        <f>IF($A59="","",1)</f>
        <v/>
      </c>
      <c r="V59" s="18">
        <f>IF($A59="","",$F59*$N59*mbk_durusKatsayi)</f>
        <v/>
      </c>
    </row>
    <row r="60">
      <c r="A60" s="15" t="n"/>
      <c r="B60" s="15" t="n"/>
      <c r="C60" s="64" t="n"/>
      <c r="D60" s="64" t="n"/>
      <c r="E60" s="17" t="n"/>
      <c r="F60" s="17" t="n"/>
      <c r="G60" s="17" t="n"/>
      <c r="H60" s="15" t="n"/>
      <c r="I60" s="15" t="n"/>
      <c r="J60" s="15" t="n"/>
      <c r="K60" s="15" t="n"/>
      <c r="L60" s="15" t="n"/>
      <c r="M60" s="15" t="n"/>
      <c r="N60" s="16" t="n"/>
      <c r="O60" s="18">
        <f>IF($A60="","",$F60)</f>
        <v/>
      </c>
      <c r="P60" s="18">
        <f>IF($A60="","",IF($J60="YAPILDI",0,IF($C60="","",raporTarihi-$C60)))</f>
        <v/>
      </c>
      <c r="Q60" s="18">
        <f>IF($A60="","",IF($P60="","",IF($P60&lt;=mbk_kovaEsik1,"0-7",IF($P60&lt;=mbk_kovaEsik2,"8-30",IF($P60&lt;=mbk_kovaEsik3,"31-60","60+")))))</f>
        <v/>
      </c>
      <c r="R60" s="18">
        <f>IF($A60="","",IF($B60="","YETİM",IF(COUNTIF(tblMakineler[MakineId],$B60)=0,"YETİM","")))</f>
        <v/>
      </c>
      <c r="S60" s="18">
        <f>IF(OR($A60="",$I60=""),"",IF(OR($I60&amp;"|"&amp;$J60="",COUNTIF(ListeIzinliGecis,$I60&amp;"|"&amp;$J60)&gt;0),"","GEÇERSİZ GEÇİŞ"))</f>
        <v/>
      </c>
      <c r="T60" s="18">
        <f>IF($A60="","",IF(OR($E60="",$F60=""),"",IF(ABS($F60-$E60)&gt;zincirTolerans,"ZİNCİR KIRIK","OK")))</f>
        <v/>
      </c>
      <c r="U60" s="18">
        <f>IF($A60="","",1)</f>
        <v/>
      </c>
      <c r="V60" s="18">
        <f>IF($A60="","",$F60*$N60*mbk_durusKatsayi)</f>
        <v/>
      </c>
    </row>
    <row r="61">
      <c r="A61" s="15" t="n"/>
      <c r="B61" s="15" t="n"/>
      <c r="C61" s="64" t="n"/>
      <c r="D61" s="64" t="n"/>
      <c r="E61" s="17" t="n"/>
      <c r="F61" s="17" t="n"/>
      <c r="G61" s="17" t="n"/>
      <c r="H61" s="15" t="n"/>
      <c r="I61" s="15" t="n"/>
      <c r="J61" s="15" t="n"/>
      <c r="K61" s="15" t="n"/>
      <c r="L61" s="15" t="n"/>
      <c r="M61" s="15" t="n"/>
      <c r="N61" s="16" t="n"/>
      <c r="O61" s="18">
        <f>IF($A61="","",$F61)</f>
        <v/>
      </c>
      <c r="P61" s="18">
        <f>IF($A61="","",IF($J61="YAPILDI",0,IF($C61="","",raporTarihi-$C61)))</f>
        <v/>
      </c>
      <c r="Q61" s="18">
        <f>IF($A61="","",IF($P61="","",IF($P61&lt;=mbk_kovaEsik1,"0-7",IF($P61&lt;=mbk_kovaEsik2,"8-30",IF($P61&lt;=mbk_kovaEsik3,"31-60","60+")))))</f>
        <v/>
      </c>
      <c r="R61" s="18">
        <f>IF($A61="","",IF($B61="","YETİM",IF(COUNTIF(tblMakineler[MakineId],$B61)=0,"YETİM","")))</f>
        <v/>
      </c>
      <c r="S61" s="18">
        <f>IF(OR($A61="",$I61=""),"",IF(OR($I61&amp;"|"&amp;$J61="",COUNTIF(ListeIzinliGecis,$I61&amp;"|"&amp;$J61)&gt;0),"","GEÇERSİZ GEÇİŞ"))</f>
        <v/>
      </c>
      <c r="T61" s="18">
        <f>IF($A61="","",IF(OR($E61="",$F61=""),"",IF(ABS($F61-$E61)&gt;zincirTolerans,"ZİNCİR KIRIK","OK")))</f>
        <v/>
      </c>
      <c r="U61" s="18">
        <f>IF($A61="","",1)</f>
        <v/>
      </c>
      <c r="V61" s="18">
        <f>IF($A61="","",$F61*$N61*mbk_durusKatsayi)</f>
        <v/>
      </c>
    </row>
    <row r="62">
      <c r="A62" s="15" t="n"/>
      <c r="B62" s="15" t="n"/>
      <c r="C62" s="64" t="n"/>
      <c r="D62" s="64" t="n"/>
      <c r="E62" s="17" t="n"/>
      <c r="F62" s="17" t="n"/>
      <c r="G62" s="17" t="n"/>
      <c r="H62" s="15" t="n"/>
      <c r="I62" s="15" t="n"/>
      <c r="J62" s="15" t="n"/>
      <c r="K62" s="15" t="n"/>
      <c r="L62" s="15" t="n"/>
      <c r="M62" s="15" t="n"/>
      <c r="N62" s="16" t="n"/>
      <c r="O62" s="18">
        <f>IF($A62="","",$F62)</f>
        <v/>
      </c>
      <c r="P62" s="18">
        <f>IF($A62="","",IF($J62="YAPILDI",0,IF($C62="","",raporTarihi-$C62)))</f>
        <v/>
      </c>
      <c r="Q62" s="18">
        <f>IF($A62="","",IF($P62="","",IF($P62&lt;=mbk_kovaEsik1,"0-7",IF($P62&lt;=mbk_kovaEsik2,"8-30",IF($P62&lt;=mbk_kovaEsik3,"31-60","60+")))))</f>
        <v/>
      </c>
      <c r="R62" s="18">
        <f>IF($A62="","",IF($B62="","YETİM",IF(COUNTIF(tblMakineler[MakineId],$B62)=0,"YETİM","")))</f>
        <v/>
      </c>
      <c r="S62" s="18">
        <f>IF(OR($A62="",$I62=""),"",IF(OR($I62&amp;"|"&amp;$J62="",COUNTIF(ListeIzinliGecis,$I62&amp;"|"&amp;$J62)&gt;0),"","GEÇERSİZ GEÇİŞ"))</f>
        <v/>
      </c>
      <c r="T62" s="18">
        <f>IF($A62="","",IF(OR($E62="",$F62=""),"",IF(ABS($F62-$E62)&gt;zincirTolerans,"ZİNCİR KIRIK","OK")))</f>
        <v/>
      </c>
      <c r="U62" s="18">
        <f>IF($A62="","",1)</f>
        <v/>
      </c>
      <c r="V62" s="18">
        <f>IF($A62="","",$F62*$N62*mbk_durusKatsayi)</f>
        <v/>
      </c>
    </row>
    <row r="63">
      <c r="A63" s="15" t="n"/>
      <c r="B63" s="15" t="n"/>
      <c r="C63" s="64" t="n"/>
      <c r="D63" s="64" t="n"/>
      <c r="E63" s="17" t="n"/>
      <c r="F63" s="17" t="n"/>
      <c r="G63" s="17" t="n"/>
      <c r="H63" s="15" t="n"/>
      <c r="I63" s="15" t="n"/>
      <c r="J63" s="15" t="n"/>
      <c r="K63" s="15" t="n"/>
      <c r="L63" s="15" t="n"/>
      <c r="M63" s="15" t="n"/>
      <c r="N63" s="16" t="n"/>
      <c r="O63" s="18">
        <f>IF($A63="","",$F63)</f>
        <v/>
      </c>
      <c r="P63" s="18">
        <f>IF($A63="","",IF($J63="YAPILDI",0,IF($C63="","",raporTarihi-$C63)))</f>
        <v/>
      </c>
      <c r="Q63" s="18">
        <f>IF($A63="","",IF($P63="","",IF($P63&lt;=mbk_kovaEsik1,"0-7",IF($P63&lt;=mbk_kovaEsik2,"8-30",IF($P63&lt;=mbk_kovaEsik3,"31-60","60+")))))</f>
        <v/>
      </c>
      <c r="R63" s="18">
        <f>IF($A63="","",IF($B63="","YETİM",IF(COUNTIF(tblMakineler[MakineId],$B63)=0,"YETİM","")))</f>
        <v/>
      </c>
      <c r="S63" s="18">
        <f>IF(OR($A63="",$I63=""),"",IF(OR($I63&amp;"|"&amp;$J63="",COUNTIF(ListeIzinliGecis,$I63&amp;"|"&amp;$J63)&gt;0),"","GEÇERSİZ GEÇİŞ"))</f>
        <v/>
      </c>
      <c r="T63" s="18">
        <f>IF($A63="","",IF(OR($E63="",$F63=""),"",IF(ABS($F63-$E63)&gt;zincirTolerans,"ZİNCİR KIRIK","OK")))</f>
        <v/>
      </c>
      <c r="U63" s="18">
        <f>IF($A63="","",1)</f>
        <v/>
      </c>
      <c r="V63" s="18">
        <f>IF($A63="","",$F63*$N63*mbk_durusKatsayi)</f>
        <v/>
      </c>
    </row>
    <row r="64">
      <c r="A64" s="15" t="n"/>
      <c r="B64" s="15" t="n"/>
      <c r="C64" s="64" t="n"/>
      <c r="D64" s="64" t="n"/>
      <c r="E64" s="17" t="n"/>
      <c r="F64" s="17" t="n"/>
      <c r="G64" s="17" t="n"/>
      <c r="H64" s="15" t="n"/>
      <c r="I64" s="15" t="n"/>
      <c r="J64" s="15" t="n"/>
      <c r="K64" s="15" t="n"/>
      <c r="L64" s="15" t="n"/>
      <c r="M64" s="15" t="n"/>
      <c r="N64" s="16" t="n"/>
      <c r="O64" s="18">
        <f>IF($A64="","",$F64)</f>
        <v/>
      </c>
      <c r="P64" s="18">
        <f>IF($A64="","",IF($J64="YAPILDI",0,IF($C64="","",raporTarihi-$C64)))</f>
        <v/>
      </c>
      <c r="Q64" s="18">
        <f>IF($A64="","",IF($P64="","",IF($P64&lt;=mbk_kovaEsik1,"0-7",IF($P64&lt;=mbk_kovaEsik2,"8-30",IF($P64&lt;=mbk_kovaEsik3,"31-60","60+")))))</f>
        <v/>
      </c>
      <c r="R64" s="18">
        <f>IF($A64="","",IF($B64="","YETİM",IF(COUNTIF(tblMakineler[MakineId],$B64)=0,"YETİM","")))</f>
        <v/>
      </c>
      <c r="S64" s="18">
        <f>IF(OR($A64="",$I64=""),"",IF(OR($I64&amp;"|"&amp;$J64="",COUNTIF(ListeIzinliGecis,$I64&amp;"|"&amp;$J64)&gt;0),"","GEÇERSİZ GEÇİŞ"))</f>
        <v/>
      </c>
      <c r="T64" s="18">
        <f>IF($A64="","",IF(OR($E64="",$F64=""),"",IF(ABS($F64-$E64)&gt;zincirTolerans,"ZİNCİR KIRIK","OK")))</f>
        <v/>
      </c>
      <c r="U64" s="18">
        <f>IF($A64="","",1)</f>
        <v/>
      </c>
      <c r="V64" s="18">
        <f>IF($A64="","",$F64*$N64*mbk_durusKatsayi)</f>
        <v/>
      </c>
    </row>
    <row r="65">
      <c r="A65" s="15" t="n"/>
      <c r="B65" s="15" t="n"/>
      <c r="C65" s="64" t="n"/>
      <c r="D65" s="64" t="n"/>
      <c r="E65" s="17" t="n"/>
      <c r="F65" s="17" t="n"/>
      <c r="G65" s="17" t="n"/>
      <c r="H65" s="15" t="n"/>
      <c r="I65" s="15" t="n"/>
      <c r="J65" s="15" t="n"/>
      <c r="K65" s="15" t="n"/>
      <c r="L65" s="15" t="n"/>
      <c r="M65" s="15" t="n"/>
      <c r="N65" s="16" t="n"/>
      <c r="O65" s="18">
        <f>IF($A65="","",$F65)</f>
        <v/>
      </c>
      <c r="P65" s="18">
        <f>IF($A65="","",IF($J65="YAPILDI",0,IF($C65="","",raporTarihi-$C65)))</f>
        <v/>
      </c>
      <c r="Q65" s="18">
        <f>IF($A65="","",IF($P65="","",IF($P65&lt;=mbk_kovaEsik1,"0-7",IF($P65&lt;=mbk_kovaEsik2,"8-30",IF($P65&lt;=mbk_kovaEsik3,"31-60","60+")))))</f>
        <v/>
      </c>
      <c r="R65" s="18">
        <f>IF($A65="","",IF($B65="","YETİM",IF(COUNTIF(tblMakineler[MakineId],$B65)=0,"YETİM","")))</f>
        <v/>
      </c>
      <c r="S65" s="18">
        <f>IF(OR($A65="",$I65=""),"",IF(OR($I65&amp;"|"&amp;$J65="",COUNTIF(ListeIzinliGecis,$I65&amp;"|"&amp;$J65)&gt;0),"","GEÇERSİZ GEÇİŞ"))</f>
        <v/>
      </c>
      <c r="T65" s="18">
        <f>IF($A65="","",IF(OR($E65="",$F65=""),"",IF(ABS($F65-$E65)&gt;zincirTolerans,"ZİNCİR KIRIK","OK")))</f>
        <v/>
      </c>
      <c r="U65" s="18">
        <f>IF($A65="","",1)</f>
        <v/>
      </c>
      <c r="V65" s="18">
        <f>IF($A65="","",$F65*$N65*mbk_durusKatsayi)</f>
        <v/>
      </c>
    </row>
    <row r="66">
      <c r="A66" s="15" t="n"/>
      <c r="B66" s="15" t="n"/>
      <c r="C66" s="64" t="n"/>
      <c r="D66" s="64" t="n"/>
      <c r="E66" s="17" t="n"/>
      <c r="F66" s="17" t="n"/>
      <c r="G66" s="17" t="n"/>
      <c r="H66" s="15" t="n"/>
      <c r="I66" s="15" t="n"/>
      <c r="J66" s="15" t="n"/>
      <c r="K66" s="15" t="n"/>
      <c r="L66" s="15" t="n"/>
      <c r="M66" s="15" t="n"/>
      <c r="N66" s="16" t="n"/>
      <c r="O66" s="18">
        <f>IF($A66="","",$F66)</f>
        <v/>
      </c>
      <c r="P66" s="18">
        <f>IF($A66="","",IF($J66="YAPILDI",0,IF($C66="","",raporTarihi-$C66)))</f>
        <v/>
      </c>
      <c r="Q66" s="18">
        <f>IF($A66="","",IF($P66="","",IF($P66&lt;=mbk_kovaEsik1,"0-7",IF($P66&lt;=mbk_kovaEsik2,"8-30",IF($P66&lt;=mbk_kovaEsik3,"31-60","60+")))))</f>
        <v/>
      </c>
      <c r="R66" s="18">
        <f>IF($A66="","",IF($B66="","YETİM",IF(COUNTIF(tblMakineler[MakineId],$B66)=0,"YETİM","")))</f>
        <v/>
      </c>
      <c r="S66" s="18">
        <f>IF(OR($A66="",$I66=""),"",IF(OR($I66&amp;"|"&amp;$J66="",COUNTIF(ListeIzinliGecis,$I66&amp;"|"&amp;$J66)&gt;0),"","GEÇERSİZ GEÇİŞ"))</f>
        <v/>
      </c>
      <c r="T66" s="18">
        <f>IF($A66="","",IF(OR($E66="",$F66=""),"",IF(ABS($F66-$E66)&gt;zincirTolerans,"ZİNCİR KIRIK","OK")))</f>
        <v/>
      </c>
      <c r="U66" s="18">
        <f>IF($A66="","",1)</f>
        <v/>
      </c>
      <c r="V66" s="18">
        <f>IF($A66="","",$F66*$N66*mbk_durusKatsayi)</f>
        <v/>
      </c>
    </row>
    <row r="67">
      <c r="A67" s="15" t="n"/>
      <c r="B67" s="15" t="n"/>
      <c r="C67" s="64" t="n"/>
      <c r="D67" s="64" t="n"/>
      <c r="E67" s="17" t="n"/>
      <c r="F67" s="17" t="n"/>
      <c r="G67" s="17" t="n"/>
      <c r="H67" s="15" t="n"/>
      <c r="I67" s="15" t="n"/>
      <c r="J67" s="15" t="n"/>
      <c r="K67" s="15" t="n"/>
      <c r="L67" s="15" t="n"/>
      <c r="M67" s="15" t="n"/>
      <c r="N67" s="16" t="n"/>
      <c r="O67" s="18">
        <f>IF($A67="","",$F67)</f>
        <v/>
      </c>
      <c r="P67" s="18">
        <f>IF($A67="","",IF($J67="YAPILDI",0,IF($C67="","",raporTarihi-$C67)))</f>
        <v/>
      </c>
      <c r="Q67" s="18">
        <f>IF($A67="","",IF($P67="","",IF($P67&lt;=mbk_kovaEsik1,"0-7",IF($P67&lt;=mbk_kovaEsik2,"8-30",IF($P67&lt;=mbk_kovaEsik3,"31-60","60+")))))</f>
        <v/>
      </c>
      <c r="R67" s="18">
        <f>IF($A67="","",IF($B67="","YETİM",IF(COUNTIF(tblMakineler[MakineId],$B67)=0,"YETİM","")))</f>
        <v/>
      </c>
      <c r="S67" s="18">
        <f>IF(OR($A67="",$I67=""),"",IF(OR($I67&amp;"|"&amp;$J67="",COUNTIF(ListeIzinliGecis,$I67&amp;"|"&amp;$J67)&gt;0),"","GEÇERSİZ GEÇİŞ"))</f>
        <v/>
      </c>
      <c r="T67" s="18">
        <f>IF($A67="","",IF(OR($E67="",$F67=""),"",IF(ABS($F67-$E67)&gt;zincirTolerans,"ZİNCİR KIRIK","OK")))</f>
        <v/>
      </c>
      <c r="U67" s="18">
        <f>IF($A67="","",1)</f>
        <v/>
      </c>
      <c r="V67" s="18">
        <f>IF($A67="","",$F67*$N67*mbk_durusKatsayi)</f>
        <v/>
      </c>
    </row>
    <row r="68">
      <c r="A68" s="15" t="n"/>
      <c r="B68" s="15" t="n"/>
      <c r="C68" s="64" t="n"/>
      <c r="D68" s="64" t="n"/>
      <c r="E68" s="17" t="n"/>
      <c r="F68" s="17" t="n"/>
      <c r="G68" s="17" t="n"/>
      <c r="H68" s="15" t="n"/>
      <c r="I68" s="15" t="n"/>
      <c r="J68" s="15" t="n"/>
      <c r="K68" s="15" t="n"/>
      <c r="L68" s="15" t="n"/>
      <c r="M68" s="15" t="n"/>
      <c r="N68" s="16" t="n"/>
      <c r="O68" s="18">
        <f>IF($A68="","",$F68)</f>
        <v/>
      </c>
      <c r="P68" s="18">
        <f>IF($A68="","",IF($J68="YAPILDI",0,IF($C68="","",raporTarihi-$C68)))</f>
        <v/>
      </c>
      <c r="Q68" s="18">
        <f>IF($A68="","",IF($P68="","",IF($P68&lt;=mbk_kovaEsik1,"0-7",IF($P68&lt;=mbk_kovaEsik2,"8-30",IF($P68&lt;=mbk_kovaEsik3,"31-60","60+")))))</f>
        <v/>
      </c>
      <c r="R68" s="18">
        <f>IF($A68="","",IF($B68="","YETİM",IF(COUNTIF(tblMakineler[MakineId],$B68)=0,"YETİM","")))</f>
        <v/>
      </c>
      <c r="S68" s="18">
        <f>IF(OR($A68="",$I68=""),"",IF(OR($I68&amp;"|"&amp;$J68="",COUNTIF(ListeIzinliGecis,$I68&amp;"|"&amp;$J68)&gt;0),"","GEÇERSİZ GEÇİŞ"))</f>
        <v/>
      </c>
      <c r="T68" s="18">
        <f>IF($A68="","",IF(OR($E68="",$F68=""),"",IF(ABS($F68-$E68)&gt;zincirTolerans,"ZİNCİR KIRIK","OK")))</f>
        <v/>
      </c>
      <c r="U68" s="18">
        <f>IF($A68="","",1)</f>
        <v/>
      </c>
      <c r="V68" s="18">
        <f>IF($A68="","",$F68*$N68*mbk_durusKatsayi)</f>
        <v/>
      </c>
    </row>
    <row r="69">
      <c r="A69" s="15" t="n"/>
      <c r="B69" s="15" t="n"/>
      <c r="C69" s="64" t="n"/>
      <c r="D69" s="64" t="n"/>
      <c r="E69" s="17" t="n"/>
      <c r="F69" s="17" t="n"/>
      <c r="G69" s="17" t="n"/>
      <c r="H69" s="15" t="n"/>
      <c r="I69" s="15" t="n"/>
      <c r="J69" s="15" t="n"/>
      <c r="K69" s="15" t="n"/>
      <c r="L69" s="15" t="n"/>
      <c r="M69" s="15" t="n"/>
      <c r="N69" s="16" t="n"/>
      <c r="O69" s="18">
        <f>IF($A69="","",$F69)</f>
        <v/>
      </c>
      <c r="P69" s="18">
        <f>IF($A69="","",IF($J69="YAPILDI",0,IF($C69="","",raporTarihi-$C69)))</f>
        <v/>
      </c>
      <c r="Q69" s="18">
        <f>IF($A69="","",IF($P69="","",IF($P69&lt;=mbk_kovaEsik1,"0-7",IF($P69&lt;=mbk_kovaEsik2,"8-30",IF($P69&lt;=mbk_kovaEsik3,"31-60","60+")))))</f>
        <v/>
      </c>
      <c r="R69" s="18">
        <f>IF($A69="","",IF($B69="","YETİM",IF(COUNTIF(tblMakineler[MakineId],$B69)=0,"YETİM","")))</f>
        <v/>
      </c>
      <c r="S69" s="18">
        <f>IF(OR($A69="",$I69=""),"",IF(OR($I69&amp;"|"&amp;$J69="",COUNTIF(ListeIzinliGecis,$I69&amp;"|"&amp;$J69)&gt;0),"","GEÇERSİZ GEÇİŞ"))</f>
        <v/>
      </c>
      <c r="T69" s="18">
        <f>IF($A69="","",IF(OR($E69="",$F69=""),"",IF(ABS($F69-$E69)&gt;zincirTolerans,"ZİNCİR KIRIK","OK")))</f>
        <v/>
      </c>
      <c r="U69" s="18">
        <f>IF($A69="","",1)</f>
        <v/>
      </c>
      <c r="V69" s="18">
        <f>IF($A69="","",$F69*$N69*mbk_durusKatsayi)</f>
        <v/>
      </c>
    </row>
    <row r="70">
      <c r="A70" s="15" t="n"/>
      <c r="B70" s="15" t="n"/>
      <c r="C70" s="64" t="n"/>
      <c r="D70" s="64" t="n"/>
      <c r="E70" s="17" t="n"/>
      <c r="F70" s="17" t="n"/>
      <c r="G70" s="17" t="n"/>
      <c r="H70" s="15" t="n"/>
      <c r="I70" s="15" t="n"/>
      <c r="J70" s="15" t="n"/>
      <c r="K70" s="15" t="n"/>
      <c r="L70" s="15" t="n"/>
      <c r="M70" s="15" t="n"/>
      <c r="N70" s="16" t="n"/>
      <c r="O70" s="18">
        <f>IF($A70="","",$F70)</f>
        <v/>
      </c>
      <c r="P70" s="18">
        <f>IF($A70="","",IF($J70="YAPILDI",0,IF($C70="","",raporTarihi-$C70)))</f>
        <v/>
      </c>
      <c r="Q70" s="18">
        <f>IF($A70="","",IF($P70="","",IF($P70&lt;=mbk_kovaEsik1,"0-7",IF($P70&lt;=mbk_kovaEsik2,"8-30",IF($P70&lt;=mbk_kovaEsik3,"31-60","60+")))))</f>
        <v/>
      </c>
      <c r="R70" s="18">
        <f>IF($A70="","",IF($B70="","YETİM",IF(COUNTIF(tblMakineler[MakineId],$B70)=0,"YETİM","")))</f>
        <v/>
      </c>
      <c r="S70" s="18">
        <f>IF(OR($A70="",$I70=""),"",IF(OR($I70&amp;"|"&amp;$J70="",COUNTIF(ListeIzinliGecis,$I70&amp;"|"&amp;$J70)&gt;0),"","GEÇERSİZ GEÇİŞ"))</f>
        <v/>
      </c>
      <c r="T70" s="18">
        <f>IF($A70="","",IF(OR($E70="",$F70=""),"",IF(ABS($F70-$E70)&gt;zincirTolerans,"ZİNCİR KIRIK","OK")))</f>
        <v/>
      </c>
      <c r="U70" s="18">
        <f>IF($A70="","",1)</f>
        <v/>
      </c>
      <c r="V70" s="18">
        <f>IF($A70="","",$F70*$N70*mbk_durusKatsayi)</f>
        <v/>
      </c>
    </row>
    <row r="71">
      <c r="A71" s="15" t="n"/>
      <c r="B71" s="15" t="n"/>
      <c r="C71" s="64" t="n"/>
      <c r="D71" s="64" t="n"/>
      <c r="E71" s="17" t="n"/>
      <c r="F71" s="17" t="n"/>
      <c r="G71" s="17" t="n"/>
      <c r="H71" s="15" t="n"/>
      <c r="I71" s="15" t="n"/>
      <c r="J71" s="15" t="n"/>
      <c r="K71" s="15" t="n"/>
      <c r="L71" s="15" t="n"/>
      <c r="M71" s="15" t="n"/>
      <c r="N71" s="16" t="n"/>
      <c r="O71" s="18">
        <f>IF($A71="","",$F71)</f>
        <v/>
      </c>
      <c r="P71" s="18">
        <f>IF($A71="","",IF($J71="YAPILDI",0,IF($C71="","",raporTarihi-$C71)))</f>
        <v/>
      </c>
      <c r="Q71" s="18">
        <f>IF($A71="","",IF($P71="","",IF($P71&lt;=mbk_kovaEsik1,"0-7",IF($P71&lt;=mbk_kovaEsik2,"8-30",IF($P71&lt;=mbk_kovaEsik3,"31-60","60+")))))</f>
        <v/>
      </c>
      <c r="R71" s="18">
        <f>IF($A71="","",IF($B71="","YETİM",IF(COUNTIF(tblMakineler[MakineId],$B71)=0,"YETİM","")))</f>
        <v/>
      </c>
      <c r="S71" s="18">
        <f>IF(OR($A71="",$I71=""),"",IF(OR($I71&amp;"|"&amp;$J71="",COUNTIF(ListeIzinliGecis,$I71&amp;"|"&amp;$J71)&gt;0),"","GEÇERSİZ GEÇİŞ"))</f>
        <v/>
      </c>
      <c r="T71" s="18">
        <f>IF($A71="","",IF(OR($E71="",$F71=""),"",IF(ABS($F71-$E71)&gt;zincirTolerans,"ZİNCİR KIRIK","OK")))</f>
        <v/>
      </c>
      <c r="U71" s="18">
        <f>IF($A71="","",1)</f>
        <v/>
      </c>
      <c r="V71" s="18">
        <f>IF($A71="","",$F71*$N71*mbk_durusKatsayi)</f>
        <v/>
      </c>
    </row>
    <row r="72">
      <c r="A72" s="15" t="n"/>
      <c r="B72" s="15" t="n"/>
      <c r="C72" s="64" t="n"/>
      <c r="D72" s="64" t="n"/>
      <c r="E72" s="17" t="n"/>
      <c r="F72" s="17" t="n"/>
      <c r="G72" s="17" t="n"/>
      <c r="H72" s="15" t="n"/>
      <c r="I72" s="15" t="n"/>
      <c r="J72" s="15" t="n"/>
      <c r="K72" s="15" t="n"/>
      <c r="L72" s="15" t="n"/>
      <c r="M72" s="15" t="n"/>
      <c r="N72" s="16" t="n"/>
      <c r="O72" s="18">
        <f>IF($A72="","",$F72)</f>
        <v/>
      </c>
      <c r="P72" s="18">
        <f>IF($A72="","",IF($J72="YAPILDI",0,IF($C72="","",raporTarihi-$C72)))</f>
        <v/>
      </c>
      <c r="Q72" s="18">
        <f>IF($A72="","",IF($P72="","",IF($P72&lt;=mbk_kovaEsik1,"0-7",IF($P72&lt;=mbk_kovaEsik2,"8-30",IF($P72&lt;=mbk_kovaEsik3,"31-60","60+")))))</f>
        <v/>
      </c>
      <c r="R72" s="18">
        <f>IF($A72="","",IF($B72="","YETİM",IF(COUNTIF(tblMakineler[MakineId],$B72)=0,"YETİM","")))</f>
        <v/>
      </c>
      <c r="S72" s="18">
        <f>IF(OR($A72="",$I72=""),"",IF(OR($I72&amp;"|"&amp;$J72="",COUNTIF(ListeIzinliGecis,$I72&amp;"|"&amp;$J72)&gt;0),"","GEÇERSİZ GEÇİŞ"))</f>
        <v/>
      </c>
      <c r="T72" s="18">
        <f>IF($A72="","",IF(OR($E72="",$F72=""),"",IF(ABS($F72-$E72)&gt;zincirTolerans,"ZİNCİR KIRIK","OK")))</f>
        <v/>
      </c>
      <c r="U72" s="18">
        <f>IF($A72="","",1)</f>
        <v/>
      </c>
      <c r="V72" s="18">
        <f>IF($A72="","",$F72*$N72*mbk_durusKatsayi)</f>
        <v/>
      </c>
    </row>
    <row r="73">
      <c r="A73" s="15" t="n"/>
      <c r="B73" s="15" t="n"/>
      <c r="C73" s="64" t="n"/>
      <c r="D73" s="64" t="n"/>
      <c r="E73" s="17" t="n"/>
      <c r="F73" s="17" t="n"/>
      <c r="G73" s="17" t="n"/>
      <c r="H73" s="15" t="n"/>
      <c r="I73" s="15" t="n"/>
      <c r="J73" s="15" t="n"/>
      <c r="K73" s="15" t="n"/>
      <c r="L73" s="15" t="n"/>
      <c r="M73" s="15" t="n"/>
      <c r="N73" s="16" t="n"/>
      <c r="O73" s="18">
        <f>IF($A73="","",$F73)</f>
        <v/>
      </c>
      <c r="P73" s="18">
        <f>IF($A73="","",IF($J73="YAPILDI",0,IF($C73="","",raporTarihi-$C73)))</f>
        <v/>
      </c>
      <c r="Q73" s="18">
        <f>IF($A73="","",IF($P73="","",IF($P73&lt;=mbk_kovaEsik1,"0-7",IF($P73&lt;=mbk_kovaEsik2,"8-30",IF($P73&lt;=mbk_kovaEsik3,"31-60","60+")))))</f>
        <v/>
      </c>
      <c r="R73" s="18">
        <f>IF($A73="","",IF($B73="","YETİM",IF(COUNTIF(tblMakineler[MakineId],$B73)=0,"YETİM","")))</f>
        <v/>
      </c>
      <c r="S73" s="18">
        <f>IF(OR($A73="",$I73=""),"",IF(OR($I73&amp;"|"&amp;$J73="",COUNTIF(ListeIzinliGecis,$I73&amp;"|"&amp;$J73)&gt;0),"","GEÇERSİZ GEÇİŞ"))</f>
        <v/>
      </c>
      <c r="T73" s="18">
        <f>IF($A73="","",IF(OR($E73="",$F73=""),"",IF(ABS($F73-$E73)&gt;zincirTolerans,"ZİNCİR KIRIK","OK")))</f>
        <v/>
      </c>
      <c r="U73" s="18">
        <f>IF($A73="","",1)</f>
        <v/>
      </c>
      <c r="V73" s="18">
        <f>IF($A73="","",$F73*$N73*mbk_durusKatsayi)</f>
        <v/>
      </c>
    </row>
    <row r="74">
      <c r="A74" s="15" t="n"/>
      <c r="B74" s="15" t="n"/>
      <c r="C74" s="64" t="n"/>
      <c r="D74" s="64" t="n"/>
      <c r="E74" s="17" t="n"/>
      <c r="F74" s="17" t="n"/>
      <c r="G74" s="17" t="n"/>
      <c r="H74" s="15" t="n"/>
      <c r="I74" s="15" t="n"/>
      <c r="J74" s="15" t="n"/>
      <c r="K74" s="15" t="n"/>
      <c r="L74" s="15" t="n"/>
      <c r="M74" s="15" t="n"/>
      <c r="N74" s="16" t="n"/>
      <c r="O74" s="18">
        <f>IF($A74="","",$F74)</f>
        <v/>
      </c>
      <c r="P74" s="18">
        <f>IF($A74="","",IF($J74="YAPILDI",0,IF($C74="","",raporTarihi-$C74)))</f>
        <v/>
      </c>
      <c r="Q74" s="18">
        <f>IF($A74="","",IF($P74="","",IF($P74&lt;=mbk_kovaEsik1,"0-7",IF($P74&lt;=mbk_kovaEsik2,"8-30",IF($P74&lt;=mbk_kovaEsik3,"31-60","60+")))))</f>
        <v/>
      </c>
      <c r="R74" s="18">
        <f>IF($A74="","",IF($B74="","YETİM",IF(COUNTIF(tblMakineler[MakineId],$B74)=0,"YETİM","")))</f>
        <v/>
      </c>
      <c r="S74" s="18">
        <f>IF(OR($A74="",$I74=""),"",IF(OR($I74&amp;"|"&amp;$J74="",COUNTIF(ListeIzinliGecis,$I74&amp;"|"&amp;$J74)&gt;0),"","GEÇERSİZ GEÇİŞ"))</f>
        <v/>
      </c>
      <c r="T74" s="18">
        <f>IF($A74="","",IF(OR($E74="",$F74=""),"",IF(ABS($F74-$E74)&gt;zincirTolerans,"ZİNCİR KIRIK","OK")))</f>
        <v/>
      </c>
      <c r="U74" s="18">
        <f>IF($A74="","",1)</f>
        <v/>
      </c>
      <c r="V74" s="18">
        <f>IF($A74="","",$F74*$N74*mbk_durusKatsayi)</f>
        <v/>
      </c>
    </row>
    <row r="75">
      <c r="A75" s="15" t="n"/>
      <c r="B75" s="15" t="n"/>
      <c r="C75" s="64" t="n"/>
      <c r="D75" s="64" t="n"/>
      <c r="E75" s="17" t="n"/>
      <c r="F75" s="17" t="n"/>
      <c r="G75" s="17" t="n"/>
      <c r="H75" s="15" t="n"/>
      <c r="I75" s="15" t="n"/>
      <c r="J75" s="15" t="n"/>
      <c r="K75" s="15" t="n"/>
      <c r="L75" s="15" t="n"/>
      <c r="M75" s="15" t="n"/>
      <c r="N75" s="16" t="n"/>
      <c r="O75" s="18">
        <f>IF($A75="","",$F75)</f>
        <v/>
      </c>
      <c r="P75" s="18">
        <f>IF($A75="","",IF($J75="YAPILDI",0,IF($C75="","",raporTarihi-$C75)))</f>
        <v/>
      </c>
      <c r="Q75" s="18">
        <f>IF($A75="","",IF($P75="","",IF($P75&lt;=mbk_kovaEsik1,"0-7",IF($P75&lt;=mbk_kovaEsik2,"8-30",IF($P75&lt;=mbk_kovaEsik3,"31-60","60+")))))</f>
        <v/>
      </c>
      <c r="R75" s="18">
        <f>IF($A75="","",IF($B75="","YETİM",IF(COUNTIF(tblMakineler[MakineId],$B75)=0,"YETİM","")))</f>
        <v/>
      </c>
      <c r="S75" s="18">
        <f>IF(OR($A75="",$I75=""),"",IF(OR($I75&amp;"|"&amp;$J75="",COUNTIF(ListeIzinliGecis,$I75&amp;"|"&amp;$J75)&gt;0),"","GEÇERSİZ GEÇİŞ"))</f>
        <v/>
      </c>
      <c r="T75" s="18">
        <f>IF($A75="","",IF(OR($E75="",$F75=""),"",IF(ABS($F75-$E75)&gt;zincirTolerans,"ZİNCİR KIRIK","OK")))</f>
        <v/>
      </c>
      <c r="U75" s="18">
        <f>IF($A75="","",1)</f>
        <v/>
      </c>
      <c r="V75" s="18">
        <f>IF($A75="","",$F75*$N75*mbk_durusKatsayi)</f>
        <v/>
      </c>
    </row>
    <row r="76">
      <c r="A76" s="15" t="n"/>
      <c r="B76" s="15" t="n"/>
      <c r="C76" s="64" t="n"/>
      <c r="D76" s="64" t="n"/>
      <c r="E76" s="17" t="n"/>
      <c r="F76" s="17" t="n"/>
      <c r="G76" s="17" t="n"/>
      <c r="H76" s="15" t="n"/>
      <c r="I76" s="15" t="n"/>
      <c r="J76" s="15" t="n"/>
      <c r="K76" s="15" t="n"/>
      <c r="L76" s="15" t="n"/>
      <c r="M76" s="15" t="n"/>
      <c r="N76" s="16" t="n"/>
      <c r="O76" s="18">
        <f>IF($A76="","",$F76)</f>
        <v/>
      </c>
      <c r="P76" s="18">
        <f>IF($A76="","",IF($J76="YAPILDI",0,IF($C76="","",raporTarihi-$C76)))</f>
        <v/>
      </c>
      <c r="Q76" s="18">
        <f>IF($A76="","",IF($P76="","",IF($P76&lt;=mbk_kovaEsik1,"0-7",IF($P76&lt;=mbk_kovaEsik2,"8-30",IF($P76&lt;=mbk_kovaEsik3,"31-60","60+")))))</f>
        <v/>
      </c>
      <c r="R76" s="18">
        <f>IF($A76="","",IF($B76="","YETİM",IF(COUNTIF(tblMakineler[MakineId],$B76)=0,"YETİM","")))</f>
        <v/>
      </c>
      <c r="S76" s="18">
        <f>IF(OR($A76="",$I76=""),"",IF(OR($I76&amp;"|"&amp;$J76="",COUNTIF(ListeIzinliGecis,$I76&amp;"|"&amp;$J76)&gt;0),"","GEÇERSİZ GEÇİŞ"))</f>
        <v/>
      </c>
      <c r="T76" s="18">
        <f>IF($A76="","",IF(OR($E76="",$F76=""),"",IF(ABS($F76-$E76)&gt;zincirTolerans,"ZİNCİR KIRIK","OK")))</f>
        <v/>
      </c>
      <c r="U76" s="18">
        <f>IF($A76="","",1)</f>
        <v/>
      </c>
      <c r="V76" s="18">
        <f>IF($A76="","",$F76*$N76*mbk_durusKatsayi)</f>
        <v/>
      </c>
    </row>
    <row r="77">
      <c r="A77" s="15" t="n"/>
      <c r="B77" s="15" t="n"/>
      <c r="C77" s="64" t="n"/>
      <c r="D77" s="64" t="n"/>
      <c r="E77" s="17" t="n"/>
      <c r="F77" s="17" t="n"/>
      <c r="G77" s="17" t="n"/>
      <c r="H77" s="15" t="n"/>
      <c r="I77" s="15" t="n"/>
      <c r="J77" s="15" t="n"/>
      <c r="K77" s="15" t="n"/>
      <c r="L77" s="15" t="n"/>
      <c r="M77" s="15" t="n"/>
      <c r="N77" s="16" t="n"/>
      <c r="O77" s="18">
        <f>IF($A77="","",$F77)</f>
        <v/>
      </c>
      <c r="P77" s="18">
        <f>IF($A77="","",IF($J77="YAPILDI",0,IF($C77="","",raporTarihi-$C77)))</f>
        <v/>
      </c>
      <c r="Q77" s="18">
        <f>IF($A77="","",IF($P77="","",IF($P77&lt;=mbk_kovaEsik1,"0-7",IF($P77&lt;=mbk_kovaEsik2,"8-30",IF($P77&lt;=mbk_kovaEsik3,"31-60","60+")))))</f>
        <v/>
      </c>
      <c r="R77" s="18">
        <f>IF($A77="","",IF($B77="","YETİM",IF(COUNTIF(tblMakineler[MakineId],$B77)=0,"YETİM","")))</f>
        <v/>
      </c>
      <c r="S77" s="18">
        <f>IF(OR($A77="",$I77=""),"",IF(OR($I77&amp;"|"&amp;$J77="",COUNTIF(ListeIzinliGecis,$I77&amp;"|"&amp;$J77)&gt;0),"","GEÇERSİZ GEÇİŞ"))</f>
        <v/>
      </c>
      <c r="T77" s="18">
        <f>IF($A77="","",IF(OR($E77="",$F77=""),"",IF(ABS($F77-$E77)&gt;zincirTolerans,"ZİNCİR KIRIK","OK")))</f>
        <v/>
      </c>
      <c r="U77" s="18">
        <f>IF($A77="","",1)</f>
        <v/>
      </c>
      <c r="V77" s="18">
        <f>IF($A77="","",$F77*$N77*mbk_durusKatsayi)</f>
        <v/>
      </c>
    </row>
    <row r="78">
      <c r="A78" s="15" t="n"/>
      <c r="B78" s="15" t="n"/>
      <c r="C78" s="64" t="n"/>
      <c r="D78" s="64" t="n"/>
      <c r="E78" s="17" t="n"/>
      <c r="F78" s="17" t="n"/>
      <c r="G78" s="17" t="n"/>
      <c r="H78" s="15" t="n"/>
      <c r="I78" s="15" t="n"/>
      <c r="J78" s="15" t="n"/>
      <c r="K78" s="15" t="n"/>
      <c r="L78" s="15" t="n"/>
      <c r="M78" s="15" t="n"/>
      <c r="N78" s="16" t="n"/>
      <c r="O78" s="18">
        <f>IF($A78="","",$F78)</f>
        <v/>
      </c>
      <c r="P78" s="18">
        <f>IF($A78="","",IF($J78="YAPILDI",0,IF($C78="","",raporTarihi-$C78)))</f>
        <v/>
      </c>
      <c r="Q78" s="18">
        <f>IF($A78="","",IF($P78="","",IF($P78&lt;=mbk_kovaEsik1,"0-7",IF($P78&lt;=mbk_kovaEsik2,"8-30",IF($P78&lt;=mbk_kovaEsik3,"31-60","60+")))))</f>
        <v/>
      </c>
      <c r="R78" s="18">
        <f>IF($A78="","",IF($B78="","YETİM",IF(COUNTIF(tblMakineler[MakineId],$B78)=0,"YETİM","")))</f>
        <v/>
      </c>
      <c r="S78" s="18">
        <f>IF(OR($A78="",$I78=""),"",IF(OR($I78&amp;"|"&amp;$J78="",COUNTIF(ListeIzinliGecis,$I78&amp;"|"&amp;$J78)&gt;0),"","GEÇERSİZ GEÇİŞ"))</f>
        <v/>
      </c>
      <c r="T78" s="18">
        <f>IF($A78="","",IF(OR($E78="",$F78=""),"",IF(ABS($F78-$E78)&gt;zincirTolerans,"ZİNCİR KIRIK","OK")))</f>
        <v/>
      </c>
      <c r="U78" s="18">
        <f>IF($A78="","",1)</f>
        <v/>
      </c>
      <c r="V78" s="18">
        <f>IF($A78="","",$F78*$N78*mbk_durusKatsayi)</f>
        <v/>
      </c>
    </row>
    <row r="79">
      <c r="A79" s="15" t="n"/>
      <c r="B79" s="15" t="n"/>
      <c r="C79" s="64" t="n"/>
      <c r="D79" s="64" t="n"/>
      <c r="E79" s="17" t="n"/>
      <c r="F79" s="17" t="n"/>
      <c r="G79" s="17" t="n"/>
      <c r="H79" s="15" t="n"/>
      <c r="I79" s="15" t="n"/>
      <c r="J79" s="15" t="n"/>
      <c r="K79" s="15" t="n"/>
      <c r="L79" s="15" t="n"/>
      <c r="M79" s="15" t="n"/>
      <c r="N79" s="16" t="n"/>
      <c r="O79" s="18">
        <f>IF($A79="","",$F79)</f>
        <v/>
      </c>
      <c r="P79" s="18">
        <f>IF($A79="","",IF($J79="YAPILDI",0,IF($C79="","",raporTarihi-$C79)))</f>
        <v/>
      </c>
      <c r="Q79" s="18">
        <f>IF($A79="","",IF($P79="","",IF($P79&lt;=mbk_kovaEsik1,"0-7",IF($P79&lt;=mbk_kovaEsik2,"8-30",IF($P79&lt;=mbk_kovaEsik3,"31-60","60+")))))</f>
        <v/>
      </c>
      <c r="R79" s="18">
        <f>IF($A79="","",IF($B79="","YETİM",IF(COUNTIF(tblMakineler[MakineId],$B79)=0,"YETİM","")))</f>
        <v/>
      </c>
      <c r="S79" s="18">
        <f>IF(OR($A79="",$I79=""),"",IF(OR($I79&amp;"|"&amp;$J79="",COUNTIF(ListeIzinliGecis,$I79&amp;"|"&amp;$J79)&gt;0),"","GEÇERSİZ GEÇİŞ"))</f>
        <v/>
      </c>
      <c r="T79" s="18">
        <f>IF($A79="","",IF(OR($E79="",$F79=""),"",IF(ABS($F79-$E79)&gt;zincirTolerans,"ZİNCİR KIRIK","OK")))</f>
        <v/>
      </c>
      <c r="U79" s="18">
        <f>IF($A79="","",1)</f>
        <v/>
      </c>
      <c r="V79" s="18">
        <f>IF($A79="","",$F79*$N79*mbk_durusKatsayi)</f>
        <v/>
      </c>
    </row>
    <row r="80">
      <c r="A80" s="15" t="n"/>
      <c r="B80" s="15" t="n"/>
      <c r="C80" s="64" t="n"/>
      <c r="D80" s="64" t="n"/>
      <c r="E80" s="17" t="n"/>
      <c r="F80" s="17" t="n"/>
      <c r="G80" s="17" t="n"/>
      <c r="H80" s="15" t="n"/>
      <c r="I80" s="15" t="n"/>
      <c r="J80" s="15" t="n"/>
      <c r="K80" s="15" t="n"/>
      <c r="L80" s="15" t="n"/>
      <c r="M80" s="15" t="n"/>
      <c r="N80" s="16" t="n"/>
      <c r="O80" s="18">
        <f>IF($A80="","",$F80)</f>
        <v/>
      </c>
      <c r="P80" s="18">
        <f>IF($A80="","",IF($J80="YAPILDI",0,IF($C80="","",raporTarihi-$C80)))</f>
        <v/>
      </c>
      <c r="Q80" s="18">
        <f>IF($A80="","",IF($P80="","",IF($P80&lt;=mbk_kovaEsik1,"0-7",IF($P80&lt;=mbk_kovaEsik2,"8-30",IF($P80&lt;=mbk_kovaEsik3,"31-60","60+")))))</f>
        <v/>
      </c>
      <c r="R80" s="18">
        <f>IF($A80="","",IF($B80="","YETİM",IF(COUNTIF(tblMakineler[MakineId],$B80)=0,"YETİM","")))</f>
        <v/>
      </c>
      <c r="S80" s="18">
        <f>IF(OR($A80="",$I80=""),"",IF(OR($I80&amp;"|"&amp;$J80="",COUNTIF(ListeIzinliGecis,$I80&amp;"|"&amp;$J80)&gt;0),"","GEÇERSİZ GEÇİŞ"))</f>
        <v/>
      </c>
      <c r="T80" s="18">
        <f>IF($A80="","",IF(OR($E80="",$F80=""),"",IF(ABS($F80-$E80)&gt;zincirTolerans,"ZİNCİR KIRIK","OK")))</f>
        <v/>
      </c>
      <c r="U80" s="18">
        <f>IF($A80="","",1)</f>
        <v/>
      </c>
      <c r="V80" s="18">
        <f>IF($A80="","",$F80*$N80*mbk_durusKatsayi)</f>
        <v/>
      </c>
    </row>
    <row r="81">
      <c r="A81" s="15" t="n"/>
      <c r="B81" s="15" t="n"/>
      <c r="C81" s="64" t="n"/>
      <c r="D81" s="64" t="n"/>
      <c r="E81" s="17" t="n"/>
      <c r="F81" s="17" t="n"/>
      <c r="G81" s="17" t="n"/>
      <c r="H81" s="15" t="n"/>
      <c r="I81" s="15" t="n"/>
      <c r="J81" s="15" t="n"/>
      <c r="K81" s="15" t="n"/>
      <c r="L81" s="15" t="n"/>
      <c r="M81" s="15" t="n"/>
      <c r="N81" s="16" t="n"/>
      <c r="O81" s="18">
        <f>IF($A81="","",$F81)</f>
        <v/>
      </c>
      <c r="P81" s="18">
        <f>IF($A81="","",IF($J81="YAPILDI",0,IF($C81="","",raporTarihi-$C81)))</f>
        <v/>
      </c>
      <c r="Q81" s="18">
        <f>IF($A81="","",IF($P81="","",IF($P81&lt;=mbk_kovaEsik1,"0-7",IF($P81&lt;=mbk_kovaEsik2,"8-30",IF($P81&lt;=mbk_kovaEsik3,"31-60","60+")))))</f>
        <v/>
      </c>
      <c r="R81" s="18">
        <f>IF($A81="","",IF($B81="","YETİM",IF(COUNTIF(tblMakineler[MakineId],$B81)=0,"YETİM","")))</f>
        <v/>
      </c>
      <c r="S81" s="18">
        <f>IF(OR($A81="",$I81=""),"",IF(OR($I81&amp;"|"&amp;$J81="",COUNTIF(ListeIzinliGecis,$I81&amp;"|"&amp;$J81)&gt;0),"","GEÇERSİZ GEÇİŞ"))</f>
        <v/>
      </c>
      <c r="T81" s="18">
        <f>IF($A81="","",IF(OR($E81="",$F81=""),"",IF(ABS($F81-$E81)&gt;zincirTolerans,"ZİNCİR KIRIK","OK")))</f>
        <v/>
      </c>
      <c r="U81" s="18">
        <f>IF($A81="","",1)</f>
        <v/>
      </c>
      <c r="V81" s="18">
        <f>IF($A81="","",$F81*$N81*mbk_durusKatsayi)</f>
        <v/>
      </c>
    </row>
    <row r="82">
      <c r="A82" s="15" t="n"/>
      <c r="B82" s="15" t="n"/>
      <c r="C82" s="64" t="n"/>
      <c r="D82" s="64" t="n"/>
      <c r="E82" s="17" t="n"/>
      <c r="F82" s="17" t="n"/>
      <c r="G82" s="17" t="n"/>
      <c r="H82" s="15" t="n"/>
      <c r="I82" s="15" t="n"/>
      <c r="J82" s="15" t="n"/>
      <c r="K82" s="15" t="n"/>
      <c r="L82" s="15" t="n"/>
      <c r="M82" s="15" t="n"/>
      <c r="N82" s="16" t="n"/>
      <c r="O82" s="18">
        <f>IF($A82="","",$F82)</f>
        <v/>
      </c>
      <c r="P82" s="18">
        <f>IF($A82="","",IF($J82="YAPILDI",0,IF($C82="","",raporTarihi-$C82)))</f>
        <v/>
      </c>
      <c r="Q82" s="18">
        <f>IF($A82="","",IF($P82="","",IF($P82&lt;=mbk_kovaEsik1,"0-7",IF($P82&lt;=mbk_kovaEsik2,"8-30",IF($P82&lt;=mbk_kovaEsik3,"31-60","60+")))))</f>
        <v/>
      </c>
      <c r="R82" s="18">
        <f>IF($A82="","",IF($B82="","YETİM",IF(COUNTIF(tblMakineler[MakineId],$B82)=0,"YETİM","")))</f>
        <v/>
      </c>
      <c r="S82" s="18">
        <f>IF(OR($A82="",$I82=""),"",IF(OR($I82&amp;"|"&amp;$J82="",COUNTIF(ListeIzinliGecis,$I82&amp;"|"&amp;$J82)&gt;0),"","GEÇERSİZ GEÇİŞ"))</f>
        <v/>
      </c>
      <c r="T82" s="18">
        <f>IF($A82="","",IF(OR($E82="",$F82=""),"",IF(ABS($F82-$E82)&gt;zincirTolerans,"ZİNCİR KIRIK","OK")))</f>
        <v/>
      </c>
      <c r="U82" s="18">
        <f>IF($A82="","",1)</f>
        <v/>
      </c>
      <c r="V82" s="18">
        <f>IF($A82="","",$F82*$N82*mbk_durusKatsayi)</f>
        <v/>
      </c>
    </row>
    <row r="83">
      <c r="A83" s="15" t="n"/>
      <c r="B83" s="15" t="n"/>
      <c r="C83" s="64" t="n"/>
      <c r="D83" s="64" t="n"/>
      <c r="E83" s="17" t="n"/>
      <c r="F83" s="17" t="n"/>
      <c r="G83" s="17" t="n"/>
      <c r="H83" s="15" t="n"/>
      <c r="I83" s="15" t="n"/>
      <c r="J83" s="15" t="n"/>
      <c r="K83" s="15" t="n"/>
      <c r="L83" s="15" t="n"/>
      <c r="M83" s="15" t="n"/>
      <c r="N83" s="16" t="n"/>
      <c r="O83" s="18">
        <f>IF($A83="","",$F83)</f>
        <v/>
      </c>
      <c r="P83" s="18">
        <f>IF($A83="","",IF($J83="YAPILDI",0,IF($C83="","",raporTarihi-$C83)))</f>
        <v/>
      </c>
      <c r="Q83" s="18">
        <f>IF($A83="","",IF($P83="","",IF($P83&lt;=mbk_kovaEsik1,"0-7",IF($P83&lt;=mbk_kovaEsik2,"8-30",IF($P83&lt;=mbk_kovaEsik3,"31-60","60+")))))</f>
        <v/>
      </c>
      <c r="R83" s="18">
        <f>IF($A83="","",IF($B83="","YETİM",IF(COUNTIF(tblMakineler[MakineId],$B83)=0,"YETİM","")))</f>
        <v/>
      </c>
      <c r="S83" s="18">
        <f>IF(OR($A83="",$I83=""),"",IF(OR($I83&amp;"|"&amp;$J83="",COUNTIF(ListeIzinliGecis,$I83&amp;"|"&amp;$J83)&gt;0),"","GEÇERSİZ GEÇİŞ"))</f>
        <v/>
      </c>
      <c r="T83" s="18">
        <f>IF($A83="","",IF(OR($E83="",$F83=""),"",IF(ABS($F83-$E83)&gt;zincirTolerans,"ZİNCİR KIRIK","OK")))</f>
        <v/>
      </c>
      <c r="U83" s="18">
        <f>IF($A83="","",1)</f>
        <v/>
      </c>
      <c r="V83" s="18">
        <f>IF($A83="","",$F83*$N83*mbk_durusKatsayi)</f>
        <v/>
      </c>
    </row>
    <row r="84">
      <c r="A84" s="15" t="n"/>
      <c r="B84" s="15" t="n"/>
      <c r="C84" s="64" t="n"/>
      <c r="D84" s="64" t="n"/>
      <c r="E84" s="17" t="n"/>
      <c r="F84" s="17" t="n"/>
      <c r="G84" s="17" t="n"/>
      <c r="H84" s="15" t="n"/>
      <c r="I84" s="15" t="n"/>
      <c r="J84" s="15" t="n"/>
      <c r="K84" s="15" t="n"/>
      <c r="L84" s="15" t="n"/>
      <c r="M84" s="15" t="n"/>
      <c r="N84" s="16" t="n"/>
      <c r="O84" s="18">
        <f>IF($A84="","",$F84)</f>
        <v/>
      </c>
      <c r="P84" s="18">
        <f>IF($A84="","",IF($J84="YAPILDI",0,IF($C84="","",raporTarihi-$C84)))</f>
        <v/>
      </c>
      <c r="Q84" s="18">
        <f>IF($A84="","",IF($P84="","",IF($P84&lt;=mbk_kovaEsik1,"0-7",IF($P84&lt;=mbk_kovaEsik2,"8-30",IF($P84&lt;=mbk_kovaEsik3,"31-60","60+")))))</f>
        <v/>
      </c>
      <c r="R84" s="18">
        <f>IF($A84="","",IF($B84="","YETİM",IF(COUNTIF(tblMakineler[MakineId],$B84)=0,"YETİM","")))</f>
        <v/>
      </c>
      <c r="S84" s="18">
        <f>IF(OR($A84="",$I84=""),"",IF(OR($I84&amp;"|"&amp;$J84="",COUNTIF(ListeIzinliGecis,$I84&amp;"|"&amp;$J84)&gt;0),"","GEÇERSİZ GEÇİŞ"))</f>
        <v/>
      </c>
      <c r="T84" s="18">
        <f>IF($A84="","",IF(OR($E84="",$F84=""),"",IF(ABS($F84-$E84)&gt;zincirTolerans,"ZİNCİR KIRIK","OK")))</f>
        <v/>
      </c>
      <c r="U84" s="18">
        <f>IF($A84="","",1)</f>
        <v/>
      </c>
      <c r="V84" s="18">
        <f>IF($A84="","",$F84*$N84*mbk_durusKatsayi)</f>
        <v/>
      </c>
    </row>
    <row r="85">
      <c r="A85" s="15" t="n"/>
      <c r="B85" s="15" t="n"/>
      <c r="C85" s="64" t="n"/>
      <c r="D85" s="64" t="n"/>
      <c r="E85" s="17" t="n"/>
      <c r="F85" s="17" t="n"/>
      <c r="G85" s="17" t="n"/>
      <c r="H85" s="15" t="n"/>
      <c r="I85" s="15" t="n"/>
      <c r="J85" s="15" t="n"/>
      <c r="K85" s="15" t="n"/>
      <c r="L85" s="15" t="n"/>
      <c r="M85" s="15" t="n"/>
      <c r="N85" s="16" t="n"/>
      <c r="O85" s="18">
        <f>IF($A85="","",$F85)</f>
        <v/>
      </c>
      <c r="P85" s="18">
        <f>IF($A85="","",IF($J85="YAPILDI",0,IF($C85="","",raporTarihi-$C85)))</f>
        <v/>
      </c>
      <c r="Q85" s="18">
        <f>IF($A85="","",IF($P85="","",IF($P85&lt;=mbk_kovaEsik1,"0-7",IF($P85&lt;=mbk_kovaEsik2,"8-30",IF($P85&lt;=mbk_kovaEsik3,"31-60","60+")))))</f>
        <v/>
      </c>
      <c r="R85" s="18">
        <f>IF($A85="","",IF($B85="","YETİM",IF(COUNTIF(tblMakineler[MakineId],$B85)=0,"YETİM","")))</f>
        <v/>
      </c>
      <c r="S85" s="18">
        <f>IF(OR($A85="",$I85=""),"",IF(OR($I85&amp;"|"&amp;$J85="",COUNTIF(ListeIzinliGecis,$I85&amp;"|"&amp;$J85)&gt;0),"","GEÇERSİZ GEÇİŞ"))</f>
        <v/>
      </c>
      <c r="T85" s="18">
        <f>IF($A85="","",IF(OR($E85="",$F85=""),"",IF(ABS($F85-$E85)&gt;zincirTolerans,"ZİNCİR KIRIK","OK")))</f>
        <v/>
      </c>
      <c r="U85" s="18">
        <f>IF($A85="","",1)</f>
        <v/>
      </c>
      <c r="V85" s="18">
        <f>IF($A85="","",$F85*$N85*mbk_durusKatsayi)</f>
        <v/>
      </c>
    </row>
    <row r="86">
      <c r="A86" s="15" t="n"/>
      <c r="B86" s="15" t="n"/>
      <c r="C86" s="64" t="n"/>
      <c r="D86" s="64" t="n"/>
      <c r="E86" s="17" t="n"/>
      <c r="F86" s="17" t="n"/>
      <c r="G86" s="17" t="n"/>
      <c r="H86" s="15" t="n"/>
      <c r="I86" s="15" t="n"/>
      <c r="J86" s="15" t="n"/>
      <c r="K86" s="15" t="n"/>
      <c r="L86" s="15" t="n"/>
      <c r="M86" s="15" t="n"/>
      <c r="N86" s="16" t="n"/>
      <c r="O86" s="18">
        <f>IF($A86="","",$F86)</f>
        <v/>
      </c>
      <c r="P86" s="18">
        <f>IF($A86="","",IF($J86="YAPILDI",0,IF($C86="","",raporTarihi-$C86)))</f>
        <v/>
      </c>
      <c r="Q86" s="18">
        <f>IF($A86="","",IF($P86="","",IF($P86&lt;=mbk_kovaEsik1,"0-7",IF($P86&lt;=mbk_kovaEsik2,"8-30",IF($P86&lt;=mbk_kovaEsik3,"31-60","60+")))))</f>
        <v/>
      </c>
      <c r="R86" s="18">
        <f>IF($A86="","",IF($B86="","YETİM",IF(COUNTIF(tblMakineler[MakineId],$B86)=0,"YETİM","")))</f>
        <v/>
      </c>
      <c r="S86" s="18">
        <f>IF(OR($A86="",$I86=""),"",IF(OR($I86&amp;"|"&amp;$J86="",COUNTIF(ListeIzinliGecis,$I86&amp;"|"&amp;$J86)&gt;0),"","GEÇERSİZ GEÇİŞ"))</f>
        <v/>
      </c>
      <c r="T86" s="18">
        <f>IF($A86="","",IF(OR($E86="",$F86=""),"",IF(ABS($F86-$E86)&gt;zincirTolerans,"ZİNCİR KIRIK","OK")))</f>
        <v/>
      </c>
      <c r="U86" s="18">
        <f>IF($A86="","",1)</f>
        <v/>
      </c>
      <c r="V86" s="18">
        <f>IF($A86="","",$F86*$N86*mbk_durusKatsayi)</f>
        <v/>
      </c>
    </row>
    <row r="87">
      <c r="A87" s="15" t="n"/>
      <c r="B87" s="15" t="n"/>
      <c r="C87" s="64" t="n"/>
      <c r="D87" s="64" t="n"/>
      <c r="E87" s="17" t="n"/>
      <c r="F87" s="17" t="n"/>
      <c r="G87" s="17" t="n"/>
      <c r="H87" s="15" t="n"/>
      <c r="I87" s="15" t="n"/>
      <c r="J87" s="15" t="n"/>
      <c r="K87" s="15" t="n"/>
      <c r="L87" s="15" t="n"/>
      <c r="M87" s="15" t="n"/>
      <c r="N87" s="16" t="n"/>
      <c r="O87" s="18">
        <f>IF($A87="","",$F87)</f>
        <v/>
      </c>
      <c r="P87" s="18">
        <f>IF($A87="","",IF($J87="YAPILDI",0,IF($C87="","",raporTarihi-$C87)))</f>
        <v/>
      </c>
      <c r="Q87" s="18">
        <f>IF($A87="","",IF($P87="","",IF($P87&lt;=mbk_kovaEsik1,"0-7",IF($P87&lt;=mbk_kovaEsik2,"8-30",IF($P87&lt;=mbk_kovaEsik3,"31-60","60+")))))</f>
        <v/>
      </c>
      <c r="R87" s="18">
        <f>IF($A87="","",IF($B87="","YETİM",IF(COUNTIF(tblMakineler[MakineId],$B87)=0,"YETİM","")))</f>
        <v/>
      </c>
      <c r="S87" s="18">
        <f>IF(OR($A87="",$I87=""),"",IF(OR($I87&amp;"|"&amp;$J87="",COUNTIF(ListeIzinliGecis,$I87&amp;"|"&amp;$J87)&gt;0),"","GEÇERSİZ GEÇİŞ"))</f>
        <v/>
      </c>
      <c r="T87" s="18">
        <f>IF($A87="","",IF(OR($E87="",$F87=""),"",IF(ABS($F87-$E87)&gt;zincirTolerans,"ZİNCİR KIRIK","OK")))</f>
        <v/>
      </c>
      <c r="U87" s="18">
        <f>IF($A87="","",1)</f>
        <v/>
      </c>
      <c r="V87" s="18">
        <f>IF($A87="","",$F87*$N87*mbk_durusKatsayi)</f>
        <v/>
      </c>
    </row>
    <row r="88">
      <c r="A88" s="15" t="n"/>
      <c r="B88" s="15" t="n"/>
      <c r="C88" s="64" t="n"/>
      <c r="D88" s="64" t="n"/>
      <c r="E88" s="17" t="n"/>
      <c r="F88" s="17" t="n"/>
      <c r="G88" s="17" t="n"/>
      <c r="H88" s="15" t="n"/>
      <c r="I88" s="15" t="n"/>
      <c r="J88" s="15" t="n"/>
      <c r="K88" s="15" t="n"/>
      <c r="L88" s="15" t="n"/>
      <c r="M88" s="15" t="n"/>
      <c r="N88" s="16" t="n"/>
      <c r="O88" s="18">
        <f>IF($A88="","",$F88)</f>
        <v/>
      </c>
      <c r="P88" s="18">
        <f>IF($A88="","",IF($J88="YAPILDI",0,IF($C88="","",raporTarihi-$C88)))</f>
        <v/>
      </c>
      <c r="Q88" s="18">
        <f>IF($A88="","",IF($P88="","",IF($P88&lt;=mbk_kovaEsik1,"0-7",IF($P88&lt;=mbk_kovaEsik2,"8-30",IF($P88&lt;=mbk_kovaEsik3,"31-60","60+")))))</f>
        <v/>
      </c>
      <c r="R88" s="18">
        <f>IF($A88="","",IF($B88="","YETİM",IF(COUNTIF(tblMakineler[MakineId],$B88)=0,"YETİM","")))</f>
        <v/>
      </c>
      <c r="S88" s="18">
        <f>IF(OR($A88="",$I88=""),"",IF(OR($I88&amp;"|"&amp;$J88="",COUNTIF(ListeIzinliGecis,$I88&amp;"|"&amp;$J88)&gt;0),"","GEÇERSİZ GEÇİŞ"))</f>
        <v/>
      </c>
      <c r="T88" s="18">
        <f>IF($A88="","",IF(OR($E88="",$F88=""),"",IF(ABS($F88-$E88)&gt;zincirTolerans,"ZİNCİR KIRIK","OK")))</f>
        <v/>
      </c>
      <c r="U88" s="18">
        <f>IF($A88="","",1)</f>
        <v/>
      </c>
      <c r="V88" s="18">
        <f>IF($A88="","",$F88*$N88*mbk_durusKatsayi)</f>
        <v/>
      </c>
    </row>
    <row r="89">
      <c r="A89" s="15" t="n"/>
      <c r="B89" s="15" t="n"/>
      <c r="C89" s="64" t="n"/>
      <c r="D89" s="64" t="n"/>
      <c r="E89" s="17" t="n"/>
      <c r="F89" s="17" t="n"/>
      <c r="G89" s="17" t="n"/>
      <c r="H89" s="15" t="n"/>
      <c r="I89" s="15" t="n"/>
      <c r="J89" s="15" t="n"/>
      <c r="K89" s="15" t="n"/>
      <c r="L89" s="15" t="n"/>
      <c r="M89" s="15" t="n"/>
      <c r="N89" s="16" t="n"/>
      <c r="O89" s="18">
        <f>IF($A89="","",$F89)</f>
        <v/>
      </c>
      <c r="P89" s="18">
        <f>IF($A89="","",IF($J89="YAPILDI",0,IF($C89="","",raporTarihi-$C89)))</f>
        <v/>
      </c>
      <c r="Q89" s="18">
        <f>IF($A89="","",IF($P89="","",IF($P89&lt;=mbk_kovaEsik1,"0-7",IF($P89&lt;=mbk_kovaEsik2,"8-30",IF($P89&lt;=mbk_kovaEsik3,"31-60","60+")))))</f>
        <v/>
      </c>
      <c r="R89" s="18">
        <f>IF($A89="","",IF($B89="","YETİM",IF(COUNTIF(tblMakineler[MakineId],$B89)=0,"YETİM","")))</f>
        <v/>
      </c>
      <c r="S89" s="18">
        <f>IF(OR($A89="",$I89=""),"",IF(OR($I89&amp;"|"&amp;$J89="",COUNTIF(ListeIzinliGecis,$I89&amp;"|"&amp;$J89)&gt;0),"","GEÇERSİZ GEÇİŞ"))</f>
        <v/>
      </c>
      <c r="T89" s="18">
        <f>IF($A89="","",IF(OR($E89="",$F89=""),"",IF(ABS($F89-$E89)&gt;zincirTolerans,"ZİNCİR KIRIK","OK")))</f>
        <v/>
      </c>
      <c r="U89" s="18">
        <f>IF($A89="","",1)</f>
        <v/>
      </c>
      <c r="V89" s="18">
        <f>IF($A89="","",$F89*$N89*mbk_durusKatsayi)</f>
        <v/>
      </c>
    </row>
    <row r="90">
      <c r="A90" s="15" t="n"/>
      <c r="B90" s="15" t="n"/>
      <c r="C90" s="64" t="n"/>
      <c r="D90" s="64" t="n"/>
      <c r="E90" s="17" t="n"/>
      <c r="F90" s="17" t="n"/>
      <c r="G90" s="17" t="n"/>
      <c r="H90" s="15" t="n"/>
      <c r="I90" s="15" t="n"/>
      <c r="J90" s="15" t="n"/>
      <c r="K90" s="15" t="n"/>
      <c r="L90" s="15" t="n"/>
      <c r="M90" s="15" t="n"/>
      <c r="N90" s="16" t="n"/>
      <c r="O90" s="18">
        <f>IF($A90="","",$F90)</f>
        <v/>
      </c>
      <c r="P90" s="18">
        <f>IF($A90="","",IF($J90="YAPILDI",0,IF($C90="","",raporTarihi-$C90)))</f>
        <v/>
      </c>
      <c r="Q90" s="18">
        <f>IF($A90="","",IF($P90="","",IF($P90&lt;=mbk_kovaEsik1,"0-7",IF($P90&lt;=mbk_kovaEsik2,"8-30",IF($P90&lt;=mbk_kovaEsik3,"31-60","60+")))))</f>
        <v/>
      </c>
      <c r="R90" s="18">
        <f>IF($A90="","",IF($B90="","YETİM",IF(COUNTIF(tblMakineler[MakineId],$B90)=0,"YETİM","")))</f>
        <v/>
      </c>
      <c r="S90" s="18">
        <f>IF(OR($A90="",$I90=""),"",IF(OR($I90&amp;"|"&amp;$J90="",COUNTIF(ListeIzinliGecis,$I90&amp;"|"&amp;$J90)&gt;0),"","GEÇERSİZ GEÇİŞ"))</f>
        <v/>
      </c>
      <c r="T90" s="18">
        <f>IF($A90="","",IF(OR($E90="",$F90=""),"",IF(ABS($F90-$E90)&gt;zincirTolerans,"ZİNCİR KIRIK","OK")))</f>
        <v/>
      </c>
      <c r="U90" s="18">
        <f>IF($A90="","",1)</f>
        <v/>
      </c>
      <c r="V90" s="18">
        <f>IF($A90="","",$F90*$N90*mbk_durusKatsayi)</f>
        <v/>
      </c>
    </row>
    <row r="91">
      <c r="A91" s="15" t="n"/>
      <c r="B91" s="15" t="n"/>
      <c r="C91" s="64" t="n"/>
      <c r="D91" s="64" t="n"/>
      <c r="E91" s="17" t="n"/>
      <c r="F91" s="17" t="n"/>
      <c r="G91" s="17" t="n"/>
      <c r="H91" s="15" t="n"/>
      <c r="I91" s="15" t="n"/>
      <c r="J91" s="15" t="n"/>
      <c r="K91" s="15" t="n"/>
      <c r="L91" s="15" t="n"/>
      <c r="M91" s="15" t="n"/>
      <c r="N91" s="16" t="n"/>
      <c r="O91" s="18">
        <f>IF($A91="","",$F91)</f>
        <v/>
      </c>
      <c r="P91" s="18">
        <f>IF($A91="","",IF($J91="YAPILDI",0,IF($C91="","",raporTarihi-$C91)))</f>
        <v/>
      </c>
      <c r="Q91" s="18">
        <f>IF($A91="","",IF($P91="","",IF($P91&lt;=mbk_kovaEsik1,"0-7",IF($P91&lt;=mbk_kovaEsik2,"8-30",IF($P91&lt;=mbk_kovaEsik3,"31-60","60+")))))</f>
        <v/>
      </c>
      <c r="R91" s="18">
        <f>IF($A91="","",IF($B91="","YETİM",IF(COUNTIF(tblMakineler[MakineId],$B91)=0,"YETİM","")))</f>
        <v/>
      </c>
      <c r="S91" s="18">
        <f>IF(OR($A91="",$I91=""),"",IF(OR($I91&amp;"|"&amp;$J91="",COUNTIF(ListeIzinliGecis,$I91&amp;"|"&amp;$J91)&gt;0),"","GEÇERSİZ GEÇİŞ"))</f>
        <v/>
      </c>
      <c r="T91" s="18">
        <f>IF($A91="","",IF(OR($E91="",$F91=""),"",IF(ABS($F91-$E91)&gt;zincirTolerans,"ZİNCİR KIRIK","OK")))</f>
        <v/>
      </c>
      <c r="U91" s="18">
        <f>IF($A91="","",1)</f>
        <v/>
      </c>
      <c r="V91" s="18">
        <f>IF($A91="","",$F91*$N91*mbk_durusKatsayi)</f>
        <v/>
      </c>
    </row>
    <row r="92">
      <c r="A92" s="15" t="n"/>
      <c r="B92" s="15" t="n"/>
      <c r="C92" s="64" t="n"/>
      <c r="D92" s="64" t="n"/>
      <c r="E92" s="17" t="n"/>
      <c r="F92" s="17" t="n"/>
      <c r="G92" s="17" t="n"/>
      <c r="H92" s="15" t="n"/>
      <c r="I92" s="15" t="n"/>
      <c r="J92" s="15" t="n"/>
      <c r="K92" s="15" t="n"/>
      <c r="L92" s="15" t="n"/>
      <c r="M92" s="15" t="n"/>
      <c r="N92" s="16" t="n"/>
      <c r="O92" s="18">
        <f>IF($A92="","",$F92)</f>
        <v/>
      </c>
      <c r="P92" s="18">
        <f>IF($A92="","",IF($J92="YAPILDI",0,IF($C92="","",raporTarihi-$C92)))</f>
        <v/>
      </c>
      <c r="Q92" s="18">
        <f>IF($A92="","",IF($P92="","",IF($P92&lt;=mbk_kovaEsik1,"0-7",IF($P92&lt;=mbk_kovaEsik2,"8-30",IF($P92&lt;=mbk_kovaEsik3,"31-60","60+")))))</f>
        <v/>
      </c>
      <c r="R92" s="18">
        <f>IF($A92="","",IF($B92="","YETİM",IF(COUNTIF(tblMakineler[MakineId],$B92)=0,"YETİM","")))</f>
        <v/>
      </c>
      <c r="S92" s="18">
        <f>IF(OR($A92="",$I92=""),"",IF(OR($I92&amp;"|"&amp;$J92="",COUNTIF(ListeIzinliGecis,$I92&amp;"|"&amp;$J92)&gt;0),"","GEÇERSİZ GEÇİŞ"))</f>
        <v/>
      </c>
      <c r="T92" s="18">
        <f>IF($A92="","",IF(OR($E92="",$F92=""),"",IF(ABS($F92-$E92)&gt;zincirTolerans,"ZİNCİR KIRIK","OK")))</f>
        <v/>
      </c>
      <c r="U92" s="18">
        <f>IF($A92="","",1)</f>
        <v/>
      </c>
      <c r="V92" s="18">
        <f>IF($A92="","",$F92*$N92*mbk_durusKatsayi)</f>
        <v/>
      </c>
    </row>
    <row r="93">
      <c r="A93" s="15" t="n"/>
      <c r="B93" s="15" t="n"/>
      <c r="C93" s="64" t="n"/>
      <c r="D93" s="64" t="n"/>
      <c r="E93" s="17" t="n"/>
      <c r="F93" s="17" t="n"/>
      <c r="G93" s="17" t="n"/>
      <c r="H93" s="15" t="n"/>
      <c r="I93" s="15" t="n"/>
      <c r="J93" s="15" t="n"/>
      <c r="K93" s="15" t="n"/>
      <c r="L93" s="15" t="n"/>
      <c r="M93" s="15" t="n"/>
      <c r="N93" s="16" t="n"/>
      <c r="O93" s="18">
        <f>IF($A93="","",$F93)</f>
        <v/>
      </c>
      <c r="P93" s="18">
        <f>IF($A93="","",IF($J93="YAPILDI",0,IF($C93="","",raporTarihi-$C93)))</f>
        <v/>
      </c>
      <c r="Q93" s="18">
        <f>IF($A93="","",IF($P93="","",IF($P93&lt;=mbk_kovaEsik1,"0-7",IF($P93&lt;=mbk_kovaEsik2,"8-30",IF($P93&lt;=mbk_kovaEsik3,"31-60","60+")))))</f>
        <v/>
      </c>
      <c r="R93" s="18">
        <f>IF($A93="","",IF($B93="","YETİM",IF(COUNTIF(tblMakineler[MakineId],$B93)=0,"YETİM","")))</f>
        <v/>
      </c>
      <c r="S93" s="18">
        <f>IF(OR($A93="",$I93=""),"",IF(OR($I93&amp;"|"&amp;$J93="",COUNTIF(ListeIzinliGecis,$I93&amp;"|"&amp;$J93)&gt;0),"","GEÇERSİZ GEÇİŞ"))</f>
        <v/>
      </c>
      <c r="T93" s="18">
        <f>IF($A93="","",IF(OR($E93="",$F93=""),"",IF(ABS($F93-$E93)&gt;zincirTolerans,"ZİNCİR KIRIK","OK")))</f>
        <v/>
      </c>
      <c r="U93" s="18">
        <f>IF($A93="","",1)</f>
        <v/>
      </c>
      <c r="V93" s="18">
        <f>IF($A93="","",$F93*$N93*mbk_durusKatsayi)</f>
        <v/>
      </c>
    </row>
    <row r="94">
      <c r="A94" s="15" t="n"/>
      <c r="B94" s="15" t="n"/>
      <c r="C94" s="64" t="n"/>
      <c r="D94" s="64" t="n"/>
      <c r="E94" s="17" t="n"/>
      <c r="F94" s="17" t="n"/>
      <c r="G94" s="17" t="n"/>
      <c r="H94" s="15" t="n"/>
      <c r="I94" s="15" t="n"/>
      <c r="J94" s="15" t="n"/>
      <c r="K94" s="15" t="n"/>
      <c r="L94" s="15" t="n"/>
      <c r="M94" s="15" t="n"/>
      <c r="N94" s="16" t="n"/>
      <c r="O94" s="18">
        <f>IF($A94="","",$F94)</f>
        <v/>
      </c>
      <c r="P94" s="18">
        <f>IF($A94="","",IF($J94="YAPILDI",0,IF($C94="","",raporTarihi-$C94)))</f>
        <v/>
      </c>
      <c r="Q94" s="18">
        <f>IF($A94="","",IF($P94="","",IF($P94&lt;=mbk_kovaEsik1,"0-7",IF($P94&lt;=mbk_kovaEsik2,"8-30",IF($P94&lt;=mbk_kovaEsik3,"31-60","60+")))))</f>
        <v/>
      </c>
      <c r="R94" s="18">
        <f>IF($A94="","",IF($B94="","YETİM",IF(COUNTIF(tblMakineler[MakineId],$B94)=0,"YETİM","")))</f>
        <v/>
      </c>
      <c r="S94" s="18">
        <f>IF(OR($A94="",$I94=""),"",IF(OR($I94&amp;"|"&amp;$J94="",COUNTIF(ListeIzinliGecis,$I94&amp;"|"&amp;$J94)&gt;0),"","GEÇERSİZ GEÇİŞ"))</f>
        <v/>
      </c>
      <c r="T94" s="18">
        <f>IF($A94="","",IF(OR($E94="",$F94=""),"",IF(ABS($F94-$E94)&gt;zincirTolerans,"ZİNCİR KIRIK","OK")))</f>
        <v/>
      </c>
      <c r="U94" s="18">
        <f>IF($A94="","",1)</f>
        <v/>
      </c>
      <c r="V94" s="18">
        <f>IF($A94="","",$F94*$N94*mbk_durusKatsayi)</f>
        <v/>
      </c>
    </row>
    <row r="95">
      <c r="A95" s="15" t="n"/>
      <c r="B95" s="15" t="n"/>
      <c r="C95" s="64" t="n"/>
      <c r="D95" s="64" t="n"/>
      <c r="E95" s="17" t="n"/>
      <c r="F95" s="17" t="n"/>
      <c r="G95" s="17" t="n"/>
      <c r="H95" s="15" t="n"/>
      <c r="I95" s="15" t="n"/>
      <c r="J95" s="15" t="n"/>
      <c r="K95" s="15" t="n"/>
      <c r="L95" s="15" t="n"/>
      <c r="M95" s="15" t="n"/>
      <c r="N95" s="16" t="n"/>
      <c r="O95" s="18">
        <f>IF($A95="","",$F95)</f>
        <v/>
      </c>
      <c r="P95" s="18">
        <f>IF($A95="","",IF($J95="YAPILDI",0,IF($C95="","",raporTarihi-$C95)))</f>
        <v/>
      </c>
      <c r="Q95" s="18">
        <f>IF($A95="","",IF($P95="","",IF($P95&lt;=mbk_kovaEsik1,"0-7",IF($P95&lt;=mbk_kovaEsik2,"8-30",IF($P95&lt;=mbk_kovaEsik3,"31-60","60+")))))</f>
        <v/>
      </c>
      <c r="R95" s="18">
        <f>IF($A95="","",IF($B95="","YETİM",IF(COUNTIF(tblMakineler[MakineId],$B95)=0,"YETİM","")))</f>
        <v/>
      </c>
      <c r="S95" s="18">
        <f>IF(OR($A95="",$I95=""),"",IF(OR($I95&amp;"|"&amp;$J95="",COUNTIF(ListeIzinliGecis,$I95&amp;"|"&amp;$J95)&gt;0),"","GEÇERSİZ GEÇİŞ"))</f>
        <v/>
      </c>
      <c r="T95" s="18">
        <f>IF($A95="","",IF(OR($E95="",$F95=""),"",IF(ABS($F95-$E95)&gt;zincirTolerans,"ZİNCİR KIRIK","OK")))</f>
        <v/>
      </c>
      <c r="U95" s="18">
        <f>IF($A95="","",1)</f>
        <v/>
      </c>
      <c r="V95" s="18">
        <f>IF($A95="","",$F95*$N95*mbk_durusKatsayi)</f>
        <v/>
      </c>
    </row>
    <row r="96">
      <c r="A96" s="15" t="n"/>
      <c r="B96" s="15" t="n"/>
      <c r="C96" s="64" t="n"/>
      <c r="D96" s="64" t="n"/>
      <c r="E96" s="17" t="n"/>
      <c r="F96" s="17" t="n"/>
      <c r="G96" s="17" t="n"/>
      <c r="H96" s="15" t="n"/>
      <c r="I96" s="15" t="n"/>
      <c r="J96" s="15" t="n"/>
      <c r="K96" s="15" t="n"/>
      <c r="L96" s="15" t="n"/>
      <c r="M96" s="15" t="n"/>
      <c r="N96" s="16" t="n"/>
      <c r="O96" s="18">
        <f>IF($A96="","",$F96)</f>
        <v/>
      </c>
      <c r="P96" s="18">
        <f>IF($A96="","",IF($J96="YAPILDI",0,IF($C96="","",raporTarihi-$C96)))</f>
        <v/>
      </c>
      <c r="Q96" s="18">
        <f>IF($A96="","",IF($P96="","",IF($P96&lt;=mbk_kovaEsik1,"0-7",IF($P96&lt;=mbk_kovaEsik2,"8-30",IF($P96&lt;=mbk_kovaEsik3,"31-60","60+")))))</f>
        <v/>
      </c>
      <c r="R96" s="18">
        <f>IF($A96="","",IF($B96="","YETİM",IF(COUNTIF(tblMakineler[MakineId],$B96)=0,"YETİM","")))</f>
        <v/>
      </c>
      <c r="S96" s="18">
        <f>IF(OR($A96="",$I96=""),"",IF(OR($I96&amp;"|"&amp;$J96="",COUNTIF(ListeIzinliGecis,$I96&amp;"|"&amp;$J96)&gt;0),"","GEÇERSİZ GEÇİŞ"))</f>
        <v/>
      </c>
      <c r="T96" s="18">
        <f>IF($A96="","",IF(OR($E96="",$F96=""),"",IF(ABS($F96-$E96)&gt;zincirTolerans,"ZİNCİR KIRIK","OK")))</f>
        <v/>
      </c>
      <c r="U96" s="18">
        <f>IF($A96="","",1)</f>
        <v/>
      </c>
      <c r="V96" s="18">
        <f>IF($A96="","",$F96*$N96*mbk_durusKatsayi)</f>
        <v/>
      </c>
    </row>
    <row r="97">
      <c r="A97" s="15" t="n"/>
      <c r="B97" s="15" t="n"/>
      <c r="C97" s="64" t="n"/>
      <c r="D97" s="64" t="n"/>
      <c r="E97" s="17" t="n"/>
      <c r="F97" s="17" t="n"/>
      <c r="G97" s="17" t="n"/>
      <c r="H97" s="15" t="n"/>
      <c r="I97" s="15" t="n"/>
      <c r="J97" s="15" t="n"/>
      <c r="K97" s="15" t="n"/>
      <c r="L97" s="15" t="n"/>
      <c r="M97" s="15" t="n"/>
      <c r="N97" s="16" t="n"/>
      <c r="O97" s="18">
        <f>IF($A97="","",$F97)</f>
        <v/>
      </c>
      <c r="P97" s="18">
        <f>IF($A97="","",IF($J97="YAPILDI",0,IF($C97="","",raporTarihi-$C97)))</f>
        <v/>
      </c>
      <c r="Q97" s="18">
        <f>IF($A97="","",IF($P97="","",IF($P97&lt;=mbk_kovaEsik1,"0-7",IF($P97&lt;=mbk_kovaEsik2,"8-30",IF($P97&lt;=mbk_kovaEsik3,"31-60","60+")))))</f>
        <v/>
      </c>
      <c r="R97" s="18">
        <f>IF($A97="","",IF($B97="","YETİM",IF(COUNTIF(tblMakineler[MakineId],$B97)=0,"YETİM","")))</f>
        <v/>
      </c>
      <c r="S97" s="18">
        <f>IF(OR($A97="",$I97=""),"",IF(OR($I97&amp;"|"&amp;$J97="",COUNTIF(ListeIzinliGecis,$I97&amp;"|"&amp;$J97)&gt;0),"","GEÇERSİZ GEÇİŞ"))</f>
        <v/>
      </c>
      <c r="T97" s="18">
        <f>IF($A97="","",IF(OR($E97="",$F97=""),"",IF(ABS($F97-$E97)&gt;zincirTolerans,"ZİNCİR KIRIK","OK")))</f>
        <v/>
      </c>
      <c r="U97" s="18">
        <f>IF($A97="","",1)</f>
        <v/>
      </c>
      <c r="V97" s="18">
        <f>IF($A97="","",$F97*$N97*mbk_durusKatsayi)</f>
        <v/>
      </c>
    </row>
    <row r="98">
      <c r="A98" s="15" t="n"/>
      <c r="B98" s="15" t="n"/>
      <c r="C98" s="64" t="n"/>
      <c r="D98" s="64" t="n"/>
      <c r="E98" s="17" t="n"/>
      <c r="F98" s="17" t="n"/>
      <c r="G98" s="17" t="n"/>
      <c r="H98" s="15" t="n"/>
      <c r="I98" s="15" t="n"/>
      <c r="J98" s="15" t="n"/>
      <c r="K98" s="15" t="n"/>
      <c r="L98" s="15" t="n"/>
      <c r="M98" s="15" t="n"/>
      <c r="N98" s="16" t="n"/>
      <c r="O98" s="18">
        <f>IF($A98="","",$F98)</f>
        <v/>
      </c>
      <c r="P98" s="18">
        <f>IF($A98="","",IF($J98="YAPILDI",0,IF($C98="","",raporTarihi-$C98)))</f>
        <v/>
      </c>
      <c r="Q98" s="18">
        <f>IF($A98="","",IF($P98="","",IF($P98&lt;=mbk_kovaEsik1,"0-7",IF($P98&lt;=mbk_kovaEsik2,"8-30",IF($P98&lt;=mbk_kovaEsik3,"31-60","60+")))))</f>
        <v/>
      </c>
      <c r="R98" s="18">
        <f>IF($A98="","",IF($B98="","YETİM",IF(COUNTIF(tblMakineler[MakineId],$B98)=0,"YETİM","")))</f>
        <v/>
      </c>
      <c r="S98" s="18">
        <f>IF(OR($A98="",$I98=""),"",IF(OR($I98&amp;"|"&amp;$J98="",COUNTIF(ListeIzinliGecis,$I98&amp;"|"&amp;$J98)&gt;0),"","GEÇERSİZ GEÇİŞ"))</f>
        <v/>
      </c>
      <c r="T98" s="18">
        <f>IF($A98="","",IF(OR($E98="",$F98=""),"",IF(ABS($F98-$E98)&gt;zincirTolerans,"ZİNCİR KIRIK","OK")))</f>
        <v/>
      </c>
      <c r="U98" s="18">
        <f>IF($A98="","",1)</f>
        <v/>
      </c>
      <c r="V98" s="18">
        <f>IF($A98="","",$F98*$N98*mbk_durusKatsayi)</f>
        <v/>
      </c>
    </row>
    <row r="99">
      <c r="A99" s="15" t="n"/>
      <c r="B99" s="15" t="n"/>
      <c r="C99" s="64" t="n"/>
      <c r="D99" s="64" t="n"/>
      <c r="E99" s="17" t="n"/>
      <c r="F99" s="17" t="n"/>
      <c r="G99" s="17" t="n"/>
      <c r="H99" s="15" t="n"/>
      <c r="I99" s="15" t="n"/>
      <c r="J99" s="15" t="n"/>
      <c r="K99" s="15" t="n"/>
      <c r="L99" s="15" t="n"/>
      <c r="M99" s="15" t="n"/>
      <c r="N99" s="16" t="n"/>
      <c r="O99" s="18">
        <f>IF($A99="","",$F99)</f>
        <v/>
      </c>
      <c r="P99" s="18">
        <f>IF($A99="","",IF($J99="YAPILDI",0,IF($C99="","",raporTarihi-$C99)))</f>
        <v/>
      </c>
      <c r="Q99" s="18">
        <f>IF($A99="","",IF($P99="","",IF($P99&lt;=mbk_kovaEsik1,"0-7",IF($P99&lt;=mbk_kovaEsik2,"8-30",IF($P99&lt;=mbk_kovaEsik3,"31-60","60+")))))</f>
        <v/>
      </c>
      <c r="R99" s="18">
        <f>IF($A99="","",IF($B99="","YETİM",IF(COUNTIF(tblMakineler[MakineId],$B99)=0,"YETİM","")))</f>
        <v/>
      </c>
      <c r="S99" s="18">
        <f>IF(OR($A99="",$I99=""),"",IF(OR($I99&amp;"|"&amp;$J99="",COUNTIF(ListeIzinliGecis,$I99&amp;"|"&amp;$J99)&gt;0),"","GEÇERSİZ GEÇİŞ"))</f>
        <v/>
      </c>
      <c r="T99" s="18">
        <f>IF($A99="","",IF(OR($E99="",$F99=""),"",IF(ABS($F99-$E99)&gt;zincirTolerans,"ZİNCİR KIRIK","OK")))</f>
        <v/>
      </c>
      <c r="U99" s="18">
        <f>IF($A99="","",1)</f>
        <v/>
      </c>
      <c r="V99" s="18">
        <f>IF($A99="","",$F99*$N99*mbk_durusKatsayi)</f>
        <v/>
      </c>
    </row>
    <row r="100">
      <c r="A100" s="15" t="n"/>
      <c r="B100" s="15" t="n"/>
      <c r="C100" s="64" t="n"/>
      <c r="D100" s="64" t="n"/>
      <c r="E100" s="17" t="n"/>
      <c r="F100" s="17" t="n"/>
      <c r="G100" s="17" t="n"/>
      <c r="H100" s="15" t="n"/>
      <c r="I100" s="15" t="n"/>
      <c r="J100" s="15" t="n"/>
      <c r="K100" s="15" t="n"/>
      <c r="L100" s="15" t="n"/>
      <c r="M100" s="15" t="n"/>
      <c r="N100" s="16" t="n"/>
      <c r="O100" s="18">
        <f>IF($A100="","",$F100)</f>
        <v/>
      </c>
      <c r="P100" s="18">
        <f>IF($A100="","",IF($J100="YAPILDI",0,IF($C100="","",raporTarihi-$C100)))</f>
        <v/>
      </c>
      <c r="Q100" s="18">
        <f>IF($A100="","",IF($P100="","",IF($P100&lt;=mbk_kovaEsik1,"0-7",IF($P100&lt;=mbk_kovaEsik2,"8-30",IF($P100&lt;=mbk_kovaEsik3,"31-60","60+")))))</f>
        <v/>
      </c>
      <c r="R100" s="18">
        <f>IF($A100="","",IF($B100="","YETİM",IF(COUNTIF(tblMakineler[MakineId],$B100)=0,"YETİM","")))</f>
        <v/>
      </c>
      <c r="S100" s="18">
        <f>IF(OR($A100="",$I100=""),"",IF(OR($I100&amp;"|"&amp;$J100="",COUNTIF(ListeIzinliGecis,$I100&amp;"|"&amp;$J100)&gt;0),"","GEÇERSİZ GEÇİŞ"))</f>
        <v/>
      </c>
      <c r="T100" s="18">
        <f>IF($A100="","",IF(OR($E100="",$F100=""),"",IF(ABS($F100-$E100)&gt;zincirTolerans,"ZİNCİR KIRIK","OK")))</f>
        <v/>
      </c>
      <c r="U100" s="18">
        <f>IF($A100="","",1)</f>
        <v/>
      </c>
      <c r="V100" s="18">
        <f>IF($A100="","",$F100*$N100*mbk_durusKatsayi)</f>
        <v/>
      </c>
    </row>
    <row r="101">
      <c r="A101" s="15" t="n"/>
      <c r="B101" s="15" t="n"/>
      <c r="C101" s="64" t="n"/>
      <c r="D101" s="64" t="n"/>
      <c r="E101" s="17" t="n"/>
      <c r="F101" s="17" t="n"/>
      <c r="G101" s="17" t="n"/>
      <c r="H101" s="15" t="n"/>
      <c r="I101" s="15" t="n"/>
      <c r="J101" s="15" t="n"/>
      <c r="K101" s="15" t="n"/>
      <c r="L101" s="15" t="n"/>
      <c r="M101" s="15" t="n"/>
      <c r="N101" s="16" t="n"/>
      <c r="O101" s="18">
        <f>IF($A101="","",$F101)</f>
        <v/>
      </c>
      <c r="P101" s="18">
        <f>IF($A101="","",IF($J101="YAPILDI",0,IF($C101="","",raporTarihi-$C101)))</f>
        <v/>
      </c>
      <c r="Q101" s="18">
        <f>IF($A101="","",IF($P101="","",IF($P101&lt;=mbk_kovaEsik1,"0-7",IF($P101&lt;=mbk_kovaEsik2,"8-30",IF($P101&lt;=mbk_kovaEsik3,"31-60","60+")))))</f>
        <v/>
      </c>
      <c r="R101" s="18">
        <f>IF($A101="","",IF($B101="","YETİM",IF(COUNTIF(tblMakineler[MakineId],$B101)=0,"YETİM","")))</f>
        <v/>
      </c>
      <c r="S101" s="18">
        <f>IF(OR($A101="",$I101=""),"",IF(OR($I101&amp;"|"&amp;$J101="",COUNTIF(ListeIzinliGecis,$I101&amp;"|"&amp;$J101)&gt;0),"","GEÇERSİZ GEÇİŞ"))</f>
        <v/>
      </c>
      <c r="T101" s="18">
        <f>IF($A101="","",IF(OR($E101="",$F101=""),"",IF(ABS($F101-$E101)&gt;zincirTolerans,"ZİNCİR KIRIK","OK")))</f>
        <v/>
      </c>
      <c r="U101" s="18">
        <f>IF($A101="","",1)</f>
        <v/>
      </c>
      <c r="V101" s="18">
        <f>IF($A101="","",$F101*$N101*mbk_durusKatsayi)</f>
        <v/>
      </c>
    </row>
    <row r="102">
      <c r="A102" s="15" t="n"/>
      <c r="B102" s="15" t="n"/>
      <c r="C102" s="64" t="n"/>
      <c r="D102" s="64" t="n"/>
      <c r="E102" s="17" t="n"/>
      <c r="F102" s="17" t="n"/>
      <c r="G102" s="17" t="n"/>
      <c r="H102" s="15" t="n"/>
      <c r="I102" s="15" t="n"/>
      <c r="J102" s="15" t="n"/>
      <c r="K102" s="15" t="n"/>
      <c r="L102" s="15" t="n"/>
      <c r="M102" s="15" t="n"/>
      <c r="N102" s="16" t="n"/>
      <c r="O102" s="18">
        <f>IF($A102="","",$F102)</f>
        <v/>
      </c>
      <c r="P102" s="18">
        <f>IF($A102="","",IF($J102="YAPILDI",0,IF($C102="","",raporTarihi-$C102)))</f>
        <v/>
      </c>
      <c r="Q102" s="18">
        <f>IF($A102="","",IF($P102="","",IF($P102&lt;=mbk_kovaEsik1,"0-7",IF($P102&lt;=mbk_kovaEsik2,"8-30",IF($P102&lt;=mbk_kovaEsik3,"31-60","60+")))))</f>
        <v/>
      </c>
      <c r="R102" s="18">
        <f>IF($A102="","",IF($B102="","YETİM",IF(COUNTIF(tblMakineler[MakineId],$B102)=0,"YETİM","")))</f>
        <v/>
      </c>
      <c r="S102" s="18">
        <f>IF(OR($A102="",$I102=""),"",IF(OR($I102&amp;"|"&amp;$J102="",COUNTIF(ListeIzinliGecis,$I102&amp;"|"&amp;$J102)&gt;0),"","GEÇERSİZ GEÇİŞ"))</f>
        <v/>
      </c>
      <c r="T102" s="18">
        <f>IF($A102="","",IF(OR($E102="",$F102=""),"",IF(ABS($F102-$E102)&gt;zincirTolerans,"ZİNCİR KIRIK","OK")))</f>
        <v/>
      </c>
      <c r="U102" s="18">
        <f>IF($A102="","",1)</f>
        <v/>
      </c>
      <c r="V102" s="18">
        <f>IF($A102="","",$F102*$N102*mbk_durusKatsayi)</f>
        <v/>
      </c>
    </row>
    <row r="103">
      <c r="A103" s="15" t="n"/>
      <c r="B103" s="15" t="n"/>
      <c r="C103" s="64" t="n"/>
      <c r="D103" s="64" t="n"/>
      <c r="E103" s="17" t="n"/>
      <c r="F103" s="17" t="n"/>
      <c r="G103" s="17" t="n"/>
      <c r="H103" s="15" t="n"/>
      <c r="I103" s="15" t="n"/>
      <c r="J103" s="15" t="n"/>
      <c r="K103" s="15" t="n"/>
      <c r="L103" s="15" t="n"/>
      <c r="M103" s="15" t="n"/>
      <c r="N103" s="16" t="n"/>
      <c r="O103" s="18">
        <f>IF($A103="","",$F103)</f>
        <v/>
      </c>
      <c r="P103" s="18">
        <f>IF($A103="","",IF($J103="YAPILDI",0,IF($C103="","",raporTarihi-$C103)))</f>
        <v/>
      </c>
      <c r="Q103" s="18">
        <f>IF($A103="","",IF($P103="","",IF($P103&lt;=mbk_kovaEsik1,"0-7",IF($P103&lt;=mbk_kovaEsik2,"8-30",IF($P103&lt;=mbk_kovaEsik3,"31-60","60+")))))</f>
        <v/>
      </c>
      <c r="R103" s="18">
        <f>IF($A103="","",IF($B103="","YETİM",IF(COUNTIF(tblMakineler[MakineId],$B103)=0,"YETİM","")))</f>
        <v/>
      </c>
      <c r="S103" s="18">
        <f>IF(OR($A103="",$I103=""),"",IF(OR($I103&amp;"|"&amp;$J103="",COUNTIF(ListeIzinliGecis,$I103&amp;"|"&amp;$J103)&gt;0),"","GEÇERSİZ GEÇİŞ"))</f>
        <v/>
      </c>
      <c r="T103" s="18">
        <f>IF($A103="","",IF(OR($E103="",$F103=""),"",IF(ABS($F103-$E103)&gt;zincirTolerans,"ZİNCİR KIRIK","OK")))</f>
        <v/>
      </c>
      <c r="U103" s="18">
        <f>IF($A103="","",1)</f>
        <v/>
      </c>
      <c r="V103" s="18">
        <f>IF($A103="","",$F103*$N103*mbk_durusKatsayi)</f>
        <v/>
      </c>
    </row>
    <row r="104">
      <c r="A104" s="15" t="n"/>
      <c r="B104" s="15" t="n"/>
      <c r="C104" s="64" t="n"/>
      <c r="D104" s="64" t="n"/>
      <c r="E104" s="17" t="n"/>
      <c r="F104" s="17" t="n"/>
      <c r="G104" s="17" t="n"/>
      <c r="H104" s="15" t="n"/>
      <c r="I104" s="15" t="n"/>
      <c r="J104" s="15" t="n"/>
      <c r="K104" s="15" t="n"/>
      <c r="L104" s="15" t="n"/>
      <c r="M104" s="15" t="n"/>
      <c r="N104" s="16" t="n"/>
      <c r="O104" s="18">
        <f>IF($A104="","",$F104)</f>
        <v/>
      </c>
      <c r="P104" s="18">
        <f>IF($A104="","",IF($J104="YAPILDI",0,IF($C104="","",raporTarihi-$C104)))</f>
        <v/>
      </c>
      <c r="Q104" s="18">
        <f>IF($A104="","",IF($P104="","",IF($P104&lt;=mbk_kovaEsik1,"0-7",IF($P104&lt;=mbk_kovaEsik2,"8-30",IF($P104&lt;=mbk_kovaEsik3,"31-60","60+")))))</f>
        <v/>
      </c>
      <c r="R104" s="18">
        <f>IF($A104="","",IF($B104="","YETİM",IF(COUNTIF(tblMakineler[MakineId],$B104)=0,"YETİM","")))</f>
        <v/>
      </c>
      <c r="S104" s="18">
        <f>IF(OR($A104="",$I104=""),"",IF(OR($I104&amp;"|"&amp;$J104="",COUNTIF(ListeIzinliGecis,$I104&amp;"|"&amp;$J104)&gt;0),"","GEÇERSİZ GEÇİŞ"))</f>
        <v/>
      </c>
      <c r="T104" s="18">
        <f>IF($A104="","",IF(OR($E104="",$F104=""),"",IF(ABS($F104-$E104)&gt;zincirTolerans,"ZİNCİR KIRIK","OK")))</f>
        <v/>
      </c>
      <c r="U104" s="18">
        <f>IF($A104="","",1)</f>
        <v/>
      </c>
      <c r="V104" s="18">
        <f>IF($A104="","",$F104*$N104*mbk_durusKatsayi)</f>
        <v/>
      </c>
    </row>
    <row r="105">
      <c r="A105" s="15" t="n"/>
      <c r="B105" s="15" t="n"/>
      <c r="C105" s="64" t="n"/>
      <c r="D105" s="64" t="n"/>
      <c r="E105" s="17" t="n"/>
      <c r="F105" s="17" t="n"/>
      <c r="G105" s="17" t="n"/>
      <c r="H105" s="15" t="n"/>
      <c r="I105" s="15" t="n"/>
      <c r="J105" s="15" t="n"/>
      <c r="K105" s="15" t="n"/>
      <c r="L105" s="15" t="n"/>
      <c r="M105" s="15" t="n"/>
      <c r="N105" s="16" t="n"/>
      <c r="O105" s="18">
        <f>IF($A105="","",$F105)</f>
        <v/>
      </c>
      <c r="P105" s="18">
        <f>IF($A105="","",IF($J105="YAPILDI",0,IF($C105="","",raporTarihi-$C105)))</f>
        <v/>
      </c>
      <c r="Q105" s="18">
        <f>IF($A105="","",IF($P105="","",IF($P105&lt;=mbk_kovaEsik1,"0-7",IF($P105&lt;=mbk_kovaEsik2,"8-30",IF($P105&lt;=mbk_kovaEsik3,"31-60","60+")))))</f>
        <v/>
      </c>
      <c r="R105" s="18">
        <f>IF($A105="","",IF($B105="","YETİM",IF(COUNTIF(tblMakineler[MakineId],$B105)=0,"YETİM","")))</f>
        <v/>
      </c>
      <c r="S105" s="18">
        <f>IF(OR($A105="",$I105=""),"",IF(OR($I105&amp;"|"&amp;$J105="",COUNTIF(ListeIzinliGecis,$I105&amp;"|"&amp;$J105)&gt;0),"","GEÇERSİZ GEÇİŞ"))</f>
        <v/>
      </c>
      <c r="T105" s="18">
        <f>IF($A105="","",IF(OR($E105="",$F105=""),"",IF(ABS($F105-$E105)&gt;zincirTolerans,"ZİNCİR KIRIK","OK")))</f>
        <v/>
      </c>
      <c r="U105" s="18">
        <f>IF($A105="","",1)</f>
        <v/>
      </c>
      <c r="V105" s="18">
        <f>IF($A105="","",$F105*$N105*mbk_durusKatsayi)</f>
        <v/>
      </c>
    </row>
    <row r="106">
      <c r="A106" s="15" t="n"/>
      <c r="B106" s="15" t="n"/>
      <c r="C106" s="64" t="n"/>
      <c r="D106" s="64" t="n"/>
      <c r="E106" s="17" t="n"/>
      <c r="F106" s="17" t="n"/>
      <c r="G106" s="17" t="n"/>
      <c r="H106" s="15" t="n"/>
      <c r="I106" s="15" t="n"/>
      <c r="J106" s="15" t="n"/>
      <c r="K106" s="15" t="n"/>
      <c r="L106" s="15" t="n"/>
      <c r="M106" s="15" t="n"/>
      <c r="N106" s="16" t="n"/>
      <c r="O106" s="18">
        <f>IF($A106="","",$F106)</f>
        <v/>
      </c>
      <c r="P106" s="18">
        <f>IF($A106="","",IF($J106="YAPILDI",0,IF($C106="","",raporTarihi-$C106)))</f>
        <v/>
      </c>
      <c r="Q106" s="18">
        <f>IF($A106="","",IF($P106="","",IF($P106&lt;=mbk_kovaEsik1,"0-7",IF($P106&lt;=mbk_kovaEsik2,"8-30",IF($P106&lt;=mbk_kovaEsik3,"31-60","60+")))))</f>
        <v/>
      </c>
      <c r="R106" s="18">
        <f>IF($A106="","",IF($B106="","YETİM",IF(COUNTIF(tblMakineler[MakineId],$B106)=0,"YETİM","")))</f>
        <v/>
      </c>
      <c r="S106" s="18">
        <f>IF(OR($A106="",$I106=""),"",IF(OR($I106&amp;"|"&amp;$J106="",COUNTIF(ListeIzinliGecis,$I106&amp;"|"&amp;$J106)&gt;0),"","GEÇERSİZ GEÇİŞ"))</f>
        <v/>
      </c>
      <c r="T106" s="18">
        <f>IF($A106="","",IF(OR($E106="",$F106=""),"",IF(ABS($F106-$E106)&gt;zincirTolerans,"ZİNCİR KIRIK","OK")))</f>
        <v/>
      </c>
      <c r="U106" s="18">
        <f>IF($A106="","",1)</f>
        <v/>
      </c>
      <c r="V106" s="18">
        <f>IF($A106="","",$F106*$N106*mbk_durusKatsayi)</f>
        <v/>
      </c>
    </row>
    <row r="107">
      <c r="A107" s="15" t="n"/>
      <c r="B107" s="15" t="n"/>
      <c r="C107" s="64" t="n"/>
      <c r="D107" s="64" t="n"/>
      <c r="E107" s="17" t="n"/>
      <c r="F107" s="17" t="n"/>
      <c r="G107" s="17" t="n"/>
      <c r="H107" s="15" t="n"/>
      <c r="I107" s="15" t="n"/>
      <c r="J107" s="15" t="n"/>
      <c r="K107" s="15" t="n"/>
      <c r="L107" s="15" t="n"/>
      <c r="M107" s="15" t="n"/>
      <c r="N107" s="16" t="n"/>
      <c r="O107" s="18">
        <f>IF($A107="","",$F107)</f>
        <v/>
      </c>
      <c r="P107" s="18">
        <f>IF($A107="","",IF($J107="YAPILDI",0,IF($C107="","",raporTarihi-$C107)))</f>
        <v/>
      </c>
      <c r="Q107" s="18">
        <f>IF($A107="","",IF($P107="","",IF($P107&lt;=mbk_kovaEsik1,"0-7",IF($P107&lt;=mbk_kovaEsik2,"8-30",IF($P107&lt;=mbk_kovaEsik3,"31-60","60+")))))</f>
        <v/>
      </c>
      <c r="R107" s="18">
        <f>IF($A107="","",IF($B107="","YETİM",IF(COUNTIF(tblMakineler[MakineId],$B107)=0,"YETİM","")))</f>
        <v/>
      </c>
      <c r="S107" s="18">
        <f>IF(OR($A107="",$I107=""),"",IF(OR($I107&amp;"|"&amp;$J107="",COUNTIF(ListeIzinliGecis,$I107&amp;"|"&amp;$J107)&gt;0),"","GEÇERSİZ GEÇİŞ"))</f>
        <v/>
      </c>
      <c r="T107" s="18">
        <f>IF($A107="","",IF(OR($E107="",$F107=""),"",IF(ABS($F107-$E107)&gt;zincirTolerans,"ZİNCİR KIRIK","OK")))</f>
        <v/>
      </c>
      <c r="U107" s="18">
        <f>IF($A107="","",1)</f>
        <v/>
      </c>
      <c r="V107" s="18">
        <f>IF($A107="","",$F107*$N107*mbk_durusKatsayi)</f>
        <v/>
      </c>
    </row>
    <row r="108">
      <c r="A108" s="15" t="n"/>
      <c r="B108" s="15" t="n"/>
      <c r="C108" s="64" t="n"/>
      <c r="D108" s="64" t="n"/>
      <c r="E108" s="17" t="n"/>
      <c r="F108" s="17" t="n"/>
      <c r="G108" s="17" t="n"/>
      <c r="H108" s="15" t="n"/>
      <c r="I108" s="15" t="n"/>
      <c r="J108" s="15" t="n"/>
      <c r="K108" s="15" t="n"/>
      <c r="L108" s="15" t="n"/>
      <c r="M108" s="15" t="n"/>
      <c r="N108" s="16" t="n"/>
      <c r="O108" s="18">
        <f>IF($A108="","",$F108)</f>
        <v/>
      </c>
      <c r="P108" s="18">
        <f>IF($A108="","",IF($J108="YAPILDI",0,IF($C108="","",raporTarihi-$C108)))</f>
        <v/>
      </c>
      <c r="Q108" s="18">
        <f>IF($A108="","",IF($P108="","",IF($P108&lt;=mbk_kovaEsik1,"0-7",IF($P108&lt;=mbk_kovaEsik2,"8-30",IF($P108&lt;=mbk_kovaEsik3,"31-60","60+")))))</f>
        <v/>
      </c>
      <c r="R108" s="18">
        <f>IF($A108="","",IF($B108="","YETİM",IF(COUNTIF(tblMakineler[MakineId],$B108)=0,"YETİM","")))</f>
        <v/>
      </c>
      <c r="S108" s="18">
        <f>IF(OR($A108="",$I108=""),"",IF(OR($I108&amp;"|"&amp;$J108="",COUNTIF(ListeIzinliGecis,$I108&amp;"|"&amp;$J108)&gt;0),"","GEÇERSİZ GEÇİŞ"))</f>
        <v/>
      </c>
      <c r="T108" s="18">
        <f>IF($A108="","",IF(OR($E108="",$F108=""),"",IF(ABS($F108-$E108)&gt;zincirTolerans,"ZİNCİR KIRIK","OK")))</f>
        <v/>
      </c>
      <c r="U108" s="18">
        <f>IF($A108="","",1)</f>
        <v/>
      </c>
      <c r="V108" s="18">
        <f>IF($A108="","",$F108*$N108*mbk_durusKatsayi)</f>
        <v/>
      </c>
    </row>
    <row r="109">
      <c r="A109" s="15" t="n"/>
      <c r="B109" s="15" t="n"/>
      <c r="C109" s="64" t="n"/>
      <c r="D109" s="64" t="n"/>
      <c r="E109" s="17" t="n"/>
      <c r="F109" s="17" t="n"/>
      <c r="G109" s="17" t="n"/>
      <c r="H109" s="15" t="n"/>
      <c r="I109" s="15" t="n"/>
      <c r="J109" s="15" t="n"/>
      <c r="K109" s="15" t="n"/>
      <c r="L109" s="15" t="n"/>
      <c r="M109" s="15" t="n"/>
      <c r="N109" s="16" t="n"/>
      <c r="O109" s="18">
        <f>IF($A109="","",$F109)</f>
        <v/>
      </c>
      <c r="P109" s="18">
        <f>IF($A109="","",IF($J109="YAPILDI",0,IF($C109="","",raporTarihi-$C109)))</f>
        <v/>
      </c>
      <c r="Q109" s="18">
        <f>IF($A109="","",IF($P109="","",IF($P109&lt;=mbk_kovaEsik1,"0-7",IF($P109&lt;=mbk_kovaEsik2,"8-30",IF($P109&lt;=mbk_kovaEsik3,"31-60","60+")))))</f>
        <v/>
      </c>
      <c r="R109" s="18">
        <f>IF($A109="","",IF($B109="","YETİM",IF(COUNTIF(tblMakineler[MakineId],$B109)=0,"YETİM","")))</f>
        <v/>
      </c>
      <c r="S109" s="18">
        <f>IF(OR($A109="",$I109=""),"",IF(OR($I109&amp;"|"&amp;$J109="",COUNTIF(ListeIzinliGecis,$I109&amp;"|"&amp;$J109)&gt;0),"","GEÇERSİZ GEÇİŞ"))</f>
        <v/>
      </c>
      <c r="T109" s="18">
        <f>IF($A109="","",IF(OR($E109="",$F109=""),"",IF(ABS($F109-$E109)&gt;zincirTolerans,"ZİNCİR KIRIK","OK")))</f>
        <v/>
      </c>
      <c r="U109" s="18">
        <f>IF($A109="","",1)</f>
        <v/>
      </c>
      <c r="V109" s="18">
        <f>IF($A109="","",$F109*$N109*mbk_durusKatsayi)</f>
        <v/>
      </c>
    </row>
    <row r="110">
      <c r="A110" s="15" t="n"/>
      <c r="B110" s="15" t="n"/>
      <c r="C110" s="64" t="n"/>
      <c r="D110" s="64" t="n"/>
      <c r="E110" s="17" t="n"/>
      <c r="F110" s="17" t="n"/>
      <c r="G110" s="17" t="n"/>
      <c r="H110" s="15" t="n"/>
      <c r="I110" s="15" t="n"/>
      <c r="J110" s="15" t="n"/>
      <c r="K110" s="15" t="n"/>
      <c r="L110" s="15" t="n"/>
      <c r="M110" s="15" t="n"/>
      <c r="N110" s="16" t="n"/>
      <c r="O110" s="18">
        <f>IF($A110="","",$F110)</f>
        <v/>
      </c>
      <c r="P110" s="18">
        <f>IF($A110="","",IF($J110="YAPILDI",0,IF($C110="","",raporTarihi-$C110)))</f>
        <v/>
      </c>
      <c r="Q110" s="18">
        <f>IF($A110="","",IF($P110="","",IF($P110&lt;=mbk_kovaEsik1,"0-7",IF($P110&lt;=mbk_kovaEsik2,"8-30",IF($P110&lt;=mbk_kovaEsik3,"31-60","60+")))))</f>
        <v/>
      </c>
      <c r="R110" s="18">
        <f>IF($A110="","",IF($B110="","YETİM",IF(COUNTIF(tblMakineler[MakineId],$B110)=0,"YETİM","")))</f>
        <v/>
      </c>
      <c r="S110" s="18">
        <f>IF(OR($A110="",$I110=""),"",IF(OR($I110&amp;"|"&amp;$J110="",COUNTIF(ListeIzinliGecis,$I110&amp;"|"&amp;$J110)&gt;0),"","GEÇERSİZ GEÇİŞ"))</f>
        <v/>
      </c>
      <c r="T110" s="18">
        <f>IF($A110="","",IF(OR($E110="",$F110=""),"",IF(ABS($F110-$E110)&gt;zincirTolerans,"ZİNCİR KIRIK","OK")))</f>
        <v/>
      </c>
      <c r="U110" s="18">
        <f>IF($A110="","",1)</f>
        <v/>
      </c>
      <c r="V110" s="18">
        <f>IF($A110="","",$F110*$N110*mbk_durusKatsayi)</f>
        <v/>
      </c>
    </row>
    <row r="111">
      <c r="A111" s="15" t="n"/>
      <c r="B111" s="15" t="n"/>
      <c r="C111" s="64" t="n"/>
      <c r="D111" s="64" t="n"/>
      <c r="E111" s="17" t="n"/>
      <c r="F111" s="17" t="n"/>
      <c r="G111" s="17" t="n"/>
      <c r="H111" s="15" t="n"/>
      <c r="I111" s="15" t="n"/>
      <c r="J111" s="15" t="n"/>
      <c r="K111" s="15" t="n"/>
      <c r="L111" s="15" t="n"/>
      <c r="M111" s="15" t="n"/>
      <c r="N111" s="16" t="n"/>
      <c r="O111" s="18">
        <f>IF($A111="","",$F111)</f>
        <v/>
      </c>
      <c r="P111" s="18">
        <f>IF($A111="","",IF($J111="YAPILDI",0,IF($C111="","",raporTarihi-$C111)))</f>
        <v/>
      </c>
      <c r="Q111" s="18">
        <f>IF($A111="","",IF($P111="","",IF($P111&lt;=mbk_kovaEsik1,"0-7",IF($P111&lt;=mbk_kovaEsik2,"8-30",IF($P111&lt;=mbk_kovaEsik3,"31-60","60+")))))</f>
        <v/>
      </c>
      <c r="R111" s="18">
        <f>IF($A111="","",IF($B111="","YETİM",IF(COUNTIF(tblMakineler[MakineId],$B111)=0,"YETİM","")))</f>
        <v/>
      </c>
      <c r="S111" s="18">
        <f>IF(OR($A111="",$I111=""),"",IF(OR($I111&amp;"|"&amp;$J111="",COUNTIF(ListeIzinliGecis,$I111&amp;"|"&amp;$J111)&gt;0),"","GEÇERSİZ GEÇİŞ"))</f>
        <v/>
      </c>
      <c r="T111" s="18">
        <f>IF($A111="","",IF(OR($E111="",$F111=""),"",IF(ABS($F111-$E111)&gt;zincirTolerans,"ZİNCİR KIRIK","OK")))</f>
        <v/>
      </c>
      <c r="U111" s="18">
        <f>IF($A111="","",1)</f>
        <v/>
      </c>
      <c r="V111" s="18">
        <f>IF($A111="","",$F111*$N111*mbk_durusKatsayi)</f>
        <v/>
      </c>
    </row>
    <row r="112">
      <c r="A112" s="15" t="n"/>
      <c r="B112" s="15" t="n"/>
      <c r="C112" s="64" t="n"/>
      <c r="D112" s="64" t="n"/>
      <c r="E112" s="17" t="n"/>
      <c r="F112" s="17" t="n"/>
      <c r="G112" s="17" t="n"/>
      <c r="H112" s="15" t="n"/>
      <c r="I112" s="15" t="n"/>
      <c r="J112" s="15" t="n"/>
      <c r="K112" s="15" t="n"/>
      <c r="L112" s="15" t="n"/>
      <c r="M112" s="15" t="n"/>
      <c r="N112" s="16" t="n"/>
      <c r="O112" s="18">
        <f>IF($A112="","",$F112)</f>
        <v/>
      </c>
      <c r="P112" s="18">
        <f>IF($A112="","",IF($J112="YAPILDI",0,IF($C112="","",raporTarihi-$C112)))</f>
        <v/>
      </c>
      <c r="Q112" s="18">
        <f>IF($A112="","",IF($P112="","",IF($P112&lt;=mbk_kovaEsik1,"0-7",IF($P112&lt;=mbk_kovaEsik2,"8-30",IF($P112&lt;=mbk_kovaEsik3,"31-60","60+")))))</f>
        <v/>
      </c>
      <c r="R112" s="18">
        <f>IF($A112="","",IF($B112="","YETİM",IF(COUNTIF(tblMakineler[MakineId],$B112)=0,"YETİM","")))</f>
        <v/>
      </c>
      <c r="S112" s="18">
        <f>IF(OR($A112="",$I112=""),"",IF(OR($I112&amp;"|"&amp;$J112="",COUNTIF(ListeIzinliGecis,$I112&amp;"|"&amp;$J112)&gt;0),"","GEÇERSİZ GEÇİŞ"))</f>
        <v/>
      </c>
      <c r="T112" s="18">
        <f>IF($A112="","",IF(OR($E112="",$F112=""),"",IF(ABS($F112-$E112)&gt;zincirTolerans,"ZİNCİR KIRIK","OK")))</f>
        <v/>
      </c>
      <c r="U112" s="18">
        <f>IF($A112="","",1)</f>
        <v/>
      </c>
      <c r="V112" s="18">
        <f>IF($A112="","",$F112*$N112*mbk_durusKatsayi)</f>
        <v/>
      </c>
    </row>
    <row r="113">
      <c r="A113" s="15" t="n"/>
      <c r="B113" s="15" t="n"/>
      <c r="C113" s="64" t="n"/>
      <c r="D113" s="64" t="n"/>
      <c r="E113" s="17" t="n"/>
      <c r="F113" s="17" t="n"/>
      <c r="G113" s="17" t="n"/>
      <c r="H113" s="15" t="n"/>
      <c r="I113" s="15" t="n"/>
      <c r="J113" s="15" t="n"/>
      <c r="K113" s="15" t="n"/>
      <c r="L113" s="15" t="n"/>
      <c r="M113" s="15" t="n"/>
      <c r="N113" s="16" t="n"/>
      <c r="O113" s="18">
        <f>IF($A113="","",$F113)</f>
        <v/>
      </c>
      <c r="P113" s="18">
        <f>IF($A113="","",IF($J113="YAPILDI",0,IF($C113="","",raporTarihi-$C113)))</f>
        <v/>
      </c>
      <c r="Q113" s="18">
        <f>IF($A113="","",IF($P113="","",IF($P113&lt;=mbk_kovaEsik1,"0-7",IF($P113&lt;=mbk_kovaEsik2,"8-30",IF($P113&lt;=mbk_kovaEsik3,"31-60","60+")))))</f>
        <v/>
      </c>
      <c r="R113" s="18">
        <f>IF($A113="","",IF($B113="","YETİM",IF(COUNTIF(tblMakineler[MakineId],$B113)=0,"YETİM","")))</f>
        <v/>
      </c>
      <c r="S113" s="18">
        <f>IF(OR($A113="",$I113=""),"",IF(OR($I113&amp;"|"&amp;$J113="",COUNTIF(ListeIzinliGecis,$I113&amp;"|"&amp;$J113)&gt;0),"","GEÇERSİZ GEÇİŞ"))</f>
        <v/>
      </c>
      <c r="T113" s="18">
        <f>IF($A113="","",IF(OR($E113="",$F113=""),"",IF(ABS($F113-$E113)&gt;zincirTolerans,"ZİNCİR KIRIK","OK")))</f>
        <v/>
      </c>
      <c r="U113" s="18">
        <f>IF($A113="","",1)</f>
        <v/>
      </c>
      <c r="V113" s="18">
        <f>IF($A113="","",$F113*$N113*mbk_durusKatsayi)</f>
        <v/>
      </c>
    </row>
    <row r="114">
      <c r="A114" s="15" t="n"/>
      <c r="B114" s="15" t="n"/>
      <c r="C114" s="64" t="n"/>
      <c r="D114" s="64" t="n"/>
      <c r="E114" s="17" t="n"/>
      <c r="F114" s="17" t="n"/>
      <c r="G114" s="17" t="n"/>
      <c r="H114" s="15" t="n"/>
      <c r="I114" s="15" t="n"/>
      <c r="J114" s="15" t="n"/>
      <c r="K114" s="15" t="n"/>
      <c r="L114" s="15" t="n"/>
      <c r="M114" s="15" t="n"/>
      <c r="N114" s="16" t="n"/>
      <c r="O114" s="18">
        <f>IF($A114="","",$F114)</f>
        <v/>
      </c>
      <c r="P114" s="18">
        <f>IF($A114="","",IF($J114="YAPILDI",0,IF($C114="","",raporTarihi-$C114)))</f>
        <v/>
      </c>
      <c r="Q114" s="18">
        <f>IF($A114="","",IF($P114="","",IF($P114&lt;=mbk_kovaEsik1,"0-7",IF($P114&lt;=mbk_kovaEsik2,"8-30",IF($P114&lt;=mbk_kovaEsik3,"31-60","60+")))))</f>
        <v/>
      </c>
      <c r="R114" s="18">
        <f>IF($A114="","",IF($B114="","YETİM",IF(COUNTIF(tblMakineler[MakineId],$B114)=0,"YETİM","")))</f>
        <v/>
      </c>
      <c r="S114" s="18">
        <f>IF(OR($A114="",$I114=""),"",IF(OR($I114&amp;"|"&amp;$J114="",COUNTIF(ListeIzinliGecis,$I114&amp;"|"&amp;$J114)&gt;0),"","GEÇERSİZ GEÇİŞ"))</f>
        <v/>
      </c>
      <c r="T114" s="18">
        <f>IF($A114="","",IF(OR($E114="",$F114=""),"",IF(ABS($F114-$E114)&gt;zincirTolerans,"ZİNCİR KIRIK","OK")))</f>
        <v/>
      </c>
      <c r="U114" s="18">
        <f>IF($A114="","",1)</f>
        <v/>
      </c>
      <c r="V114" s="18">
        <f>IF($A114="","",$F114*$N114*mbk_durusKatsayi)</f>
        <v/>
      </c>
    </row>
    <row r="115">
      <c r="A115" s="15" t="n"/>
      <c r="B115" s="15" t="n"/>
      <c r="C115" s="64" t="n"/>
      <c r="D115" s="64" t="n"/>
      <c r="E115" s="17" t="n"/>
      <c r="F115" s="17" t="n"/>
      <c r="G115" s="17" t="n"/>
      <c r="H115" s="15" t="n"/>
      <c r="I115" s="15" t="n"/>
      <c r="J115" s="15" t="n"/>
      <c r="K115" s="15" t="n"/>
      <c r="L115" s="15" t="n"/>
      <c r="M115" s="15" t="n"/>
      <c r="N115" s="16" t="n"/>
      <c r="O115" s="18">
        <f>IF($A115="","",$F115)</f>
        <v/>
      </c>
      <c r="P115" s="18">
        <f>IF($A115="","",IF($J115="YAPILDI",0,IF($C115="","",raporTarihi-$C115)))</f>
        <v/>
      </c>
      <c r="Q115" s="18">
        <f>IF($A115="","",IF($P115="","",IF($P115&lt;=mbk_kovaEsik1,"0-7",IF($P115&lt;=mbk_kovaEsik2,"8-30",IF($P115&lt;=mbk_kovaEsik3,"31-60","60+")))))</f>
        <v/>
      </c>
      <c r="R115" s="18">
        <f>IF($A115="","",IF($B115="","YETİM",IF(COUNTIF(tblMakineler[MakineId],$B115)=0,"YETİM","")))</f>
        <v/>
      </c>
      <c r="S115" s="18">
        <f>IF(OR($A115="",$I115=""),"",IF(OR($I115&amp;"|"&amp;$J115="",COUNTIF(ListeIzinliGecis,$I115&amp;"|"&amp;$J115)&gt;0),"","GEÇERSİZ GEÇİŞ"))</f>
        <v/>
      </c>
      <c r="T115" s="18">
        <f>IF($A115="","",IF(OR($E115="",$F115=""),"",IF(ABS($F115-$E115)&gt;zincirTolerans,"ZİNCİR KIRIK","OK")))</f>
        <v/>
      </c>
      <c r="U115" s="18">
        <f>IF($A115="","",1)</f>
        <v/>
      </c>
      <c r="V115" s="18">
        <f>IF($A115="","",$F115*$N115*mbk_durusKatsayi)</f>
        <v/>
      </c>
    </row>
    <row r="116">
      <c r="A116" s="15" t="n"/>
      <c r="B116" s="15" t="n"/>
      <c r="C116" s="64" t="n"/>
      <c r="D116" s="64" t="n"/>
      <c r="E116" s="17" t="n"/>
      <c r="F116" s="17" t="n"/>
      <c r="G116" s="17" t="n"/>
      <c r="H116" s="15" t="n"/>
      <c r="I116" s="15" t="n"/>
      <c r="J116" s="15" t="n"/>
      <c r="K116" s="15" t="n"/>
      <c r="L116" s="15" t="n"/>
      <c r="M116" s="15" t="n"/>
      <c r="N116" s="16" t="n"/>
      <c r="O116" s="18">
        <f>IF($A116="","",$F116)</f>
        <v/>
      </c>
      <c r="P116" s="18">
        <f>IF($A116="","",IF($J116="YAPILDI",0,IF($C116="","",raporTarihi-$C116)))</f>
        <v/>
      </c>
      <c r="Q116" s="18">
        <f>IF($A116="","",IF($P116="","",IF($P116&lt;=mbk_kovaEsik1,"0-7",IF($P116&lt;=mbk_kovaEsik2,"8-30",IF($P116&lt;=mbk_kovaEsik3,"31-60","60+")))))</f>
        <v/>
      </c>
      <c r="R116" s="18">
        <f>IF($A116="","",IF($B116="","YETİM",IF(COUNTIF(tblMakineler[MakineId],$B116)=0,"YETİM","")))</f>
        <v/>
      </c>
      <c r="S116" s="18">
        <f>IF(OR($A116="",$I116=""),"",IF(OR($I116&amp;"|"&amp;$J116="",COUNTIF(ListeIzinliGecis,$I116&amp;"|"&amp;$J116)&gt;0),"","GEÇERSİZ GEÇİŞ"))</f>
        <v/>
      </c>
      <c r="T116" s="18">
        <f>IF($A116="","",IF(OR($E116="",$F116=""),"",IF(ABS($F116-$E116)&gt;zincirTolerans,"ZİNCİR KIRIK","OK")))</f>
        <v/>
      </c>
      <c r="U116" s="18">
        <f>IF($A116="","",1)</f>
        <v/>
      </c>
      <c r="V116" s="18">
        <f>IF($A116="","",$F116*$N116*mbk_durusKatsayi)</f>
        <v/>
      </c>
    </row>
    <row r="117">
      <c r="A117" s="15" t="n"/>
      <c r="B117" s="15" t="n"/>
      <c r="C117" s="64" t="n"/>
      <c r="D117" s="64" t="n"/>
      <c r="E117" s="17" t="n"/>
      <c r="F117" s="17" t="n"/>
      <c r="G117" s="17" t="n"/>
      <c r="H117" s="15" t="n"/>
      <c r="I117" s="15" t="n"/>
      <c r="J117" s="15" t="n"/>
      <c r="K117" s="15" t="n"/>
      <c r="L117" s="15" t="n"/>
      <c r="M117" s="15" t="n"/>
      <c r="N117" s="16" t="n"/>
      <c r="O117" s="18">
        <f>IF($A117="","",$F117)</f>
        <v/>
      </c>
      <c r="P117" s="18">
        <f>IF($A117="","",IF($J117="YAPILDI",0,IF($C117="","",raporTarihi-$C117)))</f>
        <v/>
      </c>
      <c r="Q117" s="18">
        <f>IF($A117="","",IF($P117="","",IF($P117&lt;=mbk_kovaEsik1,"0-7",IF($P117&lt;=mbk_kovaEsik2,"8-30",IF($P117&lt;=mbk_kovaEsik3,"31-60","60+")))))</f>
        <v/>
      </c>
      <c r="R117" s="18">
        <f>IF($A117="","",IF($B117="","YETİM",IF(COUNTIF(tblMakineler[MakineId],$B117)=0,"YETİM","")))</f>
        <v/>
      </c>
      <c r="S117" s="18">
        <f>IF(OR($A117="",$I117=""),"",IF(OR($I117&amp;"|"&amp;$J117="",COUNTIF(ListeIzinliGecis,$I117&amp;"|"&amp;$J117)&gt;0),"","GEÇERSİZ GEÇİŞ"))</f>
        <v/>
      </c>
      <c r="T117" s="18">
        <f>IF($A117="","",IF(OR($E117="",$F117=""),"",IF(ABS($F117-$E117)&gt;zincirTolerans,"ZİNCİR KIRIK","OK")))</f>
        <v/>
      </c>
      <c r="U117" s="18">
        <f>IF($A117="","",1)</f>
        <v/>
      </c>
      <c r="V117" s="18">
        <f>IF($A117="","",$F117*$N117*mbk_durusKatsayi)</f>
        <v/>
      </c>
    </row>
    <row r="118">
      <c r="A118" s="15" t="n"/>
      <c r="B118" s="15" t="n"/>
      <c r="C118" s="64" t="n"/>
      <c r="D118" s="64" t="n"/>
      <c r="E118" s="17" t="n"/>
      <c r="F118" s="17" t="n"/>
      <c r="G118" s="17" t="n"/>
      <c r="H118" s="15" t="n"/>
      <c r="I118" s="15" t="n"/>
      <c r="J118" s="15" t="n"/>
      <c r="K118" s="15" t="n"/>
      <c r="L118" s="15" t="n"/>
      <c r="M118" s="15" t="n"/>
      <c r="N118" s="16" t="n"/>
      <c r="O118" s="18">
        <f>IF($A118="","",$F118)</f>
        <v/>
      </c>
      <c r="P118" s="18">
        <f>IF($A118="","",IF($J118="YAPILDI",0,IF($C118="","",raporTarihi-$C118)))</f>
        <v/>
      </c>
      <c r="Q118" s="18">
        <f>IF($A118="","",IF($P118="","",IF($P118&lt;=mbk_kovaEsik1,"0-7",IF($P118&lt;=mbk_kovaEsik2,"8-30",IF($P118&lt;=mbk_kovaEsik3,"31-60","60+")))))</f>
        <v/>
      </c>
      <c r="R118" s="18">
        <f>IF($A118="","",IF($B118="","YETİM",IF(COUNTIF(tblMakineler[MakineId],$B118)=0,"YETİM","")))</f>
        <v/>
      </c>
      <c r="S118" s="18">
        <f>IF(OR($A118="",$I118=""),"",IF(OR($I118&amp;"|"&amp;$J118="",COUNTIF(ListeIzinliGecis,$I118&amp;"|"&amp;$J118)&gt;0),"","GEÇERSİZ GEÇİŞ"))</f>
        <v/>
      </c>
      <c r="T118" s="18">
        <f>IF($A118="","",IF(OR($E118="",$F118=""),"",IF(ABS($F118-$E118)&gt;zincirTolerans,"ZİNCİR KIRIK","OK")))</f>
        <v/>
      </c>
      <c r="U118" s="18">
        <f>IF($A118="","",1)</f>
        <v/>
      </c>
      <c r="V118" s="18">
        <f>IF($A118="","",$F118*$N118*mbk_durusKatsayi)</f>
        <v/>
      </c>
    </row>
    <row r="119">
      <c r="A119" s="15" t="n"/>
      <c r="B119" s="15" t="n"/>
      <c r="C119" s="64" t="n"/>
      <c r="D119" s="64" t="n"/>
      <c r="E119" s="17" t="n"/>
      <c r="F119" s="17" t="n"/>
      <c r="G119" s="17" t="n"/>
      <c r="H119" s="15" t="n"/>
      <c r="I119" s="15" t="n"/>
      <c r="J119" s="15" t="n"/>
      <c r="K119" s="15" t="n"/>
      <c r="L119" s="15" t="n"/>
      <c r="M119" s="15" t="n"/>
      <c r="N119" s="16" t="n"/>
      <c r="O119" s="18">
        <f>IF($A119="","",$F119)</f>
        <v/>
      </c>
      <c r="P119" s="18">
        <f>IF($A119="","",IF($J119="YAPILDI",0,IF($C119="","",raporTarihi-$C119)))</f>
        <v/>
      </c>
      <c r="Q119" s="18">
        <f>IF($A119="","",IF($P119="","",IF($P119&lt;=mbk_kovaEsik1,"0-7",IF($P119&lt;=mbk_kovaEsik2,"8-30",IF($P119&lt;=mbk_kovaEsik3,"31-60","60+")))))</f>
        <v/>
      </c>
      <c r="R119" s="18">
        <f>IF($A119="","",IF($B119="","YETİM",IF(COUNTIF(tblMakineler[MakineId],$B119)=0,"YETİM","")))</f>
        <v/>
      </c>
      <c r="S119" s="18">
        <f>IF(OR($A119="",$I119=""),"",IF(OR($I119&amp;"|"&amp;$J119="",COUNTIF(ListeIzinliGecis,$I119&amp;"|"&amp;$J119)&gt;0),"","GEÇERSİZ GEÇİŞ"))</f>
        <v/>
      </c>
      <c r="T119" s="18">
        <f>IF($A119="","",IF(OR($E119="",$F119=""),"",IF(ABS($F119-$E119)&gt;zincirTolerans,"ZİNCİR KIRIK","OK")))</f>
        <v/>
      </c>
      <c r="U119" s="18">
        <f>IF($A119="","",1)</f>
        <v/>
      </c>
      <c r="V119" s="18">
        <f>IF($A119="","",$F119*$N119*mbk_durusKatsayi)</f>
        <v/>
      </c>
    </row>
    <row r="120">
      <c r="A120" s="15" t="n"/>
      <c r="B120" s="15" t="n"/>
      <c r="C120" s="64" t="n"/>
      <c r="D120" s="64" t="n"/>
      <c r="E120" s="17" t="n"/>
      <c r="F120" s="17" t="n"/>
      <c r="G120" s="17" t="n"/>
      <c r="H120" s="15" t="n"/>
      <c r="I120" s="15" t="n"/>
      <c r="J120" s="15" t="n"/>
      <c r="K120" s="15" t="n"/>
      <c r="L120" s="15" t="n"/>
      <c r="M120" s="15" t="n"/>
      <c r="N120" s="16" t="n"/>
      <c r="O120" s="18">
        <f>IF($A120="","",$F120)</f>
        <v/>
      </c>
      <c r="P120" s="18">
        <f>IF($A120="","",IF($J120="YAPILDI",0,IF($C120="","",raporTarihi-$C120)))</f>
        <v/>
      </c>
      <c r="Q120" s="18">
        <f>IF($A120="","",IF($P120="","",IF($P120&lt;=mbk_kovaEsik1,"0-7",IF($P120&lt;=mbk_kovaEsik2,"8-30",IF($P120&lt;=mbk_kovaEsik3,"31-60","60+")))))</f>
        <v/>
      </c>
      <c r="R120" s="18">
        <f>IF($A120="","",IF($B120="","YETİM",IF(COUNTIF(tblMakineler[MakineId],$B120)=0,"YETİM","")))</f>
        <v/>
      </c>
      <c r="S120" s="18">
        <f>IF(OR($A120="",$I120=""),"",IF(OR($I120&amp;"|"&amp;$J120="",COUNTIF(ListeIzinliGecis,$I120&amp;"|"&amp;$J120)&gt;0),"","GEÇERSİZ GEÇİŞ"))</f>
        <v/>
      </c>
      <c r="T120" s="18">
        <f>IF($A120="","",IF(OR($E120="",$F120=""),"",IF(ABS($F120-$E120)&gt;zincirTolerans,"ZİNCİR KIRIK","OK")))</f>
        <v/>
      </c>
      <c r="U120" s="18">
        <f>IF($A120="","",1)</f>
        <v/>
      </c>
      <c r="V120" s="18">
        <f>IF($A120="","",$F120*$N120*mbk_durusKatsayi)</f>
        <v/>
      </c>
    </row>
    <row r="121">
      <c r="A121" s="15" t="n"/>
      <c r="B121" s="15" t="n"/>
      <c r="C121" s="64" t="n"/>
      <c r="D121" s="64" t="n"/>
      <c r="E121" s="17" t="n"/>
      <c r="F121" s="17" t="n"/>
      <c r="G121" s="17" t="n"/>
      <c r="H121" s="15" t="n"/>
      <c r="I121" s="15" t="n"/>
      <c r="J121" s="15" t="n"/>
      <c r="K121" s="15" t="n"/>
      <c r="L121" s="15" t="n"/>
      <c r="M121" s="15" t="n"/>
      <c r="N121" s="16" t="n"/>
      <c r="O121" s="18">
        <f>IF($A121="","",$F121)</f>
        <v/>
      </c>
      <c r="P121" s="18">
        <f>IF($A121="","",IF($J121="YAPILDI",0,IF($C121="","",raporTarihi-$C121)))</f>
        <v/>
      </c>
      <c r="Q121" s="18">
        <f>IF($A121="","",IF($P121="","",IF($P121&lt;=mbk_kovaEsik1,"0-7",IF($P121&lt;=mbk_kovaEsik2,"8-30",IF($P121&lt;=mbk_kovaEsik3,"31-60","60+")))))</f>
        <v/>
      </c>
      <c r="R121" s="18">
        <f>IF($A121="","",IF($B121="","YETİM",IF(COUNTIF(tblMakineler[MakineId],$B121)=0,"YETİM","")))</f>
        <v/>
      </c>
      <c r="S121" s="18">
        <f>IF(OR($A121="",$I121=""),"",IF(OR($I121&amp;"|"&amp;$J121="",COUNTIF(ListeIzinliGecis,$I121&amp;"|"&amp;$J121)&gt;0),"","GEÇERSİZ GEÇİŞ"))</f>
        <v/>
      </c>
      <c r="T121" s="18">
        <f>IF($A121="","",IF(OR($E121="",$F121=""),"",IF(ABS($F121-$E121)&gt;zincirTolerans,"ZİNCİR KIRIK","OK")))</f>
        <v/>
      </c>
      <c r="U121" s="18">
        <f>IF($A121="","",1)</f>
        <v/>
      </c>
      <c r="V121" s="18">
        <f>IF($A121="","",$F121*$N121*mbk_durusKatsayi)</f>
        <v/>
      </c>
    </row>
    <row r="122">
      <c r="A122" s="15" t="n"/>
      <c r="B122" s="15" t="n"/>
      <c r="C122" s="64" t="n"/>
      <c r="D122" s="64" t="n"/>
      <c r="E122" s="17" t="n"/>
      <c r="F122" s="17" t="n"/>
      <c r="G122" s="17" t="n"/>
      <c r="H122" s="15" t="n"/>
      <c r="I122" s="15" t="n"/>
      <c r="J122" s="15" t="n"/>
      <c r="K122" s="15" t="n"/>
      <c r="L122" s="15" t="n"/>
      <c r="M122" s="15" t="n"/>
      <c r="N122" s="16" t="n"/>
      <c r="O122" s="18">
        <f>IF($A122="","",$F122)</f>
        <v/>
      </c>
      <c r="P122" s="18">
        <f>IF($A122="","",IF($J122="YAPILDI",0,IF($C122="","",raporTarihi-$C122)))</f>
        <v/>
      </c>
      <c r="Q122" s="18">
        <f>IF($A122="","",IF($P122="","",IF($P122&lt;=mbk_kovaEsik1,"0-7",IF($P122&lt;=mbk_kovaEsik2,"8-30",IF($P122&lt;=mbk_kovaEsik3,"31-60","60+")))))</f>
        <v/>
      </c>
      <c r="R122" s="18">
        <f>IF($A122="","",IF($B122="","YETİM",IF(COUNTIF(tblMakineler[MakineId],$B122)=0,"YETİM","")))</f>
        <v/>
      </c>
      <c r="S122" s="18">
        <f>IF(OR($A122="",$I122=""),"",IF(OR($I122&amp;"|"&amp;$J122="",COUNTIF(ListeIzinliGecis,$I122&amp;"|"&amp;$J122)&gt;0),"","GEÇERSİZ GEÇİŞ"))</f>
        <v/>
      </c>
      <c r="T122" s="18">
        <f>IF($A122="","",IF(OR($E122="",$F122=""),"",IF(ABS($F122-$E122)&gt;zincirTolerans,"ZİNCİR KIRIK","OK")))</f>
        <v/>
      </c>
      <c r="U122" s="18">
        <f>IF($A122="","",1)</f>
        <v/>
      </c>
      <c r="V122" s="18">
        <f>IF($A122="","",$F122*$N122*mbk_durusKatsayi)</f>
        <v/>
      </c>
    </row>
    <row r="123">
      <c r="A123" s="15" t="n"/>
      <c r="B123" s="15" t="n"/>
      <c r="C123" s="64" t="n"/>
      <c r="D123" s="64" t="n"/>
      <c r="E123" s="17" t="n"/>
      <c r="F123" s="17" t="n"/>
      <c r="G123" s="17" t="n"/>
      <c r="H123" s="15" t="n"/>
      <c r="I123" s="15" t="n"/>
      <c r="J123" s="15" t="n"/>
      <c r="K123" s="15" t="n"/>
      <c r="L123" s="15" t="n"/>
      <c r="M123" s="15" t="n"/>
      <c r="N123" s="16" t="n"/>
      <c r="O123" s="18">
        <f>IF($A123="","",$F123)</f>
        <v/>
      </c>
      <c r="P123" s="18">
        <f>IF($A123="","",IF($J123="YAPILDI",0,IF($C123="","",raporTarihi-$C123)))</f>
        <v/>
      </c>
      <c r="Q123" s="18">
        <f>IF($A123="","",IF($P123="","",IF($P123&lt;=mbk_kovaEsik1,"0-7",IF($P123&lt;=mbk_kovaEsik2,"8-30",IF($P123&lt;=mbk_kovaEsik3,"31-60","60+")))))</f>
        <v/>
      </c>
      <c r="R123" s="18">
        <f>IF($A123="","",IF($B123="","YETİM",IF(COUNTIF(tblMakineler[MakineId],$B123)=0,"YETİM","")))</f>
        <v/>
      </c>
      <c r="S123" s="18">
        <f>IF(OR($A123="",$I123=""),"",IF(OR($I123&amp;"|"&amp;$J123="",COUNTIF(ListeIzinliGecis,$I123&amp;"|"&amp;$J123)&gt;0),"","GEÇERSİZ GEÇİŞ"))</f>
        <v/>
      </c>
      <c r="T123" s="18">
        <f>IF($A123="","",IF(OR($E123="",$F123=""),"",IF(ABS($F123-$E123)&gt;zincirTolerans,"ZİNCİR KIRIK","OK")))</f>
        <v/>
      </c>
      <c r="U123" s="18">
        <f>IF($A123="","",1)</f>
        <v/>
      </c>
      <c r="V123" s="18">
        <f>IF($A123="","",$F123*$N123*mbk_durusKatsayi)</f>
        <v/>
      </c>
    </row>
    <row r="124">
      <c r="A124" s="15" t="n"/>
      <c r="B124" s="15" t="n"/>
      <c r="C124" s="64" t="n"/>
      <c r="D124" s="64" t="n"/>
      <c r="E124" s="17" t="n"/>
      <c r="F124" s="17" t="n"/>
      <c r="G124" s="17" t="n"/>
      <c r="H124" s="15" t="n"/>
      <c r="I124" s="15" t="n"/>
      <c r="J124" s="15" t="n"/>
      <c r="K124" s="15" t="n"/>
      <c r="L124" s="15" t="n"/>
      <c r="M124" s="15" t="n"/>
      <c r="N124" s="16" t="n"/>
      <c r="O124" s="18">
        <f>IF($A124="","",$F124)</f>
        <v/>
      </c>
      <c r="P124" s="18">
        <f>IF($A124="","",IF($J124="YAPILDI",0,IF($C124="","",raporTarihi-$C124)))</f>
        <v/>
      </c>
      <c r="Q124" s="18">
        <f>IF($A124="","",IF($P124="","",IF($P124&lt;=mbk_kovaEsik1,"0-7",IF($P124&lt;=mbk_kovaEsik2,"8-30",IF($P124&lt;=mbk_kovaEsik3,"31-60","60+")))))</f>
        <v/>
      </c>
      <c r="R124" s="18">
        <f>IF($A124="","",IF($B124="","YETİM",IF(COUNTIF(tblMakineler[MakineId],$B124)=0,"YETİM","")))</f>
        <v/>
      </c>
      <c r="S124" s="18">
        <f>IF(OR($A124="",$I124=""),"",IF(OR($I124&amp;"|"&amp;$J124="",COUNTIF(ListeIzinliGecis,$I124&amp;"|"&amp;$J124)&gt;0),"","GEÇERSİZ GEÇİŞ"))</f>
        <v/>
      </c>
      <c r="T124" s="18">
        <f>IF($A124="","",IF(OR($E124="",$F124=""),"",IF(ABS($F124-$E124)&gt;zincirTolerans,"ZİNCİR KIRIK","OK")))</f>
        <v/>
      </c>
      <c r="U124" s="18">
        <f>IF($A124="","",1)</f>
        <v/>
      </c>
      <c r="V124" s="18">
        <f>IF($A124="","",$F124*$N124*mbk_durusKatsayi)</f>
        <v/>
      </c>
    </row>
    <row r="125">
      <c r="A125" s="15" t="n"/>
      <c r="B125" s="15" t="n"/>
      <c r="C125" s="64" t="n"/>
      <c r="D125" s="64" t="n"/>
      <c r="E125" s="17" t="n"/>
      <c r="F125" s="17" t="n"/>
      <c r="G125" s="17" t="n"/>
      <c r="H125" s="15" t="n"/>
      <c r="I125" s="15" t="n"/>
      <c r="J125" s="15" t="n"/>
      <c r="K125" s="15" t="n"/>
      <c r="L125" s="15" t="n"/>
      <c r="M125" s="15" t="n"/>
      <c r="N125" s="16" t="n"/>
      <c r="O125" s="18">
        <f>IF($A125="","",$F125)</f>
        <v/>
      </c>
      <c r="P125" s="18">
        <f>IF($A125="","",IF($J125="YAPILDI",0,IF($C125="","",raporTarihi-$C125)))</f>
        <v/>
      </c>
      <c r="Q125" s="18">
        <f>IF($A125="","",IF($P125="","",IF($P125&lt;=mbk_kovaEsik1,"0-7",IF($P125&lt;=mbk_kovaEsik2,"8-30",IF($P125&lt;=mbk_kovaEsik3,"31-60","60+")))))</f>
        <v/>
      </c>
      <c r="R125" s="18">
        <f>IF($A125="","",IF($B125="","YETİM",IF(COUNTIF(tblMakineler[MakineId],$B125)=0,"YETİM","")))</f>
        <v/>
      </c>
      <c r="S125" s="18">
        <f>IF(OR($A125="",$I125=""),"",IF(OR($I125&amp;"|"&amp;$J125="",COUNTIF(ListeIzinliGecis,$I125&amp;"|"&amp;$J125)&gt;0),"","GEÇERSİZ GEÇİŞ"))</f>
        <v/>
      </c>
      <c r="T125" s="18">
        <f>IF($A125="","",IF(OR($E125="",$F125=""),"",IF(ABS($F125-$E125)&gt;zincirTolerans,"ZİNCİR KIRIK","OK")))</f>
        <v/>
      </c>
      <c r="U125" s="18">
        <f>IF($A125="","",1)</f>
        <v/>
      </c>
      <c r="V125" s="18">
        <f>IF($A125="","",$F125*$N125*mbk_durusKatsayi)</f>
        <v/>
      </c>
    </row>
    <row r="126">
      <c r="A126" s="15" t="n"/>
      <c r="B126" s="15" t="n"/>
      <c r="C126" s="64" t="n"/>
      <c r="D126" s="64" t="n"/>
      <c r="E126" s="17" t="n"/>
      <c r="F126" s="17" t="n"/>
      <c r="G126" s="17" t="n"/>
      <c r="H126" s="15" t="n"/>
      <c r="I126" s="15" t="n"/>
      <c r="J126" s="15" t="n"/>
      <c r="K126" s="15" t="n"/>
      <c r="L126" s="15" t="n"/>
      <c r="M126" s="15" t="n"/>
      <c r="N126" s="16" t="n"/>
      <c r="O126" s="18">
        <f>IF($A126="","",$F126)</f>
        <v/>
      </c>
      <c r="P126" s="18">
        <f>IF($A126="","",IF($J126="YAPILDI",0,IF($C126="","",raporTarihi-$C126)))</f>
        <v/>
      </c>
      <c r="Q126" s="18">
        <f>IF($A126="","",IF($P126="","",IF($P126&lt;=mbk_kovaEsik1,"0-7",IF($P126&lt;=mbk_kovaEsik2,"8-30",IF($P126&lt;=mbk_kovaEsik3,"31-60","60+")))))</f>
        <v/>
      </c>
      <c r="R126" s="18">
        <f>IF($A126="","",IF($B126="","YETİM",IF(COUNTIF(tblMakineler[MakineId],$B126)=0,"YETİM","")))</f>
        <v/>
      </c>
      <c r="S126" s="18">
        <f>IF(OR($A126="",$I126=""),"",IF(OR($I126&amp;"|"&amp;$J126="",COUNTIF(ListeIzinliGecis,$I126&amp;"|"&amp;$J126)&gt;0),"","GEÇERSİZ GEÇİŞ"))</f>
        <v/>
      </c>
      <c r="T126" s="18">
        <f>IF($A126="","",IF(OR($E126="",$F126=""),"",IF(ABS($F126-$E126)&gt;zincirTolerans,"ZİNCİR KIRIK","OK")))</f>
        <v/>
      </c>
      <c r="U126" s="18">
        <f>IF($A126="","",1)</f>
        <v/>
      </c>
      <c r="V126" s="18">
        <f>IF($A126="","",$F126*$N126*mbk_durusKatsayi)</f>
        <v/>
      </c>
    </row>
    <row r="127">
      <c r="A127" s="15" t="n"/>
      <c r="B127" s="15" t="n"/>
      <c r="C127" s="64" t="n"/>
      <c r="D127" s="64" t="n"/>
      <c r="E127" s="17" t="n"/>
      <c r="F127" s="17" t="n"/>
      <c r="G127" s="17" t="n"/>
      <c r="H127" s="15" t="n"/>
      <c r="I127" s="15" t="n"/>
      <c r="J127" s="15" t="n"/>
      <c r="K127" s="15" t="n"/>
      <c r="L127" s="15" t="n"/>
      <c r="M127" s="15" t="n"/>
      <c r="N127" s="16" t="n"/>
      <c r="O127" s="18">
        <f>IF($A127="","",$F127)</f>
        <v/>
      </c>
      <c r="P127" s="18">
        <f>IF($A127="","",IF($J127="YAPILDI",0,IF($C127="","",raporTarihi-$C127)))</f>
        <v/>
      </c>
      <c r="Q127" s="18">
        <f>IF($A127="","",IF($P127="","",IF($P127&lt;=mbk_kovaEsik1,"0-7",IF($P127&lt;=mbk_kovaEsik2,"8-30",IF($P127&lt;=mbk_kovaEsik3,"31-60","60+")))))</f>
        <v/>
      </c>
      <c r="R127" s="18">
        <f>IF($A127="","",IF($B127="","YETİM",IF(COUNTIF(tblMakineler[MakineId],$B127)=0,"YETİM","")))</f>
        <v/>
      </c>
      <c r="S127" s="18">
        <f>IF(OR($A127="",$I127=""),"",IF(OR($I127&amp;"|"&amp;$J127="",COUNTIF(ListeIzinliGecis,$I127&amp;"|"&amp;$J127)&gt;0),"","GEÇERSİZ GEÇİŞ"))</f>
        <v/>
      </c>
      <c r="T127" s="18">
        <f>IF($A127="","",IF(OR($E127="",$F127=""),"",IF(ABS($F127-$E127)&gt;zincirTolerans,"ZİNCİR KIRIK","OK")))</f>
        <v/>
      </c>
      <c r="U127" s="18">
        <f>IF($A127="","",1)</f>
        <v/>
      </c>
      <c r="V127" s="18">
        <f>IF($A127="","",$F127*$N127*mbk_durusKatsayi)</f>
        <v/>
      </c>
    </row>
    <row r="128">
      <c r="A128" s="15" t="n"/>
      <c r="B128" s="15" t="n"/>
      <c r="C128" s="64" t="n"/>
      <c r="D128" s="64" t="n"/>
      <c r="E128" s="17" t="n"/>
      <c r="F128" s="17" t="n"/>
      <c r="G128" s="17" t="n"/>
      <c r="H128" s="15" t="n"/>
      <c r="I128" s="15" t="n"/>
      <c r="J128" s="15" t="n"/>
      <c r="K128" s="15" t="n"/>
      <c r="L128" s="15" t="n"/>
      <c r="M128" s="15" t="n"/>
      <c r="N128" s="16" t="n"/>
      <c r="O128" s="18">
        <f>IF($A128="","",$F128)</f>
        <v/>
      </c>
      <c r="P128" s="18">
        <f>IF($A128="","",IF($J128="YAPILDI",0,IF($C128="","",raporTarihi-$C128)))</f>
        <v/>
      </c>
      <c r="Q128" s="18">
        <f>IF($A128="","",IF($P128="","",IF($P128&lt;=mbk_kovaEsik1,"0-7",IF($P128&lt;=mbk_kovaEsik2,"8-30",IF($P128&lt;=mbk_kovaEsik3,"31-60","60+")))))</f>
        <v/>
      </c>
      <c r="R128" s="18">
        <f>IF($A128="","",IF($B128="","YETİM",IF(COUNTIF(tblMakineler[MakineId],$B128)=0,"YETİM","")))</f>
        <v/>
      </c>
      <c r="S128" s="18">
        <f>IF(OR($A128="",$I128=""),"",IF(OR($I128&amp;"|"&amp;$J128="",COUNTIF(ListeIzinliGecis,$I128&amp;"|"&amp;$J128)&gt;0),"","GEÇERSİZ GEÇİŞ"))</f>
        <v/>
      </c>
      <c r="T128" s="18">
        <f>IF($A128="","",IF(OR($E128="",$F128=""),"",IF(ABS($F128-$E128)&gt;zincirTolerans,"ZİNCİR KIRIK","OK")))</f>
        <v/>
      </c>
      <c r="U128" s="18">
        <f>IF($A128="","",1)</f>
        <v/>
      </c>
      <c r="V128" s="18">
        <f>IF($A128="","",$F128*$N128*mbk_durusKatsayi)</f>
        <v/>
      </c>
    </row>
    <row r="129">
      <c r="A129" s="15" t="n"/>
      <c r="B129" s="15" t="n"/>
      <c r="C129" s="64" t="n"/>
      <c r="D129" s="64" t="n"/>
      <c r="E129" s="17" t="n"/>
      <c r="F129" s="17" t="n"/>
      <c r="G129" s="17" t="n"/>
      <c r="H129" s="15" t="n"/>
      <c r="I129" s="15" t="n"/>
      <c r="J129" s="15" t="n"/>
      <c r="K129" s="15" t="n"/>
      <c r="L129" s="15" t="n"/>
      <c r="M129" s="15" t="n"/>
      <c r="N129" s="16" t="n"/>
      <c r="O129" s="18">
        <f>IF($A129="","",$F129)</f>
        <v/>
      </c>
      <c r="P129" s="18">
        <f>IF($A129="","",IF($J129="YAPILDI",0,IF($C129="","",raporTarihi-$C129)))</f>
        <v/>
      </c>
      <c r="Q129" s="18">
        <f>IF($A129="","",IF($P129="","",IF($P129&lt;=mbk_kovaEsik1,"0-7",IF($P129&lt;=mbk_kovaEsik2,"8-30",IF($P129&lt;=mbk_kovaEsik3,"31-60","60+")))))</f>
        <v/>
      </c>
      <c r="R129" s="18">
        <f>IF($A129="","",IF($B129="","YETİM",IF(COUNTIF(tblMakineler[MakineId],$B129)=0,"YETİM","")))</f>
        <v/>
      </c>
      <c r="S129" s="18">
        <f>IF(OR($A129="",$I129=""),"",IF(OR($I129&amp;"|"&amp;$J129="",COUNTIF(ListeIzinliGecis,$I129&amp;"|"&amp;$J129)&gt;0),"","GEÇERSİZ GEÇİŞ"))</f>
        <v/>
      </c>
      <c r="T129" s="18">
        <f>IF($A129="","",IF(OR($E129="",$F129=""),"",IF(ABS($F129-$E129)&gt;zincirTolerans,"ZİNCİR KIRIK","OK")))</f>
        <v/>
      </c>
      <c r="U129" s="18">
        <f>IF($A129="","",1)</f>
        <v/>
      </c>
      <c r="V129" s="18">
        <f>IF($A129="","",$F129*$N129*mbk_durusKatsayi)</f>
        <v/>
      </c>
    </row>
    <row r="130">
      <c r="A130" s="15" t="n"/>
      <c r="B130" s="15" t="n"/>
      <c r="C130" s="64" t="n"/>
      <c r="D130" s="64" t="n"/>
      <c r="E130" s="17" t="n"/>
      <c r="F130" s="17" t="n"/>
      <c r="G130" s="17" t="n"/>
      <c r="H130" s="15" t="n"/>
      <c r="I130" s="15" t="n"/>
      <c r="J130" s="15" t="n"/>
      <c r="K130" s="15" t="n"/>
      <c r="L130" s="15" t="n"/>
      <c r="M130" s="15" t="n"/>
      <c r="N130" s="16" t="n"/>
      <c r="O130" s="18">
        <f>IF($A130="","",$F130)</f>
        <v/>
      </c>
      <c r="P130" s="18">
        <f>IF($A130="","",IF($J130="YAPILDI",0,IF($C130="","",raporTarihi-$C130)))</f>
        <v/>
      </c>
      <c r="Q130" s="18">
        <f>IF($A130="","",IF($P130="","",IF($P130&lt;=mbk_kovaEsik1,"0-7",IF($P130&lt;=mbk_kovaEsik2,"8-30",IF($P130&lt;=mbk_kovaEsik3,"31-60","60+")))))</f>
        <v/>
      </c>
      <c r="R130" s="18">
        <f>IF($A130="","",IF($B130="","YETİM",IF(COUNTIF(tblMakineler[MakineId],$B130)=0,"YETİM","")))</f>
        <v/>
      </c>
      <c r="S130" s="18">
        <f>IF(OR($A130="",$I130=""),"",IF(OR($I130&amp;"|"&amp;$J130="",COUNTIF(ListeIzinliGecis,$I130&amp;"|"&amp;$J130)&gt;0),"","GEÇERSİZ GEÇİŞ"))</f>
        <v/>
      </c>
      <c r="T130" s="18">
        <f>IF($A130="","",IF(OR($E130="",$F130=""),"",IF(ABS($F130-$E130)&gt;zincirTolerans,"ZİNCİR KIRIK","OK")))</f>
        <v/>
      </c>
      <c r="U130" s="18">
        <f>IF($A130="","",1)</f>
        <v/>
      </c>
      <c r="V130" s="18">
        <f>IF($A130="","",$F130*$N130*mbk_durusKatsayi)</f>
        <v/>
      </c>
    </row>
    <row r="131">
      <c r="A131" s="15" t="n"/>
      <c r="B131" s="15" t="n"/>
      <c r="C131" s="64" t="n"/>
      <c r="D131" s="64" t="n"/>
      <c r="E131" s="17" t="n"/>
      <c r="F131" s="17" t="n"/>
      <c r="G131" s="17" t="n"/>
      <c r="H131" s="15" t="n"/>
      <c r="I131" s="15" t="n"/>
      <c r="J131" s="15" t="n"/>
      <c r="K131" s="15" t="n"/>
      <c r="L131" s="15" t="n"/>
      <c r="M131" s="15" t="n"/>
      <c r="N131" s="16" t="n"/>
      <c r="O131" s="18">
        <f>IF($A131="","",$F131)</f>
        <v/>
      </c>
      <c r="P131" s="18">
        <f>IF($A131="","",IF($J131="YAPILDI",0,IF($C131="","",raporTarihi-$C131)))</f>
        <v/>
      </c>
      <c r="Q131" s="18">
        <f>IF($A131="","",IF($P131="","",IF($P131&lt;=mbk_kovaEsik1,"0-7",IF($P131&lt;=mbk_kovaEsik2,"8-30",IF($P131&lt;=mbk_kovaEsik3,"31-60","60+")))))</f>
        <v/>
      </c>
      <c r="R131" s="18">
        <f>IF($A131="","",IF($B131="","YETİM",IF(COUNTIF(tblMakineler[MakineId],$B131)=0,"YETİM","")))</f>
        <v/>
      </c>
      <c r="S131" s="18">
        <f>IF(OR($A131="",$I131=""),"",IF(OR($I131&amp;"|"&amp;$J131="",COUNTIF(ListeIzinliGecis,$I131&amp;"|"&amp;$J131)&gt;0),"","GEÇERSİZ GEÇİŞ"))</f>
        <v/>
      </c>
      <c r="T131" s="18">
        <f>IF($A131="","",IF(OR($E131="",$F131=""),"",IF(ABS($F131-$E131)&gt;zincirTolerans,"ZİNCİR KIRIK","OK")))</f>
        <v/>
      </c>
      <c r="U131" s="18">
        <f>IF($A131="","",1)</f>
        <v/>
      </c>
      <c r="V131" s="18">
        <f>IF($A131="","",$F131*$N131*mbk_durusKatsayi)</f>
        <v/>
      </c>
    </row>
    <row r="132">
      <c r="A132" s="15" t="n"/>
      <c r="B132" s="15" t="n"/>
      <c r="C132" s="64" t="n"/>
      <c r="D132" s="64" t="n"/>
      <c r="E132" s="17" t="n"/>
      <c r="F132" s="17" t="n"/>
      <c r="G132" s="17" t="n"/>
      <c r="H132" s="15" t="n"/>
      <c r="I132" s="15" t="n"/>
      <c r="J132" s="15" t="n"/>
      <c r="K132" s="15" t="n"/>
      <c r="L132" s="15" t="n"/>
      <c r="M132" s="15" t="n"/>
      <c r="N132" s="16" t="n"/>
      <c r="O132" s="18">
        <f>IF($A132="","",$F132)</f>
        <v/>
      </c>
      <c r="P132" s="18">
        <f>IF($A132="","",IF($J132="YAPILDI",0,IF($C132="","",raporTarihi-$C132)))</f>
        <v/>
      </c>
      <c r="Q132" s="18">
        <f>IF($A132="","",IF($P132="","",IF($P132&lt;=mbk_kovaEsik1,"0-7",IF($P132&lt;=mbk_kovaEsik2,"8-30",IF($P132&lt;=mbk_kovaEsik3,"31-60","60+")))))</f>
        <v/>
      </c>
      <c r="R132" s="18">
        <f>IF($A132="","",IF($B132="","YETİM",IF(COUNTIF(tblMakineler[MakineId],$B132)=0,"YETİM","")))</f>
        <v/>
      </c>
      <c r="S132" s="18">
        <f>IF(OR($A132="",$I132=""),"",IF(OR($I132&amp;"|"&amp;$J132="",COUNTIF(ListeIzinliGecis,$I132&amp;"|"&amp;$J132)&gt;0),"","GEÇERSİZ GEÇİŞ"))</f>
        <v/>
      </c>
      <c r="T132" s="18">
        <f>IF($A132="","",IF(OR($E132="",$F132=""),"",IF(ABS($F132-$E132)&gt;zincirTolerans,"ZİNCİR KIRIK","OK")))</f>
        <v/>
      </c>
      <c r="U132" s="18">
        <f>IF($A132="","",1)</f>
        <v/>
      </c>
      <c r="V132" s="18">
        <f>IF($A132="","",$F132*$N132*mbk_durusKatsayi)</f>
        <v/>
      </c>
    </row>
    <row r="133">
      <c r="A133" s="15" t="n"/>
      <c r="B133" s="15" t="n"/>
      <c r="C133" s="64" t="n"/>
      <c r="D133" s="64" t="n"/>
      <c r="E133" s="17" t="n"/>
      <c r="F133" s="17" t="n"/>
      <c r="G133" s="17" t="n"/>
      <c r="H133" s="15" t="n"/>
      <c r="I133" s="15" t="n"/>
      <c r="J133" s="15" t="n"/>
      <c r="K133" s="15" t="n"/>
      <c r="L133" s="15" t="n"/>
      <c r="M133" s="15" t="n"/>
      <c r="N133" s="16" t="n"/>
      <c r="O133" s="18">
        <f>IF($A133="","",$F133)</f>
        <v/>
      </c>
      <c r="P133" s="18">
        <f>IF($A133="","",IF($J133="YAPILDI",0,IF($C133="","",raporTarihi-$C133)))</f>
        <v/>
      </c>
      <c r="Q133" s="18">
        <f>IF($A133="","",IF($P133="","",IF($P133&lt;=mbk_kovaEsik1,"0-7",IF($P133&lt;=mbk_kovaEsik2,"8-30",IF($P133&lt;=mbk_kovaEsik3,"31-60","60+")))))</f>
        <v/>
      </c>
      <c r="R133" s="18">
        <f>IF($A133="","",IF($B133="","YETİM",IF(COUNTIF(tblMakineler[MakineId],$B133)=0,"YETİM","")))</f>
        <v/>
      </c>
      <c r="S133" s="18">
        <f>IF(OR($A133="",$I133=""),"",IF(OR($I133&amp;"|"&amp;$J133="",COUNTIF(ListeIzinliGecis,$I133&amp;"|"&amp;$J133)&gt;0),"","GEÇERSİZ GEÇİŞ"))</f>
        <v/>
      </c>
      <c r="T133" s="18">
        <f>IF($A133="","",IF(OR($E133="",$F133=""),"",IF(ABS($F133-$E133)&gt;zincirTolerans,"ZİNCİR KIRIK","OK")))</f>
        <v/>
      </c>
      <c r="U133" s="18">
        <f>IF($A133="","",1)</f>
        <v/>
      </c>
      <c r="V133" s="18">
        <f>IF($A133="","",$F133*$N133*mbk_durusKatsayi)</f>
        <v/>
      </c>
    </row>
    <row r="134">
      <c r="A134" s="15" t="n"/>
      <c r="B134" s="15" t="n"/>
      <c r="C134" s="64" t="n"/>
      <c r="D134" s="64" t="n"/>
      <c r="E134" s="17" t="n"/>
      <c r="F134" s="17" t="n"/>
      <c r="G134" s="17" t="n"/>
      <c r="H134" s="15" t="n"/>
      <c r="I134" s="15" t="n"/>
      <c r="J134" s="15" t="n"/>
      <c r="K134" s="15" t="n"/>
      <c r="L134" s="15" t="n"/>
      <c r="M134" s="15" t="n"/>
      <c r="N134" s="16" t="n"/>
      <c r="O134" s="18">
        <f>IF($A134="","",$F134)</f>
        <v/>
      </c>
      <c r="P134" s="18">
        <f>IF($A134="","",IF($J134="YAPILDI",0,IF($C134="","",raporTarihi-$C134)))</f>
        <v/>
      </c>
      <c r="Q134" s="18">
        <f>IF($A134="","",IF($P134="","",IF($P134&lt;=mbk_kovaEsik1,"0-7",IF($P134&lt;=mbk_kovaEsik2,"8-30",IF($P134&lt;=mbk_kovaEsik3,"31-60","60+")))))</f>
        <v/>
      </c>
      <c r="R134" s="18">
        <f>IF($A134="","",IF($B134="","YETİM",IF(COUNTIF(tblMakineler[MakineId],$B134)=0,"YETİM","")))</f>
        <v/>
      </c>
      <c r="S134" s="18">
        <f>IF(OR($A134="",$I134=""),"",IF(OR($I134&amp;"|"&amp;$J134="",COUNTIF(ListeIzinliGecis,$I134&amp;"|"&amp;$J134)&gt;0),"","GEÇERSİZ GEÇİŞ"))</f>
        <v/>
      </c>
      <c r="T134" s="18">
        <f>IF($A134="","",IF(OR($E134="",$F134=""),"",IF(ABS($F134-$E134)&gt;zincirTolerans,"ZİNCİR KIRIK","OK")))</f>
        <v/>
      </c>
      <c r="U134" s="18">
        <f>IF($A134="","",1)</f>
        <v/>
      </c>
      <c r="V134" s="18">
        <f>IF($A134="","",$F134*$N134*mbk_durusKatsayi)</f>
        <v/>
      </c>
    </row>
    <row r="135">
      <c r="A135" s="15" t="n"/>
      <c r="B135" s="15" t="n"/>
      <c r="C135" s="64" t="n"/>
      <c r="D135" s="64" t="n"/>
      <c r="E135" s="17" t="n"/>
      <c r="F135" s="17" t="n"/>
      <c r="G135" s="17" t="n"/>
      <c r="H135" s="15" t="n"/>
      <c r="I135" s="15" t="n"/>
      <c r="J135" s="15" t="n"/>
      <c r="K135" s="15" t="n"/>
      <c r="L135" s="15" t="n"/>
      <c r="M135" s="15" t="n"/>
      <c r="N135" s="16" t="n"/>
      <c r="O135" s="18">
        <f>IF($A135="","",$F135)</f>
        <v/>
      </c>
      <c r="P135" s="18">
        <f>IF($A135="","",IF($J135="YAPILDI",0,IF($C135="","",raporTarihi-$C135)))</f>
        <v/>
      </c>
      <c r="Q135" s="18">
        <f>IF($A135="","",IF($P135="","",IF($P135&lt;=mbk_kovaEsik1,"0-7",IF($P135&lt;=mbk_kovaEsik2,"8-30",IF($P135&lt;=mbk_kovaEsik3,"31-60","60+")))))</f>
        <v/>
      </c>
      <c r="R135" s="18">
        <f>IF($A135="","",IF($B135="","YETİM",IF(COUNTIF(tblMakineler[MakineId],$B135)=0,"YETİM","")))</f>
        <v/>
      </c>
      <c r="S135" s="18">
        <f>IF(OR($A135="",$I135=""),"",IF(OR($I135&amp;"|"&amp;$J135="",COUNTIF(ListeIzinliGecis,$I135&amp;"|"&amp;$J135)&gt;0),"","GEÇERSİZ GEÇİŞ"))</f>
        <v/>
      </c>
      <c r="T135" s="18">
        <f>IF($A135="","",IF(OR($E135="",$F135=""),"",IF(ABS($F135-$E135)&gt;zincirTolerans,"ZİNCİR KIRIK","OK")))</f>
        <v/>
      </c>
      <c r="U135" s="18">
        <f>IF($A135="","",1)</f>
        <v/>
      </c>
      <c r="V135" s="18">
        <f>IF($A135="","",$F135*$N135*mbk_durusKatsayi)</f>
        <v/>
      </c>
    </row>
    <row r="136">
      <c r="A136" s="15" t="n"/>
      <c r="B136" s="15" t="n"/>
      <c r="C136" s="64" t="n"/>
      <c r="D136" s="64" t="n"/>
      <c r="E136" s="17" t="n"/>
      <c r="F136" s="17" t="n"/>
      <c r="G136" s="17" t="n"/>
      <c r="H136" s="15" t="n"/>
      <c r="I136" s="15" t="n"/>
      <c r="J136" s="15" t="n"/>
      <c r="K136" s="15" t="n"/>
      <c r="L136" s="15" t="n"/>
      <c r="M136" s="15" t="n"/>
      <c r="N136" s="16" t="n"/>
      <c r="O136" s="18">
        <f>IF($A136="","",$F136)</f>
        <v/>
      </c>
      <c r="P136" s="18">
        <f>IF($A136="","",IF($J136="YAPILDI",0,IF($C136="","",raporTarihi-$C136)))</f>
        <v/>
      </c>
      <c r="Q136" s="18">
        <f>IF($A136="","",IF($P136="","",IF($P136&lt;=mbk_kovaEsik1,"0-7",IF($P136&lt;=mbk_kovaEsik2,"8-30",IF($P136&lt;=mbk_kovaEsik3,"31-60","60+")))))</f>
        <v/>
      </c>
      <c r="R136" s="18">
        <f>IF($A136="","",IF($B136="","YETİM",IF(COUNTIF(tblMakineler[MakineId],$B136)=0,"YETİM","")))</f>
        <v/>
      </c>
      <c r="S136" s="18">
        <f>IF(OR($A136="",$I136=""),"",IF(OR($I136&amp;"|"&amp;$J136="",COUNTIF(ListeIzinliGecis,$I136&amp;"|"&amp;$J136)&gt;0),"","GEÇERSİZ GEÇİŞ"))</f>
        <v/>
      </c>
      <c r="T136" s="18">
        <f>IF($A136="","",IF(OR($E136="",$F136=""),"",IF(ABS($F136-$E136)&gt;zincirTolerans,"ZİNCİR KIRIK","OK")))</f>
        <v/>
      </c>
      <c r="U136" s="18">
        <f>IF($A136="","",1)</f>
        <v/>
      </c>
      <c r="V136" s="18">
        <f>IF($A136="","",$F136*$N136*mbk_durusKatsayi)</f>
        <v/>
      </c>
    </row>
    <row r="137">
      <c r="A137" s="15" t="n"/>
      <c r="B137" s="15" t="n"/>
      <c r="C137" s="64" t="n"/>
      <c r="D137" s="64" t="n"/>
      <c r="E137" s="17" t="n"/>
      <c r="F137" s="17" t="n"/>
      <c r="G137" s="17" t="n"/>
      <c r="H137" s="15" t="n"/>
      <c r="I137" s="15" t="n"/>
      <c r="J137" s="15" t="n"/>
      <c r="K137" s="15" t="n"/>
      <c r="L137" s="15" t="n"/>
      <c r="M137" s="15" t="n"/>
      <c r="N137" s="16" t="n"/>
      <c r="O137" s="18">
        <f>IF($A137="","",$F137)</f>
        <v/>
      </c>
      <c r="P137" s="18">
        <f>IF($A137="","",IF($J137="YAPILDI",0,IF($C137="","",raporTarihi-$C137)))</f>
        <v/>
      </c>
      <c r="Q137" s="18">
        <f>IF($A137="","",IF($P137="","",IF($P137&lt;=mbk_kovaEsik1,"0-7",IF($P137&lt;=mbk_kovaEsik2,"8-30",IF($P137&lt;=mbk_kovaEsik3,"31-60","60+")))))</f>
        <v/>
      </c>
      <c r="R137" s="18">
        <f>IF($A137="","",IF($B137="","YETİM",IF(COUNTIF(tblMakineler[MakineId],$B137)=0,"YETİM","")))</f>
        <v/>
      </c>
      <c r="S137" s="18">
        <f>IF(OR($A137="",$I137=""),"",IF(OR($I137&amp;"|"&amp;$J137="",COUNTIF(ListeIzinliGecis,$I137&amp;"|"&amp;$J137)&gt;0),"","GEÇERSİZ GEÇİŞ"))</f>
        <v/>
      </c>
      <c r="T137" s="18">
        <f>IF($A137="","",IF(OR($E137="",$F137=""),"",IF(ABS($F137-$E137)&gt;zincirTolerans,"ZİNCİR KIRIK","OK")))</f>
        <v/>
      </c>
      <c r="U137" s="18">
        <f>IF($A137="","",1)</f>
        <v/>
      </c>
      <c r="V137" s="18">
        <f>IF($A137="","",$F137*$N137*mbk_durusKatsayi)</f>
        <v/>
      </c>
    </row>
    <row r="138">
      <c r="A138" s="15" t="n"/>
      <c r="B138" s="15" t="n"/>
      <c r="C138" s="64" t="n"/>
      <c r="D138" s="64" t="n"/>
      <c r="E138" s="17" t="n"/>
      <c r="F138" s="17" t="n"/>
      <c r="G138" s="17" t="n"/>
      <c r="H138" s="15" t="n"/>
      <c r="I138" s="15" t="n"/>
      <c r="J138" s="15" t="n"/>
      <c r="K138" s="15" t="n"/>
      <c r="L138" s="15" t="n"/>
      <c r="M138" s="15" t="n"/>
      <c r="N138" s="16" t="n"/>
      <c r="O138" s="18">
        <f>IF($A138="","",$F138)</f>
        <v/>
      </c>
      <c r="P138" s="18">
        <f>IF($A138="","",IF($J138="YAPILDI",0,IF($C138="","",raporTarihi-$C138)))</f>
        <v/>
      </c>
      <c r="Q138" s="18">
        <f>IF($A138="","",IF($P138="","",IF($P138&lt;=mbk_kovaEsik1,"0-7",IF($P138&lt;=mbk_kovaEsik2,"8-30",IF($P138&lt;=mbk_kovaEsik3,"31-60","60+")))))</f>
        <v/>
      </c>
      <c r="R138" s="18">
        <f>IF($A138="","",IF($B138="","YETİM",IF(COUNTIF(tblMakineler[MakineId],$B138)=0,"YETİM","")))</f>
        <v/>
      </c>
      <c r="S138" s="18">
        <f>IF(OR($A138="",$I138=""),"",IF(OR($I138&amp;"|"&amp;$J138="",COUNTIF(ListeIzinliGecis,$I138&amp;"|"&amp;$J138)&gt;0),"","GEÇERSİZ GEÇİŞ"))</f>
        <v/>
      </c>
      <c r="T138" s="18">
        <f>IF($A138="","",IF(OR($E138="",$F138=""),"",IF(ABS($F138-$E138)&gt;zincirTolerans,"ZİNCİR KIRIK","OK")))</f>
        <v/>
      </c>
      <c r="U138" s="18">
        <f>IF($A138="","",1)</f>
        <v/>
      </c>
      <c r="V138" s="18">
        <f>IF($A138="","",$F138*$N138*mbk_durusKatsayi)</f>
        <v/>
      </c>
    </row>
    <row r="139">
      <c r="A139" s="15" t="n"/>
      <c r="B139" s="15" t="n"/>
      <c r="C139" s="64" t="n"/>
      <c r="D139" s="64" t="n"/>
      <c r="E139" s="17" t="n"/>
      <c r="F139" s="17" t="n"/>
      <c r="G139" s="17" t="n"/>
      <c r="H139" s="15" t="n"/>
      <c r="I139" s="15" t="n"/>
      <c r="J139" s="15" t="n"/>
      <c r="K139" s="15" t="n"/>
      <c r="L139" s="15" t="n"/>
      <c r="M139" s="15" t="n"/>
      <c r="N139" s="16" t="n"/>
      <c r="O139" s="18">
        <f>IF($A139="","",$F139)</f>
        <v/>
      </c>
      <c r="P139" s="18">
        <f>IF($A139="","",IF($J139="YAPILDI",0,IF($C139="","",raporTarihi-$C139)))</f>
        <v/>
      </c>
      <c r="Q139" s="18">
        <f>IF($A139="","",IF($P139="","",IF($P139&lt;=mbk_kovaEsik1,"0-7",IF($P139&lt;=mbk_kovaEsik2,"8-30",IF($P139&lt;=mbk_kovaEsik3,"31-60","60+")))))</f>
        <v/>
      </c>
      <c r="R139" s="18">
        <f>IF($A139="","",IF($B139="","YETİM",IF(COUNTIF(tblMakineler[MakineId],$B139)=0,"YETİM","")))</f>
        <v/>
      </c>
      <c r="S139" s="18">
        <f>IF(OR($A139="",$I139=""),"",IF(OR($I139&amp;"|"&amp;$J139="",COUNTIF(ListeIzinliGecis,$I139&amp;"|"&amp;$J139)&gt;0),"","GEÇERSİZ GEÇİŞ"))</f>
        <v/>
      </c>
      <c r="T139" s="18">
        <f>IF($A139="","",IF(OR($E139="",$F139=""),"",IF(ABS($F139-$E139)&gt;zincirTolerans,"ZİNCİR KIRIK","OK")))</f>
        <v/>
      </c>
      <c r="U139" s="18">
        <f>IF($A139="","",1)</f>
        <v/>
      </c>
      <c r="V139" s="18">
        <f>IF($A139="","",$F139*$N139*mbk_durusKatsayi)</f>
        <v/>
      </c>
    </row>
    <row r="140">
      <c r="A140" s="15" t="n"/>
      <c r="B140" s="15" t="n"/>
      <c r="C140" s="64" t="n"/>
      <c r="D140" s="64" t="n"/>
      <c r="E140" s="17" t="n"/>
      <c r="F140" s="17" t="n"/>
      <c r="G140" s="17" t="n"/>
      <c r="H140" s="15" t="n"/>
      <c r="I140" s="15" t="n"/>
      <c r="J140" s="15" t="n"/>
      <c r="K140" s="15" t="n"/>
      <c r="L140" s="15" t="n"/>
      <c r="M140" s="15" t="n"/>
      <c r="N140" s="16" t="n"/>
      <c r="O140" s="18">
        <f>IF($A140="","",$F140)</f>
        <v/>
      </c>
      <c r="P140" s="18">
        <f>IF($A140="","",IF($J140="YAPILDI",0,IF($C140="","",raporTarihi-$C140)))</f>
        <v/>
      </c>
      <c r="Q140" s="18">
        <f>IF($A140="","",IF($P140="","",IF($P140&lt;=mbk_kovaEsik1,"0-7",IF($P140&lt;=mbk_kovaEsik2,"8-30",IF($P140&lt;=mbk_kovaEsik3,"31-60","60+")))))</f>
        <v/>
      </c>
      <c r="R140" s="18">
        <f>IF($A140="","",IF($B140="","YETİM",IF(COUNTIF(tblMakineler[MakineId],$B140)=0,"YETİM","")))</f>
        <v/>
      </c>
      <c r="S140" s="18">
        <f>IF(OR($A140="",$I140=""),"",IF(OR($I140&amp;"|"&amp;$J140="",COUNTIF(ListeIzinliGecis,$I140&amp;"|"&amp;$J140)&gt;0),"","GEÇERSİZ GEÇİŞ"))</f>
        <v/>
      </c>
      <c r="T140" s="18">
        <f>IF($A140="","",IF(OR($E140="",$F140=""),"",IF(ABS($F140-$E140)&gt;zincirTolerans,"ZİNCİR KIRIK","OK")))</f>
        <v/>
      </c>
      <c r="U140" s="18">
        <f>IF($A140="","",1)</f>
        <v/>
      </c>
      <c r="V140" s="18">
        <f>IF($A140="","",$F140*$N140*mbk_durusKatsayi)</f>
        <v/>
      </c>
    </row>
    <row r="141">
      <c r="A141" s="15" t="n"/>
      <c r="B141" s="15" t="n"/>
      <c r="C141" s="64" t="n"/>
      <c r="D141" s="64" t="n"/>
      <c r="E141" s="17" t="n"/>
      <c r="F141" s="17" t="n"/>
      <c r="G141" s="17" t="n"/>
      <c r="H141" s="15" t="n"/>
      <c r="I141" s="15" t="n"/>
      <c r="J141" s="15" t="n"/>
      <c r="K141" s="15" t="n"/>
      <c r="L141" s="15" t="n"/>
      <c r="M141" s="15" t="n"/>
      <c r="N141" s="16" t="n"/>
      <c r="O141" s="18">
        <f>IF($A141="","",$F141)</f>
        <v/>
      </c>
      <c r="P141" s="18">
        <f>IF($A141="","",IF($J141="YAPILDI",0,IF($C141="","",raporTarihi-$C141)))</f>
        <v/>
      </c>
      <c r="Q141" s="18">
        <f>IF($A141="","",IF($P141="","",IF($P141&lt;=mbk_kovaEsik1,"0-7",IF($P141&lt;=mbk_kovaEsik2,"8-30",IF($P141&lt;=mbk_kovaEsik3,"31-60","60+")))))</f>
        <v/>
      </c>
      <c r="R141" s="18">
        <f>IF($A141="","",IF($B141="","YETİM",IF(COUNTIF(tblMakineler[MakineId],$B141)=0,"YETİM","")))</f>
        <v/>
      </c>
      <c r="S141" s="18">
        <f>IF(OR($A141="",$I141=""),"",IF(OR($I141&amp;"|"&amp;$J141="",COUNTIF(ListeIzinliGecis,$I141&amp;"|"&amp;$J141)&gt;0),"","GEÇERSİZ GEÇİŞ"))</f>
        <v/>
      </c>
      <c r="T141" s="18">
        <f>IF($A141="","",IF(OR($E141="",$F141=""),"",IF(ABS($F141-$E141)&gt;zincirTolerans,"ZİNCİR KIRIK","OK")))</f>
        <v/>
      </c>
      <c r="U141" s="18">
        <f>IF($A141="","",1)</f>
        <v/>
      </c>
      <c r="V141" s="18">
        <f>IF($A141="","",$F141*$N141*mbk_durusKatsayi)</f>
        <v/>
      </c>
    </row>
    <row r="142">
      <c r="A142" s="15" t="n"/>
      <c r="B142" s="15" t="n"/>
      <c r="C142" s="64" t="n"/>
      <c r="D142" s="64" t="n"/>
      <c r="E142" s="17" t="n"/>
      <c r="F142" s="17" t="n"/>
      <c r="G142" s="17" t="n"/>
      <c r="H142" s="15" t="n"/>
      <c r="I142" s="15" t="n"/>
      <c r="J142" s="15" t="n"/>
      <c r="K142" s="15" t="n"/>
      <c r="L142" s="15" t="n"/>
      <c r="M142" s="15" t="n"/>
      <c r="N142" s="16" t="n"/>
      <c r="O142" s="18">
        <f>IF($A142="","",$F142)</f>
        <v/>
      </c>
      <c r="P142" s="18">
        <f>IF($A142="","",IF($J142="YAPILDI",0,IF($C142="","",raporTarihi-$C142)))</f>
        <v/>
      </c>
      <c r="Q142" s="18">
        <f>IF($A142="","",IF($P142="","",IF($P142&lt;=mbk_kovaEsik1,"0-7",IF($P142&lt;=mbk_kovaEsik2,"8-30",IF($P142&lt;=mbk_kovaEsik3,"31-60","60+")))))</f>
        <v/>
      </c>
      <c r="R142" s="18">
        <f>IF($A142="","",IF($B142="","YETİM",IF(COUNTIF(tblMakineler[MakineId],$B142)=0,"YETİM","")))</f>
        <v/>
      </c>
      <c r="S142" s="18">
        <f>IF(OR($A142="",$I142=""),"",IF(OR($I142&amp;"|"&amp;$J142="",COUNTIF(ListeIzinliGecis,$I142&amp;"|"&amp;$J142)&gt;0),"","GEÇERSİZ GEÇİŞ"))</f>
        <v/>
      </c>
      <c r="T142" s="18">
        <f>IF($A142="","",IF(OR($E142="",$F142=""),"",IF(ABS($F142-$E142)&gt;zincirTolerans,"ZİNCİR KIRIK","OK")))</f>
        <v/>
      </c>
      <c r="U142" s="18">
        <f>IF($A142="","",1)</f>
        <v/>
      </c>
      <c r="V142" s="18">
        <f>IF($A142="","",$F142*$N142*mbk_durusKatsayi)</f>
        <v/>
      </c>
    </row>
    <row r="143">
      <c r="A143" s="15" t="n"/>
      <c r="B143" s="15" t="n"/>
      <c r="C143" s="64" t="n"/>
      <c r="D143" s="64" t="n"/>
      <c r="E143" s="17" t="n"/>
      <c r="F143" s="17" t="n"/>
      <c r="G143" s="17" t="n"/>
      <c r="H143" s="15" t="n"/>
      <c r="I143" s="15" t="n"/>
      <c r="J143" s="15" t="n"/>
      <c r="K143" s="15" t="n"/>
      <c r="L143" s="15" t="n"/>
      <c r="M143" s="15" t="n"/>
      <c r="N143" s="16" t="n"/>
      <c r="O143" s="18">
        <f>IF($A143="","",$F143)</f>
        <v/>
      </c>
      <c r="P143" s="18">
        <f>IF($A143="","",IF($J143="YAPILDI",0,IF($C143="","",raporTarihi-$C143)))</f>
        <v/>
      </c>
      <c r="Q143" s="18">
        <f>IF($A143="","",IF($P143="","",IF($P143&lt;=mbk_kovaEsik1,"0-7",IF($P143&lt;=mbk_kovaEsik2,"8-30",IF($P143&lt;=mbk_kovaEsik3,"31-60","60+")))))</f>
        <v/>
      </c>
      <c r="R143" s="18">
        <f>IF($A143="","",IF($B143="","YETİM",IF(COUNTIF(tblMakineler[MakineId],$B143)=0,"YETİM","")))</f>
        <v/>
      </c>
      <c r="S143" s="18">
        <f>IF(OR($A143="",$I143=""),"",IF(OR($I143&amp;"|"&amp;$J143="",COUNTIF(ListeIzinliGecis,$I143&amp;"|"&amp;$J143)&gt;0),"","GEÇERSİZ GEÇİŞ"))</f>
        <v/>
      </c>
      <c r="T143" s="18">
        <f>IF($A143="","",IF(OR($E143="",$F143=""),"",IF(ABS($F143-$E143)&gt;zincirTolerans,"ZİNCİR KIRIK","OK")))</f>
        <v/>
      </c>
      <c r="U143" s="18">
        <f>IF($A143="","",1)</f>
        <v/>
      </c>
      <c r="V143" s="18">
        <f>IF($A143="","",$F143*$N143*mbk_durusKatsayi)</f>
        <v/>
      </c>
    </row>
    <row r="144">
      <c r="A144" s="15" t="n"/>
      <c r="B144" s="15" t="n"/>
      <c r="C144" s="64" t="n"/>
      <c r="D144" s="64" t="n"/>
      <c r="E144" s="17" t="n"/>
      <c r="F144" s="17" t="n"/>
      <c r="G144" s="17" t="n"/>
      <c r="H144" s="15" t="n"/>
      <c r="I144" s="15" t="n"/>
      <c r="J144" s="15" t="n"/>
      <c r="K144" s="15" t="n"/>
      <c r="L144" s="15" t="n"/>
      <c r="M144" s="15" t="n"/>
      <c r="N144" s="16" t="n"/>
      <c r="O144" s="18">
        <f>IF($A144="","",$F144)</f>
        <v/>
      </c>
      <c r="P144" s="18">
        <f>IF($A144="","",IF($J144="YAPILDI",0,IF($C144="","",raporTarihi-$C144)))</f>
        <v/>
      </c>
      <c r="Q144" s="18">
        <f>IF($A144="","",IF($P144="","",IF($P144&lt;=mbk_kovaEsik1,"0-7",IF($P144&lt;=mbk_kovaEsik2,"8-30",IF($P144&lt;=mbk_kovaEsik3,"31-60","60+")))))</f>
        <v/>
      </c>
      <c r="R144" s="18">
        <f>IF($A144="","",IF($B144="","YETİM",IF(COUNTIF(tblMakineler[MakineId],$B144)=0,"YETİM","")))</f>
        <v/>
      </c>
      <c r="S144" s="18">
        <f>IF(OR($A144="",$I144=""),"",IF(OR($I144&amp;"|"&amp;$J144="",COUNTIF(ListeIzinliGecis,$I144&amp;"|"&amp;$J144)&gt;0),"","GEÇERSİZ GEÇİŞ"))</f>
        <v/>
      </c>
      <c r="T144" s="18">
        <f>IF($A144="","",IF(OR($E144="",$F144=""),"",IF(ABS($F144-$E144)&gt;zincirTolerans,"ZİNCİR KIRIK","OK")))</f>
        <v/>
      </c>
      <c r="U144" s="18">
        <f>IF($A144="","",1)</f>
        <v/>
      </c>
      <c r="V144" s="18">
        <f>IF($A144="","",$F144*$N144*mbk_durusKatsayi)</f>
        <v/>
      </c>
    </row>
    <row r="145">
      <c r="A145" s="15" t="n"/>
      <c r="B145" s="15" t="n"/>
      <c r="C145" s="64" t="n"/>
      <c r="D145" s="64" t="n"/>
      <c r="E145" s="17" t="n"/>
      <c r="F145" s="17" t="n"/>
      <c r="G145" s="17" t="n"/>
      <c r="H145" s="15" t="n"/>
      <c r="I145" s="15" t="n"/>
      <c r="J145" s="15" t="n"/>
      <c r="K145" s="15" t="n"/>
      <c r="L145" s="15" t="n"/>
      <c r="M145" s="15" t="n"/>
      <c r="N145" s="16" t="n"/>
      <c r="O145" s="18">
        <f>IF($A145="","",$F145)</f>
        <v/>
      </c>
      <c r="P145" s="18">
        <f>IF($A145="","",IF($J145="YAPILDI",0,IF($C145="","",raporTarihi-$C145)))</f>
        <v/>
      </c>
      <c r="Q145" s="18">
        <f>IF($A145="","",IF($P145="","",IF($P145&lt;=mbk_kovaEsik1,"0-7",IF($P145&lt;=mbk_kovaEsik2,"8-30",IF($P145&lt;=mbk_kovaEsik3,"31-60","60+")))))</f>
        <v/>
      </c>
      <c r="R145" s="18">
        <f>IF($A145="","",IF($B145="","YETİM",IF(COUNTIF(tblMakineler[MakineId],$B145)=0,"YETİM","")))</f>
        <v/>
      </c>
      <c r="S145" s="18">
        <f>IF(OR($A145="",$I145=""),"",IF(OR($I145&amp;"|"&amp;$J145="",COUNTIF(ListeIzinliGecis,$I145&amp;"|"&amp;$J145)&gt;0),"","GEÇERSİZ GEÇİŞ"))</f>
        <v/>
      </c>
      <c r="T145" s="18">
        <f>IF($A145="","",IF(OR($E145="",$F145=""),"",IF(ABS($F145-$E145)&gt;zincirTolerans,"ZİNCİR KIRIK","OK")))</f>
        <v/>
      </c>
      <c r="U145" s="18">
        <f>IF($A145="","",1)</f>
        <v/>
      </c>
      <c r="V145" s="18">
        <f>IF($A145="","",$F145*$N145*mbk_durusKatsayi)</f>
        <v/>
      </c>
    </row>
    <row r="146">
      <c r="A146" s="15" t="n"/>
      <c r="B146" s="15" t="n"/>
      <c r="C146" s="64" t="n"/>
      <c r="D146" s="64" t="n"/>
      <c r="E146" s="17" t="n"/>
      <c r="F146" s="17" t="n"/>
      <c r="G146" s="17" t="n"/>
      <c r="H146" s="15" t="n"/>
      <c r="I146" s="15" t="n"/>
      <c r="J146" s="15" t="n"/>
      <c r="K146" s="15" t="n"/>
      <c r="L146" s="15" t="n"/>
      <c r="M146" s="15" t="n"/>
      <c r="N146" s="16" t="n"/>
      <c r="O146" s="18">
        <f>IF($A146="","",$F146)</f>
        <v/>
      </c>
      <c r="P146" s="18">
        <f>IF($A146="","",IF($J146="YAPILDI",0,IF($C146="","",raporTarihi-$C146)))</f>
        <v/>
      </c>
      <c r="Q146" s="18">
        <f>IF($A146="","",IF($P146="","",IF($P146&lt;=mbk_kovaEsik1,"0-7",IF($P146&lt;=mbk_kovaEsik2,"8-30",IF($P146&lt;=mbk_kovaEsik3,"31-60","60+")))))</f>
        <v/>
      </c>
      <c r="R146" s="18">
        <f>IF($A146="","",IF($B146="","YETİM",IF(COUNTIF(tblMakineler[MakineId],$B146)=0,"YETİM","")))</f>
        <v/>
      </c>
      <c r="S146" s="18">
        <f>IF(OR($A146="",$I146=""),"",IF(OR($I146&amp;"|"&amp;$J146="",COUNTIF(ListeIzinliGecis,$I146&amp;"|"&amp;$J146)&gt;0),"","GEÇERSİZ GEÇİŞ"))</f>
        <v/>
      </c>
      <c r="T146" s="18">
        <f>IF($A146="","",IF(OR($E146="",$F146=""),"",IF(ABS($F146-$E146)&gt;zincirTolerans,"ZİNCİR KIRIK","OK")))</f>
        <v/>
      </c>
      <c r="U146" s="18">
        <f>IF($A146="","",1)</f>
        <v/>
      </c>
      <c r="V146" s="18">
        <f>IF($A146="","",$F146*$N146*mbk_durusKatsayi)</f>
        <v/>
      </c>
    </row>
    <row r="147">
      <c r="A147" s="15" t="n"/>
      <c r="B147" s="15" t="n"/>
      <c r="C147" s="64" t="n"/>
      <c r="D147" s="64" t="n"/>
      <c r="E147" s="17" t="n"/>
      <c r="F147" s="17" t="n"/>
      <c r="G147" s="17" t="n"/>
      <c r="H147" s="15" t="n"/>
      <c r="I147" s="15" t="n"/>
      <c r="J147" s="15" t="n"/>
      <c r="K147" s="15" t="n"/>
      <c r="L147" s="15" t="n"/>
      <c r="M147" s="15" t="n"/>
      <c r="N147" s="16" t="n"/>
      <c r="O147" s="18">
        <f>IF($A147="","",$F147)</f>
        <v/>
      </c>
      <c r="P147" s="18">
        <f>IF($A147="","",IF($J147="YAPILDI",0,IF($C147="","",raporTarihi-$C147)))</f>
        <v/>
      </c>
      <c r="Q147" s="18">
        <f>IF($A147="","",IF($P147="","",IF($P147&lt;=mbk_kovaEsik1,"0-7",IF($P147&lt;=mbk_kovaEsik2,"8-30",IF($P147&lt;=mbk_kovaEsik3,"31-60","60+")))))</f>
        <v/>
      </c>
      <c r="R147" s="18">
        <f>IF($A147="","",IF($B147="","YETİM",IF(COUNTIF(tblMakineler[MakineId],$B147)=0,"YETİM","")))</f>
        <v/>
      </c>
      <c r="S147" s="18">
        <f>IF(OR($A147="",$I147=""),"",IF(OR($I147&amp;"|"&amp;$J147="",COUNTIF(ListeIzinliGecis,$I147&amp;"|"&amp;$J147)&gt;0),"","GEÇERSİZ GEÇİŞ"))</f>
        <v/>
      </c>
      <c r="T147" s="18">
        <f>IF($A147="","",IF(OR($E147="",$F147=""),"",IF(ABS($F147-$E147)&gt;zincirTolerans,"ZİNCİR KIRIK","OK")))</f>
        <v/>
      </c>
      <c r="U147" s="18">
        <f>IF($A147="","",1)</f>
        <v/>
      </c>
      <c r="V147" s="18">
        <f>IF($A147="","",$F147*$N147*mbk_durusKatsayi)</f>
        <v/>
      </c>
    </row>
    <row r="148">
      <c r="A148" s="15" t="n"/>
      <c r="B148" s="15" t="n"/>
      <c r="C148" s="64" t="n"/>
      <c r="D148" s="64" t="n"/>
      <c r="E148" s="17" t="n"/>
      <c r="F148" s="17" t="n"/>
      <c r="G148" s="17" t="n"/>
      <c r="H148" s="15" t="n"/>
      <c r="I148" s="15" t="n"/>
      <c r="J148" s="15" t="n"/>
      <c r="K148" s="15" t="n"/>
      <c r="L148" s="15" t="n"/>
      <c r="M148" s="15" t="n"/>
      <c r="N148" s="16" t="n"/>
      <c r="O148" s="18">
        <f>IF($A148="","",$F148)</f>
        <v/>
      </c>
      <c r="P148" s="18">
        <f>IF($A148="","",IF($J148="YAPILDI",0,IF($C148="","",raporTarihi-$C148)))</f>
        <v/>
      </c>
      <c r="Q148" s="18">
        <f>IF($A148="","",IF($P148="","",IF($P148&lt;=mbk_kovaEsik1,"0-7",IF($P148&lt;=mbk_kovaEsik2,"8-30",IF($P148&lt;=mbk_kovaEsik3,"31-60","60+")))))</f>
        <v/>
      </c>
      <c r="R148" s="18">
        <f>IF($A148="","",IF($B148="","YETİM",IF(COUNTIF(tblMakineler[MakineId],$B148)=0,"YETİM","")))</f>
        <v/>
      </c>
      <c r="S148" s="18">
        <f>IF(OR($A148="",$I148=""),"",IF(OR($I148&amp;"|"&amp;$J148="",COUNTIF(ListeIzinliGecis,$I148&amp;"|"&amp;$J148)&gt;0),"","GEÇERSİZ GEÇİŞ"))</f>
        <v/>
      </c>
      <c r="T148" s="18">
        <f>IF($A148="","",IF(OR($E148="",$F148=""),"",IF(ABS($F148-$E148)&gt;zincirTolerans,"ZİNCİR KIRIK","OK")))</f>
        <v/>
      </c>
      <c r="U148" s="18">
        <f>IF($A148="","",1)</f>
        <v/>
      </c>
      <c r="V148" s="18">
        <f>IF($A148="","",$F148*$N148*mbk_durusKatsayi)</f>
        <v/>
      </c>
    </row>
    <row r="149">
      <c r="A149" s="15" t="n"/>
      <c r="B149" s="15" t="n"/>
      <c r="C149" s="64" t="n"/>
      <c r="D149" s="64" t="n"/>
      <c r="E149" s="17" t="n"/>
      <c r="F149" s="17" t="n"/>
      <c r="G149" s="17" t="n"/>
      <c r="H149" s="15" t="n"/>
      <c r="I149" s="15" t="n"/>
      <c r="J149" s="15" t="n"/>
      <c r="K149" s="15" t="n"/>
      <c r="L149" s="15" t="n"/>
      <c r="M149" s="15" t="n"/>
      <c r="N149" s="16" t="n"/>
      <c r="O149" s="18">
        <f>IF($A149="","",$F149)</f>
        <v/>
      </c>
      <c r="P149" s="18">
        <f>IF($A149="","",IF($J149="YAPILDI",0,IF($C149="","",raporTarihi-$C149)))</f>
        <v/>
      </c>
      <c r="Q149" s="18">
        <f>IF($A149="","",IF($P149="","",IF($P149&lt;=mbk_kovaEsik1,"0-7",IF($P149&lt;=mbk_kovaEsik2,"8-30",IF($P149&lt;=mbk_kovaEsik3,"31-60","60+")))))</f>
        <v/>
      </c>
      <c r="R149" s="18">
        <f>IF($A149="","",IF($B149="","YETİM",IF(COUNTIF(tblMakineler[MakineId],$B149)=0,"YETİM","")))</f>
        <v/>
      </c>
      <c r="S149" s="18">
        <f>IF(OR($A149="",$I149=""),"",IF(OR($I149&amp;"|"&amp;$J149="",COUNTIF(ListeIzinliGecis,$I149&amp;"|"&amp;$J149)&gt;0),"","GEÇERSİZ GEÇİŞ"))</f>
        <v/>
      </c>
      <c r="T149" s="18">
        <f>IF($A149="","",IF(OR($E149="",$F149=""),"",IF(ABS($F149-$E149)&gt;zincirTolerans,"ZİNCİR KIRIK","OK")))</f>
        <v/>
      </c>
      <c r="U149" s="18">
        <f>IF($A149="","",1)</f>
        <v/>
      </c>
      <c r="V149" s="18">
        <f>IF($A149="","",$F149*$N149*mbk_durusKatsayi)</f>
        <v/>
      </c>
    </row>
    <row r="150">
      <c r="A150" s="15" t="n"/>
      <c r="B150" s="15" t="n"/>
      <c r="C150" s="64" t="n"/>
      <c r="D150" s="64" t="n"/>
      <c r="E150" s="17" t="n"/>
      <c r="F150" s="17" t="n"/>
      <c r="G150" s="17" t="n"/>
      <c r="H150" s="15" t="n"/>
      <c r="I150" s="15" t="n"/>
      <c r="J150" s="15" t="n"/>
      <c r="K150" s="15" t="n"/>
      <c r="L150" s="15" t="n"/>
      <c r="M150" s="15" t="n"/>
      <c r="N150" s="16" t="n"/>
      <c r="O150" s="18">
        <f>IF($A150="","",$F150)</f>
        <v/>
      </c>
      <c r="P150" s="18">
        <f>IF($A150="","",IF($J150="YAPILDI",0,IF($C150="","",raporTarihi-$C150)))</f>
        <v/>
      </c>
      <c r="Q150" s="18">
        <f>IF($A150="","",IF($P150="","",IF($P150&lt;=mbk_kovaEsik1,"0-7",IF($P150&lt;=mbk_kovaEsik2,"8-30",IF($P150&lt;=mbk_kovaEsik3,"31-60","60+")))))</f>
        <v/>
      </c>
      <c r="R150" s="18">
        <f>IF($A150="","",IF($B150="","YETİM",IF(COUNTIF(tblMakineler[MakineId],$B150)=0,"YETİM","")))</f>
        <v/>
      </c>
      <c r="S150" s="18">
        <f>IF(OR($A150="",$I150=""),"",IF(OR($I150&amp;"|"&amp;$J150="",COUNTIF(ListeIzinliGecis,$I150&amp;"|"&amp;$J150)&gt;0),"","GEÇERSİZ GEÇİŞ"))</f>
        <v/>
      </c>
      <c r="T150" s="18">
        <f>IF($A150="","",IF(OR($E150="",$F150=""),"",IF(ABS($F150-$E150)&gt;zincirTolerans,"ZİNCİR KIRIK","OK")))</f>
        <v/>
      </c>
      <c r="U150" s="18">
        <f>IF($A150="","",1)</f>
        <v/>
      </c>
      <c r="V150" s="18">
        <f>IF($A150="","",$F150*$N150*mbk_durusKatsayi)</f>
        <v/>
      </c>
    </row>
    <row r="151">
      <c r="A151" s="15" t="n"/>
      <c r="B151" s="15" t="n"/>
      <c r="C151" s="64" t="n"/>
      <c r="D151" s="64" t="n"/>
      <c r="E151" s="17" t="n"/>
      <c r="F151" s="17" t="n"/>
      <c r="G151" s="17" t="n"/>
      <c r="H151" s="15" t="n"/>
      <c r="I151" s="15" t="n"/>
      <c r="J151" s="15" t="n"/>
      <c r="K151" s="15" t="n"/>
      <c r="L151" s="15" t="n"/>
      <c r="M151" s="15" t="n"/>
      <c r="N151" s="16" t="n"/>
      <c r="O151" s="18">
        <f>IF($A151="","",$F151)</f>
        <v/>
      </c>
      <c r="P151" s="18">
        <f>IF($A151="","",IF($J151="YAPILDI",0,IF($C151="","",raporTarihi-$C151)))</f>
        <v/>
      </c>
      <c r="Q151" s="18">
        <f>IF($A151="","",IF($P151="","",IF($P151&lt;=mbk_kovaEsik1,"0-7",IF($P151&lt;=mbk_kovaEsik2,"8-30",IF($P151&lt;=mbk_kovaEsik3,"31-60","60+")))))</f>
        <v/>
      </c>
      <c r="R151" s="18">
        <f>IF($A151="","",IF($B151="","YETİM",IF(COUNTIF(tblMakineler[MakineId],$B151)=0,"YETİM","")))</f>
        <v/>
      </c>
      <c r="S151" s="18">
        <f>IF(OR($A151="",$I151=""),"",IF(OR($I151&amp;"|"&amp;$J151="",COUNTIF(ListeIzinliGecis,$I151&amp;"|"&amp;$J151)&gt;0),"","GEÇERSİZ GEÇİŞ"))</f>
        <v/>
      </c>
      <c r="T151" s="18">
        <f>IF($A151="","",IF(OR($E151="",$F151=""),"",IF(ABS($F151-$E151)&gt;zincirTolerans,"ZİNCİR KIRIK","OK")))</f>
        <v/>
      </c>
      <c r="U151" s="18">
        <f>IF($A151="","",1)</f>
        <v/>
      </c>
      <c r="V151" s="18">
        <f>IF($A151="","",$F151*$N151*mbk_durusKatsayi)</f>
        <v/>
      </c>
    </row>
    <row r="152">
      <c r="A152" s="15" t="n"/>
      <c r="B152" s="15" t="n"/>
      <c r="C152" s="64" t="n"/>
      <c r="D152" s="64" t="n"/>
      <c r="E152" s="17" t="n"/>
      <c r="F152" s="17" t="n"/>
      <c r="G152" s="17" t="n"/>
      <c r="H152" s="15" t="n"/>
      <c r="I152" s="15" t="n"/>
      <c r="J152" s="15" t="n"/>
      <c r="K152" s="15" t="n"/>
      <c r="L152" s="15" t="n"/>
      <c r="M152" s="15" t="n"/>
      <c r="N152" s="16" t="n"/>
      <c r="O152" s="18">
        <f>IF($A152="","",$F152)</f>
        <v/>
      </c>
      <c r="P152" s="18">
        <f>IF($A152="","",IF($J152="YAPILDI",0,IF($C152="","",raporTarihi-$C152)))</f>
        <v/>
      </c>
      <c r="Q152" s="18">
        <f>IF($A152="","",IF($P152="","",IF($P152&lt;=mbk_kovaEsik1,"0-7",IF($P152&lt;=mbk_kovaEsik2,"8-30",IF($P152&lt;=mbk_kovaEsik3,"31-60","60+")))))</f>
        <v/>
      </c>
      <c r="R152" s="18">
        <f>IF($A152="","",IF($B152="","YETİM",IF(COUNTIF(tblMakineler[MakineId],$B152)=0,"YETİM","")))</f>
        <v/>
      </c>
      <c r="S152" s="18">
        <f>IF(OR($A152="",$I152=""),"",IF(OR($I152&amp;"|"&amp;$J152="",COUNTIF(ListeIzinliGecis,$I152&amp;"|"&amp;$J152)&gt;0),"","GEÇERSİZ GEÇİŞ"))</f>
        <v/>
      </c>
      <c r="T152" s="18">
        <f>IF($A152="","",IF(OR($E152="",$F152=""),"",IF(ABS($F152-$E152)&gt;zincirTolerans,"ZİNCİR KIRIK","OK")))</f>
        <v/>
      </c>
      <c r="U152" s="18">
        <f>IF($A152="","",1)</f>
        <v/>
      </c>
      <c r="V152" s="18">
        <f>IF($A152="","",$F152*$N152*mbk_durusKatsayi)</f>
        <v/>
      </c>
    </row>
    <row r="153">
      <c r="A153" s="15" t="n"/>
      <c r="B153" s="15" t="n"/>
      <c r="C153" s="64" t="n"/>
      <c r="D153" s="64" t="n"/>
      <c r="E153" s="17" t="n"/>
      <c r="F153" s="17" t="n"/>
      <c r="G153" s="17" t="n"/>
      <c r="H153" s="15" t="n"/>
      <c r="I153" s="15" t="n"/>
      <c r="J153" s="15" t="n"/>
      <c r="K153" s="15" t="n"/>
      <c r="L153" s="15" t="n"/>
      <c r="M153" s="15" t="n"/>
      <c r="N153" s="16" t="n"/>
      <c r="O153" s="18">
        <f>IF($A153="","",$F153)</f>
        <v/>
      </c>
      <c r="P153" s="18">
        <f>IF($A153="","",IF($J153="YAPILDI",0,IF($C153="","",raporTarihi-$C153)))</f>
        <v/>
      </c>
      <c r="Q153" s="18">
        <f>IF($A153="","",IF($P153="","",IF($P153&lt;=mbk_kovaEsik1,"0-7",IF($P153&lt;=mbk_kovaEsik2,"8-30",IF($P153&lt;=mbk_kovaEsik3,"31-60","60+")))))</f>
        <v/>
      </c>
      <c r="R153" s="18">
        <f>IF($A153="","",IF($B153="","YETİM",IF(COUNTIF(tblMakineler[MakineId],$B153)=0,"YETİM","")))</f>
        <v/>
      </c>
      <c r="S153" s="18">
        <f>IF(OR($A153="",$I153=""),"",IF(OR($I153&amp;"|"&amp;$J153="",COUNTIF(ListeIzinliGecis,$I153&amp;"|"&amp;$J153)&gt;0),"","GEÇERSİZ GEÇİŞ"))</f>
        <v/>
      </c>
      <c r="T153" s="18">
        <f>IF($A153="","",IF(OR($E153="",$F153=""),"",IF(ABS($F153-$E153)&gt;zincirTolerans,"ZİNCİR KIRIK","OK")))</f>
        <v/>
      </c>
      <c r="U153" s="18">
        <f>IF($A153="","",1)</f>
        <v/>
      </c>
      <c r="V153" s="18">
        <f>IF($A153="","",$F153*$N153*mbk_durusKatsayi)</f>
        <v/>
      </c>
    </row>
    <row r="154">
      <c r="A154" s="15" t="n"/>
      <c r="B154" s="15" t="n"/>
      <c r="C154" s="64" t="n"/>
      <c r="D154" s="64" t="n"/>
      <c r="E154" s="17" t="n"/>
      <c r="F154" s="17" t="n"/>
      <c r="G154" s="17" t="n"/>
      <c r="H154" s="15" t="n"/>
      <c r="I154" s="15" t="n"/>
      <c r="J154" s="15" t="n"/>
      <c r="K154" s="15" t="n"/>
      <c r="L154" s="15" t="n"/>
      <c r="M154" s="15" t="n"/>
      <c r="N154" s="16" t="n"/>
      <c r="O154" s="18">
        <f>IF($A154="","",$F154)</f>
        <v/>
      </c>
      <c r="P154" s="18">
        <f>IF($A154="","",IF($J154="YAPILDI",0,IF($C154="","",raporTarihi-$C154)))</f>
        <v/>
      </c>
      <c r="Q154" s="18">
        <f>IF($A154="","",IF($P154="","",IF($P154&lt;=mbk_kovaEsik1,"0-7",IF($P154&lt;=mbk_kovaEsik2,"8-30",IF($P154&lt;=mbk_kovaEsik3,"31-60","60+")))))</f>
        <v/>
      </c>
      <c r="R154" s="18">
        <f>IF($A154="","",IF($B154="","YETİM",IF(COUNTIF(tblMakineler[MakineId],$B154)=0,"YETİM","")))</f>
        <v/>
      </c>
      <c r="S154" s="18">
        <f>IF(OR($A154="",$I154=""),"",IF(OR($I154&amp;"|"&amp;$J154="",COUNTIF(ListeIzinliGecis,$I154&amp;"|"&amp;$J154)&gt;0),"","GEÇERSİZ GEÇİŞ"))</f>
        <v/>
      </c>
      <c r="T154" s="18">
        <f>IF($A154="","",IF(OR($E154="",$F154=""),"",IF(ABS($F154-$E154)&gt;zincirTolerans,"ZİNCİR KIRIK","OK")))</f>
        <v/>
      </c>
      <c r="U154" s="18">
        <f>IF($A154="","",1)</f>
        <v/>
      </c>
      <c r="V154" s="18">
        <f>IF($A154="","",$F154*$N154*mbk_durusKatsayi)</f>
        <v/>
      </c>
    </row>
    <row r="155">
      <c r="A155" s="15" t="n"/>
      <c r="B155" s="15" t="n"/>
      <c r="C155" s="64" t="n"/>
      <c r="D155" s="64" t="n"/>
      <c r="E155" s="17" t="n"/>
      <c r="F155" s="17" t="n"/>
      <c r="G155" s="17" t="n"/>
      <c r="H155" s="15" t="n"/>
      <c r="I155" s="15" t="n"/>
      <c r="J155" s="15" t="n"/>
      <c r="K155" s="15" t="n"/>
      <c r="L155" s="15" t="n"/>
      <c r="M155" s="15" t="n"/>
      <c r="N155" s="16" t="n"/>
      <c r="O155" s="18">
        <f>IF($A155="","",$F155)</f>
        <v/>
      </c>
      <c r="P155" s="18">
        <f>IF($A155="","",IF($J155="YAPILDI",0,IF($C155="","",raporTarihi-$C155)))</f>
        <v/>
      </c>
      <c r="Q155" s="18">
        <f>IF($A155="","",IF($P155="","",IF($P155&lt;=mbk_kovaEsik1,"0-7",IF($P155&lt;=mbk_kovaEsik2,"8-30",IF($P155&lt;=mbk_kovaEsik3,"31-60","60+")))))</f>
        <v/>
      </c>
      <c r="R155" s="18">
        <f>IF($A155="","",IF($B155="","YETİM",IF(COUNTIF(tblMakineler[MakineId],$B155)=0,"YETİM","")))</f>
        <v/>
      </c>
      <c r="S155" s="18">
        <f>IF(OR($A155="",$I155=""),"",IF(OR($I155&amp;"|"&amp;$J155="",COUNTIF(ListeIzinliGecis,$I155&amp;"|"&amp;$J155)&gt;0),"","GEÇERSİZ GEÇİŞ"))</f>
        <v/>
      </c>
      <c r="T155" s="18">
        <f>IF($A155="","",IF(OR($E155="",$F155=""),"",IF(ABS($F155-$E155)&gt;zincirTolerans,"ZİNCİR KIRIK","OK")))</f>
        <v/>
      </c>
      <c r="U155" s="18">
        <f>IF($A155="","",1)</f>
        <v/>
      </c>
      <c r="V155" s="18">
        <f>IF($A155="","",$F155*$N155*mbk_durusKatsayi)</f>
        <v/>
      </c>
    </row>
    <row r="156">
      <c r="A156" s="15" t="n"/>
      <c r="B156" s="15" t="n"/>
      <c r="C156" s="64" t="n"/>
      <c r="D156" s="64" t="n"/>
      <c r="E156" s="17" t="n"/>
      <c r="F156" s="17" t="n"/>
      <c r="G156" s="17" t="n"/>
      <c r="H156" s="15" t="n"/>
      <c r="I156" s="15" t="n"/>
      <c r="J156" s="15" t="n"/>
      <c r="K156" s="15" t="n"/>
      <c r="L156" s="15" t="n"/>
      <c r="M156" s="15" t="n"/>
      <c r="N156" s="16" t="n"/>
      <c r="O156" s="18">
        <f>IF($A156="","",$F156)</f>
        <v/>
      </c>
      <c r="P156" s="18">
        <f>IF($A156="","",IF($J156="YAPILDI",0,IF($C156="","",raporTarihi-$C156)))</f>
        <v/>
      </c>
      <c r="Q156" s="18">
        <f>IF($A156="","",IF($P156="","",IF($P156&lt;=mbk_kovaEsik1,"0-7",IF($P156&lt;=mbk_kovaEsik2,"8-30",IF($P156&lt;=mbk_kovaEsik3,"31-60","60+")))))</f>
        <v/>
      </c>
      <c r="R156" s="18">
        <f>IF($A156="","",IF($B156="","YETİM",IF(COUNTIF(tblMakineler[MakineId],$B156)=0,"YETİM","")))</f>
        <v/>
      </c>
      <c r="S156" s="18">
        <f>IF(OR($A156="",$I156=""),"",IF(OR($I156&amp;"|"&amp;$J156="",COUNTIF(ListeIzinliGecis,$I156&amp;"|"&amp;$J156)&gt;0),"","GEÇERSİZ GEÇİŞ"))</f>
        <v/>
      </c>
      <c r="T156" s="18">
        <f>IF($A156="","",IF(OR($E156="",$F156=""),"",IF(ABS($F156-$E156)&gt;zincirTolerans,"ZİNCİR KIRIK","OK")))</f>
        <v/>
      </c>
      <c r="U156" s="18">
        <f>IF($A156="","",1)</f>
        <v/>
      </c>
      <c r="V156" s="18">
        <f>IF($A156="","",$F156*$N156*mbk_durusKatsayi)</f>
        <v/>
      </c>
    </row>
    <row r="157">
      <c r="A157" s="15" t="n"/>
      <c r="B157" s="15" t="n"/>
      <c r="C157" s="64" t="n"/>
      <c r="D157" s="64" t="n"/>
      <c r="E157" s="17" t="n"/>
      <c r="F157" s="17" t="n"/>
      <c r="G157" s="17" t="n"/>
      <c r="H157" s="15" t="n"/>
      <c r="I157" s="15" t="n"/>
      <c r="J157" s="15" t="n"/>
      <c r="K157" s="15" t="n"/>
      <c r="L157" s="15" t="n"/>
      <c r="M157" s="15" t="n"/>
      <c r="N157" s="16" t="n"/>
      <c r="O157" s="18">
        <f>IF($A157="","",$F157)</f>
        <v/>
      </c>
      <c r="P157" s="18">
        <f>IF($A157="","",IF($J157="YAPILDI",0,IF($C157="","",raporTarihi-$C157)))</f>
        <v/>
      </c>
      <c r="Q157" s="18">
        <f>IF($A157="","",IF($P157="","",IF($P157&lt;=mbk_kovaEsik1,"0-7",IF($P157&lt;=mbk_kovaEsik2,"8-30",IF($P157&lt;=mbk_kovaEsik3,"31-60","60+")))))</f>
        <v/>
      </c>
      <c r="R157" s="18">
        <f>IF($A157="","",IF($B157="","YETİM",IF(COUNTIF(tblMakineler[MakineId],$B157)=0,"YETİM","")))</f>
        <v/>
      </c>
      <c r="S157" s="18">
        <f>IF(OR($A157="",$I157=""),"",IF(OR($I157&amp;"|"&amp;$J157="",COUNTIF(ListeIzinliGecis,$I157&amp;"|"&amp;$J157)&gt;0),"","GEÇERSİZ GEÇİŞ"))</f>
        <v/>
      </c>
      <c r="T157" s="18">
        <f>IF($A157="","",IF(OR($E157="",$F157=""),"",IF(ABS($F157-$E157)&gt;zincirTolerans,"ZİNCİR KIRIK","OK")))</f>
        <v/>
      </c>
      <c r="U157" s="18">
        <f>IF($A157="","",1)</f>
        <v/>
      </c>
      <c r="V157" s="18">
        <f>IF($A157="","",$F157*$N157*mbk_durusKatsayi)</f>
        <v/>
      </c>
    </row>
    <row r="158">
      <c r="A158" s="15" t="n"/>
      <c r="B158" s="15" t="n"/>
      <c r="C158" s="64" t="n"/>
      <c r="D158" s="64" t="n"/>
      <c r="E158" s="17" t="n"/>
      <c r="F158" s="17" t="n"/>
      <c r="G158" s="17" t="n"/>
      <c r="H158" s="15" t="n"/>
      <c r="I158" s="15" t="n"/>
      <c r="J158" s="15" t="n"/>
      <c r="K158" s="15" t="n"/>
      <c r="L158" s="15" t="n"/>
      <c r="M158" s="15" t="n"/>
      <c r="N158" s="16" t="n"/>
      <c r="O158" s="18">
        <f>IF($A158="","",$F158)</f>
        <v/>
      </c>
      <c r="P158" s="18">
        <f>IF($A158="","",IF($J158="YAPILDI",0,IF($C158="","",raporTarihi-$C158)))</f>
        <v/>
      </c>
      <c r="Q158" s="18">
        <f>IF($A158="","",IF($P158="","",IF($P158&lt;=mbk_kovaEsik1,"0-7",IF($P158&lt;=mbk_kovaEsik2,"8-30",IF($P158&lt;=mbk_kovaEsik3,"31-60","60+")))))</f>
        <v/>
      </c>
      <c r="R158" s="18">
        <f>IF($A158="","",IF($B158="","YETİM",IF(COUNTIF(tblMakineler[MakineId],$B158)=0,"YETİM","")))</f>
        <v/>
      </c>
      <c r="S158" s="18">
        <f>IF(OR($A158="",$I158=""),"",IF(OR($I158&amp;"|"&amp;$J158="",COUNTIF(ListeIzinliGecis,$I158&amp;"|"&amp;$J158)&gt;0),"","GEÇERSİZ GEÇİŞ"))</f>
        <v/>
      </c>
      <c r="T158" s="18">
        <f>IF($A158="","",IF(OR($E158="",$F158=""),"",IF(ABS($F158-$E158)&gt;zincirTolerans,"ZİNCİR KIRIK","OK")))</f>
        <v/>
      </c>
      <c r="U158" s="18">
        <f>IF($A158="","",1)</f>
        <v/>
      </c>
      <c r="V158" s="18">
        <f>IF($A158="","",$F158*$N158*mbk_durusKatsayi)</f>
        <v/>
      </c>
    </row>
    <row r="159">
      <c r="A159" s="15" t="n"/>
      <c r="B159" s="15" t="n"/>
      <c r="C159" s="64" t="n"/>
      <c r="D159" s="64" t="n"/>
      <c r="E159" s="17" t="n"/>
      <c r="F159" s="17" t="n"/>
      <c r="G159" s="17" t="n"/>
      <c r="H159" s="15" t="n"/>
      <c r="I159" s="15" t="n"/>
      <c r="J159" s="15" t="n"/>
      <c r="K159" s="15" t="n"/>
      <c r="L159" s="15" t="n"/>
      <c r="M159" s="15" t="n"/>
      <c r="N159" s="16" t="n"/>
      <c r="O159" s="18">
        <f>IF($A159="","",$F159)</f>
        <v/>
      </c>
      <c r="P159" s="18">
        <f>IF($A159="","",IF($J159="YAPILDI",0,IF($C159="","",raporTarihi-$C159)))</f>
        <v/>
      </c>
      <c r="Q159" s="18">
        <f>IF($A159="","",IF($P159="","",IF($P159&lt;=mbk_kovaEsik1,"0-7",IF($P159&lt;=mbk_kovaEsik2,"8-30",IF($P159&lt;=mbk_kovaEsik3,"31-60","60+")))))</f>
        <v/>
      </c>
      <c r="R159" s="18">
        <f>IF($A159="","",IF($B159="","YETİM",IF(COUNTIF(tblMakineler[MakineId],$B159)=0,"YETİM","")))</f>
        <v/>
      </c>
      <c r="S159" s="18">
        <f>IF(OR($A159="",$I159=""),"",IF(OR($I159&amp;"|"&amp;$J159="",COUNTIF(ListeIzinliGecis,$I159&amp;"|"&amp;$J159)&gt;0),"","GEÇERSİZ GEÇİŞ"))</f>
        <v/>
      </c>
      <c r="T159" s="18">
        <f>IF($A159="","",IF(OR($E159="",$F159=""),"",IF(ABS($F159-$E159)&gt;zincirTolerans,"ZİNCİR KIRIK","OK")))</f>
        <v/>
      </c>
      <c r="U159" s="18">
        <f>IF($A159="","",1)</f>
        <v/>
      </c>
      <c r="V159" s="18">
        <f>IF($A159="","",$F159*$N159*mbk_durusKatsayi)</f>
        <v/>
      </c>
    </row>
    <row r="160">
      <c r="A160" s="15" t="n"/>
      <c r="B160" s="15" t="n"/>
      <c r="C160" s="64" t="n"/>
      <c r="D160" s="64" t="n"/>
      <c r="E160" s="17" t="n"/>
      <c r="F160" s="17" t="n"/>
      <c r="G160" s="17" t="n"/>
      <c r="H160" s="15" t="n"/>
      <c r="I160" s="15" t="n"/>
      <c r="J160" s="15" t="n"/>
      <c r="K160" s="15" t="n"/>
      <c r="L160" s="15" t="n"/>
      <c r="M160" s="15" t="n"/>
      <c r="N160" s="16" t="n"/>
      <c r="O160" s="18">
        <f>IF($A160="","",$F160)</f>
        <v/>
      </c>
      <c r="P160" s="18">
        <f>IF($A160="","",IF($J160="YAPILDI",0,IF($C160="","",raporTarihi-$C160)))</f>
        <v/>
      </c>
      <c r="Q160" s="18">
        <f>IF($A160="","",IF($P160="","",IF($P160&lt;=mbk_kovaEsik1,"0-7",IF($P160&lt;=mbk_kovaEsik2,"8-30",IF($P160&lt;=mbk_kovaEsik3,"31-60","60+")))))</f>
        <v/>
      </c>
      <c r="R160" s="18">
        <f>IF($A160="","",IF($B160="","YETİM",IF(COUNTIF(tblMakineler[MakineId],$B160)=0,"YETİM","")))</f>
        <v/>
      </c>
      <c r="S160" s="18">
        <f>IF(OR($A160="",$I160=""),"",IF(OR($I160&amp;"|"&amp;$J160="",COUNTIF(ListeIzinliGecis,$I160&amp;"|"&amp;$J160)&gt;0),"","GEÇERSİZ GEÇİŞ"))</f>
        <v/>
      </c>
      <c r="T160" s="18">
        <f>IF($A160="","",IF(OR($E160="",$F160=""),"",IF(ABS($F160-$E160)&gt;zincirTolerans,"ZİNCİR KIRIK","OK")))</f>
        <v/>
      </c>
      <c r="U160" s="18">
        <f>IF($A160="","",1)</f>
        <v/>
      </c>
      <c r="V160" s="18">
        <f>IF($A160="","",$F160*$N160*mbk_durusKatsayi)</f>
        <v/>
      </c>
    </row>
    <row r="161">
      <c r="A161" s="15" t="n"/>
      <c r="B161" s="15" t="n"/>
      <c r="C161" s="64" t="n"/>
      <c r="D161" s="64" t="n"/>
      <c r="E161" s="17" t="n"/>
      <c r="F161" s="17" t="n"/>
      <c r="G161" s="17" t="n"/>
      <c r="H161" s="15" t="n"/>
      <c r="I161" s="15" t="n"/>
      <c r="J161" s="15" t="n"/>
      <c r="K161" s="15" t="n"/>
      <c r="L161" s="15" t="n"/>
      <c r="M161" s="15" t="n"/>
      <c r="N161" s="16" t="n"/>
      <c r="O161" s="18">
        <f>IF($A161="","",$F161)</f>
        <v/>
      </c>
      <c r="P161" s="18">
        <f>IF($A161="","",IF($J161="YAPILDI",0,IF($C161="","",raporTarihi-$C161)))</f>
        <v/>
      </c>
      <c r="Q161" s="18">
        <f>IF($A161="","",IF($P161="","",IF($P161&lt;=mbk_kovaEsik1,"0-7",IF($P161&lt;=mbk_kovaEsik2,"8-30",IF($P161&lt;=mbk_kovaEsik3,"31-60","60+")))))</f>
        <v/>
      </c>
      <c r="R161" s="18">
        <f>IF($A161="","",IF($B161="","YETİM",IF(COUNTIF(tblMakineler[MakineId],$B161)=0,"YETİM","")))</f>
        <v/>
      </c>
      <c r="S161" s="18">
        <f>IF(OR($A161="",$I161=""),"",IF(OR($I161&amp;"|"&amp;$J161="",COUNTIF(ListeIzinliGecis,$I161&amp;"|"&amp;$J161)&gt;0),"","GEÇERSİZ GEÇİŞ"))</f>
        <v/>
      </c>
      <c r="T161" s="18">
        <f>IF($A161="","",IF(OR($E161="",$F161=""),"",IF(ABS($F161-$E161)&gt;zincirTolerans,"ZİNCİR KIRIK","OK")))</f>
        <v/>
      </c>
      <c r="U161" s="18">
        <f>IF($A161="","",1)</f>
        <v/>
      </c>
      <c r="V161" s="18">
        <f>IF($A161="","",$F161*$N161*mbk_durusKatsayi)</f>
        <v/>
      </c>
    </row>
    <row r="162">
      <c r="A162" s="15" t="n"/>
      <c r="B162" s="15" t="n"/>
      <c r="C162" s="64" t="n"/>
      <c r="D162" s="64" t="n"/>
      <c r="E162" s="17" t="n"/>
      <c r="F162" s="17" t="n"/>
      <c r="G162" s="17" t="n"/>
      <c r="H162" s="15" t="n"/>
      <c r="I162" s="15" t="n"/>
      <c r="J162" s="15" t="n"/>
      <c r="K162" s="15" t="n"/>
      <c r="L162" s="15" t="n"/>
      <c r="M162" s="15" t="n"/>
      <c r="N162" s="16" t="n"/>
      <c r="O162" s="18">
        <f>IF($A162="","",$F162)</f>
        <v/>
      </c>
      <c r="P162" s="18">
        <f>IF($A162="","",IF($J162="YAPILDI",0,IF($C162="","",raporTarihi-$C162)))</f>
        <v/>
      </c>
      <c r="Q162" s="18">
        <f>IF($A162="","",IF($P162="","",IF($P162&lt;=mbk_kovaEsik1,"0-7",IF($P162&lt;=mbk_kovaEsik2,"8-30",IF($P162&lt;=mbk_kovaEsik3,"31-60","60+")))))</f>
        <v/>
      </c>
      <c r="R162" s="18">
        <f>IF($A162="","",IF($B162="","YETİM",IF(COUNTIF(tblMakineler[MakineId],$B162)=0,"YETİM","")))</f>
        <v/>
      </c>
      <c r="S162" s="18">
        <f>IF(OR($A162="",$I162=""),"",IF(OR($I162&amp;"|"&amp;$J162="",COUNTIF(ListeIzinliGecis,$I162&amp;"|"&amp;$J162)&gt;0),"","GEÇERSİZ GEÇİŞ"))</f>
        <v/>
      </c>
      <c r="T162" s="18">
        <f>IF($A162="","",IF(OR($E162="",$F162=""),"",IF(ABS($F162-$E162)&gt;zincirTolerans,"ZİNCİR KIRIK","OK")))</f>
        <v/>
      </c>
      <c r="U162" s="18">
        <f>IF($A162="","",1)</f>
        <v/>
      </c>
      <c r="V162" s="18">
        <f>IF($A162="","",$F162*$N162*mbk_durusKatsayi)</f>
        <v/>
      </c>
    </row>
    <row r="163">
      <c r="A163" s="15" t="n"/>
      <c r="B163" s="15" t="n"/>
      <c r="C163" s="64" t="n"/>
      <c r="D163" s="64" t="n"/>
      <c r="E163" s="17" t="n"/>
      <c r="F163" s="17" t="n"/>
      <c r="G163" s="17" t="n"/>
      <c r="H163" s="15" t="n"/>
      <c r="I163" s="15" t="n"/>
      <c r="J163" s="15" t="n"/>
      <c r="K163" s="15" t="n"/>
      <c r="L163" s="15" t="n"/>
      <c r="M163" s="15" t="n"/>
      <c r="N163" s="16" t="n"/>
      <c r="O163" s="18">
        <f>IF($A163="","",$F163)</f>
        <v/>
      </c>
      <c r="P163" s="18">
        <f>IF($A163="","",IF($J163="YAPILDI",0,IF($C163="","",raporTarihi-$C163)))</f>
        <v/>
      </c>
      <c r="Q163" s="18">
        <f>IF($A163="","",IF($P163="","",IF($P163&lt;=mbk_kovaEsik1,"0-7",IF($P163&lt;=mbk_kovaEsik2,"8-30",IF($P163&lt;=mbk_kovaEsik3,"31-60","60+")))))</f>
        <v/>
      </c>
      <c r="R163" s="18">
        <f>IF($A163="","",IF($B163="","YETİM",IF(COUNTIF(tblMakineler[MakineId],$B163)=0,"YETİM","")))</f>
        <v/>
      </c>
      <c r="S163" s="18">
        <f>IF(OR($A163="",$I163=""),"",IF(OR($I163&amp;"|"&amp;$J163="",COUNTIF(ListeIzinliGecis,$I163&amp;"|"&amp;$J163)&gt;0),"","GEÇERSİZ GEÇİŞ"))</f>
        <v/>
      </c>
      <c r="T163" s="18">
        <f>IF($A163="","",IF(OR($E163="",$F163=""),"",IF(ABS($F163-$E163)&gt;zincirTolerans,"ZİNCİR KIRIK","OK")))</f>
        <v/>
      </c>
      <c r="U163" s="18">
        <f>IF($A163="","",1)</f>
        <v/>
      </c>
      <c r="V163" s="18">
        <f>IF($A163="","",$F163*$N163*mbk_durusKatsayi)</f>
        <v/>
      </c>
    </row>
    <row r="164">
      <c r="A164" s="15" t="n"/>
      <c r="B164" s="15" t="n"/>
      <c r="C164" s="64" t="n"/>
      <c r="D164" s="64" t="n"/>
      <c r="E164" s="17" t="n"/>
      <c r="F164" s="17" t="n"/>
      <c r="G164" s="17" t="n"/>
      <c r="H164" s="15" t="n"/>
      <c r="I164" s="15" t="n"/>
      <c r="J164" s="15" t="n"/>
      <c r="K164" s="15" t="n"/>
      <c r="L164" s="15" t="n"/>
      <c r="M164" s="15" t="n"/>
      <c r="N164" s="16" t="n"/>
      <c r="O164" s="18">
        <f>IF($A164="","",$F164)</f>
        <v/>
      </c>
      <c r="P164" s="18">
        <f>IF($A164="","",IF($J164="YAPILDI",0,IF($C164="","",raporTarihi-$C164)))</f>
        <v/>
      </c>
      <c r="Q164" s="18">
        <f>IF($A164="","",IF($P164="","",IF($P164&lt;=mbk_kovaEsik1,"0-7",IF($P164&lt;=mbk_kovaEsik2,"8-30",IF($P164&lt;=mbk_kovaEsik3,"31-60","60+")))))</f>
        <v/>
      </c>
      <c r="R164" s="18">
        <f>IF($A164="","",IF($B164="","YETİM",IF(COUNTIF(tblMakineler[MakineId],$B164)=0,"YETİM","")))</f>
        <v/>
      </c>
      <c r="S164" s="18">
        <f>IF(OR($A164="",$I164=""),"",IF(OR($I164&amp;"|"&amp;$J164="",COUNTIF(ListeIzinliGecis,$I164&amp;"|"&amp;$J164)&gt;0),"","GEÇERSİZ GEÇİŞ"))</f>
        <v/>
      </c>
      <c r="T164" s="18">
        <f>IF($A164="","",IF(OR($E164="",$F164=""),"",IF(ABS($F164-$E164)&gt;zincirTolerans,"ZİNCİR KIRIK","OK")))</f>
        <v/>
      </c>
      <c r="U164" s="18">
        <f>IF($A164="","",1)</f>
        <v/>
      </c>
      <c r="V164" s="18">
        <f>IF($A164="","",$F164*$N164*mbk_durusKatsayi)</f>
        <v/>
      </c>
    </row>
    <row r="165">
      <c r="A165" s="15" t="n"/>
      <c r="B165" s="15" t="n"/>
      <c r="C165" s="64" t="n"/>
      <c r="D165" s="64" t="n"/>
      <c r="E165" s="17" t="n"/>
      <c r="F165" s="17" t="n"/>
      <c r="G165" s="17" t="n"/>
      <c r="H165" s="15" t="n"/>
      <c r="I165" s="15" t="n"/>
      <c r="J165" s="15" t="n"/>
      <c r="K165" s="15" t="n"/>
      <c r="L165" s="15" t="n"/>
      <c r="M165" s="15" t="n"/>
      <c r="N165" s="16" t="n"/>
      <c r="O165" s="18">
        <f>IF($A165="","",$F165)</f>
        <v/>
      </c>
      <c r="P165" s="18">
        <f>IF($A165="","",IF($J165="YAPILDI",0,IF($C165="","",raporTarihi-$C165)))</f>
        <v/>
      </c>
      <c r="Q165" s="18">
        <f>IF($A165="","",IF($P165="","",IF($P165&lt;=mbk_kovaEsik1,"0-7",IF($P165&lt;=mbk_kovaEsik2,"8-30",IF($P165&lt;=mbk_kovaEsik3,"31-60","60+")))))</f>
        <v/>
      </c>
      <c r="R165" s="18">
        <f>IF($A165="","",IF($B165="","YETİM",IF(COUNTIF(tblMakineler[MakineId],$B165)=0,"YETİM","")))</f>
        <v/>
      </c>
      <c r="S165" s="18">
        <f>IF(OR($A165="",$I165=""),"",IF(OR($I165&amp;"|"&amp;$J165="",COUNTIF(ListeIzinliGecis,$I165&amp;"|"&amp;$J165)&gt;0),"","GEÇERSİZ GEÇİŞ"))</f>
        <v/>
      </c>
      <c r="T165" s="18">
        <f>IF($A165="","",IF(OR($E165="",$F165=""),"",IF(ABS($F165-$E165)&gt;zincirTolerans,"ZİNCİR KIRIK","OK")))</f>
        <v/>
      </c>
      <c r="U165" s="18">
        <f>IF($A165="","",1)</f>
        <v/>
      </c>
      <c r="V165" s="18">
        <f>IF($A165="","",$F165*$N165*mbk_durusKatsayi)</f>
        <v/>
      </c>
    </row>
    <row r="166">
      <c r="A166" s="15" t="n"/>
      <c r="B166" s="15" t="n"/>
      <c r="C166" s="64" t="n"/>
      <c r="D166" s="64" t="n"/>
      <c r="E166" s="17" t="n"/>
      <c r="F166" s="17" t="n"/>
      <c r="G166" s="17" t="n"/>
      <c r="H166" s="15" t="n"/>
      <c r="I166" s="15" t="n"/>
      <c r="J166" s="15" t="n"/>
      <c r="K166" s="15" t="n"/>
      <c r="L166" s="15" t="n"/>
      <c r="M166" s="15" t="n"/>
      <c r="N166" s="16" t="n"/>
      <c r="O166" s="18">
        <f>IF($A166="","",$F166)</f>
        <v/>
      </c>
      <c r="P166" s="18">
        <f>IF($A166="","",IF($J166="YAPILDI",0,IF($C166="","",raporTarihi-$C166)))</f>
        <v/>
      </c>
      <c r="Q166" s="18">
        <f>IF($A166="","",IF($P166="","",IF($P166&lt;=mbk_kovaEsik1,"0-7",IF($P166&lt;=mbk_kovaEsik2,"8-30",IF($P166&lt;=mbk_kovaEsik3,"31-60","60+")))))</f>
        <v/>
      </c>
      <c r="R166" s="18">
        <f>IF($A166="","",IF($B166="","YETİM",IF(COUNTIF(tblMakineler[MakineId],$B166)=0,"YETİM","")))</f>
        <v/>
      </c>
      <c r="S166" s="18">
        <f>IF(OR($A166="",$I166=""),"",IF(OR($I166&amp;"|"&amp;$J166="",COUNTIF(ListeIzinliGecis,$I166&amp;"|"&amp;$J166)&gt;0),"","GEÇERSİZ GEÇİŞ"))</f>
        <v/>
      </c>
      <c r="T166" s="18">
        <f>IF($A166="","",IF(OR($E166="",$F166=""),"",IF(ABS($F166-$E166)&gt;zincirTolerans,"ZİNCİR KIRIK","OK")))</f>
        <v/>
      </c>
      <c r="U166" s="18">
        <f>IF($A166="","",1)</f>
        <v/>
      </c>
      <c r="V166" s="18">
        <f>IF($A166="","",$F166*$N166*mbk_durusKatsayi)</f>
        <v/>
      </c>
    </row>
    <row r="167">
      <c r="A167" s="15" t="n"/>
      <c r="B167" s="15" t="n"/>
      <c r="C167" s="64" t="n"/>
      <c r="D167" s="64" t="n"/>
      <c r="E167" s="17" t="n"/>
      <c r="F167" s="17" t="n"/>
      <c r="G167" s="17" t="n"/>
      <c r="H167" s="15" t="n"/>
      <c r="I167" s="15" t="n"/>
      <c r="J167" s="15" t="n"/>
      <c r="K167" s="15" t="n"/>
      <c r="L167" s="15" t="n"/>
      <c r="M167" s="15" t="n"/>
      <c r="N167" s="16" t="n"/>
      <c r="O167" s="18">
        <f>IF($A167="","",$F167)</f>
        <v/>
      </c>
      <c r="P167" s="18">
        <f>IF($A167="","",IF($J167="YAPILDI",0,IF($C167="","",raporTarihi-$C167)))</f>
        <v/>
      </c>
      <c r="Q167" s="18">
        <f>IF($A167="","",IF($P167="","",IF($P167&lt;=mbk_kovaEsik1,"0-7",IF($P167&lt;=mbk_kovaEsik2,"8-30",IF($P167&lt;=mbk_kovaEsik3,"31-60","60+")))))</f>
        <v/>
      </c>
      <c r="R167" s="18">
        <f>IF($A167="","",IF($B167="","YETİM",IF(COUNTIF(tblMakineler[MakineId],$B167)=0,"YETİM","")))</f>
        <v/>
      </c>
      <c r="S167" s="18">
        <f>IF(OR($A167="",$I167=""),"",IF(OR($I167&amp;"|"&amp;$J167="",COUNTIF(ListeIzinliGecis,$I167&amp;"|"&amp;$J167)&gt;0),"","GEÇERSİZ GEÇİŞ"))</f>
        <v/>
      </c>
      <c r="T167" s="18">
        <f>IF($A167="","",IF(OR($E167="",$F167=""),"",IF(ABS($F167-$E167)&gt;zincirTolerans,"ZİNCİR KIRIK","OK")))</f>
        <v/>
      </c>
      <c r="U167" s="18">
        <f>IF($A167="","",1)</f>
        <v/>
      </c>
      <c r="V167" s="18">
        <f>IF($A167="","",$F167*$N167*mbk_durusKatsayi)</f>
        <v/>
      </c>
    </row>
    <row r="168">
      <c r="A168" s="15" t="n"/>
      <c r="B168" s="15" t="n"/>
      <c r="C168" s="64" t="n"/>
      <c r="D168" s="64" t="n"/>
      <c r="E168" s="17" t="n"/>
      <c r="F168" s="17" t="n"/>
      <c r="G168" s="17" t="n"/>
      <c r="H168" s="15" t="n"/>
      <c r="I168" s="15" t="n"/>
      <c r="J168" s="15" t="n"/>
      <c r="K168" s="15" t="n"/>
      <c r="L168" s="15" t="n"/>
      <c r="M168" s="15" t="n"/>
      <c r="N168" s="16" t="n"/>
      <c r="O168" s="18">
        <f>IF($A168="","",$F168)</f>
        <v/>
      </c>
      <c r="P168" s="18">
        <f>IF($A168="","",IF($J168="YAPILDI",0,IF($C168="","",raporTarihi-$C168)))</f>
        <v/>
      </c>
      <c r="Q168" s="18">
        <f>IF($A168="","",IF($P168="","",IF($P168&lt;=mbk_kovaEsik1,"0-7",IF($P168&lt;=mbk_kovaEsik2,"8-30",IF($P168&lt;=mbk_kovaEsik3,"31-60","60+")))))</f>
        <v/>
      </c>
      <c r="R168" s="18">
        <f>IF($A168="","",IF($B168="","YETİM",IF(COUNTIF(tblMakineler[MakineId],$B168)=0,"YETİM","")))</f>
        <v/>
      </c>
      <c r="S168" s="18">
        <f>IF(OR($A168="",$I168=""),"",IF(OR($I168&amp;"|"&amp;$J168="",COUNTIF(ListeIzinliGecis,$I168&amp;"|"&amp;$J168)&gt;0),"","GEÇERSİZ GEÇİŞ"))</f>
        <v/>
      </c>
      <c r="T168" s="18">
        <f>IF($A168="","",IF(OR($E168="",$F168=""),"",IF(ABS($F168-$E168)&gt;zincirTolerans,"ZİNCİR KIRIK","OK")))</f>
        <v/>
      </c>
      <c r="U168" s="18">
        <f>IF($A168="","",1)</f>
        <v/>
      </c>
      <c r="V168" s="18">
        <f>IF($A168="","",$F168*$N168*mbk_durusKatsayi)</f>
        <v/>
      </c>
    </row>
    <row r="169">
      <c r="A169" s="15" t="n"/>
      <c r="B169" s="15" t="n"/>
      <c r="C169" s="64" t="n"/>
      <c r="D169" s="64" t="n"/>
      <c r="E169" s="17" t="n"/>
      <c r="F169" s="17" t="n"/>
      <c r="G169" s="17" t="n"/>
      <c r="H169" s="15" t="n"/>
      <c r="I169" s="15" t="n"/>
      <c r="J169" s="15" t="n"/>
      <c r="K169" s="15" t="n"/>
      <c r="L169" s="15" t="n"/>
      <c r="M169" s="15" t="n"/>
      <c r="N169" s="16" t="n"/>
      <c r="O169" s="18">
        <f>IF($A169="","",$F169)</f>
        <v/>
      </c>
      <c r="P169" s="18">
        <f>IF($A169="","",IF($J169="YAPILDI",0,IF($C169="","",raporTarihi-$C169)))</f>
        <v/>
      </c>
      <c r="Q169" s="18">
        <f>IF($A169="","",IF($P169="","",IF($P169&lt;=mbk_kovaEsik1,"0-7",IF($P169&lt;=mbk_kovaEsik2,"8-30",IF($P169&lt;=mbk_kovaEsik3,"31-60","60+")))))</f>
        <v/>
      </c>
      <c r="R169" s="18">
        <f>IF($A169="","",IF($B169="","YETİM",IF(COUNTIF(tblMakineler[MakineId],$B169)=0,"YETİM","")))</f>
        <v/>
      </c>
      <c r="S169" s="18">
        <f>IF(OR($A169="",$I169=""),"",IF(OR($I169&amp;"|"&amp;$J169="",COUNTIF(ListeIzinliGecis,$I169&amp;"|"&amp;$J169)&gt;0),"","GEÇERSİZ GEÇİŞ"))</f>
        <v/>
      </c>
      <c r="T169" s="18">
        <f>IF($A169="","",IF(OR($E169="",$F169=""),"",IF(ABS($F169-$E169)&gt;zincirTolerans,"ZİNCİR KIRIK","OK")))</f>
        <v/>
      </c>
      <c r="U169" s="18">
        <f>IF($A169="","",1)</f>
        <v/>
      </c>
      <c r="V169" s="18">
        <f>IF($A169="","",$F169*$N169*mbk_durusKatsayi)</f>
        <v/>
      </c>
    </row>
    <row r="170">
      <c r="A170" s="15" t="n"/>
      <c r="B170" s="15" t="n"/>
      <c r="C170" s="64" t="n"/>
      <c r="D170" s="64" t="n"/>
      <c r="E170" s="17" t="n"/>
      <c r="F170" s="17" t="n"/>
      <c r="G170" s="17" t="n"/>
      <c r="H170" s="15" t="n"/>
      <c r="I170" s="15" t="n"/>
      <c r="J170" s="15" t="n"/>
      <c r="K170" s="15" t="n"/>
      <c r="L170" s="15" t="n"/>
      <c r="M170" s="15" t="n"/>
      <c r="N170" s="16" t="n"/>
      <c r="O170" s="18">
        <f>IF($A170="","",$F170)</f>
        <v/>
      </c>
      <c r="P170" s="18">
        <f>IF($A170="","",IF($J170="YAPILDI",0,IF($C170="","",raporTarihi-$C170)))</f>
        <v/>
      </c>
      <c r="Q170" s="18">
        <f>IF($A170="","",IF($P170="","",IF($P170&lt;=mbk_kovaEsik1,"0-7",IF($P170&lt;=mbk_kovaEsik2,"8-30",IF($P170&lt;=mbk_kovaEsik3,"31-60","60+")))))</f>
        <v/>
      </c>
      <c r="R170" s="18">
        <f>IF($A170="","",IF($B170="","YETİM",IF(COUNTIF(tblMakineler[MakineId],$B170)=0,"YETİM","")))</f>
        <v/>
      </c>
      <c r="S170" s="18">
        <f>IF(OR($A170="",$I170=""),"",IF(OR($I170&amp;"|"&amp;$J170="",COUNTIF(ListeIzinliGecis,$I170&amp;"|"&amp;$J170)&gt;0),"","GEÇERSİZ GEÇİŞ"))</f>
        <v/>
      </c>
      <c r="T170" s="18">
        <f>IF($A170="","",IF(OR($E170="",$F170=""),"",IF(ABS($F170-$E170)&gt;zincirTolerans,"ZİNCİR KIRIK","OK")))</f>
        <v/>
      </c>
      <c r="U170" s="18">
        <f>IF($A170="","",1)</f>
        <v/>
      </c>
      <c r="V170" s="18">
        <f>IF($A170="","",$F170*$N170*mbk_durusKatsayi)</f>
        <v/>
      </c>
    </row>
    <row r="171">
      <c r="A171" s="15" t="n"/>
      <c r="B171" s="15" t="n"/>
      <c r="C171" s="64" t="n"/>
      <c r="D171" s="64" t="n"/>
      <c r="E171" s="17" t="n"/>
      <c r="F171" s="17" t="n"/>
      <c r="G171" s="17" t="n"/>
      <c r="H171" s="15" t="n"/>
      <c r="I171" s="15" t="n"/>
      <c r="J171" s="15" t="n"/>
      <c r="K171" s="15" t="n"/>
      <c r="L171" s="15" t="n"/>
      <c r="M171" s="15" t="n"/>
      <c r="N171" s="16" t="n"/>
      <c r="O171" s="18">
        <f>IF($A171="","",$F171)</f>
        <v/>
      </c>
      <c r="P171" s="18">
        <f>IF($A171="","",IF($J171="YAPILDI",0,IF($C171="","",raporTarihi-$C171)))</f>
        <v/>
      </c>
      <c r="Q171" s="18">
        <f>IF($A171="","",IF($P171="","",IF($P171&lt;=mbk_kovaEsik1,"0-7",IF($P171&lt;=mbk_kovaEsik2,"8-30",IF($P171&lt;=mbk_kovaEsik3,"31-60","60+")))))</f>
        <v/>
      </c>
      <c r="R171" s="18">
        <f>IF($A171="","",IF($B171="","YETİM",IF(COUNTIF(tblMakineler[MakineId],$B171)=0,"YETİM","")))</f>
        <v/>
      </c>
      <c r="S171" s="18">
        <f>IF(OR($A171="",$I171=""),"",IF(OR($I171&amp;"|"&amp;$J171="",COUNTIF(ListeIzinliGecis,$I171&amp;"|"&amp;$J171)&gt;0),"","GEÇERSİZ GEÇİŞ"))</f>
        <v/>
      </c>
      <c r="T171" s="18">
        <f>IF($A171="","",IF(OR($E171="",$F171=""),"",IF(ABS($F171-$E171)&gt;zincirTolerans,"ZİNCİR KIRIK","OK")))</f>
        <v/>
      </c>
      <c r="U171" s="18">
        <f>IF($A171="","",1)</f>
        <v/>
      </c>
      <c r="V171" s="18">
        <f>IF($A171="","",$F171*$N171*mbk_durusKatsayi)</f>
        <v/>
      </c>
    </row>
    <row r="172">
      <c r="A172" s="15" t="n"/>
      <c r="B172" s="15" t="n"/>
      <c r="C172" s="64" t="n"/>
      <c r="D172" s="64" t="n"/>
      <c r="E172" s="17" t="n"/>
      <c r="F172" s="17" t="n"/>
      <c r="G172" s="17" t="n"/>
      <c r="H172" s="15" t="n"/>
      <c r="I172" s="15" t="n"/>
      <c r="J172" s="15" t="n"/>
      <c r="K172" s="15" t="n"/>
      <c r="L172" s="15" t="n"/>
      <c r="M172" s="15" t="n"/>
      <c r="N172" s="16" t="n"/>
      <c r="O172" s="18">
        <f>IF($A172="","",$F172)</f>
        <v/>
      </c>
      <c r="P172" s="18">
        <f>IF($A172="","",IF($J172="YAPILDI",0,IF($C172="","",raporTarihi-$C172)))</f>
        <v/>
      </c>
      <c r="Q172" s="18">
        <f>IF($A172="","",IF($P172="","",IF($P172&lt;=mbk_kovaEsik1,"0-7",IF($P172&lt;=mbk_kovaEsik2,"8-30",IF($P172&lt;=mbk_kovaEsik3,"31-60","60+")))))</f>
        <v/>
      </c>
      <c r="R172" s="18">
        <f>IF($A172="","",IF($B172="","YETİM",IF(COUNTIF(tblMakineler[MakineId],$B172)=0,"YETİM","")))</f>
        <v/>
      </c>
      <c r="S172" s="18">
        <f>IF(OR($A172="",$I172=""),"",IF(OR($I172&amp;"|"&amp;$J172="",COUNTIF(ListeIzinliGecis,$I172&amp;"|"&amp;$J172)&gt;0),"","GEÇERSİZ GEÇİŞ"))</f>
        <v/>
      </c>
      <c r="T172" s="18">
        <f>IF($A172="","",IF(OR($E172="",$F172=""),"",IF(ABS($F172-$E172)&gt;zincirTolerans,"ZİNCİR KIRIK","OK")))</f>
        <v/>
      </c>
      <c r="U172" s="18">
        <f>IF($A172="","",1)</f>
        <v/>
      </c>
      <c r="V172" s="18">
        <f>IF($A172="","",$F172*$N172*mbk_durusKatsayi)</f>
        <v/>
      </c>
    </row>
    <row r="173">
      <c r="A173" s="15" t="n"/>
      <c r="B173" s="15" t="n"/>
      <c r="C173" s="64" t="n"/>
      <c r="D173" s="64" t="n"/>
      <c r="E173" s="17" t="n"/>
      <c r="F173" s="17" t="n"/>
      <c r="G173" s="17" t="n"/>
      <c r="H173" s="15" t="n"/>
      <c r="I173" s="15" t="n"/>
      <c r="J173" s="15" t="n"/>
      <c r="K173" s="15" t="n"/>
      <c r="L173" s="15" t="n"/>
      <c r="M173" s="15" t="n"/>
      <c r="N173" s="16" t="n"/>
      <c r="O173" s="18">
        <f>IF($A173="","",$F173)</f>
        <v/>
      </c>
      <c r="P173" s="18">
        <f>IF($A173="","",IF($J173="YAPILDI",0,IF($C173="","",raporTarihi-$C173)))</f>
        <v/>
      </c>
      <c r="Q173" s="18">
        <f>IF($A173="","",IF($P173="","",IF($P173&lt;=mbk_kovaEsik1,"0-7",IF($P173&lt;=mbk_kovaEsik2,"8-30",IF($P173&lt;=mbk_kovaEsik3,"31-60","60+")))))</f>
        <v/>
      </c>
      <c r="R173" s="18">
        <f>IF($A173="","",IF($B173="","YETİM",IF(COUNTIF(tblMakineler[MakineId],$B173)=0,"YETİM","")))</f>
        <v/>
      </c>
      <c r="S173" s="18">
        <f>IF(OR($A173="",$I173=""),"",IF(OR($I173&amp;"|"&amp;$J173="",COUNTIF(ListeIzinliGecis,$I173&amp;"|"&amp;$J173)&gt;0),"","GEÇERSİZ GEÇİŞ"))</f>
        <v/>
      </c>
      <c r="T173" s="18">
        <f>IF($A173="","",IF(OR($E173="",$F173=""),"",IF(ABS($F173-$E173)&gt;zincirTolerans,"ZİNCİR KIRIK","OK")))</f>
        <v/>
      </c>
      <c r="U173" s="18">
        <f>IF($A173="","",1)</f>
        <v/>
      </c>
      <c r="V173" s="18">
        <f>IF($A173="","",$F173*$N173*mbk_durusKatsayi)</f>
        <v/>
      </c>
    </row>
    <row r="174">
      <c r="A174" s="15" t="n"/>
      <c r="B174" s="15" t="n"/>
      <c r="C174" s="64" t="n"/>
      <c r="D174" s="64" t="n"/>
      <c r="E174" s="17" t="n"/>
      <c r="F174" s="17" t="n"/>
      <c r="G174" s="17" t="n"/>
      <c r="H174" s="15" t="n"/>
      <c r="I174" s="15" t="n"/>
      <c r="J174" s="15" t="n"/>
      <c r="K174" s="15" t="n"/>
      <c r="L174" s="15" t="n"/>
      <c r="M174" s="15" t="n"/>
      <c r="N174" s="16" t="n"/>
      <c r="O174" s="18">
        <f>IF($A174="","",$F174)</f>
        <v/>
      </c>
      <c r="P174" s="18">
        <f>IF($A174="","",IF($J174="YAPILDI",0,IF($C174="","",raporTarihi-$C174)))</f>
        <v/>
      </c>
      <c r="Q174" s="18">
        <f>IF($A174="","",IF($P174="","",IF($P174&lt;=mbk_kovaEsik1,"0-7",IF($P174&lt;=mbk_kovaEsik2,"8-30",IF($P174&lt;=mbk_kovaEsik3,"31-60","60+")))))</f>
        <v/>
      </c>
      <c r="R174" s="18">
        <f>IF($A174="","",IF($B174="","YETİM",IF(COUNTIF(tblMakineler[MakineId],$B174)=0,"YETİM","")))</f>
        <v/>
      </c>
      <c r="S174" s="18">
        <f>IF(OR($A174="",$I174=""),"",IF(OR($I174&amp;"|"&amp;$J174="",COUNTIF(ListeIzinliGecis,$I174&amp;"|"&amp;$J174)&gt;0),"","GEÇERSİZ GEÇİŞ"))</f>
        <v/>
      </c>
      <c r="T174" s="18">
        <f>IF($A174="","",IF(OR($E174="",$F174=""),"",IF(ABS($F174-$E174)&gt;zincirTolerans,"ZİNCİR KIRIK","OK")))</f>
        <v/>
      </c>
      <c r="U174" s="18">
        <f>IF($A174="","",1)</f>
        <v/>
      </c>
      <c r="V174" s="18">
        <f>IF($A174="","",$F174*$N174*mbk_durusKatsayi)</f>
        <v/>
      </c>
    </row>
    <row r="175">
      <c r="A175" s="15" t="n"/>
      <c r="B175" s="15" t="n"/>
      <c r="C175" s="64" t="n"/>
      <c r="D175" s="64" t="n"/>
      <c r="E175" s="17" t="n"/>
      <c r="F175" s="17" t="n"/>
      <c r="G175" s="17" t="n"/>
      <c r="H175" s="15" t="n"/>
      <c r="I175" s="15" t="n"/>
      <c r="J175" s="15" t="n"/>
      <c r="K175" s="15" t="n"/>
      <c r="L175" s="15" t="n"/>
      <c r="M175" s="15" t="n"/>
      <c r="N175" s="16" t="n"/>
      <c r="O175" s="18">
        <f>IF($A175="","",$F175)</f>
        <v/>
      </c>
      <c r="P175" s="18">
        <f>IF($A175="","",IF($J175="YAPILDI",0,IF($C175="","",raporTarihi-$C175)))</f>
        <v/>
      </c>
      <c r="Q175" s="18">
        <f>IF($A175="","",IF($P175="","",IF($P175&lt;=mbk_kovaEsik1,"0-7",IF($P175&lt;=mbk_kovaEsik2,"8-30",IF($P175&lt;=mbk_kovaEsik3,"31-60","60+")))))</f>
        <v/>
      </c>
      <c r="R175" s="18">
        <f>IF($A175="","",IF($B175="","YETİM",IF(COUNTIF(tblMakineler[MakineId],$B175)=0,"YETİM","")))</f>
        <v/>
      </c>
      <c r="S175" s="18">
        <f>IF(OR($A175="",$I175=""),"",IF(OR($I175&amp;"|"&amp;$J175="",COUNTIF(ListeIzinliGecis,$I175&amp;"|"&amp;$J175)&gt;0),"","GEÇERSİZ GEÇİŞ"))</f>
        <v/>
      </c>
      <c r="T175" s="18">
        <f>IF($A175="","",IF(OR($E175="",$F175=""),"",IF(ABS($F175-$E175)&gt;zincirTolerans,"ZİNCİR KIRIK","OK")))</f>
        <v/>
      </c>
      <c r="U175" s="18">
        <f>IF($A175="","",1)</f>
        <v/>
      </c>
      <c r="V175" s="18">
        <f>IF($A175="","",$F175*$N175*mbk_durusKatsayi)</f>
        <v/>
      </c>
    </row>
    <row r="176">
      <c r="A176" s="15" t="n"/>
      <c r="B176" s="15" t="n"/>
      <c r="C176" s="64" t="n"/>
      <c r="D176" s="64" t="n"/>
      <c r="E176" s="17" t="n"/>
      <c r="F176" s="17" t="n"/>
      <c r="G176" s="17" t="n"/>
      <c r="H176" s="15" t="n"/>
      <c r="I176" s="15" t="n"/>
      <c r="J176" s="15" t="n"/>
      <c r="K176" s="15" t="n"/>
      <c r="L176" s="15" t="n"/>
      <c r="M176" s="15" t="n"/>
      <c r="N176" s="16" t="n"/>
      <c r="O176" s="18">
        <f>IF($A176="","",$F176)</f>
        <v/>
      </c>
      <c r="P176" s="18">
        <f>IF($A176="","",IF($J176="YAPILDI",0,IF($C176="","",raporTarihi-$C176)))</f>
        <v/>
      </c>
      <c r="Q176" s="18">
        <f>IF($A176="","",IF($P176="","",IF($P176&lt;=mbk_kovaEsik1,"0-7",IF($P176&lt;=mbk_kovaEsik2,"8-30",IF($P176&lt;=mbk_kovaEsik3,"31-60","60+")))))</f>
        <v/>
      </c>
      <c r="R176" s="18">
        <f>IF($A176="","",IF($B176="","YETİM",IF(COUNTIF(tblMakineler[MakineId],$B176)=0,"YETİM","")))</f>
        <v/>
      </c>
      <c r="S176" s="18">
        <f>IF(OR($A176="",$I176=""),"",IF(OR($I176&amp;"|"&amp;$J176="",COUNTIF(ListeIzinliGecis,$I176&amp;"|"&amp;$J176)&gt;0),"","GEÇERSİZ GEÇİŞ"))</f>
        <v/>
      </c>
      <c r="T176" s="18">
        <f>IF($A176="","",IF(OR($E176="",$F176=""),"",IF(ABS($F176-$E176)&gt;zincirTolerans,"ZİNCİR KIRIK","OK")))</f>
        <v/>
      </c>
      <c r="U176" s="18">
        <f>IF($A176="","",1)</f>
        <v/>
      </c>
      <c r="V176" s="18">
        <f>IF($A176="","",$F176*$N176*mbk_durusKatsayi)</f>
        <v/>
      </c>
    </row>
    <row r="177">
      <c r="A177" s="15" t="n"/>
      <c r="B177" s="15" t="n"/>
      <c r="C177" s="64" t="n"/>
      <c r="D177" s="64" t="n"/>
      <c r="E177" s="17" t="n"/>
      <c r="F177" s="17" t="n"/>
      <c r="G177" s="17" t="n"/>
      <c r="H177" s="15" t="n"/>
      <c r="I177" s="15" t="n"/>
      <c r="J177" s="15" t="n"/>
      <c r="K177" s="15" t="n"/>
      <c r="L177" s="15" t="n"/>
      <c r="M177" s="15" t="n"/>
      <c r="N177" s="16" t="n"/>
      <c r="O177" s="18">
        <f>IF($A177="","",$F177)</f>
        <v/>
      </c>
      <c r="P177" s="18">
        <f>IF($A177="","",IF($J177="YAPILDI",0,IF($C177="","",raporTarihi-$C177)))</f>
        <v/>
      </c>
      <c r="Q177" s="18">
        <f>IF($A177="","",IF($P177="","",IF($P177&lt;=mbk_kovaEsik1,"0-7",IF($P177&lt;=mbk_kovaEsik2,"8-30",IF($P177&lt;=mbk_kovaEsik3,"31-60","60+")))))</f>
        <v/>
      </c>
      <c r="R177" s="18">
        <f>IF($A177="","",IF($B177="","YETİM",IF(COUNTIF(tblMakineler[MakineId],$B177)=0,"YETİM","")))</f>
        <v/>
      </c>
      <c r="S177" s="18">
        <f>IF(OR($A177="",$I177=""),"",IF(OR($I177&amp;"|"&amp;$J177="",COUNTIF(ListeIzinliGecis,$I177&amp;"|"&amp;$J177)&gt;0),"","GEÇERSİZ GEÇİŞ"))</f>
        <v/>
      </c>
      <c r="T177" s="18">
        <f>IF($A177="","",IF(OR($E177="",$F177=""),"",IF(ABS($F177-$E177)&gt;zincirTolerans,"ZİNCİR KIRIK","OK")))</f>
        <v/>
      </c>
      <c r="U177" s="18">
        <f>IF($A177="","",1)</f>
        <v/>
      </c>
      <c r="V177" s="18">
        <f>IF($A177="","",$F177*$N177*mbk_durusKatsayi)</f>
        <v/>
      </c>
    </row>
    <row r="178">
      <c r="A178" s="15" t="n"/>
      <c r="B178" s="15" t="n"/>
      <c r="C178" s="64" t="n"/>
      <c r="D178" s="64" t="n"/>
      <c r="E178" s="17" t="n"/>
      <c r="F178" s="17" t="n"/>
      <c r="G178" s="17" t="n"/>
      <c r="H178" s="15" t="n"/>
      <c r="I178" s="15" t="n"/>
      <c r="J178" s="15" t="n"/>
      <c r="K178" s="15" t="n"/>
      <c r="L178" s="15" t="n"/>
      <c r="M178" s="15" t="n"/>
      <c r="N178" s="16" t="n"/>
      <c r="O178" s="18">
        <f>IF($A178="","",$F178)</f>
        <v/>
      </c>
      <c r="P178" s="18">
        <f>IF($A178="","",IF($J178="YAPILDI",0,IF($C178="","",raporTarihi-$C178)))</f>
        <v/>
      </c>
      <c r="Q178" s="18">
        <f>IF($A178="","",IF($P178="","",IF($P178&lt;=mbk_kovaEsik1,"0-7",IF($P178&lt;=mbk_kovaEsik2,"8-30",IF($P178&lt;=mbk_kovaEsik3,"31-60","60+")))))</f>
        <v/>
      </c>
      <c r="R178" s="18">
        <f>IF($A178="","",IF($B178="","YETİM",IF(COUNTIF(tblMakineler[MakineId],$B178)=0,"YETİM","")))</f>
        <v/>
      </c>
      <c r="S178" s="18">
        <f>IF(OR($A178="",$I178=""),"",IF(OR($I178&amp;"|"&amp;$J178="",COUNTIF(ListeIzinliGecis,$I178&amp;"|"&amp;$J178)&gt;0),"","GEÇERSİZ GEÇİŞ"))</f>
        <v/>
      </c>
      <c r="T178" s="18">
        <f>IF($A178="","",IF(OR($E178="",$F178=""),"",IF(ABS($F178-$E178)&gt;zincirTolerans,"ZİNCİR KIRIK","OK")))</f>
        <v/>
      </c>
      <c r="U178" s="18">
        <f>IF($A178="","",1)</f>
        <v/>
      </c>
      <c r="V178" s="18">
        <f>IF($A178="","",$F178*$N178*mbk_durusKatsayi)</f>
        <v/>
      </c>
    </row>
    <row r="179">
      <c r="A179" s="15" t="n"/>
      <c r="B179" s="15" t="n"/>
      <c r="C179" s="64" t="n"/>
      <c r="D179" s="64" t="n"/>
      <c r="E179" s="17" t="n"/>
      <c r="F179" s="17" t="n"/>
      <c r="G179" s="17" t="n"/>
      <c r="H179" s="15" t="n"/>
      <c r="I179" s="15" t="n"/>
      <c r="J179" s="15" t="n"/>
      <c r="K179" s="15" t="n"/>
      <c r="L179" s="15" t="n"/>
      <c r="M179" s="15" t="n"/>
      <c r="N179" s="16" t="n"/>
      <c r="O179" s="18">
        <f>IF($A179="","",$F179)</f>
        <v/>
      </c>
      <c r="P179" s="18">
        <f>IF($A179="","",IF($J179="YAPILDI",0,IF($C179="","",raporTarihi-$C179)))</f>
        <v/>
      </c>
      <c r="Q179" s="18">
        <f>IF($A179="","",IF($P179="","",IF($P179&lt;=mbk_kovaEsik1,"0-7",IF($P179&lt;=mbk_kovaEsik2,"8-30",IF($P179&lt;=mbk_kovaEsik3,"31-60","60+")))))</f>
        <v/>
      </c>
      <c r="R179" s="18">
        <f>IF($A179="","",IF($B179="","YETİM",IF(COUNTIF(tblMakineler[MakineId],$B179)=0,"YETİM","")))</f>
        <v/>
      </c>
      <c r="S179" s="18">
        <f>IF(OR($A179="",$I179=""),"",IF(OR($I179&amp;"|"&amp;$J179="",COUNTIF(ListeIzinliGecis,$I179&amp;"|"&amp;$J179)&gt;0),"","GEÇERSİZ GEÇİŞ"))</f>
        <v/>
      </c>
      <c r="T179" s="18">
        <f>IF($A179="","",IF(OR($E179="",$F179=""),"",IF(ABS($F179-$E179)&gt;zincirTolerans,"ZİNCİR KIRIK","OK")))</f>
        <v/>
      </c>
      <c r="U179" s="18">
        <f>IF($A179="","",1)</f>
        <v/>
      </c>
      <c r="V179" s="18">
        <f>IF($A179="","",$F179*$N179*mbk_durusKatsayi)</f>
        <v/>
      </c>
    </row>
    <row r="180">
      <c r="A180" s="15" t="n"/>
      <c r="B180" s="15" t="n"/>
      <c r="C180" s="64" t="n"/>
      <c r="D180" s="64" t="n"/>
      <c r="E180" s="17" t="n"/>
      <c r="F180" s="17" t="n"/>
      <c r="G180" s="17" t="n"/>
      <c r="H180" s="15" t="n"/>
      <c r="I180" s="15" t="n"/>
      <c r="J180" s="15" t="n"/>
      <c r="K180" s="15" t="n"/>
      <c r="L180" s="15" t="n"/>
      <c r="M180" s="15" t="n"/>
      <c r="N180" s="16" t="n"/>
      <c r="O180" s="18">
        <f>IF($A180="","",$F180)</f>
        <v/>
      </c>
      <c r="P180" s="18">
        <f>IF($A180="","",IF($J180="YAPILDI",0,IF($C180="","",raporTarihi-$C180)))</f>
        <v/>
      </c>
      <c r="Q180" s="18">
        <f>IF($A180="","",IF($P180="","",IF($P180&lt;=mbk_kovaEsik1,"0-7",IF($P180&lt;=mbk_kovaEsik2,"8-30",IF($P180&lt;=mbk_kovaEsik3,"31-60","60+")))))</f>
        <v/>
      </c>
      <c r="R180" s="18">
        <f>IF($A180="","",IF($B180="","YETİM",IF(COUNTIF(tblMakineler[MakineId],$B180)=0,"YETİM","")))</f>
        <v/>
      </c>
      <c r="S180" s="18">
        <f>IF(OR($A180="",$I180=""),"",IF(OR($I180&amp;"|"&amp;$J180="",COUNTIF(ListeIzinliGecis,$I180&amp;"|"&amp;$J180)&gt;0),"","GEÇERSİZ GEÇİŞ"))</f>
        <v/>
      </c>
      <c r="T180" s="18">
        <f>IF($A180="","",IF(OR($E180="",$F180=""),"",IF(ABS($F180-$E180)&gt;zincirTolerans,"ZİNCİR KIRIK","OK")))</f>
        <v/>
      </c>
      <c r="U180" s="18">
        <f>IF($A180="","",1)</f>
        <v/>
      </c>
      <c r="V180" s="18">
        <f>IF($A180="","",$F180*$N180*mbk_durusKatsayi)</f>
        <v/>
      </c>
    </row>
    <row r="181">
      <c r="A181" s="15" t="n"/>
      <c r="B181" s="15" t="n"/>
      <c r="C181" s="64" t="n"/>
      <c r="D181" s="64" t="n"/>
      <c r="E181" s="17" t="n"/>
      <c r="F181" s="17" t="n"/>
      <c r="G181" s="17" t="n"/>
      <c r="H181" s="15" t="n"/>
      <c r="I181" s="15" t="n"/>
      <c r="J181" s="15" t="n"/>
      <c r="K181" s="15" t="n"/>
      <c r="L181" s="15" t="n"/>
      <c r="M181" s="15" t="n"/>
      <c r="N181" s="16" t="n"/>
      <c r="O181" s="18">
        <f>IF($A181="","",$F181)</f>
        <v/>
      </c>
      <c r="P181" s="18">
        <f>IF($A181="","",IF($J181="YAPILDI",0,IF($C181="","",raporTarihi-$C181)))</f>
        <v/>
      </c>
      <c r="Q181" s="18">
        <f>IF($A181="","",IF($P181="","",IF($P181&lt;=mbk_kovaEsik1,"0-7",IF($P181&lt;=mbk_kovaEsik2,"8-30",IF($P181&lt;=mbk_kovaEsik3,"31-60","60+")))))</f>
        <v/>
      </c>
      <c r="R181" s="18">
        <f>IF($A181="","",IF($B181="","YETİM",IF(COUNTIF(tblMakineler[MakineId],$B181)=0,"YETİM","")))</f>
        <v/>
      </c>
      <c r="S181" s="18">
        <f>IF(OR($A181="",$I181=""),"",IF(OR($I181&amp;"|"&amp;$J181="",COUNTIF(ListeIzinliGecis,$I181&amp;"|"&amp;$J181)&gt;0),"","GEÇERSİZ GEÇİŞ"))</f>
        <v/>
      </c>
      <c r="T181" s="18">
        <f>IF($A181="","",IF(OR($E181="",$F181=""),"",IF(ABS($F181-$E181)&gt;zincirTolerans,"ZİNCİR KIRIK","OK")))</f>
        <v/>
      </c>
      <c r="U181" s="18">
        <f>IF($A181="","",1)</f>
        <v/>
      </c>
      <c r="V181" s="18">
        <f>IF($A181="","",$F181*$N181*mbk_durusKatsayi)</f>
        <v/>
      </c>
    </row>
    <row r="182">
      <c r="A182" s="15" t="n"/>
      <c r="B182" s="15" t="n"/>
      <c r="C182" s="64" t="n"/>
      <c r="D182" s="64" t="n"/>
      <c r="E182" s="17" t="n"/>
      <c r="F182" s="17" t="n"/>
      <c r="G182" s="17" t="n"/>
      <c r="H182" s="15" t="n"/>
      <c r="I182" s="15" t="n"/>
      <c r="J182" s="15" t="n"/>
      <c r="K182" s="15" t="n"/>
      <c r="L182" s="15" t="n"/>
      <c r="M182" s="15" t="n"/>
      <c r="N182" s="16" t="n"/>
      <c r="O182" s="18">
        <f>IF($A182="","",$F182)</f>
        <v/>
      </c>
      <c r="P182" s="18">
        <f>IF($A182="","",IF($J182="YAPILDI",0,IF($C182="","",raporTarihi-$C182)))</f>
        <v/>
      </c>
      <c r="Q182" s="18">
        <f>IF($A182="","",IF($P182="","",IF($P182&lt;=mbk_kovaEsik1,"0-7",IF($P182&lt;=mbk_kovaEsik2,"8-30",IF($P182&lt;=mbk_kovaEsik3,"31-60","60+")))))</f>
        <v/>
      </c>
      <c r="R182" s="18">
        <f>IF($A182="","",IF($B182="","YETİM",IF(COUNTIF(tblMakineler[MakineId],$B182)=0,"YETİM","")))</f>
        <v/>
      </c>
      <c r="S182" s="18">
        <f>IF(OR($A182="",$I182=""),"",IF(OR($I182&amp;"|"&amp;$J182="",COUNTIF(ListeIzinliGecis,$I182&amp;"|"&amp;$J182)&gt;0),"","GEÇERSİZ GEÇİŞ"))</f>
        <v/>
      </c>
      <c r="T182" s="18">
        <f>IF($A182="","",IF(OR($E182="",$F182=""),"",IF(ABS($F182-$E182)&gt;zincirTolerans,"ZİNCİR KIRIK","OK")))</f>
        <v/>
      </c>
      <c r="U182" s="18">
        <f>IF($A182="","",1)</f>
        <v/>
      </c>
      <c r="V182" s="18">
        <f>IF($A182="","",$F182*$N182*mbk_durusKatsayi)</f>
        <v/>
      </c>
    </row>
    <row r="183">
      <c r="A183" s="15" t="n"/>
      <c r="B183" s="15" t="n"/>
      <c r="C183" s="64" t="n"/>
      <c r="D183" s="64" t="n"/>
      <c r="E183" s="17" t="n"/>
      <c r="F183" s="17" t="n"/>
      <c r="G183" s="17" t="n"/>
      <c r="H183" s="15" t="n"/>
      <c r="I183" s="15" t="n"/>
      <c r="J183" s="15" t="n"/>
      <c r="K183" s="15" t="n"/>
      <c r="L183" s="15" t="n"/>
      <c r="M183" s="15" t="n"/>
      <c r="N183" s="16" t="n"/>
      <c r="O183" s="18">
        <f>IF($A183="","",$F183)</f>
        <v/>
      </c>
      <c r="P183" s="18">
        <f>IF($A183="","",IF($J183="YAPILDI",0,IF($C183="","",raporTarihi-$C183)))</f>
        <v/>
      </c>
      <c r="Q183" s="18">
        <f>IF($A183="","",IF($P183="","",IF($P183&lt;=mbk_kovaEsik1,"0-7",IF($P183&lt;=mbk_kovaEsik2,"8-30",IF($P183&lt;=mbk_kovaEsik3,"31-60","60+")))))</f>
        <v/>
      </c>
      <c r="R183" s="18">
        <f>IF($A183="","",IF($B183="","YETİM",IF(COUNTIF(tblMakineler[MakineId],$B183)=0,"YETİM","")))</f>
        <v/>
      </c>
      <c r="S183" s="18">
        <f>IF(OR($A183="",$I183=""),"",IF(OR($I183&amp;"|"&amp;$J183="",COUNTIF(ListeIzinliGecis,$I183&amp;"|"&amp;$J183)&gt;0),"","GEÇERSİZ GEÇİŞ"))</f>
        <v/>
      </c>
      <c r="T183" s="18">
        <f>IF($A183="","",IF(OR($E183="",$F183=""),"",IF(ABS($F183-$E183)&gt;zincirTolerans,"ZİNCİR KIRIK","OK")))</f>
        <v/>
      </c>
      <c r="U183" s="18">
        <f>IF($A183="","",1)</f>
        <v/>
      </c>
      <c r="V183" s="18">
        <f>IF($A183="","",$F183*$N183*mbk_durusKatsayi)</f>
        <v/>
      </c>
    </row>
    <row r="184">
      <c r="A184" s="15" t="n"/>
      <c r="B184" s="15" t="n"/>
      <c r="C184" s="64" t="n"/>
      <c r="D184" s="64" t="n"/>
      <c r="E184" s="17" t="n"/>
      <c r="F184" s="17" t="n"/>
      <c r="G184" s="17" t="n"/>
      <c r="H184" s="15" t="n"/>
      <c r="I184" s="15" t="n"/>
      <c r="J184" s="15" t="n"/>
      <c r="K184" s="15" t="n"/>
      <c r="L184" s="15" t="n"/>
      <c r="M184" s="15" t="n"/>
      <c r="N184" s="16" t="n"/>
      <c r="O184" s="18">
        <f>IF($A184="","",$F184)</f>
        <v/>
      </c>
      <c r="P184" s="18">
        <f>IF($A184="","",IF($J184="YAPILDI",0,IF($C184="","",raporTarihi-$C184)))</f>
        <v/>
      </c>
      <c r="Q184" s="18">
        <f>IF($A184="","",IF($P184="","",IF($P184&lt;=mbk_kovaEsik1,"0-7",IF($P184&lt;=mbk_kovaEsik2,"8-30",IF($P184&lt;=mbk_kovaEsik3,"31-60","60+")))))</f>
        <v/>
      </c>
      <c r="R184" s="18">
        <f>IF($A184="","",IF($B184="","YETİM",IF(COUNTIF(tblMakineler[MakineId],$B184)=0,"YETİM","")))</f>
        <v/>
      </c>
      <c r="S184" s="18">
        <f>IF(OR($A184="",$I184=""),"",IF(OR($I184&amp;"|"&amp;$J184="",COUNTIF(ListeIzinliGecis,$I184&amp;"|"&amp;$J184)&gt;0),"","GEÇERSİZ GEÇİŞ"))</f>
        <v/>
      </c>
      <c r="T184" s="18">
        <f>IF($A184="","",IF(OR($E184="",$F184=""),"",IF(ABS($F184-$E184)&gt;zincirTolerans,"ZİNCİR KIRIK","OK")))</f>
        <v/>
      </c>
      <c r="U184" s="18">
        <f>IF($A184="","",1)</f>
        <v/>
      </c>
      <c r="V184" s="18">
        <f>IF($A184="","",$F184*$N184*mbk_durusKatsayi)</f>
        <v/>
      </c>
    </row>
    <row r="185">
      <c r="A185" s="15" t="n"/>
      <c r="B185" s="15" t="n"/>
      <c r="C185" s="64" t="n"/>
      <c r="D185" s="64" t="n"/>
      <c r="E185" s="17" t="n"/>
      <c r="F185" s="17" t="n"/>
      <c r="G185" s="17" t="n"/>
      <c r="H185" s="15" t="n"/>
      <c r="I185" s="15" t="n"/>
      <c r="J185" s="15" t="n"/>
      <c r="K185" s="15" t="n"/>
      <c r="L185" s="15" t="n"/>
      <c r="M185" s="15" t="n"/>
      <c r="N185" s="16" t="n"/>
      <c r="O185" s="18">
        <f>IF($A185="","",$F185)</f>
        <v/>
      </c>
      <c r="P185" s="18">
        <f>IF($A185="","",IF($J185="YAPILDI",0,IF($C185="","",raporTarihi-$C185)))</f>
        <v/>
      </c>
      <c r="Q185" s="18">
        <f>IF($A185="","",IF($P185="","",IF($P185&lt;=mbk_kovaEsik1,"0-7",IF($P185&lt;=mbk_kovaEsik2,"8-30",IF($P185&lt;=mbk_kovaEsik3,"31-60","60+")))))</f>
        <v/>
      </c>
      <c r="R185" s="18">
        <f>IF($A185="","",IF($B185="","YETİM",IF(COUNTIF(tblMakineler[MakineId],$B185)=0,"YETİM","")))</f>
        <v/>
      </c>
      <c r="S185" s="18">
        <f>IF(OR($A185="",$I185=""),"",IF(OR($I185&amp;"|"&amp;$J185="",COUNTIF(ListeIzinliGecis,$I185&amp;"|"&amp;$J185)&gt;0),"","GEÇERSİZ GEÇİŞ"))</f>
        <v/>
      </c>
      <c r="T185" s="18">
        <f>IF($A185="","",IF(OR($E185="",$F185=""),"",IF(ABS($F185-$E185)&gt;zincirTolerans,"ZİNCİR KIRIK","OK")))</f>
        <v/>
      </c>
      <c r="U185" s="18">
        <f>IF($A185="","",1)</f>
        <v/>
      </c>
      <c r="V185" s="18">
        <f>IF($A185="","",$F185*$N185*mbk_durusKatsayi)</f>
        <v/>
      </c>
    </row>
    <row r="186">
      <c r="A186" s="15" t="n"/>
      <c r="B186" s="15" t="n"/>
      <c r="C186" s="64" t="n"/>
      <c r="D186" s="64" t="n"/>
      <c r="E186" s="17" t="n"/>
      <c r="F186" s="17" t="n"/>
      <c r="G186" s="17" t="n"/>
      <c r="H186" s="15" t="n"/>
      <c r="I186" s="15" t="n"/>
      <c r="J186" s="15" t="n"/>
      <c r="K186" s="15" t="n"/>
      <c r="L186" s="15" t="n"/>
      <c r="M186" s="15" t="n"/>
      <c r="N186" s="16" t="n"/>
      <c r="O186" s="18">
        <f>IF($A186="","",$F186)</f>
        <v/>
      </c>
      <c r="P186" s="18">
        <f>IF($A186="","",IF($J186="YAPILDI",0,IF($C186="","",raporTarihi-$C186)))</f>
        <v/>
      </c>
      <c r="Q186" s="18">
        <f>IF($A186="","",IF($P186="","",IF($P186&lt;=mbk_kovaEsik1,"0-7",IF($P186&lt;=mbk_kovaEsik2,"8-30",IF($P186&lt;=mbk_kovaEsik3,"31-60","60+")))))</f>
        <v/>
      </c>
      <c r="R186" s="18">
        <f>IF($A186="","",IF($B186="","YETİM",IF(COUNTIF(tblMakineler[MakineId],$B186)=0,"YETİM","")))</f>
        <v/>
      </c>
      <c r="S186" s="18">
        <f>IF(OR($A186="",$I186=""),"",IF(OR($I186&amp;"|"&amp;$J186="",COUNTIF(ListeIzinliGecis,$I186&amp;"|"&amp;$J186)&gt;0),"","GEÇERSİZ GEÇİŞ"))</f>
        <v/>
      </c>
      <c r="T186" s="18">
        <f>IF($A186="","",IF(OR($E186="",$F186=""),"",IF(ABS($F186-$E186)&gt;zincirTolerans,"ZİNCİR KIRIK","OK")))</f>
        <v/>
      </c>
      <c r="U186" s="18">
        <f>IF($A186="","",1)</f>
        <v/>
      </c>
      <c r="V186" s="18">
        <f>IF($A186="","",$F186*$N186*mbk_durusKatsayi)</f>
        <v/>
      </c>
    </row>
    <row r="187">
      <c r="A187" s="15" t="n"/>
      <c r="B187" s="15" t="n"/>
      <c r="C187" s="64" t="n"/>
      <c r="D187" s="64" t="n"/>
      <c r="E187" s="17" t="n"/>
      <c r="F187" s="17" t="n"/>
      <c r="G187" s="17" t="n"/>
      <c r="H187" s="15" t="n"/>
      <c r="I187" s="15" t="n"/>
      <c r="J187" s="15" t="n"/>
      <c r="K187" s="15" t="n"/>
      <c r="L187" s="15" t="n"/>
      <c r="M187" s="15" t="n"/>
      <c r="N187" s="16" t="n"/>
      <c r="O187" s="18">
        <f>IF($A187="","",$F187)</f>
        <v/>
      </c>
      <c r="P187" s="18">
        <f>IF($A187="","",IF($J187="YAPILDI",0,IF($C187="","",raporTarihi-$C187)))</f>
        <v/>
      </c>
      <c r="Q187" s="18">
        <f>IF($A187="","",IF($P187="","",IF($P187&lt;=mbk_kovaEsik1,"0-7",IF($P187&lt;=mbk_kovaEsik2,"8-30",IF($P187&lt;=mbk_kovaEsik3,"31-60","60+")))))</f>
        <v/>
      </c>
      <c r="R187" s="18">
        <f>IF($A187="","",IF($B187="","YETİM",IF(COUNTIF(tblMakineler[MakineId],$B187)=0,"YETİM","")))</f>
        <v/>
      </c>
      <c r="S187" s="18">
        <f>IF(OR($A187="",$I187=""),"",IF(OR($I187&amp;"|"&amp;$J187="",COUNTIF(ListeIzinliGecis,$I187&amp;"|"&amp;$J187)&gt;0),"","GEÇERSİZ GEÇİŞ"))</f>
        <v/>
      </c>
      <c r="T187" s="18">
        <f>IF($A187="","",IF(OR($E187="",$F187=""),"",IF(ABS($F187-$E187)&gt;zincirTolerans,"ZİNCİR KIRIK","OK")))</f>
        <v/>
      </c>
      <c r="U187" s="18">
        <f>IF($A187="","",1)</f>
        <v/>
      </c>
      <c r="V187" s="18">
        <f>IF($A187="","",$F187*$N187*mbk_durusKatsayi)</f>
        <v/>
      </c>
    </row>
    <row r="188">
      <c r="A188" s="15" t="n"/>
      <c r="B188" s="15" t="n"/>
      <c r="C188" s="64" t="n"/>
      <c r="D188" s="64" t="n"/>
      <c r="E188" s="17" t="n"/>
      <c r="F188" s="17" t="n"/>
      <c r="G188" s="17" t="n"/>
      <c r="H188" s="15" t="n"/>
      <c r="I188" s="15" t="n"/>
      <c r="J188" s="15" t="n"/>
      <c r="K188" s="15" t="n"/>
      <c r="L188" s="15" t="n"/>
      <c r="M188" s="15" t="n"/>
      <c r="N188" s="16" t="n"/>
      <c r="O188" s="18">
        <f>IF($A188="","",$F188)</f>
        <v/>
      </c>
      <c r="P188" s="18">
        <f>IF($A188="","",IF($J188="YAPILDI",0,IF($C188="","",raporTarihi-$C188)))</f>
        <v/>
      </c>
      <c r="Q188" s="18">
        <f>IF($A188="","",IF($P188="","",IF($P188&lt;=mbk_kovaEsik1,"0-7",IF($P188&lt;=mbk_kovaEsik2,"8-30",IF($P188&lt;=mbk_kovaEsik3,"31-60","60+")))))</f>
        <v/>
      </c>
      <c r="R188" s="18">
        <f>IF($A188="","",IF($B188="","YETİM",IF(COUNTIF(tblMakineler[MakineId],$B188)=0,"YETİM","")))</f>
        <v/>
      </c>
      <c r="S188" s="18">
        <f>IF(OR($A188="",$I188=""),"",IF(OR($I188&amp;"|"&amp;$J188="",COUNTIF(ListeIzinliGecis,$I188&amp;"|"&amp;$J188)&gt;0),"","GEÇERSİZ GEÇİŞ"))</f>
        <v/>
      </c>
      <c r="T188" s="18">
        <f>IF($A188="","",IF(OR($E188="",$F188=""),"",IF(ABS($F188-$E188)&gt;zincirTolerans,"ZİNCİR KIRIK","OK")))</f>
        <v/>
      </c>
      <c r="U188" s="18">
        <f>IF($A188="","",1)</f>
        <v/>
      </c>
      <c r="V188" s="18">
        <f>IF($A188="","",$F188*$N188*mbk_durusKatsayi)</f>
        <v/>
      </c>
    </row>
    <row r="189">
      <c r="A189" s="15" t="n"/>
      <c r="B189" s="15" t="n"/>
      <c r="C189" s="64" t="n"/>
      <c r="D189" s="64" t="n"/>
      <c r="E189" s="17" t="n"/>
      <c r="F189" s="17" t="n"/>
      <c r="G189" s="17" t="n"/>
      <c r="H189" s="15" t="n"/>
      <c r="I189" s="15" t="n"/>
      <c r="J189" s="15" t="n"/>
      <c r="K189" s="15" t="n"/>
      <c r="L189" s="15" t="n"/>
      <c r="M189" s="15" t="n"/>
      <c r="N189" s="16" t="n"/>
      <c r="O189" s="18">
        <f>IF($A189="","",$F189)</f>
        <v/>
      </c>
      <c r="P189" s="18">
        <f>IF($A189="","",IF($J189="YAPILDI",0,IF($C189="","",raporTarihi-$C189)))</f>
        <v/>
      </c>
      <c r="Q189" s="18">
        <f>IF($A189="","",IF($P189="","",IF($P189&lt;=mbk_kovaEsik1,"0-7",IF($P189&lt;=mbk_kovaEsik2,"8-30",IF($P189&lt;=mbk_kovaEsik3,"31-60","60+")))))</f>
        <v/>
      </c>
      <c r="R189" s="18">
        <f>IF($A189="","",IF($B189="","YETİM",IF(COUNTIF(tblMakineler[MakineId],$B189)=0,"YETİM","")))</f>
        <v/>
      </c>
      <c r="S189" s="18">
        <f>IF(OR($A189="",$I189=""),"",IF(OR($I189&amp;"|"&amp;$J189="",COUNTIF(ListeIzinliGecis,$I189&amp;"|"&amp;$J189)&gt;0),"","GEÇERSİZ GEÇİŞ"))</f>
        <v/>
      </c>
      <c r="T189" s="18">
        <f>IF($A189="","",IF(OR($E189="",$F189=""),"",IF(ABS($F189-$E189)&gt;zincirTolerans,"ZİNCİR KIRIK","OK")))</f>
        <v/>
      </c>
      <c r="U189" s="18">
        <f>IF($A189="","",1)</f>
        <v/>
      </c>
      <c r="V189" s="18">
        <f>IF($A189="","",$F189*$N189*mbk_durusKatsayi)</f>
        <v/>
      </c>
    </row>
    <row r="190">
      <c r="A190" s="15" t="n"/>
      <c r="B190" s="15" t="n"/>
      <c r="C190" s="64" t="n"/>
      <c r="D190" s="64" t="n"/>
      <c r="E190" s="17" t="n"/>
      <c r="F190" s="17" t="n"/>
      <c r="G190" s="17" t="n"/>
      <c r="H190" s="15" t="n"/>
      <c r="I190" s="15" t="n"/>
      <c r="J190" s="15" t="n"/>
      <c r="K190" s="15" t="n"/>
      <c r="L190" s="15" t="n"/>
      <c r="M190" s="15" t="n"/>
      <c r="N190" s="16" t="n"/>
      <c r="O190" s="18">
        <f>IF($A190="","",$F190)</f>
        <v/>
      </c>
      <c r="P190" s="18">
        <f>IF($A190="","",IF($J190="YAPILDI",0,IF($C190="","",raporTarihi-$C190)))</f>
        <v/>
      </c>
      <c r="Q190" s="18">
        <f>IF($A190="","",IF($P190="","",IF($P190&lt;=mbk_kovaEsik1,"0-7",IF($P190&lt;=mbk_kovaEsik2,"8-30",IF($P190&lt;=mbk_kovaEsik3,"31-60","60+")))))</f>
        <v/>
      </c>
      <c r="R190" s="18">
        <f>IF($A190="","",IF($B190="","YETİM",IF(COUNTIF(tblMakineler[MakineId],$B190)=0,"YETİM","")))</f>
        <v/>
      </c>
      <c r="S190" s="18">
        <f>IF(OR($A190="",$I190=""),"",IF(OR($I190&amp;"|"&amp;$J190="",COUNTIF(ListeIzinliGecis,$I190&amp;"|"&amp;$J190)&gt;0),"","GEÇERSİZ GEÇİŞ"))</f>
        <v/>
      </c>
      <c r="T190" s="18">
        <f>IF($A190="","",IF(OR($E190="",$F190=""),"",IF(ABS($F190-$E190)&gt;zincirTolerans,"ZİNCİR KIRIK","OK")))</f>
        <v/>
      </c>
      <c r="U190" s="18">
        <f>IF($A190="","",1)</f>
        <v/>
      </c>
      <c r="V190" s="18">
        <f>IF($A190="","",$F190*$N190*mbk_durusKatsayi)</f>
        <v/>
      </c>
    </row>
    <row r="191">
      <c r="A191" s="15" t="n"/>
      <c r="B191" s="15" t="n"/>
      <c r="C191" s="64" t="n"/>
      <c r="D191" s="64" t="n"/>
      <c r="E191" s="17" t="n"/>
      <c r="F191" s="17" t="n"/>
      <c r="G191" s="17" t="n"/>
      <c r="H191" s="15" t="n"/>
      <c r="I191" s="15" t="n"/>
      <c r="J191" s="15" t="n"/>
      <c r="K191" s="15" t="n"/>
      <c r="L191" s="15" t="n"/>
      <c r="M191" s="15" t="n"/>
      <c r="N191" s="16" t="n"/>
      <c r="O191" s="18">
        <f>IF($A191="","",$F191)</f>
        <v/>
      </c>
      <c r="P191" s="18">
        <f>IF($A191="","",IF($J191="YAPILDI",0,IF($C191="","",raporTarihi-$C191)))</f>
        <v/>
      </c>
      <c r="Q191" s="18">
        <f>IF($A191="","",IF($P191="","",IF($P191&lt;=mbk_kovaEsik1,"0-7",IF($P191&lt;=mbk_kovaEsik2,"8-30",IF($P191&lt;=mbk_kovaEsik3,"31-60","60+")))))</f>
        <v/>
      </c>
      <c r="R191" s="18">
        <f>IF($A191="","",IF($B191="","YETİM",IF(COUNTIF(tblMakineler[MakineId],$B191)=0,"YETİM","")))</f>
        <v/>
      </c>
      <c r="S191" s="18">
        <f>IF(OR($A191="",$I191=""),"",IF(OR($I191&amp;"|"&amp;$J191="",COUNTIF(ListeIzinliGecis,$I191&amp;"|"&amp;$J191)&gt;0),"","GEÇERSİZ GEÇİŞ"))</f>
        <v/>
      </c>
      <c r="T191" s="18">
        <f>IF($A191="","",IF(OR($E191="",$F191=""),"",IF(ABS($F191-$E191)&gt;zincirTolerans,"ZİNCİR KIRIK","OK")))</f>
        <v/>
      </c>
      <c r="U191" s="18">
        <f>IF($A191="","",1)</f>
        <v/>
      </c>
      <c r="V191" s="18">
        <f>IF($A191="","",$F191*$N191*mbk_durusKatsayi)</f>
        <v/>
      </c>
    </row>
    <row r="192">
      <c r="A192" s="15" t="n"/>
      <c r="B192" s="15" t="n"/>
      <c r="C192" s="64" t="n"/>
      <c r="D192" s="64" t="n"/>
      <c r="E192" s="17" t="n"/>
      <c r="F192" s="17" t="n"/>
      <c r="G192" s="17" t="n"/>
      <c r="H192" s="15" t="n"/>
      <c r="I192" s="15" t="n"/>
      <c r="J192" s="15" t="n"/>
      <c r="K192" s="15" t="n"/>
      <c r="L192" s="15" t="n"/>
      <c r="M192" s="15" t="n"/>
      <c r="N192" s="16" t="n"/>
      <c r="O192" s="18">
        <f>IF($A192="","",$F192)</f>
        <v/>
      </c>
      <c r="P192" s="18">
        <f>IF($A192="","",IF($J192="YAPILDI",0,IF($C192="","",raporTarihi-$C192)))</f>
        <v/>
      </c>
      <c r="Q192" s="18">
        <f>IF($A192="","",IF($P192="","",IF($P192&lt;=mbk_kovaEsik1,"0-7",IF($P192&lt;=mbk_kovaEsik2,"8-30",IF($P192&lt;=mbk_kovaEsik3,"31-60","60+")))))</f>
        <v/>
      </c>
      <c r="R192" s="18">
        <f>IF($A192="","",IF($B192="","YETİM",IF(COUNTIF(tblMakineler[MakineId],$B192)=0,"YETİM","")))</f>
        <v/>
      </c>
      <c r="S192" s="18">
        <f>IF(OR($A192="",$I192=""),"",IF(OR($I192&amp;"|"&amp;$J192="",COUNTIF(ListeIzinliGecis,$I192&amp;"|"&amp;$J192)&gt;0),"","GEÇERSİZ GEÇİŞ"))</f>
        <v/>
      </c>
      <c r="T192" s="18">
        <f>IF($A192="","",IF(OR($E192="",$F192=""),"",IF(ABS($F192-$E192)&gt;zincirTolerans,"ZİNCİR KIRIK","OK")))</f>
        <v/>
      </c>
      <c r="U192" s="18">
        <f>IF($A192="","",1)</f>
        <v/>
      </c>
      <c r="V192" s="18">
        <f>IF($A192="","",$F192*$N192*mbk_durusKatsayi)</f>
        <v/>
      </c>
    </row>
    <row r="193">
      <c r="A193" s="15" t="n"/>
      <c r="B193" s="15" t="n"/>
      <c r="C193" s="64" t="n"/>
      <c r="D193" s="64" t="n"/>
      <c r="E193" s="17" t="n"/>
      <c r="F193" s="17" t="n"/>
      <c r="G193" s="17" t="n"/>
      <c r="H193" s="15" t="n"/>
      <c r="I193" s="15" t="n"/>
      <c r="J193" s="15" t="n"/>
      <c r="K193" s="15" t="n"/>
      <c r="L193" s="15" t="n"/>
      <c r="M193" s="15" t="n"/>
      <c r="N193" s="16" t="n"/>
      <c r="O193" s="18">
        <f>IF($A193="","",$F193)</f>
        <v/>
      </c>
      <c r="P193" s="18">
        <f>IF($A193="","",IF($J193="YAPILDI",0,IF($C193="","",raporTarihi-$C193)))</f>
        <v/>
      </c>
      <c r="Q193" s="18">
        <f>IF($A193="","",IF($P193="","",IF($P193&lt;=mbk_kovaEsik1,"0-7",IF($P193&lt;=mbk_kovaEsik2,"8-30",IF($P193&lt;=mbk_kovaEsik3,"31-60","60+")))))</f>
        <v/>
      </c>
      <c r="R193" s="18">
        <f>IF($A193="","",IF($B193="","YETİM",IF(COUNTIF(tblMakineler[MakineId],$B193)=0,"YETİM","")))</f>
        <v/>
      </c>
      <c r="S193" s="18">
        <f>IF(OR($A193="",$I193=""),"",IF(OR($I193&amp;"|"&amp;$J193="",COUNTIF(ListeIzinliGecis,$I193&amp;"|"&amp;$J193)&gt;0),"","GEÇERSİZ GEÇİŞ"))</f>
        <v/>
      </c>
      <c r="T193" s="18">
        <f>IF($A193="","",IF(OR($E193="",$F193=""),"",IF(ABS($F193-$E193)&gt;zincirTolerans,"ZİNCİR KIRIK","OK")))</f>
        <v/>
      </c>
      <c r="U193" s="18">
        <f>IF($A193="","",1)</f>
        <v/>
      </c>
      <c r="V193" s="18">
        <f>IF($A193="","",$F193*$N193*mbk_durusKatsayi)</f>
        <v/>
      </c>
    </row>
    <row r="194">
      <c r="A194" s="15" t="n"/>
      <c r="B194" s="15" t="n"/>
      <c r="C194" s="64" t="n"/>
      <c r="D194" s="64" t="n"/>
      <c r="E194" s="17" t="n"/>
      <c r="F194" s="17" t="n"/>
      <c r="G194" s="17" t="n"/>
      <c r="H194" s="15" t="n"/>
      <c r="I194" s="15" t="n"/>
      <c r="J194" s="15" t="n"/>
      <c r="K194" s="15" t="n"/>
      <c r="L194" s="15" t="n"/>
      <c r="M194" s="15" t="n"/>
      <c r="N194" s="16" t="n"/>
      <c r="O194" s="18">
        <f>IF($A194="","",$F194)</f>
        <v/>
      </c>
      <c r="P194" s="18">
        <f>IF($A194="","",IF($J194="YAPILDI",0,IF($C194="","",raporTarihi-$C194)))</f>
        <v/>
      </c>
      <c r="Q194" s="18">
        <f>IF($A194="","",IF($P194="","",IF($P194&lt;=mbk_kovaEsik1,"0-7",IF($P194&lt;=mbk_kovaEsik2,"8-30",IF($P194&lt;=mbk_kovaEsik3,"31-60","60+")))))</f>
        <v/>
      </c>
      <c r="R194" s="18">
        <f>IF($A194="","",IF($B194="","YETİM",IF(COUNTIF(tblMakineler[MakineId],$B194)=0,"YETİM","")))</f>
        <v/>
      </c>
      <c r="S194" s="18">
        <f>IF(OR($A194="",$I194=""),"",IF(OR($I194&amp;"|"&amp;$J194="",COUNTIF(ListeIzinliGecis,$I194&amp;"|"&amp;$J194)&gt;0),"","GEÇERSİZ GEÇİŞ"))</f>
        <v/>
      </c>
      <c r="T194" s="18">
        <f>IF($A194="","",IF(OR($E194="",$F194=""),"",IF(ABS($F194-$E194)&gt;zincirTolerans,"ZİNCİR KIRIK","OK")))</f>
        <v/>
      </c>
      <c r="U194" s="18">
        <f>IF($A194="","",1)</f>
        <v/>
      </c>
      <c r="V194" s="18">
        <f>IF($A194="","",$F194*$N194*mbk_durusKatsayi)</f>
        <v/>
      </c>
    </row>
    <row r="195">
      <c r="A195" s="15" t="n"/>
      <c r="B195" s="15" t="n"/>
      <c r="C195" s="64" t="n"/>
      <c r="D195" s="64" t="n"/>
      <c r="E195" s="17" t="n"/>
      <c r="F195" s="17" t="n"/>
      <c r="G195" s="17" t="n"/>
      <c r="H195" s="15" t="n"/>
      <c r="I195" s="15" t="n"/>
      <c r="J195" s="15" t="n"/>
      <c r="K195" s="15" t="n"/>
      <c r="L195" s="15" t="n"/>
      <c r="M195" s="15" t="n"/>
      <c r="N195" s="16" t="n"/>
      <c r="O195" s="18">
        <f>IF($A195="","",$F195)</f>
        <v/>
      </c>
      <c r="P195" s="18">
        <f>IF($A195="","",IF($J195="YAPILDI",0,IF($C195="","",raporTarihi-$C195)))</f>
        <v/>
      </c>
      <c r="Q195" s="18">
        <f>IF($A195="","",IF($P195="","",IF($P195&lt;=mbk_kovaEsik1,"0-7",IF($P195&lt;=mbk_kovaEsik2,"8-30",IF($P195&lt;=mbk_kovaEsik3,"31-60","60+")))))</f>
        <v/>
      </c>
      <c r="R195" s="18">
        <f>IF($A195="","",IF($B195="","YETİM",IF(COUNTIF(tblMakineler[MakineId],$B195)=0,"YETİM","")))</f>
        <v/>
      </c>
      <c r="S195" s="18">
        <f>IF(OR($A195="",$I195=""),"",IF(OR($I195&amp;"|"&amp;$J195="",COUNTIF(ListeIzinliGecis,$I195&amp;"|"&amp;$J195)&gt;0),"","GEÇERSİZ GEÇİŞ"))</f>
        <v/>
      </c>
      <c r="T195" s="18">
        <f>IF($A195="","",IF(OR($E195="",$F195=""),"",IF(ABS($F195-$E195)&gt;zincirTolerans,"ZİNCİR KIRIK","OK")))</f>
        <v/>
      </c>
      <c r="U195" s="18">
        <f>IF($A195="","",1)</f>
        <v/>
      </c>
      <c r="V195" s="18">
        <f>IF($A195="","",$F195*$N195*mbk_durusKatsayi)</f>
        <v/>
      </c>
    </row>
    <row r="196">
      <c r="A196" s="15" t="n"/>
      <c r="B196" s="15" t="n"/>
      <c r="C196" s="64" t="n"/>
      <c r="D196" s="64" t="n"/>
      <c r="E196" s="17" t="n"/>
      <c r="F196" s="17" t="n"/>
      <c r="G196" s="17" t="n"/>
      <c r="H196" s="15" t="n"/>
      <c r="I196" s="15" t="n"/>
      <c r="J196" s="15" t="n"/>
      <c r="K196" s="15" t="n"/>
      <c r="L196" s="15" t="n"/>
      <c r="M196" s="15" t="n"/>
      <c r="N196" s="16" t="n"/>
      <c r="O196" s="18">
        <f>IF($A196="","",$F196)</f>
        <v/>
      </c>
      <c r="P196" s="18">
        <f>IF($A196="","",IF($J196="YAPILDI",0,IF($C196="","",raporTarihi-$C196)))</f>
        <v/>
      </c>
      <c r="Q196" s="18">
        <f>IF($A196="","",IF($P196="","",IF($P196&lt;=mbk_kovaEsik1,"0-7",IF($P196&lt;=mbk_kovaEsik2,"8-30",IF($P196&lt;=mbk_kovaEsik3,"31-60","60+")))))</f>
        <v/>
      </c>
      <c r="R196" s="18">
        <f>IF($A196="","",IF($B196="","YETİM",IF(COUNTIF(tblMakineler[MakineId],$B196)=0,"YETİM","")))</f>
        <v/>
      </c>
      <c r="S196" s="18">
        <f>IF(OR($A196="",$I196=""),"",IF(OR($I196&amp;"|"&amp;$J196="",COUNTIF(ListeIzinliGecis,$I196&amp;"|"&amp;$J196)&gt;0),"","GEÇERSİZ GEÇİŞ"))</f>
        <v/>
      </c>
      <c r="T196" s="18">
        <f>IF($A196="","",IF(OR($E196="",$F196=""),"",IF(ABS($F196-$E196)&gt;zincirTolerans,"ZİNCİR KIRIK","OK")))</f>
        <v/>
      </c>
      <c r="U196" s="18">
        <f>IF($A196="","",1)</f>
        <v/>
      </c>
      <c r="V196" s="18">
        <f>IF($A196="","",$F196*$N196*mbk_durusKatsayi)</f>
        <v/>
      </c>
    </row>
    <row r="197">
      <c r="A197" s="15" t="n"/>
      <c r="B197" s="15" t="n"/>
      <c r="C197" s="64" t="n"/>
      <c r="D197" s="64" t="n"/>
      <c r="E197" s="17" t="n"/>
      <c r="F197" s="17" t="n"/>
      <c r="G197" s="17" t="n"/>
      <c r="H197" s="15" t="n"/>
      <c r="I197" s="15" t="n"/>
      <c r="J197" s="15" t="n"/>
      <c r="K197" s="15" t="n"/>
      <c r="L197" s="15" t="n"/>
      <c r="M197" s="15" t="n"/>
      <c r="N197" s="16" t="n"/>
      <c r="O197" s="18">
        <f>IF($A197="","",$F197)</f>
        <v/>
      </c>
      <c r="P197" s="18">
        <f>IF($A197="","",IF($J197="YAPILDI",0,IF($C197="","",raporTarihi-$C197)))</f>
        <v/>
      </c>
      <c r="Q197" s="18">
        <f>IF($A197="","",IF($P197="","",IF($P197&lt;=mbk_kovaEsik1,"0-7",IF($P197&lt;=mbk_kovaEsik2,"8-30",IF($P197&lt;=mbk_kovaEsik3,"31-60","60+")))))</f>
        <v/>
      </c>
      <c r="R197" s="18">
        <f>IF($A197="","",IF($B197="","YETİM",IF(COUNTIF(tblMakineler[MakineId],$B197)=0,"YETİM","")))</f>
        <v/>
      </c>
      <c r="S197" s="18">
        <f>IF(OR($A197="",$I197=""),"",IF(OR($I197&amp;"|"&amp;$J197="",COUNTIF(ListeIzinliGecis,$I197&amp;"|"&amp;$J197)&gt;0),"","GEÇERSİZ GEÇİŞ"))</f>
        <v/>
      </c>
      <c r="T197" s="18">
        <f>IF($A197="","",IF(OR($E197="",$F197=""),"",IF(ABS($F197-$E197)&gt;zincirTolerans,"ZİNCİR KIRIK","OK")))</f>
        <v/>
      </c>
      <c r="U197" s="18">
        <f>IF($A197="","",1)</f>
        <v/>
      </c>
      <c r="V197" s="18">
        <f>IF($A197="","",$F197*$N197*mbk_durusKatsayi)</f>
        <v/>
      </c>
    </row>
    <row r="198">
      <c r="A198" s="15" t="n"/>
      <c r="B198" s="15" t="n"/>
      <c r="C198" s="64" t="n"/>
      <c r="D198" s="64" t="n"/>
      <c r="E198" s="17" t="n"/>
      <c r="F198" s="17" t="n"/>
      <c r="G198" s="17" t="n"/>
      <c r="H198" s="15" t="n"/>
      <c r="I198" s="15" t="n"/>
      <c r="J198" s="15" t="n"/>
      <c r="K198" s="15" t="n"/>
      <c r="L198" s="15" t="n"/>
      <c r="M198" s="15" t="n"/>
      <c r="N198" s="16" t="n"/>
      <c r="O198" s="18">
        <f>IF($A198="","",$F198)</f>
        <v/>
      </c>
      <c r="P198" s="18">
        <f>IF($A198="","",IF($J198="YAPILDI",0,IF($C198="","",raporTarihi-$C198)))</f>
        <v/>
      </c>
      <c r="Q198" s="18">
        <f>IF($A198="","",IF($P198="","",IF($P198&lt;=mbk_kovaEsik1,"0-7",IF($P198&lt;=mbk_kovaEsik2,"8-30",IF($P198&lt;=mbk_kovaEsik3,"31-60","60+")))))</f>
        <v/>
      </c>
      <c r="R198" s="18">
        <f>IF($A198="","",IF($B198="","YETİM",IF(COUNTIF(tblMakineler[MakineId],$B198)=0,"YETİM","")))</f>
        <v/>
      </c>
      <c r="S198" s="18">
        <f>IF(OR($A198="",$I198=""),"",IF(OR($I198&amp;"|"&amp;$J198="",COUNTIF(ListeIzinliGecis,$I198&amp;"|"&amp;$J198)&gt;0),"","GEÇERSİZ GEÇİŞ"))</f>
        <v/>
      </c>
      <c r="T198" s="18">
        <f>IF($A198="","",IF(OR($E198="",$F198=""),"",IF(ABS($F198-$E198)&gt;zincirTolerans,"ZİNCİR KIRIK","OK")))</f>
        <v/>
      </c>
      <c r="U198" s="18">
        <f>IF($A198="","",1)</f>
        <v/>
      </c>
      <c r="V198" s="18">
        <f>IF($A198="","",$F198*$N198*mbk_durusKatsayi)</f>
        <v/>
      </c>
    </row>
    <row r="199">
      <c r="A199" s="15" t="n"/>
      <c r="B199" s="15" t="n"/>
      <c r="C199" s="64" t="n"/>
      <c r="D199" s="64" t="n"/>
      <c r="E199" s="17" t="n"/>
      <c r="F199" s="17" t="n"/>
      <c r="G199" s="17" t="n"/>
      <c r="H199" s="15" t="n"/>
      <c r="I199" s="15" t="n"/>
      <c r="J199" s="15" t="n"/>
      <c r="K199" s="15" t="n"/>
      <c r="L199" s="15" t="n"/>
      <c r="M199" s="15" t="n"/>
      <c r="N199" s="16" t="n"/>
      <c r="O199" s="18">
        <f>IF($A199="","",$F199)</f>
        <v/>
      </c>
      <c r="P199" s="18">
        <f>IF($A199="","",IF($J199="YAPILDI",0,IF($C199="","",raporTarihi-$C199)))</f>
        <v/>
      </c>
      <c r="Q199" s="18">
        <f>IF($A199="","",IF($P199="","",IF($P199&lt;=mbk_kovaEsik1,"0-7",IF($P199&lt;=mbk_kovaEsik2,"8-30",IF($P199&lt;=mbk_kovaEsik3,"31-60","60+")))))</f>
        <v/>
      </c>
      <c r="R199" s="18">
        <f>IF($A199="","",IF($B199="","YETİM",IF(COUNTIF(tblMakineler[MakineId],$B199)=0,"YETİM","")))</f>
        <v/>
      </c>
      <c r="S199" s="18">
        <f>IF(OR($A199="",$I199=""),"",IF(OR($I199&amp;"|"&amp;$J199="",COUNTIF(ListeIzinliGecis,$I199&amp;"|"&amp;$J199)&gt;0),"","GEÇERSİZ GEÇİŞ"))</f>
        <v/>
      </c>
      <c r="T199" s="18">
        <f>IF($A199="","",IF(OR($E199="",$F199=""),"",IF(ABS($F199-$E199)&gt;zincirTolerans,"ZİNCİR KIRIK","OK")))</f>
        <v/>
      </c>
      <c r="U199" s="18">
        <f>IF($A199="","",1)</f>
        <v/>
      </c>
      <c r="V199" s="18">
        <f>IF($A199="","",$F199*$N199*mbk_durusKatsayi)</f>
        <v/>
      </c>
    </row>
    <row r="200">
      <c r="A200" s="15" t="n"/>
      <c r="B200" s="15" t="n"/>
      <c r="C200" s="64" t="n"/>
      <c r="D200" s="64" t="n"/>
      <c r="E200" s="17" t="n"/>
      <c r="F200" s="17" t="n"/>
      <c r="G200" s="17" t="n"/>
      <c r="H200" s="15" t="n"/>
      <c r="I200" s="15" t="n"/>
      <c r="J200" s="15" t="n"/>
      <c r="K200" s="15" t="n"/>
      <c r="L200" s="15" t="n"/>
      <c r="M200" s="15" t="n"/>
      <c r="N200" s="16" t="n"/>
      <c r="O200" s="18">
        <f>IF($A200="","",$F200)</f>
        <v/>
      </c>
      <c r="P200" s="18">
        <f>IF($A200="","",IF($J200="YAPILDI",0,IF($C200="","",raporTarihi-$C200)))</f>
        <v/>
      </c>
      <c r="Q200" s="18">
        <f>IF($A200="","",IF($P200="","",IF($P200&lt;=mbk_kovaEsik1,"0-7",IF($P200&lt;=mbk_kovaEsik2,"8-30",IF($P200&lt;=mbk_kovaEsik3,"31-60","60+")))))</f>
        <v/>
      </c>
      <c r="R200" s="18">
        <f>IF($A200="","",IF($B200="","YETİM",IF(COUNTIF(tblMakineler[MakineId],$B200)=0,"YETİM","")))</f>
        <v/>
      </c>
      <c r="S200" s="18">
        <f>IF(OR($A200="",$I200=""),"",IF(OR($I200&amp;"|"&amp;$J200="",COUNTIF(ListeIzinliGecis,$I200&amp;"|"&amp;$J200)&gt;0),"","GEÇERSİZ GEÇİŞ"))</f>
        <v/>
      </c>
      <c r="T200" s="18">
        <f>IF($A200="","",IF(OR($E200="",$F200=""),"",IF(ABS($F200-$E200)&gt;zincirTolerans,"ZİNCİR KIRIK","OK")))</f>
        <v/>
      </c>
      <c r="U200" s="18">
        <f>IF($A200="","",1)</f>
        <v/>
      </c>
      <c r="V200" s="18">
        <f>IF($A200="","",$F200*$N200*mbk_durusKatsayi)</f>
        <v/>
      </c>
    </row>
    <row r="201">
      <c r="A201" s="15" t="n"/>
      <c r="B201" s="15" t="n"/>
      <c r="C201" s="64" t="n"/>
      <c r="D201" s="64" t="n"/>
      <c r="E201" s="17" t="n"/>
      <c r="F201" s="17" t="n"/>
      <c r="G201" s="17" t="n"/>
      <c r="H201" s="15" t="n"/>
      <c r="I201" s="15" t="n"/>
      <c r="J201" s="15" t="n"/>
      <c r="K201" s="15" t="n"/>
      <c r="L201" s="15" t="n"/>
      <c r="M201" s="15" t="n"/>
      <c r="N201" s="16" t="n"/>
      <c r="O201" s="18">
        <f>IF($A201="","",$F201)</f>
        <v/>
      </c>
      <c r="P201" s="18">
        <f>IF($A201="","",IF($J201="YAPILDI",0,IF($C201="","",raporTarihi-$C201)))</f>
        <v/>
      </c>
      <c r="Q201" s="18">
        <f>IF($A201="","",IF($P201="","",IF($P201&lt;=mbk_kovaEsik1,"0-7",IF($P201&lt;=mbk_kovaEsik2,"8-30",IF($P201&lt;=mbk_kovaEsik3,"31-60","60+")))))</f>
        <v/>
      </c>
      <c r="R201" s="18">
        <f>IF($A201="","",IF($B201="","YETİM",IF(COUNTIF(tblMakineler[MakineId],$B201)=0,"YETİM","")))</f>
        <v/>
      </c>
      <c r="S201" s="18">
        <f>IF(OR($A201="",$I201=""),"",IF(OR($I201&amp;"|"&amp;$J201="",COUNTIF(ListeIzinliGecis,$I201&amp;"|"&amp;$J201)&gt;0),"","GEÇERSİZ GEÇİŞ"))</f>
        <v/>
      </c>
      <c r="T201" s="18">
        <f>IF($A201="","",IF(OR($E201="",$F201=""),"",IF(ABS($F201-$E201)&gt;zincirTolerans,"ZİNCİR KIRIK","OK")))</f>
        <v/>
      </c>
      <c r="U201" s="18">
        <f>IF($A201="","",1)</f>
        <v/>
      </c>
      <c r="V201" s="18">
        <f>IF($A201="","",$F201*$N201*mbk_durusKatsayi)</f>
        <v/>
      </c>
    </row>
    <row r="202">
      <c r="A202" s="15" t="n"/>
      <c r="B202" s="15" t="n"/>
      <c r="C202" s="64" t="n"/>
      <c r="D202" s="64" t="n"/>
      <c r="E202" s="17" t="n"/>
      <c r="F202" s="17" t="n"/>
      <c r="G202" s="17" t="n"/>
      <c r="H202" s="15" t="n"/>
      <c r="I202" s="15" t="n"/>
      <c r="J202" s="15" t="n"/>
      <c r="K202" s="15" t="n"/>
      <c r="L202" s="15" t="n"/>
      <c r="M202" s="15" t="n"/>
      <c r="N202" s="16" t="n"/>
      <c r="O202" s="18">
        <f>IF($A202="","",$F202)</f>
        <v/>
      </c>
      <c r="P202" s="18">
        <f>IF($A202="","",IF($J202="YAPILDI",0,IF($C202="","",raporTarihi-$C202)))</f>
        <v/>
      </c>
      <c r="Q202" s="18">
        <f>IF($A202="","",IF($P202="","",IF($P202&lt;=mbk_kovaEsik1,"0-7",IF($P202&lt;=mbk_kovaEsik2,"8-30",IF($P202&lt;=mbk_kovaEsik3,"31-60","60+")))))</f>
        <v/>
      </c>
      <c r="R202" s="18">
        <f>IF($A202="","",IF($B202="","YETİM",IF(COUNTIF(tblMakineler[MakineId],$B202)=0,"YETİM","")))</f>
        <v/>
      </c>
      <c r="S202" s="18">
        <f>IF(OR($A202="",$I202=""),"",IF(OR($I202&amp;"|"&amp;$J202="",COUNTIF(ListeIzinliGecis,$I202&amp;"|"&amp;$J202)&gt;0),"","GEÇERSİZ GEÇİŞ"))</f>
        <v/>
      </c>
      <c r="T202" s="18">
        <f>IF($A202="","",IF(OR($E202="",$F202=""),"",IF(ABS($F202-$E202)&gt;zincirTolerans,"ZİNCİR KIRIK","OK")))</f>
        <v/>
      </c>
      <c r="U202" s="18">
        <f>IF($A202="","",1)</f>
        <v/>
      </c>
      <c r="V202" s="18">
        <f>IF($A202="","",$F202*$N202*mbk_durusKatsayi)</f>
        <v/>
      </c>
    </row>
    <row r="203">
      <c r="A203" s="15" t="n"/>
      <c r="B203" s="15" t="n"/>
      <c r="C203" s="64" t="n"/>
      <c r="D203" s="64" t="n"/>
      <c r="E203" s="17" t="n"/>
      <c r="F203" s="17" t="n"/>
      <c r="G203" s="17" t="n"/>
      <c r="H203" s="15" t="n"/>
      <c r="I203" s="15" t="n"/>
      <c r="J203" s="15" t="n"/>
      <c r="K203" s="15" t="n"/>
      <c r="L203" s="15" t="n"/>
      <c r="M203" s="15" t="n"/>
      <c r="N203" s="16" t="n"/>
      <c r="O203" s="18">
        <f>IF($A203="","",$F203)</f>
        <v/>
      </c>
      <c r="P203" s="18">
        <f>IF($A203="","",IF($J203="YAPILDI",0,IF($C203="","",raporTarihi-$C203)))</f>
        <v/>
      </c>
      <c r="Q203" s="18">
        <f>IF($A203="","",IF($P203="","",IF($P203&lt;=mbk_kovaEsik1,"0-7",IF($P203&lt;=mbk_kovaEsik2,"8-30",IF($P203&lt;=mbk_kovaEsik3,"31-60","60+")))))</f>
        <v/>
      </c>
      <c r="R203" s="18">
        <f>IF($A203="","",IF($B203="","YETİM",IF(COUNTIF(tblMakineler[MakineId],$B203)=0,"YETİM","")))</f>
        <v/>
      </c>
      <c r="S203" s="18">
        <f>IF(OR($A203="",$I203=""),"",IF(OR($I203&amp;"|"&amp;$J203="",COUNTIF(ListeIzinliGecis,$I203&amp;"|"&amp;$J203)&gt;0),"","GEÇERSİZ GEÇİŞ"))</f>
        <v/>
      </c>
      <c r="T203" s="18">
        <f>IF($A203="","",IF(OR($E203="",$F203=""),"",IF(ABS($F203-$E203)&gt;zincirTolerans,"ZİNCİR KIRIK","OK")))</f>
        <v/>
      </c>
      <c r="U203" s="18">
        <f>IF($A203="","",1)</f>
        <v/>
      </c>
      <c r="V203" s="18">
        <f>IF($A203="","",$F203*$N203*mbk_durusKatsayi)</f>
        <v/>
      </c>
    </row>
    <row r="204">
      <c r="A204" s="15" t="n"/>
      <c r="B204" s="15" t="n"/>
      <c r="C204" s="64" t="n"/>
      <c r="D204" s="64" t="n"/>
      <c r="E204" s="17" t="n"/>
      <c r="F204" s="17" t="n"/>
      <c r="G204" s="17" t="n"/>
      <c r="H204" s="15" t="n"/>
      <c r="I204" s="15" t="n"/>
      <c r="J204" s="15" t="n"/>
      <c r="K204" s="15" t="n"/>
      <c r="L204" s="15" t="n"/>
      <c r="M204" s="15" t="n"/>
      <c r="N204" s="16" t="n"/>
      <c r="O204" s="18">
        <f>IF($A204="","",$F204)</f>
        <v/>
      </c>
      <c r="P204" s="18">
        <f>IF($A204="","",IF($J204="YAPILDI",0,IF($C204="","",raporTarihi-$C204)))</f>
        <v/>
      </c>
      <c r="Q204" s="18">
        <f>IF($A204="","",IF($P204="","",IF($P204&lt;=mbk_kovaEsik1,"0-7",IF($P204&lt;=mbk_kovaEsik2,"8-30",IF($P204&lt;=mbk_kovaEsik3,"31-60","60+")))))</f>
        <v/>
      </c>
      <c r="R204" s="18">
        <f>IF($A204="","",IF($B204="","YETİM",IF(COUNTIF(tblMakineler[MakineId],$B204)=0,"YETİM","")))</f>
        <v/>
      </c>
      <c r="S204" s="18">
        <f>IF(OR($A204="",$I204=""),"",IF(OR($I204&amp;"|"&amp;$J204="",COUNTIF(ListeIzinliGecis,$I204&amp;"|"&amp;$J204)&gt;0),"","GEÇERSİZ GEÇİŞ"))</f>
        <v/>
      </c>
      <c r="T204" s="18">
        <f>IF($A204="","",IF(OR($E204="",$F204=""),"",IF(ABS($F204-$E204)&gt;zincirTolerans,"ZİNCİR KIRIK","OK")))</f>
        <v/>
      </c>
      <c r="U204" s="18">
        <f>IF($A204="","",1)</f>
        <v/>
      </c>
      <c r="V204" s="18">
        <f>IF($A204="","",$F204*$N204*mbk_durusKatsayi)</f>
        <v/>
      </c>
    </row>
    <row r="205">
      <c r="A205" s="15" t="n"/>
      <c r="B205" s="15" t="n"/>
      <c r="C205" s="64" t="n"/>
      <c r="D205" s="64" t="n"/>
      <c r="E205" s="17" t="n"/>
      <c r="F205" s="17" t="n"/>
      <c r="G205" s="17" t="n"/>
      <c r="H205" s="15" t="n"/>
      <c r="I205" s="15" t="n"/>
      <c r="J205" s="15" t="n"/>
      <c r="K205" s="15" t="n"/>
      <c r="L205" s="15" t="n"/>
      <c r="M205" s="15" t="n"/>
      <c r="N205" s="16" t="n"/>
      <c r="O205" s="18">
        <f>IF($A205="","",$F205)</f>
        <v/>
      </c>
      <c r="P205" s="18">
        <f>IF($A205="","",IF($J205="YAPILDI",0,IF($C205="","",raporTarihi-$C205)))</f>
        <v/>
      </c>
      <c r="Q205" s="18">
        <f>IF($A205="","",IF($P205="","",IF($P205&lt;=mbk_kovaEsik1,"0-7",IF($P205&lt;=mbk_kovaEsik2,"8-30",IF($P205&lt;=mbk_kovaEsik3,"31-60","60+")))))</f>
        <v/>
      </c>
      <c r="R205" s="18">
        <f>IF($A205="","",IF($B205="","YETİM",IF(COUNTIF(tblMakineler[MakineId],$B205)=0,"YETİM","")))</f>
        <v/>
      </c>
      <c r="S205" s="18">
        <f>IF(OR($A205="",$I205=""),"",IF(OR($I205&amp;"|"&amp;$J205="",COUNTIF(ListeIzinliGecis,$I205&amp;"|"&amp;$J205)&gt;0),"","GEÇERSİZ GEÇİŞ"))</f>
        <v/>
      </c>
      <c r="T205" s="18">
        <f>IF($A205="","",IF(OR($E205="",$F205=""),"",IF(ABS($F205-$E205)&gt;zincirTolerans,"ZİNCİR KIRIK","OK")))</f>
        <v/>
      </c>
      <c r="U205" s="18">
        <f>IF($A205="","",1)</f>
        <v/>
      </c>
      <c r="V205" s="18">
        <f>IF($A205="","",$F205*$N205*mbk_durusKatsayi)</f>
        <v/>
      </c>
    </row>
    <row r="206">
      <c r="A206" s="15" t="n"/>
      <c r="B206" s="15" t="n"/>
      <c r="C206" s="64" t="n"/>
      <c r="D206" s="64" t="n"/>
      <c r="E206" s="17" t="n"/>
      <c r="F206" s="17" t="n"/>
      <c r="G206" s="17" t="n"/>
      <c r="H206" s="15" t="n"/>
      <c r="I206" s="15" t="n"/>
      <c r="J206" s="15" t="n"/>
      <c r="K206" s="15" t="n"/>
      <c r="L206" s="15" t="n"/>
      <c r="M206" s="15" t="n"/>
      <c r="N206" s="16" t="n"/>
      <c r="O206" s="18">
        <f>IF($A206="","",$F206)</f>
        <v/>
      </c>
      <c r="P206" s="18">
        <f>IF($A206="","",IF($J206="YAPILDI",0,IF($C206="","",raporTarihi-$C206)))</f>
        <v/>
      </c>
      <c r="Q206" s="18">
        <f>IF($A206="","",IF($P206="","",IF($P206&lt;=mbk_kovaEsik1,"0-7",IF($P206&lt;=mbk_kovaEsik2,"8-30",IF($P206&lt;=mbk_kovaEsik3,"31-60","60+")))))</f>
        <v/>
      </c>
      <c r="R206" s="18">
        <f>IF($A206="","",IF($B206="","YETİM",IF(COUNTIF(tblMakineler[MakineId],$B206)=0,"YETİM","")))</f>
        <v/>
      </c>
      <c r="S206" s="18">
        <f>IF(OR($A206="",$I206=""),"",IF(OR($I206&amp;"|"&amp;$J206="",COUNTIF(ListeIzinliGecis,$I206&amp;"|"&amp;$J206)&gt;0),"","GEÇERSİZ GEÇİŞ"))</f>
        <v/>
      </c>
      <c r="T206" s="18">
        <f>IF($A206="","",IF(OR($E206="",$F206=""),"",IF(ABS($F206-$E206)&gt;zincirTolerans,"ZİNCİR KIRIK","OK")))</f>
        <v/>
      </c>
      <c r="U206" s="18">
        <f>IF($A206="","",1)</f>
        <v/>
      </c>
      <c r="V206" s="18">
        <f>IF($A206="","",$F206*$N206*mbk_durusKatsayi)</f>
        <v/>
      </c>
    </row>
    <row r="207">
      <c r="A207" s="15" t="n"/>
      <c r="B207" s="15" t="n"/>
      <c r="C207" s="64" t="n"/>
      <c r="D207" s="64" t="n"/>
      <c r="E207" s="17" t="n"/>
      <c r="F207" s="17" t="n"/>
      <c r="G207" s="17" t="n"/>
      <c r="H207" s="15" t="n"/>
      <c r="I207" s="15" t="n"/>
      <c r="J207" s="15" t="n"/>
      <c r="K207" s="15" t="n"/>
      <c r="L207" s="15" t="n"/>
      <c r="M207" s="15" t="n"/>
      <c r="N207" s="16" t="n"/>
      <c r="O207" s="18">
        <f>IF($A207="","",$F207)</f>
        <v/>
      </c>
      <c r="P207" s="18">
        <f>IF($A207="","",IF($J207="YAPILDI",0,IF($C207="","",raporTarihi-$C207)))</f>
        <v/>
      </c>
      <c r="Q207" s="18">
        <f>IF($A207="","",IF($P207="","",IF($P207&lt;=mbk_kovaEsik1,"0-7",IF($P207&lt;=mbk_kovaEsik2,"8-30",IF($P207&lt;=mbk_kovaEsik3,"31-60","60+")))))</f>
        <v/>
      </c>
      <c r="R207" s="18">
        <f>IF($A207="","",IF($B207="","YETİM",IF(COUNTIF(tblMakineler[MakineId],$B207)=0,"YETİM","")))</f>
        <v/>
      </c>
      <c r="S207" s="18">
        <f>IF(OR($A207="",$I207=""),"",IF(OR($I207&amp;"|"&amp;$J207="",COUNTIF(ListeIzinliGecis,$I207&amp;"|"&amp;$J207)&gt;0),"","GEÇERSİZ GEÇİŞ"))</f>
        <v/>
      </c>
      <c r="T207" s="18">
        <f>IF($A207="","",IF(OR($E207="",$F207=""),"",IF(ABS($F207-$E207)&gt;zincirTolerans,"ZİNCİR KIRIK","OK")))</f>
        <v/>
      </c>
      <c r="U207" s="18">
        <f>IF($A207="","",1)</f>
        <v/>
      </c>
      <c r="V207" s="18">
        <f>IF($A207="","",$F207*$N207*mbk_durusKatsayi)</f>
        <v/>
      </c>
    </row>
    <row r="208">
      <c r="A208" s="15" t="n"/>
      <c r="B208" s="15" t="n"/>
      <c r="C208" s="64" t="n"/>
      <c r="D208" s="64" t="n"/>
      <c r="E208" s="17" t="n"/>
      <c r="F208" s="17" t="n"/>
      <c r="G208" s="17" t="n"/>
      <c r="H208" s="15" t="n"/>
      <c r="I208" s="15" t="n"/>
      <c r="J208" s="15" t="n"/>
      <c r="K208" s="15" t="n"/>
      <c r="L208" s="15" t="n"/>
      <c r="M208" s="15" t="n"/>
      <c r="N208" s="16" t="n"/>
      <c r="O208" s="18">
        <f>IF($A208="","",$F208)</f>
        <v/>
      </c>
      <c r="P208" s="18">
        <f>IF($A208="","",IF($J208="YAPILDI",0,IF($C208="","",raporTarihi-$C208)))</f>
        <v/>
      </c>
      <c r="Q208" s="18">
        <f>IF($A208="","",IF($P208="","",IF($P208&lt;=mbk_kovaEsik1,"0-7",IF($P208&lt;=mbk_kovaEsik2,"8-30",IF($P208&lt;=mbk_kovaEsik3,"31-60","60+")))))</f>
        <v/>
      </c>
      <c r="R208" s="18">
        <f>IF($A208="","",IF($B208="","YETİM",IF(COUNTIF(tblMakineler[MakineId],$B208)=0,"YETİM","")))</f>
        <v/>
      </c>
      <c r="S208" s="18">
        <f>IF(OR($A208="",$I208=""),"",IF(OR($I208&amp;"|"&amp;$J208="",COUNTIF(ListeIzinliGecis,$I208&amp;"|"&amp;$J208)&gt;0),"","GEÇERSİZ GEÇİŞ"))</f>
        <v/>
      </c>
      <c r="T208" s="18">
        <f>IF($A208="","",IF(OR($E208="",$F208=""),"",IF(ABS($F208-$E208)&gt;zincirTolerans,"ZİNCİR KIRIK","OK")))</f>
        <v/>
      </c>
      <c r="U208" s="18">
        <f>IF($A208="","",1)</f>
        <v/>
      </c>
      <c r="V208" s="18">
        <f>IF($A208="","",$F208*$N208*mbk_durusKatsayi)</f>
        <v/>
      </c>
    </row>
    <row r="209">
      <c r="A209" s="15" t="n"/>
      <c r="B209" s="15" t="n"/>
      <c r="C209" s="64" t="n"/>
      <c r="D209" s="64" t="n"/>
      <c r="E209" s="17" t="n"/>
      <c r="F209" s="17" t="n"/>
      <c r="G209" s="17" t="n"/>
      <c r="H209" s="15" t="n"/>
      <c r="I209" s="15" t="n"/>
      <c r="J209" s="15" t="n"/>
      <c r="K209" s="15" t="n"/>
      <c r="L209" s="15" t="n"/>
      <c r="M209" s="15" t="n"/>
      <c r="N209" s="16" t="n"/>
      <c r="O209" s="18">
        <f>IF($A209="","",$F209)</f>
        <v/>
      </c>
      <c r="P209" s="18">
        <f>IF($A209="","",IF($J209="YAPILDI",0,IF($C209="","",raporTarihi-$C209)))</f>
        <v/>
      </c>
      <c r="Q209" s="18">
        <f>IF($A209="","",IF($P209="","",IF($P209&lt;=mbk_kovaEsik1,"0-7",IF($P209&lt;=mbk_kovaEsik2,"8-30",IF($P209&lt;=mbk_kovaEsik3,"31-60","60+")))))</f>
        <v/>
      </c>
      <c r="R209" s="18">
        <f>IF($A209="","",IF($B209="","YETİM",IF(COUNTIF(tblMakineler[MakineId],$B209)=0,"YETİM","")))</f>
        <v/>
      </c>
      <c r="S209" s="18">
        <f>IF(OR($A209="",$I209=""),"",IF(OR($I209&amp;"|"&amp;$J209="",COUNTIF(ListeIzinliGecis,$I209&amp;"|"&amp;$J209)&gt;0),"","GEÇERSİZ GEÇİŞ"))</f>
        <v/>
      </c>
      <c r="T209" s="18">
        <f>IF($A209="","",IF(OR($E209="",$F209=""),"",IF(ABS($F209-$E209)&gt;zincirTolerans,"ZİNCİR KIRIK","OK")))</f>
        <v/>
      </c>
      <c r="U209" s="18">
        <f>IF($A209="","",1)</f>
        <v/>
      </c>
      <c r="V209" s="18">
        <f>IF($A209="","",$F209*$N209*mbk_durusKatsayi)</f>
        <v/>
      </c>
    </row>
    <row r="210">
      <c r="A210" s="15" t="n"/>
      <c r="B210" s="15" t="n"/>
      <c r="C210" s="64" t="n"/>
      <c r="D210" s="64" t="n"/>
      <c r="E210" s="17" t="n"/>
      <c r="F210" s="17" t="n"/>
      <c r="G210" s="17" t="n"/>
      <c r="H210" s="15" t="n"/>
      <c r="I210" s="15" t="n"/>
      <c r="J210" s="15" t="n"/>
      <c r="K210" s="15" t="n"/>
      <c r="L210" s="15" t="n"/>
      <c r="M210" s="15" t="n"/>
      <c r="N210" s="16" t="n"/>
      <c r="O210" s="18">
        <f>IF($A210="","",$F210)</f>
        <v/>
      </c>
      <c r="P210" s="18">
        <f>IF($A210="","",IF($J210="YAPILDI",0,IF($C210="","",raporTarihi-$C210)))</f>
        <v/>
      </c>
      <c r="Q210" s="18">
        <f>IF($A210="","",IF($P210="","",IF($P210&lt;=mbk_kovaEsik1,"0-7",IF($P210&lt;=mbk_kovaEsik2,"8-30",IF($P210&lt;=mbk_kovaEsik3,"31-60","60+")))))</f>
        <v/>
      </c>
      <c r="R210" s="18">
        <f>IF($A210="","",IF($B210="","YETİM",IF(COUNTIF(tblMakineler[MakineId],$B210)=0,"YETİM","")))</f>
        <v/>
      </c>
      <c r="S210" s="18">
        <f>IF(OR($A210="",$I210=""),"",IF(OR($I210&amp;"|"&amp;$J210="",COUNTIF(ListeIzinliGecis,$I210&amp;"|"&amp;$J210)&gt;0),"","GEÇERSİZ GEÇİŞ"))</f>
        <v/>
      </c>
      <c r="T210" s="18">
        <f>IF($A210="","",IF(OR($E210="",$F210=""),"",IF(ABS($F210-$E210)&gt;zincirTolerans,"ZİNCİR KIRIK","OK")))</f>
        <v/>
      </c>
      <c r="U210" s="18">
        <f>IF($A210="","",1)</f>
        <v/>
      </c>
      <c r="V210" s="18">
        <f>IF($A210="","",$F210*$N210*mbk_durusKatsayi)</f>
        <v/>
      </c>
    </row>
    <row r="211">
      <c r="A211" s="15" t="n"/>
      <c r="B211" s="15" t="n"/>
      <c r="C211" s="64" t="n"/>
      <c r="D211" s="64" t="n"/>
      <c r="E211" s="17" t="n"/>
      <c r="F211" s="17" t="n"/>
      <c r="G211" s="17" t="n"/>
      <c r="H211" s="15" t="n"/>
      <c r="I211" s="15" t="n"/>
      <c r="J211" s="15" t="n"/>
      <c r="K211" s="15" t="n"/>
      <c r="L211" s="15" t="n"/>
      <c r="M211" s="15" t="n"/>
      <c r="N211" s="16" t="n"/>
      <c r="O211" s="18">
        <f>IF($A211="","",$F211)</f>
        <v/>
      </c>
      <c r="P211" s="18">
        <f>IF($A211="","",IF($J211="YAPILDI",0,IF($C211="","",raporTarihi-$C211)))</f>
        <v/>
      </c>
      <c r="Q211" s="18">
        <f>IF($A211="","",IF($P211="","",IF($P211&lt;=mbk_kovaEsik1,"0-7",IF($P211&lt;=mbk_kovaEsik2,"8-30",IF($P211&lt;=mbk_kovaEsik3,"31-60","60+")))))</f>
        <v/>
      </c>
      <c r="R211" s="18">
        <f>IF($A211="","",IF($B211="","YETİM",IF(COUNTIF(tblMakineler[MakineId],$B211)=0,"YETİM","")))</f>
        <v/>
      </c>
      <c r="S211" s="18">
        <f>IF(OR($A211="",$I211=""),"",IF(OR($I211&amp;"|"&amp;$J211="",COUNTIF(ListeIzinliGecis,$I211&amp;"|"&amp;$J211)&gt;0),"","GEÇERSİZ GEÇİŞ"))</f>
        <v/>
      </c>
      <c r="T211" s="18">
        <f>IF($A211="","",IF(OR($E211="",$F211=""),"",IF(ABS($F211-$E211)&gt;zincirTolerans,"ZİNCİR KIRIK","OK")))</f>
        <v/>
      </c>
      <c r="U211" s="18">
        <f>IF($A211="","",1)</f>
        <v/>
      </c>
      <c r="V211" s="18">
        <f>IF($A211="","",$F211*$N211*mbk_durusKatsayi)</f>
        <v/>
      </c>
    </row>
    <row r="212">
      <c r="A212" s="15" t="n"/>
      <c r="B212" s="15" t="n"/>
      <c r="C212" s="64" t="n"/>
      <c r="D212" s="64" t="n"/>
      <c r="E212" s="17" t="n"/>
      <c r="F212" s="17" t="n"/>
      <c r="G212" s="17" t="n"/>
      <c r="H212" s="15" t="n"/>
      <c r="I212" s="15" t="n"/>
      <c r="J212" s="15" t="n"/>
      <c r="K212" s="15" t="n"/>
      <c r="L212" s="15" t="n"/>
      <c r="M212" s="15" t="n"/>
      <c r="N212" s="16" t="n"/>
      <c r="O212" s="18">
        <f>IF($A212="","",$F212)</f>
        <v/>
      </c>
      <c r="P212" s="18">
        <f>IF($A212="","",IF($J212="YAPILDI",0,IF($C212="","",raporTarihi-$C212)))</f>
        <v/>
      </c>
      <c r="Q212" s="18">
        <f>IF($A212="","",IF($P212="","",IF($P212&lt;=mbk_kovaEsik1,"0-7",IF($P212&lt;=mbk_kovaEsik2,"8-30",IF($P212&lt;=mbk_kovaEsik3,"31-60","60+")))))</f>
        <v/>
      </c>
      <c r="R212" s="18">
        <f>IF($A212="","",IF($B212="","YETİM",IF(COUNTIF(tblMakineler[MakineId],$B212)=0,"YETİM","")))</f>
        <v/>
      </c>
      <c r="S212" s="18">
        <f>IF(OR($A212="",$I212=""),"",IF(OR($I212&amp;"|"&amp;$J212="",COUNTIF(ListeIzinliGecis,$I212&amp;"|"&amp;$J212)&gt;0),"","GEÇERSİZ GEÇİŞ"))</f>
        <v/>
      </c>
      <c r="T212" s="18">
        <f>IF($A212="","",IF(OR($E212="",$F212=""),"",IF(ABS($F212-$E212)&gt;zincirTolerans,"ZİNCİR KIRIK","OK")))</f>
        <v/>
      </c>
      <c r="U212" s="18">
        <f>IF($A212="","",1)</f>
        <v/>
      </c>
      <c r="V212" s="18">
        <f>IF($A212="","",$F212*$N212*mbk_durusKatsayi)</f>
        <v/>
      </c>
    </row>
    <row r="213">
      <c r="A213" s="15" t="n"/>
      <c r="B213" s="15" t="n"/>
      <c r="C213" s="64" t="n"/>
      <c r="D213" s="64" t="n"/>
      <c r="E213" s="17" t="n"/>
      <c r="F213" s="17" t="n"/>
      <c r="G213" s="17" t="n"/>
      <c r="H213" s="15" t="n"/>
      <c r="I213" s="15" t="n"/>
      <c r="J213" s="15" t="n"/>
      <c r="K213" s="15" t="n"/>
      <c r="L213" s="15" t="n"/>
      <c r="M213" s="15" t="n"/>
      <c r="N213" s="16" t="n"/>
      <c r="O213" s="18">
        <f>IF($A213="","",$F213)</f>
        <v/>
      </c>
      <c r="P213" s="18">
        <f>IF($A213="","",IF($J213="YAPILDI",0,IF($C213="","",raporTarihi-$C213)))</f>
        <v/>
      </c>
      <c r="Q213" s="18">
        <f>IF($A213="","",IF($P213="","",IF($P213&lt;=mbk_kovaEsik1,"0-7",IF($P213&lt;=mbk_kovaEsik2,"8-30",IF($P213&lt;=mbk_kovaEsik3,"31-60","60+")))))</f>
        <v/>
      </c>
      <c r="R213" s="18">
        <f>IF($A213="","",IF($B213="","YETİM",IF(COUNTIF(tblMakineler[MakineId],$B213)=0,"YETİM","")))</f>
        <v/>
      </c>
      <c r="S213" s="18">
        <f>IF(OR($A213="",$I213=""),"",IF(OR($I213&amp;"|"&amp;$J213="",COUNTIF(ListeIzinliGecis,$I213&amp;"|"&amp;$J213)&gt;0),"","GEÇERSİZ GEÇİŞ"))</f>
        <v/>
      </c>
      <c r="T213" s="18">
        <f>IF($A213="","",IF(OR($E213="",$F213=""),"",IF(ABS($F213-$E213)&gt;zincirTolerans,"ZİNCİR KIRIK","OK")))</f>
        <v/>
      </c>
      <c r="U213" s="18">
        <f>IF($A213="","",1)</f>
        <v/>
      </c>
      <c r="V213" s="18">
        <f>IF($A213="","",$F213*$N213*mbk_durusKatsayi)</f>
        <v/>
      </c>
    </row>
    <row r="214">
      <c r="A214" s="15" t="n"/>
      <c r="B214" s="15" t="n"/>
      <c r="C214" s="64" t="n"/>
      <c r="D214" s="64" t="n"/>
      <c r="E214" s="17" t="n"/>
      <c r="F214" s="17" t="n"/>
      <c r="G214" s="17" t="n"/>
      <c r="H214" s="15" t="n"/>
      <c r="I214" s="15" t="n"/>
      <c r="J214" s="15" t="n"/>
      <c r="K214" s="15" t="n"/>
      <c r="L214" s="15" t="n"/>
      <c r="M214" s="15" t="n"/>
      <c r="N214" s="16" t="n"/>
      <c r="O214" s="18">
        <f>IF($A214="","",$F214)</f>
        <v/>
      </c>
      <c r="P214" s="18">
        <f>IF($A214="","",IF($J214="YAPILDI",0,IF($C214="","",raporTarihi-$C214)))</f>
        <v/>
      </c>
      <c r="Q214" s="18">
        <f>IF($A214="","",IF($P214="","",IF($P214&lt;=mbk_kovaEsik1,"0-7",IF($P214&lt;=mbk_kovaEsik2,"8-30",IF($P214&lt;=mbk_kovaEsik3,"31-60","60+")))))</f>
        <v/>
      </c>
      <c r="R214" s="18">
        <f>IF($A214="","",IF($B214="","YETİM",IF(COUNTIF(tblMakineler[MakineId],$B214)=0,"YETİM","")))</f>
        <v/>
      </c>
      <c r="S214" s="18">
        <f>IF(OR($A214="",$I214=""),"",IF(OR($I214&amp;"|"&amp;$J214="",COUNTIF(ListeIzinliGecis,$I214&amp;"|"&amp;$J214)&gt;0),"","GEÇERSİZ GEÇİŞ"))</f>
        <v/>
      </c>
      <c r="T214" s="18">
        <f>IF($A214="","",IF(OR($E214="",$F214=""),"",IF(ABS($F214-$E214)&gt;zincirTolerans,"ZİNCİR KIRIK","OK")))</f>
        <v/>
      </c>
      <c r="U214" s="18">
        <f>IF($A214="","",1)</f>
        <v/>
      </c>
      <c r="V214" s="18">
        <f>IF($A214="","",$F214*$N214*mbk_durusKatsayi)</f>
        <v/>
      </c>
    </row>
    <row r="215">
      <c r="A215" s="15" t="n"/>
      <c r="B215" s="15" t="n"/>
      <c r="C215" s="64" t="n"/>
      <c r="D215" s="64" t="n"/>
      <c r="E215" s="17" t="n"/>
      <c r="F215" s="17" t="n"/>
      <c r="G215" s="17" t="n"/>
      <c r="H215" s="15" t="n"/>
      <c r="I215" s="15" t="n"/>
      <c r="J215" s="15" t="n"/>
      <c r="K215" s="15" t="n"/>
      <c r="L215" s="15" t="n"/>
      <c r="M215" s="15" t="n"/>
      <c r="N215" s="16" t="n"/>
      <c r="O215" s="18">
        <f>IF($A215="","",$F215)</f>
        <v/>
      </c>
      <c r="P215" s="18">
        <f>IF($A215="","",IF($J215="YAPILDI",0,IF($C215="","",raporTarihi-$C215)))</f>
        <v/>
      </c>
      <c r="Q215" s="18">
        <f>IF($A215="","",IF($P215="","",IF($P215&lt;=mbk_kovaEsik1,"0-7",IF($P215&lt;=mbk_kovaEsik2,"8-30",IF($P215&lt;=mbk_kovaEsik3,"31-60","60+")))))</f>
        <v/>
      </c>
      <c r="R215" s="18">
        <f>IF($A215="","",IF($B215="","YETİM",IF(COUNTIF(tblMakineler[MakineId],$B215)=0,"YETİM","")))</f>
        <v/>
      </c>
      <c r="S215" s="18">
        <f>IF(OR($A215="",$I215=""),"",IF(OR($I215&amp;"|"&amp;$J215="",COUNTIF(ListeIzinliGecis,$I215&amp;"|"&amp;$J215)&gt;0),"","GEÇERSİZ GEÇİŞ"))</f>
        <v/>
      </c>
      <c r="T215" s="18">
        <f>IF($A215="","",IF(OR($E215="",$F215=""),"",IF(ABS($F215-$E215)&gt;zincirTolerans,"ZİNCİR KIRIK","OK")))</f>
        <v/>
      </c>
      <c r="U215" s="18">
        <f>IF($A215="","",1)</f>
        <v/>
      </c>
      <c r="V215" s="18">
        <f>IF($A215="","",$F215*$N215*mbk_durusKatsayi)</f>
        <v/>
      </c>
    </row>
    <row r="216">
      <c r="A216" s="15" t="n"/>
      <c r="B216" s="15" t="n"/>
      <c r="C216" s="64" t="n"/>
      <c r="D216" s="64" t="n"/>
      <c r="E216" s="17" t="n"/>
      <c r="F216" s="17" t="n"/>
      <c r="G216" s="17" t="n"/>
      <c r="H216" s="15" t="n"/>
      <c r="I216" s="15" t="n"/>
      <c r="J216" s="15" t="n"/>
      <c r="K216" s="15" t="n"/>
      <c r="L216" s="15" t="n"/>
      <c r="M216" s="15" t="n"/>
      <c r="N216" s="16" t="n"/>
      <c r="O216" s="18">
        <f>IF($A216="","",$F216)</f>
        <v/>
      </c>
      <c r="P216" s="18">
        <f>IF($A216="","",IF($J216="YAPILDI",0,IF($C216="","",raporTarihi-$C216)))</f>
        <v/>
      </c>
      <c r="Q216" s="18">
        <f>IF($A216="","",IF($P216="","",IF($P216&lt;=mbk_kovaEsik1,"0-7",IF($P216&lt;=mbk_kovaEsik2,"8-30",IF($P216&lt;=mbk_kovaEsik3,"31-60","60+")))))</f>
        <v/>
      </c>
      <c r="R216" s="18">
        <f>IF($A216="","",IF($B216="","YETİM",IF(COUNTIF(tblMakineler[MakineId],$B216)=0,"YETİM","")))</f>
        <v/>
      </c>
      <c r="S216" s="18">
        <f>IF(OR($A216="",$I216=""),"",IF(OR($I216&amp;"|"&amp;$J216="",COUNTIF(ListeIzinliGecis,$I216&amp;"|"&amp;$J216)&gt;0),"","GEÇERSİZ GEÇİŞ"))</f>
        <v/>
      </c>
      <c r="T216" s="18">
        <f>IF($A216="","",IF(OR($E216="",$F216=""),"",IF(ABS($F216-$E216)&gt;zincirTolerans,"ZİNCİR KIRIK","OK")))</f>
        <v/>
      </c>
      <c r="U216" s="18">
        <f>IF($A216="","",1)</f>
        <v/>
      </c>
      <c r="V216" s="18">
        <f>IF($A216="","",$F216*$N216*mbk_durusKatsayi)</f>
        <v/>
      </c>
    </row>
    <row r="217">
      <c r="A217" s="15" t="n"/>
      <c r="B217" s="15" t="n"/>
      <c r="C217" s="64" t="n"/>
      <c r="D217" s="64" t="n"/>
      <c r="E217" s="17" t="n"/>
      <c r="F217" s="17" t="n"/>
      <c r="G217" s="17" t="n"/>
      <c r="H217" s="15" t="n"/>
      <c r="I217" s="15" t="n"/>
      <c r="J217" s="15" t="n"/>
      <c r="K217" s="15" t="n"/>
      <c r="L217" s="15" t="n"/>
      <c r="M217" s="15" t="n"/>
      <c r="N217" s="16" t="n"/>
      <c r="O217" s="18">
        <f>IF($A217="","",$F217)</f>
        <v/>
      </c>
      <c r="P217" s="18">
        <f>IF($A217="","",IF($J217="YAPILDI",0,IF($C217="","",raporTarihi-$C217)))</f>
        <v/>
      </c>
      <c r="Q217" s="18">
        <f>IF($A217="","",IF($P217="","",IF($P217&lt;=mbk_kovaEsik1,"0-7",IF($P217&lt;=mbk_kovaEsik2,"8-30",IF($P217&lt;=mbk_kovaEsik3,"31-60","60+")))))</f>
        <v/>
      </c>
      <c r="R217" s="18">
        <f>IF($A217="","",IF($B217="","YETİM",IF(COUNTIF(tblMakineler[MakineId],$B217)=0,"YETİM","")))</f>
        <v/>
      </c>
      <c r="S217" s="18">
        <f>IF(OR($A217="",$I217=""),"",IF(OR($I217&amp;"|"&amp;$J217="",COUNTIF(ListeIzinliGecis,$I217&amp;"|"&amp;$J217)&gt;0),"","GEÇERSİZ GEÇİŞ"))</f>
        <v/>
      </c>
      <c r="T217" s="18">
        <f>IF($A217="","",IF(OR($E217="",$F217=""),"",IF(ABS($F217-$E217)&gt;zincirTolerans,"ZİNCİR KIRIK","OK")))</f>
        <v/>
      </c>
      <c r="U217" s="18">
        <f>IF($A217="","",1)</f>
        <v/>
      </c>
      <c r="V217" s="18">
        <f>IF($A217="","",$F217*$N217*mbk_durusKatsayi)</f>
        <v/>
      </c>
    </row>
    <row r="218">
      <c r="A218" s="15" t="n"/>
      <c r="B218" s="15" t="n"/>
      <c r="C218" s="64" t="n"/>
      <c r="D218" s="64" t="n"/>
      <c r="E218" s="17" t="n"/>
      <c r="F218" s="17" t="n"/>
      <c r="G218" s="17" t="n"/>
      <c r="H218" s="15" t="n"/>
      <c r="I218" s="15" t="n"/>
      <c r="J218" s="15" t="n"/>
      <c r="K218" s="15" t="n"/>
      <c r="L218" s="15" t="n"/>
      <c r="M218" s="15" t="n"/>
      <c r="N218" s="16" t="n"/>
      <c r="O218" s="18">
        <f>IF($A218="","",$F218)</f>
        <v/>
      </c>
      <c r="P218" s="18">
        <f>IF($A218="","",IF($J218="YAPILDI",0,IF($C218="","",raporTarihi-$C218)))</f>
        <v/>
      </c>
      <c r="Q218" s="18">
        <f>IF($A218="","",IF($P218="","",IF($P218&lt;=mbk_kovaEsik1,"0-7",IF($P218&lt;=mbk_kovaEsik2,"8-30",IF($P218&lt;=mbk_kovaEsik3,"31-60","60+")))))</f>
        <v/>
      </c>
      <c r="R218" s="18">
        <f>IF($A218="","",IF($B218="","YETİM",IF(COUNTIF(tblMakineler[MakineId],$B218)=0,"YETİM","")))</f>
        <v/>
      </c>
      <c r="S218" s="18">
        <f>IF(OR($A218="",$I218=""),"",IF(OR($I218&amp;"|"&amp;$J218="",COUNTIF(ListeIzinliGecis,$I218&amp;"|"&amp;$J218)&gt;0),"","GEÇERSİZ GEÇİŞ"))</f>
        <v/>
      </c>
      <c r="T218" s="18">
        <f>IF($A218="","",IF(OR($E218="",$F218=""),"",IF(ABS($F218-$E218)&gt;zincirTolerans,"ZİNCİR KIRIK","OK")))</f>
        <v/>
      </c>
      <c r="U218" s="18">
        <f>IF($A218="","",1)</f>
        <v/>
      </c>
      <c r="V218" s="18">
        <f>IF($A218="","",$F218*$N218*mbk_durusKatsayi)</f>
        <v/>
      </c>
    </row>
    <row r="219">
      <c r="A219" s="15" t="n"/>
      <c r="B219" s="15" t="n"/>
      <c r="C219" s="64" t="n"/>
      <c r="D219" s="64" t="n"/>
      <c r="E219" s="17" t="n"/>
      <c r="F219" s="17" t="n"/>
      <c r="G219" s="17" t="n"/>
      <c r="H219" s="15" t="n"/>
      <c r="I219" s="15" t="n"/>
      <c r="J219" s="15" t="n"/>
      <c r="K219" s="15" t="n"/>
      <c r="L219" s="15" t="n"/>
      <c r="M219" s="15" t="n"/>
      <c r="N219" s="16" t="n"/>
      <c r="O219" s="18">
        <f>IF($A219="","",$F219)</f>
        <v/>
      </c>
      <c r="P219" s="18">
        <f>IF($A219="","",IF($J219="YAPILDI",0,IF($C219="","",raporTarihi-$C219)))</f>
        <v/>
      </c>
      <c r="Q219" s="18">
        <f>IF($A219="","",IF($P219="","",IF($P219&lt;=mbk_kovaEsik1,"0-7",IF($P219&lt;=mbk_kovaEsik2,"8-30",IF($P219&lt;=mbk_kovaEsik3,"31-60","60+")))))</f>
        <v/>
      </c>
      <c r="R219" s="18">
        <f>IF($A219="","",IF($B219="","YETİM",IF(COUNTIF(tblMakineler[MakineId],$B219)=0,"YETİM","")))</f>
        <v/>
      </c>
      <c r="S219" s="18">
        <f>IF(OR($A219="",$I219=""),"",IF(OR($I219&amp;"|"&amp;$J219="",COUNTIF(ListeIzinliGecis,$I219&amp;"|"&amp;$J219)&gt;0),"","GEÇERSİZ GEÇİŞ"))</f>
        <v/>
      </c>
      <c r="T219" s="18">
        <f>IF($A219="","",IF(OR($E219="",$F219=""),"",IF(ABS($F219-$E219)&gt;zincirTolerans,"ZİNCİR KIRIK","OK")))</f>
        <v/>
      </c>
      <c r="U219" s="18">
        <f>IF($A219="","",1)</f>
        <v/>
      </c>
      <c r="V219" s="18">
        <f>IF($A219="","",$F219*$N219*mbk_durusKatsayi)</f>
        <v/>
      </c>
    </row>
    <row r="220">
      <c r="A220" s="15" t="n"/>
      <c r="B220" s="15" t="n"/>
      <c r="C220" s="64" t="n"/>
      <c r="D220" s="64" t="n"/>
      <c r="E220" s="17" t="n"/>
      <c r="F220" s="17" t="n"/>
      <c r="G220" s="17" t="n"/>
      <c r="H220" s="15" t="n"/>
      <c r="I220" s="15" t="n"/>
      <c r="J220" s="15" t="n"/>
      <c r="K220" s="15" t="n"/>
      <c r="L220" s="15" t="n"/>
      <c r="M220" s="15" t="n"/>
      <c r="N220" s="16" t="n"/>
      <c r="O220" s="18">
        <f>IF($A220="","",$F220)</f>
        <v/>
      </c>
      <c r="P220" s="18">
        <f>IF($A220="","",IF($J220="YAPILDI",0,IF($C220="","",raporTarihi-$C220)))</f>
        <v/>
      </c>
      <c r="Q220" s="18">
        <f>IF($A220="","",IF($P220="","",IF($P220&lt;=mbk_kovaEsik1,"0-7",IF($P220&lt;=mbk_kovaEsik2,"8-30",IF($P220&lt;=mbk_kovaEsik3,"31-60","60+")))))</f>
        <v/>
      </c>
      <c r="R220" s="18">
        <f>IF($A220="","",IF($B220="","YETİM",IF(COUNTIF(tblMakineler[MakineId],$B220)=0,"YETİM","")))</f>
        <v/>
      </c>
      <c r="S220" s="18">
        <f>IF(OR($A220="",$I220=""),"",IF(OR($I220&amp;"|"&amp;$J220="",COUNTIF(ListeIzinliGecis,$I220&amp;"|"&amp;$J220)&gt;0),"","GEÇERSİZ GEÇİŞ"))</f>
        <v/>
      </c>
      <c r="T220" s="18">
        <f>IF($A220="","",IF(OR($E220="",$F220=""),"",IF(ABS($F220-$E220)&gt;zincirTolerans,"ZİNCİR KIRIK","OK")))</f>
        <v/>
      </c>
      <c r="U220" s="18">
        <f>IF($A220="","",1)</f>
        <v/>
      </c>
      <c r="V220" s="18">
        <f>IF($A220="","",$F220*$N220*mbk_durusKatsayi)</f>
        <v/>
      </c>
    </row>
    <row r="221">
      <c r="A221" s="15" t="n"/>
      <c r="B221" s="15" t="n"/>
      <c r="C221" s="64" t="n"/>
      <c r="D221" s="64" t="n"/>
      <c r="E221" s="17" t="n"/>
      <c r="F221" s="17" t="n"/>
      <c r="G221" s="17" t="n"/>
      <c r="H221" s="15" t="n"/>
      <c r="I221" s="15" t="n"/>
      <c r="J221" s="15" t="n"/>
      <c r="K221" s="15" t="n"/>
      <c r="L221" s="15" t="n"/>
      <c r="M221" s="15" t="n"/>
      <c r="N221" s="16" t="n"/>
      <c r="O221" s="18">
        <f>IF($A221="","",$F221)</f>
        <v/>
      </c>
      <c r="P221" s="18">
        <f>IF($A221="","",IF($J221="YAPILDI",0,IF($C221="","",raporTarihi-$C221)))</f>
        <v/>
      </c>
      <c r="Q221" s="18">
        <f>IF($A221="","",IF($P221="","",IF($P221&lt;=mbk_kovaEsik1,"0-7",IF($P221&lt;=mbk_kovaEsik2,"8-30",IF($P221&lt;=mbk_kovaEsik3,"31-60","60+")))))</f>
        <v/>
      </c>
      <c r="R221" s="18">
        <f>IF($A221="","",IF($B221="","YETİM",IF(COUNTIF(tblMakineler[MakineId],$B221)=0,"YETİM","")))</f>
        <v/>
      </c>
      <c r="S221" s="18">
        <f>IF(OR($A221="",$I221=""),"",IF(OR($I221&amp;"|"&amp;$J221="",COUNTIF(ListeIzinliGecis,$I221&amp;"|"&amp;$J221)&gt;0),"","GEÇERSİZ GEÇİŞ"))</f>
        <v/>
      </c>
      <c r="T221" s="18">
        <f>IF($A221="","",IF(OR($E221="",$F221=""),"",IF(ABS($F221-$E221)&gt;zincirTolerans,"ZİNCİR KIRIK","OK")))</f>
        <v/>
      </c>
      <c r="U221" s="18">
        <f>IF($A221="","",1)</f>
        <v/>
      </c>
      <c r="V221" s="18">
        <f>IF($A221="","",$F221*$N221*mbk_durusKatsayi)</f>
        <v/>
      </c>
    </row>
    <row r="222">
      <c r="A222" s="15" t="n"/>
      <c r="B222" s="15" t="n"/>
      <c r="C222" s="64" t="n"/>
      <c r="D222" s="64" t="n"/>
      <c r="E222" s="17" t="n"/>
      <c r="F222" s="17" t="n"/>
      <c r="G222" s="17" t="n"/>
      <c r="H222" s="15" t="n"/>
      <c r="I222" s="15" t="n"/>
      <c r="J222" s="15" t="n"/>
      <c r="K222" s="15" t="n"/>
      <c r="L222" s="15" t="n"/>
      <c r="M222" s="15" t="n"/>
      <c r="N222" s="16" t="n"/>
      <c r="O222" s="18">
        <f>IF($A222="","",$F222)</f>
        <v/>
      </c>
      <c r="P222" s="18">
        <f>IF($A222="","",IF($J222="YAPILDI",0,IF($C222="","",raporTarihi-$C222)))</f>
        <v/>
      </c>
      <c r="Q222" s="18">
        <f>IF($A222="","",IF($P222="","",IF($P222&lt;=mbk_kovaEsik1,"0-7",IF($P222&lt;=mbk_kovaEsik2,"8-30",IF($P222&lt;=mbk_kovaEsik3,"31-60","60+")))))</f>
        <v/>
      </c>
      <c r="R222" s="18">
        <f>IF($A222="","",IF($B222="","YETİM",IF(COUNTIF(tblMakineler[MakineId],$B222)=0,"YETİM","")))</f>
        <v/>
      </c>
      <c r="S222" s="18">
        <f>IF(OR($A222="",$I222=""),"",IF(OR($I222&amp;"|"&amp;$J222="",COUNTIF(ListeIzinliGecis,$I222&amp;"|"&amp;$J222)&gt;0),"","GEÇERSİZ GEÇİŞ"))</f>
        <v/>
      </c>
      <c r="T222" s="18">
        <f>IF($A222="","",IF(OR($E222="",$F222=""),"",IF(ABS($F222-$E222)&gt;zincirTolerans,"ZİNCİR KIRIK","OK")))</f>
        <v/>
      </c>
      <c r="U222" s="18">
        <f>IF($A222="","",1)</f>
        <v/>
      </c>
      <c r="V222" s="18">
        <f>IF($A222="","",$F222*$N222*mbk_durusKatsayi)</f>
        <v/>
      </c>
    </row>
    <row r="223">
      <c r="A223" s="15" t="n"/>
      <c r="B223" s="15" t="n"/>
      <c r="C223" s="64" t="n"/>
      <c r="D223" s="64" t="n"/>
      <c r="E223" s="17" t="n"/>
      <c r="F223" s="17" t="n"/>
      <c r="G223" s="17" t="n"/>
      <c r="H223" s="15" t="n"/>
      <c r="I223" s="15" t="n"/>
      <c r="J223" s="15" t="n"/>
      <c r="K223" s="15" t="n"/>
      <c r="L223" s="15" t="n"/>
      <c r="M223" s="15" t="n"/>
      <c r="N223" s="16" t="n"/>
      <c r="O223" s="18">
        <f>IF($A223="","",$F223)</f>
        <v/>
      </c>
      <c r="P223" s="18">
        <f>IF($A223="","",IF($J223="YAPILDI",0,IF($C223="","",raporTarihi-$C223)))</f>
        <v/>
      </c>
      <c r="Q223" s="18">
        <f>IF($A223="","",IF($P223="","",IF($P223&lt;=mbk_kovaEsik1,"0-7",IF($P223&lt;=mbk_kovaEsik2,"8-30",IF($P223&lt;=mbk_kovaEsik3,"31-60","60+")))))</f>
        <v/>
      </c>
      <c r="R223" s="18">
        <f>IF($A223="","",IF($B223="","YETİM",IF(COUNTIF(tblMakineler[MakineId],$B223)=0,"YETİM","")))</f>
        <v/>
      </c>
      <c r="S223" s="18">
        <f>IF(OR($A223="",$I223=""),"",IF(OR($I223&amp;"|"&amp;$J223="",COUNTIF(ListeIzinliGecis,$I223&amp;"|"&amp;$J223)&gt;0),"","GEÇERSİZ GEÇİŞ"))</f>
        <v/>
      </c>
      <c r="T223" s="18">
        <f>IF($A223="","",IF(OR($E223="",$F223=""),"",IF(ABS($F223-$E223)&gt;zincirTolerans,"ZİNCİR KIRIK","OK")))</f>
        <v/>
      </c>
      <c r="U223" s="18">
        <f>IF($A223="","",1)</f>
        <v/>
      </c>
      <c r="V223" s="18">
        <f>IF($A223="","",$F223*$N223*mbk_durusKatsayi)</f>
        <v/>
      </c>
    </row>
    <row r="224">
      <c r="A224" s="15" t="n"/>
      <c r="B224" s="15" t="n"/>
      <c r="C224" s="64" t="n"/>
      <c r="D224" s="64" t="n"/>
      <c r="E224" s="17" t="n"/>
      <c r="F224" s="17" t="n"/>
      <c r="G224" s="17" t="n"/>
      <c r="H224" s="15" t="n"/>
      <c r="I224" s="15" t="n"/>
      <c r="J224" s="15" t="n"/>
      <c r="K224" s="15" t="n"/>
      <c r="L224" s="15" t="n"/>
      <c r="M224" s="15" t="n"/>
      <c r="N224" s="16" t="n"/>
      <c r="O224" s="18">
        <f>IF($A224="","",$F224)</f>
        <v/>
      </c>
      <c r="P224" s="18">
        <f>IF($A224="","",IF($J224="YAPILDI",0,IF($C224="","",raporTarihi-$C224)))</f>
        <v/>
      </c>
      <c r="Q224" s="18">
        <f>IF($A224="","",IF($P224="","",IF($P224&lt;=mbk_kovaEsik1,"0-7",IF($P224&lt;=mbk_kovaEsik2,"8-30",IF($P224&lt;=mbk_kovaEsik3,"31-60","60+")))))</f>
        <v/>
      </c>
      <c r="R224" s="18">
        <f>IF($A224="","",IF($B224="","YETİM",IF(COUNTIF(tblMakineler[MakineId],$B224)=0,"YETİM","")))</f>
        <v/>
      </c>
      <c r="S224" s="18">
        <f>IF(OR($A224="",$I224=""),"",IF(OR($I224&amp;"|"&amp;$J224="",COUNTIF(ListeIzinliGecis,$I224&amp;"|"&amp;$J224)&gt;0),"","GEÇERSİZ GEÇİŞ"))</f>
        <v/>
      </c>
      <c r="T224" s="18">
        <f>IF($A224="","",IF(OR($E224="",$F224=""),"",IF(ABS($F224-$E224)&gt;zincirTolerans,"ZİNCİR KIRIK","OK")))</f>
        <v/>
      </c>
      <c r="U224" s="18">
        <f>IF($A224="","",1)</f>
        <v/>
      </c>
      <c r="V224" s="18">
        <f>IF($A224="","",$F224*$N224*mbk_durusKatsayi)</f>
        <v/>
      </c>
    </row>
    <row r="225">
      <c r="A225" s="15" t="n"/>
      <c r="B225" s="15" t="n"/>
      <c r="C225" s="64" t="n"/>
      <c r="D225" s="64" t="n"/>
      <c r="E225" s="17" t="n"/>
      <c r="F225" s="17" t="n"/>
      <c r="G225" s="17" t="n"/>
      <c r="H225" s="15" t="n"/>
      <c r="I225" s="15" t="n"/>
      <c r="J225" s="15" t="n"/>
      <c r="K225" s="15" t="n"/>
      <c r="L225" s="15" t="n"/>
      <c r="M225" s="15" t="n"/>
      <c r="N225" s="16" t="n"/>
      <c r="O225" s="18">
        <f>IF($A225="","",$F225)</f>
        <v/>
      </c>
      <c r="P225" s="18">
        <f>IF($A225="","",IF($J225="YAPILDI",0,IF($C225="","",raporTarihi-$C225)))</f>
        <v/>
      </c>
      <c r="Q225" s="18">
        <f>IF($A225="","",IF($P225="","",IF($P225&lt;=mbk_kovaEsik1,"0-7",IF($P225&lt;=mbk_kovaEsik2,"8-30",IF($P225&lt;=mbk_kovaEsik3,"31-60","60+")))))</f>
        <v/>
      </c>
      <c r="R225" s="18">
        <f>IF($A225="","",IF($B225="","YETİM",IF(COUNTIF(tblMakineler[MakineId],$B225)=0,"YETİM","")))</f>
        <v/>
      </c>
      <c r="S225" s="18">
        <f>IF(OR($A225="",$I225=""),"",IF(OR($I225&amp;"|"&amp;$J225="",COUNTIF(ListeIzinliGecis,$I225&amp;"|"&amp;$J225)&gt;0),"","GEÇERSİZ GEÇİŞ"))</f>
        <v/>
      </c>
      <c r="T225" s="18">
        <f>IF($A225="","",IF(OR($E225="",$F225=""),"",IF(ABS($F225-$E225)&gt;zincirTolerans,"ZİNCİR KIRIK","OK")))</f>
        <v/>
      </c>
      <c r="U225" s="18">
        <f>IF($A225="","",1)</f>
        <v/>
      </c>
      <c r="V225" s="18">
        <f>IF($A225="","",$F225*$N225*mbk_durusKatsayi)</f>
        <v/>
      </c>
    </row>
    <row r="226">
      <c r="A226" s="15" t="n"/>
      <c r="B226" s="15" t="n"/>
      <c r="C226" s="64" t="n"/>
      <c r="D226" s="64" t="n"/>
      <c r="E226" s="17" t="n"/>
      <c r="F226" s="17" t="n"/>
      <c r="G226" s="17" t="n"/>
      <c r="H226" s="15" t="n"/>
      <c r="I226" s="15" t="n"/>
      <c r="J226" s="15" t="n"/>
      <c r="K226" s="15" t="n"/>
      <c r="L226" s="15" t="n"/>
      <c r="M226" s="15" t="n"/>
      <c r="N226" s="16" t="n"/>
      <c r="O226" s="18">
        <f>IF($A226="","",$F226)</f>
        <v/>
      </c>
      <c r="P226" s="18">
        <f>IF($A226="","",IF($J226="YAPILDI",0,IF($C226="","",raporTarihi-$C226)))</f>
        <v/>
      </c>
      <c r="Q226" s="18">
        <f>IF($A226="","",IF($P226="","",IF($P226&lt;=mbk_kovaEsik1,"0-7",IF($P226&lt;=mbk_kovaEsik2,"8-30",IF($P226&lt;=mbk_kovaEsik3,"31-60","60+")))))</f>
        <v/>
      </c>
      <c r="R226" s="18">
        <f>IF($A226="","",IF($B226="","YETİM",IF(COUNTIF(tblMakineler[MakineId],$B226)=0,"YETİM","")))</f>
        <v/>
      </c>
      <c r="S226" s="18">
        <f>IF(OR($A226="",$I226=""),"",IF(OR($I226&amp;"|"&amp;$J226="",COUNTIF(ListeIzinliGecis,$I226&amp;"|"&amp;$J226)&gt;0),"","GEÇERSİZ GEÇİŞ"))</f>
        <v/>
      </c>
      <c r="T226" s="18">
        <f>IF($A226="","",IF(OR($E226="",$F226=""),"",IF(ABS($F226-$E226)&gt;zincirTolerans,"ZİNCİR KIRIK","OK")))</f>
        <v/>
      </c>
      <c r="U226" s="18">
        <f>IF($A226="","",1)</f>
        <v/>
      </c>
      <c r="V226" s="18">
        <f>IF($A226="","",$F226*$N226*mbk_durusKatsayi)</f>
        <v/>
      </c>
    </row>
    <row r="227">
      <c r="A227" s="15" t="n"/>
      <c r="B227" s="15" t="n"/>
      <c r="C227" s="64" t="n"/>
      <c r="D227" s="64" t="n"/>
      <c r="E227" s="17" t="n"/>
      <c r="F227" s="17" t="n"/>
      <c r="G227" s="17" t="n"/>
      <c r="H227" s="15" t="n"/>
      <c r="I227" s="15" t="n"/>
      <c r="J227" s="15" t="n"/>
      <c r="K227" s="15" t="n"/>
      <c r="L227" s="15" t="n"/>
      <c r="M227" s="15" t="n"/>
      <c r="N227" s="16" t="n"/>
      <c r="O227" s="18">
        <f>IF($A227="","",$F227)</f>
        <v/>
      </c>
      <c r="P227" s="18">
        <f>IF($A227="","",IF($J227="YAPILDI",0,IF($C227="","",raporTarihi-$C227)))</f>
        <v/>
      </c>
      <c r="Q227" s="18">
        <f>IF($A227="","",IF($P227="","",IF($P227&lt;=mbk_kovaEsik1,"0-7",IF($P227&lt;=mbk_kovaEsik2,"8-30",IF($P227&lt;=mbk_kovaEsik3,"31-60","60+")))))</f>
        <v/>
      </c>
      <c r="R227" s="18">
        <f>IF($A227="","",IF($B227="","YETİM",IF(COUNTIF(tblMakineler[MakineId],$B227)=0,"YETİM","")))</f>
        <v/>
      </c>
      <c r="S227" s="18">
        <f>IF(OR($A227="",$I227=""),"",IF(OR($I227&amp;"|"&amp;$J227="",COUNTIF(ListeIzinliGecis,$I227&amp;"|"&amp;$J227)&gt;0),"","GEÇERSİZ GEÇİŞ"))</f>
        <v/>
      </c>
      <c r="T227" s="18">
        <f>IF($A227="","",IF(OR($E227="",$F227=""),"",IF(ABS($F227-$E227)&gt;zincirTolerans,"ZİNCİR KIRIK","OK")))</f>
        <v/>
      </c>
      <c r="U227" s="18">
        <f>IF($A227="","",1)</f>
        <v/>
      </c>
      <c r="V227" s="18">
        <f>IF($A227="","",$F227*$N227*mbk_durusKatsayi)</f>
        <v/>
      </c>
    </row>
    <row r="228">
      <c r="A228" s="15" t="n"/>
      <c r="B228" s="15" t="n"/>
      <c r="C228" s="64" t="n"/>
      <c r="D228" s="64" t="n"/>
      <c r="E228" s="17" t="n"/>
      <c r="F228" s="17" t="n"/>
      <c r="G228" s="17" t="n"/>
      <c r="H228" s="15" t="n"/>
      <c r="I228" s="15" t="n"/>
      <c r="J228" s="15" t="n"/>
      <c r="K228" s="15" t="n"/>
      <c r="L228" s="15" t="n"/>
      <c r="M228" s="15" t="n"/>
      <c r="N228" s="16" t="n"/>
      <c r="O228" s="18">
        <f>IF($A228="","",$F228)</f>
        <v/>
      </c>
      <c r="P228" s="18">
        <f>IF($A228="","",IF($J228="YAPILDI",0,IF($C228="","",raporTarihi-$C228)))</f>
        <v/>
      </c>
      <c r="Q228" s="18">
        <f>IF($A228="","",IF($P228="","",IF($P228&lt;=mbk_kovaEsik1,"0-7",IF($P228&lt;=mbk_kovaEsik2,"8-30",IF($P228&lt;=mbk_kovaEsik3,"31-60","60+")))))</f>
        <v/>
      </c>
      <c r="R228" s="18">
        <f>IF($A228="","",IF($B228="","YETİM",IF(COUNTIF(tblMakineler[MakineId],$B228)=0,"YETİM","")))</f>
        <v/>
      </c>
      <c r="S228" s="18">
        <f>IF(OR($A228="",$I228=""),"",IF(OR($I228&amp;"|"&amp;$J228="",COUNTIF(ListeIzinliGecis,$I228&amp;"|"&amp;$J228)&gt;0),"","GEÇERSİZ GEÇİŞ"))</f>
        <v/>
      </c>
      <c r="T228" s="18">
        <f>IF($A228="","",IF(OR($E228="",$F228=""),"",IF(ABS($F228-$E228)&gt;zincirTolerans,"ZİNCİR KIRIK","OK")))</f>
        <v/>
      </c>
      <c r="U228" s="18">
        <f>IF($A228="","",1)</f>
        <v/>
      </c>
      <c r="V228" s="18">
        <f>IF($A228="","",$F228*$N228*mbk_durusKatsayi)</f>
        <v/>
      </c>
    </row>
    <row r="229">
      <c r="A229" s="15" t="n"/>
      <c r="B229" s="15" t="n"/>
      <c r="C229" s="64" t="n"/>
      <c r="D229" s="64" t="n"/>
      <c r="E229" s="17" t="n"/>
      <c r="F229" s="17" t="n"/>
      <c r="G229" s="17" t="n"/>
      <c r="H229" s="15" t="n"/>
      <c r="I229" s="15" t="n"/>
      <c r="J229" s="15" t="n"/>
      <c r="K229" s="15" t="n"/>
      <c r="L229" s="15" t="n"/>
      <c r="M229" s="15" t="n"/>
      <c r="N229" s="16" t="n"/>
      <c r="O229" s="18">
        <f>IF($A229="","",$F229)</f>
        <v/>
      </c>
      <c r="P229" s="18">
        <f>IF($A229="","",IF($J229="YAPILDI",0,IF($C229="","",raporTarihi-$C229)))</f>
        <v/>
      </c>
      <c r="Q229" s="18">
        <f>IF($A229="","",IF($P229="","",IF($P229&lt;=mbk_kovaEsik1,"0-7",IF($P229&lt;=mbk_kovaEsik2,"8-30",IF($P229&lt;=mbk_kovaEsik3,"31-60","60+")))))</f>
        <v/>
      </c>
      <c r="R229" s="18">
        <f>IF($A229="","",IF($B229="","YETİM",IF(COUNTIF(tblMakineler[MakineId],$B229)=0,"YETİM","")))</f>
        <v/>
      </c>
      <c r="S229" s="18">
        <f>IF(OR($A229="",$I229=""),"",IF(OR($I229&amp;"|"&amp;$J229="",COUNTIF(ListeIzinliGecis,$I229&amp;"|"&amp;$J229)&gt;0),"","GEÇERSİZ GEÇİŞ"))</f>
        <v/>
      </c>
      <c r="T229" s="18">
        <f>IF($A229="","",IF(OR($E229="",$F229=""),"",IF(ABS($F229-$E229)&gt;zincirTolerans,"ZİNCİR KIRIK","OK")))</f>
        <v/>
      </c>
      <c r="U229" s="18">
        <f>IF($A229="","",1)</f>
        <v/>
      </c>
      <c r="V229" s="18">
        <f>IF($A229="","",$F229*$N229*mbk_durusKatsayi)</f>
        <v/>
      </c>
    </row>
    <row r="230">
      <c r="A230" s="15" t="n"/>
      <c r="B230" s="15" t="n"/>
      <c r="C230" s="64" t="n"/>
      <c r="D230" s="64" t="n"/>
      <c r="E230" s="17" t="n"/>
      <c r="F230" s="17" t="n"/>
      <c r="G230" s="17" t="n"/>
      <c r="H230" s="15" t="n"/>
      <c r="I230" s="15" t="n"/>
      <c r="J230" s="15" t="n"/>
      <c r="K230" s="15" t="n"/>
      <c r="L230" s="15" t="n"/>
      <c r="M230" s="15" t="n"/>
      <c r="N230" s="16" t="n"/>
      <c r="O230" s="18">
        <f>IF($A230="","",$F230)</f>
        <v/>
      </c>
      <c r="P230" s="18">
        <f>IF($A230="","",IF($J230="YAPILDI",0,IF($C230="","",raporTarihi-$C230)))</f>
        <v/>
      </c>
      <c r="Q230" s="18">
        <f>IF($A230="","",IF($P230="","",IF($P230&lt;=mbk_kovaEsik1,"0-7",IF($P230&lt;=mbk_kovaEsik2,"8-30",IF($P230&lt;=mbk_kovaEsik3,"31-60","60+")))))</f>
        <v/>
      </c>
      <c r="R230" s="18">
        <f>IF($A230="","",IF($B230="","YETİM",IF(COUNTIF(tblMakineler[MakineId],$B230)=0,"YETİM","")))</f>
        <v/>
      </c>
      <c r="S230" s="18">
        <f>IF(OR($A230="",$I230=""),"",IF(OR($I230&amp;"|"&amp;$J230="",COUNTIF(ListeIzinliGecis,$I230&amp;"|"&amp;$J230)&gt;0),"","GEÇERSİZ GEÇİŞ"))</f>
        <v/>
      </c>
      <c r="T230" s="18">
        <f>IF($A230="","",IF(OR($E230="",$F230=""),"",IF(ABS($F230-$E230)&gt;zincirTolerans,"ZİNCİR KIRIK","OK")))</f>
        <v/>
      </c>
      <c r="U230" s="18">
        <f>IF($A230="","",1)</f>
        <v/>
      </c>
      <c r="V230" s="18">
        <f>IF($A230="","",$F230*$N230*mbk_durusKatsayi)</f>
        <v/>
      </c>
    </row>
    <row r="231">
      <c r="A231" s="15" t="n"/>
      <c r="B231" s="15" t="n"/>
      <c r="C231" s="64" t="n"/>
      <c r="D231" s="64" t="n"/>
      <c r="E231" s="17" t="n"/>
      <c r="F231" s="17" t="n"/>
      <c r="G231" s="17" t="n"/>
      <c r="H231" s="15" t="n"/>
      <c r="I231" s="15" t="n"/>
      <c r="J231" s="15" t="n"/>
      <c r="K231" s="15" t="n"/>
      <c r="L231" s="15" t="n"/>
      <c r="M231" s="15" t="n"/>
      <c r="N231" s="16" t="n"/>
      <c r="O231" s="18">
        <f>IF($A231="","",$F231)</f>
        <v/>
      </c>
      <c r="P231" s="18">
        <f>IF($A231="","",IF($J231="YAPILDI",0,IF($C231="","",raporTarihi-$C231)))</f>
        <v/>
      </c>
      <c r="Q231" s="18">
        <f>IF($A231="","",IF($P231="","",IF($P231&lt;=mbk_kovaEsik1,"0-7",IF($P231&lt;=mbk_kovaEsik2,"8-30",IF($P231&lt;=mbk_kovaEsik3,"31-60","60+")))))</f>
        <v/>
      </c>
      <c r="R231" s="18">
        <f>IF($A231="","",IF($B231="","YETİM",IF(COUNTIF(tblMakineler[MakineId],$B231)=0,"YETİM","")))</f>
        <v/>
      </c>
      <c r="S231" s="18">
        <f>IF(OR($A231="",$I231=""),"",IF(OR($I231&amp;"|"&amp;$J231="",COUNTIF(ListeIzinliGecis,$I231&amp;"|"&amp;$J231)&gt;0),"","GEÇERSİZ GEÇİŞ"))</f>
        <v/>
      </c>
      <c r="T231" s="18">
        <f>IF($A231="","",IF(OR($E231="",$F231=""),"",IF(ABS($F231-$E231)&gt;zincirTolerans,"ZİNCİR KIRIK","OK")))</f>
        <v/>
      </c>
      <c r="U231" s="18">
        <f>IF($A231="","",1)</f>
        <v/>
      </c>
      <c r="V231" s="18">
        <f>IF($A231="","",$F231*$N231*mbk_durusKatsayi)</f>
        <v/>
      </c>
    </row>
    <row r="232">
      <c r="A232" s="15" t="n"/>
      <c r="B232" s="15" t="n"/>
      <c r="C232" s="64" t="n"/>
      <c r="D232" s="64" t="n"/>
      <c r="E232" s="17" t="n"/>
      <c r="F232" s="17" t="n"/>
      <c r="G232" s="17" t="n"/>
      <c r="H232" s="15" t="n"/>
      <c r="I232" s="15" t="n"/>
      <c r="J232" s="15" t="n"/>
      <c r="K232" s="15" t="n"/>
      <c r="L232" s="15" t="n"/>
      <c r="M232" s="15" t="n"/>
      <c r="N232" s="16" t="n"/>
      <c r="O232" s="18">
        <f>IF($A232="","",$F232)</f>
        <v/>
      </c>
      <c r="P232" s="18">
        <f>IF($A232="","",IF($J232="YAPILDI",0,IF($C232="","",raporTarihi-$C232)))</f>
        <v/>
      </c>
      <c r="Q232" s="18">
        <f>IF($A232="","",IF($P232="","",IF($P232&lt;=mbk_kovaEsik1,"0-7",IF($P232&lt;=mbk_kovaEsik2,"8-30",IF($P232&lt;=mbk_kovaEsik3,"31-60","60+")))))</f>
        <v/>
      </c>
      <c r="R232" s="18">
        <f>IF($A232="","",IF($B232="","YETİM",IF(COUNTIF(tblMakineler[MakineId],$B232)=0,"YETİM","")))</f>
        <v/>
      </c>
      <c r="S232" s="18">
        <f>IF(OR($A232="",$I232=""),"",IF(OR($I232&amp;"|"&amp;$J232="",COUNTIF(ListeIzinliGecis,$I232&amp;"|"&amp;$J232)&gt;0),"","GEÇERSİZ GEÇİŞ"))</f>
        <v/>
      </c>
      <c r="T232" s="18">
        <f>IF($A232="","",IF(OR($E232="",$F232=""),"",IF(ABS($F232-$E232)&gt;zincirTolerans,"ZİNCİR KIRIK","OK")))</f>
        <v/>
      </c>
      <c r="U232" s="18">
        <f>IF($A232="","",1)</f>
        <v/>
      </c>
      <c r="V232" s="18">
        <f>IF($A232="","",$F232*$N232*mbk_durusKatsayi)</f>
        <v/>
      </c>
    </row>
    <row r="233">
      <c r="A233" s="15" t="n"/>
      <c r="B233" s="15" t="n"/>
      <c r="C233" s="64" t="n"/>
      <c r="D233" s="64" t="n"/>
      <c r="E233" s="17" t="n"/>
      <c r="F233" s="17" t="n"/>
      <c r="G233" s="17" t="n"/>
      <c r="H233" s="15" t="n"/>
      <c r="I233" s="15" t="n"/>
      <c r="J233" s="15" t="n"/>
      <c r="K233" s="15" t="n"/>
      <c r="L233" s="15" t="n"/>
      <c r="M233" s="15" t="n"/>
      <c r="N233" s="16" t="n"/>
      <c r="O233" s="18">
        <f>IF($A233="","",$F233)</f>
        <v/>
      </c>
      <c r="P233" s="18">
        <f>IF($A233="","",IF($J233="YAPILDI",0,IF($C233="","",raporTarihi-$C233)))</f>
        <v/>
      </c>
      <c r="Q233" s="18">
        <f>IF($A233="","",IF($P233="","",IF($P233&lt;=mbk_kovaEsik1,"0-7",IF($P233&lt;=mbk_kovaEsik2,"8-30",IF($P233&lt;=mbk_kovaEsik3,"31-60","60+")))))</f>
        <v/>
      </c>
      <c r="R233" s="18">
        <f>IF($A233="","",IF($B233="","YETİM",IF(COUNTIF(tblMakineler[MakineId],$B233)=0,"YETİM","")))</f>
        <v/>
      </c>
      <c r="S233" s="18">
        <f>IF(OR($A233="",$I233=""),"",IF(OR($I233&amp;"|"&amp;$J233="",COUNTIF(ListeIzinliGecis,$I233&amp;"|"&amp;$J233)&gt;0),"","GEÇERSİZ GEÇİŞ"))</f>
        <v/>
      </c>
      <c r="T233" s="18">
        <f>IF($A233="","",IF(OR($E233="",$F233=""),"",IF(ABS($F233-$E233)&gt;zincirTolerans,"ZİNCİR KIRIK","OK")))</f>
        <v/>
      </c>
      <c r="U233" s="18">
        <f>IF($A233="","",1)</f>
        <v/>
      </c>
      <c r="V233" s="18">
        <f>IF($A233="","",$F233*$N233*mbk_durusKatsayi)</f>
        <v/>
      </c>
    </row>
    <row r="234">
      <c r="A234" s="15" t="n"/>
      <c r="B234" s="15" t="n"/>
      <c r="C234" s="64" t="n"/>
      <c r="D234" s="64" t="n"/>
      <c r="E234" s="17" t="n"/>
      <c r="F234" s="17" t="n"/>
      <c r="G234" s="17" t="n"/>
      <c r="H234" s="15" t="n"/>
      <c r="I234" s="15" t="n"/>
      <c r="J234" s="15" t="n"/>
      <c r="K234" s="15" t="n"/>
      <c r="L234" s="15" t="n"/>
      <c r="M234" s="15" t="n"/>
      <c r="N234" s="16" t="n"/>
      <c r="O234" s="18">
        <f>IF($A234="","",$F234)</f>
        <v/>
      </c>
      <c r="P234" s="18">
        <f>IF($A234="","",IF($J234="YAPILDI",0,IF($C234="","",raporTarihi-$C234)))</f>
        <v/>
      </c>
      <c r="Q234" s="18">
        <f>IF($A234="","",IF($P234="","",IF($P234&lt;=mbk_kovaEsik1,"0-7",IF($P234&lt;=mbk_kovaEsik2,"8-30",IF($P234&lt;=mbk_kovaEsik3,"31-60","60+")))))</f>
        <v/>
      </c>
      <c r="R234" s="18">
        <f>IF($A234="","",IF($B234="","YETİM",IF(COUNTIF(tblMakineler[MakineId],$B234)=0,"YETİM","")))</f>
        <v/>
      </c>
      <c r="S234" s="18">
        <f>IF(OR($A234="",$I234=""),"",IF(OR($I234&amp;"|"&amp;$J234="",COUNTIF(ListeIzinliGecis,$I234&amp;"|"&amp;$J234)&gt;0),"","GEÇERSİZ GEÇİŞ"))</f>
        <v/>
      </c>
      <c r="T234" s="18">
        <f>IF($A234="","",IF(OR($E234="",$F234=""),"",IF(ABS($F234-$E234)&gt;zincirTolerans,"ZİNCİR KIRIK","OK")))</f>
        <v/>
      </c>
      <c r="U234" s="18">
        <f>IF($A234="","",1)</f>
        <v/>
      </c>
      <c r="V234" s="18">
        <f>IF($A234="","",$F234*$N234*mbk_durusKatsayi)</f>
        <v/>
      </c>
    </row>
    <row r="235">
      <c r="A235" s="15" t="n"/>
      <c r="B235" s="15" t="n"/>
      <c r="C235" s="64" t="n"/>
      <c r="D235" s="64" t="n"/>
      <c r="E235" s="17" t="n"/>
      <c r="F235" s="17" t="n"/>
      <c r="G235" s="17" t="n"/>
      <c r="H235" s="15" t="n"/>
      <c r="I235" s="15" t="n"/>
      <c r="J235" s="15" t="n"/>
      <c r="K235" s="15" t="n"/>
      <c r="L235" s="15" t="n"/>
      <c r="M235" s="15" t="n"/>
      <c r="N235" s="16" t="n"/>
      <c r="O235" s="18">
        <f>IF($A235="","",$F235)</f>
        <v/>
      </c>
      <c r="P235" s="18">
        <f>IF($A235="","",IF($J235="YAPILDI",0,IF($C235="","",raporTarihi-$C235)))</f>
        <v/>
      </c>
      <c r="Q235" s="18">
        <f>IF($A235="","",IF($P235="","",IF($P235&lt;=mbk_kovaEsik1,"0-7",IF($P235&lt;=mbk_kovaEsik2,"8-30",IF($P235&lt;=mbk_kovaEsik3,"31-60","60+")))))</f>
        <v/>
      </c>
      <c r="R235" s="18">
        <f>IF($A235="","",IF($B235="","YETİM",IF(COUNTIF(tblMakineler[MakineId],$B235)=0,"YETİM","")))</f>
        <v/>
      </c>
      <c r="S235" s="18">
        <f>IF(OR($A235="",$I235=""),"",IF(OR($I235&amp;"|"&amp;$J235="",COUNTIF(ListeIzinliGecis,$I235&amp;"|"&amp;$J235)&gt;0),"","GEÇERSİZ GEÇİŞ"))</f>
        <v/>
      </c>
      <c r="T235" s="18">
        <f>IF($A235="","",IF(OR($E235="",$F235=""),"",IF(ABS($F235-$E235)&gt;zincirTolerans,"ZİNCİR KIRIK","OK")))</f>
        <v/>
      </c>
      <c r="U235" s="18">
        <f>IF($A235="","",1)</f>
        <v/>
      </c>
      <c r="V235" s="18">
        <f>IF($A235="","",$F235*$N235*mbk_durusKatsayi)</f>
        <v/>
      </c>
    </row>
    <row r="236">
      <c r="A236" s="15" t="n"/>
      <c r="B236" s="15" t="n"/>
      <c r="C236" s="64" t="n"/>
      <c r="D236" s="64" t="n"/>
      <c r="E236" s="17" t="n"/>
      <c r="F236" s="17" t="n"/>
      <c r="G236" s="17" t="n"/>
      <c r="H236" s="15" t="n"/>
      <c r="I236" s="15" t="n"/>
      <c r="J236" s="15" t="n"/>
      <c r="K236" s="15" t="n"/>
      <c r="L236" s="15" t="n"/>
      <c r="M236" s="15" t="n"/>
      <c r="N236" s="16" t="n"/>
      <c r="O236" s="18">
        <f>IF($A236="","",$F236)</f>
        <v/>
      </c>
      <c r="P236" s="18">
        <f>IF($A236="","",IF($J236="YAPILDI",0,IF($C236="","",raporTarihi-$C236)))</f>
        <v/>
      </c>
      <c r="Q236" s="18">
        <f>IF($A236="","",IF($P236="","",IF($P236&lt;=mbk_kovaEsik1,"0-7",IF($P236&lt;=mbk_kovaEsik2,"8-30",IF($P236&lt;=mbk_kovaEsik3,"31-60","60+")))))</f>
        <v/>
      </c>
      <c r="R236" s="18">
        <f>IF($A236="","",IF($B236="","YETİM",IF(COUNTIF(tblMakineler[MakineId],$B236)=0,"YETİM","")))</f>
        <v/>
      </c>
      <c r="S236" s="18">
        <f>IF(OR($A236="",$I236=""),"",IF(OR($I236&amp;"|"&amp;$J236="",COUNTIF(ListeIzinliGecis,$I236&amp;"|"&amp;$J236)&gt;0),"","GEÇERSİZ GEÇİŞ"))</f>
        <v/>
      </c>
      <c r="T236" s="18">
        <f>IF($A236="","",IF(OR($E236="",$F236=""),"",IF(ABS($F236-$E236)&gt;zincirTolerans,"ZİNCİR KIRIK","OK")))</f>
        <v/>
      </c>
      <c r="U236" s="18">
        <f>IF($A236="","",1)</f>
        <v/>
      </c>
      <c r="V236" s="18">
        <f>IF($A236="","",$F236*$N236*mbk_durusKatsayi)</f>
        <v/>
      </c>
    </row>
    <row r="237">
      <c r="A237" s="15" t="n"/>
      <c r="B237" s="15" t="n"/>
      <c r="C237" s="64" t="n"/>
      <c r="D237" s="64" t="n"/>
      <c r="E237" s="17" t="n"/>
      <c r="F237" s="17" t="n"/>
      <c r="G237" s="17" t="n"/>
      <c r="H237" s="15" t="n"/>
      <c r="I237" s="15" t="n"/>
      <c r="J237" s="15" t="n"/>
      <c r="K237" s="15" t="n"/>
      <c r="L237" s="15" t="n"/>
      <c r="M237" s="15" t="n"/>
      <c r="N237" s="16" t="n"/>
      <c r="O237" s="18">
        <f>IF($A237="","",$F237)</f>
        <v/>
      </c>
      <c r="P237" s="18">
        <f>IF($A237="","",IF($J237="YAPILDI",0,IF($C237="","",raporTarihi-$C237)))</f>
        <v/>
      </c>
      <c r="Q237" s="18">
        <f>IF($A237="","",IF($P237="","",IF($P237&lt;=mbk_kovaEsik1,"0-7",IF($P237&lt;=mbk_kovaEsik2,"8-30",IF($P237&lt;=mbk_kovaEsik3,"31-60","60+")))))</f>
        <v/>
      </c>
      <c r="R237" s="18">
        <f>IF($A237="","",IF($B237="","YETİM",IF(COUNTIF(tblMakineler[MakineId],$B237)=0,"YETİM","")))</f>
        <v/>
      </c>
      <c r="S237" s="18">
        <f>IF(OR($A237="",$I237=""),"",IF(OR($I237&amp;"|"&amp;$J237="",COUNTIF(ListeIzinliGecis,$I237&amp;"|"&amp;$J237)&gt;0),"","GEÇERSİZ GEÇİŞ"))</f>
        <v/>
      </c>
      <c r="T237" s="18">
        <f>IF($A237="","",IF(OR($E237="",$F237=""),"",IF(ABS($F237-$E237)&gt;zincirTolerans,"ZİNCİR KIRIK","OK")))</f>
        <v/>
      </c>
      <c r="U237" s="18">
        <f>IF($A237="","",1)</f>
        <v/>
      </c>
      <c r="V237" s="18">
        <f>IF($A237="","",$F237*$N237*mbk_durusKatsayi)</f>
        <v/>
      </c>
    </row>
    <row r="238">
      <c r="A238" s="15" t="n"/>
      <c r="B238" s="15" t="n"/>
      <c r="C238" s="64" t="n"/>
      <c r="D238" s="64" t="n"/>
      <c r="E238" s="17" t="n"/>
      <c r="F238" s="17" t="n"/>
      <c r="G238" s="17" t="n"/>
      <c r="H238" s="15" t="n"/>
      <c r="I238" s="15" t="n"/>
      <c r="J238" s="15" t="n"/>
      <c r="K238" s="15" t="n"/>
      <c r="L238" s="15" t="n"/>
      <c r="M238" s="15" t="n"/>
      <c r="N238" s="16" t="n"/>
      <c r="O238" s="18">
        <f>IF($A238="","",$F238)</f>
        <v/>
      </c>
      <c r="P238" s="18">
        <f>IF($A238="","",IF($J238="YAPILDI",0,IF($C238="","",raporTarihi-$C238)))</f>
        <v/>
      </c>
      <c r="Q238" s="18">
        <f>IF($A238="","",IF($P238="","",IF($P238&lt;=mbk_kovaEsik1,"0-7",IF($P238&lt;=mbk_kovaEsik2,"8-30",IF($P238&lt;=mbk_kovaEsik3,"31-60","60+")))))</f>
        <v/>
      </c>
      <c r="R238" s="18">
        <f>IF($A238="","",IF($B238="","YETİM",IF(COUNTIF(tblMakineler[MakineId],$B238)=0,"YETİM","")))</f>
        <v/>
      </c>
      <c r="S238" s="18">
        <f>IF(OR($A238="",$I238=""),"",IF(OR($I238&amp;"|"&amp;$J238="",COUNTIF(ListeIzinliGecis,$I238&amp;"|"&amp;$J238)&gt;0),"","GEÇERSİZ GEÇİŞ"))</f>
        <v/>
      </c>
      <c r="T238" s="18">
        <f>IF($A238="","",IF(OR($E238="",$F238=""),"",IF(ABS($F238-$E238)&gt;zincirTolerans,"ZİNCİR KIRIK","OK")))</f>
        <v/>
      </c>
      <c r="U238" s="18">
        <f>IF($A238="","",1)</f>
        <v/>
      </c>
      <c r="V238" s="18">
        <f>IF($A238="","",$F238*$N238*mbk_durusKatsayi)</f>
        <v/>
      </c>
    </row>
    <row r="239">
      <c r="A239" s="15" t="n"/>
      <c r="B239" s="15" t="n"/>
      <c r="C239" s="64" t="n"/>
      <c r="D239" s="64" t="n"/>
      <c r="E239" s="17" t="n"/>
      <c r="F239" s="17" t="n"/>
      <c r="G239" s="17" t="n"/>
      <c r="H239" s="15" t="n"/>
      <c r="I239" s="15" t="n"/>
      <c r="J239" s="15" t="n"/>
      <c r="K239" s="15" t="n"/>
      <c r="L239" s="15" t="n"/>
      <c r="M239" s="15" t="n"/>
      <c r="N239" s="16" t="n"/>
      <c r="O239" s="18">
        <f>IF($A239="","",$F239)</f>
        <v/>
      </c>
      <c r="P239" s="18">
        <f>IF($A239="","",IF($J239="YAPILDI",0,IF($C239="","",raporTarihi-$C239)))</f>
        <v/>
      </c>
      <c r="Q239" s="18">
        <f>IF($A239="","",IF($P239="","",IF($P239&lt;=mbk_kovaEsik1,"0-7",IF($P239&lt;=mbk_kovaEsik2,"8-30",IF($P239&lt;=mbk_kovaEsik3,"31-60","60+")))))</f>
        <v/>
      </c>
      <c r="R239" s="18">
        <f>IF($A239="","",IF($B239="","YETİM",IF(COUNTIF(tblMakineler[MakineId],$B239)=0,"YETİM","")))</f>
        <v/>
      </c>
      <c r="S239" s="18">
        <f>IF(OR($A239="",$I239=""),"",IF(OR($I239&amp;"|"&amp;$J239="",COUNTIF(ListeIzinliGecis,$I239&amp;"|"&amp;$J239)&gt;0),"","GEÇERSİZ GEÇİŞ"))</f>
        <v/>
      </c>
      <c r="T239" s="18">
        <f>IF($A239="","",IF(OR($E239="",$F239=""),"",IF(ABS($F239-$E239)&gt;zincirTolerans,"ZİNCİR KIRIK","OK")))</f>
        <v/>
      </c>
      <c r="U239" s="18">
        <f>IF($A239="","",1)</f>
        <v/>
      </c>
      <c r="V239" s="18">
        <f>IF($A239="","",$F239*$N239*mbk_durusKatsayi)</f>
        <v/>
      </c>
    </row>
    <row r="240">
      <c r="A240" s="15" t="n"/>
      <c r="B240" s="15" t="n"/>
      <c r="C240" s="64" t="n"/>
      <c r="D240" s="64" t="n"/>
      <c r="E240" s="17" t="n"/>
      <c r="F240" s="17" t="n"/>
      <c r="G240" s="17" t="n"/>
      <c r="H240" s="15" t="n"/>
      <c r="I240" s="15" t="n"/>
      <c r="J240" s="15" t="n"/>
      <c r="K240" s="15" t="n"/>
      <c r="L240" s="15" t="n"/>
      <c r="M240" s="15" t="n"/>
      <c r="N240" s="16" t="n"/>
      <c r="O240" s="18">
        <f>IF($A240="","",$F240)</f>
        <v/>
      </c>
      <c r="P240" s="18">
        <f>IF($A240="","",IF($J240="YAPILDI",0,IF($C240="","",raporTarihi-$C240)))</f>
        <v/>
      </c>
      <c r="Q240" s="18">
        <f>IF($A240="","",IF($P240="","",IF($P240&lt;=mbk_kovaEsik1,"0-7",IF($P240&lt;=mbk_kovaEsik2,"8-30",IF($P240&lt;=mbk_kovaEsik3,"31-60","60+")))))</f>
        <v/>
      </c>
      <c r="R240" s="18">
        <f>IF($A240="","",IF($B240="","YETİM",IF(COUNTIF(tblMakineler[MakineId],$B240)=0,"YETİM","")))</f>
        <v/>
      </c>
      <c r="S240" s="18">
        <f>IF(OR($A240="",$I240=""),"",IF(OR($I240&amp;"|"&amp;$J240="",COUNTIF(ListeIzinliGecis,$I240&amp;"|"&amp;$J240)&gt;0),"","GEÇERSİZ GEÇİŞ"))</f>
        <v/>
      </c>
      <c r="T240" s="18">
        <f>IF($A240="","",IF(OR($E240="",$F240=""),"",IF(ABS($F240-$E240)&gt;zincirTolerans,"ZİNCİR KIRIK","OK")))</f>
        <v/>
      </c>
      <c r="U240" s="18">
        <f>IF($A240="","",1)</f>
        <v/>
      </c>
      <c r="V240" s="18">
        <f>IF($A240="","",$F240*$N240*mbk_durusKatsayi)</f>
        <v/>
      </c>
    </row>
    <row r="241">
      <c r="A241" s="15" t="n"/>
      <c r="B241" s="15" t="n"/>
      <c r="C241" s="64" t="n"/>
      <c r="D241" s="64" t="n"/>
      <c r="E241" s="17" t="n"/>
      <c r="F241" s="17" t="n"/>
      <c r="G241" s="17" t="n"/>
      <c r="H241" s="15" t="n"/>
      <c r="I241" s="15" t="n"/>
      <c r="J241" s="15" t="n"/>
      <c r="K241" s="15" t="n"/>
      <c r="L241" s="15" t="n"/>
      <c r="M241" s="15" t="n"/>
      <c r="N241" s="16" t="n"/>
      <c r="O241" s="18">
        <f>IF($A241="","",$F241)</f>
        <v/>
      </c>
      <c r="P241" s="18">
        <f>IF($A241="","",IF($J241="YAPILDI",0,IF($C241="","",raporTarihi-$C241)))</f>
        <v/>
      </c>
      <c r="Q241" s="18">
        <f>IF($A241="","",IF($P241="","",IF($P241&lt;=mbk_kovaEsik1,"0-7",IF($P241&lt;=mbk_kovaEsik2,"8-30",IF($P241&lt;=mbk_kovaEsik3,"31-60","60+")))))</f>
        <v/>
      </c>
      <c r="R241" s="18">
        <f>IF($A241="","",IF($B241="","YETİM",IF(COUNTIF(tblMakineler[MakineId],$B241)=0,"YETİM","")))</f>
        <v/>
      </c>
      <c r="S241" s="18">
        <f>IF(OR($A241="",$I241=""),"",IF(OR($I241&amp;"|"&amp;$J241="",COUNTIF(ListeIzinliGecis,$I241&amp;"|"&amp;$J241)&gt;0),"","GEÇERSİZ GEÇİŞ"))</f>
        <v/>
      </c>
      <c r="T241" s="18">
        <f>IF($A241="","",IF(OR($E241="",$F241=""),"",IF(ABS($F241-$E241)&gt;zincirTolerans,"ZİNCİR KIRIK","OK")))</f>
        <v/>
      </c>
      <c r="U241" s="18">
        <f>IF($A241="","",1)</f>
        <v/>
      </c>
      <c r="V241" s="18">
        <f>IF($A241="","",$F241*$N241*mbk_durusKatsayi)</f>
        <v/>
      </c>
    </row>
    <row r="242">
      <c r="A242" s="15" t="n"/>
      <c r="B242" s="15" t="n"/>
      <c r="C242" s="64" t="n"/>
      <c r="D242" s="64" t="n"/>
      <c r="E242" s="17" t="n"/>
      <c r="F242" s="17" t="n"/>
      <c r="G242" s="17" t="n"/>
      <c r="H242" s="15" t="n"/>
      <c r="I242" s="15" t="n"/>
      <c r="J242" s="15" t="n"/>
      <c r="K242" s="15" t="n"/>
      <c r="L242" s="15" t="n"/>
      <c r="M242" s="15" t="n"/>
      <c r="N242" s="16" t="n"/>
      <c r="O242" s="18">
        <f>IF($A242="","",$F242)</f>
        <v/>
      </c>
      <c r="P242" s="18">
        <f>IF($A242="","",IF($J242="YAPILDI",0,IF($C242="","",raporTarihi-$C242)))</f>
        <v/>
      </c>
      <c r="Q242" s="18">
        <f>IF($A242="","",IF($P242="","",IF($P242&lt;=mbk_kovaEsik1,"0-7",IF($P242&lt;=mbk_kovaEsik2,"8-30",IF($P242&lt;=mbk_kovaEsik3,"31-60","60+")))))</f>
        <v/>
      </c>
      <c r="R242" s="18">
        <f>IF($A242="","",IF($B242="","YETİM",IF(COUNTIF(tblMakineler[MakineId],$B242)=0,"YETİM","")))</f>
        <v/>
      </c>
      <c r="S242" s="18">
        <f>IF(OR($A242="",$I242=""),"",IF(OR($I242&amp;"|"&amp;$J242="",COUNTIF(ListeIzinliGecis,$I242&amp;"|"&amp;$J242)&gt;0),"","GEÇERSİZ GEÇİŞ"))</f>
        <v/>
      </c>
      <c r="T242" s="18">
        <f>IF($A242="","",IF(OR($E242="",$F242=""),"",IF(ABS($F242-$E242)&gt;zincirTolerans,"ZİNCİR KIRIK","OK")))</f>
        <v/>
      </c>
      <c r="U242" s="18">
        <f>IF($A242="","",1)</f>
        <v/>
      </c>
      <c r="V242" s="18">
        <f>IF($A242="","",$F242*$N242*mbk_durusKatsayi)</f>
        <v/>
      </c>
    </row>
    <row r="243">
      <c r="A243" s="15" t="n"/>
      <c r="B243" s="15" t="n"/>
      <c r="C243" s="64" t="n"/>
      <c r="D243" s="64" t="n"/>
      <c r="E243" s="17" t="n"/>
      <c r="F243" s="17" t="n"/>
      <c r="G243" s="17" t="n"/>
      <c r="H243" s="15" t="n"/>
      <c r="I243" s="15" t="n"/>
      <c r="J243" s="15" t="n"/>
      <c r="K243" s="15" t="n"/>
      <c r="L243" s="15" t="n"/>
      <c r="M243" s="15" t="n"/>
      <c r="N243" s="16" t="n"/>
      <c r="O243" s="18">
        <f>IF($A243="","",$F243)</f>
        <v/>
      </c>
      <c r="P243" s="18">
        <f>IF($A243="","",IF($J243="YAPILDI",0,IF($C243="","",raporTarihi-$C243)))</f>
        <v/>
      </c>
      <c r="Q243" s="18">
        <f>IF($A243="","",IF($P243="","",IF($P243&lt;=mbk_kovaEsik1,"0-7",IF($P243&lt;=mbk_kovaEsik2,"8-30",IF($P243&lt;=mbk_kovaEsik3,"31-60","60+")))))</f>
        <v/>
      </c>
      <c r="R243" s="18">
        <f>IF($A243="","",IF($B243="","YETİM",IF(COUNTIF(tblMakineler[MakineId],$B243)=0,"YETİM","")))</f>
        <v/>
      </c>
      <c r="S243" s="18">
        <f>IF(OR($A243="",$I243=""),"",IF(OR($I243&amp;"|"&amp;$J243="",COUNTIF(ListeIzinliGecis,$I243&amp;"|"&amp;$J243)&gt;0),"","GEÇERSİZ GEÇİŞ"))</f>
        <v/>
      </c>
      <c r="T243" s="18">
        <f>IF($A243="","",IF(OR($E243="",$F243=""),"",IF(ABS($F243-$E243)&gt;zincirTolerans,"ZİNCİR KIRIK","OK")))</f>
        <v/>
      </c>
      <c r="U243" s="18">
        <f>IF($A243="","",1)</f>
        <v/>
      </c>
      <c r="V243" s="18">
        <f>IF($A243="","",$F243*$N243*mbk_durusKatsayi)</f>
        <v/>
      </c>
    </row>
    <row r="244">
      <c r="A244" s="15" t="n"/>
      <c r="B244" s="15" t="n"/>
      <c r="C244" s="64" t="n"/>
      <c r="D244" s="64" t="n"/>
      <c r="E244" s="17" t="n"/>
      <c r="F244" s="17" t="n"/>
      <c r="G244" s="17" t="n"/>
      <c r="H244" s="15" t="n"/>
      <c r="I244" s="15" t="n"/>
      <c r="J244" s="15" t="n"/>
      <c r="K244" s="15" t="n"/>
      <c r="L244" s="15" t="n"/>
      <c r="M244" s="15" t="n"/>
      <c r="N244" s="16" t="n"/>
      <c r="O244" s="18">
        <f>IF($A244="","",$F244)</f>
        <v/>
      </c>
      <c r="P244" s="18">
        <f>IF($A244="","",IF($J244="YAPILDI",0,IF($C244="","",raporTarihi-$C244)))</f>
        <v/>
      </c>
      <c r="Q244" s="18">
        <f>IF($A244="","",IF($P244="","",IF($P244&lt;=mbk_kovaEsik1,"0-7",IF($P244&lt;=mbk_kovaEsik2,"8-30",IF($P244&lt;=mbk_kovaEsik3,"31-60","60+")))))</f>
        <v/>
      </c>
      <c r="R244" s="18">
        <f>IF($A244="","",IF($B244="","YETİM",IF(COUNTIF(tblMakineler[MakineId],$B244)=0,"YETİM","")))</f>
        <v/>
      </c>
      <c r="S244" s="18">
        <f>IF(OR($A244="",$I244=""),"",IF(OR($I244&amp;"|"&amp;$J244="",COUNTIF(ListeIzinliGecis,$I244&amp;"|"&amp;$J244)&gt;0),"","GEÇERSİZ GEÇİŞ"))</f>
        <v/>
      </c>
      <c r="T244" s="18">
        <f>IF($A244="","",IF(OR($E244="",$F244=""),"",IF(ABS($F244-$E244)&gt;zincirTolerans,"ZİNCİR KIRIK","OK")))</f>
        <v/>
      </c>
      <c r="U244" s="18">
        <f>IF($A244="","",1)</f>
        <v/>
      </c>
      <c r="V244" s="18">
        <f>IF($A244="","",$F244*$N244*mbk_durusKatsayi)</f>
        <v/>
      </c>
    </row>
    <row r="245">
      <c r="A245" s="15" t="n"/>
      <c r="B245" s="15" t="n"/>
      <c r="C245" s="64" t="n"/>
      <c r="D245" s="64" t="n"/>
      <c r="E245" s="17" t="n"/>
      <c r="F245" s="17" t="n"/>
      <c r="G245" s="17" t="n"/>
      <c r="H245" s="15" t="n"/>
      <c r="I245" s="15" t="n"/>
      <c r="J245" s="15" t="n"/>
      <c r="K245" s="15" t="n"/>
      <c r="L245" s="15" t="n"/>
      <c r="M245" s="15" t="n"/>
      <c r="N245" s="16" t="n"/>
      <c r="O245" s="18">
        <f>IF($A245="","",$F245)</f>
        <v/>
      </c>
      <c r="P245" s="18">
        <f>IF($A245="","",IF($J245="YAPILDI",0,IF($C245="","",raporTarihi-$C245)))</f>
        <v/>
      </c>
      <c r="Q245" s="18">
        <f>IF($A245="","",IF($P245="","",IF($P245&lt;=mbk_kovaEsik1,"0-7",IF($P245&lt;=mbk_kovaEsik2,"8-30",IF($P245&lt;=mbk_kovaEsik3,"31-60","60+")))))</f>
        <v/>
      </c>
      <c r="R245" s="18">
        <f>IF($A245="","",IF($B245="","YETİM",IF(COUNTIF(tblMakineler[MakineId],$B245)=0,"YETİM","")))</f>
        <v/>
      </c>
      <c r="S245" s="18">
        <f>IF(OR($A245="",$I245=""),"",IF(OR($I245&amp;"|"&amp;$J245="",COUNTIF(ListeIzinliGecis,$I245&amp;"|"&amp;$J245)&gt;0),"","GEÇERSİZ GEÇİŞ"))</f>
        <v/>
      </c>
      <c r="T245" s="18">
        <f>IF($A245="","",IF(OR($E245="",$F245=""),"",IF(ABS($F245-$E245)&gt;zincirTolerans,"ZİNCİR KIRIK","OK")))</f>
        <v/>
      </c>
      <c r="U245" s="18">
        <f>IF($A245="","",1)</f>
        <v/>
      </c>
      <c r="V245" s="18">
        <f>IF($A245="","",$F245*$N245*mbk_durusKatsayi)</f>
        <v/>
      </c>
    </row>
    <row r="246">
      <c r="A246" s="15" t="n"/>
      <c r="B246" s="15" t="n"/>
      <c r="C246" s="64" t="n"/>
      <c r="D246" s="64" t="n"/>
      <c r="E246" s="17" t="n"/>
      <c r="F246" s="17" t="n"/>
      <c r="G246" s="17" t="n"/>
      <c r="H246" s="15" t="n"/>
      <c r="I246" s="15" t="n"/>
      <c r="J246" s="15" t="n"/>
      <c r="K246" s="15" t="n"/>
      <c r="L246" s="15" t="n"/>
      <c r="M246" s="15" t="n"/>
      <c r="N246" s="16" t="n"/>
      <c r="O246" s="18">
        <f>IF($A246="","",$F246)</f>
        <v/>
      </c>
      <c r="P246" s="18">
        <f>IF($A246="","",IF($J246="YAPILDI",0,IF($C246="","",raporTarihi-$C246)))</f>
        <v/>
      </c>
      <c r="Q246" s="18">
        <f>IF($A246="","",IF($P246="","",IF($P246&lt;=mbk_kovaEsik1,"0-7",IF($P246&lt;=mbk_kovaEsik2,"8-30",IF($P246&lt;=mbk_kovaEsik3,"31-60","60+")))))</f>
        <v/>
      </c>
      <c r="R246" s="18">
        <f>IF($A246="","",IF($B246="","YETİM",IF(COUNTIF(tblMakineler[MakineId],$B246)=0,"YETİM","")))</f>
        <v/>
      </c>
      <c r="S246" s="18">
        <f>IF(OR($A246="",$I246=""),"",IF(OR($I246&amp;"|"&amp;$J246="",COUNTIF(ListeIzinliGecis,$I246&amp;"|"&amp;$J246)&gt;0),"","GEÇERSİZ GEÇİŞ"))</f>
        <v/>
      </c>
      <c r="T246" s="18">
        <f>IF($A246="","",IF(OR($E246="",$F246=""),"",IF(ABS($F246-$E246)&gt;zincirTolerans,"ZİNCİR KIRIK","OK")))</f>
        <v/>
      </c>
      <c r="U246" s="18">
        <f>IF($A246="","",1)</f>
        <v/>
      </c>
      <c r="V246" s="18">
        <f>IF($A246="","",$F246*$N246*mbk_durusKatsayi)</f>
        <v/>
      </c>
    </row>
    <row r="247">
      <c r="A247" s="15" t="n"/>
      <c r="B247" s="15" t="n"/>
      <c r="C247" s="64" t="n"/>
      <c r="D247" s="64" t="n"/>
      <c r="E247" s="17" t="n"/>
      <c r="F247" s="17" t="n"/>
      <c r="G247" s="17" t="n"/>
      <c r="H247" s="15" t="n"/>
      <c r="I247" s="15" t="n"/>
      <c r="J247" s="15" t="n"/>
      <c r="K247" s="15" t="n"/>
      <c r="L247" s="15" t="n"/>
      <c r="M247" s="15" t="n"/>
      <c r="N247" s="16" t="n"/>
      <c r="O247" s="18">
        <f>IF($A247="","",$F247)</f>
        <v/>
      </c>
      <c r="P247" s="18">
        <f>IF($A247="","",IF($J247="YAPILDI",0,IF($C247="","",raporTarihi-$C247)))</f>
        <v/>
      </c>
      <c r="Q247" s="18">
        <f>IF($A247="","",IF($P247="","",IF($P247&lt;=mbk_kovaEsik1,"0-7",IF($P247&lt;=mbk_kovaEsik2,"8-30",IF($P247&lt;=mbk_kovaEsik3,"31-60","60+")))))</f>
        <v/>
      </c>
      <c r="R247" s="18">
        <f>IF($A247="","",IF($B247="","YETİM",IF(COUNTIF(tblMakineler[MakineId],$B247)=0,"YETİM","")))</f>
        <v/>
      </c>
      <c r="S247" s="18">
        <f>IF(OR($A247="",$I247=""),"",IF(OR($I247&amp;"|"&amp;$J247="",COUNTIF(ListeIzinliGecis,$I247&amp;"|"&amp;$J247)&gt;0),"","GEÇERSİZ GEÇİŞ"))</f>
        <v/>
      </c>
      <c r="T247" s="18">
        <f>IF($A247="","",IF(OR($E247="",$F247=""),"",IF(ABS($F247-$E247)&gt;zincirTolerans,"ZİNCİR KIRIK","OK")))</f>
        <v/>
      </c>
      <c r="U247" s="18">
        <f>IF($A247="","",1)</f>
        <v/>
      </c>
      <c r="V247" s="18">
        <f>IF($A247="","",$F247*$N247*mbk_durusKatsayi)</f>
        <v/>
      </c>
    </row>
    <row r="248">
      <c r="A248" s="15" t="n"/>
      <c r="B248" s="15" t="n"/>
      <c r="C248" s="64" t="n"/>
      <c r="D248" s="64" t="n"/>
      <c r="E248" s="17" t="n"/>
      <c r="F248" s="17" t="n"/>
      <c r="G248" s="17" t="n"/>
      <c r="H248" s="15" t="n"/>
      <c r="I248" s="15" t="n"/>
      <c r="J248" s="15" t="n"/>
      <c r="K248" s="15" t="n"/>
      <c r="L248" s="15" t="n"/>
      <c r="M248" s="15" t="n"/>
      <c r="N248" s="16" t="n"/>
      <c r="O248" s="18">
        <f>IF($A248="","",$F248)</f>
        <v/>
      </c>
      <c r="P248" s="18">
        <f>IF($A248="","",IF($J248="YAPILDI",0,IF($C248="","",raporTarihi-$C248)))</f>
        <v/>
      </c>
      <c r="Q248" s="18">
        <f>IF($A248="","",IF($P248="","",IF($P248&lt;=mbk_kovaEsik1,"0-7",IF($P248&lt;=mbk_kovaEsik2,"8-30",IF($P248&lt;=mbk_kovaEsik3,"31-60","60+")))))</f>
        <v/>
      </c>
      <c r="R248" s="18">
        <f>IF($A248="","",IF($B248="","YETİM",IF(COUNTIF(tblMakineler[MakineId],$B248)=0,"YETİM","")))</f>
        <v/>
      </c>
      <c r="S248" s="18">
        <f>IF(OR($A248="",$I248=""),"",IF(OR($I248&amp;"|"&amp;$J248="",COUNTIF(ListeIzinliGecis,$I248&amp;"|"&amp;$J248)&gt;0),"","GEÇERSİZ GEÇİŞ"))</f>
        <v/>
      </c>
      <c r="T248" s="18">
        <f>IF($A248="","",IF(OR($E248="",$F248=""),"",IF(ABS($F248-$E248)&gt;zincirTolerans,"ZİNCİR KIRIK","OK")))</f>
        <v/>
      </c>
      <c r="U248" s="18">
        <f>IF($A248="","",1)</f>
        <v/>
      </c>
      <c r="V248" s="18">
        <f>IF($A248="","",$F248*$N248*mbk_durusKatsayi)</f>
        <v/>
      </c>
    </row>
    <row r="249">
      <c r="A249" s="15" t="n"/>
      <c r="B249" s="15" t="n"/>
      <c r="C249" s="64" t="n"/>
      <c r="D249" s="64" t="n"/>
      <c r="E249" s="17" t="n"/>
      <c r="F249" s="17" t="n"/>
      <c r="G249" s="17" t="n"/>
      <c r="H249" s="15" t="n"/>
      <c r="I249" s="15" t="n"/>
      <c r="J249" s="15" t="n"/>
      <c r="K249" s="15" t="n"/>
      <c r="L249" s="15" t="n"/>
      <c r="M249" s="15" t="n"/>
      <c r="N249" s="16" t="n"/>
      <c r="O249" s="18">
        <f>IF($A249="","",$F249)</f>
        <v/>
      </c>
      <c r="P249" s="18">
        <f>IF($A249="","",IF($J249="YAPILDI",0,IF($C249="","",raporTarihi-$C249)))</f>
        <v/>
      </c>
      <c r="Q249" s="18">
        <f>IF($A249="","",IF($P249="","",IF($P249&lt;=mbk_kovaEsik1,"0-7",IF($P249&lt;=mbk_kovaEsik2,"8-30",IF($P249&lt;=mbk_kovaEsik3,"31-60","60+")))))</f>
        <v/>
      </c>
      <c r="R249" s="18">
        <f>IF($A249="","",IF($B249="","YETİM",IF(COUNTIF(tblMakineler[MakineId],$B249)=0,"YETİM","")))</f>
        <v/>
      </c>
      <c r="S249" s="18">
        <f>IF(OR($A249="",$I249=""),"",IF(OR($I249&amp;"|"&amp;$J249="",COUNTIF(ListeIzinliGecis,$I249&amp;"|"&amp;$J249)&gt;0),"","GEÇERSİZ GEÇİŞ"))</f>
        <v/>
      </c>
      <c r="T249" s="18">
        <f>IF($A249="","",IF(OR($E249="",$F249=""),"",IF(ABS($F249-$E249)&gt;zincirTolerans,"ZİNCİR KIRIK","OK")))</f>
        <v/>
      </c>
      <c r="U249" s="18">
        <f>IF($A249="","",1)</f>
        <v/>
      </c>
      <c r="V249" s="18">
        <f>IF($A249="","",$F249*$N249*mbk_durusKatsayi)</f>
        <v/>
      </c>
    </row>
    <row r="250">
      <c r="A250" s="15" t="n"/>
      <c r="B250" s="15" t="n"/>
      <c r="C250" s="64" t="n"/>
      <c r="D250" s="64" t="n"/>
      <c r="E250" s="17" t="n"/>
      <c r="F250" s="17" t="n"/>
      <c r="G250" s="17" t="n"/>
      <c r="H250" s="15" t="n"/>
      <c r="I250" s="15" t="n"/>
      <c r="J250" s="15" t="n"/>
      <c r="K250" s="15" t="n"/>
      <c r="L250" s="15" t="n"/>
      <c r="M250" s="15" t="n"/>
      <c r="N250" s="16" t="n"/>
      <c r="O250" s="18">
        <f>IF($A250="","",$F250)</f>
        <v/>
      </c>
      <c r="P250" s="18">
        <f>IF($A250="","",IF($J250="YAPILDI",0,IF($C250="","",raporTarihi-$C250)))</f>
        <v/>
      </c>
      <c r="Q250" s="18">
        <f>IF($A250="","",IF($P250="","",IF($P250&lt;=mbk_kovaEsik1,"0-7",IF($P250&lt;=mbk_kovaEsik2,"8-30",IF($P250&lt;=mbk_kovaEsik3,"31-60","60+")))))</f>
        <v/>
      </c>
      <c r="R250" s="18">
        <f>IF($A250="","",IF($B250="","YETİM",IF(COUNTIF(tblMakineler[MakineId],$B250)=0,"YETİM","")))</f>
        <v/>
      </c>
      <c r="S250" s="18">
        <f>IF(OR($A250="",$I250=""),"",IF(OR($I250&amp;"|"&amp;$J250="",COUNTIF(ListeIzinliGecis,$I250&amp;"|"&amp;$J250)&gt;0),"","GEÇERSİZ GEÇİŞ"))</f>
        <v/>
      </c>
      <c r="T250" s="18">
        <f>IF($A250="","",IF(OR($E250="",$F250=""),"",IF(ABS($F250-$E250)&gt;zincirTolerans,"ZİNCİR KIRIK","OK")))</f>
        <v/>
      </c>
      <c r="U250" s="18">
        <f>IF($A250="","",1)</f>
        <v/>
      </c>
      <c r="V250" s="18">
        <f>IF($A250="","",$F250*$N250*mbk_durusKatsayi)</f>
        <v/>
      </c>
    </row>
    <row r="251">
      <c r="A251" s="15" t="n"/>
      <c r="B251" s="15" t="n"/>
      <c r="C251" s="64" t="n"/>
      <c r="D251" s="64" t="n"/>
      <c r="E251" s="17" t="n"/>
      <c r="F251" s="17" t="n"/>
      <c r="G251" s="17" t="n"/>
      <c r="H251" s="15" t="n"/>
      <c r="I251" s="15" t="n"/>
      <c r="J251" s="15" t="n"/>
      <c r="K251" s="15" t="n"/>
      <c r="L251" s="15" t="n"/>
      <c r="M251" s="15" t="n"/>
      <c r="N251" s="16" t="n"/>
      <c r="O251" s="18">
        <f>IF($A251="","",$F251)</f>
        <v/>
      </c>
      <c r="P251" s="18">
        <f>IF($A251="","",IF($J251="YAPILDI",0,IF($C251="","",raporTarihi-$C251)))</f>
        <v/>
      </c>
      <c r="Q251" s="18">
        <f>IF($A251="","",IF($P251="","",IF($P251&lt;=mbk_kovaEsik1,"0-7",IF($P251&lt;=mbk_kovaEsik2,"8-30",IF($P251&lt;=mbk_kovaEsik3,"31-60","60+")))))</f>
        <v/>
      </c>
      <c r="R251" s="18">
        <f>IF($A251="","",IF($B251="","YETİM",IF(COUNTIF(tblMakineler[MakineId],$B251)=0,"YETİM","")))</f>
        <v/>
      </c>
      <c r="S251" s="18">
        <f>IF(OR($A251="",$I251=""),"",IF(OR($I251&amp;"|"&amp;$J251="",COUNTIF(ListeIzinliGecis,$I251&amp;"|"&amp;$J251)&gt;0),"","GEÇERSİZ GEÇİŞ"))</f>
        <v/>
      </c>
      <c r="T251" s="18">
        <f>IF($A251="","",IF(OR($E251="",$F251=""),"",IF(ABS($F251-$E251)&gt;zincirTolerans,"ZİNCİR KIRIK","OK")))</f>
        <v/>
      </c>
      <c r="U251" s="18">
        <f>IF($A251="","",1)</f>
        <v/>
      </c>
      <c r="V251" s="18">
        <f>IF($A251="","",$F251*$N251*mbk_durusKatsayi)</f>
        <v/>
      </c>
    </row>
    <row r="252">
      <c r="A252" s="15" t="n"/>
      <c r="B252" s="15" t="n"/>
      <c r="C252" s="64" t="n"/>
      <c r="D252" s="64" t="n"/>
      <c r="E252" s="17" t="n"/>
      <c r="F252" s="17" t="n"/>
      <c r="G252" s="17" t="n"/>
      <c r="H252" s="15" t="n"/>
      <c r="I252" s="15" t="n"/>
      <c r="J252" s="15" t="n"/>
      <c r="K252" s="15" t="n"/>
      <c r="L252" s="15" t="n"/>
      <c r="M252" s="15" t="n"/>
      <c r="N252" s="16" t="n"/>
      <c r="O252" s="18">
        <f>IF($A252="","",$F252)</f>
        <v/>
      </c>
      <c r="P252" s="18">
        <f>IF($A252="","",IF($J252="YAPILDI",0,IF($C252="","",raporTarihi-$C252)))</f>
        <v/>
      </c>
      <c r="Q252" s="18">
        <f>IF($A252="","",IF($P252="","",IF($P252&lt;=mbk_kovaEsik1,"0-7",IF($P252&lt;=mbk_kovaEsik2,"8-30",IF($P252&lt;=mbk_kovaEsik3,"31-60","60+")))))</f>
        <v/>
      </c>
      <c r="R252" s="18">
        <f>IF($A252="","",IF($B252="","YETİM",IF(COUNTIF(tblMakineler[MakineId],$B252)=0,"YETİM","")))</f>
        <v/>
      </c>
      <c r="S252" s="18">
        <f>IF(OR($A252="",$I252=""),"",IF(OR($I252&amp;"|"&amp;$J252="",COUNTIF(ListeIzinliGecis,$I252&amp;"|"&amp;$J252)&gt;0),"","GEÇERSİZ GEÇİŞ"))</f>
        <v/>
      </c>
      <c r="T252" s="18">
        <f>IF($A252="","",IF(OR($E252="",$F252=""),"",IF(ABS($F252-$E252)&gt;zincirTolerans,"ZİNCİR KIRIK","OK")))</f>
        <v/>
      </c>
      <c r="U252" s="18">
        <f>IF($A252="","",1)</f>
        <v/>
      </c>
      <c r="V252" s="18">
        <f>IF($A252="","",$F252*$N252*mbk_durusKatsayi)</f>
        <v/>
      </c>
    </row>
    <row r="253">
      <c r="A253" s="15" t="n"/>
      <c r="B253" s="15" t="n"/>
      <c r="C253" s="64" t="n"/>
      <c r="D253" s="64" t="n"/>
      <c r="E253" s="17" t="n"/>
      <c r="F253" s="17" t="n"/>
      <c r="G253" s="17" t="n"/>
      <c r="H253" s="15" t="n"/>
      <c r="I253" s="15" t="n"/>
      <c r="J253" s="15" t="n"/>
      <c r="K253" s="15" t="n"/>
      <c r="L253" s="15" t="n"/>
      <c r="M253" s="15" t="n"/>
      <c r="N253" s="16" t="n"/>
      <c r="O253" s="18">
        <f>IF($A253="","",$F253)</f>
        <v/>
      </c>
      <c r="P253" s="18">
        <f>IF($A253="","",IF($J253="YAPILDI",0,IF($C253="","",raporTarihi-$C253)))</f>
        <v/>
      </c>
      <c r="Q253" s="18">
        <f>IF($A253="","",IF($P253="","",IF($P253&lt;=mbk_kovaEsik1,"0-7",IF($P253&lt;=mbk_kovaEsik2,"8-30",IF($P253&lt;=mbk_kovaEsik3,"31-60","60+")))))</f>
        <v/>
      </c>
      <c r="R253" s="18">
        <f>IF($A253="","",IF($B253="","YETİM",IF(COUNTIF(tblMakineler[MakineId],$B253)=0,"YETİM","")))</f>
        <v/>
      </c>
      <c r="S253" s="18">
        <f>IF(OR($A253="",$I253=""),"",IF(OR($I253&amp;"|"&amp;$J253="",COUNTIF(ListeIzinliGecis,$I253&amp;"|"&amp;$J253)&gt;0),"","GEÇERSİZ GEÇİŞ"))</f>
        <v/>
      </c>
      <c r="T253" s="18">
        <f>IF($A253="","",IF(OR($E253="",$F253=""),"",IF(ABS($F253-$E253)&gt;zincirTolerans,"ZİNCİR KIRIK","OK")))</f>
        <v/>
      </c>
      <c r="U253" s="18">
        <f>IF($A253="","",1)</f>
        <v/>
      </c>
      <c r="V253" s="18">
        <f>IF($A253="","",$F253*$N253*mbk_durusKatsayi)</f>
        <v/>
      </c>
    </row>
    <row r="254">
      <c r="A254" s="15" t="n"/>
      <c r="B254" s="15" t="n"/>
      <c r="C254" s="64" t="n"/>
      <c r="D254" s="64" t="n"/>
      <c r="E254" s="17" t="n"/>
      <c r="F254" s="17" t="n"/>
      <c r="G254" s="17" t="n"/>
      <c r="H254" s="15" t="n"/>
      <c r="I254" s="15" t="n"/>
      <c r="J254" s="15" t="n"/>
      <c r="K254" s="15" t="n"/>
      <c r="L254" s="15" t="n"/>
      <c r="M254" s="15" t="n"/>
      <c r="N254" s="16" t="n"/>
      <c r="O254" s="18">
        <f>IF($A254="","",$F254)</f>
        <v/>
      </c>
      <c r="P254" s="18">
        <f>IF($A254="","",IF($J254="YAPILDI",0,IF($C254="","",raporTarihi-$C254)))</f>
        <v/>
      </c>
      <c r="Q254" s="18">
        <f>IF($A254="","",IF($P254="","",IF($P254&lt;=mbk_kovaEsik1,"0-7",IF($P254&lt;=mbk_kovaEsik2,"8-30",IF($P254&lt;=mbk_kovaEsik3,"31-60","60+")))))</f>
        <v/>
      </c>
      <c r="R254" s="18">
        <f>IF($A254="","",IF($B254="","YETİM",IF(COUNTIF(tblMakineler[MakineId],$B254)=0,"YETİM","")))</f>
        <v/>
      </c>
      <c r="S254" s="18">
        <f>IF(OR($A254="",$I254=""),"",IF(OR($I254&amp;"|"&amp;$J254="",COUNTIF(ListeIzinliGecis,$I254&amp;"|"&amp;$J254)&gt;0),"","GEÇERSİZ GEÇİŞ"))</f>
        <v/>
      </c>
      <c r="T254" s="18">
        <f>IF($A254="","",IF(OR($E254="",$F254=""),"",IF(ABS($F254-$E254)&gt;zincirTolerans,"ZİNCİR KIRIK","OK")))</f>
        <v/>
      </c>
      <c r="U254" s="18">
        <f>IF($A254="","",1)</f>
        <v/>
      </c>
      <c r="V254" s="18">
        <f>IF($A254="","",$F254*$N254*mbk_durusKatsayi)</f>
        <v/>
      </c>
    </row>
    <row r="255">
      <c r="A255" s="15" t="n"/>
      <c r="B255" s="15" t="n"/>
      <c r="C255" s="64" t="n"/>
      <c r="D255" s="64" t="n"/>
      <c r="E255" s="17" t="n"/>
      <c r="F255" s="17" t="n"/>
      <c r="G255" s="17" t="n"/>
      <c r="H255" s="15" t="n"/>
      <c r="I255" s="15" t="n"/>
      <c r="J255" s="15" t="n"/>
      <c r="K255" s="15" t="n"/>
      <c r="L255" s="15" t="n"/>
      <c r="M255" s="15" t="n"/>
      <c r="N255" s="16" t="n"/>
      <c r="O255" s="18">
        <f>IF($A255="","",$F255)</f>
        <v/>
      </c>
      <c r="P255" s="18">
        <f>IF($A255="","",IF($J255="YAPILDI",0,IF($C255="","",raporTarihi-$C255)))</f>
        <v/>
      </c>
      <c r="Q255" s="18">
        <f>IF($A255="","",IF($P255="","",IF($P255&lt;=mbk_kovaEsik1,"0-7",IF($P255&lt;=mbk_kovaEsik2,"8-30",IF($P255&lt;=mbk_kovaEsik3,"31-60","60+")))))</f>
        <v/>
      </c>
      <c r="R255" s="18">
        <f>IF($A255="","",IF($B255="","YETİM",IF(COUNTIF(tblMakineler[MakineId],$B255)=0,"YETİM","")))</f>
        <v/>
      </c>
      <c r="S255" s="18">
        <f>IF(OR($A255="",$I255=""),"",IF(OR($I255&amp;"|"&amp;$J255="",COUNTIF(ListeIzinliGecis,$I255&amp;"|"&amp;$J255)&gt;0),"","GEÇERSİZ GEÇİŞ"))</f>
        <v/>
      </c>
      <c r="T255" s="18">
        <f>IF($A255="","",IF(OR($E255="",$F255=""),"",IF(ABS($F255-$E255)&gt;zincirTolerans,"ZİNCİR KIRIK","OK")))</f>
        <v/>
      </c>
      <c r="U255" s="18">
        <f>IF($A255="","",1)</f>
        <v/>
      </c>
      <c r="V255" s="18">
        <f>IF($A255="","",$F255*$N255*mbk_durusKatsayi)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V3"/>
  </mergeCells>
  <conditionalFormatting sqref="R6:R255">
    <cfRule type="cellIs" priority="1" operator="equal" dxfId="2">
      <formula>"YETİM"</formula>
    </cfRule>
  </conditionalFormatting>
  <conditionalFormatting sqref="S6:S255">
    <cfRule type="cellIs" priority="2" operator="equal" dxfId="2">
      <formula>"GEÇERSİZ GEÇİŞ"</formula>
    </cfRule>
  </conditionalFormatting>
  <conditionalFormatting sqref="T6:T255">
    <cfRule type="cellIs" priority="3" operator="equal" dxfId="2">
      <formula>"ZİNCİR KIRIK"</formula>
    </cfRule>
    <cfRule type="cellIs" priority="4" operator="equal" dxfId="3">
      <formula>"OK"</formula>
    </cfRule>
  </conditionalFormatting>
  <conditionalFormatting sqref="J6:J255">
    <cfRule type="cellIs" priority="5" operator="equal" dxfId="0">
      <formula>"GECIKME"</formula>
    </cfRule>
    <cfRule type="cellIs" priority="6" operator="equal" dxfId="4">
      <formula>"KRITIK"</formula>
    </cfRule>
    <cfRule type="cellIs" priority="7" operator="equal" dxfId="1">
      <formula>"YAPILDI"</formula>
    </cfRule>
  </conditionalFormatting>
  <dataValidations count="12">
    <dataValidation sqref="A6:A255" showDropDown="0" showInputMessage="1" showErrorMessage="1" allowBlank="1" errorTitle="Kimlik" error="Boş olamaz" promptTitle="Bakım Kimliği" prompt="BKM-##### girin" type="textLength" errorStyle="stop" operator="greaterThan">
      <formula1>1</formula1>
      <formula2>40</formula2>
    </dataValidation>
    <dataValidation sqref="B6:B255" showDropDown="0" showInputMessage="1" showErrorMessage="1" allowBlank="1" errorTitle="Makine" error="Geçersiz" promptTitle="Kaynak Makine" prompt="Makine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Plan Tarih" prompt="Planlanan bakım tarihi" type="date" errorStyle="stop" operator="greaterThan">
      <formula1>1</formula1>
    </dataValidation>
    <dataValidation sqref="D6:D255" showDropDown="0" showInputMessage="1" showErrorMessage="1" allowBlank="1" errorTitle="Tarih" error="Geçerli tarih" promptTitle="Gerçekleşen" prompt="Gerçekleşen tarih (boş olabilir)" type="date" errorStyle="stop" operator="greaterThan">
      <formula1>1</formula1>
    </dataValidation>
    <dataValidation sqref="E6:E255" showDropDown="0" showInputMessage="1" showErrorMessage="1" allowBlank="1" errorTitle="Plan Duruş" error="0 veya üzeri" promptTitle="Plan Duruş" prompt="Plan Duruş ≥ 0" type="decimal" errorStyle="stop" operator="greaterThanOrEqual">
      <formula1>0</formula1>
    </dataValidation>
    <dataValidation sqref="F6:F255" showDropDown="0" showInputMessage="1" showErrorMessage="1" allowBlank="1" errorTitle="Fiili Duruş" error="0 veya üzeri" promptTitle="Fiili Duruş" prompt="Fiili Duruş ≥ 0" type="decimal" errorStyle="stop" operator="greaterThanOrEqual">
      <formula1>0</formula1>
    </dataValidation>
    <dataValidation sqref="G6:G255" showDropDown="0" showInputMessage="1" showErrorMessage="1" allowBlank="1" errorTitle="Gün" error="-365 ile 3650 arası" promptTitle="Kalibrasyon Kalan" prompt="Gün (negatif aşım)" type="whole" errorStyle="stop" operator="between">
      <formula1>-365</formula1>
      <formula2>3650</formula2>
    </dataValidation>
    <dataValidation sqref="H6:H255" showDropDown="0" showInputMessage="1" showErrorMessage="1" allowBlank="1" errorTitle="Liste" error="Listeden seçin" promptTitle="Bakım Türü" prompt="Listeden seçin" type="list" errorStyle="stop">
      <formula1>ListeBakimTuru</formula1>
    </dataValidation>
    <dataValidation sqref="I6:I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J6:J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L6:L255" showDropDown="0" showInputMessage="1" showErrorMessage="1" allowBlank="1" errorTitle="Liste" error="A veya B" promptTitle="Yorum A" prompt="A veya B" type="list" errorStyle="stop">
      <formula1>ListeYorumAB</formula1>
    </dataValidation>
    <dataValidation sqref="N6:N255" showDropDown="0" showInputMessage="1" showErrorMessage="1" allowBlank="1" errorTitle="Maliyet" error="0 veya üzeri" promptTitle="Saatlik Maliyet" prompt="TL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8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KUYRUKLAR — Makine Bakım &amp; Kalibrasyon + Duruş Maliyeti</t>
        </is>
      </c>
    </row>
    <row r="3" ht="22" customHeight="1">
      <c r="A3" s="201" t="inlineStr">
        <is>
          <t>Durum bazlı canlı kuyruk — kapalı kayıtlar düşer</t>
        </is>
      </c>
    </row>
    <row r="5">
      <c r="A5" s="20" t="inlineStr">
        <is>
          <t>Kuyruk</t>
        </is>
      </c>
      <c r="B5" s="20" t="inlineStr">
        <is>
          <t>Adet</t>
        </is>
      </c>
      <c r="C5" s="20" t="inlineStr">
        <is>
          <t>Duruş Saat</t>
        </is>
      </c>
    </row>
    <row r="6">
      <c r="A6" s="7" t="inlineStr">
        <is>
          <t>Kuyruk Plan</t>
        </is>
      </c>
      <c r="B6" s="21">
        <f>COUNTIFS(tblAkis[Durum],"PLAN",tblAkis[KayitDolu],"&gt;0")</f>
        <v/>
      </c>
      <c r="C6" s="21">
        <f>SUMIF(tblAkis[Durum],"PLAN",tblAkis[FiiliDurusSaat])</f>
        <v/>
      </c>
    </row>
    <row r="7">
      <c r="A7" s="7" t="inlineStr">
        <is>
          <t>Kuyruk Gecikme</t>
        </is>
      </c>
      <c r="B7" s="21">
        <f>COUNTIFS(tblAkis[Durum],"GECIKME",tblAkis[KayitDolu],"&gt;0")</f>
        <v/>
      </c>
      <c r="C7" s="21">
        <f>SUMIF(tblAkis[Durum],"GECIKME",tblAkis[FiiliDurusSaat])</f>
        <v/>
      </c>
    </row>
    <row r="8">
      <c r="A8" s="7" t="inlineStr">
        <is>
          <t>Kuyruk Kritik</t>
        </is>
      </c>
      <c r="B8" s="21">
        <f>COUNTIFS(tblAkis[Durum],"KRITIK",tblAkis[KayitDolu],"&gt;0")</f>
        <v/>
      </c>
      <c r="C8" s="21">
        <f>SUMIF(tblAkis[Durum],"KRITIK",tblAkis[FiiliDurusSaat])</f>
        <v/>
      </c>
    </row>
    <row r="9">
      <c r="A9" s="7" t="inlineStr">
        <is>
          <t>Duruş eşik aşımı (fiili&gt;eşik)</t>
        </is>
      </c>
      <c r="B9" s="21">
        <f>COUNTIFS(tblAkis[FiiliDurusSaat],"&gt;"&amp;mbk_esikDurusSaat,tblAkis[Durum],"&lt;&gt;YAPILDI",tblAkis[KayitDolu],"&gt;0")</f>
        <v/>
      </c>
      <c r="C9" s="21">
        <f>SUMIFS(tblAkis[FiiliDurusSaat],tblAkis[FiiliDurusSaat],"&gt;"&amp;mbk_esikDurusSaat,tblAkis[Durum],"&lt;&gt;YAPILDI")</f>
        <v/>
      </c>
    </row>
    <row r="11">
      <c r="A11" s="22" t="inlineStr">
        <is>
          <t>Kapalı (Yapıldı) — kuyruktan düşer</t>
        </is>
      </c>
    </row>
    <row r="12">
      <c r="A12" s="7" t="inlineStr">
        <is>
          <t>Yapıldı</t>
        </is>
      </c>
      <c r="B12" s="21">
        <f>COUNTIF(tblAkis[Durum],"YAPILDI")</f>
        <v/>
      </c>
      <c r="C12" s="21">
        <f>SUMIF(tblAkis[Durum],"YAPILDI",tblAkis[FiiliDurusSaat])</f>
        <v/>
      </c>
    </row>
    <row r="15">
      <c r="A15" s="13" t="inlineStr">
        <is>
          <t>Kuyruk Özeti</t>
        </is>
      </c>
      <c r="B15" s="8">
        <f>mbk_kuyrukOzeti</f>
        <v/>
      </c>
    </row>
    <row r="17">
      <c r="A17" s="22" t="inlineStr">
        <is>
          <t>Yaş Kova Dağılımı</t>
        </is>
      </c>
    </row>
    <row r="18">
      <c r="A18" s="7" t="inlineStr">
        <is>
          <t>0-7</t>
        </is>
      </c>
      <c r="B18" s="21">
        <f>COUNTIF(tblAkis[YasKova],"0-7")</f>
        <v/>
      </c>
      <c r="C18" s="21">
        <f>SUMIF(tblAkis[YasKova],"0-7",tblAkis[FiiliDurusSaat])</f>
        <v/>
      </c>
    </row>
    <row r="19">
      <c r="A19" s="7" t="inlineStr">
        <is>
          <t>8-30</t>
        </is>
      </c>
      <c r="B19" s="21">
        <f>COUNTIF(tblAkis[YasKova],"8-30")</f>
        <v/>
      </c>
      <c r="C19" s="21">
        <f>SUMIF(tblAkis[YasKova],"8-30",tblAkis[FiiliDurusSaat])</f>
        <v/>
      </c>
    </row>
    <row r="20">
      <c r="A20" s="7" t="inlineStr">
        <is>
          <t>31-60</t>
        </is>
      </c>
      <c r="B20" s="21">
        <f>COUNTIF(tblAkis[YasKova],"31-60")</f>
        <v/>
      </c>
      <c r="C20" s="21">
        <f>SUMIF(tblAkis[YasKova],"31-60",tblAkis[FiiliDurusSaat])</f>
        <v/>
      </c>
    </row>
    <row r="21">
      <c r="A21" s="7" t="inlineStr">
        <is>
          <t>60+</t>
        </is>
      </c>
      <c r="B21" s="21">
        <f>COUNTIF(tblAkis[YasKova],"60+")</f>
        <v/>
      </c>
      <c r="C21" s="21">
        <f>SUMIF(tblAkis[YasKova],"60+",tblAkis[FiiliDurusSaat])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5:F15"/>
    <mergeCell ref="A3:I3"/>
  </mergeCells>
  <conditionalFormatting sqref="B6">
    <cfRule type="cellIs" priority="1" operator="greaterThan" dxfId="0">
      <formula>0</formula>
    </cfRule>
  </conditionalFormatting>
  <conditionalFormatting sqref="C6">
    <cfRule type="cellIs" priority="2" operator="greaterThan" dxfId="1">
      <formula>0</formula>
    </cfRule>
  </conditionalFormatting>
  <conditionalFormatting sqref="B7">
    <cfRule type="cellIs" priority="3" operator="greaterThan" dxfId="0">
      <formula>0</formula>
    </cfRule>
  </conditionalFormatting>
  <conditionalFormatting sqref="C7">
    <cfRule type="cellIs" priority="4" operator="greaterThan" dxfId="1">
      <formula>0</formula>
    </cfRule>
  </conditionalFormatting>
  <conditionalFormatting sqref="B8">
    <cfRule type="cellIs" priority="5" operator="greaterThan" dxfId="0">
      <formula>0</formula>
    </cfRule>
  </conditionalFormatting>
  <conditionalFormatting sqref="C8">
    <cfRule type="cellIs" priority="6" operator="greaterThan" dxfId="1">
      <formula>0</formula>
    </cfRule>
  </conditionalFormatting>
  <conditionalFormatting sqref="B9">
    <cfRule type="cellIs" priority="7" operator="greaterThan" dxfId="0">
      <formula>0</formula>
    </cfRule>
  </conditionalFormatting>
  <conditionalFormatting sqref="C9">
    <cfRule type="cellIs" priority="8" operator="greaterThan" dxfId="1">
      <formula>0</formula>
    </cfRule>
  </conditionalFormatting>
  <conditionalFormatting sqref="B18">
    <cfRule type="cellIs" priority="9" operator="greaterThan" dxfId="1">
      <formula>0</formula>
    </cfRule>
  </conditionalFormatting>
  <conditionalFormatting sqref="B19">
    <cfRule type="cellIs" priority="10" operator="greaterThan" dxfId="1">
      <formula>0</formula>
    </cfRule>
  </conditionalFormatting>
  <conditionalFormatting sqref="B20">
    <cfRule type="cellIs" priority="11" operator="greaterThan" dxfId="1">
      <formula>0</formula>
    </cfRule>
  </conditionalFormatting>
  <conditionalFormatting sqref="B21"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HESAP — Makine Bakım &amp; Kalibrasyon + Duruş Maliyeti</t>
        </is>
      </c>
    </row>
    <row r="3" ht="22" customHeight="1">
      <c r="A3" s="201" t="inlineStr">
        <is>
          <t>Hesap motoru — ≥40 adım; sabitler AYARLAR'dan</t>
        </is>
      </c>
    </row>
    <row r="5">
      <c r="A5" s="20" t="inlineStr">
        <is>
          <t>Adım</t>
        </is>
      </c>
      <c r="B5" s="20" t="inlineStr">
        <is>
          <t>Açıklama</t>
        </is>
      </c>
      <c r="C5" s="20" t="inlineStr">
        <is>
          <t>Değer</t>
        </is>
      </c>
    </row>
    <row r="6">
      <c r="A6" s="7" t="inlineStr">
        <is>
          <t>H01</t>
        </is>
      </c>
      <c r="B6" s="7" t="inlineStr">
        <is>
          <t>Toplam bakım</t>
        </is>
      </c>
      <c r="C6" s="23">
        <f>COUNTA(tblAkis[BakimId])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3">
        <f>SUM(tblAkis[KayitDolu])</f>
        <v/>
      </c>
    </row>
    <row r="8">
      <c r="A8" s="7" t="inlineStr">
        <is>
          <t>H03</t>
        </is>
      </c>
      <c r="B8" s="7" t="inlineStr">
        <is>
          <t>Toplam duruş saat</t>
        </is>
      </c>
      <c r="C8" s="23">
        <f>SUM(tblAkis[FiiliDurusSaat])</f>
        <v/>
      </c>
    </row>
    <row r="9">
      <c r="A9" s="7" t="inlineStr">
        <is>
          <t>H04</t>
        </is>
      </c>
      <c r="B9" s="7" t="inlineStr">
        <is>
          <t>Hesaplanan duruş toplam</t>
        </is>
      </c>
      <c r="C9" s="23">
        <f>SUM(tblAkis[HesaplananDurus])</f>
        <v/>
      </c>
    </row>
    <row r="10">
      <c r="A10" s="7" t="inlineStr">
        <is>
          <t>H05</t>
        </is>
      </c>
      <c r="B10" s="7" t="inlineStr">
        <is>
          <t>Plan duruş toplam</t>
        </is>
      </c>
      <c r="C10" s="23">
        <f>SUM(tblAkis[PlanDurusSaat])</f>
        <v/>
      </c>
    </row>
    <row r="11">
      <c r="A11" s="7" t="inlineStr">
        <is>
          <t>H06</t>
        </is>
      </c>
      <c r="B11" s="7" t="inlineStr">
        <is>
          <t>Plan adet</t>
        </is>
      </c>
      <c r="C11" s="23">
        <f>COUNTIF(tblAkis[Durum],"PLAN")</f>
        <v/>
      </c>
    </row>
    <row r="12">
      <c r="A12" s="7" t="inlineStr">
        <is>
          <t>H07</t>
        </is>
      </c>
      <c r="B12" s="7" t="inlineStr">
        <is>
          <t>Gecikme adet</t>
        </is>
      </c>
      <c r="C12" s="23">
        <f>COUNTIF(tblAkis[Durum],"GECIKME")</f>
        <v/>
      </c>
    </row>
    <row r="13">
      <c r="A13" s="7" t="inlineStr">
        <is>
          <t>H08</t>
        </is>
      </c>
      <c r="B13" s="7" t="inlineStr">
        <is>
          <t>Kritik adet</t>
        </is>
      </c>
      <c r="C13" s="23">
        <f>COUNTIF(tblAkis[Durum],"KRITIK")</f>
        <v/>
      </c>
    </row>
    <row r="14">
      <c r="A14" s="7" t="inlineStr">
        <is>
          <t>H09</t>
        </is>
      </c>
      <c r="B14" s="7" t="inlineStr">
        <is>
          <t>Yapıldı adet</t>
        </is>
      </c>
      <c r="C14" s="23">
        <f>COUNTIF(tblAkis[Durum],"YAPILDI")</f>
        <v/>
      </c>
    </row>
    <row r="15">
      <c r="A15" s="7" t="inlineStr">
        <is>
          <t>H10</t>
        </is>
      </c>
      <c r="B15" s="7" t="inlineStr">
        <is>
          <t>Kalibrasyon aşım adet</t>
        </is>
      </c>
      <c r="C15" s="23">
        <f>COUNTIFS(tblAkis[KalibrasyonGunKalan],"&lt;0",tblAkis[KayitDolu],"&gt;0")</f>
        <v/>
      </c>
    </row>
    <row r="16">
      <c r="A16" s="7" t="inlineStr">
        <is>
          <t>H11</t>
        </is>
      </c>
      <c r="B16" s="7" t="inlineStr">
        <is>
          <t>Açık kuyruk adet</t>
        </is>
      </c>
      <c r="C16" s="23">
        <f>C11+C12+C13</f>
        <v/>
      </c>
    </row>
    <row r="17">
      <c r="A17" s="7" t="inlineStr">
        <is>
          <t>H12</t>
        </is>
      </c>
      <c r="B17" s="7" t="inlineStr">
        <is>
          <t>Kapalı düşüm adet</t>
        </is>
      </c>
      <c r="C17" s="23">
        <f>C14</f>
        <v/>
      </c>
    </row>
    <row r="18">
      <c r="A18" s="7" t="inlineStr">
        <is>
          <t>H13</t>
        </is>
      </c>
      <c r="B18" s="7" t="inlineStr">
        <is>
          <t>Açık duruş kuyruk</t>
        </is>
      </c>
      <c r="C18" s="23">
        <f>SUMIF(tblAkis[Durum],"PLAN",tblAkis[FiiliDurusSaat])+SUMIF(tblAkis[Durum],"GECIKME",tblAkis[FiiliDurusSaat])+SUMIF(tblAkis[Durum],"KRITIK",tblAkis[FiiliDurusSaat])</f>
        <v/>
      </c>
    </row>
    <row r="19">
      <c r="A19" s="7" t="inlineStr">
        <is>
          <t>H14</t>
        </is>
      </c>
      <c r="B19" s="7" t="inlineStr">
        <is>
          <t>Yetim adet</t>
        </is>
      </c>
      <c r="C19" s="23">
        <f>COUNTIF(tblAkis[YetimBayrak],"YETİM")</f>
        <v/>
      </c>
    </row>
    <row r="20">
      <c r="A20" s="7" t="inlineStr">
        <is>
          <t>H15</t>
        </is>
      </c>
      <c r="B20" s="7" t="inlineStr">
        <is>
          <t>Geçersiz geçiş</t>
        </is>
      </c>
      <c r="C20" s="23">
        <f>COUNTIF(tblAkis[GecisUyarisi],"GEÇERSİZ GEÇİŞ")</f>
        <v/>
      </c>
    </row>
    <row r="21">
      <c r="A21" s="7" t="inlineStr">
        <is>
          <t>H16</t>
        </is>
      </c>
      <c r="B21" s="7" t="inlineStr">
        <is>
          <t>Zincir kırık</t>
        </is>
      </c>
      <c r="C21" s="23">
        <f>COUNTIF(tblAkis[ZincirBayrak],"ZİNCİR KIRIK")</f>
        <v/>
      </c>
    </row>
    <row r="22">
      <c r="A22" s="7" t="inlineStr">
        <is>
          <t>H17</t>
        </is>
      </c>
      <c r="B22" s="7" t="inlineStr">
        <is>
          <t>Zincir OK</t>
        </is>
      </c>
      <c r="C22" s="23">
        <f>COUNTIF(tblAkis[ZincirBayrak],"OK")</f>
        <v/>
      </c>
    </row>
    <row r="23">
      <c r="A23" s="7" t="inlineStr">
        <is>
          <t>H18</t>
        </is>
      </c>
      <c r="B23" s="7" t="inlineStr">
        <is>
          <t>Yaş 0-7</t>
        </is>
      </c>
      <c r="C23" s="23">
        <f>COUNTIF(tblAkis[YasKova],"0-7")</f>
        <v/>
      </c>
    </row>
    <row r="24">
      <c r="A24" s="7" t="inlineStr">
        <is>
          <t>H19</t>
        </is>
      </c>
      <c r="B24" s="7" t="inlineStr">
        <is>
          <t>Yaş 8-30</t>
        </is>
      </c>
      <c r="C24" s="23">
        <f>COUNTIF(tblAkis[YasKova],"8-30")</f>
        <v/>
      </c>
    </row>
    <row r="25">
      <c r="A25" s="7" t="inlineStr">
        <is>
          <t>H20</t>
        </is>
      </c>
      <c r="B25" s="7" t="inlineStr">
        <is>
          <t>Yaş 31-60</t>
        </is>
      </c>
      <c r="C25" s="23">
        <f>COUNTIF(tblAkis[YasKova],"31-60")</f>
        <v/>
      </c>
    </row>
    <row r="26">
      <c r="A26" s="7" t="inlineStr">
        <is>
          <t>H21</t>
        </is>
      </c>
      <c r="B26" s="7" t="inlineStr">
        <is>
          <t>Yaş 60+</t>
        </is>
      </c>
      <c r="C26" s="23">
        <f>COUNTIF(tblAkis[YasKova],"60+")</f>
        <v/>
      </c>
    </row>
    <row r="27">
      <c r="A27" s="7" t="inlineStr">
        <is>
          <t>H22</t>
        </is>
      </c>
      <c r="B27" s="7" t="inlineStr">
        <is>
          <t>Ort duruş saat</t>
        </is>
      </c>
      <c r="C27" s="23">
        <f>IFERROR(AVERAGEIF(tblAkis[KayitDolu],1,tblAkis[FiiliDurusSaat]),0)</f>
        <v/>
      </c>
    </row>
    <row r="28">
      <c r="A28" s="7" t="inlineStr">
        <is>
          <t>H23</t>
        </is>
      </c>
      <c r="B28" s="7" t="inlineStr">
        <is>
          <t>Duruş eşik aşım adet</t>
        </is>
      </c>
      <c r="C28" s="23">
        <f>COUNTIFS(tblAkis[FiiliDurusSaat],"&gt;"&amp;mbk_esikDurusSaat,tblAkis[Durum],"&lt;&gt;YAPILDI",tblAkis[KayitDolu],"&gt;0")</f>
        <v/>
      </c>
    </row>
    <row r="29">
      <c r="A29" s="7" t="inlineStr">
        <is>
          <t>H24</t>
        </is>
      </c>
      <c r="B29" s="7" t="inlineStr">
        <is>
          <t>Duruş eşik aşım saat</t>
        </is>
      </c>
      <c r="C29" s="23">
        <f>SUMIFS(tblAkis[FiiliDurusSaat],tblAkis[FiiliDurusSaat],"&gt;"&amp;mbk_esikDurusSaat,tblAkis[Durum],"&lt;&gt;YAPILDI")</f>
        <v/>
      </c>
    </row>
    <row r="30">
      <c r="A30" s="7" t="inlineStr">
        <is>
          <t>H25</t>
        </is>
      </c>
      <c r="B30" s="7" t="inlineStr">
        <is>
          <t>Duruş maliyet toplam</t>
        </is>
      </c>
      <c r="C30" s="24">
        <f>IFERROR(SUMIF(tblAkis[KayitDolu],1,tblAkis[DurusMaliyet]),0)</f>
        <v/>
      </c>
    </row>
    <row r="31">
      <c r="A31" s="7" t="inlineStr">
        <is>
          <t>H26</t>
        </is>
      </c>
      <c r="B31" s="7" t="inlineStr">
        <is>
          <t>Kalibrasyon aşım proxy</t>
        </is>
      </c>
      <c r="C31" s="23">
        <f>C15</f>
        <v/>
      </c>
    </row>
    <row r="32">
      <c r="A32" s="7" t="inlineStr">
        <is>
          <t>H27</t>
        </is>
      </c>
      <c r="B32" s="7" t="inlineStr">
        <is>
          <t>Haftalık duruş proxy</t>
        </is>
      </c>
      <c r="C32" s="23">
        <f>C8*mbk_haftalikCarpan</f>
        <v/>
      </c>
    </row>
    <row r="33">
      <c r="A33" s="7" t="inlineStr">
        <is>
          <t>H28</t>
        </is>
      </c>
      <c r="B33" s="7" t="inlineStr">
        <is>
          <t>Duruş sapma (fiili-plan)</t>
        </is>
      </c>
      <c r="C33" s="23">
        <f>C8-C10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24">
        <f>C18*mbk_senaryoTemkinli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24">
        <f>C18*mbk_senaryoBaz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24">
        <f>C18*mbk_senaryoIyimser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24">
        <f>C36-C34</f>
        <v/>
      </c>
    </row>
    <row r="38">
      <c r="A38" s="7" t="inlineStr">
        <is>
          <t>H33</t>
        </is>
      </c>
      <c r="B38" s="7" t="inlineStr">
        <is>
          <t>Tornado (oran×duruş)</t>
        </is>
      </c>
      <c r="C38" s="65">
        <f>C18*mbk_tornadoOran</f>
        <v/>
      </c>
    </row>
    <row r="39">
      <c r="A39" s="7" t="inlineStr">
        <is>
          <t>H34</t>
        </is>
      </c>
      <c r="B39" s="7" t="inlineStr">
        <is>
          <t>HHI proxy</t>
        </is>
      </c>
      <c r="C39" s="65">
        <f>IFERROR((MAX(C11,C12,C13)/MAX(C16,1))^2,0)</f>
        <v/>
      </c>
    </row>
    <row r="40">
      <c r="A40" s="7" t="inlineStr">
        <is>
          <t>H35</t>
        </is>
      </c>
      <c r="B40" s="7" t="inlineStr">
        <is>
          <t>Kalite skoru</t>
        </is>
      </c>
      <c r="C40" s="23">
        <f>IF(C6=0,0,MAX(0,mbk_kaliteTaban-C19*mbk_kaliteCeza-C20*mbk_kaliteCeza-C21*mbk_kaliteCeza-C28*mbk_kaliteSapma))</f>
        <v/>
      </c>
    </row>
    <row r="41">
      <c r="A41" s="7" t="inlineStr">
        <is>
          <t>H36</t>
        </is>
      </c>
      <c r="B41" s="7" t="inlineStr">
        <is>
          <t>Tahmin PERCENTILE</t>
        </is>
      </c>
      <c r="C41" s="24">
        <f>IFERROR(_xlfn.PERCENTILE.INC(tblAkis[FiiliDurusSaat],mbk_yuzdelikOran),0)</f>
        <v/>
      </c>
    </row>
    <row r="42">
      <c r="A42" s="7" t="inlineStr">
        <is>
          <t>H37</t>
        </is>
      </c>
      <c r="B42" s="7" t="inlineStr">
        <is>
          <t>Tahmin FORECAST</t>
        </is>
      </c>
      <c r="C42" s="24">
        <f>IFERROR(FORECAST(COUNTA(tblAkis[BakimId])+1,tblAkis[FiiliDurusSaat],tblAkis[KayitDolu]),C41)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24">
        <f>IFERROR((C41+C42)/2,0)</f>
        <v/>
      </c>
    </row>
    <row r="44">
      <c r="A44" s="7" t="inlineStr">
        <is>
          <t>H39</t>
        </is>
      </c>
      <c r="B44" s="7" t="inlineStr">
        <is>
          <t>P90 yüzdelik</t>
        </is>
      </c>
      <c r="C44" s="24">
        <f>IFERROR(_xlfn.PERCENTILE.INC(tblAkis[FiiliDurusSaat],mbk_yuzdelikOran),0)</f>
        <v/>
      </c>
    </row>
    <row r="45">
      <c r="A45" s="7" t="inlineStr">
        <is>
          <t>H40</t>
        </is>
      </c>
      <c r="B45" s="7" t="inlineStr">
        <is>
          <t>Makine sayısı</t>
        </is>
      </c>
      <c r="C45" s="23">
        <f>COUNTA(tblMakineler[MakineId])</f>
        <v/>
      </c>
    </row>
    <row r="46">
      <c r="A46" s="7" t="inlineStr">
        <is>
          <t>H41</t>
        </is>
      </c>
      <c r="B46" s="7" t="inlineStr">
        <is>
          <t>Periyot toplam</t>
        </is>
      </c>
      <c r="C46" s="23">
        <f>SUM(tblMakineler[KalibrasyonPeriyotGun])</f>
        <v/>
      </c>
    </row>
    <row r="47">
      <c r="A47" s="7" t="inlineStr">
        <is>
          <t>H42</t>
        </is>
      </c>
      <c r="B47" s="7" t="inlineStr">
        <is>
          <t>Duruş / makine oranı</t>
        </is>
      </c>
      <c r="C47" s="65">
        <f>IFERROR(C8/MAX(C45,1),0)</f>
        <v/>
      </c>
    </row>
    <row r="48">
      <c r="A48" s="7" t="inlineStr">
        <is>
          <t>H43</t>
        </is>
      </c>
      <c r="B48" s="7" t="inlineStr">
        <is>
          <t>Kuyruk özeti metin</t>
        </is>
      </c>
      <c r="C48" s="13">
        <f>_xlfn.TEXTJOIN(" | ",TRUE,"Plan",C11,"Gecikme",C12,"Kritik",C13,"Eşik",C28)</f>
        <v/>
      </c>
    </row>
    <row r="49">
      <c r="A49" s="7" t="inlineStr">
        <is>
          <t>H44</t>
        </is>
      </c>
      <c r="B49" s="7" t="inlineStr">
        <is>
          <t>Yaş kova metin</t>
        </is>
      </c>
      <c r="C49" s="13">
        <f>_xlfn.TEXTJOIN("/",TRUE,C23,C24,C25,C26)</f>
        <v/>
      </c>
    </row>
    <row r="50">
      <c r="A50" s="7" t="inlineStr">
        <is>
          <t>H45</t>
        </is>
      </c>
      <c r="B50" s="7" t="inlineStr">
        <is>
          <t>Senaryo motor özet</t>
        </is>
      </c>
      <c r="C50" s="13">
        <f>_xlfn.TEXTJOIN(" | ",TRUE,"Temkinli",C34,"Baz",C35,"İyimser",C36)</f>
        <v/>
      </c>
    </row>
    <row r="51">
      <c r="A51" s="7" t="inlineStr">
        <is>
          <t>H46</t>
        </is>
      </c>
      <c r="B51" s="7" t="inlineStr">
        <is>
          <t>Veri hazırlık</t>
        </is>
      </c>
      <c r="C51" s="65">
        <f>IF(C6=0,0,C7/MAX(C6,1))</f>
        <v/>
      </c>
    </row>
    <row r="52">
      <c r="A52" s="7" t="inlineStr">
        <is>
          <t>H47</t>
        </is>
      </c>
      <c r="B52" s="7" t="inlineStr">
        <is>
          <t>Gecikmiş karar adet</t>
        </is>
      </c>
      <c r="C52" s="23">
        <f>IF(OR(C12&gt;0,C28&gt;0),1,0)</f>
        <v/>
      </c>
    </row>
    <row r="53">
      <c r="A53" s="7" t="inlineStr">
        <is>
          <t>H48</t>
        </is>
      </c>
      <c r="B53" s="7" t="inlineStr">
        <is>
          <t>Kritik karar adet</t>
        </is>
      </c>
      <c r="C53" s="23">
        <f>IF(OR(C13&gt;0,C15&gt;0),1,0)</f>
        <v/>
      </c>
    </row>
    <row r="57">
      <c r="A57" s="20" t="inlineStr">
        <is>
          <t>Senaryo</t>
        </is>
      </c>
      <c r="B57" s="20" t="inlineStr">
        <is>
          <t>Çarpan</t>
        </is>
      </c>
      <c r="C57" s="20" t="inlineStr">
        <is>
          <t>Sonuç</t>
        </is>
      </c>
    </row>
    <row r="58">
      <c r="A58" s="7" t="inlineStr">
        <is>
          <t>Temkinli</t>
        </is>
      </c>
      <c r="B58" s="66">
        <f>IFERROR(C34/MAX(C18,1),0)</f>
        <v/>
      </c>
      <c r="C58" s="21">
        <f>C34</f>
        <v/>
      </c>
    </row>
    <row r="59">
      <c r="A59" s="7" t="inlineStr">
        <is>
          <t>Baz</t>
        </is>
      </c>
      <c r="B59" s="66">
        <f>IFERROR(C35/MAX(C18,1),0)</f>
        <v/>
      </c>
      <c r="C59" s="21">
        <f>C35</f>
        <v/>
      </c>
    </row>
    <row r="60">
      <c r="A60" s="7" t="inlineStr">
        <is>
          <t>İyimser</t>
        </is>
      </c>
      <c r="B60" s="66">
        <f>IFERROR(C36/MAX(C18,1),0)</f>
        <v/>
      </c>
      <c r="C60" s="21">
        <f>C36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1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1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1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1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1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1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1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1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1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1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1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1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1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1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1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1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1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1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1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1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1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1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1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1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1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1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1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1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1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1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1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1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1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1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1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1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1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1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1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1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1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1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1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1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1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1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1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1">
      <formula>0</formula>
    </cfRule>
    <cfRule type="cellIs" priority="96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12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4.5" customWidth="1" min="8" max="8"/>
    <col width="13" customWidth="1" min="9" max="9"/>
  </cols>
  <sheetData>
    <row r="1" ht="32" customHeight="1">
      <c r="A1" s="181" t="inlineStr">
        <is>
          <t>KURALLAR — Makine Bakım &amp; Kalibrasyon + Duruş Maliyeti</t>
        </is>
      </c>
    </row>
    <row r="3" ht="22" customHeight="1">
      <c r="A3" s="201" t="inlineStr">
        <is>
          <t>MBK-001..005 kural tablosu — 2025 / 2026 / 2027</t>
        </is>
      </c>
    </row>
    <row r="5" ht="30" customHeight="1">
      <c r="A5" s="14" t="inlineStr">
        <is>
          <t>kural_id</t>
        </is>
      </c>
      <c r="B5" s="14" t="inlineStr">
        <is>
          <t>madde</t>
        </is>
      </c>
      <c r="C5" s="14" t="inlineStr">
        <is>
          <t>aciklama</t>
        </is>
      </c>
      <c r="D5" s="14" t="inlineStr">
        <is>
          <t>y2025</t>
        </is>
      </c>
      <c r="E5" s="14" t="inlineStr">
        <is>
          <t>y2026</t>
        </is>
      </c>
      <c r="F5" s="14" t="inlineStr">
        <is>
          <t>y2027</t>
        </is>
      </c>
      <c r="G5" s="14" t="inlineStr">
        <is>
          <t>birim</t>
        </is>
      </c>
      <c r="H5" s="14" t="inlineStr">
        <is>
          <t>AktifDeger</t>
        </is>
      </c>
    </row>
    <row r="6">
      <c r="A6" s="7" t="inlineStr">
        <is>
          <t>MBK-001</t>
        </is>
      </c>
      <c r="B6" s="7" t="inlineStr">
        <is>
          <t>ISO/İç</t>
        </is>
      </c>
      <c r="C6" s="7" t="inlineStr">
        <is>
          <t>Planlı bakım periyodu (gün)</t>
        </is>
      </c>
      <c r="D6" s="17" t="n">
        <v>30</v>
      </c>
      <c r="E6" s="17" t="n">
        <v>30</v>
      </c>
      <c r="F6" s="17" t="n">
        <v>30</v>
      </c>
      <c r="G6" s="7" t="inlineStr">
        <is>
          <t>gün</t>
        </is>
      </c>
      <c r="H6" s="18">
        <f>IF(mbk_aktifYil=mbk_yilA,$D6,IF(mbk_aktifYil=mbk_yilC,$F6,$E6))</f>
        <v/>
      </c>
    </row>
    <row r="7">
      <c r="A7" s="7" t="inlineStr">
        <is>
          <t>MBK-002</t>
        </is>
      </c>
      <c r="B7" s="7" t="inlineStr">
        <is>
          <t>ISO/Kal</t>
        </is>
      </c>
      <c r="C7" s="7" t="inlineStr">
        <is>
          <t>Kalibrasyon vade eşiği (gün)</t>
        </is>
      </c>
      <c r="D7" s="17" t="n">
        <v>0</v>
      </c>
      <c r="E7" s="17" t="n">
        <v>0</v>
      </c>
      <c r="F7" s="17" t="n">
        <v>0</v>
      </c>
      <c r="G7" s="7" t="inlineStr">
        <is>
          <t>gün</t>
        </is>
      </c>
      <c r="H7" s="18">
        <f>IF(mbk_aktifYil=mbk_yilA,$D7,IF(mbk_aktifYil=mbk_yilC,$F7,$E7))</f>
        <v/>
      </c>
    </row>
    <row r="8">
      <c r="A8" s="7" t="inlineStr">
        <is>
          <t>MBK-003</t>
        </is>
      </c>
      <c r="B8" s="7" t="inlineStr">
        <is>
          <t>İç pol.</t>
        </is>
      </c>
      <c r="C8" s="7" t="inlineStr">
        <is>
          <t>Kritik gecikme eşiği (gün)</t>
        </is>
      </c>
      <c r="D8" s="17" t="n">
        <v>14</v>
      </c>
      <c r="E8" s="17" t="n">
        <v>14</v>
      </c>
      <c r="F8" s="17" t="n">
        <v>14</v>
      </c>
      <c r="G8" s="7" t="inlineStr">
        <is>
          <t>gün</t>
        </is>
      </c>
      <c r="H8" s="18">
        <f>IF(mbk_aktifYil=mbk_yilA,$D8,IF(mbk_aktifYil=mbk_yilC,$F8,$E8))</f>
        <v/>
      </c>
    </row>
    <row r="9">
      <c r="A9" s="7" t="inlineStr">
        <is>
          <t>MBK-004</t>
        </is>
      </c>
      <c r="B9" s="7" t="inlineStr">
        <is>
          <t>İşyeri</t>
        </is>
      </c>
      <c r="C9" s="7" t="inlineStr">
        <is>
          <t>Duruş maliyet katsayısı</t>
        </is>
      </c>
      <c r="D9" s="69" t="n">
        <v>1</v>
      </c>
      <c r="E9" s="69" t="n">
        <v>1</v>
      </c>
      <c r="F9" s="69" t="n">
        <v>1</v>
      </c>
      <c r="G9" s="7" t="inlineStr">
        <is>
          <t>oran</t>
        </is>
      </c>
      <c r="H9" s="18">
        <f>IF(mbk_aktifYil=mbk_yilA,$D9,IF(mbk_aktifYil=mbk_yilC,$F9,$E9))</f>
        <v/>
      </c>
    </row>
    <row r="10">
      <c r="A10" s="7" t="inlineStr">
        <is>
          <t>MBK-005</t>
        </is>
      </c>
      <c r="B10" s="7" t="inlineStr">
        <is>
          <t>İşyeri</t>
        </is>
      </c>
      <c r="C10" s="7" t="inlineStr">
        <is>
          <t>İmza/kanıt zorunluluğu (YAPILDI)</t>
        </is>
      </c>
      <c r="D10" s="17" t="n">
        <v>1</v>
      </c>
      <c r="E10" s="17" t="n">
        <v>1</v>
      </c>
      <c r="F10" s="17" t="n">
        <v>1</v>
      </c>
      <c r="G10" s="7" t="inlineStr">
        <is>
          <t>evet</t>
        </is>
      </c>
      <c r="H10" s="18">
        <f>IF(mbk_aktifYil=mbk_yilA,$D10,IF(mbk_aktifYil=mbk_yilC,$F10,$E10))</f>
        <v/>
      </c>
    </row>
    <row r="12">
      <c r="A12" s="13" t="inlineStr">
        <is>
          <t>Aktif yıl</t>
        </is>
      </c>
      <c r="B12" s="17" t="n">
        <v>2026</v>
      </c>
    </row>
    <row r="13">
      <c r="A13" s="13" t="inlineStr">
        <is>
          <t>Kural yıl matrisi</t>
        </is>
      </c>
      <c r="B13" s="8">
        <f>mbk_kuralYilMatris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B13:F13"/>
    <mergeCell ref="A1:H1"/>
  </mergeCells>
  <dataValidations count="5">
    <dataValidation sqref="A6" showDropDown="0" showInputMessage="1" showErrorMessage="1" allowBlank="1" errorTitle="Kural" error="Geçersiz" promptTitle="Kural" prompt="MBK-###" type="textLength" errorStyle="stop" operator="greaterThan">
      <formula1>1</formula1>
      <formula2>20</formula2>
    </dataValidation>
    <dataValidation sqref="A7" showDropDown="0" showInputMessage="1" showErrorMessage="1" allowBlank="1" errorTitle="Kural" error="Geçersiz" promptTitle="Kural" prompt="MBK-###" type="textLength" errorStyle="stop" operator="greaterThan">
      <formula1>1</formula1>
      <formula2>20</formula2>
    </dataValidation>
    <dataValidation sqref="A8" showDropDown="0" showInputMessage="1" showErrorMessage="1" allowBlank="1" errorTitle="Kural" error="Geçersiz" promptTitle="Kural" prompt="MBK-###" type="textLength" errorStyle="stop" operator="greaterThan">
      <formula1>1</formula1>
      <formula2>20</formula2>
    </dataValidation>
    <dataValidation sqref="A9" showDropDown="0" showInputMessage="1" showErrorMessage="1" allowBlank="1" errorTitle="Kural" error="Geçersiz" promptTitle="Kural" prompt="MBK-###" type="textLength" errorStyle="stop" operator="greaterThan">
      <formula1>1</formula1>
      <formula2>20</formula2>
    </dataValidation>
    <dataValidation sqref="A10" showDropDown="0" showInputMessage="1" showErrorMessage="1" allowBlank="1" errorTitle="Kural" error="Geçersiz" promptTitle="Kural" prompt="MBK-###" type="textLength" errorStyle="stop" operator="greaterThan">
      <formula1>1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9.5" customWidth="1" min="1" max="1"/>
    <col width="32" customWidth="1" min="2" max="2"/>
    <col width="14.5" customWidth="1" min="3" max="3"/>
    <col width="10" customWidth="1" min="4" max="4"/>
    <col width="18.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VAKALAR — Makine Bakım &amp; Kalibrasyon + Duruş Maliyeti</t>
        </is>
      </c>
    </row>
    <row r="3" ht="22" customHeight="1">
      <c r="A3" s="201" t="inlineStr">
        <is>
          <t>Örnek vakalar — beklenen karar ve fark kontrolü</t>
        </is>
      </c>
    </row>
    <row r="5" ht="30" customHeight="1">
      <c r="A5" s="14" t="inlineStr">
        <is>
          <t>vaka_id</t>
        </is>
      </c>
      <c r="B5" s="14" t="inlineStr">
        <is>
          <t>aciklama</t>
        </is>
      </c>
      <c r="C5" s="14" t="inlineStr">
        <is>
          <t>durus_saat</t>
        </is>
      </c>
      <c r="D5" s="14" t="inlineStr">
        <is>
          <t>esik</t>
        </is>
      </c>
      <c r="E5" s="14" t="inlineStr">
        <is>
          <t>beklenen_karar</t>
        </is>
      </c>
      <c r="F5" s="14" t="inlineStr">
        <is>
          <t>fark</t>
        </is>
      </c>
    </row>
    <row r="6">
      <c r="A6" s="15" t="inlineStr">
        <is>
          <t>V01</t>
        </is>
      </c>
      <c r="B6" s="15" t="inlineStr">
        <is>
          <t>Plan dahilinde bakım</t>
        </is>
      </c>
      <c r="C6" s="17" t="n">
        <v>1</v>
      </c>
      <c r="D6" s="17" t="n">
        <v>4</v>
      </c>
      <c r="E6" s="15" t="inlineStr">
        <is>
          <t>PLANLI</t>
        </is>
      </c>
      <c r="F6" s="18">
        <f>IF($A6="","",IF(AND($C6=0,$A6="V05"),"VERİ YOK",IF($C6&gt;mbk_vakaKritikEsik,"KRİTİK",IF($C6&gt;$D6,"GECİKMİŞ","PLANLI"))))</f>
        <v/>
      </c>
    </row>
    <row r="7">
      <c r="A7" s="15" t="inlineStr">
        <is>
          <t>V02</t>
        </is>
      </c>
      <c r="B7" s="15" t="inlineStr">
        <is>
          <t>Hafif gecikme / eşik altı</t>
        </is>
      </c>
      <c r="C7" s="17" t="n">
        <v>2.5</v>
      </c>
      <c r="D7" s="17" t="n">
        <v>4</v>
      </c>
      <c r="E7" s="15" t="inlineStr">
        <is>
          <t>PLANLI</t>
        </is>
      </c>
      <c r="F7" s="18">
        <f>IF($A7="","",IF(AND($C7=0,$A7="V05"),"VERİ YOK",IF($C7&gt;mbk_vakaKritikEsik,"KRİTİK",IF($C7&gt;$D7,"GECİKMİŞ","PLANLI"))))</f>
        <v/>
      </c>
    </row>
    <row r="8">
      <c r="A8" s="15" t="inlineStr">
        <is>
          <t>V03</t>
        </is>
      </c>
      <c r="B8" s="15" t="inlineStr">
        <is>
          <t>Duruş eşik üstü</t>
        </is>
      </c>
      <c r="C8" s="17" t="n">
        <v>5</v>
      </c>
      <c r="D8" s="17" t="n">
        <v>4</v>
      </c>
      <c r="E8" s="15" t="inlineStr">
        <is>
          <t>GECİKMİŞ</t>
        </is>
      </c>
      <c r="F8" s="18">
        <f>IF($A8="","",IF(AND($C8=0,$A8="V05"),"VERİ YOK",IF($C8&gt;mbk_vakaKritikEsik,"KRİTİK",IF($C8&gt;$D8,"GECİKMİŞ","PLANLI"))))</f>
        <v/>
      </c>
    </row>
    <row r="9">
      <c r="A9" s="15" t="inlineStr">
        <is>
          <t>V04</t>
        </is>
      </c>
      <c r="B9" s="15" t="inlineStr">
        <is>
          <t>Kritik gecikme senaryosu</t>
        </is>
      </c>
      <c r="C9" s="17" t="n">
        <v>8</v>
      </c>
      <c r="D9" s="17" t="n">
        <v>4</v>
      </c>
      <c r="E9" s="15" t="inlineStr">
        <is>
          <t>KRİTİK</t>
        </is>
      </c>
      <c r="F9" s="18">
        <f>IF($A9="","",IF(AND($C9=0,$A9="V05"),"VERİ YOK",IF($C9&gt;mbk_vakaKritikEsik,"KRİTİK",IF($C9&gt;$D9,"GECİKMİŞ","PLANLI"))))</f>
        <v/>
      </c>
    </row>
    <row r="10">
      <c r="A10" s="15" t="inlineStr">
        <is>
          <t>V05</t>
        </is>
      </c>
      <c r="B10" s="15" t="inlineStr">
        <is>
          <t>Boş veri seti</t>
        </is>
      </c>
      <c r="C10" s="17" t="n">
        <v>0</v>
      </c>
      <c r="D10" s="17" t="n">
        <v>4</v>
      </c>
      <c r="E10" s="15" t="inlineStr">
        <is>
          <t>VERİ YOK</t>
        </is>
      </c>
      <c r="F10" s="18">
        <f>IF($A10="","",IF(AND($C10=0,$A10="V05"),"VERİ YOK",IF($C10&gt;mbk_vakaKritikEsik,"KRİTİK",IF($C10&gt;$D10,"GECİKMİŞ","PLANLI"))))</f>
        <v/>
      </c>
    </row>
    <row r="11">
      <c r="A11" s="15" t="inlineStr">
        <is>
          <t>V06</t>
        </is>
      </c>
      <c r="B11" s="15" t="inlineStr">
        <is>
          <t>Zincir sapmalı fiili</t>
        </is>
      </c>
      <c r="C11" s="17" t="n">
        <v>4.5</v>
      </c>
      <c r="D11" s="17" t="n">
        <v>4</v>
      </c>
      <c r="E11" s="15" t="inlineStr">
        <is>
          <t>GECİKMİŞ</t>
        </is>
      </c>
      <c r="F11" s="18">
        <f>IF($A11="","",IF(AND($C11=0,$A11="V05"),"VERİ YOK",IF($C11&gt;mbk_vakaKritikEsik,"KRİTİK",IF($C11&gt;$D11,"GECİKMİŞ","PLANLI"))))</f>
        <v/>
      </c>
    </row>
    <row r="13">
      <c r="A13" s="13" t="inlineStr">
        <is>
          <t>Vaka fark özeti</t>
        </is>
      </c>
      <c r="B13" s="8">
        <f>COUNTIF(tblVakalar[fark],"&lt;&gt;"&amp;"")&amp;" satır"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182.5" customWidth="1" min="1" max="1"/>
    <col width="42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RAPORU — Makine Bakım &amp; Kalibrasyon + Duruş Maliyeti</t>
        </is>
      </c>
    </row>
    <row r="3" ht="22" customHeight="1">
      <c r="A3" s="200" t="inlineStr">
        <is>
          <t>Makine Bakım / Kalibrasyon / Duruş Kanıt Raporu</t>
        </is>
      </c>
    </row>
    <row r="4">
      <c r="A4" s="7" t="inlineStr">
        <is>
          <t>Ürün</t>
        </is>
      </c>
      <c r="B4" s="7" t="inlineStr">
        <is>
          <t>Makine Bakım &amp; Kalibrasyon + Duruş Maliyeti</t>
        </is>
      </c>
    </row>
    <row r="5">
      <c r="A5" s="7" t="inlineStr">
        <is>
          <t>Sürüm</t>
        </is>
      </c>
      <c r="B5" s="7" t="inlineStr">
        <is>
          <t>1.0.0</t>
        </is>
      </c>
    </row>
    <row r="6">
      <c r="A6" s="7" t="inlineStr">
        <is>
          <t>Rapor türü</t>
        </is>
      </c>
      <c r="B6" s="7" t="inlineStr">
        <is>
          <t>Kanıt çıktısı — müşteriye/imza için</t>
        </is>
      </c>
    </row>
    <row r="7">
      <c r="A7" s="7" t="inlineStr">
        <is>
          <t>Ortam</t>
        </is>
      </c>
      <c r="B7" s="7" t="inlineStr">
        <is>
          <t>Çevrimdışı · makro yok · telemetri yok</t>
        </is>
      </c>
    </row>
    <row r="8">
      <c r="A8" s="7" t="inlineStr">
        <is>
          <t>Rapor Tarihi</t>
        </is>
      </c>
      <c r="B8" s="67">
        <f>raporTarihi</f>
        <v/>
      </c>
    </row>
    <row r="9">
      <c r="A9" s="13" t="inlineStr">
        <is>
          <t>KARAR</t>
        </is>
      </c>
      <c r="B9" s="37">
        <f>PANO!B4</f>
        <v/>
      </c>
    </row>
    <row r="11">
      <c r="A11" s="7" t="inlineStr">
        <is>
          <t>Açık Kuyruk</t>
        </is>
      </c>
      <c r="B11" s="23">
        <f>mbk_acikAdet</f>
        <v/>
      </c>
    </row>
    <row r="12">
      <c r="A12" s="7" t="inlineStr">
        <is>
          <t>Toplam Duruş Saat</t>
        </is>
      </c>
      <c r="B12" s="23">
        <f>mbk_toplamDurus</f>
        <v/>
      </c>
    </row>
    <row r="13">
      <c r="A13" s="7" t="inlineStr">
        <is>
          <t>Duruş Maliyet</t>
        </is>
      </c>
      <c r="B13" s="24">
        <f>mbk_durusMaliyet</f>
        <v/>
      </c>
    </row>
    <row r="14">
      <c r="A14" s="7" t="inlineStr">
        <is>
          <t>Yetim</t>
        </is>
      </c>
      <c r="B14" s="23">
        <f>mbk_yetimKayit</f>
        <v/>
      </c>
    </row>
    <row r="15">
      <c r="A15" s="7" t="inlineStr">
        <is>
          <t>Geçersiz Geçiş</t>
        </is>
      </c>
      <c r="B15" s="23">
        <f>mbk_gecersizGecis</f>
        <v/>
      </c>
    </row>
    <row r="16">
      <c r="A16" s="7" t="inlineStr">
        <is>
          <t>Zincir Kırık</t>
        </is>
      </c>
      <c r="B16" s="23">
        <f>mbk_zincirKirik</f>
        <v/>
      </c>
    </row>
    <row r="17">
      <c r="A17" s="7" t="inlineStr">
        <is>
          <t>Kural Matris</t>
        </is>
      </c>
      <c r="B17" s="13">
        <f>mbk_kuralYilMatris</f>
        <v/>
      </c>
    </row>
    <row r="18">
      <c r="A18" s="7" t="inlineStr">
        <is>
          <t>Kanıt Özeti</t>
        </is>
      </c>
      <c r="B18" s="13">
        <f>mbk_kanitRaporu</f>
        <v/>
      </c>
    </row>
    <row r="19">
      <c r="A19" s="7" t="inlineStr">
        <is>
          <t>Haftalık Duruş</t>
        </is>
      </c>
      <c r="B19" s="23">
        <f>mbk_haftalikDurus</f>
        <v/>
      </c>
    </row>
    <row r="20">
      <c r="A20" s="7" t="inlineStr">
        <is>
          <t>Kalite Skoru</t>
        </is>
      </c>
      <c r="B20" s="23">
        <f>mbk_kaliteSkor</f>
        <v/>
      </c>
    </row>
    <row r="21">
      <c r="A21" s="7" t="inlineStr">
        <is>
          <t>Kapalı Düşüm</t>
        </is>
      </c>
      <c r="B21" s="23">
        <f>mbk_kapaliDusum</f>
        <v/>
      </c>
    </row>
    <row r="23">
      <c r="A23" s="22" t="inlineStr">
        <is>
          <t>Varsayımlar</t>
        </is>
      </c>
    </row>
    <row r="24">
      <c r="A24" s="8" t="inlineStr">
        <is>
          <t>Duruş maliyeti = fiili duruş × saatlik maliyet × mbk_durusKatsayi. Kalibrasyon aşımı KalibrasyonGunKalan &lt; 0 ile tespit edilir. Durum geçişleri makrosuz uyarı üretir; engellemez.</t>
        </is>
      </c>
    </row>
    <row r="26">
      <c r="A26" s="22" t="inlineStr">
        <is>
          <t>Uyarılar</t>
        </is>
      </c>
    </row>
    <row r="27">
      <c r="A27" s="8" t="inlineStr">
        <is>
          <t>Bu çıktı karar destek belgesidir; hukuki/teknik nihai görüş yerine geçmez. Parametreler AYARLAR'da kaynak ve yürürlük tarihli tutulur.</t>
        </is>
      </c>
    </row>
    <row r="30">
      <c r="A30" s="7" t="inlineStr">
        <is>
          <t>Hazırlayan</t>
        </is>
      </c>
      <c r="B30" s="15" t="n"/>
    </row>
    <row r="31">
      <c r="A31" s="7" t="inlineStr">
        <is>
          <t>Kontrol eden</t>
        </is>
      </c>
      <c r="B31" s="15" t="n"/>
    </row>
    <row r="32">
      <c r="A32" s="7" t="inlineStr">
        <is>
          <t>Tarih</t>
        </is>
      </c>
      <c r="B32" s="67">
        <f>raporTarihi</f>
        <v/>
      </c>
    </row>
    <row r="33">
      <c r="A33" s="7" t="inlineStr">
        <is>
          <t>Kaşe / imza</t>
        </is>
      </c>
      <c r="B33" s="15" t="n"/>
    </row>
    <row r="36">
      <c r="A36" s="38" t="inlineStr">
        <is>
          <t>SHA-256 sevk anında KANIT/SEVK_KARARI.md ve denetim raporlarına yazılır; alıcı indirdiği dosyayı parmak iziyle doğrular.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24:F24"/>
    <mergeCell ref="A36:F36"/>
    <mergeCell ref="A27:F27"/>
    <mergeCell ref="A1:I1"/>
    <mergeCell ref="A3:I3"/>
  </mergeCells>
  <conditionalFormatting sqref="B9">
    <cfRule type="cellIs" priority="1" operator="equal" dxfId="3">
      <formula>"PLANLI"</formula>
    </cfRule>
    <cfRule type="cellIs" priority="2" operator="equal" dxfId="0">
      <formula>"GECİKMİŞ"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11">
    <cfRule type="cellIs" priority="5" operator="greaterThan" dxfId="1">
      <formula>0</formula>
    </cfRule>
  </conditionalFormatting>
  <conditionalFormatting sqref="B12">
    <cfRule type="cellIs" priority="6" operator="greaterThan" dxfId="1">
      <formula>0</formula>
    </cfRule>
  </conditionalFormatting>
  <conditionalFormatting sqref="B13">
    <cfRule type="cellIs" priority="7" operator="greaterThan" dxfId="1">
      <formula>0</formula>
    </cfRule>
  </conditionalFormatting>
  <conditionalFormatting sqref="B14">
    <cfRule type="cellIs" priority="8" operator="greaterThan" dxfId="1">
      <formula>0</formula>
    </cfRule>
  </conditionalFormatting>
  <conditionalFormatting sqref="B15">
    <cfRule type="cellIs" priority="9" operator="greaterThan" dxfId="1">
      <formula>0</formula>
    </cfRule>
  </conditionalFormatting>
  <conditionalFormatting sqref="B16">
    <cfRule type="cellIs" priority="10" operator="greaterThan" dxfId="1">
      <formula>0</formula>
    </cfRule>
  </conditionalFormatting>
  <conditionalFormatting sqref="B17">
    <cfRule type="cellIs" priority="11" operator="greaterThan" dxfId="1">
      <formula>0</formula>
    </cfRule>
  </conditionalFormatting>
  <conditionalFormatting sqref="B18">
    <cfRule type="cellIs" priority="12" operator="greaterThan" dxfId="1">
      <formula>0</formula>
    </cfRule>
  </conditionalFormatting>
  <conditionalFormatting sqref="B19">
    <cfRule type="cellIs" priority="13" operator="greaterThan" dxfId="1">
      <formula>0</formula>
    </cfRule>
  </conditionalFormatting>
  <conditionalFormatting sqref="B20">
    <cfRule type="cellIs" priority="14" operator="greaterThan" dxfId="1">
      <formula>0</formula>
    </cfRule>
  </conditionalFormatting>
  <conditionalFormatting sqref="B21">
    <cfRule type="cellIs" priority="15" operator="greaterThan" dxfId="1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B30" showDropDown="0" showInputMessage="1" showErrorMessage="1" allowBlank="1" errorTitle="İmza1" error="Geçersiz" promptTitle="İmza1" prompt="Metin alanı" type="textLength" errorStyle="stop" operator="greaterThanOrEqual">
      <formula1>0</formula1>
      <formula2>200</formula2>
    </dataValidation>
    <dataValidation sqref="B31" showDropDown="0" showInputMessage="1" showErrorMessage="1" allowBlank="1" errorTitle="İmza2" error="Geçersiz" promptTitle="İmza2" prompt="Metin alanı" type="textLength" errorStyle="stop" operator="greaterThanOrEqual">
      <formula1>0</formula1>
      <formula2>200</formula2>
    </dataValidation>
    <dataValidation sqref="B32" showDropDown="0" showInputMessage="1" showErrorMessage="1" allowBlank="1" errorTitle="İmza3" error="Geçersiz" promptTitle="İmza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&amp;LMakine Bakım &amp; Kalibrasyon + Duruş Maliyeti | Kanıt | 1.0.0&amp;CExcelArşiv&amp;RSayfa &amp;P / &amp;N</oddFooter>
    <evenHeader/>
    <evenFooter>&amp;LMakine Bakım &amp; Kalibrasyon + Duruş Maliyeti | Kanıt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KONTROLLER — Makine Bakım &amp; Kalibrasyon + Duruş Maliyeti</t>
        </is>
      </c>
    </row>
    <row r="3" ht="22" customHeight="1">
      <c r="A3" s="201" t="inlineStr">
        <is>
          <t>Dosya sağlığı — formül ve veri kontrolleri</t>
        </is>
      </c>
    </row>
    <row r="5">
      <c r="A5" s="20" t="inlineStr">
        <is>
          <t>Kontrol</t>
        </is>
      </c>
      <c r="B5" s="20" t="inlineStr">
        <is>
          <t>Değer</t>
        </is>
      </c>
    </row>
    <row r="6">
      <c r="A6" s="7" t="inlineStr">
        <is>
          <t>Toplam bakım</t>
        </is>
      </c>
      <c r="B6" s="23">
        <f>COUNTA(tblAkis[BakimId])</f>
        <v/>
      </c>
    </row>
    <row r="7">
      <c r="A7" s="7" t="inlineStr">
        <is>
          <t>Dolu kayıt</t>
        </is>
      </c>
      <c r="B7" s="23">
        <f>SUM(tblAkis[KayitDolu])</f>
        <v/>
      </c>
    </row>
    <row r="8">
      <c r="A8" s="7" t="inlineStr">
        <is>
          <t>Plan</t>
        </is>
      </c>
      <c r="B8" s="23">
        <f>COUNTIF(tblAkis[Durum],"PLAN")</f>
        <v/>
      </c>
    </row>
    <row r="9">
      <c r="A9" s="7" t="inlineStr">
        <is>
          <t>Gecikme</t>
        </is>
      </c>
      <c r="B9" s="23">
        <f>COUNTIF(tblAkis[Durum],"GECIKME")</f>
        <v/>
      </c>
    </row>
    <row r="10">
      <c r="A10" s="7" t="inlineStr">
        <is>
          <t>Kritik</t>
        </is>
      </c>
      <c r="B10" s="23">
        <f>COUNTIF(tblAkis[Durum],"KRITIK")</f>
        <v/>
      </c>
    </row>
    <row r="11">
      <c r="A11" s="7" t="inlineStr">
        <is>
          <t>Yapıldı</t>
        </is>
      </c>
      <c r="B11" s="23">
        <f>COUNTIF(tblAkis[Durum],"YAPILDI")</f>
        <v/>
      </c>
    </row>
    <row r="12">
      <c r="A12" s="7" t="inlineStr">
        <is>
          <t>Açık kuyruk</t>
        </is>
      </c>
      <c r="B12" s="23">
        <f>mbk_acikAdet</f>
        <v/>
      </c>
    </row>
    <row r="13">
      <c r="A13" s="7" t="inlineStr">
        <is>
          <t>Yetim</t>
        </is>
      </c>
      <c r="B13" s="23">
        <f>mbk_yetimKayit</f>
        <v/>
      </c>
    </row>
    <row r="14">
      <c r="A14" s="7" t="inlineStr">
        <is>
          <t>Geçersiz</t>
        </is>
      </c>
      <c r="B14" s="23">
        <f>mbk_gecersizGecis</f>
        <v/>
      </c>
    </row>
    <row r="15">
      <c r="A15" s="7" t="inlineStr">
        <is>
          <t>Zincir kırık</t>
        </is>
      </c>
      <c r="B15" s="23">
        <f>mbk_zincirKirik</f>
        <v/>
      </c>
    </row>
    <row r="16">
      <c r="A16" s="7" t="inlineStr">
        <is>
          <t>Veri durumu</t>
        </is>
      </c>
      <c r="B16" s="13">
        <f>IF(COUNTA(tblAkis[BakimId])=0,"VERİ YOK","VERİ VAR")</f>
        <v/>
      </c>
    </row>
    <row r="17">
      <c r="A17" s="7" t="inlineStr">
        <is>
          <t>Kalite skoru</t>
        </is>
      </c>
      <c r="B17" s="23">
        <f>mbk_kaliteSkor</f>
        <v/>
      </c>
    </row>
    <row r="18">
      <c r="A18" s="7" t="inlineStr">
        <is>
          <t>Toplam duruş</t>
        </is>
      </c>
      <c r="B18" s="23">
        <f>mbk_toplamDurus</f>
        <v/>
      </c>
    </row>
    <row r="19">
      <c r="A19" s="7" t="inlineStr">
        <is>
          <t>Duruş maliyet</t>
        </is>
      </c>
      <c r="B19" s="24">
        <f>mbk_durusMaliyet</f>
        <v/>
      </c>
    </row>
    <row r="20">
      <c r="A20" s="7" t="inlineStr">
        <is>
          <t>Kapalı düşüm</t>
        </is>
      </c>
      <c r="B20" s="23">
        <f>mbk_kapaliDusum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6">
    <cfRule type="cellIs" priority="1" operator="equal" dxfId="2">
      <formula>"VERİ YOK"</formula>
    </cfRule>
    <cfRule type="cellIs" priority="2" operator="equal" dxfId="3">
      <formula>"VERİ VAR"</formula>
    </cfRule>
  </conditionalFormatting>
  <conditionalFormatting sqref="B17">
    <cfRule type="cellIs" priority="3" operator="greaterThanOrEqual" dxfId="3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1">
      <formula>0</formula>
    </cfRule>
  </conditionalFormatting>
  <conditionalFormatting sqref="B6">
    <cfRule type="cellIs" priority="6" operator="greaterThan" dxfId="1">
      <formula>0</formula>
    </cfRule>
  </conditionalFormatting>
  <conditionalFormatting sqref="B7">
    <cfRule type="cellIs" priority="7" operator="greaterThan" dxfId="1">
      <formula>0</formula>
    </cfRule>
  </conditionalFormatting>
  <conditionalFormatting sqref="B8">
    <cfRule type="cellIs" priority="8" operator="greaterThan" dxfId="1">
      <formula>0</formula>
    </cfRule>
  </conditionalFormatting>
  <conditionalFormatting sqref="B9">
    <cfRule type="cellIs" priority="9" operator="greaterThan" dxfId="1">
      <formula>0</formula>
    </cfRule>
  </conditionalFormatting>
  <conditionalFormatting sqref="B10">
    <cfRule type="cellIs" priority="10" operator="greaterThan" dxfId="1">
      <formula>0</formula>
    </cfRule>
  </conditionalFormatting>
  <conditionalFormatting sqref="B11">
    <cfRule type="cellIs" priority="11" operator="greaterThan" dxfId="1">
      <formula>0</formula>
    </cfRule>
  </conditionalFormatting>
  <conditionalFormatting sqref="B12">
    <cfRule type="cellIs" priority="12" operator="greaterThan" dxfId="1">
      <formula>0</formula>
    </cfRule>
  </conditionalFormatting>
  <conditionalFormatting sqref="B13">
    <cfRule type="cellIs" priority="13" operator="greaterThan" dxfId="1">
      <formula>0</formula>
    </cfRule>
  </conditionalFormatting>
  <conditionalFormatting sqref="B14">
    <cfRule type="cellIs" priority="14" operator="greaterThan" dxfId="1">
      <formula>0</formula>
    </cfRule>
  </conditionalFormatting>
  <conditionalFormatting sqref="B15">
    <cfRule type="cellIs" priority="15" operator="greaterThan" dxfId="1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ORNEK VERI — Makine Bakım &amp; Kalibrasyon + Duruş Maliyeti</t>
        </is>
      </c>
    </row>
    <row r="3" ht="22" customHeight="1">
      <c r="A3" s="201" t="inlineStr">
        <is>
          <t>Demo veri özeti — AKIS satırlarından türetilir</t>
        </is>
      </c>
    </row>
    <row r="5">
      <c r="A5" s="20" t="inlineStr">
        <is>
          <t>Alan</t>
        </is>
      </c>
      <c r="B5" s="20" t="inlineStr">
        <is>
          <t>Değer</t>
        </is>
      </c>
    </row>
    <row r="6">
      <c r="A6" s="7" t="inlineStr">
        <is>
          <t>Demo makine kartı</t>
        </is>
      </c>
      <c r="B6" s="21" t="n">
        <v>8</v>
      </c>
    </row>
    <row r="7">
      <c r="A7" s="7" t="inlineStr">
        <is>
          <t>Demo bakım satırı</t>
        </is>
      </c>
      <c r="B7" s="21" t="n">
        <v>28</v>
      </c>
    </row>
    <row r="8">
      <c r="A8" s="7" t="inlineStr">
        <is>
          <t>Durumlar: Plan/Gecikme/Kritik/Yapıldı — kapalılar kuyruktan düşer</t>
        </is>
      </c>
    </row>
    <row r="9">
      <c r="A9" s="7" t="inlineStr">
        <is>
          <t>Ölçek sözleşmesi</t>
        </is>
      </c>
      <c r="B9" s="21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3" customWidth="1" min="8" max="8"/>
    <col width="16" customWidth="1" min="9" max="9"/>
    <col width="13" customWidth="1" min="10" max="10"/>
    <col width="13" customWidth="1" min="11" max="11"/>
  </cols>
  <sheetData>
    <row r="1" ht="32" customHeight="1">
      <c r="A1" s="181" t="inlineStr">
        <is>
          <t>LISTELER — Makine Bakım &amp; Kalibrasyon + Duruş Maliyeti</t>
        </is>
      </c>
    </row>
    <row r="3">
      <c r="A3" s="22" t="inlineStr">
        <is>
          <t>Durum Listesi</t>
        </is>
      </c>
      <c r="C3" s="22" t="inlineStr">
        <is>
          <t>İzinli Geçişler</t>
        </is>
      </c>
      <c r="E3" s="13" t="inlineStr">
        <is>
          <t>Evet / Hayır</t>
        </is>
      </c>
      <c r="G3" s="13" t="inlineStr">
        <is>
          <t>Yorum A/B</t>
        </is>
      </c>
      <c r="I3" s="13" t="inlineStr">
        <is>
          <t>Bakım Türü</t>
        </is>
      </c>
    </row>
    <row r="6">
      <c r="A6" s="20" t="inlineStr">
        <is>
          <t>DurumId</t>
        </is>
      </c>
      <c r="C6" s="20" t="inlineStr">
        <is>
          <t>Gecis</t>
        </is>
      </c>
      <c r="E6" s="20" t="inlineStr">
        <is>
          <t>Secim</t>
        </is>
      </c>
      <c r="G6" s="20" t="inlineStr">
        <is>
          <t>Yorum</t>
        </is>
      </c>
      <c r="I6" s="20" t="inlineStr">
        <is>
          <t>Tur</t>
        </is>
      </c>
    </row>
    <row r="7">
      <c r="A7" s="15" t="inlineStr">
        <is>
          <t>PLAN</t>
        </is>
      </c>
      <c r="C7" s="15" t="inlineStr">
        <is>
          <t>PLAN|YAPILDI</t>
        </is>
      </c>
      <c r="E7" s="15" t="inlineStr">
        <is>
          <t>EVET</t>
        </is>
      </c>
      <c r="G7" s="15" t="inlineStr">
        <is>
          <t>A</t>
        </is>
      </c>
      <c r="I7" s="15" t="inlineStr">
        <is>
          <t>ONLEYICI</t>
        </is>
      </c>
    </row>
    <row r="8">
      <c r="A8" s="15" t="inlineStr">
        <is>
          <t>YAPILDI</t>
        </is>
      </c>
      <c r="C8" s="15" t="inlineStr">
        <is>
          <t>PLAN|GECIKME</t>
        </is>
      </c>
      <c r="E8" s="15" t="inlineStr">
        <is>
          <t>HAYIR</t>
        </is>
      </c>
      <c r="G8" s="15" t="inlineStr">
        <is>
          <t>B</t>
        </is>
      </c>
      <c r="I8" s="15" t="inlineStr">
        <is>
          <t>DUZELTICI</t>
        </is>
      </c>
    </row>
    <row r="9">
      <c r="A9" s="15" t="inlineStr">
        <is>
          <t>GECIKME</t>
        </is>
      </c>
      <c r="C9" s="15" t="inlineStr">
        <is>
          <t>GECIKME|YAPILDI</t>
        </is>
      </c>
      <c r="I9" s="15" t="inlineStr">
        <is>
          <t>KALIBRASYON</t>
        </is>
      </c>
    </row>
    <row r="10">
      <c r="A10" s="15" t="inlineStr">
        <is>
          <t>KRITIK</t>
        </is>
      </c>
      <c r="C10" s="15" t="inlineStr">
        <is>
          <t>GECIKME|KRITIK</t>
        </is>
      </c>
      <c r="I10" s="15" t="inlineStr">
        <is>
          <t>ACIL</t>
        </is>
      </c>
    </row>
    <row r="11">
      <c r="C11" s="15" t="inlineStr">
        <is>
          <t>KRITIK|YAPILDI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0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L84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35.5" customWidth="1" min="2" max="2"/>
    <col width="10" customWidth="1" min="3" max="3"/>
    <col width="30.5" customWidth="1" min="4" max="4"/>
    <col width="19.5" customWidth="1" min="5" max="5"/>
    <col width="29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81" t="inlineStr">
        <is>
          <t>AYARLAR — Makine Bakım &amp; Kalibrasyon + Duruş Maliyeti</t>
        </is>
      </c>
    </row>
    <row r="3" ht="22" customHeight="1">
      <c r="A3" s="201" t="inlineStr">
        <is>
          <t>Tek kaynak parametreler + durum haritası (A01/A06)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64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17" t="n">
        <v>1</v>
      </c>
      <c r="C7" s="7" t="inlineStr">
        <is>
          <t>saat</t>
        </is>
      </c>
      <c r="D7" s="7" t="inlineStr">
        <is>
          <t>İş kuralı — duruş sapma</t>
        </is>
      </c>
      <c r="E7" s="7" t="inlineStr">
        <is>
          <t>01.01.2026</t>
        </is>
      </c>
      <c r="F7" s="8" t="inlineStr">
        <is>
          <t>ZİNCİR KIRIK eşiği (saat)</t>
        </is>
      </c>
    </row>
    <row r="8">
      <c r="A8" s="7" t="inlineStr">
        <is>
          <t>mbk_esikDurusSaat</t>
        </is>
      </c>
      <c r="B8" s="17" t="n">
        <v>4</v>
      </c>
      <c r="C8" s="7" t="inlineStr">
        <is>
          <t>saat</t>
        </is>
      </c>
      <c r="D8" s="7" t="inlineStr">
        <is>
          <t>İç politika / MBK</t>
        </is>
      </c>
      <c r="E8" s="7" t="inlineStr">
        <is>
          <t>01.01.2026</t>
        </is>
      </c>
      <c r="F8" s="8" t="inlineStr">
        <is>
          <t>Duruş eşik saati</t>
        </is>
      </c>
    </row>
    <row r="9">
      <c r="A9" s="7" t="inlineStr">
        <is>
          <t>mbk_kritikGecikmeGun</t>
        </is>
      </c>
      <c r="B9" s="17" t="n">
        <v>14</v>
      </c>
      <c r="C9" s="7" t="inlineStr">
        <is>
          <t>gün</t>
        </is>
      </c>
      <c r="D9" s="7" t="inlineStr">
        <is>
          <t>MBK-003</t>
        </is>
      </c>
      <c r="E9" s="7" t="inlineStr">
        <is>
          <t>01.01.2026</t>
        </is>
      </c>
      <c r="F9" s="8" t="inlineStr">
        <is>
          <t>Kritik gecikme eşiği</t>
        </is>
      </c>
    </row>
    <row r="10">
      <c r="A10" s="7" t="inlineStr">
        <is>
          <t>mbk_kalibrasyonEsik</t>
        </is>
      </c>
      <c r="B10" s="17" t="n">
        <v>0</v>
      </c>
      <c r="C10" s="7" t="inlineStr">
        <is>
          <t>gün</t>
        </is>
      </c>
      <c r="D10" s="7" t="inlineStr">
        <is>
          <t>MBK-002</t>
        </is>
      </c>
      <c r="E10" s="7" t="inlineStr">
        <is>
          <t>01.01.2026</t>
        </is>
      </c>
      <c r="F10" s="8" t="inlineStr">
        <is>
          <t>Kalibrasyon vade eşiği</t>
        </is>
      </c>
    </row>
    <row r="11">
      <c r="A11" s="7" t="inlineStr">
        <is>
          <t>mbk_kovaEsik1</t>
        </is>
      </c>
      <c r="B11" s="17" t="n">
        <v>7</v>
      </c>
      <c r="C11" s="7" t="inlineStr">
        <is>
          <t>gün</t>
        </is>
      </c>
      <c r="D11" s="7" t="inlineStr">
        <is>
          <t>Yaşlandırma</t>
        </is>
      </c>
      <c r="E11" s="7" t="inlineStr">
        <is>
          <t>01.01.2026</t>
        </is>
      </c>
      <c r="F11" s="8" t="inlineStr">
        <is>
          <t>Kova 1 üst sınır</t>
        </is>
      </c>
    </row>
    <row r="12">
      <c r="A12" s="7" t="inlineStr">
        <is>
          <t>mbk_kovaEsik2</t>
        </is>
      </c>
      <c r="B12" s="17" t="n">
        <v>30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2 üst sınır</t>
        </is>
      </c>
    </row>
    <row r="13">
      <c r="A13" s="7" t="inlineStr">
        <is>
          <t>mbk_kovaEsik3</t>
        </is>
      </c>
      <c r="B13" s="17" t="n">
        <v>60</v>
      </c>
      <c r="C13" s="7" t="inlineStr">
        <is>
          <t>gün</t>
        </is>
      </c>
      <c r="D13" s="7" t="inlineStr">
        <is>
          <t>Yaşlandırma</t>
        </is>
      </c>
      <c r="E13" s="7" t="inlineStr">
        <is>
          <t>01.01.2026</t>
        </is>
      </c>
      <c r="F13" s="8" t="inlineStr">
        <is>
          <t>Kova 3 üst sınır</t>
        </is>
      </c>
    </row>
    <row r="14">
      <c r="A14" s="7" t="inlineStr">
        <is>
          <t>mbk_durusKatsayi</t>
        </is>
      </c>
      <c r="B14" s="69" t="n">
        <v>1</v>
      </c>
      <c r="C14" s="7" t="inlineStr">
        <is>
          <t>oran</t>
        </is>
      </c>
      <c r="D14" s="7" t="inlineStr">
        <is>
          <t>MBK-004</t>
        </is>
      </c>
      <c r="E14" s="7" t="inlineStr">
        <is>
          <t>01.01.2026</t>
        </is>
      </c>
      <c r="F14" s="8" t="inlineStr">
        <is>
          <t>Duruş maliyet katsayısı</t>
        </is>
      </c>
    </row>
    <row r="15">
      <c r="A15" s="7" t="inlineStr">
        <is>
          <t>mbk_haftalikCarpan</t>
        </is>
      </c>
      <c r="B15" s="69" t="n">
        <v>0.2</v>
      </c>
      <c r="C15" s="7" t="inlineStr">
        <is>
          <t>oran</t>
        </is>
      </c>
      <c r="D15" s="7" t="inlineStr">
        <is>
          <t>Haftalık proxy</t>
        </is>
      </c>
      <c r="E15" s="7" t="inlineStr">
        <is>
          <t>01.01.2026</t>
        </is>
      </c>
      <c r="F15" s="8" t="inlineStr">
        <is>
          <t>Haftalık duruş çarpan</t>
        </is>
      </c>
    </row>
    <row r="16">
      <c r="A16" s="7" t="inlineStr">
        <is>
          <t>mbk_senaryoTemkinli</t>
        </is>
      </c>
      <c r="B16" s="69" t="n">
        <v>0.85</v>
      </c>
      <c r="C16" s="7" t="inlineStr">
        <is>
          <t>oran</t>
        </is>
      </c>
      <c r="D16" s="7" t="inlineStr">
        <is>
          <t>Senaryo motoru</t>
        </is>
      </c>
      <c r="E16" s="7" t="inlineStr">
        <is>
          <t>01.01.2026</t>
        </is>
      </c>
      <c r="F16" s="8" t="inlineStr">
        <is>
          <t>Temkinli çarpan</t>
        </is>
      </c>
    </row>
    <row r="17">
      <c r="A17" s="7" t="inlineStr">
        <is>
          <t>mbk_senaryoBaz</t>
        </is>
      </c>
      <c r="B17" s="69" t="n">
        <v>1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Baz çarpan</t>
        </is>
      </c>
    </row>
    <row r="18">
      <c r="A18" s="7" t="inlineStr">
        <is>
          <t>mbk_senaryoIyimser</t>
        </is>
      </c>
      <c r="B18" s="69" t="n">
        <v>1.15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İyimser çarpan</t>
        </is>
      </c>
    </row>
    <row r="19">
      <c r="A19" s="7" t="inlineStr">
        <is>
          <t>mbk_tornadoOran</t>
        </is>
      </c>
      <c r="B19" s="69" t="n">
        <v>0.08</v>
      </c>
      <c r="C19" s="7" t="inlineStr">
        <is>
          <t>oran</t>
        </is>
      </c>
      <c r="D19" s="7" t="inlineStr">
        <is>
          <t>Duyarlılık</t>
        </is>
      </c>
      <c r="E19" s="7" t="inlineStr">
        <is>
          <t>01.01.2026</t>
        </is>
      </c>
      <c r="F19" s="8" t="inlineStr">
        <is>
          <t>Tornado etki oranı</t>
        </is>
      </c>
    </row>
    <row r="20">
      <c r="A20" s="7" t="inlineStr">
        <is>
          <t>mbk_yuzdelikOran</t>
        </is>
      </c>
      <c r="B20" s="69" t="n">
        <v>0.9</v>
      </c>
      <c r="C20" s="7" t="inlineStr">
        <is>
          <t>oran</t>
        </is>
      </c>
      <c r="D20" s="7" t="inlineStr">
        <is>
          <t>İstatistik kuralı</t>
        </is>
      </c>
      <c r="E20" s="7" t="inlineStr">
        <is>
          <t>01.01.2026</t>
        </is>
      </c>
      <c r="F20" s="8" t="inlineStr">
        <is>
          <t>PERCENTILE oranı</t>
        </is>
      </c>
    </row>
    <row r="21">
      <c r="A21" s="7" t="inlineStr">
        <is>
          <t>mbk_olcekHedef</t>
        </is>
      </c>
      <c r="B21" s="17" t="n">
        <v>20000</v>
      </c>
      <c r="C21" s="7" t="inlineStr">
        <is>
          <t>satir</t>
        </is>
      </c>
      <c r="D21" s="7" t="inlineStr">
        <is>
          <t>Manda A3 Ö1</t>
        </is>
      </c>
      <c r="E21" s="7" t="inlineStr">
        <is>
          <t>01.01.2026</t>
        </is>
      </c>
      <c r="F21" s="8" t="inlineStr">
        <is>
          <t>Ölçek sözleşmesi</t>
        </is>
      </c>
    </row>
    <row r="22">
      <c r="A22" s="7" t="inlineStr">
        <is>
          <t>mbk_azamiDurus</t>
        </is>
      </c>
      <c r="B22" s="17" t="n">
        <v>24</v>
      </c>
      <c r="C22" s="7" t="inlineStr">
        <is>
          <t>saat</t>
        </is>
      </c>
      <c r="D22" s="7" t="inlineStr">
        <is>
          <t>İç politika — uç değer</t>
        </is>
      </c>
      <c r="E22" s="7" t="inlineStr">
        <is>
          <t>01.01.2026</t>
        </is>
      </c>
      <c r="F22" s="8" t="inlineStr">
        <is>
          <t>Azami fiili duruş</t>
        </is>
      </c>
    </row>
    <row r="23">
      <c r="A23" s="7" t="inlineStr">
        <is>
          <t>mbk_kaliteTaban</t>
        </is>
      </c>
      <c r="B23" s="17" t="n">
        <v>100</v>
      </c>
      <c r="C23" s="7" t="inlineStr">
        <is>
          <t>puan</t>
        </is>
      </c>
      <c r="D23" s="7" t="inlineStr">
        <is>
          <t>Kalite modeli</t>
        </is>
      </c>
      <c r="E23" s="7" t="inlineStr">
        <is>
          <t>01.01.2026</t>
        </is>
      </c>
      <c r="F23" s="8" t="inlineStr">
        <is>
          <t>Kalite taban puanı</t>
        </is>
      </c>
    </row>
    <row r="24">
      <c r="A24" s="7" t="inlineStr">
        <is>
          <t>mbk_kaliteCeza</t>
        </is>
      </c>
      <c r="B24" s="17" t="n">
        <v>10</v>
      </c>
      <c r="C24" s="7" t="inlineStr">
        <is>
          <t>puan</t>
        </is>
      </c>
      <c r="D24" s="7" t="inlineStr">
        <is>
          <t>Kalite modeli</t>
        </is>
      </c>
      <c r="E24" s="7" t="inlineStr">
        <is>
          <t>01.01.2026</t>
        </is>
      </c>
      <c r="F24" s="8" t="inlineStr">
        <is>
          <t>Yetim/geçiş/zincir cezası</t>
        </is>
      </c>
    </row>
    <row r="25">
      <c r="A25" s="7" t="inlineStr">
        <is>
          <t>mbk_kaliteSapma</t>
        </is>
      </c>
      <c r="B25" s="17" t="n">
        <v>2</v>
      </c>
      <c r="C25" s="7" t="inlineStr">
        <is>
          <t>puan</t>
        </is>
      </c>
      <c r="D25" s="7" t="inlineStr">
        <is>
          <t>Kalite modeli</t>
        </is>
      </c>
      <c r="E25" s="7" t="inlineStr">
        <is>
          <t>01.01.2026</t>
        </is>
      </c>
      <c r="F25" s="8" t="inlineStr">
        <is>
          <t>Sapma cezası</t>
        </is>
      </c>
    </row>
    <row r="26">
      <c r="A26" s="7" t="inlineStr">
        <is>
          <t>mbk_durumHaritasi</t>
        </is>
      </c>
      <c r="B26" s="15" t="inlineStr">
        <is>
          <t>AYARLAR durum tablosu</t>
        </is>
      </c>
      <c r="C26" s="7" t="inlineStr">
        <is>
          <t>metin</t>
        </is>
      </c>
      <c r="D26" s="7" t="inlineStr">
        <is>
          <t>SPEC akis.durum_haritasi</t>
        </is>
      </c>
      <c r="E26" s="7" t="inlineStr">
        <is>
          <t>01.01.2026</t>
        </is>
      </c>
      <c r="F26" s="8" t="inlineStr">
        <is>
          <t>Durum makinesi kaynağı</t>
        </is>
      </c>
    </row>
    <row r="27">
      <c r="A27" s="7" t="inlineStr">
        <is>
          <t>mbk_kuyrukOzeti_metin</t>
        </is>
      </c>
      <c r="B27" s="15" t="inlineStr">
        <is>
          <t>KUYRUKLAR canlı özet</t>
        </is>
      </c>
      <c r="C27" s="7" t="inlineStr">
        <is>
          <t>metin</t>
        </is>
      </c>
      <c r="D27" s="7" t="inlineStr">
        <is>
          <t>A05 kuyruk</t>
        </is>
      </c>
      <c r="E27" s="7" t="inlineStr">
        <is>
          <t>01.01.2026</t>
        </is>
      </c>
      <c r="F27" s="8" t="inlineStr">
        <is>
          <t>Kuyruk görünümü</t>
        </is>
      </c>
    </row>
    <row r="28">
      <c r="A28" s="7" t="inlineStr">
        <is>
          <t>mbk_kapaliDusum_metin</t>
        </is>
      </c>
      <c r="B28" s="15" t="inlineStr">
        <is>
          <t>kapali kategori kuyruktan düşer</t>
        </is>
      </c>
      <c r="C28" s="7" t="inlineStr">
        <is>
          <t>metin</t>
        </is>
      </c>
      <c r="D28" s="7" t="inlineStr">
        <is>
          <t>A06</t>
        </is>
      </c>
      <c r="E28" s="7" t="inlineStr">
        <is>
          <t>01.01.2026</t>
        </is>
      </c>
      <c r="F28" s="8" t="inlineStr">
        <is>
          <t>Kapalı düşüm kuralı</t>
        </is>
      </c>
    </row>
    <row r="29">
      <c r="A29" s="7" t="inlineStr">
        <is>
          <t>mbk_kanitRaporu_metin</t>
        </is>
      </c>
      <c r="B29" s="15" t="inlineStr">
        <is>
          <t>KANIT_RAPORU çıktısı</t>
        </is>
      </c>
      <c r="C29" s="7" t="inlineStr">
        <is>
          <t>metin</t>
        </is>
      </c>
      <c r="D29" s="7" t="inlineStr">
        <is>
          <t>A4 kanıt</t>
        </is>
      </c>
      <c r="E29" s="7" t="inlineStr">
        <is>
          <t>01.01.2026</t>
        </is>
      </c>
      <c r="F29" s="8" t="inlineStr">
        <is>
          <t>Kanıt raporu</t>
        </is>
      </c>
    </row>
    <row r="30">
      <c r="A30" s="7" t="inlineStr">
        <is>
          <t>mbk_dosyaSurumu</t>
        </is>
      </c>
      <c r="B30" s="15" t="inlineStr">
        <is>
          <t>1.0.0</t>
        </is>
      </c>
      <c r="C30" s="7" t="inlineStr">
        <is>
          <t>metin</t>
        </is>
      </c>
      <c r="D30" s="7" t="inlineStr">
        <is>
          <t>Sürüm yönetimi</t>
        </is>
      </c>
      <c r="E30" s="7" t="inlineStr">
        <is>
          <t>01.01.2026</t>
        </is>
      </c>
      <c r="F30" s="8" t="inlineStr">
        <is>
          <t>Ürün sürümü</t>
        </is>
      </c>
    </row>
    <row r="31">
      <c r="A31" s="7" t="inlineStr">
        <is>
          <t>mbk_firmaUnvan</t>
        </is>
      </c>
      <c r="B31" s="15" t="inlineStr">
        <is>
          <t>Örnek Üretim A.Ş.</t>
        </is>
      </c>
      <c r="C31" s="7" t="inlineStr">
        <is>
          <t>metin</t>
        </is>
      </c>
      <c r="D31" s="7" t="inlineStr">
        <is>
          <t>Kullanıcı girişi</t>
        </is>
      </c>
      <c r="E31" s="7" t="inlineStr">
        <is>
          <t>01.01.2026</t>
        </is>
      </c>
      <c r="F31" s="8" t="inlineStr">
        <is>
          <t>Firma</t>
        </is>
      </c>
    </row>
    <row r="32">
      <c r="A32" s="7" t="inlineStr">
        <is>
          <t>mbk_aktifYil</t>
        </is>
      </c>
      <c r="B32" s="17" t="n">
        <v>2026</v>
      </c>
      <c r="C32" s="7" t="inlineStr">
        <is>
          <t>yil</t>
        </is>
      </c>
      <c r="D32" s="7" t="inlineStr">
        <is>
          <t>KURALLAR</t>
        </is>
      </c>
      <c r="E32" s="7" t="inlineStr">
        <is>
          <t>01.01.2026</t>
        </is>
      </c>
      <c r="F32" s="8" t="inlineStr">
        <is>
          <t>Aktif hesap yılı</t>
        </is>
      </c>
    </row>
    <row r="33">
      <c r="A33" s="7" t="inlineStr">
        <is>
          <t>mbk_yilA</t>
        </is>
      </c>
      <c r="B33" s="17" t="n">
        <v>2025</v>
      </c>
      <c r="C33" s="7" t="inlineStr">
        <is>
          <t>yil</t>
        </is>
      </c>
      <c r="D33" s="7" t="inlineStr">
        <is>
          <t>KURALLAR matris</t>
        </is>
      </c>
      <c r="E33" s="7" t="inlineStr">
        <is>
          <t>01.01.2026</t>
        </is>
      </c>
      <c r="F33" s="8" t="inlineStr">
        <is>
          <t>Kural yılı A</t>
        </is>
      </c>
    </row>
    <row r="34">
      <c r="A34" s="7" t="inlineStr">
        <is>
          <t>mbk_yilC</t>
        </is>
      </c>
      <c r="B34" s="17" t="n">
        <v>2027</v>
      </c>
      <c r="C34" s="7" t="inlineStr">
        <is>
          <t>yil</t>
        </is>
      </c>
      <c r="D34" s="7" t="inlineStr">
        <is>
          <t>KURALLAR matris</t>
        </is>
      </c>
      <c r="E34" s="7" t="inlineStr">
        <is>
          <t>01.01.2026</t>
        </is>
      </c>
      <c r="F34" s="8" t="inlineStr">
        <is>
          <t>Kural yılı C</t>
        </is>
      </c>
    </row>
    <row r="35">
      <c r="A35" s="7" t="inlineStr">
        <is>
          <t>mbk_vakaKritikEsik</t>
        </is>
      </c>
      <c r="B35" s="17" t="n">
        <v>8</v>
      </c>
      <c r="C35" s="7" t="inlineStr">
        <is>
          <t>saat</t>
        </is>
      </c>
      <c r="D35" s="7" t="inlineStr">
        <is>
          <t>VAKALAR kritik eşik</t>
        </is>
      </c>
      <c r="E35" s="7" t="inlineStr">
        <is>
          <t>01.01.2026</t>
        </is>
      </c>
      <c r="F35" s="8" t="inlineStr">
        <is>
          <t>Vaka kritik duruş eşiği</t>
        </is>
      </c>
    </row>
    <row r="38">
      <c r="H38" s="5" t="inlineStr">
        <is>
          <t>Durum Haritası</t>
        </is>
      </c>
    </row>
    <row r="39" ht="30" customHeight="1">
      <c r="H39" s="14" t="inlineStr">
        <is>
          <t>durum_id</t>
        </is>
      </c>
      <c r="I39" s="14" t="inlineStr">
        <is>
          <t>durum_adi</t>
        </is>
      </c>
      <c r="J39" s="14" t="inlineStr">
        <is>
          <t>sira</t>
        </is>
      </c>
      <c r="K39" s="14" t="inlineStr">
        <is>
          <t>izinli_sonraki_durumlar</t>
        </is>
      </c>
      <c r="L39" s="14" t="inlineStr">
        <is>
          <t>kategori</t>
        </is>
      </c>
    </row>
    <row r="40">
      <c r="H40" s="7" t="inlineStr">
        <is>
          <t>PLAN</t>
        </is>
      </c>
      <c r="I40" s="7" t="inlineStr">
        <is>
          <t>Plan</t>
        </is>
      </c>
      <c r="J40" s="21" t="n">
        <v>1</v>
      </c>
      <c r="K40" s="7" t="inlineStr">
        <is>
          <t>YAPILDI|GECIKME</t>
        </is>
      </c>
      <c r="L40" s="7" t="inlineStr">
        <is>
          <t>acik</t>
        </is>
      </c>
    </row>
    <row r="41">
      <c r="H41" s="7" t="inlineStr">
        <is>
          <t>YAPILDI</t>
        </is>
      </c>
      <c r="I41" s="7" t="inlineStr">
        <is>
          <t>Yapıldı</t>
        </is>
      </c>
      <c r="J41" s="21" t="n">
        <v>2</v>
      </c>
      <c r="K41" s="7" t="inlineStr"/>
      <c r="L41" s="7" t="inlineStr">
        <is>
          <t>kapali</t>
        </is>
      </c>
    </row>
    <row r="42">
      <c r="H42" s="7" t="inlineStr">
        <is>
          <t>GECIKME</t>
        </is>
      </c>
      <c r="I42" s="7" t="inlineStr">
        <is>
          <t>Gecikme</t>
        </is>
      </c>
      <c r="J42" s="21" t="n">
        <v>3</v>
      </c>
      <c r="K42" s="7" t="inlineStr">
        <is>
          <t>YAPILDI|KRITIK</t>
        </is>
      </c>
      <c r="L42" s="7" t="inlineStr">
        <is>
          <t>acik</t>
        </is>
      </c>
    </row>
    <row r="43">
      <c r="H43" s="7" t="inlineStr">
        <is>
          <t>KRITIK</t>
        </is>
      </c>
      <c r="I43" s="7" t="inlineStr">
        <is>
          <t>Kritik</t>
        </is>
      </c>
      <c r="J43" s="21" t="n">
        <v>4</v>
      </c>
      <c r="K43" s="7" t="inlineStr">
        <is>
          <t>YAPILDI</t>
        </is>
      </c>
      <c r="L43" s="7" t="inlineStr">
        <is>
          <t>acik</t>
        </is>
      </c>
    </row>
    <row r="46">
      <c r="H46" s="22" t="inlineStr">
        <is>
          <t>Motor Çıktıları</t>
        </is>
      </c>
    </row>
    <row r="47">
      <c r="H47" s="20" t="inlineStr">
        <is>
          <t>anahtar</t>
        </is>
      </c>
      <c r="I47" s="20" t="inlineStr">
        <is>
          <t>deger</t>
        </is>
      </c>
    </row>
    <row r="48">
      <c r="H48" s="7" t="inlineStr">
        <is>
          <t>mbk_acikAdet</t>
        </is>
      </c>
      <c r="I48" s="8">
        <f>HESAP!C16</f>
        <v/>
      </c>
    </row>
    <row r="49">
      <c r="H49" s="7" t="inlineStr">
        <is>
          <t>mbk_toplamDurus</t>
        </is>
      </c>
      <c r="I49" s="8">
        <f>HESAP!C8</f>
        <v/>
      </c>
    </row>
    <row r="50">
      <c r="H50" s="7" t="inlineStr">
        <is>
          <t>mbk_durusEsikAsim</t>
        </is>
      </c>
      <c r="I50" s="8">
        <f>HESAP!C28</f>
        <v/>
      </c>
    </row>
    <row r="51">
      <c r="H51" s="7" t="inlineStr">
        <is>
          <t>mbk_durusMaliyet</t>
        </is>
      </c>
      <c r="I51" s="8">
        <f>HESAP!C30</f>
        <v/>
      </c>
    </row>
    <row r="52">
      <c r="H52" s="7" t="inlineStr">
        <is>
          <t>mbk_yetimKayit</t>
        </is>
      </c>
      <c r="I52" s="8">
        <f>HESAP!C19</f>
        <v/>
      </c>
    </row>
    <row r="53">
      <c r="H53" s="7" t="inlineStr">
        <is>
          <t>mbk_gecersizGecis</t>
        </is>
      </c>
      <c r="I53" s="8">
        <f>HESAP!C20</f>
        <v/>
      </c>
    </row>
    <row r="54">
      <c r="H54" s="7" t="inlineStr">
        <is>
          <t>mbk_zincirKirik</t>
        </is>
      </c>
      <c r="I54" s="8">
        <f>HESAP!C21</f>
        <v/>
      </c>
    </row>
    <row r="55">
      <c r="H55" s="7" t="inlineStr">
        <is>
          <t>mbk_kritikAdet</t>
        </is>
      </c>
      <c r="I55" s="8">
        <f>HESAP!C53</f>
        <v/>
      </c>
    </row>
    <row r="56">
      <c r="H56" s="7" t="inlineStr">
        <is>
          <t>mbk_yasKova</t>
        </is>
      </c>
      <c r="I56" s="8">
        <f>HESAP!C49</f>
        <v/>
      </c>
    </row>
    <row r="57">
      <c r="H57" s="7" t="inlineStr">
        <is>
          <t>mbk_gunlukDurusOrt</t>
        </is>
      </c>
      <c r="I57" s="8">
        <f>HESAP!C27</f>
        <v/>
      </c>
    </row>
    <row r="58">
      <c r="H58" s="7" t="inlineStr">
        <is>
          <t>mbk_durusSapma</t>
        </is>
      </c>
      <c r="I58" s="8">
        <f>HESAP!C33</f>
        <v/>
      </c>
    </row>
    <row r="59">
      <c r="H59" s="7" t="inlineStr">
        <is>
          <t>mbk_tahminAralik</t>
        </is>
      </c>
      <c r="I59" s="8">
        <f>HESAP!C43</f>
        <v/>
      </c>
    </row>
    <row r="60">
      <c r="H60" s="7" t="inlineStr">
        <is>
          <t>mbk_senaryoKarsilastirma</t>
        </is>
      </c>
      <c r="I60" s="8">
        <f>HESAP!C37</f>
        <v/>
      </c>
    </row>
    <row r="61">
      <c r="H61" s="7" t="inlineStr">
        <is>
          <t>mbk_tornadoZirve</t>
        </is>
      </c>
      <c r="I61" s="8">
        <f>HESAP!C38</f>
        <v/>
      </c>
    </row>
    <row r="62">
      <c r="H62" s="7" t="inlineStr">
        <is>
          <t>mbk_hhi</t>
        </is>
      </c>
      <c r="I62" s="8">
        <f>HESAP!C39</f>
        <v/>
      </c>
    </row>
    <row r="63">
      <c r="H63" s="7" t="inlineStr">
        <is>
          <t>mbk_kaliteSkor</t>
        </is>
      </c>
      <c r="I63" s="8">
        <f>HESAP!C40</f>
        <v/>
      </c>
    </row>
    <row r="64">
      <c r="H64" s="7" t="inlineStr">
        <is>
          <t>mbk_yuzdelikP90</t>
        </is>
      </c>
      <c r="I64" s="8">
        <f>HESAP!C44</f>
        <v/>
      </c>
    </row>
    <row r="65">
      <c r="H65" s="7" t="inlineStr">
        <is>
          <t>mbk_senaryoMotor</t>
        </is>
      </c>
      <c r="I65" s="8">
        <f>HESAP!C50</f>
        <v/>
      </c>
    </row>
    <row r="66">
      <c r="H66" s="7" t="inlineStr">
        <is>
          <t>mbk_kapaliDusum</t>
        </is>
      </c>
      <c r="I66" s="8">
        <f>HESAP!C17</f>
        <v/>
      </c>
    </row>
    <row r="67">
      <c r="H67" s="7" t="inlineStr">
        <is>
          <t>mbk_kuyrukOzeti</t>
        </is>
      </c>
      <c r="I67" s="8">
        <f>HESAP!C48</f>
        <v/>
      </c>
    </row>
    <row r="68">
      <c r="H68" s="7" t="inlineStr">
        <is>
          <t>mbk_kanitRaporu</t>
        </is>
      </c>
      <c r="I68" s="8">
        <f>_xlfn.TEXTJOIN(" | ",TRUE,"Açık",HESAP!C16,"Yetim",HESAP!C19,"Zincir",HESAP!C21,"Duruş",HESAP!C8,"Kritik",HESAP!C53)</f>
        <v/>
      </c>
    </row>
    <row r="69">
      <c r="H69" s="7" t="inlineStr">
        <is>
          <t>mbk_sonrakiKimlik</t>
        </is>
      </c>
      <c r="I69" s="8">
        <f>"MAK-"&amp;TEXT(COUNTA(tblMakineler[MakineId])+1,"00000")</f>
        <v/>
      </c>
    </row>
    <row r="70">
      <c r="H70" s="7" t="inlineStr">
        <is>
          <t>mbk_haftalikDurus</t>
        </is>
      </c>
      <c r="I70" s="8">
        <f>HESAP!C32</f>
        <v/>
      </c>
    </row>
    <row r="71">
      <c r="H71" s="7" t="inlineStr">
        <is>
          <t>mbk_gecikmeAdet</t>
        </is>
      </c>
      <c r="I71" s="8">
        <f>HESAP!C52</f>
        <v/>
      </c>
    </row>
    <row r="72">
      <c r="H72" s="7" t="inlineStr">
        <is>
          <t>mbk_kuralYilMatris</t>
        </is>
      </c>
      <c r="I72" s="8">
        <f>_xlfn.TEXTJOIN(" | ",TRUE,"MBK-001..005","2025-2027",mbk_aktifYil)</f>
        <v/>
      </c>
    </row>
    <row r="74">
      <c r="H74" s="22" t="inlineStr">
        <is>
          <t>Yorumlar</t>
        </is>
      </c>
    </row>
    <row r="75">
      <c r="H75" s="7" t="inlineStr">
        <is>
          <t>mbk_yorumGunluk</t>
        </is>
      </c>
      <c r="I75" s="8">
        <f>_xlfn.TEXTJOIN(" ",TRUE,"Günlük duruş ort",TEXT(mbk_gunlukDurusOrt,"0.0"),"saat")</f>
        <v/>
      </c>
    </row>
    <row r="76">
      <c r="H76" s="7" t="inlineStr">
        <is>
          <t>mbk_yorumHaftalik</t>
        </is>
      </c>
      <c r="I76" s="8">
        <f>_xlfn.TEXTJOIN(" ",TRUE,"Haftalık duruş proxy",TEXT(mbk_haftalikDurus,"0.0"),"saat")</f>
        <v/>
      </c>
    </row>
    <row r="77">
      <c r="H77" s="7" t="inlineStr">
        <is>
          <t>mbk_yorumSapma</t>
        </is>
      </c>
      <c r="I77" s="8">
        <f>_xlfn.TEXTJOIN(" ",TRUE,"Duruş sapma",TEXT(mbk_durusSapma,"0.00"),"saat")</f>
        <v/>
      </c>
    </row>
    <row r="78">
      <c r="H78" s="7" t="inlineStr">
        <is>
          <t>mbk_yorumTornado</t>
        </is>
      </c>
      <c r="I78" s="8">
        <f>_xlfn.TEXTJOIN(" ",TRUE,"Tornado zirve",TEXT(mbk_tornadoZirve,"0.00"),"saat")</f>
        <v/>
      </c>
    </row>
    <row r="79">
      <c r="H79" s="7" t="inlineStr">
        <is>
          <t>mbk_yorumSenaryo</t>
        </is>
      </c>
      <c r="I79" s="8">
        <f>_xlfn.TEXTJOIN(" ",TRUE,"Senaryo farkı",TEXT(mbk_senaryoKarsilastirma,"0.00"))</f>
        <v/>
      </c>
    </row>
    <row r="80">
      <c r="H80" s="7" t="inlineStr">
        <is>
          <t>mbk_yorumHhi</t>
        </is>
      </c>
      <c r="I80" s="8">
        <f>_xlfn.TEXTJOIN(" ",TRUE,"Yoğunlaşma HHI",TEXT(mbk_hhi,"0.0%"))</f>
        <v/>
      </c>
    </row>
    <row r="81">
      <c r="H81" s="7" t="inlineStr">
        <is>
          <t>mbk_yorumKalite</t>
        </is>
      </c>
      <c r="I81" s="8">
        <f>_xlfn.TEXTJOIN(" ",TRUE,"Kalite skoru",mbk_kaliteSkor)</f>
        <v/>
      </c>
    </row>
    <row r="82">
      <c r="H82" s="7" t="inlineStr">
        <is>
          <t>mbk_yorumSenMotor</t>
        </is>
      </c>
      <c r="I82" s="8">
        <f>_xlfn.TEXTJOIN(" ",TRUE,"Senaryo motoru",mbk_senaryoMotor)</f>
        <v/>
      </c>
    </row>
    <row r="83">
      <c r="H83" s="7" t="inlineStr">
        <is>
          <t>mbk_yorumTahmin</t>
        </is>
      </c>
      <c r="I83" s="8">
        <f>_xlfn.TEXTJOIN(" ",TRUE,"Tahmin aralık",TEXT(mbk_tahminAralik,"0.00"),"saat")</f>
        <v/>
      </c>
    </row>
    <row r="84">
      <c r="H84" s="7" t="inlineStr">
        <is>
          <t>mbk_yorumP90</t>
        </is>
      </c>
      <c r="I84" s="8">
        <f>_xlfn.TEXTJOIN(" ",TRUE,"P90 duruş",TEXT(mbk_yuzdelikP90,"0.00"),"saat")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30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9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KILAVUZ — Makine Bakım &amp; Kalibrasyon + Duruş Maliyeti</t>
        </is>
      </c>
    </row>
    <row r="3" ht="22" customHeight="1">
      <c r="A3" s="202" t="inlineStr">
        <is>
          <t>Kullanım Kılavuzu</t>
        </is>
      </c>
    </row>
    <row r="5">
      <c r="A5" s="8" t="inlineStr">
        <is>
          <t>1. MAKINELER sayfasına makine kartı ekleyin; sonraki kimliği kullanın.</t>
        </is>
      </c>
    </row>
    <row r="6">
      <c r="A6" s="8" t="inlineStr">
        <is>
          <t>2. AKIS sayfasına plan tarih, fiili duruş, kalibrasyon kalan ve durum satırını yazın.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görünür uyarı üretir (makrosuz kural).</t>
        </is>
      </c>
    </row>
    <row r="9">
      <c r="A9" s="8" t="inlineStr">
        <is>
          <t>5. Kapalı durum (Yapıldı) açık kuyruklardan düşer.</t>
        </is>
      </c>
    </row>
    <row r="10">
      <c r="A10" s="8" t="inlineStr">
        <is>
          <t>6. raporTarihi AYARLAR'dadır; TODAY kullanılmaz. Yaşlandırma plan tarihine göredir.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KANIT_RAPORU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2026-08-11T12:08:20Z</dcterms:created>
  <dcterms:modified xmlns:dcterms="http://purl.org/dc/terms/" xmlns:xsi="http://www.w3.org/2001/XMLSchema-instance" xsi:type="dcterms:W3CDTF">2026-09-25T22:34:32Z</dcterms:modified>
</cp:coreProperties>
</file>