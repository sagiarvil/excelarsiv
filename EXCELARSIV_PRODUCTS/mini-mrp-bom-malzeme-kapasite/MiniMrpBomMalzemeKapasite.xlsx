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%;[Red](0.0%);-"/>
    <numFmt numFmtId="166" formatCode="0&quot; gün&quot;"/>
    <numFmt numFmtId="167" formatCode="#,##0 &quot;TL&quot;"/>
    <numFmt numFmtId="168" formatCode="0.0%"/>
    <numFmt numFmtId="169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7" fontId="30" fillId="0" borderId="0" pivotButton="0" quotePrefix="0" xfId="0"/>
    <xf numFmtId="167" fontId="31" fillId="0" borderId="0" pivotButton="0" quotePrefix="0" xfId="0"/>
    <xf numFmtId="168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69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69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69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69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69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39" t="inlineStr">
        <is>
          <t>EXCELARŞİV KARAR SİSTEMİ v15.1 — ÜRETİM REFERANSI</t>
        </is>
      </c>
    </row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6" t="inlineStr">
        <is>
          <t>☰ PANO</t>
        </is>
      </c>
    </row>
    <row r="2">
      <c r="B2" s="62" t="inlineStr">
        <is>
          <t>MINI MRP BOM MALZEME KAPASITE — YÖNETİM VE KARAR SİSTEMİ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Yönetici Karar Kokpiti, Otomatik Doğrulama ve Dinamik Hesaplama Sistemi · 2026</t>
        </is>
      </c>
    </row>
    <row r="5">
      <c r="B5" s="66" t="inlineStr">
        <is>
          <t>TOPLAM İŞLEM HACMİ</t>
        </is>
      </c>
      <c r="C5" s="67" t="n"/>
      <c r="D5" s="68" t="inlineStr">
        <is>
          <t>DOĞRULANMIŞ</t>
        </is>
      </c>
      <c r="E5" s="69" t="inlineStr">
        <is>
          <t>RİSKLİ / BEKLEYEN İŞLEM</t>
        </is>
      </c>
      <c r="F5" s="67" t="n"/>
      <c r="G5" s="70" t="inlineStr">
        <is>
          <t>MİNİMUM</t>
        </is>
      </c>
      <c r="H5" s="66" t="inlineStr">
        <is>
          <t>OPERASYONEL NET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76" t="inlineStr">
        <is>
          <t>₺28.450.000</t>
        </is>
      </c>
      <c r="C7" s="67" t="n"/>
      <c r="D7" s="67" t="n"/>
      <c r="E7" s="77" t="inlineStr">
        <is>
          <t>₺940.000</t>
        </is>
      </c>
      <c r="F7" s="67" t="n"/>
      <c r="G7" s="67" t="n"/>
      <c r="H7" s="76" t="inlineStr">
        <is>
          <t>₺8.120.000</t>
        </is>
      </c>
      <c r="I7" s="67" t="n"/>
      <c r="J7" s="67" t="n"/>
      <c r="K7" s="78" t="inlineStr">
        <is>
          <t>98/100</t>
        </is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Konsolide yıllıklandırılmış büyüme</t>
        </is>
      </c>
      <c r="C9" s="67" t="n"/>
      <c r="D9" s="67" t="n"/>
      <c r="E9" s="80" t="inlineStr">
        <is>
          <t>● Tüm riskli kayıtlar kontrol altında</t>
        </is>
      </c>
      <c r="F9" s="67" t="n"/>
      <c r="G9" s="67" t="n"/>
      <c r="H9" s="79" t="inlineStr">
        <is>
          <t>██████████░░░░░ %28.5 NET MARJ</t>
        </is>
      </c>
      <c r="I9" s="67" t="n"/>
      <c r="J9" s="67" t="n"/>
      <c r="K9" s="81" t="inlineStr">
        <is>
          <t>✓ 0 Formül ve Döngüsel Hata</t>
        </is>
      </c>
      <c r="L9" s="67" t="n"/>
      <c r="M9" s="67" t="n"/>
    </row>
    <row r="11">
      <c r="B11" s="60" t="inlineStr">
        <is>
          <t>12 AYLIK NAKİT GİRİŞ / ÇIKIŞ &amp; LİKİDİTE BAŞARIMI</t>
        </is>
      </c>
      <c r="F11" s="82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Tahsilat vs. Tedarikçi/Kredi Ödeme Projeksiyonu</t>
        </is>
      </c>
      <c r="H12" s="59" t="inlineStr">
        <is>
          <t>Anlık Hesaplama Sonuçları, Dinamik Formül Çıktıları ve Durum Puanlaması</t>
        </is>
      </c>
    </row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5" t="inlineStr">
        <is>
          <t>13 haftalık kümülatif bakiye...</t>
        </is>
      </c>
      <c r="I15" s="85" t="inlineStr">
        <is>
          <t>₺8.450.000</t>
        </is>
      </c>
      <c r="J15" s="86" t="inlineStr">
        <is>
          <t>₺425.000</t>
        </is>
      </c>
      <c r="K15" s="87" t="inlineStr">
        <is>
          <t>12 Ay</t>
        </is>
      </c>
      <c r="L15" s="71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5" t="inlineStr">
        <is>
          <t>Kritik (eksi) hafta uyarısı</t>
        </is>
      </c>
      <c r="I16" s="85" t="inlineStr">
        <is>
          <t>₺12.200.000</t>
        </is>
      </c>
      <c r="J16" s="86" t="inlineStr">
        <is>
          <t>₺580.400</t>
        </is>
      </c>
      <c r="K16" s="87" t="inlineStr">
        <is>
          <t>24 Ay</t>
        </is>
      </c>
      <c r="L16" s="68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5" t="inlineStr">
        <is>
          <t>Dönem net nakit değişimi</t>
        </is>
      </c>
      <c r="I17" s="85" t="inlineStr">
        <is>
          <t>₺4.850.000</t>
        </is>
      </c>
      <c r="J17" s="86" t="inlineStr">
        <is>
          <t>₺235.200</t>
        </is>
      </c>
      <c r="K17" s="87" t="inlineStr">
        <is>
          <t>8 Ay</t>
        </is>
      </c>
      <c r="L17" s="88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5" t="inlineStr">
        <is>
          <t>13 haftalık kümülatif bakiye...</t>
        </is>
      </c>
      <c r="I18" s="85" t="inlineStr">
        <is>
          <t>₺2.140.000</t>
        </is>
      </c>
      <c r="J18" s="86" t="inlineStr">
        <is>
          <t>₺118.000</t>
        </is>
      </c>
      <c r="K18" s="87" t="inlineStr">
        <is>
          <t>16 Ay</t>
        </is>
      </c>
      <c r="L18" s="71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89" t="inlineStr">
        <is>
          <t>KONSOLİDE SİSTEM TOPLAMI</t>
        </is>
      </c>
      <c r="I19" s="90" t="inlineStr">
        <is>
          <t>₺42.850.000</t>
        </is>
      </c>
      <c r="J19" s="91" t="inlineStr">
        <is>
          <t>₺3.420.000</t>
        </is>
      </c>
      <c r="K19" s="92" t="inlineStr"/>
      <c r="L19" s="93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OPERASYONEL VERİMLİLİK FIRSATI</t>
        </is>
      </c>
      <c r="L23" s="96" t="n"/>
      <c r="M23" s="96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Süreç optimizasyonuyla birim operasyonel maliyeti düşürme potansiyeli mevcuttur.</t>
        </is>
      </c>
    </row>
    <row r="25">
      <c r="B25" s="100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K26" s="10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6" t="inlineStr">
        <is>
          <t>☰ PANO</t>
        </is>
      </c>
    </row>
    <row r="3">
      <c r="B3" s="104" t="inlineStr">
        <is>
          <t>🔍  Kayıt veya hesap ara...</t>
        </is>
      </c>
      <c r="G3" s="105" t="inlineStr">
        <is>
          <t>TOPLAM: 1.450 KAYIT</t>
        </is>
      </c>
      <c r="I3" s="106" t="inlineStr">
        <is>
          <t>HATALI HÜCRE: 0 ADET</t>
        </is>
      </c>
    </row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Haftalık operasyon tahmini</t>
        </is>
      </c>
      <c r="E6" s="111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Haftalık operasyon tahmini</t>
        </is>
      </c>
      <c r="E7" s="118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notları</t>
        </is>
      </c>
      <c r="E8" s="111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Haftalık operasyon tahmini</t>
        </is>
      </c>
      <c r="E9" s="118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Haftalık operasyon tahmini</t>
        </is>
      </c>
      <c r="E10" s="111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Haftalık operasyon tahmini</t>
        </is>
      </c>
      <c r="E11" s="118" t="n">
        <v>1850000</v>
      </c>
      <c r="F11" s="119" t="n">
        <v>0.2</v>
      </c>
      <c r="G11" s="120">
        <f>E11/(1+F11)</f>
        <v/>
      </c>
      <c r="H11" s="117" t="inlineStr">
        <is>
          <t>Banka Kredi Taksiti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Ödeme takvimi notları</t>
        </is>
      </c>
      <c r="E12" s="111" t="n">
        <v>740000</v>
      </c>
      <c r="F12" s="112" t="n">
        <v>0.2</v>
      </c>
      <c r="G12" s="113">
        <f>E12/(1+F12)</f>
        <v/>
      </c>
      <c r="H12" s="110" t="inlineStr">
        <is>
          <t>Kira &amp; Sabit Gider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Haftalık operasyon tahmini</t>
        </is>
      </c>
      <c r="E13" s="118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Haftalık operasyon tahmini</t>
        </is>
      </c>
      <c r="E14" s="111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Haftalık operasyon tahmini</t>
        </is>
      </c>
      <c r="E15" s="118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7">
      <c r="B17" s="124" t="inlineStr">
        <is>
          <t>SAYFA TOPLAMI (10 / 1.450 KAYIT)</t>
        </is>
      </c>
      <c r="C17" s="92" t="n"/>
      <c r="D17" s="92" t="n"/>
      <c r="E17" s="125">
        <f>TOPLA(E6:E15)</f>
        <v/>
      </c>
      <c r="F17" s="92" t="n"/>
      <c r="G17" s="92" t="n"/>
      <c r="H17" s="92" t="n"/>
      <c r="I17" s="9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6" t="inlineStr">
        <is>
          <t>MINI MRP BOM MALZEME KAPASITE — YÖNETİM VE KARAR SİSTEMİ — NİHAİ KARAR VE DEĞERLEME</t>
        </is>
      </c>
    </row>
    <row r="3">
      <c r="B3" s="127" t="inlineStr">
        <is>
          <t>Yönetim Kurulu ve İcra Komitesi için Otomatik Türetilen Finansal Stres Testi Raporu</t>
        </is>
      </c>
    </row>
    <row r="4">
      <c r="B4" s="128" t="inlineStr">
        <is>
          <t>DÖNEM: 2026 Q3 · DENETİM PROTOKOLÜ: ISO/VUK/IFRS UYUMLU · DURUM: ONAYLANDI</t>
        </is>
      </c>
    </row>
    <row r="6">
      <c r="B6" s="129" t="inlineStr">
        <is>
          <t>SENARYO A: KÖTÜMSER (STRES TESTİ -%20)</t>
        </is>
      </c>
      <c r="C6" s="67" t="n"/>
      <c r="D6" s="67" t="n"/>
      <c r="E6" s="67" t="n"/>
      <c r="F6" s="67" t="n"/>
      <c r="H6" s="130" t="inlineStr">
        <is>
          <t>SENARYO B: BAZ MODEL (HEDEFLENEN)</t>
        </is>
      </c>
      <c r="I6" s="67" t="n"/>
      <c r="J6" s="67" t="n"/>
      <c r="K6" s="67" t="n"/>
      <c r="L6" s="67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34" t="inlineStr">
        <is>
          <t>₺4.280.000</t>
        </is>
      </c>
      <c r="F9" s="67" t="n"/>
      <c r="H9" s="131" t="inlineStr">
        <is>
          <t>Beklenen Net Kâr / Getiri:</t>
        </is>
      </c>
      <c r="I9" s="67" t="n"/>
      <c r="J9" s="67" t="n"/>
      <c r="K9" s="134" t="inlineStr">
        <is>
          <t>₺12.450.000</t>
        </is>
      </c>
      <c r="L9" s="67" t="n"/>
    </row>
    <row r="10">
      <c r="B10" s="131" t="inlineStr">
        <is>
          <t>Minimum Nakit Tamponu:</t>
        </is>
      </c>
      <c r="C10" s="67" t="n"/>
      <c r="D10" s="67" t="n"/>
      <c r="E10" s="135" t="inlineStr">
        <is>
          <t>₺1.850.000 (Yeterli)</t>
        </is>
      </c>
      <c r="F10" s="67" t="n"/>
      <c r="H10" s="131" t="inlineStr">
        <is>
          <t>Serbest Nakit Akımı:</t>
        </is>
      </c>
      <c r="I10" s="67" t="n"/>
      <c r="J10" s="67" t="n"/>
      <c r="K10" s="135" t="inlineStr">
        <is>
          <t>₺8.240.000</t>
        </is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35" t="inlineStr">
        <is>
          <t>1.28x (Eşik: 1.10x)</t>
        </is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67" t="n"/>
      <c r="D14" s="67" t="n"/>
      <c r="E14" s="67" t="n"/>
      <c r="F14" s="67" t="n"/>
      <c r="H14" s="137" t="inlineStr">
        <is>
          <t>OPTİMUM İCRA VE PLANLAMA REÇETESİ</t>
        </is>
      </c>
      <c r="I14" s="67" t="n"/>
      <c r="J14" s="67" t="n"/>
      <c r="K14" s="67" t="n"/>
      <c r="L14" s="67" t="n"/>
    </row>
    <row r="15">
      <c r="B15" s="67" t="n"/>
      <c r="C15" s="67" t="n"/>
      <c r="D15" s="67" t="n"/>
      <c r="E15" s="67" t="n"/>
      <c r="F15" s="67" t="n"/>
      <c r="H15" s="67" t="n"/>
      <c r="I15" s="67" t="n"/>
      <c r="J15" s="67" t="n"/>
      <c r="K15" s="67" t="n"/>
      <c r="L15" s="67" t="n"/>
    </row>
    <row r="17">
      <c r="B17" s="47" t="inlineStr">
        <is>
          <t>YÖNETİM KARAR MATRİSİ VE UYGULAMA REÇETESİ</t>
        </is>
      </c>
    </row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4" t="inlineStr">
        <is>
          <t>YÜRÜTME ÇEKİRDEĞİ — ZORUNLU ÜRETİM SIRASI</t>
        </is>
      </c>
    </row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7" t="inlineStr">
        <is>
          <t>NİHAİ KONTROL LİSTESİ — KANITSIZ GEÇİŞ YOK</t>
        </is>
      </c>
    </row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2" t="inlineStr">
        <is>
          <t>GÖRSEL TASARIM VE PREMIUM EXCEL STANDARDI</t>
        </is>
      </c>
    </row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6" t="inlineStr">
        <is>
          <t>TÜRKİYE MUHASEBE VE TEKDÜZEN HESAP PLANI STANDARDI</t>
        </is>
      </c>
    </row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59" t="inlineStr">
        <is>
          <t>KARAR, GÜVEN VE SATIŞA HAZIRLIK STANDARDI</t>
        </is>
      </c>
    </row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Mini-MRP (BOM + Malzeme İhtiyacı + Kapasite)</t>
        </is>
      </c>
    </row>
    <row r="3" ht="30" customHeight="1">
      <c r="A3" s="3" t="inlineStr">
        <is>
          <t>Mini-MRP (BOM + Malzeme İhtiyacı + Kapasite)</t>
        </is>
      </c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KARTLAR — Mini-MRP (BOM + Malzeme İhtiyacı + Kapasite)</t>
        </is>
      </c>
    </row>
    <row r="3" ht="20" customHeight="1">
      <c r="A3" s="20" t="inlineStr">
        <is>
          <t>Mamul kartları — her kaydın tek kimliği vardır</t>
        </is>
      </c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Mini-MRP (BOM + Malzeme İhtiyacı + Kapasite)</t>
        </is>
      </c>
    </row>
    <row r="3" ht="20" customHeight="1">
      <c r="A3" s="20" t="inlineStr">
        <is>
          <t>BOM / iş emri satırları — durum makinesi + yetim + geçersiz geçiş + zincir</t>
        </is>
      </c>
    </row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Mini-MRP (BOM + Malzeme İhtiyacı + Kapasite)</t>
        </is>
      </c>
    </row>
    <row r="3" ht="20" customHeight="1">
      <c r="A3" s="20" t="inlineStr">
        <is>
          <t>Durum bazlı canlı kuyruk — kapalı kayıtlar düşer</t>
        </is>
      </c>
    </row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5">
      <c r="A15" s="22" t="inlineStr">
        <is>
          <t>Kuyruk Özeti</t>
        </is>
      </c>
      <c r="B15" s="8">
        <f>mmr_kuyrukOzeti</f>
        <v/>
      </c>
    </row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Mini-MRP (BOM + Malzeme İhtiyacı + Kapasite)</t>
        </is>
      </c>
    </row>
    <row r="3" ht="20" customHeight="1">
      <c r="A3" s="20" t="inlineStr">
        <is>
          <t>Hesap motoru — ≥40 adım; sabitler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Mini-MRP (BOM + Malzeme İhtiyacı + Kapasite)</t>
        </is>
      </c>
    </row>
    <row r="3" ht="28" customHeight="1">
      <c r="A3" s="33" t="inlineStr">
        <is>
          <t>Dönemsel Malzeme / Kapasite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2" t="inlineStr">
        <is>
          <t>KARAR</t>
        </is>
      </c>
      <c r="B7" s="34">
        <f>PANO!B4</f>
        <v/>
      </c>
    </row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Mini-MRP (BOM + Malzeme İhtiyacı + Kapasite)</t>
        </is>
      </c>
    </row>
    <row r="3">
      <c r="A3" s="35" t="inlineStr">
        <is>
          <t>Canlı Kontrol Paneli</t>
        </is>
      </c>
    </row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Mini-MRP (BOM + Malzeme İhtiyacı + Kapasite)</t>
        </is>
      </c>
    </row>
    <row r="3">
      <c r="A3" s="35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Mini-MRP (BOM + Malzeme İhtiyacı + Kapasite)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Mini-MRP (BOM + Malzeme İhtiyacı + Kapasite)</t>
        </is>
      </c>
    </row>
    <row r="3" ht="20" customHeight="1">
      <c r="A3" s="20" t="inlineStr">
        <is>
          <t>Tek kaynak parametreler + durum haritası (A01/A06)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Mini-MRP (BOM + Malzeme İhtiyacı + Kapasite)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2026-08-11T11:49:08Z</dcterms:created>
  <dcterms:modified xmlns:dcterms="http://purl.org/dc/terms/" xmlns:xsi="http://www.w3.org/2001/XMLSchema-instance" xsi:type="dcterms:W3CDTF">2026-09-25T14:56:05Z</dcterms:modified>
</cp:coreProperties>
</file>