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KARTLAR" sheetId="5" state="visible" r:id="rId5"/>
    <sheet xmlns:r="http://schemas.openxmlformats.org/officeDocument/2006/relationships" name="AKIS" sheetId="6" state="visible" r:id="rId6"/>
    <sheet xmlns:r="http://schemas.openxmlformats.org/officeDocument/2006/relationships" name="KUYRUKLAR" sheetId="7" state="visible" r:id="rId7"/>
    <sheet xmlns:r="http://schemas.openxmlformats.org/officeDocument/2006/relationships" name="HESAP" sheetId="8" state="visible" r:id="rId8"/>
    <sheet xmlns:r="http://schemas.openxmlformats.org/officeDocument/2006/relationships" name="RAPOR" sheetId="9" state="visible" r:id="rId9"/>
    <sheet xmlns:r="http://schemas.openxmlformats.org/officeDocument/2006/relationships" name="KONTROLLER" sheetId="10" state="visible" r:id="rId10"/>
    <sheet xmlns:r="http://schemas.openxmlformats.org/officeDocument/2006/relationships" name="ORNEK_VERI" sheetId="11" state="visible" r:id="rId11"/>
    <sheet xmlns:r="http://schemas.openxmlformats.org/officeDocument/2006/relationships" name="LISTELER" sheetId="12" state="visible" r:id="rId12"/>
    <sheet xmlns:r="http://schemas.openxmlformats.org/officeDocument/2006/relationships" name="AYARLAR" sheetId="13" state="visible" r:id="rId13"/>
    <sheet xmlns:r="http://schemas.openxmlformats.org/officeDocument/2006/relationships" name="KILAVUZ" sheetId="14" state="visible" r:id="rId14"/>
  </sheets>
  <definedNames>
    <definedName name="raporTarihi">AYARLAR!$B$6</definedName>
    <definedName name="zincirTolerans">AYARLAR!$B$7</definedName>
    <definedName name="mmr_esikTedarikGun">AYARLAR!$B$8</definedName>
    <definedName name="mmr_esikSatinAl">AYARLAR!$B$9</definedName>
    <definedName name="mmr_esikKapasite">AYARLAR!$B$10</definedName>
    <definedName name="mmr_senaryoTemkinli">AYARLAR!$B$11</definedName>
    <definedName name="mmr_senaryoBaz">AYARLAR!$B$12</definedName>
    <definedName name="mmr_senaryoIyimser">AYARLAR!$B$13</definedName>
    <definedName name="mmr_tornadoOran">AYARLAR!$B$14</definedName>
    <definedName name="mmr_yuzdelikOran">AYARLAR!$B$15</definedName>
    <definedName name="mmr_olcekHedef">AYARLAR!$B$16</definedName>
    <definedName name="mmr_azamiSiparis">AYARLAR!$B$17</definedName>
    <definedName name="mmr_durumHaritasi">AYARLAR!$B$18</definedName>
    <definedName name="mmr_kuyrukOzeti_metin">AYARLAR!$B$19</definedName>
    <definedName name="mmr_kapaliDusum_metin">AYARLAR!$B$20</definedName>
    <definedName name="mmr_kanitRaporu_metin">AYARLAR!$B$21</definedName>
    <definedName name="mmr_kararMetni">AYARLAR!$B$22</definedName>
    <definedName name="mmr_dosyaSurumu">AYARLAR!$B$23</definedName>
    <definedName name="mmr_firmaUnvan">AYARLAR!$B$24</definedName>
    <definedName name="mmr_kuralMMR001">AYARLAR!$B$25</definedName>
    <definedName name="mmr_kuralMMR002">AYARLAR!$B$26</definedName>
    <definedName name="mmr_kuralMMR003">AYARLAR!$B$27</definedName>
    <definedName name="mmr_kuralMMR004">AYARLAR!$B$28</definedName>
    <definedName name="mmr_kuralMMR005">AYARLAR!$B$29</definedName>
    <definedName name="mmr_hesapYillari">AYARLAR!$B$30</definedName>
    <definedName name="mmr_netIhtiyac">AYARLAR!$I$44</definedName>
    <definedName name="mmr_onerilenSiparis">AYARLAR!$I$45</definedName>
    <definedName name="mmr_kapasiteYuku">AYARLAR!$I$46</definedName>
    <definedName name="mmr_kapasiteAsim">AYARLAR!$I$47</definedName>
    <definedName name="mmr_satinAlAdet">AYARLAR!$I$48</definedName>
    <definedName name="mmr_yetimKayit">AYARLAR!$I$49</definedName>
    <definedName name="mmr_gecersizGecis">AYARLAR!$I$50</definedName>
    <definedName name="mmr_zincirKirik">AYARLAR!$I$51</definedName>
    <definedName name="mmr_ihtiyacSapma">AYARLAR!$I$52</definedName>
    <definedName name="mmr_tahminAralik">AYARLAR!$I$53</definedName>
    <definedName name="mmr_senaryoKarsilastirma">AYARLAR!$I$54</definedName>
    <definedName name="mmr_tornadoZirve">AYARLAR!$I$55</definedName>
    <definedName name="mmr_hhi">AYARLAR!$I$56</definedName>
    <definedName name="mmr_kaliteSkor">AYARLAR!$I$57</definedName>
    <definedName name="mmr_yuzdelikP90">AYARLAR!$I$58</definedName>
    <definedName name="mmr_senaryoMotor">AYARLAR!$I$59</definedName>
    <definedName name="mmr_kapaliDusum">AYARLAR!$I$60</definedName>
    <definedName name="mmr_kuyrukOzeti">AYARLAR!$I$61</definedName>
    <definedName name="mmr_kanitRaporu">AYARLAR!$I$62</definedName>
    <definedName name="mmr_sonrakiKimlik">AYARLAR!$I$63</definedName>
    <definedName name="mmr_yorumNet">AYARLAR!$I$66</definedName>
    <definedName name="mmr_yorumKapasite">AYARLAR!$I$67</definedName>
    <definedName name="mmr_yorumSapma">AYARLAR!$I$68</definedName>
    <definedName name="mmr_yorumTornado">AYARLAR!$I$69</definedName>
    <definedName name="mmr_yorumSenaryo">AYARLAR!$I$70</definedName>
    <definedName name="mmr_yorumHhi">AYARLAR!$I$71</definedName>
    <definedName name="mmr_yorumKalite">AYARLAR!$I$72</definedName>
    <definedName name="mmr_yorumSenMotor">AYARLAR!$I$73</definedName>
    <definedName name="mmr_yorumTahmin">AYARLAR!$I$74</definedName>
    <definedName name="mmr_yorumP90">AYARLAR!$I$75</definedName>
    <definedName name="ListeDurumlar">LISTELER!$A$7:$A$10</definedName>
    <definedName name="ListeIzinliGecis">LISTELER!$C$7:$C$11</definedName>
    <definedName name="ListeEvetHayir">LISTELER!$E$7:$E$8</definedName>
    <definedName name="ListeYorumAB">LISTELER!$G$7:$G$8</definedName>
    <definedName name="_xlnm.Print_Area" localSheetId="8">'RAPOR'!$A$1:$H$26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0.0%;[Red](0.0%);-"/>
    <numFmt numFmtId="166" formatCode="0&quot; gün&quot;"/>
    <numFmt numFmtId="167" formatCode="#,##0 &quot;TL&quot;"/>
    <numFmt numFmtId="168" formatCode="0.0%"/>
    <numFmt numFmtId="169" formatCode="₺#,##0"/>
  </numFmts>
  <fonts count="7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6" fontId="13" fillId="5" borderId="0" applyAlignment="1" applyProtection="1" pivotButton="0" quotePrefix="0" xfId="0">
      <alignment horizontal="left" vertical="center"/>
      <protection locked="0" hidden="0"/>
    </xf>
    <xf numFmtId="164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7" fontId="30" fillId="0" borderId="0" pivotButton="0" quotePrefix="0" xfId="0"/>
    <xf numFmtId="167" fontId="31" fillId="0" borderId="0" pivotButton="0" quotePrefix="0" xfId="0"/>
    <xf numFmtId="168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69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69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69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69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69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MAM-00009 | Risk: Elle çakışma</t>
      </text>
    </comment>
    <comment ref="A6" authorId="0" shapeId="0">
      <text>
        <t>Tanım: Kart Kimliği | Neden önemli: Net ihtiyaç ve kapasite kararını etkiler | Doğru kullanım: MAM-##### formatında | Örnek: hücredeki örnek değere bakın | Risk: Yanlış giriş hatalı karar üretir</t>
      </text>
    </comment>
    <comment ref="B6" authorId="0" shapeId="0">
      <text>
        <t>Tanım: Mamul Adı | Neden önemli: Net ihtiyaç ve kapasite kararını etkiler | Doğru kullanım: Mamul tanımı | Örnek: hücredeki örnek değere bakın | Risk: Yanlış giriş hatalı karar üretir</t>
      </text>
    </comment>
    <comment ref="C6" authorId="0" shapeId="0">
      <text>
        <t>Tanım: Hat | Neden önemli: Net ihtiyaç ve kapasite kararını etkiler | Doğru kullanım: Üretim hattı | Örnek: hücredeki örnek değere bakın | Risk: Yanlış giriş hatalı karar üretir</t>
      </text>
    </comment>
    <comment ref="D6" authorId="0" shapeId="0">
      <text>
        <t>Tanım: Kapasite Saat | Neden önemli: Net ihtiyaç ve kapasite kararını etkiler | Doğru kullanım: Haftalık kapasite saat | Örnek: hücredeki örnek değere bakın | Risk: Yanlış giriş hatalı karar üretir</t>
      </text>
    </comment>
    <comment ref="E6" authorId="0" shapeId="0">
      <text>
        <t>Tanım: Min Stok | Neden önemli: Net ihtiyaç ve kapasite kararını etkiler | Doğru kullanım: Asgari stok | Örnek: hücredeki örnek değere bakın | Risk: Yanlış giriş hatalı karar üretir</t>
      </text>
    </comment>
    <comment ref="F6" authorId="0" shapeId="0">
      <text>
        <t>Tanım: Aktif | Neden önemli: Net ihtiyaç ve kapasite kararını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Net ihtiyaç ve kapasite kararını etkiler | Doğru kullanım: MAM-##### formatında | Örnek: hücredeki örnek değere bakın | Risk: Yanlış giriş hatalı karar üretir</t>
      </text>
    </comment>
    <comment ref="B7" authorId="0" shapeId="0">
      <text>
        <t>Tanım: Mamul Adı | Neden önemli: Net ihtiyaç ve kapasite kararını etkiler | Doğru kullanım: Mamul tanımı | Örnek: hücredeki örnek değere bakın | Risk: Yanlış giriş hatalı karar üretir</t>
      </text>
    </comment>
    <comment ref="C7" authorId="0" shapeId="0">
      <text>
        <t>Tanım: Hat | Neden önemli: Net ihtiyaç ve kapasite kararını etkiler | Doğru kullanım: Üretim hattı | Örnek: hücredeki örnek değere bakın | Risk: Yanlış giriş hatalı karar üretir</t>
      </text>
    </comment>
    <comment ref="D7" authorId="0" shapeId="0">
      <text>
        <t>Tanım: Kapasite Saat | Neden önemli: Net ihtiyaç ve kapasite kararını etkiler | Doğru kullanım: Haftalık kapasite saat | Örnek: hücredeki örnek değere bakın | Risk: Yanlış giriş hatalı karar üretir</t>
      </text>
    </comment>
    <comment ref="E7" authorId="0" shapeId="0">
      <text>
        <t>Tanım: Min Stok | Neden önemli: Net ihtiyaç ve kapasite kararını etkiler | Doğru kullanım: Asgari stok | Örnek: hücredeki örnek değere bakın | Risk: Yanlış giriş hatalı karar üretir</t>
      </text>
    </comment>
    <comment ref="F7" authorId="0" shapeId="0">
      <text>
        <t>Tanım: Aktif | Neden önemli: Net ihtiyaç ve kapasite kararını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Net ihtiyaç ve kapasite kararını etkiler | Doğru kullanım: MAM-##### formatında | Örnek: hücredeki örnek değere bakın | Risk: Yanlış giriş hatalı karar üretir</t>
      </text>
    </comment>
    <comment ref="B8" authorId="0" shapeId="0">
      <text>
        <t>Tanım: Mamul Adı | Neden önemli: Net ihtiyaç ve kapasite kararını etkiler | Doğru kullanım: Mamul tanımı | Örnek: hücredeki örnek değere bakın | Risk: Yanlış giriş hatalı karar üretir</t>
      </text>
    </comment>
    <comment ref="C8" authorId="0" shapeId="0">
      <text>
        <t>Tanım: Hat | Neden önemli: Net ihtiyaç ve kapasite kararını etkiler | Doğru kullanım: Üretim hattı | Örnek: hücredeki örnek değere bakın | Risk: Yanlış giriş hatalı karar üretir</t>
      </text>
    </comment>
    <comment ref="D8" authorId="0" shapeId="0">
      <text>
        <t>Tanım: Kapasite Saat | Neden önemli: Net ihtiyaç ve kapasite kararını etkiler | Doğru kullanım: Haftalık kapasite saat | Örnek: hücredeki örnek değere bakın | Risk: Yanlış giriş hatalı karar üretir</t>
      </text>
    </comment>
    <comment ref="E8" authorId="0" shapeId="0">
      <text>
        <t>Tanım: Min Stok | Neden önemli: Net ihtiyaç ve kapasite kararını etkiler | Doğru kullanım: Asgari stok | Örnek: hücredeki örnek değere bakın | Risk: Yanlış giriş hatalı karar üretir</t>
      </text>
    </comment>
    <comment ref="F8" authorId="0" shapeId="0">
      <text>
        <t>Tanım: Aktif | Neden önemli: Net ihtiyaç ve kapasite kararını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Net ihtiyaç ve kapasite kararını etkiler | Doğru kullanım: MAM-##### formatında | Örnek: hücredeki örnek değere bakın | Risk: Yanlış giriş hatalı karar üretir</t>
      </text>
    </comment>
    <comment ref="B9" authorId="0" shapeId="0">
      <text>
        <t>Tanım: Mamul Adı | Neden önemli: Net ihtiyaç ve kapasite kararını etkiler | Doğru kullanım: Mamul tanımı | Örnek: hücredeki örnek değere bakın | Risk: Yanlış giriş hatalı karar üretir</t>
      </text>
    </comment>
    <comment ref="C9" authorId="0" shapeId="0">
      <text>
        <t>Tanım: Hat | Neden önemli: Net ihtiyaç ve kapasite kararını etkiler | Doğru kullanım: Üretim hattı | Örnek: hücredeki örnek değere bakın | Risk: Yanlış giriş hatalı karar üretir</t>
      </text>
    </comment>
    <comment ref="D9" authorId="0" shapeId="0">
      <text>
        <t>Tanım: Kapasite Saat | Neden önemli: Net ihtiyaç ve kapasite kararını etkiler | Doğru kullanım: Haftalık kapasite saat | Örnek: hücredeki örnek değere bakın | Risk: Yanlış giriş hatalı karar üretir</t>
      </text>
    </comment>
    <comment ref="E9" authorId="0" shapeId="0">
      <text>
        <t>Tanım: Min Stok | Neden önemli: Net ihtiyaç ve kapasite kararını etkiler | Doğru kullanım: Asgari stok | Örnek: hücredeki örnek değere bakın | Risk: Yanlış giriş hatalı karar üretir</t>
      </text>
    </comment>
    <comment ref="F9" authorId="0" shapeId="0">
      <text>
        <t>Tanım: Aktif | Neden önemli: Net ihtiyaç ve kapasite kararını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Net ihtiyaç ve kapasite kararını etkiler | Doğru kullanım: MAM-##### formatında | Örnek: hücredeki örnek değere bakın | Risk: Yanlış giriş hatalı karar üretir</t>
      </text>
    </comment>
    <comment ref="B10" authorId="0" shapeId="0">
      <text>
        <t>Tanım: Mamul Adı | Neden önemli: Net ihtiyaç ve kapasite kararını etkiler | Doğru kullanım: Mamul tanımı | Örnek: hücredeki örnek değere bakın | Risk: Yanlış giriş hatalı karar üretir</t>
      </text>
    </comment>
    <comment ref="C10" authorId="0" shapeId="0">
      <text>
        <t>Tanım: Hat | Neden önemli: Net ihtiyaç ve kapasite kararını etkiler | Doğru kullanım: Üretim hattı | Örnek: hücredeki örnek değere bakın | Risk: Yanlış giriş hatalı karar üretir</t>
      </text>
    </comment>
    <comment ref="D10" authorId="0" shapeId="0">
      <text>
        <t>Tanım: Kapasite Saat | Neden önemli: Net ihtiyaç ve kapasite kararını etkiler | Doğru kullanım: Haftalık kapasite saat | Örnek: hücredeki örnek değere bakın | Risk: Yanlış giriş hatalı karar üretir</t>
      </text>
    </comment>
    <comment ref="E10" authorId="0" shapeId="0">
      <text>
        <t>Tanım: Min Stok | Neden önemli: Net ihtiyaç ve kapasite kararını etkiler | Doğru kullanım: Asgari stok | Örnek: hücredeki örnek değere bakın | Risk: Yanlış giriş hatalı karar üretir</t>
      </text>
    </comment>
    <comment ref="F10" authorId="0" shapeId="0">
      <text>
        <t>Tanım: Aktif | Neden önemli: Net ihtiyaç ve kapasite kararını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Net ihtiyaç ve kapasite kararını etkiler | Doğru kullanım: MAM-##### formatında | Örnek: hücredeki örnek değere bakın | Risk: Yanlış giriş hatalı karar üretir</t>
      </text>
    </comment>
    <comment ref="B11" authorId="0" shapeId="0">
      <text>
        <t>Tanım: Mamul Adı | Neden önemli: Net ihtiyaç ve kapasite kararını etkiler | Doğru kullanım: Mamul tanımı | Örnek: hücredeki örnek değere bakın | Risk: Yanlış giriş hatalı karar üretir</t>
      </text>
    </comment>
    <comment ref="C11" authorId="0" shapeId="0">
      <text>
        <t>Tanım: Hat | Neden önemli: Net ihtiyaç ve kapasite kararını etkiler | Doğru kullanım: Üretim hattı | Örnek: hücredeki örnek değere bakın | Risk: Yanlış giriş hatalı karar üretir</t>
      </text>
    </comment>
    <comment ref="D11" authorId="0" shapeId="0">
      <text>
        <t>Tanım: Kapasite Saat | Neden önemli: Net ihtiyaç ve kapasite kararını etkiler | Doğru kullanım: Haftalık kapasite saat | Örnek: hücredeki örnek değere bakın | Risk: Yanlış giriş hatalı karar üretir</t>
      </text>
    </comment>
    <comment ref="E11" authorId="0" shapeId="0">
      <text>
        <t>Tanım: Min Stok | Neden önemli: Net ihtiyaç ve kapasite kararını etkiler | Doğru kullanım: Asgari stok | Örnek: hücredeki örnek değere bakın | Risk: Yanlış giriş hatalı karar üretir</t>
      </text>
    </comment>
    <comment ref="F11" authorId="0" shapeId="0">
      <text>
        <t>Tanım: Aktif | Neden önemli: Net ihtiyaç ve kapasite kararını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Net ihtiyaç ve kapasite kararını etkiler | Doğru kullanım: MAM-##### formatında | Örnek: hücredeki örnek değere bakın | Risk: Yanlış giriş hatalı karar üretir</t>
      </text>
    </comment>
    <comment ref="B12" authorId="0" shapeId="0">
      <text>
        <t>Tanım: Mamul Adı | Neden önemli: Net ihtiyaç ve kapasite kararını etkiler | Doğru kullanım: Mamul tanımı | Örnek: hücredeki örnek değere bakın | Risk: Yanlış giriş hatalı karar üretir</t>
      </text>
    </comment>
    <comment ref="C12" authorId="0" shapeId="0">
      <text>
        <t>Tanım: Hat | Neden önemli: Net ihtiyaç ve kapasite kararını etkiler | Doğru kullanım: Üretim hattı | Örnek: hücredeki örnek değere bakın | Risk: Yanlış giriş hatalı karar üretir</t>
      </text>
    </comment>
    <comment ref="D12" authorId="0" shapeId="0">
      <text>
        <t>Tanım: Kapasite Saat | Neden önemli: Net ihtiyaç ve kapasite kararını etkiler | Doğru kullanım: Haftalık kapasite saat | Örnek: hücredeki örnek değere bakın | Risk: Yanlış giriş hatalı karar üretir</t>
      </text>
    </comment>
    <comment ref="E12" authorId="0" shapeId="0">
      <text>
        <t>Tanım: Min Stok | Neden önemli: Net ihtiyaç ve kapasite kararını etkiler | Doğru kullanım: Asgari stok | Örnek: hücredeki örnek değere bakın | Risk: Yanlış giriş hatalı karar üretir</t>
      </text>
    </comment>
    <comment ref="F12" authorId="0" shapeId="0">
      <text>
        <t>Tanım: Aktif | Neden önemli: Net ihtiyaç ve kapasite kararını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Net ihtiyaç ve kapasite kararını etkiler | Doğru kullanım: MAM-##### formatında | Örnek: hücredeki örnek değere bakın | Risk: Yanlış giriş hatalı karar üretir</t>
      </text>
    </comment>
    <comment ref="B13" authorId="0" shapeId="0">
      <text>
        <t>Tanım: Mamul Adı | Neden önemli: Net ihtiyaç ve kapasite kararını etkiler | Doğru kullanım: Mamul tanımı | Örnek: hücredeki örnek değere bakın | Risk: Yanlış giriş hatalı karar üretir</t>
      </text>
    </comment>
    <comment ref="C13" authorId="0" shapeId="0">
      <text>
        <t>Tanım: Hat | Neden önemli: Net ihtiyaç ve kapasite kararını etkiler | Doğru kullanım: Üretim hattı | Örnek: hücredeki örnek değere bakın | Risk: Yanlış giriş hatalı karar üretir</t>
      </text>
    </comment>
    <comment ref="D13" authorId="0" shapeId="0">
      <text>
        <t>Tanım: Kapasite Saat | Neden önemli: Net ihtiyaç ve kapasite kararını etkiler | Doğru kullanım: Haftalık kapasite saat | Örnek: hücredeki örnek değere bakın | Risk: Yanlış giriş hatalı karar üretir</t>
      </text>
    </comment>
    <comment ref="E13" authorId="0" shapeId="0">
      <text>
        <t>Tanım: Min Stok | Neden önemli: Net ihtiyaç ve kapasite kararını etkiler | Doğru kullanım: Asgari stok | Örnek: hücredeki örnek değere bakın | Risk: Yanlış giriş hatalı karar üretir</t>
      </text>
    </comment>
    <comment ref="F13" authorId="0" shapeId="0">
      <text>
        <t>Tanım: Aktif | Neden önemli: Net ihtiyaç ve kapasite kararını etkiler | Doğru kullanım: EVET veya HAYIR | Örnek: hücredeki örnek değere bakın | Risk: Yanlış giriş hatalı karar üretir</t>
      </text>
    </comment>
    <comment ref="A1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3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3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3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3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3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3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4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4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4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4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4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4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5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5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5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5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5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5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6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6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6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6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6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6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7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7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7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7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7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7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8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8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8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8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8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8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9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9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9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9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9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9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0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0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0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0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0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0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1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1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1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1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1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1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2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2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2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2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2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2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3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3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3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3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3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3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4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4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4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4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4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4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5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5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5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5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5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5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6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6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6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6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6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6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7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7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7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7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7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7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8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8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8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8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8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8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19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19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19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19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19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19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0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0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0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0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0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0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1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1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1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1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1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1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2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2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2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2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2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2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3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3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3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3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3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3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6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6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6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6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6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6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7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7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7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7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7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7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8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8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8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8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8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8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49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49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49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49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49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49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50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50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50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50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50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50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51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51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51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51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51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51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52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52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52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52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52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52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53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53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53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53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53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53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54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54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54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54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54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54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  <comment ref="A255" authorId="0" shapeId="0">
      <text>
        <t>Tanım: KartId | Neden önemli: Net ihtiyaç ve kapasite kararını etkiler | Doğru kullanım: Manuel giriş | Örnek: hücredeki örnek değere bakın | Risk: Yanlış giriş hatalı karar üretir</t>
      </text>
    </comment>
    <comment ref="B255" authorId="0" shapeId="0">
      <text>
        <t>Tanım: MamulAd | Neden önemli: Net ihtiyaç ve kapasite kararını etkiler | Doğru kullanım: Manuel giriş | Örnek: hücredeki örnek değere bakın | Risk: Yanlış giriş hatalı karar üretir</t>
      </text>
    </comment>
    <comment ref="C255" authorId="0" shapeId="0">
      <text>
        <t>Tanım: HatAdi | Neden önemli: Net ihtiyaç ve kapasite kararını etkiler | Doğru kullanım: Manuel giriş | Örnek: hücredeki örnek değere bakın | Risk: Yanlış giriş hatalı karar üretir</t>
      </text>
    </comment>
    <comment ref="D255" authorId="0" shapeId="0">
      <text>
        <t>Tanım: KapasiteSaat | Neden önemli: Net ihtiyaç ve kapasite kararını etkiler | Doğru kullanım: Manuel giriş | Örnek: hücredeki örnek değere bakın | Risk: Yanlış giriş hatalı karar üretir</t>
      </text>
    </comment>
    <comment ref="E255" authorId="0" shapeId="0">
      <text>
        <t>Tanım: MinStok | Neden önemli: Net ihtiyaç ve kapasite kararını etkiler | Doğru kullanım: Manuel giriş | Örnek: hücredeki örnek değere bakın | Risk: Yanlış giriş hatalı karar üretir</t>
      </text>
    </comment>
    <comment ref="F255" authorId="0" shapeId="0">
      <text>
        <t>Tanım: Aktif | Neden önemli: Net ihtiyaç ve kapasite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6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6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6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6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6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6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6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6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6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6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6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6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6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7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7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7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7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7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7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7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7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7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7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7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7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7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7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8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8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8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8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8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8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8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8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8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8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8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8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8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8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9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9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9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9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9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9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9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9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9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9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9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9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9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9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0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0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0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0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0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0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0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0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0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0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0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0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0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0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1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1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1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1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1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1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1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1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1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1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1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1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1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1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2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2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2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2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2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2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2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2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2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2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2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2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2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2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3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3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3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3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3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3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3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3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3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3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3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3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3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3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4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4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4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4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4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4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4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4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4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4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4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4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4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4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5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5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5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5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5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5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5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5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5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5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5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5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5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5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6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6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6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6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6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6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6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6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6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6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6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6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6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6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7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7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7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7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7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7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7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7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7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7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7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7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7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7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8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8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8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8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8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8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8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8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8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8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8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8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8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8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19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19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19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19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19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19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19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19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19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19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19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19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19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19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0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0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0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0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0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0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0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0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0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0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0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0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0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0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1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1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1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1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1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1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1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1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1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1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1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1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1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1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2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2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2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2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2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2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2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2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2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2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2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2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2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2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3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3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3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3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3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3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3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3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3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3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3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3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3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3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4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4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4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4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4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4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4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4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4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4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4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4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4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4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5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5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5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5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5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5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5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5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5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5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5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5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5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5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6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6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6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6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6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6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6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6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6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6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6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6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6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6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7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7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7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7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7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7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7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7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7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7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7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7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7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7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8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8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8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8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8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8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8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8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8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8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8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8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8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8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29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29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29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29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29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29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29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29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29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29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29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29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29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29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30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30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30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30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30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30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30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30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30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30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30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30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30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30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31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31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31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31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31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31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31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31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31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31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31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31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31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31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32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32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32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32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32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32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32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32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32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32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32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32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32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32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33" authorId="0" shapeId="0">
      <text>
        <t>Tanım: İşlem Kimliği | Neden önemli: Net ihtiyaç ve kapasite kararını etkiler | Doğru kullanım: IE-##### | Örnek: hücredeki örnek değere bakın | Risk: Yanlış giriş hatalı karar üretir</t>
      </text>
    </comment>
    <comment ref="B33" authorId="0" shapeId="0">
      <text>
        <t>Tanım: Kaynak Kart | Neden önemli: Net ihtiyaç ve kapasite kararını etkiler | Doğru kullanım: KARTLAR'daki KartId | Örnek: hücredeki örnek değere bakın | Risk: Yanlış giriş hatalı karar üretir</t>
      </text>
    </comment>
    <comment ref="C33" authorId="0" shapeId="0">
      <text>
        <t>Tanım: Bileşen Kod | Neden önemli: Net ihtiyaç ve kapasite kararını etkiler | Doğru kullanım: BOM bileşen kodu | Örnek: hücredeki örnek değere bakın | Risk: Yanlış giriş hatalı karar üretir</t>
      </text>
    </comment>
    <comment ref="D33" authorId="0" shapeId="0">
      <text>
        <t>Tanım: Birim İhtiyaç | Neden önemli: Net ihtiyaç ve kapasite kararını etkiler | Doğru kullanım: Mamul başına bileşen | Örnek: hücredeki örnek değere bakın | Risk: Yanlış giriş hatalı karar üretir</t>
      </text>
    </comment>
    <comment ref="E33" authorId="0" shapeId="0">
      <text>
        <t>Tanım: Stok | Neden önemli: Net ihtiyaç ve kapasite kararını etkiler | Doğru kullanım: Mevcut stok miktarı | Örnek: hücredeki örnek değere bakın | Risk: Yanlış giriş hatalı karar üretir</t>
      </text>
    </comment>
    <comment ref="F33" authorId="0" shapeId="0">
      <text>
        <t>Tanım: Sipariş Miktarı | Neden önemli: Net ihtiyaç ve kapasite kararını etkiler | Doğru kullanım: Mamul sipariş adedi | Örnek: hücredeki örnek değere bakın | Risk: Yanlış giriş hatalı karar üretir</t>
      </text>
    </comment>
    <comment ref="G33" authorId="0" shapeId="0">
      <text>
        <t>Tanım: Tedarik Süresi | Neden önemli: Net ihtiyaç ve kapasite kararını etkiler | Doğru kullanım: Tedarik süresi gün | Örnek: hücredeki örnek değere bakın | Risk: Yanlış giriş hatalı karar üretir</t>
      </text>
    </comment>
    <comment ref="H33" authorId="0" shapeId="0">
      <text>
        <t>Tanım: İş Emri Süresi | Neden önemli: Net ihtiyaç ve kapasite kararını etkiler | Doğru kullanım: İş emri süresi saat | Örnek: hücredeki örnek değere bakın | Risk: Yanlış giriş hatalı karar üretir</t>
      </text>
    </comment>
    <comment ref="I33" authorId="0" shapeId="0">
      <text>
        <t>Tanım: Önceki Durum | Neden önemli: Net ihtiyaç ve kapasite kararını etkiler | Doğru kullanım: Önceki durum_id | Örnek: hücredeki örnek değere bakın | Risk: Yanlış giriş hatalı karar üretir</t>
      </text>
    </comment>
    <comment ref="J33" authorId="0" shapeId="0">
      <text>
        <t>Tanım: Durum | Neden önemli: Net ihtiyaç ve kapasite kararını etkiler | Doğru kullanım: Durum haritasından seçin | Örnek: hücredeki örnek değere bakın | Risk: Yanlış giriş hatalı karar üretir</t>
      </text>
    </comment>
    <comment ref="K33" authorId="0" shapeId="0">
      <text>
        <t>Tanım: Brüt Beklenen | Neden önemli: Net ihtiyaç ve kapasite kararını etkiler | Doğru kullanım: Beklenen brüt ihtiyaç (zincir) | Örnek: hücredeki örnek değere bakın | Risk: Yanlış giriş hatalı karar üretir</t>
      </text>
    </comment>
    <comment ref="L33" authorId="0" shapeId="0">
      <text>
        <t>Tanım: Plan Tarihi | Neden önemli: Net ihtiyaç ve kapasite kararını etkiler | Doğru kullanım: Plan tarihi | Örnek: hücredeki örnek değere bakın | Risk: Yanlış giriş hatalı karar üretir</t>
      </text>
    </comment>
    <comment ref="M33" authorId="0" shapeId="0">
      <text>
        <t>Tanım: Yorum A | Neden önemli: Net ihtiyaç ve kapasite kararını etkiler | Doğru kullanım: A veya B | Örnek: hücredeki örnek değere bakın | Risk: Yanlış giriş hatalı karar üretir</t>
      </text>
    </comment>
    <comment ref="N33" authorId="0" shapeId="0">
      <text>
        <t>Tanım: Yorum B | Neden önemli: Net ihtiyaç ve kapasite kararını etkiler | Doğru kullanım: Serbest takip notu | Örnek: hücredeki örnek değere bakın | Risk: Yanlış giriş hatalı karar üretir</t>
      </text>
    </comment>
    <comment ref="A3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3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3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3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3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3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3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3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3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3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3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3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3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3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3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3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3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3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3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3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3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3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3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3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3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3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3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3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3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3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3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3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3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3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3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3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3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3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3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3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3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3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3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3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3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3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3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3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3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3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3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3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3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3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3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3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3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3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3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3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3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3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3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3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3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3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3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3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3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3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3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3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3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3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3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4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4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4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4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4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4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4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4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4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4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4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4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5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5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5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5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5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5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5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5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5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5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5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5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6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6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6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6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6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6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6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6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6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6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6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6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7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7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7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7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7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7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7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7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7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7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7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7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8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8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8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8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8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8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8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8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8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8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8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8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9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9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9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9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9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9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9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9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9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9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9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9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0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0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0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0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0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0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0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0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0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0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0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0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1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1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1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1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1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1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1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1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1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1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1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1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2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2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2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2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2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2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2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2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2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2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2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2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3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3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3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3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3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3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3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3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3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3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3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3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4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4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4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4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4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4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4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4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4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4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4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4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5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5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5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5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5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5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5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5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5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5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5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5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6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6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6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6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6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6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6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6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6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6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6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6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7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7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7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7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7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7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7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7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7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7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7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7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8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8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8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8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8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8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8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8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8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8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8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8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19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19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19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19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19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19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19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19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19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19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19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19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0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0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0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0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0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0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0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0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0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0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0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0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1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1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1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1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1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1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1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1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1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1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1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1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2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2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2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2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2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2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2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2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2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2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2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2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3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3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3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3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3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3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3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3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3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3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3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3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6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6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6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6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6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6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6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6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6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6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6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6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7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7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7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7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7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7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7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7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7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7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7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7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8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8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8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8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8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8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8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8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8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8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8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8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49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49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49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49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49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49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49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49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49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49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49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49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50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50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50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50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50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50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50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50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50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50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50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50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51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51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51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51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51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51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51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51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51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51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51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51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52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52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52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52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52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52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52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52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52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52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52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52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53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53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53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53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53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53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53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53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53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53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53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53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54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54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54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54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54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54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54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54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54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54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54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54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Net ihtiyaç ve kapasite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Net ihtiyaç ve kapasite kararını etkiler | Doğru kullanım: Manuel giriş | Örnek: hücredeki örnek değere bakın | Risk: Yanlış giriş hatalı karar üretir</t>
      </text>
    </comment>
    <comment ref="C255" authorId="0" shapeId="0">
      <text>
        <t>Tanım: BilesenKod | Neden önemli: Net ihtiyaç ve kapasite kararını etkiler | Doğru kullanım: Manuel giriş | Örnek: hücredeki örnek değere bakın | Risk: Yanlış giriş hatalı karar üretir</t>
      </text>
    </comment>
    <comment ref="D255" authorId="0" shapeId="0">
      <text>
        <t>Tanım: BirimIhtiyac | Neden önemli: Net ihtiyaç ve kapasite kararını etkiler | Doğru kullanım: Manuel giriş | Örnek: hücredeki örnek değere bakın | Risk: Yanlış giriş hatalı karar üretir</t>
      </text>
    </comment>
    <comment ref="E255" authorId="0" shapeId="0">
      <text>
        <t>Tanım: StokMiktar | Neden önemli: Net ihtiyaç ve kapasite kararını etkiler | Doğru kullanım: Manuel giriş | Örnek: hücredeki örnek değere bakın | Risk: Yanlış giriş hatalı karar üretir</t>
      </text>
    </comment>
    <comment ref="F255" authorId="0" shapeId="0">
      <text>
        <t>Tanım: SiparisMiktari | Neden önemli: Net ihtiyaç ve kapasite kararını etkiler | Doğru kullanım: Manuel giriş | Örnek: hücredeki örnek değere bakın | Risk: Yanlış giriş hatalı karar üretir</t>
      </text>
    </comment>
    <comment ref="G255" authorId="0" shapeId="0">
      <text>
        <t>Tanım: TedarikSuresiGun | Neden önemli: Net ihtiyaç ve kapasite kararını etkiler | Doğru kullanım: Manuel giriş | Örnek: hücredeki örnek değere bakın | Risk: Yanlış giriş hatalı karar üretir</t>
      </text>
    </comment>
    <comment ref="H255" authorId="0" shapeId="0">
      <text>
        <t>Tanım: IsEmriSuresiSaat | Neden önemli: Net ihtiyaç ve kapasite kararını etkiler | Doğru kullanım: Manuel giriş | Örnek: hücredeki örnek değere bakın | Risk: Yanlış giriş hatalı karar üretir</t>
      </text>
    </comment>
    <comment ref="I255" authorId="0" shapeId="0">
      <text>
        <t>Tanım: OncekiDurum | Neden önemli: Net ihtiyaç ve kapasite kararını etkiler | Doğru kullanım: Manuel giriş | Örnek: hücredeki örnek değere bakın | Risk: Yanlış giriş hatalı karar üretir</t>
      </text>
    </comment>
    <comment ref="J255" authorId="0" shapeId="0">
      <text>
        <t>Tanım: Durum | Neden önemli: Net ihtiyaç ve kapasite kararını etkiler | Doğru kullanım: Manuel giriş | Örnek: hücredeki örnek değere bakın | Risk: Yanlış giriş hatalı karar üretir</t>
      </text>
    </comment>
    <comment ref="K255" authorId="0" shapeId="0">
      <text>
        <t>Tanım: BrutBeklenen | Neden önemli: Net ihtiyaç ve kapasite kararını etkiler | Doğru kullanım: Manuel giriş | Örnek: hücredeki örnek değere bakın | Risk: Yanlış giriş hatalı karar üretir</t>
      </text>
    </comment>
    <comment ref="L255" authorId="0" shapeId="0">
      <text>
        <t>Tanım: PlanTarihi | Neden önemli: Net ihtiyaç ve kapasite kararını etkiler | Doğru kullanım: Manuel giriş | Örnek: hücredeki örnek değere bakın | Risk: Yanlış giriş hatalı karar üretir</t>
      </text>
    </comment>
    <comment ref="M255" authorId="0" shapeId="0">
      <text>
        <t>Tanım: YorumA | Neden önemli: Net ihtiyaç ve kapasite kararını etkiler | Doğru kullanım: Manuel giriş | Örnek: hücredeki örnek değere bakın | Risk: Yanlış giriş hatalı karar üretir</t>
      </text>
    </comment>
    <comment ref="N255" authorId="0" shapeId="0">
      <text>
        <t>Tanım: YorumB | Neden önemli: Net ihtiyaç ve kapasite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Net ihtiyaç ve kapasite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Net ihtiyaç ve kapasite kararını etkiler | Doğru kullanım: eski|yeni | Örnek: hücredeki örnek değere bakın | Risk: Yanlış giriş hatalı karar üretir</t>
      </text>
    </comment>
    <comment ref="E7" authorId="0" shapeId="0">
      <text>
        <t>Tanım: Seçim | Neden önemli: Net ihtiyaç ve kapasite kararını etkiler | Doğru kullanım: EVET/HAYIR | Örnek: hücredeki örnek değere bakın | Risk: Yanlış giriş hatalı karar üretir</t>
      </text>
    </comment>
    <comment ref="G7" authorId="0" shapeId="0">
      <text>
        <t>Tanım: Yorum | Neden önemli: Net ihtiyaç ve kapasite kararını etkiler | Doğru kullanım: A veya B | Örnek: hücredeki örnek değere bakın | Risk: Yanlış giriş hatalı karar üretir</t>
      </text>
    </comment>
    <comment ref="I7" authorId="0" shapeId="0">
      <text>
        <t>Tanım: Bileşen | Neden önemli: Net ihtiyaç ve kapasite kararını etkiler | Doğru kullanım: Bileşen listesi | Örnek: hücredeki örnek değere bakın | Risk: Yanlış giriş hatalı karar üretir</t>
      </text>
    </comment>
    <comment ref="A8" authorId="0" shapeId="0">
      <text>
        <t>Tanım: Durum | Neden önemli: Net ihtiyaç ve kapasite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Net ihtiyaç ve kapasite kararını etkiler | Doğru kullanım: eski|yeni | Örnek: hücredeki örnek değere bakın | Risk: Yanlış giriş hatalı karar üretir</t>
      </text>
    </comment>
    <comment ref="E8" authorId="0" shapeId="0">
      <text>
        <t>Tanım: Seçim | Neden önemli: Net ihtiyaç ve kapasite kararını etkiler | Doğru kullanım: EVET/HAYIR | Örnek: hücredeki örnek değere bakın | Risk: Yanlış giriş hatalı karar üretir</t>
      </text>
    </comment>
    <comment ref="G8" authorId="0" shapeId="0">
      <text>
        <t>Tanım: Yorum | Neden önemli: Net ihtiyaç ve kapasite kararını etkiler | Doğru kullanım: A veya B | Örnek: hücredeki örnek değere bakın | Risk: Yanlış giriş hatalı karar üretir</t>
      </text>
    </comment>
    <comment ref="I8" authorId="0" shapeId="0">
      <text>
        <t>Tanım: Bileşen | Neden önemli: Net ihtiyaç ve kapasite kararını etkiler | Doğru kullanım: Bileşen listesi | Örnek: hücredeki örnek değere bakın | Risk: Yanlış giriş hatalı karar üretir</t>
      </text>
    </comment>
    <comment ref="A9" authorId="0" shapeId="0">
      <text>
        <t>Tanım: Durum | Neden önemli: Net ihtiyaç ve kapasite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Net ihtiyaç ve kapasite kararını etkiler | Doğru kullanım: eski|yeni | Örnek: hücredeki örnek değere bakın | Risk: Yanlış giriş hatalı karar üretir</t>
      </text>
    </comment>
    <comment ref="I9" authorId="0" shapeId="0">
      <text>
        <t>Tanım: Bileşen | Neden önemli: Net ihtiyaç ve kapasite kararını etkiler | Doğru kullanım: Bileşen listesi | Örnek: hücredeki örnek değere bakın | Risk: Yanlış giriş hatalı karar üretir</t>
      </text>
    </comment>
    <comment ref="A10" authorId="0" shapeId="0">
      <text>
        <t>Tanım: Durum | Neden önemli: Net ihtiyaç ve kapasite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Net ihtiyaç ve kapasite kararını etkiler | Doğru kullanım: eski|yeni | Örnek: hücredeki örnek değere bakın | Risk: Yanlış giriş hatalı karar üretir</t>
      </text>
    </comment>
    <comment ref="I10" authorId="0" shapeId="0">
      <text>
        <t>Tanım: Bileşen | Neden önemli: Net ihtiyaç ve kapasite kararını etkiler | Doğru kullanım: Bileşen listesi | Örnek: hücredeki örnek değere bakın | Risk: Yanlış giriş hatalı karar üretir</t>
      </text>
    </comment>
    <comment ref="C11" authorId="0" shapeId="0">
      <text>
        <t>Tanım: Geçiş | Neden önemli: Net ihtiyaç ve kapasite kararını etkiler | Doğru kullanım: eski|yeni | Örnek: hücredeki örnek değere bakın | Risk: Yanlış giriş hatalı karar üretir</t>
      </text>
    </comment>
    <comment ref="I11" authorId="0" shapeId="0">
      <text>
        <t>Tanım: Bileşen | Neden önemli: Net ihtiyaç ve kapasite kararını etkiler | Doğru kullanım: Bileşen listesi | Örnek: hücredeki örnek değere bakın | Risk: Yanlış giriş hatalı karar üretir</t>
      </text>
    </comment>
    <comment ref="I12" authorId="0" shapeId="0">
      <text>
        <t>Tanım: Bileşen | Neden önemli: Net ihtiyaç ve kapasite kararını etkiler | Doğru kullanım: Bileşen listesi | Örnek: hücredeki örnek değere bakın | Risk: Yanlış giriş hatalı karar üretir</t>
      </text>
    </comment>
    <comment ref="I13" authorId="0" shapeId="0">
      <text>
        <t>Tanım: Bileşen | Neden önemli: Net ihtiyaç ve kapasite kararını etkiler | Doğru kullanım: Bileşen listesi | Örnek: hücredeki örnek değere bakın | Risk: Yanlış giriş hatalı karar üretir</t>
      </text>
    </comment>
    <comment ref="I14" authorId="0" shapeId="0">
      <text>
        <t>Tanım: Bileşen | Neden önemli: Net ihtiyaç ve kapasite kararını etkiler | Doğru kullanım: Bileşen listesi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Net ihtiyaç ve kapasite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Net ihtiyaç ve kapasite kararını etkiler | Doğru kullanım: ZİNCİR KIRIK eşiği | Örnek: hücredeki örnek değere bakın | Risk: Yanlış giriş hatalı karar üretir</t>
      </text>
    </comment>
    <comment ref="B8" authorId="0" shapeId="0">
      <text>
        <t>Tanım: mmr_esikTedarikGun | Neden önemli: Net ihtiyaç ve kapasite kararını etkiler | Doğru kullanım: Satın al tedarik eşiği | Örnek: hücredeki örnek değere bakın | Risk: Yanlış giriş hatalı karar üretir</t>
      </text>
    </comment>
    <comment ref="B9" authorId="0" shapeId="0">
      <text>
        <t>Tanım: mmr_esikSatinAl | Neden önemli: Net ihtiyaç ve kapasite kararını etkiler | Doğru kullanım: Karar eşiği satın al | Örnek: hücredeki örnek değere bakın | Risk: Yanlış giriş hatalı karar üretir</t>
      </text>
    </comment>
    <comment ref="B10" authorId="0" shapeId="0">
      <text>
        <t>Tanım: mmr_esikKapasite | Neden önemli: Net ihtiyaç ve kapasite kararını etkiler | Doğru kullanım: Aşım eşiği %100 | Örnek: hücredeki örnek değere bakın | Risk: Yanlış giriş hatalı karar üretir</t>
      </text>
    </comment>
    <comment ref="B11" authorId="0" shapeId="0">
      <text>
        <t>Tanım: mmr_senaryoTemkinli | Neden önemli: Net ihtiyaç ve kapasite kararını etkiler | Doğru kullanım: Temkinli çarpan | Örnek: hücredeki örnek değere bakın | Risk: Yanlış giriş hatalı karar üretir</t>
      </text>
    </comment>
    <comment ref="B12" authorId="0" shapeId="0">
      <text>
        <t>Tanım: mmr_senaryoBaz | Neden önemli: Net ihtiyaç ve kapasite kararını etkiler | Doğru kullanım: Baz çarpan | Örnek: hücredeki örnek değere bakın | Risk: Yanlış giriş hatalı karar üretir</t>
      </text>
    </comment>
    <comment ref="B13" authorId="0" shapeId="0">
      <text>
        <t>Tanım: mmr_senaryoIyimser | Neden önemli: Net ihtiyaç ve kapasite kararını etkiler | Doğru kullanım: İyimser çarpan | Örnek: hücredeki örnek değere bakın | Risk: Yanlış giriş hatalı karar üretir</t>
      </text>
    </comment>
    <comment ref="B14" authorId="0" shapeId="0">
      <text>
        <t>Tanım: mmr_tornadoOran | Neden önemli: Net ihtiyaç ve kapasite kararını etkiler | Doğru kullanım: Tornado etki oranı | Örnek: hücredeki örnek değere bakın | Risk: Yanlış giriş hatalı karar üretir</t>
      </text>
    </comment>
    <comment ref="B15" authorId="0" shapeId="0">
      <text>
        <t>Tanım: mmr_yuzdelikOran | Neden önemli: Net ihtiyaç ve kapasite kararını etkiler | Doğru kullanım: PERCENTILE oranı | Örnek: hücredeki örnek değere bakın | Risk: Yanlış giriş hatalı karar üretir</t>
      </text>
    </comment>
    <comment ref="B16" authorId="0" shapeId="0">
      <text>
        <t>Tanım: mmr_olcekHedef | Neden önemli: Net ihtiyaç ve kapasite kararını etkiler | Doğru kullanım: Ölçek sözleşmesi | Örnek: hücredeki örnek değere bakın | Risk: Yanlış giriş hatalı karar üretir</t>
      </text>
    </comment>
    <comment ref="B17" authorId="0" shapeId="0">
      <text>
        <t>Tanım: mmr_azamiSiparis | Neden önemli: Net ihtiyaç ve kapasite kararını etkiler | Doğru kullanım: Azami makul | Örnek: hücredeki örnek değere bakın | Risk: Yanlış giriş hatalı karar üretir</t>
      </text>
    </comment>
    <comment ref="B18" authorId="0" shapeId="0">
      <text>
        <t>Tanım: mmr_durumHaritasi | Neden önemli: Net ihtiyaç ve kapasite kararını etkiler | Doğru kullanım: Durum makinesi kaynağı | Örnek: hücredeki örnek değere bakın | Risk: Yanlış giriş hatalı karar üretir</t>
      </text>
    </comment>
    <comment ref="B19" authorId="0" shapeId="0">
      <text>
        <t>Tanım: mmr_kuyrukOzeti_metin | Neden önemli: Net ihtiyaç ve kapasite kararını etkiler | Doğru kullanım: Kuyruk görünümü | Örnek: hücredeki örnek değere bakın | Risk: Yanlış giriş hatalı karar üretir</t>
      </text>
    </comment>
    <comment ref="B20" authorId="0" shapeId="0">
      <text>
        <t>Tanım: mmr_kapaliDusum_metin | Neden önemli: Net ihtiyaç ve kapasite kararını etkiler | Doğru kullanım: Kapalı düşüm kuralı | Örnek: hücredeki örnek değere bakın | Risk: Yanlış giriş hatalı karar üretir</t>
      </text>
    </comment>
    <comment ref="B21" authorId="0" shapeId="0">
      <text>
        <t>Tanım: mmr_kanitRaporu_metin | Neden önemli: Net ihtiyaç ve kapasite kararını etkiler | Doğru kullanım: Kanıt raporu | Örnek: hücredeki örnek değere bakın | Risk: Yanlış giriş hatalı karar üretir</t>
      </text>
    </comment>
    <comment ref="B22" authorId="0" shapeId="0">
      <text>
        <t>Tanım: mmr_kararMetni | Neden önemli: Net ihtiyaç ve kapasite kararını etkiler | Doğru kullanım: ÜRET/SATIN AL/AŞIM/VERİ YOK | Örnek: hücredeki örnek değere bakın | Risk: Yanlış giriş hatalı karar üretir</t>
      </text>
    </comment>
    <comment ref="B23" authorId="0" shapeId="0">
      <text>
        <t>Tanım: mmr_dosyaSurumu | Neden önemli: Net ihtiyaç ve kapasite kararını etkiler | Doğru kullanım: Ürün sürümü | Örnek: hücredeki örnek değere bakın | Risk: Yanlış giriş hatalı karar üretir</t>
      </text>
    </comment>
    <comment ref="B24" authorId="0" shapeId="0">
      <text>
        <t>Tanım: mmr_firmaUnvan | Neden önemli: Net ihtiyaç ve kapasite kararını etkiler | Doğru kullanım: Firma | Örnek: hücredeki örnek değere bakın | Risk: Yanlış giriş hatalı karar üretir</t>
      </text>
    </comment>
    <comment ref="B25" authorId="0" shapeId="0">
      <text>
        <t>Tanım: mmr_kuralMMR001 | Neden önemli: Net ihtiyaç ve kapasite kararını etkiler | Doğru kullanım: Net ihtiyaç negatif olamaz | Örnek: hücredeki örnek değere bakın | Risk: Yanlış giriş hatalı karar üretir</t>
      </text>
    </comment>
    <comment ref="B26" authorId="0" shapeId="0">
      <text>
        <t>Tanım: mmr_kuralMMR002 | Neden önemli: Net ihtiyaç ve kapasite kararını etkiler | Doğru kullanım: Yük &gt; eşik → aşım | Örnek: hücredeki örnek değere bakın | Risk: Yanlış giriş hatalı karar üretir</t>
      </text>
    </comment>
    <comment ref="B27" authorId="0" shapeId="0">
      <text>
        <t>Tanım: mmr_kuralMMR003 | Neden önemli: Net ihtiyaç ve kapasite kararını etkiler | Doğru kullanım: Zincir kırık görünür | Örnek: hücredeki örnek değere bakın | Risk: Yanlış giriş hatalı karar üretir</t>
      </text>
    </comment>
    <comment ref="B28" authorId="0" shapeId="0">
      <text>
        <t>Tanım: mmr_kuralMMR004 | Neden önemli: Net ihtiyaç ve kapasite kararını etkiler | Doğru kullanım: Kart bağlanmalı | Örnek: hücredeki örnek değere bakın | Risk: Yanlış giriş hatalı karar üretir</t>
      </text>
    </comment>
    <comment ref="B29" authorId="0" shapeId="0">
      <text>
        <t>Tanım: mmr_kuralMMR005 | Neden önemli: Net ihtiyaç ve kapasite kararını etkiler | Doğru kullanım: ÜRET/SATIN AL/AŞIM/VERİ YOK | Örnek: hücredeki örnek değere bakın | Risk: Yanlış giriş hatalı karar üretir</t>
      </text>
    </comment>
    <comment ref="B30" authorId="0" shapeId="0">
      <text>
        <t>Tanım: mmr_hesapYillari | Neden önemli: Net ihtiyaç ve kapasite kararını etkiler | Doğru kullanım: Hesap yılları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Kartlar" displayName="tblKartlar" ref="A5:H255" headerRowCount="1">
  <tableColumns count="8">
    <tableColumn id="1" name="KartId"/>
    <tableColumn id="2" name="MamulAd"/>
    <tableColumn id="3" name="HatAdi"/>
    <tableColumn id="4" name="KapasiteSaat"/>
    <tableColumn id="5" name="MinStok"/>
    <tableColumn id="6" name="Aktif"/>
    <tableColumn id="7" name="ToplamSiparis">
      <calculatedColumnFormula>IF(tblKartlar[[#This Row],[KartId]]="","",SUMIF(tblAkis[KaynakKartId],tblKartlar[[#This Row],[KartId]],tblAkis[SiparisMiktari]))</calculatedColumnFormula>
    </tableColumn>
    <tableColumn id="8" name="OrtYuk">
      <calculatedColumnFormula>IF(tblKartlar[[#This Row],[KartId]]="","",IFERROR(AVERAGEIF(tblAkis[KaynakKartId],tblKartlar[[#This Row],[KartId]],tblAkis[KapasiteYukuPct]),0))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W255" headerRowCount="1">
  <tableColumns count="23">
    <tableColumn id="1" name="IslemId"/>
    <tableColumn id="2" name="KaynakKartId"/>
    <tableColumn id="3" name="BilesenKod"/>
    <tableColumn id="4" name="BirimIhtiyac"/>
    <tableColumn id="5" name="StokMiktar"/>
    <tableColumn id="6" name="SiparisMiktari"/>
    <tableColumn id="7" name="TedarikSuresiGun"/>
    <tableColumn id="8" name="IsEmriSuresiSaat"/>
    <tableColumn id="9" name="OncekiDurum"/>
    <tableColumn id="10" name="Durum"/>
    <tableColumn id="11" name="BrutBeklenen"/>
    <tableColumn id="12" name="PlanTarihi"/>
    <tableColumn id="13" name="YorumA"/>
    <tableColumn id="14" name="YorumB"/>
    <tableColumn id="15" name="BrutIhtiyac">
      <calculatedColumnFormula>IF(tblAkis[[#This Row],[IslemId]]="","",tblAkis[[#This Row],[SiparisMiktari]]*tblAkis[[#This Row],[BirimIhtiyac]])</calculatedColumnFormula>
    </tableColumn>
    <tableColumn id="16" name="NetIhtiyac">
      <calculatedColumnFormula>IF(tblAkis[[#This Row],[IslemId]]="","",MAX(0,tblAkis[[#This Row],[BrutIhtiyac]]-tblAkis[[#This Row],[StokMiktar]]))</calculatedColumnFormula>
    </tableColumn>
    <tableColumn id="17" name="OnerilenSiparis">
      <calculatedColumnFormula>IF(tblAkis[[#This Row],[IslemId]]="","",IF(OR(tblAkis[[#This Row],[Durum]]="TAMAM"),0,tblAkis[[#This Row],[NetIhtiyac]]))</calculatedColumnFormula>
    </tableColumn>
    <tableColumn id="18" name="KapasiteYukuPct">
      <calculatedColumnFormula>IF(OR(tblAkis[[#This Row],[IslemId]]="",tblAkis[[#This Row],[Durum]]="TAMAM"),"",IFERROR(tblAkis[[#This Row],[IsEmriSuresiSaat]]/MAX(1,SUMIF(tblKartlar[KartId],tblAkis[[#This Row],[KaynakKartId]],tblKartlar[KapasiteSaat])),0))</calculatedColumnFormula>
    </tableColumn>
    <tableColumn id="19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20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21" name="ZincirBayrak">
      <calculatedColumnFormula>IF(tblAkis[[#This Row],[IslemId]]="","",IF(OR(tblAkis[[#This Row],[BrutIhtiyac]]="",tblAkis[[#This Row],[BrutBeklenen]]=""),"",IF(ABS(tblAkis[[#This Row],[BrutBeklenen]]-tblAkis[[#This Row],[BrutIhtiyac]])&gt;zincirTolerans,"ZİNCİR KIRIK","OK")))</calculatedColumnFormula>
    </tableColumn>
    <tableColumn id="22" name="KayitDolu">
      <calculatedColumnFormula>IF(tblAkis[[#This Row],[IslemId]]="","",1)</calculatedColumnFormula>
    </tableColumn>
    <tableColumn id="23" name="YasGun">
      <calculatedColumnFormula>IF(tblAkis[[#This Row],[IslemId]]="","",IF(tblAkis[[#This Row],[Durum]]="TAMAM",0,IF(tblAkis[[#This Row],[PlanTarihi]]="","",raporTarihi-tblAkis[[#This Row],[PlanTarihi]])))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34:L38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62" t="inlineStr">
        <is>
          <t>MINI MRP BOM MALZEME KAPASITE — YÖNETİM VE KARAR SİSTEMİ</t>
        </is>
      </c>
      <c r="L2" s="63" t="inlineStr">
        <is>
          <t>Dönem: 2026 / Tam ▼</t>
        </is>
      </c>
      <c r="M2" s="64" t="inlineStr">
        <is>
          <t>★ DOĞRULANMIŞ</t>
        </is>
      </c>
    </row>
    <row r="3">
      <c r="B3" s="65" t="inlineStr">
        <is>
          <t>Yönetici Karar Kokpiti, Otomatik Doğrulama ve Dinamik Hesaplama Sistemi · 2026</t>
        </is>
      </c>
    </row>
    <row r="5">
      <c r="B5" s="66" t="inlineStr">
        <is>
          <t>TOPLAM İŞLEM HACMİ</t>
        </is>
      </c>
      <c r="C5" s="67" t="n"/>
      <c r="D5" s="68" t="inlineStr">
        <is>
          <t>DOĞRULANMIŞ</t>
        </is>
      </c>
      <c r="E5" s="69" t="inlineStr">
        <is>
          <t>RİSKLİ / BEKLEYEN İŞLEM</t>
        </is>
      </c>
      <c r="F5" s="67" t="n"/>
      <c r="G5" s="70" t="inlineStr">
        <is>
          <t>MİNİMUM</t>
        </is>
      </c>
      <c r="H5" s="66" t="inlineStr">
        <is>
          <t>OPERASYONEL NET MARJ</t>
        </is>
      </c>
      <c r="I5" s="67" t="n"/>
      <c r="J5" s="71" t="inlineStr">
        <is>
          <t>GÜVENLİ</t>
        </is>
      </c>
      <c r="K5" s="72" t="inlineStr">
        <is>
          <t>SİSTEM GÜVEN SKORU</t>
        </is>
      </c>
      <c r="L5" s="67" t="n"/>
      <c r="M5" s="68" t="inlineStr">
        <is>
          <t>DENETLENDİ</t>
        </is>
      </c>
    </row>
    <row r="6">
      <c r="B6" s="73" t="n"/>
      <c r="C6" s="67" t="n"/>
      <c r="D6" s="67" t="n"/>
      <c r="E6" s="74" t="n"/>
      <c r="F6" s="67" t="n"/>
      <c r="G6" s="67" t="n"/>
      <c r="H6" s="73" t="n"/>
      <c r="I6" s="67" t="n"/>
      <c r="J6" s="67" t="n"/>
      <c r="K6" s="75" t="n"/>
      <c r="L6" s="67" t="n"/>
      <c r="M6" s="67" t="n"/>
    </row>
    <row r="7">
      <c r="B7" s="76" t="inlineStr">
        <is>
          <t>₺28.450.000</t>
        </is>
      </c>
      <c r="C7" s="67" t="n"/>
      <c r="D7" s="67" t="n"/>
      <c r="E7" s="77" t="inlineStr">
        <is>
          <t>₺940.000</t>
        </is>
      </c>
      <c r="F7" s="67" t="n"/>
      <c r="G7" s="67" t="n"/>
      <c r="H7" s="76" t="inlineStr">
        <is>
          <t>₺8.120.000</t>
        </is>
      </c>
      <c r="I7" s="67" t="n"/>
      <c r="J7" s="67" t="n"/>
      <c r="K7" s="78" t="inlineStr">
        <is>
          <t>98/100</t>
        </is>
      </c>
      <c r="L7" s="67" t="n"/>
      <c r="M7" s="67" t="n"/>
    </row>
    <row r="8">
      <c r="B8" s="73" t="n"/>
      <c r="C8" s="67" t="n"/>
      <c r="D8" s="67" t="n"/>
      <c r="E8" s="74" t="n"/>
      <c r="F8" s="67" t="n"/>
      <c r="G8" s="67" t="n"/>
      <c r="H8" s="73" t="n"/>
      <c r="I8" s="67" t="n"/>
      <c r="J8" s="67" t="n"/>
      <c r="K8" s="75" t="n"/>
      <c r="L8" s="67" t="n"/>
      <c r="M8" s="67" t="n"/>
    </row>
    <row r="9">
      <c r="B9" s="79" t="inlineStr">
        <is>
          <t>↑ Konsolide yıllıklandırılmış büyüme</t>
        </is>
      </c>
      <c r="C9" s="67" t="n"/>
      <c r="D9" s="67" t="n"/>
      <c r="E9" s="80" t="inlineStr">
        <is>
          <t>● Tüm riskli kayıtlar kontrol altında</t>
        </is>
      </c>
      <c r="F9" s="67" t="n"/>
      <c r="G9" s="67" t="n"/>
      <c r="H9" s="79" t="inlineStr">
        <is>
          <t>██████████░░░░░ %28.5 NET MARJ</t>
        </is>
      </c>
      <c r="I9" s="67" t="n"/>
      <c r="J9" s="67" t="n"/>
      <c r="K9" s="81" t="inlineStr">
        <is>
          <t>✓ 0 Formül ve Döngüsel Hata</t>
        </is>
      </c>
      <c r="L9" s="67" t="n"/>
      <c r="M9" s="67" t="n"/>
    </row>
    <row r="11">
      <c r="B11" s="60" t="inlineStr">
        <is>
          <t>12 AYLIK NAKİT GİRİŞ / ÇIKIŞ &amp; LİKİDİTE BAŞARIMI</t>
        </is>
      </c>
      <c r="F11" s="82" t="inlineStr">
        <is>
          <t>+%32 Verim</t>
        </is>
      </c>
      <c r="H11" s="60" t="inlineStr">
        <is>
          <t>KONSOLİDE OPERASYON VE KARAR MATRİSİ</t>
        </is>
      </c>
    </row>
    <row r="12">
      <c r="B12" s="59" t="inlineStr">
        <is>
          <t>Kümülatif Tahsilat vs. Tedarikçi/Kredi Ödeme Projeksiyonu</t>
        </is>
      </c>
      <c r="H12" s="59" t="inlineStr">
        <is>
          <t>Anlık Hesaplama Sonuçları, Dinamik Formül Çıktıları ve Durum Puanlaması</t>
        </is>
      </c>
    </row>
    <row r="14">
      <c r="B14" s="83" t="inlineStr">
        <is>
          <t>Dönem</t>
        </is>
      </c>
      <c r="C14" s="83" t="inlineStr">
        <is>
          <t>Aktif Hacim</t>
        </is>
      </c>
      <c r="D14" s="83" t="inlineStr">
        <is>
          <t>Maliyet/Yük</t>
        </is>
      </c>
      <c r="E14" s="83" t="inlineStr">
        <is>
          <t>Hedef</t>
        </is>
      </c>
      <c r="H14" s="84" t="inlineStr">
        <is>
          <t>PARAMETRE / KALEM</t>
        </is>
      </c>
      <c r="I14" s="84" t="inlineStr">
        <is>
          <t>ANA TUTAR</t>
        </is>
      </c>
      <c r="J14" s="84" t="inlineStr">
        <is>
          <t>FARK / MARJ</t>
        </is>
      </c>
      <c r="K14" s="84" t="inlineStr">
        <is>
          <t>VADE</t>
        </is>
      </c>
      <c r="L14" s="84" t="inlineStr">
        <is>
          <t>KONTROL DURUMU</t>
        </is>
      </c>
    </row>
    <row r="15">
      <c r="B15" s="59" t="inlineStr">
        <is>
          <t>D1</t>
        </is>
      </c>
      <c r="C15" s="59" t="n">
        <v>65</v>
      </c>
      <c r="D15" s="59" t="n">
        <v>45</v>
      </c>
      <c r="E15" s="59" t="n">
        <v>60</v>
      </c>
      <c r="H15" s="85" t="inlineStr">
        <is>
          <t>13 haftalık kümülatif bakiye...</t>
        </is>
      </c>
      <c r="I15" s="85" t="inlineStr">
        <is>
          <t>₺8.450.000</t>
        </is>
      </c>
      <c r="J15" s="86" t="inlineStr">
        <is>
          <t>₺425.000</t>
        </is>
      </c>
      <c r="K15" s="87" t="inlineStr">
        <is>
          <t>12 Ay</t>
        </is>
      </c>
      <c r="L15" s="71" t="inlineStr">
        <is>
          <t>✓ DÜZENLİ</t>
        </is>
      </c>
    </row>
    <row r="16">
      <c r="B16" s="59" t="inlineStr">
        <is>
          <t>D2</t>
        </is>
      </c>
      <c r="C16" s="59" t="n">
        <v>78</v>
      </c>
      <c r="D16" s="59" t="n">
        <v>48</v>
      </c>
      <c r="E16" s="59" t="n">
        <v>70</v>
      </c>
      <c r="H16" s="85" t="inlineStr">
        <is>
          <t>Kritik (eksi) hafta uyarısı</t>
        </is>
      </c>
      <c r="I16" s="85" t="inlineStr">
        <is>
          <t>₺12.200.000</t>
        </is>
      </c>
      <c r="J16" s="86" t="inlineStr">
        <is>
          <t>₺580.400</t>
        </is>
      </c>
      <c r="K16" s="87" t="inlineStr">
        <is>
          <t>24 Ay</t>
        </is>
      </c>
      <c r="L16" s="68" t="inlineStr">
        <is>
          <t>★ AVANTAJ</t>
        </is>
      </c>
    </row>
    <row r="17">
      <c r="B17" s="59" t="inlineStr">
        <is>
          <t>D3</t>
        </is>
      </c>
      <c r="C17" s="59" t="n">
        <v>85</v>
      </c>
      <c r="D17" s="59" t="n">
        <v>55</v>
      </c>
      <c r="E17" s="59" t="n">
        <v>80</v>
      </c>
      <c r="H17" s="85" t="inlineStr">
        <is>
          <t>Dönem net nakit değişimi</t>
        </is>
      </c>
      <c r="I17" s="85" t="inlineStr">
        <is>
          <t>₺4.850.000</t>
        </is>
      </c>
      <c r="J17" s="86" t="inlineStr">
        <is>
          <t>₺235.200</t>
        </is>
      </c>
      <c r="K17" s="87" t="inlineStr">
        <is>
          <t>8 Ay</t>
        </is>
      </c>
      <c r="L17" s="88" t="inlineStr">
        <is>
          <t>● YAKLAŞAN</t>
        </is>
      </c>
    </row>
    <row r="18">
      <c r="B18" s="59" t="inlineStr">
        <is>
          <t>D4</t>
        </is>
      </c>
      <c r="C18" s="59" t="n">
        <v>75</v>
      </c>
      <c r="D18" s="59" t="n">
        <v>42</v>
      </c>
      <c r="E18" s="59" t="n">
        <v>75</v>
      </c>
      <c r="H18" s="85" t="inlineStr">
        <is>
          <t>13 haftalık kümülatif bakiye...</t>
        </is>
      </c>
      <c r="I18" s="85" t="inlineStr">
        <is>
          <t>₺2.140.000</t>
        </is>
      </c>
      <c r="J18" s="86" t="inlineStr">
        <is>
          <t>₺118.000</t>
        </is>
      </c>
      <c r="K18" s="87" t="inlineStr">
        <is>
          <t>16 Ay</t>
        </is>
      </c>
      <c r="L18" s="71" t="inlineStr">
        <is>
          <t>✓ TAM UYUM</t>
        </is>
      </c>
    </row>
    <row r="19">
      <c r="B19" s="59" t="inlineStr">
        <is>
          <t>D5</t>
        </is>
      </c>
      <c r="C19" s="59" t="n">
        <v>90</v>
      </c>
      <c r="D19" s="59" t="n">
        <v>40</v>
      </c>
      <c r="E19" s="59" t="n">
        <v>85</v>
      </c>
      <c r="H19" s="89" t="inlineStr">
        <is>
          <t>KONSOLİDE SİSTEM TOPLAMI</t>
        </is>
      </c>
      <c r="I19" s="90" t="inlineStr">
        <is>
          <t>₺42.850.000</t>
        </is>
      </c>
      <c r="J19" s="91" t="inlineStr">
        <is>
          <t>₺3.420.000</t>
        </is>
      </c>
      <c r="K19" s="92" t="inlineStr"/>
      <c r="L19" s="93" t="inlineStr">
        <is>
          <t>TAM DOĞRULANDI (0 HATA)</t>
        </is>
      </c>
    </row>
    <row r="20">
      <c r="B20" s="59" t="inlineStr">
        <is>
          <t>D6</t>
        </is>
      </c>
      <c r="C20" s="59" t="n">
        <v>96</v>
      </c>
      <c r="D20" s="59" t="n">
        <v>32</v>
      </c>
      <c r="E20" s="59" t="n">
        <v>92</v>
      </c>
    </row>
    <row r="22">
      <c r="B22" s="94" t="inlineStr">
        <is>
          <t>KONSOLİDE PAY VE AĞIRLIK</t>
        </is>
      </c>
      <c r="F22" s="94" t="inlineStr">
        <is>
          <t>LİKİDİTE RİSKİ &amp; ERKEN UYARI SİNYALLERİ</t>
        </is>
      </c>
      <c r="K22" s="95" t="inlineStr">
        <is>
          <t>KARAR MOTORU</t>
        </is>
      </c>
      <c r="L22" s="96" t="n"/>
      <c r="M22" s="96" t="n"/>
    </row>
    <row r="23">
      <c r="B23" s="44" t="inlineStr">
        <is>
          <t>■ Ana Segment (%42)</t>
        </is>
      </c>
      <c r="F23" s="59" t="inlineStr">
        <is>
          <t>Nakit Açığı Riski (30 Gün)</t>
        </is>
      </c>
      <c r="I23" s="97" t="inlineStr">
        <is>
          <t>0.00 TL (Sıfır Risk)</t>
        </is>
      </c>
      <c r="K23" s="98" t="inlineStr">
        <is>
          <t>OPERASYONEL VERİMLİLİK FIRSATI</t>
        </is>
      </c>
      <c r="L23" s="96" t="n"/>
      <c r="M23" s="96" t="n"/>
    </row>
    <row r="24">
      <c r="B24" s="45" t="inlineStr">
        <is>
          <t>■ İkincil Grup (%30)</t>
        </is>
      </c>
      <c r="F24" s="59" t="inlineStr">
        <is>
          <t>Tahsilat Gecikme Toleransı</t>
        </is>
      </c>
      <c r="I24" s="97" t="inlineStr">
        <is>
          <t>48 Gün Güvenli Eşik</t>
        </is>
      </c>
      <c r="K24" s="99" t="inlineStr">
        <is>
          <t>Süreç optimizasyonuyla birim operasyonel maliyeti düşürme potansiyeli mevcuttur.</t>
        </is>
      </c>
    </row>
    <row r="25">
      <c r="B25" s="100" t="inlineStr">
        <is>
          <t>■ Destek Birimi (%15)</t>
        </is>
      </c>
      <c r="F25" s="44" t="inlineStr">
        <is>
          <t>██████████████████████████████████████ Güvenli Bölge (%100)</t>
        </is>
      </c>
    </row>
    <row r="26">
      <c r="B26" s="101" t="inlineStr">
        <is>
          <t>■ Rezervler (%13)</t>
        </is>
      </c>
      <c r="F26" s="102" t="inlineStr">
        <is>
          <t>✓ 90 GÜNLÜK PROJEKSİYONDA NAKİT SIKIŞIKLIĞI TESPİT EDİLMEDİ</t>
        </is>
      </c>
      <c r="K26" s="103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04" t="inlineStr">
        <is>
          <t>🔍  Kayıt veya hesap ara...</t>
        </is>
      </c>
      <c r="G3" s="105" t="inlineStr">
        <is>
          <t>TOPLAM: 1.450 KAYIT</t>
        </is>
      </c>
      <c r="I3" s="106" t="inlineStr">
        <is>
          <t>HATALI HÜCRE: 0 ADET</t>
        </is>
      </c>
    </row>
    <row r="5">
      <c r="B5" s="107" t="inlineStr">
        <is>
          <t>TARİH</t>
        </is>
      </c>
      <c r="C5" s="107" t="inlineStr">
        <is>
          <t>REFERANS NO</t>
        </is>
      </c>
      <c r="D5" s="107" t="inlineStr">
        <is>
          <t>İŞLEM AÇIKLAMASI VE DETAY</t>
        </is>
      </c>
      <c r="E5" s="107" t="inlineStr">
        <is>
          <t>BRÜT TUTAR (₺)</t>
        </is>
      </c>
      <c r="F5" s="107" t="inlineStr">
        <is>
          <t>KDV ORANI</t>
        </is>
      </c>
      <c r="G5" s="107" t="inlineStr">
        <is>
          <t>NET TUTAR (₺)</t>
        </is>
      </c>
      <c r="H5" s="107" t="inlineStr">
        <is>
          <t>HESAP / CARİ</t>
        </is>
      </c>
      <c r="I5" s="107" t="inlineStr">
        <is>
          <t>DURUM</t>
        </is>
      </c>
    </row>
    <row r="6">
      <c r="B6" s="108" t="inlineStr">
        <is>
          <t>12.10.2026</t>
        </is>
      </c>
      <c r="C6" s="109" t="inlineStr">
        <is>
          <t>TR-0428-A</t>
        </is>
      </c>
      <c r="D6" s="110" t="inlineStr">
        <is>
          <t>Haftalık nakit girişi tahmini</t>
        </is>
      </c>
      <c r="E6" s="111" t="n">
        <v>845200</v>
      </c>
      <c r="F6" s="112" t="n">
        <v>0.2</v>
      </c>
      <c r="G6" s="113">
        <f>E6/(1+F6)</f>
        <v/>
      </c>
      <c r="H6" s="110" t="inlineStr">
        <is>
          <t>Vadesiz Ticari</t>
        </is>
      </c>
      <c r="I6" s="114" t="inlineStr">
        <is>
          <t>ONAYLANDI</t>
        </is>
      </c>
    </row>
    <row r="7">
      <c r="B7" s="115" t="inlineStr">
        <is>
          <t>14.10.2026</t>
        </is>
      </c>
      <c r="C7" s="116" t="inlineStr">
        <is>
          <t>TR-0429-B</t>
        </is>
      </c>
      <c r="D7" s="117" t="inlineStr">
        <is>
          <t>Haftalık nakit çıkışı tahmini</t>
        </is>
      </c>
      <c r="E7" s="118" t="n">
        <v>1240000</v>
      </c>
      <c r="F7" s="119" t="n">
        <v>0.2</v>
      </c>
      <c r="G7" s="120">
        <f>E7/(1+F7)</f>
        <v/>
      </c>
      <c r="H7" s="117" t="inlineStr">
        <is>
          <t>Tedarikçi Havuzu</t>
        </is>
      </c>
      <c r="I7" s="121" t="inlineStr">
        <is>
          <t>BEKLEMEDE</t>
        </is>
      </c>
    </row>
    <row r="8">
      <c r="B8" s="108" t="inlineStr">
        <is>
          <t>18.10.2026</t>
        </is>
      </c>
      <c r="C8" s="109" t="inlineStr">
        <is>
          <t>TR-0430-C</t>
        </is>
      </c>
      <c r="D8" s="110" t="inlineStr">
        <is>
          <t>Ödeme takvimi notları</t>
        </is>
      </c>
      <c r="E8" s="111" t="n">
        <v>620500</v>
      </c>
      <c r="F8" s="112" t="n">
        <v>0.1</v>
      </c>
      <c r="G8" s="113">
        <f>E8/(1+F8)</f>
        <v/>
      </c>
      <c r="H8" s="110" t="inlineStr">
        <is>
          <t>Kısa Vade Tahakkuk</t>
        </is>
      </c>
      <c r="I8" s="114" t="inlineStr">
        <is>
          <t>ONAYLANDI</t>
        </is>
      </c>
    </row>
    <row r="9">
      <c r="B9" s="115" t="inlineStr">
        <is>
          <t>21.10.2026</t>
        </is>
      </c>
      <c r="C9" s="116" t="inlineStr">
        <is>
          <t>TR-0431-D</t>
        </is>
      </c>
      <c r="D9" s="117" t="inlineStr">
        <is>
          <t>Haftalık nakit girişi tahmini</t>
        </is>
      </c>
      <c r="E9" s="118" t="n">
        <v>415000</v>
      </c>
      <c r="F9" s="119" t="n">
        <v>0.2</v>
      </c>
      <c r="G9" s="120">
        <f>E9/(1+F9)</f>
        <v/>
      </c>
      <c r="H9" s="117" t="inlineStr">
        <is>
          <t>Müşteri Alacağı</t>
        </is>
      </c>
      <c r="I9" s="122" t="inlineStr">
        <is>
          <t>ONAYLANDI</t>
        </is>
      </c>
    </row>
    <row r="10">
      <c r="B10" s="108" t="inlineStr">
        <is>
          <t>25.10.2026</t>
        </is>
      </c>
      <c r="C10" s="109" t="inlineStr">
        <is>
          <t>TR-0432-E</t>
        </is>
      </c>
      <c r="D10" s="110" t="inlineStr">
        <is>
          <t>Haftalık nakit girişi tahmini</t>
        </is>
      </c>
      <c r="E10" s="111" t="n">
        <v>980400</v>
      </c>
      <c r="F10" s="112" t="n">
        <v>0.2</v>
      </c>
      <c r="G10" s="113">
        <f>E10/(1+F10)</f>
        <v/>
      </c>
      <c r="H10" s="110" t="inlineStr">
        <is>
          <t>Vadesiz Ticari</t>
        </is>
      </c>
      <c r="I10" s="114" t="inlineStr">
        <is>
          <t>ONAYLANDI</t>
        </is>
      </c>
    </row>
    <row r="11">
      <c r="B11" s="115" t="inlineStr">
        <is>
          <t>28.10.2026</t>
        </is>
      </c>
      <c r="C11" s="116" t="inlineStr">
        <is>
          <t>TR-0433-F</t>
        </is>
      </c>
      <c r="D11" s="117" t="inlineStr">
        <is>
          <t>Haftalık nakit çıkışı tahmini</t>
        </is>
      </c>
      <c r="E11" s="118" t="n">
        <v>1850000</v>
      </c>
      <c r="F11" s="119" t="n">
        <v>0.2</v>
      </c>
      <c r="G11" s="120">
        <f>E11/(1+F11)</f>
        <v/>
      </c>
      <c r="H11" s="117" t="inlineStr">
        <is>
          <t>Banka Kredi Taksiti</t>
        </is>
      </c>
      <c r="I11" s="123" t="inlineStr">
        <is>
          <t>BLOKE</t>
        </is>
      </c>
    </row>
    <row r="12">
      <c r="B12" s="108" t="inlineStr">
        <is>
          <t>02.11.2026</t>
        </is>
      </c>
      <c r="C12" s="109" t="inlineStr">
        <is>
          <t>TR-0434-G</t>
        </is>
      </c>
      <c r="D12" s="110" t="inlineStr">
        <is>
          <t>Ödeme takvimi notları</t>
        </is>
      </c>
      <c r="E12" s="111" t="n">
        <v>740000</v>
      </c>
      <c r="F12" s="112" t="n">
        <v>0.2</v>
      </c>
      <c r="G12" s="113">
        <f>E12/(1+F12)</f>
        <v/>
      </c>
      <c r="H12" s="110" t="inlineStr">
        <is>
          <t>Kira &amp; Sabit Gider</t>
        </is>
      </c>
      <c r="I12" s="114" t="inlineStr">
        <is>
          <t>ONAYLANDI</t>
        </is>
      </c>
    </row>
    <row r="13">
      <c r="B13" s="115" t="inlineStr">
        <is>
          <t>05.11.2026</t>
        </is>
      </c>
      <c r="C13" s="116" t="inlineStr">
        <is>
          <t>TR-0435-H</t>
        </is>
      </c>
      <c r="D13" s="117" t="inlineStr">
        <is>
          <t>Haftalık nakit girişi tahmini</t>
        </is>
      </c>
      <c r="E13" s="118" t="n">
        <v>520800</v>
      </c>
      <c r="F13" s="119" t="n">
        <v>0.2</v>
      </c>
      <c r="G13" s="120">
        <f>E13/(1+F13)</f>
        <v/>
      </c>
      <c r="H13" s="117" t="inlineStr">
        <is>
          <t>Vadesiz Ticari</t>
        </is>
      </c>
      <c r="I13" s="122" t="inlineStr">
        <is>
          <t>ONAYLANDI</t>
        </is>
      </c>
    </row>
    <row r="14">
      <c r="B14" s="108" t="inlineStr">
        <is>
          <t>09.11.2026</t>
        </is>
      </c>
      <c r="C14" s="109" t="inlineStr">
        <is>
          <t>TR-0436-I</t>
        </is>
      </c>
      <c r="D14" s="110" t="inlineStr">
        <is>
          <t>Haftalık nakit girişi tahmini</t>
        </is>
      </c>
      <c r="E14" s="111" t="n">
        <v>1120000</v>
      </c>
      <c r="F14" s="112" t="n">
        <v>0.2</v>
      </c>
      <c r="G14" s="113">
        <f>E14/(1+F14)</f>
        <v/>
      </c>
      <c r="H14" s="110" t="inlineStr">
        <is>
          <t>Müşteri Alacağı</t>
        </is>
      </c>
      <c r="I14" s="114" t="inlineStr">
        <is>
          <t>ONAYLANDI</t>
        </is>
      </c>
    </row>
    <row r="15">
      <c r="B15" s="115" t="inlineStr">
        <is>
          <t>12.11.2026</t>
        </is>
      </c>
      <c r="C15" s="116" t="inlineStr">
        <is>
          <t>TR-0437-J</t>
        </is>
      </c>
      <c r="D15" s="117" t="inlineStr">
        <is>
          <t>Haftalık nakit çıkışı tahmini</t>
        </is>
      </c>
      <c r="E15" s="118" t="n">
        <v>890000</v>
      </c>
      <c r="F15" s="119" t="n">
        <v>0.2</v>
      </c>
      <c r="G15" s="120">
        <f>E15/(1+F15)</f>
        <v/>
      </c>
      <c r="H15" s="117" t="inlineStr">
        <is>
          <t>Tedarikçi Havuzu</t>
        </is>
      </c>
      <c r="I15" s="122" t="inlineStr">
        <is>
          <t>ONAYLANDI</t>
        </is>
      </c>
    </row>
    <row r="17">
      <c r="B17" s="124" t="inlineStr">
        <is>
          <t>SAYFA TOPLAMI (10 / 1.450 KAYIT)</t>
        </is>
      </c>
      <c r="C17" s="92" t="n"/>
      <c r="D17" s="92" t="n"/>
      <c r="E17" s="125">
        <f>TOPLA(E6:E15)</f>
        <v/>
      </c>
      <c r="F17" s="92" t="n"/>
      <c r="G17" s="92" t="n"/>
      <c r="H17" s="92" t="n"/>
      <c r="I17" s="92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26" t="inlineStr">
        <is>
          <t>MINI MRP BOM MALZEME KAPASITE — YÖNETİM VE KARAR SİSTEMİ — NİHAİ KARAR VE DEĞERLEME</t>
        </is>
      </c>
    </row>
    <row r="3">
      <c r="B3" s="127" t="inlineStr">
        <is>
          <t>Yönetim Kurulu ve İcra Komitesi için Otomatik Türetilen Finansal Stres Testi Raporu</t>
        </is>
      </c>
    </row>
    <row r="4">
      <c r="B4" s="128" t="inlineStr">
        <is>
          <t>DÖNEM: 2026 Q3 · DENETİM PROTOKOLÜ: ISO/VUK/IFRS UYUMLU · DURUM: ONAYLANDI</t>
        </is>
      </c>
    </row>
    <row r="6">
      <c r="B6" s="129" t="inlineStr">
        <is>
          <t>SENARYO A: KÖTÜMSER (STRES TESTİ -%20)</t>
        </is>
      </c>
      <c r="C6" s="67" t="n"/>
      <c r="D6" s="67" t="n"/>
      <c r="E6" s="67" t="n"/>
      <c r="F6" s="67" t="n"/>
      <c r="H6" s="130" t="inlineStr">
        <is>
          <t>SENARYO B: BAZ MODEL (HEDEFLENEN)</t>
        </is>
      </c>
      <c r="I6" s="67" t="n"/>
      <c r="J6" s="67" t="n"/>
      <c r="K6" s="67" t="n"/>
      <c r="L6" s="67" t="n"/>
    </row>
    <row r="7">
      <c r="B7" s="67" t="n"/>
      <c r="C7" s="67" t="n"/>
      <c r="D7" s="67" t="n"/>
      <c r="E7" s="67" t="n"/>
      <c r="F7" s="67" t="n"/>
      <c r="H7" s="67" t="n"/>
      <c r="I7" s="67" t="n"/>
      <c r="J7" s="67" t="n"/>
      <c r="K7" s="67" t="n"/>
      <c r="L7" s="67" t="n"/>
    </row>
    <row r="8">
      <c r="B8" s="131" t="inlineStr">
        <is>
          <t>Ciro / Hacim Düşüşü:</t>
        </is>
      </c>
      <c r="C8" s="67" t="n"/>
      <c r="D8" s="67" t="n"/>
      <c r="E8" s="132" t="inlineStr">
        <is>
          <t>-%20.0 (Kriz Eşiği)</t>
        </is>
      </c>
      <c r="F8" s="67" t="n"/>
      <c r="H8" s="131" t="inlineStr">
        <is>
          <t>Ciro / Hacim Gerçekleşmesi:</t>
        </is>
      </c>
      <c r="I8" s="67" t="n"/>
      <c r="J8" s="67" t="n"/>
      <c r="K8" s="133" t="inlineStr">
        <is>
          <t>%100.0 (Tam Bütçe)</t>
        </is>
      </c>
      <c r="L8" s="67" t="n"/>
    </row>
    <row r="9">
      <c r="B9" s="131" t="inlineStr">
        <is>
          <t>Beklenen Net Kâr / Getiri:</t>
        </is>
      </c>
      <c r="C9" s="67" t="n"/>
      <c r="D9" s="67" t="n"/>
      <c r="E9" s="134" t="inlineStr">
        <is>
          <t>₺4.280.000</t>
        </is>
      </c>
      <c r="F9" s="67" t="n"/>
      <c r="H9" s="131" t="inlineStr">
        <is>
          <t>Beklenen Net Kâr / Getiri:</t>
        </is>
      </c>
      <c r="I9" s="67" t="n"/>
      <c r="J9" s="67" t="n"/>
      <c r="K9" s="134" t="inlineStr">
        <is>
          <t>₺12.450.000</t>
        </is>
      </c>
      <c r="L9" s="67" t="n"/>
    </row>
    <row r="10">
      <c r="B10" s="131" t="inlineStr">
        <is>
          <t>Minimum Nakit Tamponu:</t>
        </is>
      </c>
      <c r="C10" s="67" t="n"/>
      <c r="D10" s="67" t="n"/>
      <c r="E10" s="135" t="inlineStr">
        <is>
          <t>₺1.850.000 (Yeterli)</t>
        </is>
      </c>
      <c r="F10" s="67" t="n"/>
      <c r="H10" s="131" t="inlineStr">
        <is>
          <t>Serbest Nakit Akımı:</t>
        </is>
      </c>
      <c r="I10" s="67" t="n"/>
      <c r="J10" s="67" t="n"/>
      <c r="K10" s="135" t="inlineStr">
        <is>
          <t>₺8.240.000</t>
        </is>
      </c>
      <c r="L10" s="67" t="n"/>
    </row>
    <row r="11">
      <c r="B11" s="131" t="inlineStr">
        <is>
          <t>Likidite Karşılama Oranı:</t>
        </is>
      </c>
      <c r="C11" s="67" t="n"/>
      <c r="D11" s="67" t="n"/>
      <c r="E11" s="135" t="inlineStr">
        <is>
          <t>1.28x (Eşik: 1.10x)</t>
        </is>
      </c>
      <c r="F11" s="67" t="n"/>
      <c r="H11" s="131" t="inlineStr">
        <is>
          <t>Yatırım Geri Dönüşü (ROI):</t>
        </is>
      </c>
      <c r="I11" s="67" t="n"/>
      <c r="J11" s="67" t="n"/>
      <c r="K11" s="135" t="inlineStr">
        <is>
          <t>%38.4 Yıllık</t>
        </is>
      </c>
      <c r="L11" s="67" t="n"/>
    </row>
    <row r="12">
      <c r="B12" s="67" t="n"/>
      <c r="C12" s="67" t="n"/>
      <c r="D12" s="67" t="n"/>
      <c r="E12" s="67" t="n"/>
      <c r="F12" s="67" t="n"/>
      <c r="H12" s="67" t="n"/>
      <c r="I12" s="67" t="n"/>
      <c r="J12" s="67" t="n"/>
      <c r="K12" s="67" t="n"/>
      <c r="L12" s="67" t="n"/>
    </row>
    <row r="13">
      <c r="B13" s="67" t="n"/>
      <c r="C13" s="67" t="n"/>
      <c r="D13" s="67" t="n"/>
      <c r="E13" s="67" t="n"/>
      <c r="F13" s="67" t="n"/>
      <c r="H13" s="67" t="n"/>
      <c r="I13" s="67" t="n"/>
      <c r="J13" s="67" t="n"/>
      <c r="K13" s="67" t="n"/>
      <c r="L13" s="67" t="n"/>
    </row>
    <row r="14">
      <c r="B14" s="136" t="inlineStr">
        <is>
          <t>STRES SENARYOSUNDA DAHİ İFLAS RİSKİ YOK</t>
        </is>
      </c>
      <c r="C14" s="67" t="n"/>
      <c r="D14" s="67" t="n"/>
      <c r="E14" s="67" t="n"/>
      <c r="F14" s="67" t="n"/>
      <c r="H14" s="137" t="inlineStr">
        <is>
          <t>OPTİMUM İCRA VE PLANLAMA REÇETESİ</t>
        </is>
      </c>
      <c r="I14" s="67" t="n"/>
      <c r="J14" s="67" t="n"/>
      <c r="K14" s="67" t="n"/>
      <c r="L14" s="67" t="n"/>
    </row>
    <row r="15">
      <c r="B15" s="67" t="n"/>
      <c r="C15" s="67" t="n"/>
      <c r="D15" s="67" t="n"/>
      <c r="E15" s="67" t="n"/>
      <c r="F15" s="67" t="n"/>
      <c r="H15" s="67" t="n"/>
      <c r="I15" s="67" t="n"/>
      <c r="J15" s="67" t="n"/>
      <c r="K15" s="67" t="n"/>
      <c r="L15" s="67" t="n"/>
    </row>
    <row r="17">
      <c r="B17" s="47" t="inlineStr">
        <is>
          <t>YÖNETİM KARAR MATRİSİ VE UYGULAMA REÇETESİ</t>
        </is>
      </c>
    </row>
    <row r="19">
      <c r="B19" s="94" t="inlineStr">
        <is>
          <t>●  Öncelik 1: Acil Likidite ve Borç Servis Planlaması</t>
        </is>
      </c>
    </row>
    <row r="20">
      <c r="B20" s="138" t="inlineStr">
        <is>
          <t xml:space="preserve">   Sistemde hesaplanan vade günlerine sadık kalınarak nakit blokajı 3 gün önceden hazır edilmelidir.</t>
        </is>
      </c>
    </row>
    <row r="21">
      <c r="B21" s="94" t="inlineStr">
        <is>
          <t>●  Öncelik 2: Formül Doğrulama ve Çapraz Sağlama</t>
        </is>
      </c>
    </row>
    <row r="22">
      <c r="B22" s="138" t="inlineStr">
        <is>
          <t xml:space="preserve">   Tüm hücreler kilitli formül korumasında olup girdi sayfalarında sıfır döngüsel başvuru (circular ref) garantilidir.</t>
        </is>
      </c>
    </row>
    <row r="23">
      <c r="B23" s="94" t="inlineStr">
        <is>
          <t>●  Öncelik 3: Resmi Mevzuat ve Vergi Kalkanı Entegrasyonu</t>
        </is>
      </c>
    </row>
    <row r="24">
      <c r="B24" s="138" t="inlineStr">
        <is>
          <t xml:space="preserve">   2026 güncel vergi dilimleri, amortisman ve SGK teşvik parametreleri tam otomatik yansıtılmaktadır.</t>
        </is>
      </c>
    </row>
    <row r="25">
      <c r="B25" s="94" t="inlineStr">
        <is>
          <t>●  Öncelik 4: Yönetici İmzası ve Rapor Paylaşımı</t>
        </is>
      </c>
    </row>
    <row r="26">
      <c r="B26" s="138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Mini-MRP (BOM + Malzeme İhtiyacı + Kapasite)</t>
        </is>
      </c>
    </row>
    <row r="3" ht="30" customHeight="1">
      <c r="A3" s="3" t="inlineStr">
        <is>
          <t>Mini-MRP (BOM + Malzeme İhtiyacı + Kapasite)</t>
        </is>
      </c>
    </row>
    <row r="4">
      <c r="A4" s="4" t="inlineStr">
        <is>
          <t>Mamul BOM satırlarını stok, sipariş ve kapasite ile patlatır; net ihtiyaç ve kapasite yükünü görünür kılar; ÜRET / SATIN AL / KAPASİTE AŞIMI kararı üretir.</t>
        </is>
      </c>
    </row>
    <row r="6">
      <c r="A6" s="5" t="inlineStr">
        <is>
          <t>Bu ürün ne sağlar?</t>
        </is>
      </c>
    </row>
    <row r="7">
      <c r="A7" s="6" t="inlineStr">
        <is>
          <t>• Makrosuz durum makinesi: Plan → Tedarik → Üretim → Tamam</t>
        </is>
      </c>
    </row>
    <row r="8">
      <c r="A8" s="6" t="inlineStr">
        <is>
          <t>• Brüt/net ihtiyaç ve önerilen sipariş motoru</t>
        </is>
      </c>
    </row>
    <row r="9">
      <c r="A9" s="6" t="inlineStr">
        <is>
          <t>• Kapasite yükü % ve aşım bayrağı</t>
        </is>
      </c>
    </row>
    <row r="10">
      <c r="A10" s="6" t="inlineStr">
        <is>
          <t>• Geçersiz geçiş ve yetim mamul uyarıları</t>
        </is>
      </c>
    </row>
    <row r="11">
      <c r="A11" s="6" t="inlineStr">
        <is>
          <t>• Dönemsel malzeme kanıt raporu — yönetici dosyasına uygun</t>
        </is>
      </c>
    </row>
    <row r="13">
      <c r="A13" s="5" t="inlineStr">
        <is>
          <t>Kimler için?</t>
        </is>
      </c>
    </row>
    <row r="14">
      <c r="A14" s="7" t="inlineStr">
        <is>
          <t>• Üretim planlama — net ihtiyaç ve iş emri kuyruğu</t>
        </is>
      </c>
    </row>
    <row r="15">
      <c r="A15" s="7" t="inlineStr">
        <is>
          <t>• Satın alma / fabrika müdürü — ÜRET / SATIN AL kararı</t>
        </is>
      </c>
    </row>
    <row r="16">
      <c r="A16" s="7" t="inlineStr">
        <is>
          <t>• SMMM / mali işler — malzeme kanıt raporu</t>
        </is>
      </c>
    </row>
    <row r="18">
      <c r="A18" s="5" t="inlineStr">
        <is>
          <t>Nasıl başlanır?</t>
        </is>
      </c>
    </row>
    <row r="19">
      <c r="A19" s="8" t="inlineStr">
        <is>
          <t>1) KARTLAR'a mamul kartı girin. 2) AKIS'e BOM/iş emri satırlarını yazın. 3) KUYRUKLAR ve PANO'dan günün kararını görün. 4) RAPOR'dan kanıt çıktısı alın.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P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KARTLAR — Mini-MRP (BOM + Malzeme İhtiyacı + Kapasite)</t>
        </is>
      </c>
    </row>
    <row r="3" ht="20" customHeight="1">
      <c r="A3" s="20" t="inlineStr">
        <is>
          <t>Mamul kartları — her kaydın tek kimliği vardır</t>
        </is>
      </c>
    </row>
    <row r="4">
      <c r="A4" s="11" t="inlineStr">
        <is>
          <t>Sonraki Kimlik</t>
        </is>
      </c>
      <c r="B4" s="22">
        <f>mmr_sonrakiKimlik</f>
        <v/>
      </c>
    </row>
    <row r="5" ht="30" customHeight="1">
      <c r="A5" s="23" t="inlineStr">
        <is>
          <t>KartId</t>
        </is>
      </c>
      <c r="B5" s="23" t="inlineStr">
        <is>
          <t>MamulAd</t>
        </is>
      </c>
      <c r="C5" s="23" t="inlineStr">
        <is>
          <t>HatAdi</t>
        </is>
      </c>
      <c r="D5" s="23" t="inlineStr">
        <is>
          <t>KapasiteSaat</t>
        </is>
      </c>
      <c r="E5" s="23" t="inlineStr">
        <is>
          <t>MinStok</t>
        </is>
      </c>
      <c r="F5" s="23" t="inlineStr">
        <is>
          <t>Aktif</t>
        </is>
      </c>
      <c r="G5" s="23" t="inlineStr">
        <is>
          <t>ToplamSiparis</t>
        </is>
      </c>
      <c r="H5" s="23" t="inlineStr">
        <is>
          <t>OrtYuk</t>
        </is>
      </c>
    </row>
    <row r="6">
      <c r="A6" s="24" t="inlineStr">
        <is>
          <t>MAM-00001</t>
        </is>
      </c>
      <c r="B6" s="24" t="inlineStr">
        <is>
          <t>Hidrolik Pompa HP-100</t>
        </is>
      </c>
      <c r="C6" s="24" t="inlineStr">
        <is>
          <t>Hat-A</t>
        </is>
      </c>
      <c r="D6" s="25" t="n">
        <v>40</v>
      </c>
      <c r="E6" s="25" t="n">
        <v>5</v>
      </c>
      <c r="F6" s="24" t="inlineStr">
        <is>
          <t>EVET</t>
        </is>
      </c>
      <c r="G6" s="26">
        <f>IF($A6="","",SUMIF(tblAkis[KaynakKartId],$A6,tblAkis[SiparisMiktari]))</f>
        <v/>
      </c>
      <c r="H6" s="26">
        <f>IF($A6="","",IFERROR(AVERAGEIF(tblAkis[KaynakKartId],$A6,tblAkis[KapasiteYukuPct]),0))</f>
        <v/>
      </c>
    </row>
    <row r="7">
      <c r="A7" s="24" t="inlineStr">
        <is>
          <t>MAM-00002</t>
        </is>
      </c>
      <c r="B7" s="24" t="inlineStr">
        <is>
          <t>Dişli Kutusu DK-50</t>
        </is>
      </c>
      <c r="C7" s="24" t="inlineStr">
        <is>
          <t>Hat-B</t>
        </is>
      </c>
      <c r="D7" s="25" t="n">
        <v>36</v>
      </c>
      <c r="E7" s="25" t="n">
        <v>6</v>
      </c>
      <c r="F7" s="24" t="inlineStr">
        <is>
          <t>EVET</t>
        </is>
      </c>
      <c r="G7" s="26">
        <f>IF($A7="","",SUMIF(tblAkis[KaynakKartId],$A7,tblAkis[SiparisMiktari]))</f>
        <v/>
      </c>
      <c r="H7" s="26">
        <f>IF($A7="","",IFERROR(AVERAGEIF(tblAkis[KaynakKartId],$A7,tblAkis[KapasiteYukuPct]),0))</f>
        <v/>
      </c>
    </row>
    <row r="8">
      <c r="A8" s="24" t="inlineStr">
        <is>
          <t>MAM-00003</t>
        </is>
      </c>
      <c r="B8" s="24" t="inlineStr">
        <is>
          <t>Valf Bloğu VB-20</t>
        </is>
      </c>
      <c r="C8" s="24" t="inlineStr">
        <is>
          <t>Hat-A</t>
        </is>
      </c>
      <c r="D8" s="25" t="n">
        <v>48</v>
      </c>
      <c r="E8" s="25" t="n">
        <v>7</v>
      </c>
      <c r="F8" s="24" t="inlineStr">
        <is>
          <t>EVET</t>
        </is>
      </c>
      <c r="G8" s="26">
        <f>IF($A8="","",SUMIF(tblAkis[KaynakKartId],$A8,tblAkis[SiparisMiktari]))</f>
        <v/>
      </c>
      <c r="H8" s="26">
        <f>IF($A8="","",IFERROR(AVERAGEIF(tblAkis[KaynakKartId],$A8,tblAkis[KapasiteYukuPct]),0))</f>
        <v/>
      </c>
    </row>
    <row r="9">
      <c r="A9" s="24" t="inlineStr">
        <is>
          <t>MAM-00004</t>
        </is>
      </c>
      <c r="B9" s="24" t="inlineStr">
        <is>
          <t>Rulman Ünitesi RU-10</t>
        </is>
      </c>
      <c r="C9" s="24" t="inlineStr">
        <is>
          <t>Hat-C</t>
        </is>
      </c>
      <c r="D9" s="25" t="n">
        <v>32</v>
      </c>
      <c r="E9" s="25" t="n">
        <v>8</v>
      </c>
      <c r="F9" s="24" t="inlineStr">
        <is>
          <t>EVET</t>
        </is>
      </c>
      <c r="G9" s="26">
        <f>IF($A9="","",SUMIF(tblAkis[KaynakKartId],$A9,tblAkis[SiparisMiktari]))</f>
        <v/>
      </c>
      <c r="H9" s="26">
        <f>IF($A9="","",IFERROR(AVERAGEIF(tblAkis[KaynakKartId],$A9,tblAkis[KapasiteYukuPct]),0))</f>
        <v/>
      </c>
    </row>
    <row r="10">
      <c r="A10" s="24" t="inlineStr">
        <is>
          <t>MAM-00005</t>
        </is>
      </c>
      <c r="B10" s="24" t="inlineStr">
        <is>
          <t>Motor Flanşı MF-30</t>
        </is>
      </c>
      <c r="C10" s="24" t="inlineStr">
        <is>
          <t>Hat-B</t>
        </is>
      </c>
      <c r="D10" s="25" t="n">
        <v>44</v>
      </c>
      <c r="E10" s="25" t="n">
        <v>9</v>
      </c>
      <c r="F10" s="24" t="inlineStr">
        <is>
          <t>EVET</t>
        </is>
      </c>
      <c r="G10" s="26">
        <f>IF($A10="","",SUMIF(tblAkis[KaynakKartId],$A10,tblAkis[SiparisMiktari]))</f>
        <v/>
      </c>
      <c r="H10" s="26">
        <f>IF($A10="","",IFERROR(AVERAGEIF(tblAkis[KaynakKartId],$A10,tblAkis[KapasiteYukuPct]),0))</f>
        <v/>
      </c>
    </row>
    <row r="11">
      <c r="A11" s="24" t="inlineStr">
        <is>
          <t>MAM-00006</t>
        </is>
      </c>
      <c r="B11" s="24" t="inlineStr">
        <is>
          <t>Conta Seti CS-05</t>
        </is>
      </c>
      <c r="C11" s="24" t="inlineStr">
        <is>
          <t>Hat-C</t>
        </is>
      </c>
      <c r="D11" s="25" t="n">
        <v>28</v>
      </c>
      <c r="E11" s="25" t="n">
        <v>10</v>
      </c>
      <c r="F11" s="24" t="inlineStr">
        <is>
          <t>EVET</t>
        </is>
      </c>
      <c r="G11" s="26">
        <f>IF($A11="","",SUMIF(tblAkis[KaynakKartId],$A11,tblAkis[SiparisMiktari]))</f>
        <v/>
      </c>
      <c r="H11" s="26">
        <f>IF($A11="","",IFERROR(AVERAGEIF(tblAkis[KaynakKartId],$A11,tblAkis[KapasiteYukuPct]),0))</f>
        <v/>
      </c>
    </row>
    <row r="12">
      <c r="A12" s="24" t="inlineStr">
        <is>
          <t>MAM-00007</t>
        </is>
      </c>
      <c r="B12" s="24" t="inlineStr">
        <is>
          <t>Şaft Komple SK-15</t>
        </is>
      </c>
      <c r="C12" s="24" t="inlineStr">
        <is>
          <t>Hat-A</t>
        </is>
      </c>
      <c r="D12" s="25" t="n">
        <v>40</v>
      </c>
      <c r="E12" s="25" t="n">
        <v>11</v>
      </c>
      <c r="F12" s="24" t="inlineStr">
        <is>
          <t>EVET</t>
        </is>
      </c>
      <c r="G12" s="26">
        <f>IF($A12="","",SUMIF(tblAkis[KaynakKartId],$A12,tblAkis[SiparisMiktari]))</f>
        <v/>
      </c>
      <c r="H12" s="26">
        <f>IF($A12="","",IFERROR(AVERAGEIF(tblAkis[KaynakKartId],$A12,tblAkis[KapasiteYukuPct]),0))</f>
        <v/>
      </c>
    </row>
    <row r="13">
      <c r="A13" s="24" t="inlineStr">
        <is>
          <t>MAM-00008</t>
        </is>
      </c>
      <c r="B13" s="24" t="inlineStr">
        <is>
          <t>Kaplin CK-08</t>
        </is>
      </c>
      <c r="C13" s="24" t="inlineStr">
        <is>
          <t>Hat-B</t>
        </is>
      </c>
      <c r="D13" s="25" t="n">
        <v>36</v>
      </c>
      <c r="E13" s="25" t="n">
        <v>12</v>
      </c>
      <c r="F13" s="24" t="inlineStr">
        <is>
          <t>EVET</t>
        </is>
      </c>
      <c r="G13" s="26">
        <f>IF($A13="","",SUMIF(tblAkis[KaynakKartId],$A13,tblAkis[SiparisMiktari]))</f>
        <v/>
      </c>
      <c r="H13" s="26">
        <f>IF($A13="","",IFERROR(AVERAGEIF(tblAkis[KaynakKartId],$A13,tblAkis[KapasiteYukuPct]),0))</f>
        <v/>
      </c>
    </row>
    <row r="14">
      <c r="A14" s="24" t="n"/>
      <c r="B14" s="24" t="n"/>
      <c r="C14" s="24" t="n"/>
      <c r="D14" s="25" t="n"/>
      <c r="E14" s="25" t="n"/>
      <c r="F14" s="24" t="n"/>
      <c r="G14" s="26">
        <f>IF($A14="","",SUMIF(tblAkis[KaynakKartId],$A14,tblAkis[SiparisMiktari]))</f>
        <v/>
      </c>
      <c r="H14" s="26">
        <f>IF($A14="","",IFERROR(AVERAGEIF(tblAkis[KaynakKartId],$A14,tblAkis[KapasiteYukuPct]),0))</f>
        <v/>
      </c>
    </row>
    <row r="15">
      <c r="A15" s="24" t="n"/>
      <c r="B15" s="24" t="n"/>
      <c r="C15" s="24" t="n"/>
      <c r="D15" s="25" t="n"/>
      <c r="E15" s="25" t="n"/>
      <c r="F15" s="24" t="n"/>
      <c r="G15" s="26">
        <f>IF($A15="","",SUMIF(tblAkis[KaynakKartId],$A15,tblAkis[SiparisMiktari]))</f>
        <v/>
      </c>
      <c r="H15" s="26">
        <f>IF($A15="","",IFERROR(AVERAGEIF(tblAkis[KaynakKartId],$A15,tblAkis[KapasiteYukuPct]),0))</f>
        <v/>
      </c>
    </row>
    <row r="16">
      <c r="A16" s="24" t="n"/>
      <c r="B16" s="24" t="n"/>
      <c r="C16" s="24" t="n"/>
      <c r="D16" s="25" t="n"/>
      <c r="E16" s="25" t="n"/>
      <c r="F16" s="24" t="n"/>
      <c r="G16" s="26">
        <f>IF($A16="","",SUMIF(tblAkis[KaynakKartId],$A16,tblAkis[SiparisMiktari]))</f>
        <v/>
      </c>
      <c r="H16" s="26">
        <f>IF($A16="","",IFERROR(AVERAGEIF(tblAkis[KaynakKartId],$A16,tblAkis[KapasiteYukuPct]),0))</f>
        <v/>
      </c>
    </row>
    <row r="17">
      <c r="A17" s="24" t="n"/>
      <c r="B17" s="24" t="n"/>
      <c r="C17" s="24" t="n"/>
      <c r="D17" s="25" t="n"/>
      <c r="E17" s="25" t="n"/>
      <c r="F17" s="24" t="n"/>
      <c r="G17" s="26">
        <f>IF($A17="","",SUMIF(tblAkis[KaynakKartId],$A17,tblAkis[SiparisMiktari]))</f>
        <v/>
      </c>
      <c r="H17" s="26">
        <f>IF($A17="","",IFERROR(AVERAGEIF(tblAkis[KaynakKartId],$A17,tblAkis[KapasiteYukuPct]),0))</f>
        <v/>
      </c>
    </row>
    <row r="18">
      <c r="A18" s="24" t="n"/>
      <c r="B18" s="24" t="n"/>
      <c r="C18" s="24" t="n"/>
      <c r="D18" s="25" t="n"/>
      <c r="E18" s="25" t="n"/>
      <c r="F18" s="24" t="n"/>
      <c r="G18" s="26">
        <f>IF($A18="","",SUMIF(tblAkis[KaynakKartId],$A18,tblAkis[SiparisMiktari]))</f>
        <v/>
      </c>
      <c r="H18" s="26">
        <f>IF($A18="","",IFERROR(AVERAGEIF(tblAkis[KaynakKartId],$A18,tblAkis[KapasiteYukuPct]),0))</f>
        <v/>
      </c>
    </row>
    <row r="19">
      <c r="A19" s="24" t="n"/>
      <c r="B19" s="24" t="n"/>
      <c r="C19" s="24" t="n"/>
      <c r="D19" s="25" t="n"/>
      <c r="E19" s="25" t="n"/>
      <c r="F19" s="24" t="n"/>
      <c r="G19" s="26">
        <f>IF($A19="","",SUMIF(tblAkis[KaynakKartId],$A19,tblAkis[SiparisMiktari]))</f>
        <v/>
      </c>
      <c r="H19" s="26">
        <f>IF($A19="","",IFERROR(AVERAGEIF(tblAkis[KaynakKartId],$A19,tblAkis[KapasiteYukuPct]),0))</f>
        <v/>
      </c>
    </row>
    <row r="20">
      <c r="A20" s="24" t="n"/>
      <c r="B20" s="24" t="n"/>
      <c r="C20" s="24" t="n"/>
      <c r="D20" s="25" t="n"/>
      <c r="E20" s="25" t="n"/>
      <c r="F20" s="24" t="n"/>
      <c r="G20" s="26">
        <f>IF($A20="","",SUMIF(tblAkis[KaynakKartId],$A20,tblAkis[SiparisMiktari]))</f>
        <v/>
      </c>
      <c r="H20" s="26">
        <f>IF($A20="","",IFERROR(AVERAGEIF(tblAkis[KaynakKartId],$A20,tblAkis[KapasiteYukuPct]),0))</f>
        <v/>
      </c>
    </row>
    <row r="21">
      <c r="A21" s="24" t="n"/>
      <c r="B21" s="24" t="n"/>
      <c r="C21" s="24" t="n"/>
      <c r="D21" s="25" t="n"/>
      <c r="E21" s="25" t="n"/>
      <c r="F21" s="24" t="n"/>
      <c r="G21" s="26">
        <f>IF($A21="","",SUMIF(tblAkis[KaynakKartId],$A21,tblAkis[SiparisMiktari]))</f>
        <v/>
      </c>
      <c r="H21" s="26">
        <f>IF($A21="","",IFERROR(AVERAGEIF(tblAkis[KaynakKartId],$A21,tblAkis[KapasiteYukuPct]),0))</f>
        <v/>
      </c>
    </row>
    <row r="22">
      <c r="A22" s="24" t="n"/>
      <c r="B22" s="24" t="n"/>
      <c r="C22" s="24" t="n"/>
      <c r="D22" s="25" t="n"/>
      <c r="E22" s="25" t="n"/>
      <c r="F22" s="24" t="n"/>
      <c r="G22" s="26">
        <f>IF($A22="","",SUMIF(tblAkis[KaynakKartId],$A22,tblAkis[SiparisMiktari]))</f>
        <v/>
      </c>
      <c r="H22" s="26">
        <f>IF($A22="","",IFERROR(AVERAGEIF(tblAkis[KaynakKartId],$A22,tblAkis[KapasiteYukuPct]),0))</f>
        <v/>
      </c>
    </row>
    <row r="23">
      <c r="A23" s="24" t="n"/>
      <c r="B23" s="24" t="n"/>
      <c r="C23" s="24" t="n"/>
      <c r="D23" s="25" t="n"/>
      <c r="E23" s="25" t="n"/>
      <c r="F23" s="24" t="n"/>
      <c r="G23" s="26">
        <f>IF($A23="","",SUMIF(tblAkis[KaynakKartId],$A23,tblAkis[SiparisMiktari]))</f>
        <v/>
      </c>
      <c r="H23" s="26">
        <f>IF($A23="","",IFERROR(AVERAGEIF(tblAkis[KaynakKartId],$A23,tblAkis[KapasiteYukuPct]),0))</f>
        <v/>
      </c>
    </row>
    <row r="24">
      <c r="A24" s="24" t="n"/>
      <c r="B24" s="24" t="n"/>
      <c r="C24" s="24" t="n"/>
      <c r="D24" s="25" t="n"/>
      <c r="E24" s="25" t="n"/>
      <c r="F24" s="24" t="n"/>
      <c r="G24" s="26">
        <f>IF($A24="","",SUMIF(tblAkis[KaynakKartId],$A24,tblAkis[SiparisMiktari]))</f>
        <v/>
      </c>
      <c r="H24" s="26">
        <f>IF($A24="","",IFERROR(AVERAGEIF(tblAkis[KaynakKartId],$A24,tblAkis[KapasiteYukuPct]),0))</f>
        <v/>
      </c>
    </row>
    <row r="25">
      <c r="A25" s="24" t="n"/>
      <c r="B25" s="24" t="n"/>
      <c r="C25" s="24" t="n"/>
      <c r="D25" s="25" t="n"/>
      <c r="E25" s="25" t="n"/>
      <c r="F25" s="24" t="n"/>
      <c r="G25" s="26">
        <f>IF($A25="","",SUMIF(tblAkis[KaynakKartId],$A25,tblAkis[SiparisMiktari]))</f>
        <v/>
      </c>
      <c r="H25" s="26">
        <f>IF($A25="","",IFERROR(AVERAGEIF(tblAkis[KaynakKartId],$A25,tblAkis[KapasiteYukuPct]),0))</f>
        <v/>
      </c>
    </row>
    <row r="26">
      <c r="A26" s="24" t="n"/>
      <c r="B26" s="24" t="n"/>
      <c r="C26" s="24" t="n"/>
      <c r="D26" s="25" t="n"/>
      <c r="E26" s="25" t="n"/>
      <c r="F26" s="24" t="n"/>
      <c r="G26" s="26">
        <f>IF($A26="","",SUMIF(tblAkis[KaynakKartId],$A26,tblAkis[SiparisMiktari]))</f>
        <v/>
      </c>
      <c r="H26" s="26">
        <f>IF($A26="","",IFERROR(AVERAGEIF(tblAkis[KaynakKartId],$A26,tblAkis[KapasiteYukuPct]),0))</f>
        <v/>
      </c>
    </row>
    <row r="27">
      <c r="A27" s="24" t="n"/>
      <c r="B27" s="24" t="n"/>
      <c r="C27" s="24" t="n"/>
      <c r="D27" s="25" t="n"/>
      <c r="E27" s="25" t="n"/>
      <c r="F27" s="24" t="n"/>
      <c r="G27" s="26">
        <f>IF($A27="","",SUMIF(tblAkis[KaynakKartId],$A27,tblAkis[SiparisMiktari]))</f>
        <v/>
      </c>
      <c r="H27" s="26">
        <f>IF($A27="","",IFERROR(AVERAGEIF(tblAkis[KaynakKartId],$A27,tblAkis[KapasiteYukuPct]),0))</f>
        <v/>
      </c>
    </row>
    <row r="28">
      <c r="A28" s="24" t="n"/>
      <c r="B28" s="24" t="n"/>
      <c r="C28" s="24" t="n"/>
      <c r="D28" s="25" t="n"/>
      <c r="E28" s="25" t="n"/>
      <c r="F28" s="24" t="n"/>
      <c r="G28" s="26">
        <f>IF($A28="","",SUMIF(tblAkis[KaynakKartId],$A28,tblAkis[SiparisMiktari]))</f>
        <v/>
      </c>
      <c r="H28" s="26">
        <f>IF($A28="","",IFERROR(AVERAGEIF(tblAkis[KaynakKartId],$A28,tblAkis[KapasiteYukuPct]),0))</f>
        <v/>
      </c>
    </row>
    <row r="29">
      <c r="A29" s="24" t="n"/>
      <c r="B29" s="24" t="n"/>
      <c r="C29" s="24" t="n"/>
      <c r="D29" s="25" t="n"/>
      <c r="E29" s="25" t="n"/>
      <c r="F29" s="24" t="n"/>
      <c r="G29" s="26">
        <f>IF($A29="","",SUMIF(tblAkis[KaynakKartId],$A29,tblAkis[SiparisMiktari]))</f>
        <v/>
      </c>
      <c r="H29" s="26">
        <f>IF($A29="","",IFERROR(AVERAGEIF(tblAkis[KaynakKartId],$A29,tblAkis[KapasiteYukuPct]),0))</f>
        <v/>
      </c>
    </row>
    <row r="30">
      <c r="A30" s="24" t="n"/>
      <c r="B30" s="24" t="n"/>
      <c r="C30" s="24" t="n"/>
      <c r="D30" s="25" t="n"/>
      <c r="E30" s="25" t="n"/>
      <c r="F30" s="24" t="n"/>
      <c r="G30" s="26">
        <f>IF($A30="","",SUMIF(tblAkis[KaynakKartId],$A30,tblAkis[SiparisMiktari]))</f>
        <v/>
      </c>
      <c r="H30" s="26">
        <f>IF($A30="","",IFERROR(AVERAGEIF(tblAkis[KaynakKartId],$A30,tblAkis[KapasiteYukuPct]),0))</f>
        <v/>
      </c>
    </row>
    <row r="31">
      <c r="A31" s="24" t="n"/>
      <c r="B31" s="24" t="n"/>
      <c r="C31" s="24" t="n"/>
      <c r="D31" s="25" t="n"/>
      <c r="E31" s="25" t="n"/>
      <c r="F31" s="24" t="n"/>
      <c r="G31" s="26">
        <f>IF($A31="","",SUMIF(tblAkis[KaynakKartId],$A31,tblAkis[SiparisMiktari]))</f>
        <v/>
      </c>
      <c r="H31" s="26">
        <f>IF($A31="","",IFERROR(AVERAGEIF(tblAkis[KaynakKartId],$A31,tblAkis[KapasiteYukuPct]),0))</f>
        <v/>
      </c>
    </row>
    <row r="32">
      <c r="A32" s="24" t="n"/>
      <c r="B32" s="24" t="n"/>
      <c r="C32" s="24" t="n"/>
      <c r="D32" s="25" t="n"/>
      <c r="E32" s="25" t="n"/>
      <c r="F32" s="24" t="n"/>
      <c r="G32" s="26">
        <f>IF($A32="","",SUMIF(tblAkis[KaynakKartId],$A32,tblAkis[SiparisMiktari]))</f>
        <v/>
      </c>
      <c r="H32" s="26">
        <f>IF($A32="","",IFERROR(AVERAGEIF(tblAkis[KaynakKartId],$A32,tblAkis[KapasiteYukuPct]),0))</f>
        <v/>
      </c>
    </row>
    <row r="33">
      <c r="A33" s="24" t="n"/>
      <c r="B33" s="24" t="n"/>
      <c r="C33" s="24" t="n"/>
      <c r="D33" s="25" t="n"/>
      <c r="E33" s="25" t="n"/>
      <c r="F33" s="24" t="n"/>
      <c r="G33" s="26">
        <f>IF($A33="","",SUMIF(tblAkis[KaynakKartId],$A33,tblAkis[SiparisMiktari]))</f>
        <v/>
      </c>
      <c r="H33" s="26">
        <f>IF($A33="","",IFERROR(AVERAGEIF(tblAkis[KaynakKartId],$A33,tblAkis[KapasiteYukuPct]),0))</f>
        <v/>
      </c>
    </row>
    <row r="34">
      <c r="A34" s="24" t="n"/>
      <c r="B34" s="24" t="n"/>
      <c r="C34" s="24" t="n"/>
      <c r="D34" s="25" t="n"/>
      <c r="E34" s="25" t="n"/>
      <c r="F34" s="24" t="n"/>
      <c r="G34" s="26">
        <f>IF($A34="","",SUMIF(tblAkis[KaynakKartId],$A34,tblAkis[SiparisMiktari]))</f>
        <v/>
      </c>
      <c r="H34" s="26">
        <f>IF($A34="","",IFERROR(AVERAGEIF(tblAkis[KaynakKartId],$A34,tblAkis[KapasiteYukuPct]),0))</f>
        <v/>
      </c>
    </row>
    <row r="35">
      <c r="A35" s="24" t="n"/>
      <c r="B35" s="24" t="n"/>
      <c r="C35" s="24" t="n"/>
      <c r="D35" s="25" t="n"/>
      <c r="E35" s="25" t="n"/>
      <c r="F35" s="24" t="n"/>
      <c r="G35" s="26">
        <f>IF($A35="","",SUMIF(tblAkis[KaynakKartId],$A35,tblAkis[SiparisMiktari]))</f>
        <v/>
      </c>
      <c r="H35" s="26">
        <f>IF($A35="","",IFERROR(AVERAGEIF(tblAkis[KaynakKartId],$A35,tblAkis[KapasiteYukuPct]),0))</f>
        <v/>
      </c>
    </row>
    <row r="36">
      <c r="A36" s="24" t="n"/>
      <c r="B36" s="24" t="n"/>
      <c r="C36" s="24" t="n"/>
      <c r="D36" s="25" t="n"/>
      <c r="E36" s="25" t="n"/>
      <c r="F36" s="24" t="n"/>
      <c r="G36" s="26">
        <f>IF($A36="","",SUMIF(tblAkis[KaynakKartId],$A36,tblAkis[SiparisMiktari]))</f>
        <v/>
      </c>
      <c r="H36" s="26">
        <f>IF($A36="","",IFERROR(AVERAGEIF(tblAkis[KaynakKartId],$A36,tblAkis[KapasiteYukuPct]),0))</f>
        <v/>
      </c>
    </row>
    <row r="37">
      <c r="A37" s="24" t="n"/>
      <c r="B37" s="24" t="n"/>
      <c r="C37" s="24" t="n"/>
      <c r="D37" s="25" t="n"/>
      <c r="E37" s="25" t="n"/>
      <c r="F37" s="24" t="n"/>
      <c r="G37" s="26">
        <f>IF($A37="","",SUMIF(tblAkis[KaynakKartId],$A37,tblAkis[SiparisMiktari]))</f>
        <v/>
      </c>
      <c r="H37" s="26">
        <f>IF($A37="","",IFERROR(AVERAGEIF(tblAkis[KaynakKartId],$A37,tblAkis[KapasiteYukuPct]),0))</f>
        <v/>
      </c>
    </row>
    <row r="38">
      <c r="A38" s="24" t="n"/>
      <c r="B38" s="24" t="n"/>
      <c r="C38" s="24" t="n"/>
      <c r="D38" s="25" t="n"/>
      <c r="E38" s="25" t="n"/>
      <c r="F38" s="24" t="n"/>
      <c r="G38" s="26">
        <f>IF($A38="","",SUMIF(tblAkis[KaynakKartId],$A38,tblAkis[SiparisMiktari]))</f>
        <v/>
      </c>
      <c r="H38" s="26">
        <f>IF($A38="","",IFERROR(AVERAGEIF(tblAkis[KaynakKartId],$A38,tblAkis[KapasiteYukuPct]),0))</f>
        <v/>
      </c>
    </row>
    <row r="39">
      <c r="A39" s="24" t="n"/>
      <c r="B39" s="24" t="n"/>
      <c r="C39" s="24" t="n"/>
      <c r="D39" s="25" t="n"/>
      <c r="E39" s="25" t="n"/>
      <c r="F39" s="24" t="n"/>
      <c r="G39" s="26">
        <f>IF($A39="","",SUMIF(tblAkis[KaynakKartId],$A39,tblAkis[SiparisMiktari]))</f>
        <v/>
      </c>
      <c r="H39" s="26">
        <f>IF($A39="","",IFERROR(AVERAGEIF(tblAkis[KaynakKartId],$A39,tblAkis[KapasiteYukuPct]),0))</f>
        <v/>
      </c>
    </row>
    <row r="40">
      <c r="A40" s="24" t="n"/>
      <c r="B40" s="24" t="n"/>
      <c r="C40" s="24" t="n"/>
      <c r="D40" s="25" t="n"/>
      <c r="E40" s="25" t="n"/>
      <c r="F40" s="24" t="n"/>
      <c r="G40" s="26">
        <f>IF($A40="","",SUMIF(tblAkis[KaynakKartId],$A40,tblAkis[SiparisMiktari]))</f>
        <v/>
      </c>
      <c r="H40" s="26">
        <f>IF($A40="","",IFERROR(AVERAGEIF(tblAkis[KaynakKartId],$A40,tblAkis[KapasiteYukuPct]),0))</f>
        <v/>
      </c>
    </row>
    <row r="41">
      <c r="A41" s="24" t="n"/>
      <c r="B41" s="24" t="n"/>
      <c r="C41" s="24" t="n"/>
      <c r="D41" s="25" t="n"/>
      <c r="E41" s="25" t="n"/>
      <c r="F41" s="24" t="n"/>
      <c r="G41" s="26">
        <f>IF($A41="","",SUMIF(tblAkis[KaynakKartId],$A41,tblAkis[SiparisMiktari]))</f>
        <v/>
      </c>
      <c r="H41" s="26">
        <f>IF($A41="","",IFERROR(AVERAGEIF(tblAkis[KaynakKartId],$A41,tblAkis[KapasiteYukuPct]),0))</f>
        <v/>
      </c>
    </row>
    <row r="42">
      <c r="A42" s="24" t="n"/>
      <c r="B42" s="24" t="n"/>
      <c r="C42" s="24" t="n"/>
      <c r="D42" s="25" t="n"/>
      <c r="E42" s="25" t="n"/>
      <c r="F42" s="24" t="n"/>
      <c r="G42" s="26">
        <f>IF($A42="","",SUMIF(tblAkis[KaynakKartId],$A42,tblAkis[SiparisMiktari]))</f>
        <v/>
      </c>
      <c r="H42" s="26">
        <f>IF($A42="","",IFERROR(AVERAGEIF(tblAkis[KaynakKartId],$A42,tblAkis[KapasiteYukuPct]),0))</f>
        <v/>
      </c>
    </row>
    <row r="43">
      <c r="A43" s="24" t="n"/>
      <c r="B43" s="24" t="n"/>
      <c r="C43" s="24" t="n"/>
      <c r="D43" s="25" t="n"/>
      <c r="E43" s="25" t="n"/>
      <c r="F43" s="24" t="n"/>
      <c r="G43" s="26">
        <f>IF($A43="","",SUMIF(tblAkis[KaynakKartId],$A43,tblAkis[SiparisMiktari]))</f>
        <v/>
      </c>
      <c r="H43" s="26">
        <f>IF($A43="","",IFERROR(AVERAGEIF(tblAkis[KaynakKartId],$A43,tblAkis[KapasiteYukuPct]),0))</f>
        <v/>
      </c>
    </row>
    <row r="44">
      <c r="A44" s="24" t="n"/>
      <c r="B44" s="24" t="n"/>
      <c r="C44" s="24" t="n"/>
      <c r="D44" s="25" t="n"/>
      <c r="E44" s="25" t="n"/>
      <c r="F44" s="24" t="n"/>
      <c r="G44" s="26">
        <f>IF($A44="","",SUMIF(tblAkis[KaynakKartId],$A44,tblAkis[SiparisMiktari]))</f>
        <v/>
      </c>
      <c r="H44" s="26">
        <f>IF($A44="","",IFERROR(AVERAGEIF(tblAkis[KaynakKartId],$A44,tblAkis[KapasiteYukuPct]),0))</f>
        <v/>
      </c>
    </row>
    <row r="45">
      <c r="A45" s="24" t="n"/>
      <c r="B45" s="24" t="n"/>
      <c r="C45" s="24" t="n"/>
      <c r="D45" s="25" t="n"/>
      <c r="E45" s="25" t="n"/>
      <c r="F45" s="24" t="n"/>
      <c r="G45" s="26">
        <f>IF($A45="","",SUMIF(tblAkis[KaynakKartId],$A45,tblAkis[SiparisMiktari]))</f>
        <v/>
      </c>
      <c r="H45" s="26">
        <f>IF($A45="","",IFERROR(AVERAGEIF(tblAkis[KaynakKartId],$A45,tblAkis[KapasiteYukuPct]),0))</f>
        <v/>
      </c>
    </row>
    <row r="46">
      <c r="A46" s="24" t="n"/>
      <c r="B46" s="24" t="n"/>
      <c r="C46" s="24" t="n"/>
      <c r="D46" s="25" t="n"/>
      <c r="E46" s="25" t="n"/>
      <c r="F46" s="24" t="n"/>
      <c r="G46" s="26">
        <f>IF($A46="","",SUMIF(tblAkis[KaynakKartId],$A46,tblAkis[SiparisMiktari]))</f>
        <v/>
      </c>
      <c r="H46" s="26">
        <f>IF($A46="","",IFERROR(AVERAGEIF(tblAkis[KaynakKartId],$A46,tblAkis[KapasiteYukuPct]),0))</f>
        <v/>
      </c>
    </row>
    <row r="47">
      <c r="A47" s="24" t="n"/>
      <c r="B47" s="24" t="n"/>
      <c r="C47" s="24" t="n"/>
      <c r="D47" s="25" t="n"/>
      <c r="E47" s="25" t="n"/>
      <c r="F47" s="24" t="n"/>
      <c r="G47" s="26">
        <f>IF($A47="","",SUMIF(tblAkis[KaynakKartId],$A47,tblAkis[SiparisMiktari]))</f>
        <v/>
      </c>
      <c r="H47" s="26">
        <f>IF($A47="","",IFERROR(AVERAGEIF(tblAkis[KaynakKartId],$A47,tblAkis[KapasiteYukuPct]),0))</f>
        <v/>
      </c>
    </row>
    <row r="48">
      <c r="A48" s="24" t="n"/>
      <c r="B48" s="24" t="n"/>
      <c r="C48" s="24" t="n"/>
      <c r="D48" s="25" t="n"/>
      <c r="E48" s="25" t="n"/>
      <c r="F48" s="24" t="n"/>
      <c r="G48" s="26">
        <f>IF($A48="","",SUMIF(tblAkis[KaynakKartId],$A48,tblAkis[SiparisMiktari]))</f>
        <v/>
      </c>
      <c r="H48" s="26">
        <f>IF($A48="","",IFERROR(AVERAGEIF(tblAkis[KaynakKartId],$A48,tblAkis[KapasiteYukuPct]),0))</f>
        <v/>
      </c>
    </row>
    <row r="49">
      <c r="A49" s="24" t="n"/>
      <c r="B49" s="24" t="n"/>
      <c r="C49" s="24" t="n"/>
      <c r="D49" s="25" t="n"/>
      <c r="E49" s="25" t="n"/>
      <c r="F49" s="24" t="n"/>
      <c r="G49" s="26">
        <f>IF($A49="","",SUMIF(tblAkis[KaynakKartId],$A49,tblAkis[SiparisMiktari]))</f>
        <v/>
      </c>
      <c r="H49" s="26">
        <f>IF($A49="","",IFERROR(AVERAGEIF(tblAkis[KaynakKartId],$A49,tblAkis[KapasiteYukuPct]),0))</f>
        <v/>
      </c>
    </row>
    <row r="50">
      <c r="A50" s="24" t="n"/>
      <c r="B50" s="24" t="n"/>
      <c r="C50" s="24" t="n"/>
      <c r="D50" s="25" t="n"/>
      <c r="E50" s="25" t="n"/>
      <c r="F50" s="24" t="n"/>
      <c r="G50" s="26">
        <f>IF($A50="","",SUMIF(tblAkis[KaynakKartId],$A50,tblAkis[SiparisMiktari]))</f>
        <v/>
      </c>
      <c r="H50" s="26">
        <f>IF($A50="","",IFERROR(AVERAGEIF(tblAkis[KaynakKartId],$A50,tblAkis[KapasiteYukuPct]),0))</f>
        <v/>
      </c>
    </row>
    <row r="51">
      <c r="A51" s="24" t="n"/>
      <c r="B51" s="24" t="n"/>
      <c r="C51" s="24" t="n"/>
      <c r="D51" s="25" t="n"/>
      <c r="E51" s="25" t="n"/>
      <c r="F51" s="24" t="n"/>
      <c r="G51" s="26">
        <f>IF($A51="","",SUMIF(tblAkis[KaynakKartId],$A51,tblAkis[SiparisMiktari]))</f>
        <v/>
      </c>
      <c r="H51" s="26">
        <f>IF($A51="","",IFERROR(AVERAGEIF(tblAkis[KaynakKartId],$A51,tblAkis[KapasiteYukuPct]),0))</f>
        <v/>
      </c>
    </row>
    <row r="52">
      <c r="A52" s="24" t="n"/>
      <c r="B52" s="24" t="n"/>
      <c r="C52" s="24" t="n"/>
      <c r="D52" s="25" t="n"/>
      <c r="E52" s="25" t="n"/>
      <c r="F52" s="24" t="n"/>
      <c r="G52" s="26">
        <f>IF($A52="","",SUMIF(tblAkis[KaynakKartId],$A52,tblAkis[SiparisMiktari]))</f>
        <v/>
      </c>
      <c r="H52" s="26">
        <f>IF($A52="","",IFERROR(AVERAGEIF(tblAkis[KaynakKartId],$A52,tblAkis[KapasiteYukuPct]),0))</f>
        <v/>
      </c>
    </row>
    <row r="53">
      <c r="A53" s="24" t="n"/>
      <c r="B53" s="24" t="n"/>
      <c r="C53" s="24" t="n"/>
      <c r="D53" s="25" t="n"/>
      <c r="E53" s="25" t="n"/>
      <c r="F53" s="24" t="n"/>
      <c r="G53" s="26">
        <f>IF($A53="","",SUMIF(tblAkis[KaynakKartId],$A53,tblAkis[SiparisMiktari]))</f>
        <v/>
      </c>
      <c r="H53" s="26">
        <f>IF($A53="","",IFERROR(AVERAGEIF(tblAkis[KaynakKartId],$A53,tblAkis[KapasiteYukuPct]),0))</f>
        <v/>
      </c>
    </row>
    <row r="54">
      <c r="A54" s="24" t="n"/>
      <c r="B54" s="24" t="n"/>
      <c r="C54" s="24" t="n"/>
      <c r="D54" s="25" t="n"/>
      <c r="E54" s="25" t="n"/>
      <c r="F54" s="24" t="n"/>
      <c r="G54" s="26">
        <f>IF($A54="","",SUMIF(tblAkis[KaynakKartId],$A54,tblAkis[SiparisMiktari]))</f>
        <v/>
      </c>
      <c r="H54" s="26">
        <f>IF($A54="","",IFERROR(AVERAGEIF(tblAkis[KaynakKartId],$A54,tblAkis[KapasiteYukuPct]),0))</f>
        <v/>
      </c>
    </row>
    <row r="55">
      <c r="A55" s="24" t="n"/>
      <c r="B55" s="24" t="n"/>
      <c r="C55" s="24" t="n"/>
      <c r="D55" s="25" t="n"/>
      <c r="E55" s="25" t="n"/>
      <c r="F55" s="24" t="n"/>
      <c r="G55" s="26">
        <f>IF($A55="","",SUMIF(tblAkis[KaynakKartId],$A55,tblAkis[SiparisMiktari]))</f>
        <v/>
      </c>
      <c r="H55" s="26">
        <f>IF($A55="","",IFERROR(AVERAGEIF(tblAkis[KaynakKartId],$A55,tblAkis[KapasiteYukuPct]),0))</f>
        <v/>
      </c>
    </row>
    <row r="56">
      <c r="A56" s="24" t="n"/>
      <c r="B56" s="24" t="n"/>
      <c r="C56" s="24" t="n"/>
      <c r="D56" s="25" t="n"/>
      <c r="E56" s="25" t="n"/>
      <c r="F56" s="24" t="n"/>
      <c r="G56" s="26">
        <f>IF($A56="","",SUMIF(tblAkis[KaynakKartId],$A56,tblAkis[SiparisMiktari]))</f>
        <v/>
      </c>
      <c r="H56" s="26">
        <f>IF($A56="","",IFERROR(AVERAGEIF(tblAkis[KaynakKartId],$A56,tblAkis[KapasiteYukuPct]),0))</f>
        <v/>
      </c>
    </row>
    <row r="57">
      <c r="A57" s="24" t="n"/>
      <c r="B57" s="24" t="n"/>
      <c r="C57" s="24" t="n"/>
      <c r="D57" s="25" t="n"/>
      <c r="E57" s="25" t="n"/>
      <c r="F57" s="24" t="n"/>
      <c r="G57" s="26">
        <f>IF($A57="","",SUMIF(tblAkis[KaynakKartId],$A57,tblAkis[SiparisMiktari]))</f>
        <v/>
      </c>
      <c r="H57" s="26">
        <f>IF($A57="","",IFERROR(AVERAGEIF(tblAkis[KaynakKartId],$A57,tblAkis[KapasiteYukuPct]),0))</f>
        <v/>
      </c>
    </row>
    <row r="58">
      <c r="A58" s="24" t="n"/>
      <c r="B58" s="24" t="n"/>
      <c r="C58" s="24" t="n"/>
      <c r="D58" s="25" t="n"/>
      <c r="E58" s="25" t="n"/>
      <c r="F58" s="24" t="n"/>
      <c r="G58" s="26">
        <f>IF($A58="","",SUMIF(tblAkis[KaynakKartId],$A58,tblAkis[SiparisMiktari]))</f>
        <v/>
      </c>
      <c r="H58" s="26">
        <f>IF($A58="","",IFERROR(AVERAGEIF(tblAkis[KaynakKartId],$A58,tblAkis[KapasiteYukuPct]),0))</f>
        <v/>
      </c>
    </row>
    <row r="59">
      <c r="A59" s="24" t="n"/>
      <c r="B59" s="24" t="n"/>
      <c r="C59" s="24" t="n"/>
      <c r="D59" s="25" t="n"/>
      <c r="E59" s="25" t="n"/>
      <c r="F59" s="24" t="n"/>
      <c r="G59" s="26">
        <f>IF($A59="","",SUMIF(tblAkis[KaynakKartId],$A59,tblAkis[SiparisMiktari]))</f>
        <v/>
      </c>
      <c r="H59" s="26">
        <f>IF($A59="","",IFERROR(AVERAGEIF(tblAkis[KaynakKartId],$A59,tblAkis[KapasiteYukuPct]),0))</f>
        <v/>
      </c>
    </row>
    <row r="60">
      <c r="A60" s="24" t="n"/>
      <c r="B60" s="24" t="n"/>
      <c r="C60" s="24" t="n"/>
      <c r="D60" s="25" t="n"/>
      <c r="E60" s="25" t="n"/>
      <c r="F60" s="24" t="n"/>
      <c r="G60" s="26">
        <f>IF($A60="","",SUMIF(tblAkis[KaynakKartId],$A60,tblAkis[SiparisMiktari]))</f>
        <v/>
      </c>
      <c r="H60" s="26">
        <f>IF($A60="","",IFERROR(AVERAGEIF(tblAkis[KaynakKartId],$A60,tblAkis[KapasiteYukuPct]),0))</f>
        <v/>
      </c>
    </row>
    <row r="61">
      <c r="A61" s="24" t="n"/>
      <c r="B61" s="24" t="n"/>
      <c r="C61" s="24" t="n"/>
      <c r="D61" s="25" t="n"/>
      <c r="E61" s="25" t="n"/>
      <c r="F61" s="24" t="n"/>
      <c r="G61" s="26">
        <f>IF($A61="","",SUMIF(tblAkis[KaynakKartId],$A61,tblAkis[SiparisMiktari]))</f>
        <v/>
      </c>
      <c r="H61" s="26">
        <f>IF($A61="","",IFERROR(AVERAGEIF(tblAkis[KaynakKartId],$A61,tblAkis[KapasiteYukuPct]),0))</f>
        <v/>
      </c>
    </row>
    <row r="62">
      <c r="A62" s="24" t="n"/>
      <c r="B62" s="24" t="n"/>
      <c r="C62" s="24" t="n"/>
      <c r="D62" s="25" t="n"/>
      <c r="E62" s="25" t="n"/>
      <c r="F62" s="24" t="n"/>
      <c r="G62" s="26">
        <f>IF($A62="","",SUMIF(tblAkis[KaynakKartId],$A62,tblAkis[SiparisMiktari]))</f>
        <v/>
      </c>
      <c r="H62" s="26">
        <f>IF($A62="","",IFERROR(AVERAGEIF(tblAkis[KaynakKartId],$A62,tblAkis[KapasiteYukuPct]),0))</f>
        <v/>
      </c>
    </row>
    <row r="63">
      <c r="A63" s="24" t="n"/>
      <c r="B63" s="24" t="n"/>
      <c r="C63" s="24" t="n"/>
      <c r="D63" s="25" t="n"/>
      <c r="E63" s="25" t="n"/>
      <c r="F63" s="24" t="n"/>
      <c r="G63" s="26">
        <f>IF($A63="","",SUMIF(tblAkis[KaynakKartId],$A63,tblAkis[SiparisMiktari]))</f>
        <v/>
      </c>
      <c r="H63" s="26">
        <f>IF($A63="","",IFERROR(AVERAGEIF(tblAkis[KaynakKartId],$A63,tblAkis[KapasiteYukuPct]),0))</f>
        <v/>
      </c>
    </row>
    <row r="64">
      <c r="A64" s="24" t="n"/>
      <c r="B64" s="24" t="n"/>
      <c r="C64" s="24" t="n"/>
      <c r="D64" s="25" t="n"/>
      <c r="E64" s="25" t="n"/>
      <c r="F64" s="24" t="n"/>
      <c r="G64" s="26">
        <f>IF($A64="","",SUMIF(tblAkis[KaynakKartId],$A64,tblAkis[SiparisMiktari]))</f>
        <v/>
      </c>
      <c r="H64" s="26">
        <f>IF($A64="","",IFERROR(AVERAGEIF(tblAkis[KaynakKartId],$A64,tblAkis[KapasiteYukuPct]),0))</f>
        <v/>
      </c>
    </row>
    <row r="65">
      <c r="A65" s="24" t="n"/>
      <c r="B65" s="24" t="n"/>
      <c r="C65" s="24" t="n"/>
      <c r="D65" s="25" t="n"/>
      <c r="E65" s="25" t="n"/>
      <c r="F65" s="24" t="n"/>
      <c r="G65" s="26">
        <f>IF($A65="","",SUMIF(tblAkis[KaynakKartId],$A65,tblAkis[SiparisMiktari]))</f>
        <v/>
      </c>
      <c r="H65" s="26">
        <f>IF($A65="","",IFERROR(AVERAGEIF(tblAkis[KaynakKartId],$A65,tblAkis[KapasiteYukuPct]),0))</f>
        <v/>
      </c>
    </row>
    <row r="66">
      <c r="A66" s="24" t="n"/>
      <c r="B66" s="24" t="n"/>
      <c r="C66" s="24" t="n"/>
      <c r="D66" s="25" t="n"/>
      <c r="E66" s="25" t="n"/>
      <c r="F66" s="24" t="n"/>
      <c r="G66" s="26">
        <f>IF($A66="","",SUMIF(tblAkis[KaynakKartId],$A66,tblAkis[SiparisMiktari]))</f>
        <v/>
      </c>
      <c r="H66" s="26">
        <f>IF($A66="","",IFERROR(AVERAGEIF(tblAkis[KaynakKartId],$A66,tblAkis[KapasiteYukuPct]),0))</f>
        <v/>
      </c>
    </row>
    <row r="67">
      <c r="A67" s="24" t="n"/>
      <c r="B67" s="24" t="n"/>
      <c r="C67" s="24" t="n"/>
      <c r="D67" s="25" t="n"/>
      <c r="E67" s="25" t="n"/>
      <c r="F67" s="24" t="n"/>
      <c r="G67" s="26">
        <f>IF($A67="","",SUMIF(tblAkis[KaynakKartId],$A67,tblAkis[SiparisMiktari]))</f>
        <v/>
      </c>
      <c r="H67" s="26">
        <f>IF($A67="","",IFERROR(AVERAGEIF(tblAkis[KaynakKartId],$A67,tblAkis[KapasiteYukuPct]),0))</f>
        <v/>
      </c>
    </row>
    <row r="68">
      <c r="A68" s="24" t="n"/>
      <c r="B68" s="24" t="n"/>
      <c r="C68" s="24" t="n"/>
      <c r="D68" s="25" t="n"/>
      <c r="E68" s="25" t="n"/>
      <c r="F68" s="24" t="n"/>
      <c r="G68" s="26">
        <f>IF($A68="","",SUMIF(tblAkis[KaynakKartId],$A68,tblAkis[SiparisMiktari]))</f>
        <v/>
      </c>
      <c r="H68" s="26">
        <f>IF($A68="","",IFERROR(AVERAGEIF(tblAkis[KaynakKartId],$A68,tblAkis[KapasiteYukuPct]),0))</f>
        <v/>
      </c>
    </row>
    <row r="69">
      <c r="A69" s="24" t="n"/>
      <c r="B69" s="24" t="n"/>
      <c r="C69" s="24" t="n"/>
      <c r="D69" s="25" t="n"/>
      <c r="E69" s="25" t="n"/>
      <c r="F69" s="24" t="n"/>
      <c r="G69" s="26">
        <f>IF($A69="","",SUMIF(tblAkis[KaynakKartId],$A69,tblAkis[SiparisMiktari]))</f>
        <v/>
      </c>
      <c r="H69" s="26">
        <f>IF($A69="","",IFERROR(AVERAGEIF(tblAkis[KaynakKartId],$A69,tblAkis[KapasiteYukuPct]),0))</f>
        <v/>
      </c>
    </row>
    <row r="70">
      <c r="A70" s="24" t="n"/>
      <c r="B70" s="24" t="n"/>
      <c r="C70" s="24" t="n"/>
      <c r="D70" s="25" t="n"/>
      <c r="E70" s="25" t="n"/>
      <c r="F70" s="24" t="n"/>
      <c r="G70" s="26">
        <f>IF($A70="","",SUMIF(tblAkis[KaynakKartId],$A70,tblAkis[SiparisMiktari]))</f>
        <v/>
      </c>
      <c r="H70" s="26">
        <f>IF($A70="","",IFERROR(AVERAGEIF(tblAkis[KaynakKartId],$A70,tblAkis[KapasiteYukuPct]),0))</f>
        <v/>
      </c>
    </row>
    <row r="71">
      <c r="A71" s="24" t="n"/>
      <c r="B71" s="24" t="n"/>
      <c r="C71" s="24" t="n"/>
      <c r="D71" s="25" t="n"/>
      <c r="E71" s="25" t="n"/>
      <c r="F71" s="24" t="n"/>
      <c r="G71" s="26">
        <f>IF($A71="","",SUMIF(tblAkis[KaynakKartId],$A71,tblAkis[SiparisMiktari]))</f>
        <v/>
      </c>
      <c r="H71" s="26">
        <f>IF($A71="","",IFERROR(AVERAGEIF(tblAkis[KaynakKartId],$A71,tblAkis[KapasiteYukuPct]),0))</f>
        <v/>
      </c>
    </row>
    <row r="72">
      <c r="A72" s="24" t="n"/>
      <c r="B72" s="24" t="n"/>
      <c r="C72" s="24" t="n"/>
      <c r="D72" s="25" t="n"/>
      <c r="E72" s="25" t="n"/>
      <c r="F72" s="24" t="n"/>
      <c r="G72" s="26">
        <f>IF($A72="","",SUMIF(tblAkis[KaynakKartId],$A72,tblAkis[SiparisMiktari]))</f>
        <v/>
      </c>
      <c r="H72" s="26">
        <f>IF($A72="","",IFERROR(AVERAGEIF(tblAkis[KaynakKartId],$A72,tblAkis[KapasiteYukuPct]),0))</f>
        <v/>
      </c>
    </row>
    <row r="73">
      <c r="A73" s="24" t="n"/>
      <c r="B73" s="24" t="n"/>
      <c r="C73" s="24" t="n"/>
      <c r="D73" s="25" t="n"/>
      <c r="E73" s="25" t="n"/>
      <c r="F73" s="24" t="n"/>
      <c r="G73" s="26">
        <f>IF($A73="","",SUMIF(tblAkis[KaynakKartId],$A73,tblAkis[SiparisMiktari]))</f>
        <v/>
      </c>
      <c r="H73" s="26">
        <f>IF($A73="","",IFERROR(AVERAGEIF(tblAkis[KaynakKartId],$A73,tblAkis[KapasiteYukuPct]),0))</f>
        <v/>
      </c>
    </row>
    <row r="74">
      <c r="A74" s="24" t="n"/>
      <c r="B74" s="24" t="n"/>
      <c r="C74" s="24" t="n"/>
      <c r="D74" s="25" t="n"/>
      <c r="E74" s="25" t="n"/>
      <c r="F74" s="24" t="n"/>
      <c r="G74" s="26">
        <f>IF($A74="","",SUMIF(tblAkis[KaynakKartId],$A74,tblAkis[SiparisMiktari]))</f>
        <v/>
      </c>
      <c r="H74" s="26">
        <f>IF($A74="","",IFERROR(AVERAGEIF(tblAkis[KaynakKartId],$A74,tblAkis[KapasiteYukuPct]),0))</f>
        <v/>
      </c>
    </row>
    <row r="75">
      <c r="A75" s="24" t="n"/>
      <c r="B75" s="24" t="n"/>
      <c r="C75" s="24" t="n"/>
      <c r="D75" s="25" t="n"/>
      <c r="E75" s="25" t="n"/>
      <c r="F75" s="24" t="n"/>
      <c r="G75" s="26">
        <f>IF($A75="","",SUMIF(tblAkis[KaynakKartId],$A75,tblAkis[SiparisMiktari]))</f>
        <v/>
      </c>
      <c r="H75" s="26">
        <f>IF($A75="","",IFERROR(AVERAGEIF(tblAkis[KaynakKartId],$A75,tblAkis[KapasiteYukuPct]),0))</f>
        <v/>
      </c>
    </row>
    <row r="76">
      <c r="A76" s="24" t="n"/>
      <c r="B76" s="24" t="n"/>
      <c r="C76" s="24" t="n"/>
      <c r="D76" s="25" t="n"/>
      <c r="E76" s="25" t="n"/>
      <c r="F76" s="24" t="n"/>
      <c r="G76" s="26">
        <f>IF($A76="","",SUMIF(tblAkis[KaynakKartId],$A76,tblAkis[SiparisMiktari]))</f>
        <v/>
      </c>
      <c r="H76" s="26">
        <f>IF($A76="","",IFERROR(AVERAGEIF(tblAkis[KaynakKartId],$A76,tblAkis[KapasiteYukuPct]),0))</f>
        <v/>
      </c>
    </row>
    <row r="77">
      <c r="A77" s="24" t="n"/>
      <c r="B77" s="24" t="n"/>
      <c r="C77" s="24" t="n"/>
      <c r="D77" s="25" t="n"/>
      <c r="E77" s="25" t="n"/>
      <c r="F77" s="24" t="n"/>
      <c r="G77" s="26">
        <f>IF($A77="","",SUMIF(tblAkis[KaynakKartId],$A77,tblAkis[SiparisMiktari]))</f>
        <v/>
      </c>
      <c r="H77" s="26">
        <f>IF($A77="","",IFERROR(AVERAGEIF(tblAkis[KaynakKartId],$A77,tblAkis[KapasiteYukuPct]),0))</f>
        <v/>
      </c>
    </row>
    <row r="78">
      <c r="A78" s="24" t="n"/>
      <c r="B78" s="24" t="n"/>
      <c r="C78" s="24" t="n"/>
      <c r="D78" s="25" t="n"/>
      <c r="E78" s="25" t="n"/>
      <c r="F78" s="24" t="n"/>
      <c r="G78" s="26">
        <f>IF($A78="","",SUMIF(tblAkis[KaynakKartId],$A78,tblAkis[SiparisMiktari]))</f>
        <v/>
      </c>
      <c r="H78" s="26">
        <f>IF($A78="","",IFERROR(AVERAGEIF(tblAkis[KaynakKartId],$A78,tblAkis[KapasiteYukuPct]),0))</f>
        <v/>
      </c>
    </row>
    <row r="79">
      <c r="A79" s="24" t="n"/>
      <c r="B79" s="24" t="n"/>
      <c r="C79" s="24" t="n"/>
      <c r="D79" s="25" t="n"/>
      <c r="E79" s="25" t="n"/>
      <c r="F79" s="24" t="n"/>
      <c r="G79" s="26">
        <f>IF($A79="","",SUMIF(tblAkis[KaynakKartId],$A79,tblAkis[SiparisMiktari]))</f>
        <v/>
      </c>
      <c r="H79" s="26">
        <f>IF($A79="","",IFERROR(AVERAGEIF(tblAkis[KaynakKartId],$A79,tblAkis[KapasiteYukuPct]),0))</f>
        <v/>
      </c>
    </row>
    <row r="80">
      <c r="A80" s="24" t="n"/>
      <c r="B80" s="24" t="n"/>
      <c r="C80" s="24" t="n"/>
      <c r="D80" s="25" t="n"/>
      <c r="E80" s="25" t="n"/>
      <c r="F80" s="24" t="n"/>
      <c r="G80" s="26">
        <f>IF($A80="","",SUMIF(tblAkis[KaynakKartId],$A80,tblAkis[SiparisMiktari]))</f>
        <v/>
      </c>
      <c r="H80" s="26">
        <f>IF($A80="","",IFERROR(AVERAGEIF(tblAkis[KaynakKartId],$A80,tblAkis[KapasiteYukuPct]),0))</f>
        <v/>
      </c>
    </row>
    <row r="81">
      <c r="A81" s="24" t="n"/>
      <c r="B81" s="24" t="n"/>
      <c r="C81" s="24" t="n"/>
      <c r="D81" s="25" t="n"/>
      <c r="E81" s="25" t="n"/>
      <c r="F81" s="24" t="n"/>
      <c r="G81" s="26">
        <f>IF($A81="","",SUMIF(tblAkis[KaynakKartId],$A81,tblAkis[SiparisMiktari]))</f>
        <v/>
      </c>
      <c r="H81" s="26">
        <f>IF($A81="","",IFERROR(AVERAGEIF(tblAkis[KaynakKartId],$A81,tblAkis[KapasiteYukuPct]),0))</f>
        <v/>
      </c>
    </row>
    <row r="82">
      <c r="A82" s="24" t="n"/>
      <c r="B82" s="24" t="n"/>
      <c r="C82" s="24" t="n"/>
      <c r="D82" s="25" t="n"/>
      <c r="E82" s="25" t="n"/>
      <c r="F82" s="24" t="n"/>
      <c r="G82" s="26">
        <f>IF($A82="","",SUMIF(tblAkis[KaynakKartId],$A82,tblAkis[SiparisMiktari]))</f>
        <v/>
      </c>
      <c r="H82" s="26">
        <f>IF($A82="","",IFERROR(AVERAGEIF(tblAkis[KaynakKartId],$A82,tblAkis[KapasiteYukuPct]),0))</f>
        <v/>
      </c>
    </row>
    <row r="83">
      <c r="A83" s="24" t="n"/>
      <c r="B83" s="24" t="n"/>
      <c r="C83" s="24" t="n"/>
      <c r="D83" s="25" t="n"/>
      <c r="E83" s="25" t="n"/>
      <c r="F83" s="24" t="n"/>
      <c r="G83" s="26">
        <f>IF($A83="","",SUMIF(tblAkis[KaynakKartId],$A83,tblAkis[SiparisMiktari]))</f>
        <v/>
      </c>
      <c r="H83" s="26">
        <f>IF($A83="","",IFERROR(AVERAGEIF(tblAkis[KaynakKartId],$A83,tblAkis[KapasiteYukuPct]),0))</f>
        <v/>
      </c>
    </row>
    <row r="84">
      <c r="A84" s="24" t="n"/>
      <c r="B84" s="24" t="n"/>
      <c r="C84" s="24" t="n"/>
      <c r="D84" s="25" t="n"/>
      <c r="E84" s="25" t="n"/>
      <c r="F84" s="24" t="n"/>
      <c r="G84" s="26">
        <f>IF($A84="","",SUMIF(tblAkis[KaynakKartId],$A84,tblAkis[SiparisMiktari]))</f>
        <v/>
      </c>
      <c r="H84" s="26">
        <f>IF($A84="","",IFERROR(AVERAGEIF(tblAkis[KaynakKartId],$A84,tblAkis[KapasiteYukuPct]),0))</f>
        <v/>
      </c>
    </row>
    <row r="85">
      <c r="A85" s="24" t="n"/>
      <c r="B85" s="24" t="n"/>
      <c r="C85" s="24" t="n"/>
      <c r="D85" s="25" t="n"/>
      <c r="E85" s="25" t="n"/>
      <c r="F85" s="24" t="n"/>
      <c r="G85" s="26">
        <f>IF($A85="","",SUMIF(tblAkis[KaynakKartId],$A85,tblAkis[SiparisMiktari]))</f>
        <v/>
      </c>
      <c r="H85" s="26">
        <f>IF($A85="","",IFERROR(AVERAGEIF(tblAkis[KaynakKartId],$A85,tblAkis[KapasiteYukuPct]),0))</f>
        <v/>
      </c>
    </row>
    <row r="86">
      <c r="A86" s="24" t="n"/>
      <c r="B86" s="24" t="n"/>
      <c r="C86" s="24" t="n"/>
      <c r="D86" s="25" t="n"/>
      <c r="E86" s="25" t="n"/>
      <c r="F86" s="24" t="n"/>
      <c r="G86" s="26">
        <f>IF($A86="","",SUMIF(tblAkis[KaynakKartId],$A86,tblAkis[SiparisMiktari]))</f>
        <v/>
      </c>
      <c r="H86" s="26">
        <f>IF($A86="","",IFERROR(AVERAGEIF(tblAkis[KaynakKartId],$A86,tblAkis[KapasiteYukuPct]),0))</f>
        <v/>
      </c>
    </row>
    <row r="87">
      <c r="A87" s="24" t="n"/>
      <c r="B87" s="24" t="n"/>
      <c r="C87" s="24" t="n"/>
      <c r="D87" s="25" t="n"/>
      <c r="E87" s="25" t="n"/>
      <c r="F87" s="24" t="n"/>
      <c r="G87" s="26">
        <f>IF($A87="","",SUMIF(tblAkis[KaynakKartId],$A87,tblAkis[SiparisMiktari]))</f>
        <v/>
      </c>
      <c r="H87" s="26">
        <f>IF($A87="","",IFERROR(AVERAGEIF(tblAkis[KaynakKartId],$A87,tblAkis[KapasiteYukuPct]),0))</f>
        <v/>
      </c>
    </row>
    <row r="88">
      <c r="A88" s="24" t="n"/>
      <c r="B88" s="24" t="n"/>
      <c r="C88" s="24" t="n"/>
      <c r="D88" s="25" t="n"/>
      <c r="E88" s="25" t="n"/>
      <c r="F88" s="24" t="n"/>
      <c r="G88" s="26">
        <f>IF($A88="","",SUMIF(tblAkis[KaynakKartId],$A88,tblAkis[SiparisMiktari]))</f>
        <v/>
      </c>
      <c r="H88" s="26">
        <f>IF($A88="","",IFERROR(AVERAGEIF(tblAkis[KaynakKartId],$A88,tblAkis[KapasiteYukuPct]),0))</f>
        <v/>
      </c>
    </row>
    <row r="89">
      <c r="A89" s="24" t="n"/>
      <c r="B89" s="24" t="n"/>
      <c r="C89" s="24" t="n"/>
      <c r="D89" s="25" t="n"/>
      <c r="E89" s="25" t="n"/>
      <c r="F89" s="24" t="n"/>
      <c r="G89" s="26">
        <f>IF($A89="","",SUMIF(tblAkis[KaynakKartId],$A89,tblAkis[SiparisMiktari]))</f>
        <v/>
      </c>
      <c r="H89" s="26">
        <f>IF($A89="","",IFERROR(AVERAGEIF(tblAkis[KaynakKartId],$A89,tblAkis[KapasiteYukuPct]),0))</f>
        <v/>
      </c>
    </row>
    <row r="90">
      <c r="A90" s="24" t="n"/>
      <c r="B90" s="24" t="n"/>
      <c r="C90" s="24" t="n"/>
      <c r="D90" s="25" t="n"/>
      <c r="E90" s="25" t="n"/>
      <c r="F90" s="24" t="n"/>
      <c r="G90" s="26">
        <f>IF($A90="","",SUMIF(tblAkis[KaynakKartId],$A90,tblAkis[SiparisMiktari]))</f>
        <v/>
      </c>
      <c r="H90" s="26">
        <f>IF($A90="","",IFERROR(AVERAGEIF(tblAkis[KaynakKartId],$A90,tblAkis[KapasiteYukuPct]),0))</f>
        <v/>
      </c>
    </row>
    <row r="91">
      <c r="A91" s="24" t="n"/>
      <c r="B91" s="24" t="n"/>
      <c r="C91" s="24" t="n"/>
      <c r="D91" s="25" t="n"/>
      <c r="E91" s="25" t="n"/>
      <c r="F91" s="24" t="n"/>
      <c r="G91" s="26">
        <f>IF($A91="","",SUMIF(tblAkis[KaynakKartId],$A91,tblAkis[SiparisMiktari]))</f>
        <v/>
      </c>
      <c r="H91" s="26">
        <f>IF($A91="","",IFERROR(AVERAGEIF(tblAkis[KaynakKartId],$A91,tblAkis[KapasiteYukuPct]),0))</f>
        <v/>
      </c>
    </row>
    <row r="92">
      <c r="A92" s="24" t="n"/>
      <c r="B92" s="24" t="n"/>
      <c r="C92" s="24" t="n"/>
      <c r="D92" s="25" t="n"/>
      <c r="E92" s="25" t="n"/>
      <c r="F92" s="24" t="n"/>
      <c r="G92" s="26">
        <f>IF($A92="","",SUMIF(tblAkis[KaynakKartId],$A92,tblAkis[SiparisMiktari]))</f>
        <v/>
      </c>
      <c r="H92" s="26">
        <f>IF($A92="","",IFERROR(AVERAGEIF(tblAkis[KaynakKartId],$A92,tblAkis[KapasiteYukuPct]),0))</f>
        <v/>
      </c>
    </row>
    <row r="93">
      <c r="A93" s="24" t="n"/>
      <c r="B93" s="24" t="n"/>
      <c r="C93" s="24" t="n"/>
      <c r="D93" s="25" t="n"/>
      <c r="E93" s="25" t="n"/>
      <c r="F93" s="24" t="n"/>
      <c r="G93" s="26">
        <f>IF($A93="","",SUMIF(tblAkis[KaynakKartId],$A93,tblAkis[SiparisMiktari]))</f>
        <v/>
      </c>
      <c r="H93" s="26">
        <f>IF($A93="","",IFERROR(AVERAGEIF(tblAkis[KaynakKartId],$A93,tblAkis[KapasiteYukuPct]),0))</f>
        <v/>
      </c>
    </row>
    <row r="94">
      <c r="A94" s="24" t="n"/>
      <c r="B94" s="24" t="n"/>
      <c r="C94" s="24" t="n"/>
      <c r="D94" s="25" t="n"/>
      <c r="E94" s="25" t="n"/>
      <c r="F94" s="24" t="n"/>
      <c r="G94" s="26">
        <f>IF($A94="","",SUMIF(tblAkis[KaynakKartId],$A94,tblAkis[SiparisMiktari]))</f>
        <v/>
      </c>
      <c r="H94" s="26">
        <f>IF($A94="","",IFERROR(AVERAGEIF(tblAkis[KaynakKartId],$A94,tblAkis[KapasiteYukuPct]),0))</f>
        <v/>
      </c>
    </row>
    <row r="95">
      <c r="A95" s="24" t="n"/>
      <c r="B95" s="24" t="n"/>
      <c r="C95" s="24" t="n"/>
      <c r="D95" s="25" t="n"/>
      <c r="E95" s="25" t="n"/>
      <c r="F95" s="24" t="n"/>
      <c r="G95" s="26">
        <f>IF($A95="","",SUMIF(tblAkis[KaynakKartId],$A95,tblAkis[SiparisMiktari]))</f>
        <v/>
      </c>
      <c r="H95" s="26">
        <f>IF($A95="","",IFERROR(AVERAGEIF(tblAkis[KaynakKartId],$A95,tblAkis[KapasiteYukuPct]),0))</f>
        <v/>
      </c>
    </row>
    <row r="96">
      <c r="A96" s="24" t="n"/>
      <c r="B96" s="24" t="n"/>
      <c r="C96" s="24" t="n"/>
      <c r="D96" s="25" t="n"/>
      <c r="E96" s="25" t="n"/>
      <c r="F96" s="24" t="n"/>
      <c r="G96" s="26">
        <f>IF($A96="","",SUMIF(tblAkis[KaynakKartId],$A96,tblAkis[SiparisMiktari]))</f>
        <v/>
      </c>
      <c r="H96" s="26">
        <f>IF($A96="","",IFERROR(AVERAGEIF(tblAkis[KaynakKartId],$A96,tblAkis[KapasiteYukuPct]),0))</f>
        <v/>
      </c>
    </row>
    <row r="97">
      <c r="A97" s="24" t="n"/>
      <c r="B97" s="24" t="n"/>
      <c r="C97" s="24" t="n"/>
      <c r="D97" s="25" t="n"/>
      <c r="E97" s="25" t="n"/>
      <c r="F97" s="24" t="n"/>
      <c r="G97" s="26">
        <f>IF($A97="","",SUMIF(tblAkis[KaynakKartId],$A97,tblAkis[SiparisMiktari]))</f>
        <v/>
      </c>
      <c r="H97" s="26">
        <f>IF($A97="","",IFERROR(AVERAGEIF(tblAkis[KaynakKartId],$A97,tblAkis[KapasiteYukuPct]),0))</f>
        <v/>
      </c>
    </row>
    <row r="98">
      <c r="A98" s="24" t="n"/>
      <c r="B98" s="24" t="n"/>
      <c r="C98" s="24" t="n"/>
      <c r="D98" s="25" t="n"/>
      <c r="E98" s="25" t="n"/>
      <c r="F98" s="24" t="n"/>
      <c r="G98" s="26">
        <f>IF($A98="","",SUMIF(tblAkis[KaynakKartId],$A98,tblAkis[SiparisMiktari]))</f>
        <v/>
      </c>
      <c r="H98" s="26">
        <f>IF($A98="","",IFERROR(AVERAGEIF(tblAkis[KaynakKartId],$A98,tblAkis[KapasiteYukuPct]),0))</f>
        <v/>
      </c>
    </row>
    <row r="99">
      <c r="A99" s="24" t="n"/>
      <c r="B99" s="24" t="n"/>
      <c r="C99" s="24" t="n"/>
      <c r="D99" s="25" t="n"/>
      <c r="E99" s="25" t="n"/>
      <c r="F99" s="24" t="n"/>
      <c r="G99" s="26">
        <f>IF($A99="","",SUMIF(tblAkis[KaynakKartId],$A99,tblAkis[SiparisMiktari]))</f>
        <v/>
      </c>
      <c r="H99" s="26">
        <f>IF($A99="","",IFERROR(AVERAGEIF(tblAkis[KaynakKartId],$A99,tblAkis[KapasiteYukuPct]),0))</f>
        <v/>
      </c>
    </row>
    <row r="100">
      <c r="A100" s="24" t="n"/>
      <c r="B100" s="24" t="n"/>
      <c r="C100" s="24" t="n"/>
      <c r="D100" s="25" t="n"/>
      <c r="E100" s="25" t="n"/>
      <c r="F100" s="24" t="n"/>
      <c r="G100" s="26">
        <f>IF($A100="","",SUMIF(tblAkis[KaynakKartId],$A100,tblAkis[SiparisMiktari]))</f>
        <v/>
      </c>
      <c r="H100" s="26">
        <f>IF($A100="","",IFERROR(AVERAGEIF(tblAkis[KaynakKartId],$A100,tblAkis[KapasiteYukuPct]),0))</f>
        <v/>
      </c>
    </row>
    <row r="101">
      <c r="A101" s="24" t="n"/>
      <c r="B101" s="24" t="n"/>
      <c r="C101" s="24" t="n"/>
      <c r="D101" s="25" t="n"/>
      <c r="E101" s="25" t="n"/>
      <c r="F101" s="24" t="n"/>
      <c r="G101" s="26">
        <f>IF($A101="","",SUMIF(tblAkis[KaynakKartId],$A101,tblAkis[SiparisMiktari]))</f>
        <v/>
      </c>
      <c r="H101" s="26">
        <f>IF($A101="","",IFERROR(AVERAGEIF(tblAkis[KaynakKartId],$A101,tblAkis[KapasiteYukuPct]),0))</f>
        <v/>
      </c>
    </row>
    <row r="102">
      <c r="A102" s="24" t="n"/>
      <c r="B102" s="24" t="n"/>
      <c r="C102" s="24" t="n"/>
      <c r="D102" s="25" t="n"/>
      <c r="E102" s="25" t="n"/>
      <c r="F102" s="24" t="n"/>
      <c r="G102" s="26">
        <f>IF($A102="","",SUMIF(tblAkis[KaynakKartId],$A102,tblAkis[SiparisMiktari]))</f>
        <v/>
      </c>
      <c r="H102" s="26">
        <f>IF($A102="","",IFERROR(AVERAGEIF(tblAkis[KaynakKartId],$A102,tblAkis[KapasiteYukuPct]),0))</f>
        <v/>
      </c>
    </row>
    <row r="103">
      <c r="A103" s="24" t="n"/>
      <c r="B103" s="24" t="n"/>
      <c r="C103" s="24" t="n"/>
      <c r="D103" s="25" t="n"/>
      <c r="E103" s="25" t="n"/>
      <c r="F103" s="24" t="n"/>
      <c r="G103" s="26">
        <f>IF($A103="","",SUMIF(tblAkis[KaynakKartId],$A103,tblAkis[SiparisMiktari]))</f>
        <v/>
      </c>
      <c r="H103" s="26">
        <f>IF($A103="","",IFERROR(AVERAGEIF(tblAkis[KaynakKartId],$A103,tblAkis[KapasiteYukuPct]),0))</f>
        <v/>
      </c>
    </row>
    <row r="104">
      <c r="A104" s="24" t="n"/>
      <c r="B104" s="24" t="n"/>
      <c r="C104" s="24" t="n"/>
      <c r="D104" s="25" t="n"/>
      <c r="E104" s="25" t="n"/>
      <c r="F104" s="24" t="n"/>
      <c r="G104" s="26">
        <f>IF($A104="","",SUMIF(tblAkis[KaynakKartId],$A104,tblAkis[SiparisMiktari]))</f>
        <v/>
      </c>
      <c r="H104" s="26">
        <f>IF($A104="","",IFERROR(AVERAGEIF(tblAkis[KaynakKartId],$A104,tblAkis[KapasiteYukuPct]),0))</f>
        <v/>
      </c>
    </row>
    <row r="105">
      <c r="A105" s="24" t="n"/>
      <c r="B105" s="24" t="n"/>
      <c r="C105" s="24" t="n"/>
      <c r="D105" s="25" t="n"/>
      <c r="E105" s="25" t="n"/>
      <c r="F105" s="24" t="n"/>
      <c r="G105" s="26">
        <f>IF($A105="","",SUMIF(tblAkis[KaynakKartId],$A105,tblAkis[SiparisMiktari]))</f>
        <v/>
      </c>
      <c r="H105" s="26">
        <f>IF($A105="","",IFERROR(AVERAGEIF(tblAkis[KaynakKartId],$A105,tblAkis[KapasiteYukuPct]),0))</f>
        <v/>
      </c>
    </row>
    <row r="106">
      <c r="A106" s="24" t="n"/>
      <c r="B106" s="24" t="n"/>
      <c r="C106" s="24" t="n"/>
      <c r="D106" s="25" t="n"/>
      <c r="E106" s="25" t="n"/>
      <c r="F106" s="24" t="n"/>
      <c r="G106" s="26">
        <f>IF($A106="","",SUMIF(tblAkis[KaynakKartId],$A106,tblAkis[SiparisMiktari]))</f>
        <v/>
      </c>
      <c r="H106" s="26">
        <f>IF($A106="","",IFERROR(AVERAGEIF(tblAkis[KaynakKartId],$A106,tblAkis[KapasiteYukuPct]),0))</f>
        <v/>
      </c>
    </row>
    <row r="107">
      <c r="A107" s="24" t="n"/>
      <c r="B107" s="24" t="n"/>
      <c r="C107" s="24" t="n"/>
      <c r="D107" s="25" t="n"/>
      <c r="E107" s="25" t="n"/>
      <c r="F107" s="24" t="n"/>
      <c r="G107" s="26">
        <f>IF($A107="","",SUMIF(tblAkis[KaynakKartId],$A107,tblAkis[SiparisMiktari]))</f>
        <v/>
      </c>
      <c r="H107" s="26">
        <f>IF($A107="","",IFERROR(AVERAGEIF(tblAkis[KaynakKartId],$A107,tblAkis[KapasiteYukuPct]),0))</f>
        <v/>
      </c>
    </row>
    <row r="108">
      <c r="A108" s="24" t="n"/>
      <c r="B108" s="24" t="n"/>
      <c r="C108" s="24" t="n"/>
      <c r="D108" s="25" t="n"/>
      <c r="E108" s="25" t="n"/>
      <c r="F108" s="24" t="n"/>
      <c r="G108" s="26">
        <f>IF($A108="","",SUMIF(tblAkis[KaynakKartId],$A108,tblAkis[SiparisMiktari]))</f>
        <v/>
      </c>
      <c r="H108" s="26">
        <f>IF($A108="","",IFERROR(AVERAGEIF(tblAkis[KaynakKartId],$A108,tblAkis[KapasiteYukuPct]),0))</f>
        <v/>
      </c>
    </row>
    <row r="109">
      <c r="A109" s="24" t="n"/>
      <c r="B109" s="24" t="n"/>
      <c r="C109" s="24" t="n"/>
      <c r="D109" s="25" t="n"/>
      <c r="E109" s="25" t="n"/>
      <c r="F109" s="24" t="n"/>
      <c r="G109" s="26">
        <f>IF($A109="","",SUMIF(tblAkis[KaynakKartId],$A109,tblAkis[SiparisMiktari]))</f>
        <v/>
      </c>
      <c r="H109" s="26">
        <f>IF($A109="","",IFERROR(AVERAGEIF(tblAkis[KaynakKartId],$A109,tblAkis[KapasiteYukuPct]),0))</f>
        <v/>
      </c>
    </row>
    <row r="110">
      <c r="A110" s="24" t="n"/>
      <c r="B110" s="24" t="n"/>
      <c r="C110" s="24" t="n"/>
      <c r="D110" s="25" t="n"/>
      <c r="E110" s="25" t="n"/>
      <c r="F110" s="24" t="n"/>
      <c r="G110" s="26">
        <f>IF($A110="","",SUMIF(tblAkis[KaynakKartId],$A110,tblAkis[SiparisMiktari]))</f>
        <v/>
      </c>
      <c r="H110" s="26">
        <f>IF($A110="","",IFERROR(AVERAGEIF(tblAkis[KaynakKartId],$A110,tblAkis[KapasiteYukuPct]),0))</f>
        <v/>
      </c>
    </row>
    <row r="111">
      <c r="A111" s="24" t="n"/>
      <c r="B111" s="24" t="n"/>
      <c r="C111" s="24" t="n"/>
      <c r="D111" s="25" t="n"/>
      <c r="E111" s="25" t="n"/>
      <c r="F111" s="24" t="n"/>
      <c r="G111" s="26">
        <f>IF($A111="","",SUMIF(tblAkis[KaynakKartId],$A111,tblAkis[SiparisMiktari]))</f>
        <v/>
      </c>
      <c r="H111" s="26">
        <f>IF($A111="","",IFERROR(AVERAGEIF(tblAkis[KaynakKartId],$A111,tblAkis[KapasiteYukuPct]),0))</f>
        <v/>
      </c>
    </row>
    <row r="112">
      <c r="A112" s="24" t="n"/>
      <c r="B112" s="24" t="n"/>
      <c r="C112" s="24" t="n"/>
      <c r="D112" s="25" t="n"/>
      <c r="E112" s="25" t="n"/>
      <c r="F112" s="24" t="n"/>
      <c r="G112" s="26">
        <f>IF($A112="","",SUMIF(tblAkis[KaynakKartId],$A112,tblAkis[SiparisMiktari]))</f>
        <v/>
      </c>
      <c r="H112" s="26">
        <f>IF($A112="","",IFERROR(AVERAGEIF(tblAkis[KaynakKartId],$A112,tblAkis[KapasiteYukuPct]),0))</f>
        <v/>
      </c>
    </row>
    <row r="113">
      <c r="A113" s="24" t="n"/>
      <c r="B113" s="24" t="n"/>
      <c r="C113" s="24" t="n"/>
      <c r="D113" s="25" t="n"/>
      <c r="E113" s="25" t="n"/>
      <c r="F113" s="24" t="n"/>
      <c r="G113" s="26">
        <f>IF($A113="","",SUMIF(tblAkis[KaynakKartId],$A113,tblAkis[SiparisMiktari]))</f>
        <v/>
      </c>
      <c r="H113" s="26">
        <f>IF($A113="","",IFERROR(AVERAGEIF(tblAkis[KaynakKartId],$A113,tblAkis[KapasiteYukuPct]),0))</f>
        <v/>
      </c>
    </row>
    <row r="114">
      <c r="A114" s="24" t="n"/>
      <c r="B114" s="24" t="n"/>
      <c r="C114" s="24" t="n"/>
      <c r="D114" s="25" t="n"/>
      <c r="E114" s="25" t="n"/>
      <c r="F114" s="24" t="n"/>
      <c r="G114" s="26">
        <f>IF($A114="","",SUMIF(tblAkis[KaynakKartId],$A114,tblAkis[SiparisMiktari]))</f>
        <v/>
      </c>
      <c r="H114" s="26">
        <f>IF($A114="","",IFERROR(AVERAGEIF(tblAkis[KaynakKartId],$A114,tblAkis[KapasiteYukuPct]),0))</f>
        <v/>
      </c>
    </row>
    <row r="115">
      <c r="A115" s="24" t="n"/>
      <c r="B115" s="24" t="n"/>
      <c r="C115" s="24" t="n"/>
      <c r="D115" s="25" t="n"/>
      <c r="E115" s="25" t="n"/>
      <c r="F115" s="24" t="n"/>
      <c r="G115" s="26">
        <f>IF($A115="","",SUMIF(tblAkis[KaynakKartId],$A115,tblAkis[SiparisMiktari]))</f>
        <v/>
      </c>
      <c r="H115" s="26">
        <f>IF($A115="","",IFERROR(AVERAGEIF(tblAkis[KaynakKartId],$A115,tblAkis[KapasiteYukuPct]),0))</f>
        <v/>
      </c>
    </row>
    <row r="116">
      <c r="A116" s="24" t="n"/>
      <c r="B116" s="24" t="n"/>
      <c r="C116" s="24" t="n"/>
      <c r="D116" s="25" t="n"/>
      <c r="E116" s="25" t="n"/>
      <c r="F116" s="24" t="n"/>
      <c r="G116" s="26">
        <f>IF($A116="","",SUMIF(tblAkis[KaynakKartId],$A116,tblAkis[SiparisMiktari]))</f>
        <v/>
      </c>
      <c r="H116" s="26">
        <f>IF($A116="","",IFERROR(AVERAGEIF(tblAkis[KaynakKartId],$A116,tblAkis[KapasiteYukuPct]),0))</f>
        <v/>
      </c>
    </row>
    <row r="117">
      <c r="A117" s="24" t="n"/>
      <c r="B117" s="24" t="n"/>
      <c r="C117" s="24" t="n"/>
      <c r="D117" s="25" t="n"/>
      <c r="E117" s="25" t="n"/>
      <c r="F117" s="24" t="n"/>
      <c r="G117" s="26">
        <f>IF($A117="","",SUMIF(tblAkis[KaynakKartId],$A117,tblAkis[SiparisMiktari]))</f>
        <v/>
      </c>
      <c r="H117" s="26">
        <f>IF($A117="","",IFERROR(AVERAGEIF(tblAkis[KaynakKartId],$A117,tblAkis[KapasiteYukuPct]),0))</f>
        <v/>
      </c>
    </row>
    <row r="118">
      <c r="A118" s="24" t="n"/>
      <c r="B118" s="24" t="n"/>
      <c r="C118" s="24" t="n"/>
      <c r="D118" s="25" t="n"/>
      <c r="E118" s="25" t="n"/>
      <c r="F118" s="24" t="n"/>
      <c r="G118" s="26">
        <f>IF($A118="","",SUMIF(tblAkis[KaynakKartId],$A118,tblAkis[SiparisMiktari]))</f>
        <v/>
      </c>
      <c r="H118" s="26">
        <f>IF($A118="","",IFERROR(AVERAGEIF(tblAkis[KaynakKartId],$A118,tblAkis[KapasiteYukuPct]),0))</f>
        <v/>
      </c>
    </row>
    <row r="119">
      <c r="A119" s="24" t="n"/>
      <c r="B119" s="24" t="n"/>
      <c r="C119" s="24" t="n"/>
      <c r="D119" s="25" t="n"/>
      <c r="E119" s="25" t="n"/>
      <c r="F119" s="24" t="n"/>
      <c r="G119" s="26">
        <f>IF($A119="","",SUMIF(tblAkis[KaynakKartId],$A119,tblAkis[SiparisMiktari]))</f>
        <v/>
      </c>
      <c r="H119" s="26">
        <f>IF($A119="","",IFERROR(AVERAGEIF(tblAkis[KaynakKartId],$A119,tblAkis[KapasiteYukuPct]),0))</f>
        <v/>
      </c>
    </row>
    <row r="120">
      <c r="A120" s="24" t="n"/>
      <c r="B120" s="24" t="n"/>
      <c r="C120" s="24" t="n"/>
      <c r="D120" s="25" t="n"/>
      <c r="E120" s="25" t="n"/>
      <c r="F120" s="24" t="n"/>
      <c r="G120" s="26">
        <f>IF($A120="","",SUMIF(tblAkis[KaynakKartId],$A120,tblAkis[SiparisMiktari]))</f>
        <v/>
      </c>
      <c r="H120" s="26">
        <f>IF($A120="","",IFERROR(AVERAGEIF(tblAkis[KaynakKartId],$A120,tblAkis[KapasiteYukuPct]),0))</f>
        <v/>
      </c>
    </row>
    <row r="121">
      <c r="A121" s="24" t="n"/>
      <c r="B121" s="24" t="n"/>
      <c r="C121" s="24" t="n"/>
      <c r="D121" s="25" t="n"/>
      <c r="E121" s="25" t="n"/>
      <c r="F121" s="24" t="n"/>
      <c r="G121" s="26">
        <f>IF($A121="","",SUMIF(tblAkis[KaynakKartId],$A121,tblAkis[SiparisMiktari]))</f>
        <v/>
      </c>
      <c r="H121" s="26">
        <f>IF($A121="","",IFERROR(AVERAGEIF(tblAkis[KaynakKartId],$A121,tblAkis[KapasiteYukuPct]),0))</f>
        <v/>
      </c>
    </row>
    <row r="122">
      <c r="A122" s="24" t="n"/>
      <c r="B122" s="24" t="n"/>
      <c r="C122" s="24" t="n"/>
      <c r="D122" s="25" t="n"/>
      <c r="E122" s="25" t="n"/>
      <c r="F122" s="24" t="n"/>
      <c r="G122" s="26">
        <f>IF($A122="","",SUMIF(tblAkis[KaynakKartId],$A122,tblAkis[SiparisMiktari]))</f>
        <v/>
      </c>
      <c r="H122" s="26">
        <f>IF($A122="","",IFERROR(AVERAGEIF(tblAkis[KaynakKartId],$A122,tblAkis[KapasiteYukuPct]),0))</f>
        <v/>
      </c>
    </row>
    <row r="123">
      <c r="A123" s="24" t="n"/>
      <c r="B123" s="24" t="n"/>
      <c r="C123" s="24" t="n"/>
      <c r="D123" s="25" t="n"/>
      <c r="E123" s="25" t="n"/>
      <c r="F123" s="24" t="n"/>
      <c r="G123" s="26">
        <f>IF($A123="","",SUMIF(tblAkis[KaynakKartId],$A123,tblAkis[SiparisMiktari]))</f>
        <v/>
      </c>
      <c r="H123" s="26">
        <f>IF($A123="","",IFERROR(AVERAGEIF(tblAkis[KaynakKartId],$A123,tblAkis[KapasiteYukuPct]),0))</f>
        <v/>
      </c>
    </row>
    <row r="124">
      <c r="A124" s="24" t="n"/>
      <c r="B124" s="24" t="n"/>
      <c r="C124" s="24" t="n"/>
      <c r="D124" s="25" t="n"/>
      <c r="E124" s="25" t="n"/>
      <c r="F124" s="24" t="n"/>
      <c r="G124" s="26">
        <f>IF($A124="","",SUMIF(tblAkis[KaynakKartId],$A124,tblAkis[SiparisMiktari]))</f>
        <v/>
      </c>
      <c r="H124" s="26">
        <f>IF($A124="","",IFERROR(AVERAGEIF(tblAkis[KaynakKartId],$A124,tblAkis[KapasiteYukuPct]),0))</f>
        <v/>
      </c>
    </row>
    <row r="125">
      <c r="A125" s="24" t="n"/>
      <c r="B125" s="24" t="n"/>
      <c r="C125" s="24" t="n"/>
      <c r="D125" s="25" t="n"/>
      <c r="E125" s="25" t="n"/>
      <c r="F125" s="24" t="n"/>
      <c r="G125" s="26">
        <f>IF($A125="","",SUMIF(tblAkis[KaynakKartId],$A125,tblAkis[SiparisMiktari]))</f>
        <v/>
      </c>
      <c r="H125" s="26">
        <f>IF($A125="","",IFERROR(AVERAGEIF(tblAkis[KaynakKartId],$A125,tblAkis[KapasiteYukuPct]),0))</f>
        <v/>
      </c>
    </row>
    <row r="126">
      <c r="A126" s="24" t="n"/>
      <c r="B126" s="24" t="n"/>
      <c r="C126" s="24" t="n"/>
      <c r="D126" s="25" t="n"/>
      <c r="E126" s="25" t="n"/>
      <c r="F126" s="24" t="n"/>
      <c r="G126" s="26">
        <f>IF($A126="","",SUMIF(tblAkis[KaynakKartId],$A126,tblAkis[SiparisMiktari]))</f>
        <v/>
      </c>
      <c r="H126" s="26">
        <f>IF($A126="","",IFERROR(AVERAGEIF(tblAkis[KaynakKartId],$A126,tblAkis[KapasiteYukuPct]),0))</f>
        <v/>
      </c>
    </row>
    <row r="127">
      <c r="A127" s="24" t="n"/>
      <c r="B127" s="24" t="n"/>
      <c r="C127" s="24" t="n"/>
      <c r="D127" s="25" t="n"/>
      <c r="E127" s="25" t="n"/>
      <c r="F127" s="24" t="n"/>
      <c r="G127" s="26">
        <f>IF($A127="","",SUMIF(tblAkis[KaynakKartId],$A127,tblAkis[SiparisMiktari]))</f>
        <v/>
      </c>
      <c r="H127" s="26">
        <f>IF($A127="","",IFERROR(AVERAGEIF(tblAkis[KaynakKartId],$A127,tblAkis[KapasiteYukuPct]),0))</f>
        <v/>
      </c>
    </row>
    <row r="128">
      <c r="A128" s="24" t="n"/>
      <c r="B128" s="24" t="n"/>
      <c r="C128" s="24" t="n"/>
      <c r="D128" s="25" t="n"/>
      <c r="E128" s="25" t="n"/>
      <c r="F128" s="24" t="n"/>
      <c r="G128" s="26">
        <f>IF($A128="","",SUMIF(tblAkis[KaynakKartId],$A128,tblAkis[SiparisMiktari]))</f>
        <v/>
      </c>
      <c r="H128" s="26">
        <f>IF($A128="","",IFERROR(AVERAGEIF(tblAkis[KaynakKartId],$A128,tblAkis[KapasiteYukuPct]),0))</f>
        <v/>
      </c>
    </row>
    <row r="129">
      <c r="A129" s="24" t="n"/>
      <c r="B129" s="24" t="n"/>
      <c r="C129" s="24" t="n"/>
      <c r="D129" s="25" t="n"/>
      <c r="E129" s="25" t="n"/>
      <c r="F129" s="24" t="n"/>
      <c r="G129" s="26">
        <f>IF($A129="","",SUMIF(tblAkis[KaynakKartId],$A129,tblAkis[SiparisMiktari]))</f>
        <v/>
      </c>
      <c r="H129" s="26">
        <f>IF($A129="","",IFERROR(AVERAGEIF(tblAkis[KaynakKartId],$A129,tblAkis[KapasiteYukuPct]),0))</f>
        <v/>
      </c>
    </row>
    <row r="130">
      <c r="A130" s="24" t="n"/>
      <c r="B130" s="24" t="n"/>
      <c r="C130" s="24" t="n"/>
      <c r="D130" s="25" t="n"/>
      <c r="E130" s="25" t="n"/>
      <c r="F130" s="24" t="n"/>
      <c r="G130" s="26">
        <f>IF($A130="","",SUMIF(tblAkis[KaynakKartId],$A130,tblAkis[SiparisMiktari]))</f>
        <v/>
      </c>
      <c r="H130" s="26">
        <f>IF($A130="","",IFERROR(AVERAGEIF(tblAkis[KaynakKartId],$A130,tblAkis[KapasiteYukuPct]),0))</f>
        <v/>
      </c>
    </row>
    <row r="131">
      <c r="A131" s="24" t="n"/>
      <c r="B131" s="24" t="n"/>
      <c r="C131" s="24" t="n"/>
      <c r="D131" s="25" t="n"/>
      <c r="E131" s="25" t="n"/>
      <c r="F131" s="24" t="n"/>
      <c r="G131" s="26">
        <f>IF($A131="","",SUMIF(tblAkis[KaynakKartId],$A131,tblAkis[SiparisMiktari]))</f>
        <v/>
      </c>
      <c r="H131" s="26">
        <f>IF($A131="","",IFERROR(AVERAGEIF(tblAkis[KaynakKartId],$A131,tblAkis[KapasiteYukuPct]),0))</f>
        <v/>
      </c>
    </row>
    <row r="132">
      <c r="A132" s="24" t="n"/>
      <c r="B132" s="24" t="n"/>
      <c r="C132" s="24" t="n"/>
      <c r="D132" s="25" t="n"/>
      <c r="E132" s="25" t="n"/>
      <c r="F132" s="24" t="n"/>
      <c r="G132" s="26">
        <f>IF($A132="","",SUMIF(tblAkis[KaynakKartId],$A132,tblAkis[SiparisMiktari]))</f>
        <v/>
      </c>
      <c r="H132" s="26">
        <f>IF($A132="","",IFERROR(AVERAGEIF(tblAkis[KaynakKartId],$A132,tblAkis[KapasiteYukuPct]),0))</f>
        <v/>
      </c>
    </row>
    <row r="133">
      <c r="A133" s="24" t="n"/>
      <c r="B133" s="24" t="n"/>
      <c r="C133" s="24" t="n"/>
      <c r="D133" s="25" t="n"/>
      <c r="E133" s="25" t="n"/>
      <c r="F133" s="24" t="n"/>
      <c r="G133" s="26">
        <f>IF($A133="","",SUMIF(tblAkis[KaynakKartId],$A133,tblAkis[SiparisMiktari]))</f>
        <v/>
      </c>
      <c r="H133" s="26">
        <f>IF($A133="","",IFERROR(AVERAGEIF(tblAkis[KaynakKartId],$A133,tblAkis[KapasiteYukuPct]),0))</f>
        <v/>
      </c>
    </row>
    <row r="134">
      <c r="A134" s="24" t="n"/>
      <c r="B134" s="24" t="n"/>
      <c r="C134" s="24" t="n"/>
      <c r="D134" s="25" t="n"/>
      <c r="E134" s="25" t="n"/>
      <c r="F134" s="24" t="n"/>
      <c r="G134" s="26">
        <f>IF($A134="","",SUMIF(tblAkis[KaynakKartId],$A134,tblAkis[SiparisMiktari]))</f>
        <v/>
      </c>
      <c r="H134" s="26">
        <f>IF($A134="","",IFERROR(AVERAGEIF(tblAkis[KaynakKartId],$A134,tblAkis[KapasiteYukuPct]),0))</f>
        <v/>
      </c>
    </row>
    <row r="135">
      <c r="A135" s="24" t="n"/>
      <c r="B135" s="24" t="n"/>
      <c r="C135" s="24" t="n"/>
      <c r="D135" s="25" t="n"/>
      <c r="E135" s="25" t="n"/>
      <c r="F135" s="24" t="n"/>
      <c r="G135" s="26">
        <f>IF($A135="","",SUMIF(tblAkis[KaynakKartId],$A135,tblAkis[SiparisMiktari]))</f>
        <v/>
      </c>
      <c r="H135" s="26">
        <f>IF($A135="","",IFERROR(AVERAGEIF(tblAkis[KaynakKartId],$A135,tblAkis[KapasiteYukuPct]),0))</f>
        <v/>
      </c>
    </row>
    <row r="136">
      <c r="A136" s="24" t="n"/>
      <c r="B136" s="24" t="n"/>
      <c r="C136" s="24" t="n"/>
      <c r="D136" s="25" t="n"/>
      <c r="E136" s="25" t="n"/>
      <c r="F136" s="24" t="n"/>
      <c r="G136" s="26">
        <f>IF($A136="","",SUMIF(tblAkis[KaynakKartId],$A136,tblAkis[SiparisMiktari]))</f>
        <v/>
      </c>
      <c r="H136" s="26">
        <f>IF($A136="","",IFERROR(AVERAGEIF(tblAkis[KaynakKartId],$A136,tblAkis[KapasiteYukuPct]),0))</f>
        <v/>
      </c>
    </row>
    <row r="137">
      <c r="A137" s="24" t="n"/>
      <c r="B137" s="24" t="n"/>
      <c r="C137" s="24" t="n"/>
      <c r="D137" s="25" t="n"/>
      <c r="E137" s="25" t="n"/>
      <c r="F137" s="24" t="n"/>
      <c r="G137" s="26">
        <f>IF($A137="","",SUMIF(tblAkis[KaynakKartId],$A137,tblAkis[SiparisMiktari]))</f>
        <v/>
      </c>
      <c r="H137" s="26">
        <f>IF($A137="","",IFERROR(AVERAGEIF(tblAkis[KaynakKartId],$A137,tblAkis[KapasiteYukuPct]),0))</f>
        <v/>
      </c>
    </row>
    <row r="138">
      <c r="A138" s="24" t="n"/>
      <c r="B138" s="24" t="n"/>
      <c r="C138" s="24" t="n"/>
      <c r="D138" s="25" t="n"/>
      <c r="E138" s="25" t="n"/>
      <c r="F138" s="24" t="n"/>
      <c r="G138" s="26">
        <f>IF($A138="","",SUMIF(tblAkis[KaynakKartId],$A138,tblAkis[SiparisMiktari]))</f>
        <v/>
      </c>
      <c r="H138" s="26">
        <f>IF($A138="","",IFERROR(AVERAGEIF(tblAkis[KaynakKartId],$A138,tblAkis[KapasiteYukuPct]),0))</f>
        <v/>
      </c>
    </row>
    <row r="139">
      <c r="A139" s="24" t="n"/>
      <c r="B139" s="24" t="n"/>
      <c r="C139" s="24" t="n"/>
      <c r="D139" s="25" t="n"/>
      <c r="E139" s="25" t="n"/>
      <c r="F139" s="24" t="n"/>
      <c r="G139" s="26">
        <f>IF($A139="","",SUMIF(tblAkis[KaynakKartId],$A139,tblAkis[SiparisMiktari]))</f>
        <v/>
      </c>
      <c r="H139" s="26">
        <f>IF($A139="","",IFERROR(AVERAGEIF(tblAkis[KaynakKartId],$A139,tblAkis[KapasiteYukuPct]),0))</f>
        <v/>
      </c>
    </row>
    <row r="140">
      <c r="A140" s="24" t="n"/>
      <c r="B140" s="24" t="n"/>
      <c r="C140" s="24" t="n"/>
      <c r="D140" s="25" t="n"/>
      <c r="E140" s="25" t="n"/>
      <c r="F140" s="24" t="n"/>
      <c r="G140" s="26">
        <f>IF($A140="","",SUMIF(tblAkis[KaynakKartId],$A140,tblAkis[SiparisMiktari]))</f>
        <v/>
      </c>
      <c r="H140" s="26">
        <f>IF($A140="","",IFERROR(AVERAGEIF(tblAkis[KaynakKartId],$A140,tblAkis[KapasiteYukuPct]),0))</f>
        <v/>
      </c>
    </row>
    <row r="141">
      <c r="A141" s="24" t="n"/>
      <c r="B141" s="24" t="n"/>
      <c r="C141" s="24" t="n"/>
      <c r="D141" s="25" t="n"/>
      <c r="E141" s="25" t="n"/>
      <c r="F141" s="24" t="n"/>
      <c r="G141" s="26">
        <f>IF($A141="","",SUMIF(tblAkis[KaynakKartId],$A141,tblAkis[SiparisMiktari]))</f>
        <v/>
      </c>
      <c r="H141" s="26">
        <f>IF($A141="","",IFERROR(AVERAGEIF(tblAkis[KaynakKartId],$A141,tblAkis[KapasiteYukuPct]),0))</f>
        <v/>
      </c>
    </row>
    <row r="142">
      <c r="A142" s="24" t="n"/>
      <c r="B142" s="24" t="n"/>
      <c r="C142" s="24" t="n"/>
      <c r="D142" s="25" t="n"/>
      <c r="E142" s="25" t="n"/>
      <c r="F142" s="24" t="n"/>
      <c r="G142" s="26">
        <f>IF($A142="","",SUMIF(tblAkis[KaynakKartId],$A142,tblAkis[SiparisMiktari]))</f>
        <v/>
      </c>
      <c r="H142" s="26">
        <f>IF($A142="","",IFERROR(AVERAGEIF(tblAkis[KaynakKartId],$A142,tblAkis[KapasiteYukuPct]),0))</f>
        <v/>
      </c>
    </row>
    <row r="143">
      <c r="A143" s="24" t="n"/>
      <c r="B143" s="24" t="n"/>
      <c r="C143" s="24" t="n"/>
      <c r="D143" s="25" t="n"/>
      <c r="E143" s="25" t="n"/>
      <c r="F143" s="24" t="n"/>
      <c r="G143" s="26">
        <f>IF($A143="","",SUMIF(tblAkis[KaynakKartId],$A143,tblAkis[SiparisMiktari]))</f>
        <v/>
      </c>
      <c r="H143" s="26">
        <f>IF($A143="","",IFERROR(AVERAGEIF(tblAkis[KaynakKartId],$A143,tblAkis[KapasiteYukuPct]),0))</f>
        <v/>
      </c>
    </row>
    <row r="144">
      <c r="A144" s="24" t="n"/>
      <c r="B144" s="24" t="n"/>
      <c r="C144" s="24" t="n"/>
      <c r="D144" s="25" t="n"/>
      <c r="E144" s="25" t="n"/>
      <c r="F144" s="24" t="n"/>
      <c r="G144" s="26">
        <f>IF($A144="","",SUMIF(tblAkis[KaynakKartId],$A144,tblAkis[SiparisMiktari]))</f>
        <v/>
      </c>
      <c r="H144" s="26">
        <f>IF($A144="","",IFERROR(AVERAGEIF(tblAkis[KaynakKartId],$A144,tblAkis[KapasiteYukuPct]),0))</f>
        <v/>
      </c>
    </row>
    <row r="145">
      <c r="A145" s="24" t="n"/>
      <c r="B145" s="24" t="n"/>
      <c r="C145" s="24" t="n"/>
      <c r="D145" s="25" t="n"/>
      <c r="E145" s="25" t="n"/>
      <c r="F145" s="24" t="n"/>
      <c r="G145" s="26">
        <f>IF($A145="","",SUMIF(tblAkis[KaynakKartId],$A145,tblAkis[SiparisMiktari]))</f>
        <v/>
      </c>
      <c r="H145" s="26">
        <f>IF($A145="","",IFERROR(AVERAGEIF(tblAkis[KaynakKartId],$A145,tblAkis[KapasiteYukuPct]),0))</f>
        <v/>
      </c>
    </row>
    <row r="146">
      <c r="A146" s="24" t="n"/>
      <c r="B146" s="24" t="n"/>
      <c r="C146" s="24" t="n"/>
      <c r="D146" s="25" t="n"/>
      <c r="E146" s="25" t="n"/>
      <c r="F146" s="24" t="n"/>
      <c r="G146" s="26">
        <f>IF($A146="","",SUMIF(tblAkis[KaynakKartId],$A146,tblAkis[SiparisMiktari]))</f>
        <v/>
      </c>
      <c r="H146" s="26">
        <f>IF($A146="","",IFERROR(AVERAGEIF(tblAkis[KaynakKartId],$A146,tblAkis[KapasiteYukuPct]),0))</f>
        <v/>
      </c>
    </row>
    <row r="147">
      <c r="A147" s="24" t="n"/>
      <c r="B147" s="24" t="n"/>
      <c r="C147" s="24" t="n"/>
      <c r="D147" s="25" t="n"/>
      <c r="E147" s="25" t="n"/>
      <c r="F147" s="24" t="n"/>
      <c r="G147" s="26">
        <f>IF($A147="","",SUMIF(tblAkis[KaynakKartId],$A147,tblAkis[SiparisMiktari]))</f>
        <v/>
      </c>
      <c r="H147" s="26">
        <f>IF($A147="","",IFERROR(AVERAGEIF(tblAkis[KaynakKartId],$A147,tblAkis[KapasiteYukuPct]),0))</f>
        <v/>
      </c>
    </row>
    <row r="148">
      <c r="A148" s="24" t="n"/>
      <c r="B148" s="24" t="n"/>
      <c r="C148" s="24" t="n"/>
      <c r="D148" s="25" t="n"/>
      <c r="E148" s="25" t="n"/>
      <c r="F148" s="24" t="n"/>
      <c r="G148" s="26">
        <f>IF($A148="","",SUMIF(tblAkis[KaynakKartId],$A148,tblAkis[SiparisMiktari]))</f>
        <v/>
      </c>
      <c r="H148" s="26">
        <f>IF($A148="","",IFERROR(AVERAGEIF(tblAkis[KaynakKartId],$A148,tblAkis[KapasiteYukuPct]),0))</f>
        <v/>
      </c>
    </row>
    <row r="149">
      <c r="A149" s="24" t="n"/>
      <c r="B149" s="24" t="n"/>
      <c r="C149" s="24" t="n"/>
      <c r="D149" s="25" t="n"/>
      <c r="E149" s="25" t="n"/>
      <c r="F149" s="24" t="n"/>
      <c r="G149" s="26">
        <f>IF($A149="","",SUMIF(tblAkis[KaynakKartId],$A149,tblAkis[SiparisMiktari]))</f>
        <v/>
      </c>
      <c r="H149" s="26">
        <f>IF($A149="","",IFERROR(AVERAGEIF(tblAkis[KaynakKartId],$A149,tblAkis[KapasiteYukuPct]),0))</f>
        <v/>
      </c>
    </row>
    <row r="150">
      <c r="A150" s="24" t="n"/>
      <c r="B150" s="24" t="n"/>
      <c r="C150" s="24" t="n"/>
      <c r="D150" s="25" t="n"/>
      <c r="E150" s="25" t="n"/>
      <c r="F150" s="24" t="n"/>
      <c r="G150" s="26">
        <f>IF($A150="","",SUMIF(tblAkis[KaynakKartId],$A150,tblAkis[SiparisMiktari]))</f>
        <v/>
      </c>
      <c r="H150" s="26">
        <f>IF($A150="","",IFERROR(AVERAGEIF(tblAkis[KaynakKartId],$A150,tblAkis[KapasiteYukuPct]),0))</f>
        <v/>
      </c>
    </row>
    <row r="151">
      <c r="A151" s="24" t="n"/>
      <c r="B151" s="24" t="n"/>
      <c r="C151" s="24" t="n"/>
      <c r="D151" s="25" t="n"/>
      <c r="E151" s="25" t="n"/>
      <c r="F151" s="24" t="n"/>
      <c r="G151" s="26">
        <f>IF($A151="","",SUMIF(tblAkis[KaynakKartId],$A151,tblAkis[SiparisMiktari]))</f>
        <v/>
      </c>
      <c r="H151" s="26">
        <f>IF($A151="","",IFERROR(AVERAGEIF(tblAkis[KaynakKartId],$A151,tblAkis[KapasiteYukuPct]),0))</f>
        <v/>
      </c>
    </row>
    <row r="152">
      <c r="A152" s="24" t="n"/>
      <c r="B152" s="24" t="n"/>
      <c r="C152" s="24" t="n"/>
      <c r="D152" s="25" t="n"/>
      <c r="E152" s="25" t="n"/>
      <c r="F152" s="24" t="n"/>
      <c r="G152" s="26">
        <f>IF($A152="","",SUMIF(tblAkis[KaynakKartId],$A152,tblAkis[SiparisMiktari]))</f>
        <v/>
      </c>
      <c r="H152" s="26">
        <f>IF($A152="","",IFERROR(AVERAGEIF(tblAkis[KaynakKartId],$A152,tblAkis[KapasiteYukuPct]),0))</f>
        <v/>
      </c>
    </row>
    <row r="153">
      <c r="A153" s="24" t="n"/>
      <c r="B153" s="24" t="n"/>
      <c r="C153" s="24" t="n"/>
      <c r="D153" s="25" t="n"/>
      <c r="E153" s="25" t="n"/>
      <c r="F153" s="24" t="n"/>
      <c r="G153" s="26">
        <f>IF($A153="","",SUMIF(tblAkis[KaynakKartId],$A153,tblAkis[SiparisMiktari]))</f>
        <v/>
      </c>
      <c r="H153" s="26">
        <f>IF($A153="","",IFERROR(AVERAGEIF(tblAkis[KaynakKartId],$A153,tblAkis[KapasiteYukuPct]),0))</f>
        <v/>
      </c>
    </row>
    <row r="154">
      <c r="A154" s="24" t="n"/>
      <c r="B154" s="24" t="n"/>
      <c r="C154" s="24" t="n"/>
      <c r="D154" s="25" t="n"/>
      <c r="E154" s="25" t="n"/>
      <c r="F154" s="24" t="n"/>
      <c r="G154" s="26">
        <f>IF($A154="","",SUMIF(tblAkis[KaynakKartId],$A154,tblAkis[SiparisMiktari]))</f>
        <v/>
      </c>
      <c r="H154" s="26">
        <f>IF($A154="","",IFERROR(AVERAGEIF(tblAkis[KaynakKartId],$A154,tblAkis[KapasiteYukuPct]),0))</f>
        <v/>
      </c>
    </row>
    <row r="155">
      <c r="A155" s="24" t="n"/>
      <c r="B155" s="24" t="n"/>
      <c r="C155" s="24" t="n"/>
      <c r="D155" s="25" t="n"/>
      <c r="E155" s="25" t="n"/>
      <c r="F155" s="24" t="n"/>
      <c r="G155" s="26">
        <f>IF($A155="","",SUMIF(tblAkis[KaynakKartId],$A155,tblAkis[SiparisMiktari]))</f>
        <v/>
      </c>
      <c r="H155" s="26">
        <f>IF($A155="","",IFERROR(AVERAGEIF(tblAkis[KaynakKartId],$A155,tblAkis[KapasiteYukuPct]),0))</f>
        <v/>
      </c>
    </row>
    <row r="156">
      <c r="A156" s="24" t="n"/>
      <c r="B156" s="24" t="n"/>
      <c r="C156" s="24" t="n"/>
      <c r="D156" s="25" t="n"/>
      <c r="E156" s="25" t="n"/>
      <c r="F156" s="24" t="n"/>
      <c r="G156" s="26">
        <f>IF($A156="","",SUMIF(tblAkis[KaynakKartId],$A156,tblAkis[SiparisMiktari]))</f>
        <v/>
      </c>
      <c r="H156" s="26">
        <f>IF($A156="","",IFERROR(AVERAGEIF(tblAkis[KaynakKartId],$A156,tblAkis[KapasiteYukuPct]),0))</f>
        <v/>
      </c>
    </row>
    <row r="157">
      <c r="A157" s="24" t="n"/>
      <c r="B157" s="24" t="n"/>
      <c r="C157" s="24" t="n"/>
      <c r="D157" s="25" t="n"/>
      <c r="E157" s="25" t="n"/>
      <c r="F157" s="24" t="n"/>
      <c r="G157" s="26">
        <f>IF($A157="","",SUMIF(tblAkis[KaynakKartId],$A157,tblAkis[SiparisMiktari]))</f>
        <v/>
      </c>
      <c r="H157" s="26">
        <f>IF($A157="","",IFERROR(AVERAGEIF(tblAkis[KaynakKartId],$A157,tblAkis[KapasiteYukuPct]),0))</f>
        <v/>
      </c>
    </row>
    <row r="158">
      <c r="A158" s="24" t="n"/>
      <c r="B158" s="24" t="n"/>
      <c r="C158" s="24" t="n"/>
      <c r="D158" s="25" t="n"/>
      <c r="E158" s="25" t="n"/>
      <c r="F158" s="24" t="n"/>
      <c r="G158" s="26">
        <f>IF($A158="","",SUMIF(tblAkis[KaynakKartId],$A158,tblAkis[SiparisMiktari]))</f>
        <v/>
      </c>
      <c r="H158" s="26">
        <f>IF($A158="","",IFERROR(AVERAGEIF(tblAkis[KaynakKartId],$A158,tblAkis[KapasiteYukuPct]),0))</f>
        <v/>
      </c>
    </row>
    <row r="159">
      <c r="A159" s="24" t="n"/>
      <c r="B159" s="24" t="n"/>
      <c r="C159" s="24" t="n"/>
      <c r="D159" s="25" t="n"/>
      <c r="E159" s="25" t="n"/>
      <c r="F159" s="24" t="n"/>
      <c r="G159" s="26">
        <f>IF($A159="","",SUMIF(tblAkis[KaynakKartId],$A159,tblAkis[SiparisMiktari]))</f>
        <v/>
      </c>
      <c r="H159" s="26">
        <f>IF($A159="","",IFERROR(AVERAGEIF(tblAkis[KaynakKartId],$A159,tblAkis[KapasiteYukuPct]),0))</f>
        <v/>
      </c>
    </row>
    <row r="160">
      <c r="A160" s="24" t="n"/>
      <c r="B160" s="24" t="n"/>
      <c r="C160" s="24" t="n"/>
      <c r="D160" s="25" t="n"/>
      <c r="E160" s="25" t="n"/>
      <c r="F160" s="24" t="n"/>
      <c r="G160" s="26">
        <f>IF($A160="","",SUMIF(tblAkis[KaynakKartId],$A160,tblAkis[SiparisMiktari]))</f>
        <v/>
      </c>
      <c r="H160" s="26">
        <f>IF($A160="","",IFERROR(AVERAGEIF(tblAkis[KaynakKartId],$A160,tblAkis[KapasiteYukuPct]),0))</f>
        <v/>
      </c>
    </row>
    <row r="161">
      <c r="A161" s="24" t="n"/>
      <c r="B161" s="24" t="n"/>
      <c r="C161" s="24" t="n"/>
      <c r="D161" s="25" t="n"/>
      <c r="E161" s="25" t="n"/>
      <c r="F161" s="24" t="n"/>
      <c r="G161" s="26">
        <f>IF($A161="","",SUMIF(tblAkis[KaynakKartId],$A161,tblAkis[SiparisMiktari]))</f>
        <v/>
      </c>
      <c r="H161" s="26">
        <f>IF($A161="","",IFERROR(AVERAGEIF(tblAkis[KaynakKartId],$A161,tblAkis[KapasiteYukuPct]),0))</f>
        <v/>
      </c>
    </row>
    <row r="162">
      <c r="A162" s="24" t="n"/>
      <c r="B162" s="24" t="n"/>
      <c r="C162" s="24" t="n"/>
      <c r="D162" s="25" t="n"/>
      <c r="E162" s="25" t="n"/>
      <c r="F162" s="24" t="n"/>
      <c r="G162" s="26">
        <f>IF($A162="","",SUMIF(tblAkis[KaynakKartId],$A162,tblAkis[SiparisMiktari]))</f>
        <v/>
      </c>
      <c r="H162" s="26">
        <f>IF($A162="","",IFERROR(AVERAGEIF(tblAkis[KaynakKartId],$A162,tblAkis[KapasiteYukuPct]),0))</f>
        <v/>
      </c>
    </row>
    <row r="163">
      <c r="A163" s="24" t="n"/>
      <c r="B163" s="24" t="n"/>
      <c r="C163" s="24" t="n"/>
      <c r="D163" s="25" t="n"/>
      <c r="E163" s="25" t="n"/>
      <c r="F163" s="24" t="n"/>
      <c r="G163" s="26">
        <f>IF($A163="","",SUMIF(tblAkis[KaynakKartId],$A163,tblAkis[SiparisMiktari]))</f>
        <v/>
      </c>
      <c r="H163" s="26">
        <f>IF($A163="","",IFERROR(AVERAGEIF(tblAkis[KaynakKartId],$A163,tblAkis[KapasiteYukuPct]),0))</f>
        <v/>
      </c>
    </row>
    <row r="164">
      <c r="A164" s="24" t="n"/>
      <c r="B164" s="24" t="n"/>
      <c r="C164" s="24" t="n"/>
      <c r="D164" s="25" t="n"/>
      <c r="E164" s="25" t="n"/>
      <c r="F164" s="24" t="n"/>
      <c r="G164" s="26">
        <f>IF($A164="","",SUMIF(tblAkis[KaynakKartId],$A164,tblAkis[SiparisMiktari]))</f>
        <v/>
      </c>
      <c r="H164" s="26">
        <f>IF($A164="","",IFERROR(AVERAGEIF(tblAkis[KaynakKartId],$A164,tblAkis[KapasiteYukuPct]),0))</f>
        <v/>
      </c>
    </row>
    <row r="165">
      <c r="A165" s="24" t="n"/>
      <c r="B165" s="24" t="n"/>
      <c r="C165" s="24" t="n"/>
      <c r="D165" s="25" t="n"/>
      <c r="E165" s="25" t="n"/>
      <c r="F165" s="24" t="n"/>
      <c r="G165" s="26">
        <f>IF($A165="","",SUMIF(tblAkis[KaynakKartId],$A165,tblAkis[SiparisMiktari]))</f>
        <v/>
      </c>
      <c r="H165" s="26">
        <f>IF($A165="","",IFERROR(AVERAGEIF(tblAkis[KaynakKartId],$A165,tblAkis[KapasiteYukuPct]),0))</f>
        <v/>
      </c>
    </row>
    <row r="166">
      <c r="A166" s="24" t="n"/>
      <c r="B166" s="24" t="n"/>
      <c r="C166" s="24" t="n"/>
      <c r="D166" s="25" t="n"/>
      <c r="E166" s="25" t="n"/>
      <c r="F166" s="24" t="n"/>
      <c r="G166" s="26">
        <f>IF($A166="","",SUMIF(tblAkis[KaynakKartId],$A166,tblAkis[SiparisMiktari]))</f>
        <v/>
      </c>
      <c r="H166" s="26">
        <f>IF($A166="","",IFERROR(AVERAGEIF(tblAkis[KaynakKartId],$A166,tblAkis[KapasiteYukuPct]),0))</f>
        <v/>
      </c>
    </row>
    <row r="167">
      <c r="A167" s="24" t="n"/>
      <c r="B167" s="24" t="n"/>
      <c r="C167" s="24" t="n"/>
      <c r="D167" s="25" t="n"/>
      <c r="E167" s="25" t="n"/>
      <c r="F167" s="24" t="n"/>
      <c r="G167" s="26">
        <f>IF($A167="","",SUMIF(tblAkis[KaynakKartId],$A167,tblAkis[SiparisMiktari]))</f>
        <v/>
      </c>
      <c r="H167" s="26">
        <f>IF($A167="","",IFERROR(AVERAGEIF(tblAkis[KaynakKartId],$A167,tblAkis[KapasiteYukuPct]),0))</f>
        <v/>
      </c>
    </row>
    <row r="168">
      <c r="A168" s="24" t="n"/>
      <c r="B168" s="24" t="n"/>
      <c r="C168" s="24" t="n"/>
      <c r="D168" s="25" t="n"/>
      <c r="E168" s="25" t="n"/>
      <c r="F168" s="24" t="n"/>
      <c r="G168" s="26">
        <f>IF($A168="","",SUMIF(tblAkis[KaynakKartId],$A168,tblAkis[SiparisMiktari]))</f>
        <v/>
      </c>
      <c r="H168" s="26">
        <f>IF($A168="","",IFERROR(AVERAGEIF(tblAkis[KaynakKartId],$A168,tblAkis[KapasiteYukuPct]),0))</f>
        <v/>
      </c>
    </row>
    <row r="169">
      <c r="A169" s="24" t="n"/>
      <c r="B169" s="24" t="n"/>
      <c r="C169" s="24" t="n"/>
      <c r="D169" s="25" t="n"/>
      <c r="E169" s="25" t="n"/>
      <c r="F169" s="24" t="n"/>
      <c r="G169" s="26">
        <f>IF($A169="","",SUMIF(tblAkis[KaynakKartId],$A169,tblAkis[SiparisMiktari]))</f>
        <v/>
      </c>
      <c r="H169" s="26">
        <f>IF($A169="","",IFERROR(AVERAGEIF(tblAkis[KaynakKartId],$A169,tblAkis[KapasiteYukuPct]),0))</f>
        <v/>
      </c>
    </row>
    <row r="170">
      <c r="A170" s="24" t="n"/>
      <c r="B170" s="24" t="n"/>
      <c r="C170" s="24" t="n"/>
      <c r="D170" s="25" t="n"/>
      <c r="E170" s="25" t="n"/>
      <c r="F170" s="24" t="n"/>
      <c r="G170" s="26">
        <f>IF($A170="","",SUMIF(tblAkis[KaynakKartId],$A170,tblAkis[SiparisMiktari]))</f>
        <v/>
      </c>
      <c r="H170" s="26">
        <f>IF($A170="","",IFERROR(AVERAGEIF(tblAkis[KaynakKartId],$A170,tblAkis[KapasiteYukuPct]),0))</f>
        <v/>
      </c>
    </row>
    <row r="171">
      <c r="A171" s="24" t="n"/>
      <c r="B171" s="24" t="n"/>
      <c r="C171" s="24" t="n"/>
      <c r="D171" s="25" t="n"/>
      <c r="E171" s="25" t="n"/>
      <c r="F171" s="24" t="n"/>
      <c r="G171" s="26">
        <f>IF($A171="","",SUMIF(tblAkis[KaynakKartId],$A171,tblAkis[SiparisMiktari]))</f>
        <v/>
      </c>
      <c r="H171" s="26">
        <f>IF($A171="","",IFERROR(AVERAGEIF(tblAkis[KaynakKartId],$A171,tblAkis[KapasiteYukuPct]),0))</f>
        <v/>
      </c>
    </row>
    <row r="172">
      <c r="A172" s="24" t="n"/>
      <c r="B172" s="24" t="n"/>
      <c r="C172" s="24" t="n"/>
      <c r="D172" s="25" t="n"/>
      <c r="E172" s="25" t="n"/>
      <c r="F172" s="24" t="n"/>
      <c r="G172" s="26">
        <f>IF($A172="","",SUMIF(tblAkis[KaynakKartId],$A172,tblAkis[SiparisMiktari]))</f>
        <v/>
      </c>
      <c r="H172" s="26">
        <f>IF($A172="","",IFERROR(AVERAGEIF(tblAkis[KaynakKartId],$A172,tblAkis[KapasiteYukuPct]),0))</f>
        <v/>
      </c>
    </row>
    <row r="173">
      <c r="A173" s="24" t="n"/>
      <c r="B173" s="24" t="n"/>
      <c r="C173" s="24" t="n"/>
      <c r="D173" s="25" t="n"/>
      <c r="E173" s="25" t="n"/>
      <c r="F173" s="24" t="n"/>
      <c r="G173" s="26">
        <f>IF($A173="","",SUMIF(tblAkis[KaynakKartId],$A173,tblAkis[SiparisMiktari]))</f>
        <v/>
      </c>
      <c r="H173" s="26">
        <f>IF($A173="","",IFERROR(AVERAGEIF(tblAkis[KaynakKartId],$A173,tblAkis[KapasiteYukuPct]),0))</f>
        <v/>
      </c>
    </row>
    <row r="174">
      <c r="A174" s="24" t="n"/>
      <c r="B174" s="24" t="n"/>
      <c r="C174" s="24" t="n"/>
      <c r="D174" s="25" t="n"/>
      <c r="E174" s="25" t="n"/>
      <c r="F174" s="24" t="n"/>
      <c r="G174" s="26">
        <f>IF($A174="","",SUMIF(tblAkis[KaynakKartId],$A174,tblAkis[SiparisMiktari]))</f>
        <v/>
      </c>
      <c r="H174" s="26">
        <f>IF($A174="","",IFERROR(AVERAGEIF(tblAkis[KaynakKartId],$A174,tblAkis[KapasiteYukuPct]),0))</f>
        <v/>
      </c>
    </row>
    <row r="175">
      <c r="A175" s="24" t="n"/>
      <c r="B175" s="24" t="n"/>
      <c r="C175" s="24" t="n"/>
      <c r="D175" s="25" t="n"/>
      <c r="E175" s="25" t="n"/>
      <c r="F175" s="24" t="n"/>
      <c r="G175" s="26">
        <f>IF($A175="","",SUMIF(tblAkis[KaynakKartId],$A175,tblAkis[SiparisMiktari]))</f>
        <v/>
      </c>
      <c r="H175" s="26">
        <f>IF($A175="","",IFERROR(AVERAGEIF(tblAkis[KaynakKartId],$A175,tblAkis[KapasiteYukuPct]),0))</f>
        <v/>
      </c>
    </row>
    <row r="176">
      <c r="A176" s="24" t="n"/>
      <c r="B176" s="24" t="n"/>
      <c r="C176" s="24" t="n"/>
      <c r="D176" s="25" t="n"/>
      <c r="E176" s="25" t="n"/>
      <c r="F176" s="24" t="n"/>
      <c r="G176" s="26">
        <f>IF($A176="","",SUMIF(tblAkis[KaynakKartId],$A176,tblAkis[SiparisMiktari]))</f>
        <v/>
      </c>
      <c r="H176" s="26">
        <f>IF($A176="","",IFERROR(AVERAGEIF(tblAkis[KaynakKartId],$A176,tblAkis[KapasiteYukuPct]),0))</f>
        <v/>
      </c>
    </row>
    <row r="177">
      <c r="A177" s="24" t="n"/>
      <c r="B177" s="24" t="n"/>
      <c r="C177" s="24" t="n"/>
      <c r="D177" s="25" t="n"/>
      <c r="E177" s="25" t="n"/>
      <c r="F177" s="24" t="n"/>
      <c r="G177" s="26">
        <f>IF($A177="","",SUMIF(tblAkis[KaynakKartId],$A177,tblAkis[SiparisMiktari]))</f>
        <v/>
      </c>
      <c r="H177" s="26">
        <f>IF($A177="","",IFERROR(AVERAGEIF(tblAkis[KaynakKartId],$A177,tblAkis[KapasiteYukuPct]),0))</f>
        <v/>
      </c>
    </row>
    <row r="178">
      <c r="A178" s="24" t="n"/>
      <c r="B178" s="24" t="n"/>
      <c r="C178" s="24" t="n"/>
      <c r="D178" s="25" t="n"/>
      <c r="E178" s="25" t="n"/>
      <c r="F178" s="24" t="n"/>
      <c r="G178" s="26">
        <f>IF($A178="","",SUMIF(tblAkis[KaynakKartId],$A178,tblAkis[SiparisMiktari]))</f>
        <v/>
      </c>
      <c r="H178" s="26">
        <f>IF($A178="","",IFERROR(AVERAGEIF(tblAkis[KaynakKartId],$A178,tblAkis[KapasiteYukuPct]),0))</f>
        <v/>
      </c>
    </row>
    <row r="179">
      <c r="A179" s="24" t="n"/>
      <c r="B179" s="24" t="n"/>
      <c r="C179" s="24" t="n"/>
      <c r="D179" s="25" t="n"/>
      <c r="E179" s="25" t="n"/>
      <c r="F179" s="24" t="n"/>
      <c r="G179" s="26">
        <f>IF($A179="","",SUMIF(tblAkis[KaynakKartId],$A179,tblAkis[SiparisMiktari]))</f>
        <v/>
      </c>
      <c r="H179" s="26">
        <f>IF($A179="","",IFERROR(AVERAGEIF(tblAkis[KaynakKartId],$A179,tblAkis[KapasiteYukuPct]),0))</f>
        <v/>
      </c>
    </row>
    <row r="180">
      <c r="A180" s="24" t="n"/>
      <c r="B180" s="24" t="n"/>
      <c r="C180" s="24" t="n"/>
      <c r="D180" s="25" t="n"/>
      <c r="E180" s="25" t="n"/>
      <c r="F180" s="24" t="n"/>
      <c r="G180" s="26">
        <f>IF($A180="","",SUMIF(tblAkis[KaynakKartId],$A180,tblAkis[SiparisMiktari]))</f>
        <v/>
      </c>
      <c r="H180" s="26">
        <f>IF($A180="","",IFERROR(AVERAGEIF(tblAkis[KaynakKartId],$A180,tblAkis[KapasiteYukuPct]),0))</f>
        <v/>
      </c>
    </row>
    <row r="181">
      <c r="A181" s="24" t="n"/>
      <c r="B181" s="24" t="n"/>
      <c r="C181" s="24" t="n"/>
      <c r="D181" s="25" t="n"/>
      <c r="E181" s="25" t="n"/>
      <c r="F181" s="24" t="n"/>
      <c r="G181" s="26">
        <f>IF($A181="","",SUMIF(tblAkis[KaynakKartId],$A181,tblAkis[SiparisMiktari]))</f>
        <v/>
      </c>
      <c r="H181" s="26">
        <f>IF($A181="","",IFERROR(AVERAGEIF(tblAkis[KaynakKartId],$A181,tblAkis[KapasiteYukuPct]),0))</f>
        <v/>
      </c>
    </row>
    <row r="182">
      <c r="A182" s="24" t="n"/>
      <c r="B182" s="24" t="n"/>
      <c r="C182" s="24" t="n"/>
      <c r="D182" s="25" t="n"/>
      <c r="E182" s="25" t="n"/>
      <c r="F182" s="24" t="n"/>
      <c r="G182" s="26">
        <f>IF($A182="","",SUMIF(tblAkis[KaynakKartId],$A182,tblAkis[SiparisMiktari]))</f>
        <v/>
      </c>
      <c r="H182" s="26">
        <f>IF($A182="","",IFERROR(AVERAGEIF(tblAkis[KaynakKartId],$A182,tblAkis[KapasiteYukuPct]),0))</f>
        <v/>
      </c>
    </row>
    <row r="183">
      <c r="A183" s="24" t="n"/>
      <c r="B183" s="24" t="n"/>
      <c r="C183" s="24" t="n"/>
      <c r="D183" s="25" t="n"/>
      <c r="E183" s="25" t="n"/>
      <c r="F183" s="24" t="n"/>
      <c r="G183" s="26">
        <f>IF($A183="","",SUMIF(tblAkis[KaynakKartId],$A183,tblAkis[SiparisMiktari]))</f>
        <v/>
      </c>
      <c r="H183" s="26">
        <f>IF($A183="","",IFERROR(AVERAGEIF(tblAkis[KaynakKartId],$A183,tblAkis[KapasiteYukuPct]),0))</f>
        <v/>
      </c>
    </row>
    <row r="184">
      <c r="A184" s="24" t="n"/>
      <c r="B184" s="24" t="n"/>
      <c r="C184" s="24" t="n"/>
      <c r="D184" s="25" t="n"/>
      <c r="E184" s="25" t="n"/>
      <c r="F184" s="24" t="n"/>
      <c r="G184" s="26">
        <f>IF($A184="","",SUMIF(tblAkis[KaynakKartId],$A184,tblAkis[SiparisMiktari]))</f>
        <v/>
      </c>
      <c r="H184" s="26">
        <f>IF($A184="","",IFERROR(AVERAGEIF(tblAkis[KaynakKartId],$A184,tblAkis[KapasiteYukuPct]),0))</f>
        <v/>
      </c>
    </row>
    <row r="185">
      <c r="A185" s="24" t="n"/>
      <c r="B185" s="24" t="n"/>
      <c r="C185" s="24" t="n"/>
      <c r="D185" s="25" t="n"/>
      <c r="E185" s="25" t="n"/>
      <c r="F185" s="24" t="n"/>
      <c r="G185" s="26">
        <f>IF($A185="","",SUMIF(tblAkis[KaynakKartId],$A185,tblAkis[SiparisMiktari]))</f>
        <v/>
      </c>
      <c r="H185" s="26">
        <f>IF($A185="","",IFERROR(AVERAGEIF(tblAkis[KaynakKartId],$A185,tblAkis[KapasiteYukuPct]),0))</f>
        <v/>
      </c>
    </row>
    <row r="186">
      <c r="A186" s="24" t="n"/>
      <c r="B186" s="24" t="n"/>
      <c r="C186" s="24" t="n"/>
      <c r="D186" s="25" t="n"/>
      <c r="E186" s="25" t="n"/>
      <c r="F186" s="24" t="n"/>
      <c r="G186" s="26">
        <f>IF($A186="","",SUMIF(tblAkis[KaynakKartId],$A186,tblAkis[SiparisMiktari]))</f>
        <v/>
      </c>
      <c r="H186" s="26">
        <f>IF($A186="","",IFERROR(AVERAGEIF(tblAkis[KaynakKartId],$A186,tblAkis[KapasiteYukuPct]),0))</f>
        <v/>
      </c>
    </row>
    <row r="187">
      <c r="A187" s="24" t="n"/>
      <c r="B187" s="24" t="n"/>
      <c r="C187" s="24" t="n"/>
      <c r="D187" s="25" t="n"/>
      <c r="E187" s="25" t="n"/>
      <c r="F187" s="24" t="n"/>
      <c r="G187" s="26">
        <f>IF($A187="","",SUMIF(tblAkis[KaynakKartId],$A187,tblAkis[SiparisMiktari]))</f>
        <v/>
      </c>
      <c r="H187" s="26">
        <f>IF($A187="","",IFERROR(AVERAGEIF(tblAkis[KaynakKartId],$A187,tblAkis[KapasiteYukuPct]),0))</f>
        <v/>
      </c>
    </row>
    <row r="188">
      <c r="A188" s="24" t="n"/>
      <c r="B188" s="24" t="n"/>
      <c r="C188" s="24" t="n"/>
      <c r="D188" s="25" t="n"/>
      <c r="E188" s="25" t="n"/>
      <c r="F188" s="24" t="n"/>
      <c r="G188" s="26">
        <f>IF($A188="","",SUMIF(tblAkis[KaynakKartId],$A188,tblAkis[SiparisMiktari]))</f>
        <v/>
      </c>
      <c r="H188" s="26">
        <f>IF($A188="","",IFERROR(AVERAGEIF(tblAkis[KaynakKartId],$A188,tblAkis[KapasiteYukuPct]),0))</f>
        <v/>
      </c>
    </row>
    <row r="189">
      <c r="A189" s="24" t="n"/>
      <c r="B189" s="24" t="n"/>
      <c r="C189" s="24" t="n"/>
      <c r="D189" s="25" t="n"/>
      <c r="E189" s="25" t="n"/>
      <c r="F189" s="24" t="n"/>
      <c r="G189" s="26">
        <f>IF($A189="","",SUMIF(tblAkis[KaynakKartId],$A189,tblAkis[SiparisMiktari]))</f>
        <v/>
      </c>
      <c r="H189" s="26">
        <f>IF($A189="","",IFERROR(AVERAGEIF(tblAkis[KaynakKartId],$A189,tblAkis[KapasiteYukuPct]),0))</f>
        <v/>
      </c>
    </row>
    <row r="190">
      <c r="A190" s="24" t="n"/>
      <c r="B190" s="24" t="n"/>
      <c r="C190" s="24" t="n"/>
      <c r="D190" s="25" t="n"/>
      <c r="E190" s="25" t="n"/>
      <c r="F190" s="24" t="n"/>
      <c r="G190" s="26">
        <f>IF($A190="","",SUMIF(tblAkis[KaynakKartId],$A190,tblAkis[SiparisMiktari]))</f>
        <v/>
      </c>
      <c r="H190" s="26">
        <f>IF($A190="","",IFERROR(AVERAGEIF(tblAkis[KaynakKartId],$A190,tblAkis[KapasiteYukuPct]),0))</f>
        <v/>
      </c>
    </row>
    <row r="191">
      <c r="A191" s="24" t="n"/>
      <c r="B191" s="24" t="n"/>
      <c r="C191" s="24" t="n"/>
      <c r="D191" s="25" t="n"/>
      <c r="E191" s="25" t="n"/>
      <c r="F191" s="24" t="n"/>
      <c r="G191" s="26">
        <f>IF($A191="","",SUMIF(tblAkis[KaynakKartId],$A191,tblAkis[SiparisMiktari]))</f>
        <v/>
      </c>
      <c r="H191" s="26">
        <f>IF($A191="","",IFERROR(AVERAGEIF(tblAkis[KaynakKartId],$A191,tblAkis[KapasiteYukuPct]),0))</f>
        <v/>
      </c>
    </row>
    <row r="192">
      <c r="A192" s="24" t="n"/>
      <c r="B192" s="24" t="n"/>
      <c r="C192" s="24" t="n"/>
      <c r="D192" s="25" t="n"/>
      <c r="E192" s="25" t="n"/>
      <c r="F192" s="24" t="n"/>
      <c r="G192" s="26">
        <f>IF($A192="","",SUMIF(tblAkis[KaynakKartId],$A192,tblAkis[SiparisMiktari]))</f>
        <v/>
      </c>
      <c r="H192" s="26">
        <f>IF($A192="","",IFERROR(AVERAGEIF(tblAkis[KaynakKartId],$A192,tblAkis[KapasiteYukuPct]),0))</f>
        <v/>
      </c>
    </row>
    <row r="193">
      <c r="A193" s="24" t="n"/>
      <c r="B193" s="24" t="n"/>
      <c r="C193" s="24" t="n"/>
      <c r="D193" s="25" t="n"/>
      <c r="E193" s="25" t="n"/>
      <c r="F193" s="24" t="n"/>
      <c r="G193" s="26">
        <f>IF($A193="","",SUMIF(tblAkis[KaynakKartId],$A193,tblAkis[SiparisMiktari]))</f>
        <v/>
      </c>
      <c r="H193" s="26">
        <f>IF($A193="","",IFERROR(AVERAGEIF(tblAkis[KaynakKartId],$A193,tblAkis[KapasiteYukuPct]),0))</f>
        <v/>
      </c>
    </row>
    <row r="194">
      <c r="A194" s="24" t="n"/>
      <c r="B194" s="24" t="n"/>
      <c r="C194" s="24" t="n"/>
      <c r="D194" s="25" t="n"/>
      <c r="E194" s="25" t="n"/>
      <c r="F194" s="24" t="n"/>
      <c r="G194" s="26">
        <f>IF($A194="","",SUMIF(tblAkis[KaynakKartId],$A194,tblAkis[SiparisMiktari]))</f>
        <v/>
      </c>
      <c r="H194" s="26">
        <f>IF($A194="","",IFERROR(AVERAGEIF(tblAkis[KaynakKartId],$A194,tblAkis[KapasiteYukuPct]),0))</f>
        <v/>
      </c>
    </row>
    <row r="195">
      <c r="A195" s="24" t="n"/>
      <c r="B195" s="24" t="n"/>
      <c r="C195" s="24" t="n"/>
      <c r="D195" s="25" t="n"/>
      <c r="E195" s="25" t="n"/>
      <c r="F195" s="24" t="n"/>
      <c r="G195" s="26">
        <f>IF($A195="","",SUMIF(tblAkis[KaynakKartId],$A195,tblAkis[SiparisMiktari]))</f>
        <v/>
      </c>
      <c r="H195" s="26">
        <f>IF($A195="","",IFERROR(AVERAGEIF(tblAkis[KaynakKartId],$A195,tblAkis[KapasiteYukuPct]),0))</f>
        <v/>
      </c>
    </row>
    <row r="196">
      <c r="A196" s="24" t="n"/>
      <c r="B196" s="24" t="n"/>
      <c r="C196" s="24" t="n"/>
      <c r="D196" s="25" t="n"/>
      <c r="E196" s="25" t="n"/>
      <c r="F196" s="24" t="n"/>
      <c r="G196" s="26">
        <f>IF($A196="","",SUMIF(tblAkis[KaynakKartId],$A196,tblAkis[SiparisMiktari]))</f>
        <v/>
      </c>
      <c r="H196" s="26">
        <f>IF($A196="","",IFERROR(AVERAGEIF(tblAkis[KaynakKartId],$A196,tblAkis[KapasiteYukuPct]),0))</f>
        <v/>
      </c>
    </row>
    <row r="197">
      <c r="A197" s="24" t="n"/>
      <c r="B197" s="24" t="n"/>
      <c r="C197" s="24" t="n"/>
      <c r="D197" s="25" t="n"/>
      <c r="E197" s="25" t="n"/>
      <c r="F197" s="24" t="n"/>
      <c r="G197" s="26">
        <f>IF($A197="","",SUMIF(tblAkis[KaynakKartId],$A197,tblAkis[SiparisMiktari]))</f>
        <v/>
      </c>
      <c r="H197" s="26">
        <f>IF($A197="","",IFERROR(AVERAGEIF(tblAkis[KaynakKartId],$A197,tblAkis[KapasiteYukuPct]),0))</f>
        <v/>
      </c>
    </row>
    <row r="198">
      <c r="A198" s="24" t="n"/>
      <c r="B198" s="24" t="n"/>
      <c r="C198" s="24" t="n"/>
      <c r="D198" s="25" t="n"/>
      <c r="E198" s="25" t="n"/>
      <c r="F198" s="24" t="n"/>
      <c r="G198" s="26">
        <f>IF($A198="","",SUMIF(tblAkis[KaynakKartId],$A198,tblAkis[SiparisMiktari]))</f>
        <v/>
      </c>
      <c r="H198" s="26">
        <f>IF($A198="","",IFERROR(AVERAGEIF(tblAkis[KaynakKartId],$A198,tblAkis[KapasiteYukuPct]),0))</f>
        <v/>
      </c>
    </row>
    <row r="199">
      <c r="A199" s="24" t="n"/>
      <c r="B199" s="24" t="n"/>
      <c r="C199" s="24" t="n"/>
      <c r="D199" s="25" t="n"/>
      <c r="E199" s="25" t="n"/>
      <c r="F199" s="24" t="n"/>
      <c r="G199" s="26">
        <f>IF($A199="","",SUMIF(tblAkis[KaynakKartId],$A199,tblAkis[SiparisMiktari]))</f>
        <v/>
      </c>
      <c r="H199" s="26">
        <f>IF($A199="","",IFERROR(AVERAGEIF(tblAkis[KaynakKartId],$A199,tblAkis[KapasiteYukuPct]),0))</f>
        <v/>
      </c>
    </row>
    <row r="200">
      <c r="A200" s="24" t="n"/>
      <c r="B200" s="24" t="n"/>
      <c r="C200" s="24" t="n"/>
      <c r="D200" s="25" t="n"/>
      <c r="E200" s="25" t="n"/>
      <c r="F200" s="24" t="n"/>
      <c r="G200" s="26">
        <f>IF($A200="","",SUMIF(tblAkis[KaynakKartId],$A200,tblAkis[SiparisMiktari]))</f>
        <v/>
      </c>
      <c r="H200" s="26">
        <f>IF($A200="","",IFERROR(AVERAGEIF(tblAkis[KaynakKartId],$A200,tblAkis[KapasiteYukuPct]),0))</f>
        <v/>
      </c>
    </row>
    <row r="201">
      <c r="A201" s="24" t="n"/>
      <c r="B201" s="24" t="n"/>
      <c r="C201" s="24" t="n"/>
      <c r="D201" s="25" t="n"/>
      <c r="E201" s="25" t="n"/>
      <c r="F201" s="24" t="n"/>
      <c r="G201" s="26">
        <f>IF($A201="","",SUMIF(tblAkis[KaynakKartId],$A201,tblAkis[SiparisMiktari]))</f>
        <v/>
      </c>
      <c r="H201" s="26">
        <f>IF($A201="","",IFERROR(AVERAGEIF(tblAkis[KaynakKartId],$A201,tblAkis[KapasiteYukuPct]),0))</f>
        <v/>
      </c>
    </row>
    <row r="202">
      <c r="A202" s="24" t="n"/>
      <c r="B202" s="24" t="n"/>
      <c r="C202" s="24" t="n"/>
      <c r="D202" s="25" t="n"/>
      <c r="E202" s="25" t="n"/>
      <c r="F202" s="24" t="n"/>
      <c r="G202" s="26">
        <f>IF($A202="","",SUMIF(tblAkis[KaynakKartId],$A202,tblAkis[SiparisMiktari]))</f>
        <v/>
      </c>
      <c r="H202" s="26">
        <f>IF($A202="","",IFERROR(AVERAGEIF(tblAkis[KaynakKartId],$A202,tblAkis[KapasiteYukuPct]),0))</f>
        <v/>
      </c>
    </row>
    <row r="203">
      <c r="A203" s="24" t="n"/>
      <c r="B203" s="24" t="n"/>
      <c r="C203" s="24" t="n"/>
      <c r="D203" s="25" t="n"/>
      <c r="E203" s="25" t="n"/>
      <c r="F203" s="24" t="n"/>
      <c r="G203" s="26">
        <f>IF($A203="","",SUMIF(tblAkis[KaynakKartId],$A203,tblAkis[SiparisMiktari]))</f>
        <v/>
      </c>
      <c r="H203" s="26">
        <f>IF($A203="","",IFERROR(AVERAGEIF(tblAkis[KaynakKartId],$A203,tblAkis[KapasiteYukuPct]),0))</f>
        <v/>
      </c>
    </row>
    <row r="204">
      <c r="A204" s="24" t="n"/>
      <c r="B204" s="24" t="n"/>
      <c r="C204" s="24" t="n"/>
      <c r="D204" s="25" t="n"/>
      <c r="E204" s="25" t="n"/>
      <c r="F204" s="24" t="n"/>
      <c r="G204" s="26">
        <f>IF($A204="","",SUMIF(tblAkis[KaynakKartId],$A204,tblAkis[SiparisMiktari]))</f>
        <v/>
      </c>
      <c r="H204" s="26">
        <f>IF($A204="","",IFERROR(AVERAGEIF(tblAkis[KaynakKartId],$A204,tblAkis[KapasiteYukuPct]),0))</f>
        <v/>
      </c>
    </row>
    <row r="205">
      <c r="A205" s="24" t="n"/>
      <c r="B205" s="24" t="n"/>
      <c r="C205" s="24" t="n"/>
      <c r="D205" s="25" t="n"/>
      <c r="E205" s="25" t="n"/>
      <c r="F205" s="24" t="n"/>
      <c r="G205" s="26">
        <f>IF($A205="","",SUMIF(tblAkis[KaynakKartId],$A205,tblAkis[SiparisMiktari]))</f>
        <v/>
      </c>
      <c r="H205" s="26">
        <f>IF($A205="","",IFERROR(AVERAGEIF(tblAkis[KaynakKartId],$A205,tblAkis[KapasiteYukuPct]),0))</f>
        <v/>
      </c>
    </row>
    <row r="206">
      <c r="A206" s="24" t="n"/>
      <c r="B206" s="24" t="n"/>
      <c r="C206" s="24" t="n"/>
      <c r="D206" s="25" t="n"/>
      <c r="E206" s="25" t="n"/>
      <c r="F206" s="24" t="n"/>
      <c r="G206" s="26">
        <f>IF($A206="","",SUMIF(tblAkis[KaynakKartId],$A206,tblAkis[SiparisMiktari]))</f>
        <v/>
      </c>
      <c r="H206" s="26">
        <f>IF($A206="","",IFERROR(AVERAGEIF(tblAkis[KaynakKartId],$A206,tblAkis[KapasiteYukuPct]),0))</f>
        <v/>
      </c>
    </row>
    <row r="207">
      <c r="A207" s="24" t="n"/>
      <c r="B207" s="24" t="n"/>
      <c r="C207" s="24" t="n"/>
      <c r="D207" s="25" t="n"/>
      <c r="E207" s="25" t="n"/>
      <c r="F207" s="24" t="n"/>
      <c r="G207" s="26">
        <f>IF($A207="","",SUMIF(tblAkis[KaynakKartId],$A207,tblAkis[SiparisMiktari]))</f>
        <v/>
      </c>
      <c r="H207" s="26">
        <f>IF($A207="","",IFERROR(AVERAGEIF(tblAkis[KaynakKartId],$A207,tblAkis[KapasiteYukuPct]),0))</f>
        <v/>
      </c>
    </row>
    <row r="208">
      <c r="A208" s="24" t="n"/>
      <c r="B208" s="24" t="n"/>
      <c r="C208" s="24" t="n"/>
      <c r="D208" s="25" t="n"/>
      <c r="E208" s="25" t="n"/>
      <c r="F208" s="24" t="n"/>
      <c r="G208" s="26">
        <f>IF($A208="","",SUMIF(tblAkis[KaynakKartId],$A208,tblAkis[SiparisMiktari]))</f>
        <v/>
      </c>
      <c r="H208" s="26">
        <f>IF($A208="","",IFERROR(AVERAGEIF(tblAkis[KaynakKartId],$A208,tblAkis[KapasiteYukuPct]),0))</f>
        <v/>
      </c>
    </row>
    <row r="209">
      <c r="A209" s="24" t="n"/>
      <c r="B209" s="24" t="n"/>
      <c r="C209" s="24" t="n"/>
      <c r="D209" s="25" t="n"/>
      <c r="E209" s="25" t="n"/>
      <c r="F209" s="24" t="n"/>
      <c r="G209" s="26">
        <f>IF($A209="","",SUMIF(tblAkis[KaynakKartId],$A209,tblAkis[SiparisMiktari]))</f>
        <v/>
      </c>
      <c r="H209" s="26">
        <f>IF($A209="","",IFERROR(AVERAGEIF(tblAkis[KaynakKartId],$A209,tblAkis[KapasiteYukuPct]),0))</f>
        <v/>
      </c>
    </row>
    <row r="210">
      <c r="A210" s="24" t="n"/>
      <c r="B210" s="24" t="n"/>
      <c r="C210" s="24" t="n"/>
      <c r="D210" s="25" t="n"/>
      <c r="E210" s="25" t="n"/>
      <c r="F210" s="24" t="n"/>
      <c r="G210" s="26">
        <f>IF($A210="","",SUMIF(tblAkis[KaynakKartId],$A210,tblAkis[SiparisMiktari]))</f>
        <v/>
      </c>
      <c r="H210" s="26">
        <f>IF($A210="","",IFERROR(AVERAGEIF(tblAkis[KaynakKartId],$A210,tblAkis[KapasiteYukuPct]),0))</f>
        <v/>
      </c>
    </row>
    <row r="211">
      <c r="A211" s="24" t="n"/>
      <c r="B211" s="24" t="n"/>
      <c r="C211" s="24" t="n"/>
      <c r="D211" s="25" t="n"/>
      <c r="E211" s="25" t="n"/>
      <c r="F211" s="24" t="n"/>
      <c r="G211" s="26">
        <f>IF($A211="","",SUMIF(tblAkis[KaynakKartId],$A211,tblAkis[SiparisMiktari]))</f>
        <v/>
      </c>
      <c r="H211" s="26">
        <f>IF($A211="","",IFERROR(AVERAGEIF(tblAkis[KaynakKartId],$A211,tblAkis[KapasiteYukuPct]),0))</f>
        <v/>
      </c>
    </row>
    <row r="212">
      <c r="A212" s="24" t="n"/>
      <c r="B212" s="24" t="n"/>
      <c r="C212" s="24" t="n"/>
      <c r="D212" s="25" t="n"/>
      <c r="E212" s="25" t="n"/>
      <c r="F212" s="24" t="n"/>
      <c r="G212" s="26">
        <f>IF($A212="","",SUMIF(tblAkis[KaynakKartId],$A212,tblAkis[SiparisMiktari]))</f>
        <v/>
      </c>
      <c r="H212" s="26">
        <f>IF($A212="","",IFERROR(AVERAGEIF(tblAkis[KaynakKartId],$A212,tblAkis[KapasiteYukuPct]),0))</f>
        <v/>
      </c>
    </row>
    <row r="213">
      <c r="A213" s="24" t="n"/>
      <c r="B213" s="24" t="n"/>
      <c r="C213" s="24" t="n"/>
      <c r="D213" s="25" t="n"/>
      <c r="E213" s="25" t="n"/>
      <c r="F213" s="24" t="n"/>
      <c r="G213" s="26">
        <f>IF($A213="","",SUMIF(tblAkis[KaynakKartId],$A213,tblAkis[SiparisMiktari]))</f>
        <v/>
      </c>
      <c r="H213" s="26">
        <f>IF($A213="","",IFERROR(AVERAGEIF(tblAkis[KaynakKartId],$A213,tblAkis[KapasiteYukuPct]),0))</f>
        <v/>
      </c>
    </row>
    <row r="214">
      <c r="A214" s="24" t="n"/>
      <c r="B214" s="24" t="n"/>
      <c r="C214" s="24" t="n"/>
      <c r="D214" s="25" t="n"/>
      <c r="E214" s="25" t="n"/>
      <c r="F214" s="24" t="n"/>
      <c r="G214" s="26">
        <f>IF($A214="","",SUMIF(tblAkis[KaynakKartId],$A214,tblAkis[SiparisMiktari]))</f>
        <v/>
      </c>
      <c r="H214" s="26">
        <f>IF($A214="","",IFERROR(AVERAGEIF(tblAkis[KaynakKartId],$A214,tblAkis[KapasiteYukuPct]),0))</f>
        <v/>
      </c>
    </row>
    <row r="215">
      <c r="A215" s="24" t="n"/>
      <c r="B215" s="24" t="n"/>
      <c r="C215" s="24" t="n"/>
      <c r="D215" s="25" t="n"/>
      <c r="E215" s="25" t="n"/>
      <c r="F215" s="24" t="n"/>
      <c r="G215" s="26">
        <f>IF($A215="","",SUMIF(tblAkis[KaynakKartId],$A215,tblAkis[SiparisMiktari]))</f>
        <v/>
      </c>
      <c r="H215" s="26">
        <f>IF($A215="","",IFERROR(AVERAGEIF(tblAkis[KaynakKartId],$A215,tblAkis[KapasiteYukuPct]),0))</f>
        <v/>
      </c>
    </row>
    <row r="216">
      <c r="A216" s="24" t="n"/>
      <c r="B216" s="24" t="n"/>
      <c r="C216" s="24" t="n"/>
      <c r="D216" s="25" t="n"/>
      <c r="E216" s="25" t="n"/>
      <c r="F216" s="24" t="n"/>
      <c r="G216" s="26">
        <f>IF($A216="","",SUMIF(tblAkis[KaynakKartId],$A216,tblAkis[SiparisMiktari]))</f>
        <v/>
      </c>
      <c r="H216" s="26">
        <f>IF($A216="","",IFERROR(AVERAGEIF(tblAkis[KaynakKartId],$A216,tblAkis[KapasiteYukuPct]),0))</f>
        <v/>
      </c>
    </row>
    <row r="217">
      <c r="A217" s="24" t="n"/>
      <c r="B217" s="24" t="n"/>
      <c r="C217" s="24" t="n"/>
      <c r="D217" s="25" t="n"/>
      <c r="E217" s="25" t="n"/>
      <c r="F217" s="24" t="n"/>
      <c r="G217" s="26">
        <f>IF($A217="","",SUMIF(tblAkis[KaynakKartId],$A217,tblAkis[SiparisMiktari]))</f>
        <v/>
      </c>
      <c r="H217" s="26">
        <f>IF($A217="","",IFERROR(AVERAGEIF(tblAkis[KaynakKartId],$A217,tblAkis[KapasiteYukuPct]),0))</f>
        <v/>
      </c>
    </row>
    <row r="218">
      <c r="A218" s="24" t="n"/>
      <c r="B218" s="24" t="n"/>
      <c r="C218" s="24" t="n"/>
      <c r="D218" s="25" t="n"/>
      <c r="E218" s="25" t="n"/>
      <c r="F218" s="24" t="n"/>
      <c r="G218" s="26">
        <f>IF($A218="","",SUMIF(tblAkis[KaynakKartId],$A218,tblAkis[SiparisMiktari]))</f>
        <v/>
      </c>
      <c r="H218" s="26">
        <f>IF($A218="","",IFERROR(AVERAGEIF(tblAkis[KaynakKartId],$A218,tblAkis[KapasiteYukuPct]),0))</f>
        <v/>
      </c>
    </row>
    <row r="219">
      <c r="A219" s="24" t="n"/>
      <c r="B219" s="24" t="n"/>
      <c r="C219" s="24" t="n"/>
      <c r="D219" s="25" t="n"/>
      <c r="E219" s="25" t="n"/>
      <c r="F219" s="24" t="n"/>
      <c r="G219" s="26">
        <f>IF($A219="","",SUMIF(tblAkis[KaynakKartId],$A219,tblAkis[SiparisMiktari]))</f>
        <v/>
      </c>
      <c r="H219" s="26">
        <f>IF($A219="","",IFERROR(AVERAGEIF(tblAkis[KaynakKartId],$A219,tblAkis[KapasiteYukuPct]),0))</f>
        <v/>
      </c>
    </row>
    <row r="220">
      <c r="A220" s="24" t="n"/>
      <c r="B220" s="24" t="n"/>
      <c r="C220" s="24" t="n"/>
      <c r="D220" s="25" t="n"/>
      <c r="E220" s="25" t="n"/>
      <c r="F220" s="24" t="n"/>
      <c r="G220" s="26">
        <f>IF($A220="","",SUMIF(tblAkis[KaynakKartId],$A220,tblAkis[SiparisMiktari]))</f>
        <v/>
      </c>
      <c r="H220" s="26">
        <f>IF($A220="","",IFERROR(AVERAGEIF(tblAkis[KaynakKartId],$A220,tblAkis[KapasiteYukuPct]),0))</f>
        <v/>
      </c>
    </row>
    <row r="221">
      <c r="A221" s="24" t="n"/>
      <c r="B221" s="24" t="n"/>
      <c r="C221" s="24" t="n"/>
      <c r="D221" s="25" t="n"/>
      <c r="E221" s="25" t="n"/>
      <c r="F221" s="24" t="n"/>
      <c r="G221" s="26">
        <f>IF($A221="","",SUMIF(tblAkis[KaynakKartId],$A221,tblAkis[SiparisMiktari]))</f>
        <v/>
      </c>
      <c r="H221" s="26">
        <f>IF($A221="","",IFERROR(AVERAGEIF(tblAkis[KaynakKartId],$A221,tblAkis[KapasiteYukuPct]),0))</f>
        <v/>
      </c>
    </row>
    <row r="222">
      <c r="A222" s="24" t="n"/>
      <c r="B222" s="24" t="n"/>
      <c r="C222" s="24" t="n"/>
      <c r="D222" s="25" t="n"/>
      <c r="E222" s="25" t="n"/>
      <c r="F222" s="24" t="n"/>
      <c r="G222" s="26">
        <f>IF($A222="","",SUMIF(tblAkis[KaynakKartId],$A222,tblAkis[SiparisMiktari]))</f>
        <v/>
      </c>
      <c r="H222" s="26">
        <f>IF($A222="","",IFERROR(AVERAGEIF(tblAkis[KaynakKartId],$A222,tblAkis[KapasiteYukuPct]),0))</f>
        <v/>
      </c>
    </row>
    <row r="223">
      <c r="A223" s="24" t="n"/>
      <c r="B223" s="24" t="n"/>
      <c r="C223" s="24" t="n"/>
      <c r="D223" s="25" t="n"/>
      <c r="E223" s="25" t="n"/>
      <c r="F223" s="24" t="n"/>
      <c r="G223" s="26">
        <f>IF($A223="","",SUMIF(tblAkis[KaynakKartId],$A223,tblAkis[SiparisMiktari]))</f>
        <v/>
      </c>
      <c r="H223" s="26">
        <f>IF($A223="","",IFERROR(AVERAGEIF(tblAkis[KaynakKartId],$A223,tblAkis[KapasiteYukuPct]),0))</f>
        <v/>
      </c>
    </row>
    <row r="224">
      <c r="A224" s="24" t="n"/>
      <c r="B224" s="24" t="n"/>
      <c r="C224" s="24" t="n"/>
      <c r="D224" s="25" t="n"/>
      <c r="E224" s="25" t="n"/>
      <c r="F224" s="24" t="n"/>
      <c r="G224" s="26">
        <f>IF($A224="","",SUMIF(tblAkis[KaynakKartId],$A224,tblAkis[SiparisMiktari]))</f>
        <v/>
      </c>
      <c r="H224" s="26">
        <f>IF($A224="","",IFERROR(AVERAGEIF(tblAkis[KaynakKartId],$A224,tblAkis[KapasiteYukuPct]),0))</f>
        <v/>
      </c>
    </row>
    <row r="225">
      <c r="A225" s="24" t="n"/>
      <c r="B225" s="24" t="n"/>
      <c r="C225" s="24" t="n"/>
      <c r="D225" s="25" t="n"/>
      <c r="E225" s="25" t="n"/>
      <c r="F225" s="24" t="n"/>
      <c r="G225" s="26">
        <f>IF($A225="","",SUMIF(tblAkis[KaynakKartId],$A225,tblAkis[SiparisMiktari]))</f>
        <v/>
      </c>
      <c r="H225" s="26">
        <f>IF($A225="","",IFERROR(AVERAGEIF(tblAkis[KaynakKartId],$A225,tblAkis[KapasiteYukuPct]),0))</f>
        <v/>
      </c>
    </row>
    <row r="226">
      <c r="A226" s="24" t="n"/>
      <c r="B226" s="24" t="n"/>
      <c r="C226" s="24" t="n"/>
      <c r="D226" s="25" t="n"/>
      <c r="E226" s="25" t="n"/>
      <c r="F226" s="24" t="n"/>
      <c r="G226" s="26">
        <f>IF($A226="","",SUMIF(tblAkis[KaynakKartId],$A226,tblAkis[SiparisMiktari]))</f>
        <v/>
      </c>
      <c r="H226" s="26">
        <f>IF($A226="","",IFERROR(AVERAGEIF(tblAkis[KaynakKartId],$A226,tblAkis[KapasiteYukuPct]),0))</f>
        <v/>
      </c>
    </row>
    <row r="227">
      <c r="A227" s="24" t="n"/>
      <c r="B227" s="24" t="n"/>
      <c r="C227" s="24" t="n"/>
      <c r="D227" s="25" t="n"/>
      <c r="E227" s="25" t="n"/>
      <c r="F227" s="24" t="n"/>
      <c r="G227" s="26">
        <f>IF($A227="","",SUMIF(tblAkis[KaynakKartId],$A227,tblAkis[SiparisMiktari]))</f>
        <v/>
      </c>
      <c r="H227" s="26">
        <f>IF($A227="","",IFERROR(AVERAGEIF(tblAkis[KaynakKartId],$A227,tblAkis[KapasiteYukuPct]),0))</f>
        <v/>
      </c>
    </row>
    <row r="228">
      <c r="A228" s="24" t="n"/>
      <c r="B228" s="24" t="n"/>
      <c r="C228" s="24" t="n"/>
      <c r="D228" s="25" t="n"/>
      <c r="E228" s="25" t="n"/>
      <c r="F228" s="24" t="n"/>
      <c r="G228" s="26">
        <f>IF($A228="","",SUMIF(tblAkis[KaynakKartId],$A228,tblAkis[SiparisMiktari]))</f>
        <v/>
      </c>
      <c r="H228" s="26">
        <f>IF($A228="","",IFERROR(AVERAGEIF(tblAkis[KaynakKartId],$A228,tblAkis[KapasiteYukuPct]),0))</f>
        <v/>
      </c>
    </row>
    <row r="229">
      <c r="A229" s="24" t="n"/>
      <c r="B229" s="24" t="n"/>
      <c r="C229" s="24" t="n"/>
      <c r="D229" s="25" t="n"/>
      <c r="E229" s="25" t="n"/>
      <c r="F229" s="24" t="n"/>
      <c r="G229" s="26">
        <f>IF($A229="","",SUMIF(tblAkis[KaynakKartId],$A229,tblAkis[SiparisMiktari]))</f>
        <v/>
      </c>
      <c r="H229" s="26">
        <f>IF($A229="","",IFERROR(AVERAGEIF(tblAkis[KaynakKartId],$A229,tblAkis[KapasiteYukuPct]),0))</f>
        <v/>
      </c>
    </row>
    <row r="230">
      <c r="A230" s="24" t="n"/>
      <c r="B230" s="24" t="n"/>
      <c r="C230" s="24" t="n"/>
      <c r="D230" s="25" t="n"/>
      <c r="E230" s="25" t="n"/>
      <c r="F230" s="24" t="n"/>
      <c r="G230" s="26">
        <f>IF($A230="","",SUMIF(tblAkis[KaynakKartId],$A230,tblAkis[SiparisMiktari]))</f>
        <v/>
      </c>
      <c r="H230" s="26">
        <f>IF($A230="","",IFERROR(AVERAGEIF(tblAkis[KaynakKartId],$A230,tblAkis[KapasiteYukuPct]),0))</f>
        <v/>
      </c>
    </row>
    <row r="231">
      <c r="A231" s="24" t="n"/>
      <c r="B231" s="24" t="n"/>
      <c r="C231" s="24" t="n"/>
      <c r="D231" s="25" t="n"/>
      <c r="E231" s="25" t="n"/>
      <c r="F231" s="24" t="n"/>
      <c r="G231" s="26">
        <f>IF($A231="","",SUMIF(tblAkis[KaynakKartId],$A231,tblAkis[SiparisMiktari]))</f>
        <v/>
      </c>
      <c r="H231" s="26">
        <f>IF($A231="","",IFERROR(AVERAGEIF(tblAkis[KaynakKartId],$A231,tblAkis[KapasiteYukuPct]),0))</f>
        <v/>
      </c>
    </row>
    <row r="232">
      <c r="A232" s="24" t="n"/>
      <c r="B232" s="24" t="n"/>
      <c r="C232" s="24" t="n"/>
      <c r="D232" s="25" t="n"/>
      <c r="E232" s="25" t="n"/>
      <c r="F232" s="24" t="n"/>
      <c r="G232" s="26">
        <f>IF($A232="","",SUMIF(tblAkis[KaynakKartId],$A232,tblAkis[SiparisMiktari]))</f>
        <v/>
      </c>
      <c r="H232" s="26">
        <f>IF($A232="","",IFERROR(AVERAGEIF(tblAkis[KaynakKartId],$A232,tblAkis[KapasiteYukuPct]),0))</f>
        <v/>
      </c>
    </row>
    <row r="233">
      <c r="A233" s="24" t="n"/>
      <c r="B233" s="24" t="n"/>
      <c r="C233" s="24" t="n"/>
      <c r="D233" s="25" t="n"/>
      <c r="E233" s="25" t="n"/>
      <c r="F233" s="24" t="n"/>
      <c r="G233" s="26">
        <f>IF($A233="","",SUMIF(tblAkis[KaynakKartId],$A233,tblAkis[SiparisMiktari]))</f>
        <v/>
      </c>
      <c r="H233" s="26">
        <f>IF($A233="","",IFERROR(AVERAGEIF(tblAkis[KaynakKartId],$A233,tblAkis[KapasiteYukuPct]),0))</f>
        <v/>
      </c>
    </row>
    <row r="234">
      <c r="A234" s="24" t="n"/>
      <c r="B234" s="24" t="n"/>
      <c r="C234" s="24" t="n"/>
      <c r="D234" s="25" t="n"/>
      <c r="E234" s="25" t="n"/>
      <c r="F234" s="24" t="n"/>
      <c r="G234" s="26">
        <f>IF($A234="","",SUMIF(tblAkis[KaynakKartId],$A234,tblAkis[SiparisMiktari]))</f>
        <v/>
      </c>
      <c r="H234" s="26">
        <f>IF($A234="","",IFERROR(AVERAGEIF(tblAkis[KaynakKartId],$A234,tblAkis[KapasiteYukuPct]),0))</f>
        <v/>
      </c>
    </row>
    <row r="235">
      <c r="A235" s="24" t="n"/>
      <c r="B235" s="24" t="n"/>
      <c r="C235" s="24" t="n"/>
      <c r="D235" s="25" t="n"/>
      <c r="E235" s="25" t="n"/>
      <c r="F235" s="24" t="n"/>
      <c r="G235" s="26">
        <f>IF($A235="","",SUMIF(tblAkis[KaynakKartId],$A235,tblAkis[SiparisMiktari]))</f>
        <v/>
      </c>
      <c r="H235" s="26">
        <f>IF($A235="","",IFERROR(AVERAGEIF(tblAkis[KaynakKartId],$A235,tblAkis[KapasiteYukuPct]),0))</f>
        <v/>
      </c>
    </row>
    <row r="236">
      <c r="A236" s="24" t="n"/>
      <c r="B236" s="24" t="n"/>
      <c r="C236" s="24" t="n"/>
      <c r="D236" s="25" t="n"/>
      <c r="E236" s="25" t="n"/>
      <c r="F236" s="24" t="n"/>
      <c r="G236" s="26">
        <f>IF($A236="","",SUMIF(tblAkis[KaynakKartId],$A236,tblAkis[SiparisMiktari]))</f>
        <v/>
      </c>
      <c r="H236" s="26">
        <f>IF($A236="","",IFERROR(AVERAGEIF(tblAkis[KaynakKartId],$A236,tblAkis[KapasiteYukuPct]),0))</f>
        <v/>
      </c>
    </row>
    <row r="237">
      <c r="A237" s="24" t="n"/>
      <c r="B237" s="24" t="n"/>
      <c r="C237" s="24" t="n"/>
      <c r="D237" s="25" t="n"/>
      <c r="E237" s="25" t="n"/>
      <c r="F237" s="24" t="n"/>
      <c r="G237" s="26">
        <f>IF($A237="","",SUMIF(tblAkis[KaynakKartId],$A237,tblAkis[SiparisMiktari]))</f>
        <v/>
      </c>
      <c r="H237" s="26">
        <f>IF($A237="","",IFERROR(AVERAGEIF(tblAkis[KaynakKartId],$A237,tblAkis[KapasiteYukuPct]),0))</f>
        <v/>
      </c>
    </row>
    <row r="238">
      <c r="A238" s="24" t="n"/>
      <c r="B238" s="24" t="n"/>
      <c r="C238" s="24" t="n"/>
      <c r="D238" s="25" t="n"/>
      <c r="E238" s="25" t="n"/>
      <c r="F238" s="24" t="n"/>
      <c r="G238" s="26">
        <f>IF($A238="","",SUMIF(tblAkis[KaynakKartId],$A238,tblAkis[SiparisMiktari]))</f>
        <v/>
      </c>
      <c r="H238" s="26">
        <f>IF($A238="","",IFERROR(AVERAGEIF(tblAkis[KaynakKartId],$A238,tblAkis[KapasiteYukuPct]),0))</f>
        <v/>
      </c>
    </row>
    <row r="239">
      <c r="A239" s="24" t="n"/>
      <c r="B239" s="24" t="n"/>
      <c r="C239" s="24" t="n"/>
      <c r="D239" s="25" t="n"/>
      <c r="E239" s="25" t="n"/>
      <c r="F239" s="24" t="n"/>
      <c r="G239" s="26">
        <f>IF($A239="","",SUMIF(tblAkis[KaynakKartId],$A239,tblAkis[SiparisMiktari]))</f>
        <v/>
      </c>
      <c r="H239" s="26">
        <f>IF($A239="","",IFERROR(AVERAGEIF(tblAkis[KaynakKartId],$A239,tblAkis[KapasiteYukuPct]),0))</f>
        <v/>
      </c>
    </row>
    <row r="240">
      <c r="A240" s="24" t="n"/>
      <c r="B240" s="24" t="n"/>
      <c r="C240" s="24" t="n"/>
      <c r="D240" s="25" t="n"/>
      <c r="E240" s="25" t="n"/>
      <c r="F240" s="24" t="n"/>
      <c r="G240" s="26">
        <f>IF($A240="","",SUMIF(tblAkis[KaynakKartId],$A240,tblAkis[SiparisMiktari]))</f>
        <v/>
      </c>
      <c r="H240" s="26">
        <f>IF($A240="","",IFERROR(AVERAGEIF(tblAkis[KaynakKartId],$A240,tblAkis[KapasiteYukuPct]),0))</f>
        <v/>
      </c>
    </row>
    <row r="241">
      <c r="A241" s="24" t="n"/>
      <c r="B241" s="24" t="n"/>
      <c r="C241" s="24" t="n"/>
      <c r="D241" s="25" t="n"/>
      <c r="E241" s="25" t="n"/>
      <c r="F241" s="24" t="n"/>
      <c r="G241" s="26">
        <f>IF($A241="","",SUMIF(tblAkis[KaynakKartId],$A241,tblAkis[SiparisMiktari]))</f>
        <v/>
      </c>
      <c r="H241" s="26">
        <f>IF($A241="","",IFERROR(AVERAGEIF(tblAkis[KaynakKartId],$A241,tblAkis[KapasiteYukuPct]),0))</f>
        <v/>
      </c>
    </row>
    <row r="242">
      <c r="A242" s="24" t="n"/>
      <c r="B242" s="24" t="n"/>
      <c r="C242" s="24" t="n"/>
      <c r="D242" s="25" t="n"/>
      <c r="E242" s="25" t="n"/>
      <c r="F242" s="24" t="n"/>
      <c r="G242" s="26">
        <f>IF($A242="","",SUMIF(tblAkis[KaynakKartId],$A242,tblAkis[SiparisMiktari]))</f>
        <v/>
      </c>
      <c r="H242" s="26">
        <f>IF($A242="","",IFERROR(AVERAGEIF(tblAkis[KaynakKartId],$A242,tblAkis[KapasiteYukuPct]),0))</f>
        <v/>
      </c>
    </row>
    <row r="243">
      <c r="A243" s="24" t="n"/>
      <c r="B243" s="24" t="n"/>
      <c r="C243" s="24" t="n"/>
      <c r="D243" s="25" t="n"/>
      <c r="E243" s="25" t="n"/>
      <c r="F243" s="24" t="n"/>
      <c r="G243" s="26">
        <f>IF($A243="","",SUMIF(tblAkis[KaynakKartId],$A243,tblAkis[SiparisMiktari]))</f>
        <v/>
      </c>
      <c r="H243" s="26">
        <f>IF($A243="","",IFERROR(AVERAGEIF(tblAkis[KaynakKartId],$A243,tblAkis[KapasiteYukuPct]),0))</f>
        <v/>
      </c>
    </row>
    <row r="244">
      <c r="A244" s="24" t="n"/>
      <c r="B244" s="24" t="n"/>
      <c r="C244" s="24" t="n"/>
      <c r="D244" s="25" t="n"/>
      <c r="E244" s="25" t="n"/>
      <c r="F244" s="24" t="n"/>
      <c r="G244" s="26">
        <f>IF($A244="","",SUMIF(tblAkis[KaynakKartId],$A244,tblAkis[SiparisMiktari]))</f>
        <v/>
      </c>
      <c r="H244" s="26">
        <f>IF($A244="","",IFERROR(AVERAGEIF(tblAkis[KaynakKartId],$A244,tblAkis[KapasiteYukuPct]),0))</f>
        <v/>
      </c>
    </row>
    <row r="245">
      <c r="A245" s="24" t="n"/>
      <c r="B245" s="24" t="n"/>
      <c r="C245" s="24" t="n"/>
      <c r="D245" s="25" t="n"/>
      <c r="E245" s="25" t="n"/>
      <c r="F245" s="24" t="n"/>
      <c r="G245" s="26">
        <f>IF($A245="","",SUMIF(tblAkis[KaynakKartId],$A245,tblAkis[SiparisMiktari]))</f>
        <v/>
      </c>
      <c r="H245" s="26">
        <f>IF($A245="","",IFERROR(AVERAGEIF(tblAkis[KaynakKartId],$A245,tblAkis[KapasiteYukuPct]),0))</f>
        <v/>
      </c>
    </row>
    <row r="246">
      <c r="A246" s="24" t="n"/>
      <c r="B246" s="24" t="n"/>
      <c r="C246" s="24" t="n"/>
      <c r="D246" s="25" t="n"/>
      <c r="E246" s="25" t="n"/>
      <c r="F246" s="24" t="n"/>
      <c r="G246" s="26">
        <f>IF($A246="","",SUMIF(tblAkis[KaynakKartId],$A246,tblAkis[SiparisMiktari]))</f>
        <v/>
      </c>
      <c r="H246" s="26">
        <f>IF($A246="","",IFERROR(AVERAGEIF(tblAkis[KaynakKartId],$A246,tblAkis[KapasiteYukuPct]),0))</f>
        <v/>
      </c>
    </row>
    <row r="247">
      <c r="A247" s="24" t="n"/>
      <c r="B247" s="24" t="n"/>
      <c r="C247" s="24" t="n"/>
      <c r="D247" s="25" t="n"/>
      <c r="E247" s="25" t="n"/>
      <c r="F247" s="24" t="n"/>
      <c r="G247" s="26">
        <f>IF($A247="","",SUMIF(tblAkis[KaynakKartId],$A247,tblAkis[SiparisMiktari]))</f>
        <v/>
      </c>
      <c r="H247" s="26">
        <f>IF($A247="","",IFERROR(AVERAGEIF(tblAkis[KaynakKartId],$A247,tblAkis[KapasiteYukuPct]),0))</f>
        <v/>
      </c>
    </row>
    <row r="248">
      <c r="A248" s="24" t="n"/>
      <c r="B248" s="24" t="n"/>
      <c r="C248" s="24" t="n"/>
      <c r="D248" s="25" t="n"/>
      <c r="E248" s="25" t="n"/>
      <c r="F248" s="24" t="n"/>
      <c r="G248" s="26">
        <f>IF($A248="","",SUMIF(tblAkis[KaynakKartId],$A248,tblAkis[SiparisMiktari]))</f>
        <v/>
      </c>
      <c r="H248" s="26">
        <f>IF($A248="","",IFERROR(AVERAGEIF(tblAkis[KaynakKartId],$A248,tblAkis[KapasiteYukuPct]),0))</f>
        <v/>
      </c>
    </row>
    <row r="249">
      <c r="A249" s="24" t="n"/>
      <c r="B249" s="24" t="n"/>
      <c r="C249" s="24" t="n"/>
      <c r="D249" s="25" t="n"/>
      <c r="E249" s="25" t="n"/>
      <c r="F249" s="24" t="n"/>
      <c r="G249" s="26">
        <f>IF($A249="","",SUMIF(tblAkis[KaynakKartId],$A249,tblAkis[SiparisMiktari]))</f>
        <v/>
      </c>
      <c r="H249" s="26">
        <f>IF($A249="","",IFERROR(AVERAGEIF(tblAkis[KaynakKartId],$A249,tblAkis[KapasiteYukuPct]),0))</f>
        <v/>
      </c>
    </row>
    <row r="250">
      <c r="A250" s="24" t="n"/>
      <c r="B250" s="24" t="n"/>
      <c r="C250" s="24" t="n"/>
      <c r="D250" s="25" t="n"/>
      <c r="E250" s="25" t="n"/>
      <c r="F250" s="24" t="n"/>
      <c r="G250" s="26">
        <f>IF($A250="","",SUMIF(tblAkis[KaynakKartId],$A250,tblAkis[SiparisMiktari]))</f>
        <v/>
      </c>
      <c r="H250" s="26">
        <f>IF($A250="","",IFERROR(AVERAGEIF(tblAkis[KaynakKartId],$A250,tblAkis[KapasiteYukuPct]),0))</f>
        <v/>
      </c>
    </row>
    <row r="251">
      <c r="A251" s="24" t="n"/>
      <c r="B251" s="24" t="n"/>
      <c r="C251" s="24" t="n"/>
      <c r="D251" s="25" t="n"/>
      <c r="E251" s="25" t="n"/>
      <c r="F251" s="24" t="n"/>
      <c r="G251" s="26">
        <f>IF($A251="","",SUMIF(tblAkis[KaynakKartId],$A251,tblAkis[SiparisMiktari]))</f>
        <v/>
      </c>
      <c r="H251" s="26">
        <f>IF($A251="","",IFERROR(AVERAGEIF(tblAkis[KaynakKartId],$A251,tblAkis[KapasiteYukuPct]),0))</f>
        <v/>
      </c>
    </row>
    <row r="252">
      <c r="A252" s="24" t="n"/>
      <c r="B252" s="24" t="n"/>
      <c r="C252" s="24" t="n"/>
      <c r="D252" s="25" t="n"/>
      <c r="E252" s="25" t="n"/>
      <c r="F252" s="24" t="n"/>
      <c r="G252" s="26">
        <f>IF($A252="","",SUMIF(tblAkis[KaynakKartId],$A252,tblAkis[SiparisMiktari]))</f>
        <v/>
      </c>
      <c r="H252" s="26">
        <f>IF($A252="","",IFERROR(AVERAGEIF(tblAkis[KaynakKartId],$A252,tblAkis[KapasiteYukuPct]),0))</f>
        <v/>
      </c>
    </row>
    <row r="253">
      <c r="A253" s="24" t="n"/>
      <c r="B253" s="24" t="n"/>
      <c r="C253" s="24" t="n"/>
      <c r="D253" s="25" t="n"/>
      <c r="E253" s="25" t="n"/>
      <c r="F253" s="24" t="n"/>
      <c r="G253" s="26">
        <f>IF($A253="","",SUMIF(tblAkis[KaynakKartId],$A253,tblAkis[SiparisMiktari]))</f>
        <v/>
      </c>
      <c r="H253" s="26">
        <f>IF($A253="","",IFERROR(AVERAGEIF(tblAkis[KaynakKartId],$A253,tblAkis[KapasiteYukuPct]),0))</f>
        <v/>
      </c>
    </row>
    <row r="254">
      <c r="A254" s="24" t="n"/>
      <c r="B254" s="24" t="n"/>
      <c r="C254" s="24" t="n"/>
      <c r="D254" s="25" t="n"/>
      <c r="E254" s="25" t="n"/>
      <c r="F254" s="24" t="n"/>
      <c r="G254" s="26">
        <f>IF($A254="","",SUMIF(tblAkis[KaynakKartId],$A254,tblAkis[SiparisMiktari]))</f>
        <v/>
      </c>
      <c r="H254" s="26">
        <f>IF($A254="","",IFERROR(AVERAGEIF(tblAkis[KaynakKartId],$A254,tblAkis[KapasiteYukuPct]),0))</f>
        <v/>
      </c>
    </row>
    <row r="255">
      <c r="A255" s="24" t="n"/>
      <c r="B255" s="24" t="n"/>
      <c r="C255" s="24" t="n"/>
      <c r="D255" s="25" t="n"/>
      <c r="E255" s="25" t="n"/>
      <c r="F255" s="24" t="n"/>
      <c r="G255" s="26">
        <f>IF($A255="","",SUMIF(tblAkis[KaynakKartId],$A255,tblAkis[SiparisMiktari]))</f>
        <v/>
      </c>
      <c r="H255" s="26">
        <f>IF($A255="","",IFERROR(AVERAGEIF(tblAkis[KaynakKartId],$A255,tblAkis[KapasiteYukuPct]),0))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255">
    <cfRule type="cellIs" priority="1" operator="equal" dxfId="1">
      <formula>"HAYIR"</formula>
    </cfRule>
  </conditionalFormatting>
  <conditionalFormatting sqref="D6:D255">
    <cfRule type="cellIs" priority="2" operator="greaterThan" dxfId="3">
      <formula>40</formula>
    </cfRule>
  </conditionalFormatting>
  <dataValidations count="6">
    <dataValidation sqref="A6:A255" showDropDown="0" showInputMessage="1" showErrorMessage="1" allowBlank="1" errorTitle="Kimlik" error="En az 1 karakter" promptTitle="Kart Kimliği" prompt="MAM-##### girin" type="textLength" errorStyle="stop" operator="greaterThan">
      <formula1>1</formula1>
      <formula2>40</formula2>
    </dataValidation>
    <dataValidation sqref="B6:B255" showDropDown="0" showInputMessage="1" showErrorMessage="1" allowBlank="1" errorTitle="Mamul" error="Geçersiz" promptTitle="Mamul" prompt="Mamul girin" type="textLength" errorStyle="stop" operator="greaterThanOrEqual">
      <formula1>0</formula1>
      <formula2>80</formula2>
    </dataValidation>
    <dataValidation sqref="C6:C255" showDropDown="0" showInputMessage="1" showErrorMessage="1" allowBlank="1" errorTitle="Hat" error="Geçersiz" promptTitle="Hat" prompt="Hat girin" type="textLength" errorStyle="stop" operator="greaterThanOrEqual">
      <formula1>0</formula1>
      <formula2>80</formula2>
    </dataValidation>
    <dataValidation sqref="D6:D255" showDropDown="0" showInputMessage="1" showErrorMessage="1" allowBlank="1" errorTitle="Kapasite" error="0 veya üzeri" promptTitle="Kapasite" prompt="Kapasite ≥ 0" type="decimal" errorStyle="stop" operator="greaterThanOrEqual">
      <formula1>0</formula1>
    </dataValidation>
    <dataValidation sqref="E6:E255" showDropDown="0" showInputMessage="1" showErrorMessage="1" allowBlank="1" errorTitle="Min Stok" error="0 veya üzeri" promptTitle="Min Stok" prompt="Min Stok ≥ 0" type="decimal" errorStyle="stop" operator="greaterThanOrEqual">
      <formula1>0</formula1>
    </dataValidation>
    <dataValidation sqref="F6:F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X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12" customWidth="1" min="21" max="21"/>
    <col width="12" customWidth="1" min="22" max="22"/>
    <col width="12" customWidth="1" min="23" max="23"/>
  </cols>
  <sheetData>
    <row r="1" ht="26" customHeight="1">
      <c r="A1" s="1" t="inlineStr">
        <is>
          <t>AKIS — Mini-MRP (BOM + Malzeme İhtiyacı + Kapasite)</t>
        </is>
      </c>
    </row>
    <row r="3" ht="20" customHeight="1">
      <c r="A3" s="20" t="inlineStr">
        <is>
          <t>BOM / iş emri satırları — durum makinesi + yetim + geçersiz geçiş + zincir</t>
        </is>
      </c>
    </row>
    <row r="5" ht="30" customHeight="1">
      <c r="A5" s="23" t="inlineStr">
        <is>
          <t>IslemId</t>
        </is>
      </c>
      <c r="B5" s="23" t="inlineStr">
        <is>
          <t>KaynakKartId</t>
        </is>
      </c>
      <c r="C5" s="23" t="inlineStr">
        <is>
          <t>BilesenKod</t>
        </is>
      </c>
      <c r="D5" s="23" t="inlineStr">
        <is>
          <t>BirimIhtiyac</t>
        </is>
      </c>
      <c r="E5" s="23" t="inlineStr">
        <is>
          <t>StokMiktar</t>
        </is>
      </c>
      <c r="F5" s="23" t="inlineStr">
        <is>
          <t>SiparisMiktari</t>
        </is>
      </c>
      <c r="G5" s="23" t="inlineStr">
        <is>
          <t>TedarikSuresiGun</t>
        </is>
      </c>
      <c r="H5" s="23" t="inlineStr">
        <is>
          <t>IsEmriSuresiSaat</t>
        </is>
      </c>
      <c r="I5" s="23" t="inlineStr">
        <is>
          <t>OncekiDurum</t>
        </is>
      </c>
      <c r="J5" s="23" t="inlineStr">
        <is>
          <t>Durum</t>
        </is>
      </c>
      <c r="K5" s="23" t="inlineStr">
        <is>
          <t>BrutBeklenen</t>
        </is>
      </c>
      <c r="L5" s="23" t="inlineStr">
        <is>
          <t>PlanTarihi</t>
        </is>
      </c>
      <c r="M5" s="23" t="inlineStr">
        <is>
          <t>YorumA</t>
        </is>
      </c>
      <c r="N5" s="23" t="inlineStr">
        <is>
          <t>YorumB</t>
        </is>
      </c>
      <c r="O5" s="23" t="inlineStr">
        <is>
          <t>BrutIhtiyac</t>
        </is>
      </c>
      <c r="P5" s="23" t="inlineStr">
        <is>
          <t>NetIhtiyac</t>
        </is>
      </c>
      <c r="Q5" s="23" t="inlineStr">
        <is>
          <t>OnerilenSiparis</t>
        </is>
      </c>
      <c r="R5" s="23" t="inlineStr">
        <is>
          <t>KapasiteYukuPct</t>
        </is>
      </c>
      <c r="S5" s="23" t="inlineStr">
        <is>
          <t>YetimBayrak</t>
        </is>
      </c>
      <c r="T5" s="23" t="inlineStr">
        <is>
          <t>GecisUyarisi</t>
        </is>
      </c>
      <c r="U5" s="23" t="inlineStr">
        <is>
          <t>ZincirBayrak</t>
        </is>
      </c>
      <c r="V5" s="23" t="inlineStr">
        <is>
          <t>KayitDolu</t>
        </is>
      </c>
      <c r="W5" s="23" t="inlineStr">
        <is>
          <t>YasGun</t>
        </is>
      </c>
    </row>
    <row r="6">
      <c r="A6" s="24" t="inlineStr">
        <is>
          <t>IE-00001</t>
        </is>
      </c>
      <c r="B6" s="24" t="inlineStr">
        <is>
          <t>MAM-00001</t>
        </is>
      </c>
      <c r="C6" s="24" t="inlineStr">
        <is>
          <t>CEL-001</t>
        </is>
      </c>
      <c r="D6" s="25" t="n">
        <v>2</v>
      </c>
      <c r="E6" s="25" t="n">
        <v>27</v>
      </c>
      <c r="F6" s="25" t="n">
        <v>15</v>
      </c>
      <c r="G6" s="27" t="n">
        <v>4</v>
      </c>
      <c r="H6" s="25" t="n">
        <v>2.5</v>
      </c>
      <c r="I6" s="24" t="n"/>
      <c r="J6" s="24" t="inlineStr">
        <is>
          <t>PLAN</t>
        </is>
      </c>
      <c r="K6" s="25" t="n">
        <v>30</v>
      </c>
      <c r="L6" s="28" t="n">
        <v>46243</v>
      </c>
      <c r="M6" s="24" t="inlineStr">
        <is>
          <t>A</t>
        </is>
      </c>
      <c r="N6" s="24" t="inlineStr">
        <is>
          <t>İş emri notu 1</t>
        </is>
      </c>
      <c r="O6" s="26">
        <f>IF($A6="","",$F6*$D6)</f>
        <v/>
      </c>
      <c r="P6" s="26">
        <f>IF($A6="","",MAX(0,$O6-$E6))</f>
        <v/>
      </c>
      <c r="Q6" s="26">
        <f>IF($A6="","",IF(OR($J6="TAMAM"),0,$P6))</f>
        <v/>
      </c>
      <c r="R6" s="26">
        <f>IF(OR($A6="",$J6="TAMAM"),"",IFERROR($H6/MAX(1,SUMIF(tblKartlar[KartId],$B6,tblKartlar[KapasiteSaat])),0))</f>
        <v/>
      </c>
      <c r="S6" s="26">
        <f>IF($A6="","",IF($B6="","YETİM",IF(COUNTIF(tblKartlar[KartId],$B6)=0,"YETİM","")))</f>
        <v/>
      </c>
      <c r="T6" s="26">
        <f>IF(OR($A6="",$I6=""),"",IF(OR($I6&amp;"|"&amp;$J6="",COUNTIF(ListeIzinliGecis,$I6&amp;"|"&amp;$J6)&gt;0),"","GEÇERSİZ GEÇİŞ"))</f>
        <v/>
      </c>
      <c r="U6" s="26">
        <f>IF($A6="","",IF(OR($O6="",$K6=""),"",IF(ABS($K6-$O6)&gt;zincirTolerans,"ZİNCİR KIRIK","OK")))</f>
        <v/>
      </c>
      <c r="V6" s="26">
        <f>IF($A6="","",1)</f>
        <v/>
      </c>
      <c r="W6" s="26">
        <f>IF($A6="","",IF($J6="TAMAM",0,IF($L6="","",raporTarihi-$L6)))</f>
        <v/>
      </c>
    </row>
    <row r="7">
      <c r="A7" s="24" t="inlineStr">
        <is>
          <t>IE-00002</t>
        </is>
      </c>
      <c r="B7" s="24" t="inlineStr">
        <is>
          <t>MAM-00002</t>
        </is>
      </c>
      <c r="C7" s="24" t="inlineStr">
        <is>
          <t>PLK-002</t>
        </is>
      </c>
      <c r="D7" s="25" t="n">
        <v>3</v>
      </c>
      <c r="E7" s="25" t="n">
        <v>54</v>
      </c>
      <c r="F7" s="25" t="n">
        <v>20</v>
      </c>
      <c r="G7" s="27" t="n">
        <v>5</v>
      </c>
      <c r="H7" s="25" t="n">
        <v>3</v>
      </c>
      <c r="I7" s="24" t="inlineStr">
        <is>
          <t>PLAN</t>
        </is>
      </c>
      <c r="J7" s="24" t="inlineStr">
        <is>
          <t>TEDARIK</t>
        </is>
      </c>
      <c r="K7" s="25" t="n">
        <v>60</v>
      </c>
      <c r="L7" s="28" t="n">
        <v>46241</v>
      </c>
      <c r="M7" s="24" t="inlineStr">
        <is>
          <t>B</t>
        </is>
      </c>
      <c r="N7" s="24" t="inlineStr">
        <is>
          <t>İş emri notu 2</t>
        </is>
      </c>
      <c r="O7" s="26">
        <f>IF($A7="","",$F7*$D7)</f>
        <v/>
      </c>
      <c r="P7" s="26">
        <f>IF($A7="","",MAX(0,$O7-$E7))</f>
        <v/>
      </c>
      <c r="Q7" s="26">
        <f>IF($A7="","",IF(OR($J7="TAMAM"),0,$P7))</f>
        <v/>
      </c>
      <c r="R7" s="26">
        <f>IF(OR($A7="",$J7="TAMAM"),"",IFERROR($H7/MAX(1,SUMIF(tblKartlar[KartId],$B7,tblKartlar[KapasiteSaat])),0))</f>
        <v/>
      </c>
      <c r="S7" s="26">
        <f>IF($A7="","",IF($B7="","YETİM",IF(COUNTIF(tblKartlar[KartId],$B7)=0,"YETİM","")))</f>
        <v/>
      </c>
      <c r="T7" s="26">
        <f>IF(OR($A7="",$I7=""),"",IF(OR($I7&amp;"|"&amp;$J7="",COUNTIF(ListeIzinliGecis,$I7&amp;"|"&amp;$J7)&gt;0),"","GEÇERSİZ GEÇİŞ"))</f>
        <v/>
      </c>
      <c r="U7" s="26">
        <f>IF($A7="","",IF(OR($O7="",$K7=""),"",IF(ABS($K7-$O7)&gt;zincirTolerans,"ZİNCİR KIRIK","OK")))</f>
        <v/>
      </c>
      <c r="V7" s="26">
        <f>IF($A7="","",1)</f>
        <v/>
      </c>
      <c r="W7" s="26">
        <f>IF($A7="","",IF($J7="TAMAM",0,IF($L7="","",raporTarihi-$L7)))</f>
        <v/>
      </c>
    </row>
    <row r="8">
      <c r="A8" s="24" t="inlineStr">
        <is>
          <t>IE-00003</t>
        </is>
      </c>
      <c r="B8" s="24" t="inlineStr">
        <is>
          <t>MAM-00003</t>
        </is>
      </c>
      <c r="C8" s="24" t="inlineStr">
        <is>
          <t>RUL-003</t>
        </is>
      </c>
      <c r="D8" s="25" t="n">
        <v>4</v>
      </c>
      <c r="E8" s="25" t="n">
        <v>91</v>
      </c>
      <c r="F8" s="25" t="n">
        <v>25</v>
      </c>
      <c r="G8" s="27" t="n">
        <v>6</v>
      </c>
      <c r="H8" s="25" t="n">
        <v>3.5</v>
      </c>
      <c r="I8" s="24" t="inlineStr">
        <is>
          <t>TEDARIK</t>
        </is>
      </c>
      <c r="J8" s="24" t="inlineStr">
        <is>
          <t>URETIM</t>
        </is>
      </c>
      <c r="K8" s="25" t="n">
        <v>100</v>
      </c>
      <c r="L8" s="28" t="n">
        <v>46239</v>
      </c>
      <c r="M8" s="24" t="inlineStr">
        <is>
          <t>A</t>
        </is>
      </c>
      <c r="N8" s="24" t="inlineStr">
        <is>
          <t>İş emri notu 3</t>
        </is>
      </c>
      <c r="O8" s="26">
        <f>IF($A8="","",$F8*$D8)</f>
        <v/>
      </c>
      <c r="P8" s="26">
        <f>IF($A8="","",MAX(0,$O8-$E8))</f>
        <v/>
      </c>
      <c r="Q8" s="26">
        <f>IF($A8="","",IF(OR($J8="TAMAM"),0,$P8))</f>
        <v/>
      </c>
      <c r="R8" s="26">
        <f>IF(OR($A8="",$J8="TAMAM"),"",IFERROR($H8/MAX(1,SUMIF(tblKartlar[KartId],$B8,tblKartlar[KapasiteSaat])),0))</f>
        <v/>
      </c>
      <c r="S8" s="26">
        <f>IF($A8="","",IF($B8="","YETİM",IF(COUNTIF(tblKartlar[KartId],$B8)=0,"YETİM","")))</f>
        <v/>
      </c>
      <c r="T8" s="26">
        <f>IF(OR($A8="",$I8=""),"",IF(OR($I8&amp;"|"&amp;$J8="",COUNTIF(ListeIzinliGecis,$I8&amp;"|"&amp;$J8)&gt;0),"","GEÇERSİZ GEÇİŞ"))</f>
        <v/>
      </c>
      <c r="U8" s="26">
        <f>IF($A8="","",IF(OR($O8="",$K8=""),"",IF(ABS($K8-$O8)&gt;zincirTolerans,"ZİNCİR KIRIK","OK")))</f>
        <v/>
      </c>
      <c r="V8" s="26">
        <f>IF($A8="","",1)</f>
        <v/>
      </c>
      <c r="W8" s="26">
        <f>IF($A8="","",IF($J8="TAMAM",0,IF($L8="","",raporTarihi-$L8)))</f>
        <v/>
      </c>
    </row>
    <row r="9">
      <c r="A9" s="24" t="inlineStr">
        <is>
          <t>IE-00004</t>
        </is>
      </c>
      <c r="B9" s="24" t="inlineStr">
        <is>
          <t>MAM-00004</t>
        </is>
      </c>
      <c r="C9" s="24" t="inlineStr">
        <is>
          <t>CON-004</t>
        </is>
      </c>
      <c r="D9" s="25" t="n">
        <v>1</v>
      </c>
      <c r="E9" s="25" t="n">
        <v>18</v>
      </c>
      <c r="F9" s="25" t="n">
        <v>30</v>
      </c>
      <c r="G9" s="27" t="n">
        <v>7</v>
      </c>
      <c r="H9" s="25" t="n">
        <v>4</v>
      </c>
      <c r="I9" s="24" t="inlineStr">
        <is>
          <t>URETIM</t>
        </is>
      </c>
      <c r="J9" s="24" t="inlineStr">
        <is>
          <t>TAMAM</t>
        </is>
      </c>
      <c r="K9" s="25" t="n">
        <v>30</v>
      </c>
      <c r="L9" s="28" t="n">
        <v>46237</v>
      </c>
      <c r="M9" s="24" t="inlineStr">
        <is>
          <t>B</t>
        </is>
      </c>
      <c r="N9" s="24" t="inlineStr">
        <is>
          <t>İş emri notu 4</t>
        </is>
      </c>
      <c r="O9" s="26">
        <f>IF($A9="","",$F9*$D9)</f>
        <v/>
      </c>
      <c r="P9" s="26">
        <f>IF($A9="","",MAX(0,$O9-$E9))</f>
        <v/>
      </c>
      <c r="Q9" s="26">
        <f>IF($A9="","",IF(OR($J9="TAMAM"),0,$P9))</f>
        <v/>
      </c>
      <c r="R9" s="26">
        <f>IF(OR($A9="",$J9="TAMAM"),"",IFERROR($H9/MAX(1,SUMIF(tblKartlar[KartId],$B9,tblKartlar[KapasiteSaat])),0))</f>
        <v/>
      </c>
      <c r="S9" s="26">
        <f>IF($A9="","",IF($B9="","YETİM",IF(COUNTIF(tblKartlar[KartId],$B9)=0,"YETİM","")))</f>
        <v/>
      </c>
      <c r="T9" s="26">
        <f>IF(OR($A9="",$I9=""),"",IF(OR($I9&amp;"|"&amp;$J9="",COUNTIF(ListeIzinliGecis,$I9&amp;"|"&amp;$J9)&gt;0),"","GEÇERSİZ GEÇİŞ"))</f>
        <v/>
      </c>
      <c r="U9" s="26">
        <f>IF($A9="","",IF(OR($O9="",$K9=""),"",IF(ABS($K9-$O9)&gt;zincirTolerans,"ZİNCİR KIRIK","OK")))</f>
        <v/>
      </c>
      <c r="V9" s="26">
        <f>IF($A9="","",1)</f>
        <v/>
      </c>
      <c r="W9" s="26">
        <f>IF($A9="","",IF($J9="TAMAM",0,IF($L9="","",raporTarihi-$L9)))</f>
        <v/>
      </c>
    </row>
    <row r="10">
      <c r="A10" s="24" t="inlineStr">
        <is>
          <t>IE-00005</t>
        </is>
      </c>
      <c r="B10" s="24" t="inlineStr">
        <is>
          <t>MAM-00005</t>
        </is>
      </c>
      <c r="C10" s="24" t="inlineStr">
        <is>
          <t>VID-005</t>
        </is>
      </c>
      <c r="D10" s="25" t="n">
        <v>2</v>
      </c>
      <c r="E10" s="25" t="n">
        <v>55</v>
      </c>
      <c r="F10" s="25" t="n">
        <v>35</v>
      </c>
      <c r="G10" s="27" t="n">
        <v>8</v>
      </c>
      <c r="H10" s="25" t="n">
        <v>4.5</v>
      </c>
      <c r="I10" s="24" t="inlineStr">
        <is>
          <t>PLAN</t>
        </is>
      </c>
      <c r="J10" s="24" t="inlineStr">
        <is>
          <t>TEDARIK</t>
        </is>
      </c>
      <c r="K10" s="25" t="n">
        <v>70</v>
      </c>
      <c r="L10" s="28" t="n">
        <v>46235</v>
      </c>
      <c r="M10" s="24" t="inlineStr">
        <is>
          <t>A</t>
        </is>
      </c>
      <c r="N10" s="24" t="inlineStr">
        <is>
          <t>İş emri notu 5</t>
        </is>
      </c>
      <c r="O10" s="26">
        <f>IF($A10="","",$F10*$D10)</f>
        <v/>
      </c>
      <c r="P10" s="26">
        <f>IF($A10="","",MAX(0,$O10-$E10))</f>
        <v/>
      </c>
      <c r="Q10" s="26">
        <f>IF($A10="","",IF(OR($J10="TAMAM"),0,$P10))</f>
        <v/>
      </c>
      <c r="R10" s="26">
        <f>IF(OR($A10="",$J10="TAMAM"),"",IFERROR($H10/MAX(1,SUMIF(tblKartlar[KartId],$B10,tblKartlar[KapasiteSaat])),0))</f>
        <v/>
      </c>
      <c r="S10" s="26">
        <f>IF($A10="","",IF($B10="","YETİM",IF(COUNTIF(tblKartlar[KartId],$B10)=0,"YETİM","")))</f>
        <v/>
      </c>
      <c r="T10" s="26">
        <f>IF(OR($A10="",$I10=""),"",IF(OR($I10&amp;"|"&amp;$J10="",COUNTIF(ListeIzinliGecis,$I10&amp;"|"&amp;$J10)&gt;0),"","GEÇERSİZ GEÇİŞ"))</f>
        <v/>
      </c>
      <c r="U10" s="26">
        <f>IF($A10="","",IF(OR($O10="",$K10=""),"",IF(ABS($K10-$O10)&gt;zincirTolerans,"ZİNCİR KIRIK","OK")))</f>
        <v/>
      </c>
      <c r="V10" s="26">
        <f>IF($A10="","",1)</f>
        <v/>
      </c>
      <c r="W10" s="26">
        <f>IF($A10="","",IF($J10="TAMAM",0,IF($L10="","",raporTarihi-$L10)))</f>
        <v/>
      </c>
    </row>
    <row r="11">
      <c r="A11" s="24" t="inlineStr">
        <is>
          <t>IE-00006</t>
        </is>
      </c>
      <c r="B11" s="24" t="inlineStr">
        <is>
          <t>MAM-00006</t>
        </is>
      </c>
      <c r="C11" s="24" t="inlineStr">
        <is>
          <t>YAG-006</t>
        </is>
      </c>
      <c r="D11" s="25" t="n">
        <v>3</v>
      </c>
      <c r="E11" s="25" t="n">
        <v>102</v>
      </c>
      <c r="F11" s="25" t="n">
        <v>40</v>
      </c>
      <c r="G11" s="27" t="n">
        <v>9</v>
      </c>
      <c r="H11" s="25" t="n">
        <v>2</v>
      </c>
      <c r="I11" s="24" t="inlineStr">
        <is>
          <t>TEDARIK</t>
        </is>
      </c>
      <c r="J11" s="24" t="inlineStr">
        <is>
          <t>URETIM</t>
        </is>
      </c>
      <c r="K11" s="25" t="n">
        <v>120</v>
      </c>
      <c r="L11" s="28" t="n">
        <v>46233</v>
      </c>
      <c r="M11" s="24" t="inlineStr">
        <is>
          <t>B</t>
        </is>
      </c>
      <c r="N11" s="24" t="inlineStr">
        <is>
          <t>İş emri notu 6</t>
        </is>
      </c>
      <c r="O11" s="26">
        <f>IF($A11="","",$F11*$D11)</f>
        <v/>
      </c>
      <c r="P11" s="26">
        <f>IF($A11="","",MAX(0,$O11-$E11))</f>
        <v/>
      </c>
      <c r="Q11" s="26">
        <f>IF($A11="","",IF(OR($J11="TAMAM"),0,$P11))</f>
        <v/>
      </c>
      <c r="R11" s="26">
        <f>IF(OR($A11="",$J11="TAMAM"),"",IFERROR($H11/MAX(1,SUMIF(tblKartlar[KartId],$B11,tblKartlar[KapasiteSaat])),0))</f>
        <v/>
      </c>
      <c r="S11" s="26">
        <f>IF($A11="","",IF($B11="","YETİM",IF(COUNTIF(tblKartlar[KartId],$B11)=0,"YETİM","")))</f>
        <v/>
      </c>
      <c r="T11" s="26">
        <f>IF(OR($A11="",$I11=""),"",IF(OR($I11&amp;"|"&amp;$J11="",COUNTIF(ListeIzinliGecis,$I11&amp;"|"&amp;$J11)&gt;0),"","GEÇERSİZ GEÇİŞ"))</f>
        <v/>
      </c>
      <c r="U11" s="26">
        <f>IF($A11="","",IF(OR($O11="",$K11=""),"",IF(ABS($K11-$O11)&gt;zincirTolerans,"ZİNCİR KIRIK","OK")))</f>
        <v/>
      </c>
      <c r="V11" s="26">
        <f>IF($A11="","",1)</f>
        <v/>
      </c>
      <c r="W11" s="26">
        <f>IF($A11="","",IF($J11="TAMAM",0,IF($L11="","",raporTarihi-$L11)))</f>
        <v/>
      </c>
    </row>
    <row r="12">
      <c r="A12" s="24" t="inlineStr">
        <is>
          <t>IE-00007</t>
        </is>
      </c>
      <c r="B12" s="24" t="inlineStr">
        <is>
          <t>MAM-00007</t>
        </is>
      </c>
      <c r="C12" s="24" t="inlineStr">
        <is>
          <t>FLN-007</t>
        </is>
      </c>
      <c r="D12" s="25" t="n">
        <v>4</v>
      </c>
      <c r="E12" s="25" t="n">
        <v>179</v>
      </c>
      <c r="F12" s="25" t="n">
        <v>45</v>
      </c>
      <c r="G12" s="27" t="n">
        <v>10</v>
      </c>
      <c r="H12" s="25" t="n">
        <v>2.5</v>
      </c>
      <c r="I12" s="24" t="inlineStr">
        <is>
          <t>PLAN</t>
        </is>
      </c>
      <c r="J12" s="24" t="inlineStr">
        <is>
          <t>PLAN</t>
        </is>
      </c>
      <c r="K12" s="25" t="n">
        <v>180</v>
      </c>
      <c r="L12" s="28" t="n">
        <v>46231</v>
      </c>
      <c r="M12" s="24" t="inlineStr">
        <is>
          <t>A</t>
        </is>
      </c>
      <c r="N12" s="24" t="inlineStr">
        <is>
          <t>İş emri notu 7</t>
        </is>
      </c>
      <c r="O12" s="26">
        <f>IF($A12="","",$F12*$D12)</f>
        <v/>
      </c>
      <c r="P12" s="26">
        <f>IF($A12="","",MAX(0,$O12-$E12))</f>
        <v/>
      </c>
      <c r="Q12" s="26">
        <f>IF($A12="","",IF(OR($J12="TAMAM"),0,$P12))</f>
        <v/>
      </c>
      <c r="R12" s="26">
        <f>IF(OR($A12="",$J12="TAMAM"),"",IFERROR($H12/MAX(1,SUMIF(tblKartlar[KartId],$B12,tblKartlar[KapasiteSaat])),0))</f>
        <v/>
      </c>
      <c r="S12" s="26">
        <f>IF($A12="","",IF($B12="","YETİM",IF(COUNTIF(tblKartlar[KartId],$B12)=0,"YETİM","")))</f>
        <v/>
      </c>
      <c r="T12" s="26">
        <f>IF(OR($A12="",$I12=""),"",IF(OR($I12&amp;"|"&amp;$J12="",COUNTIF(ListeIzinliGecis,$I12&amp;"|"&amp;$J12)&gt;0),"","GEÇERSİZ GEÇİŞ"))</f>
        <v/>
      </c>
      <c r="U12" s="26">
        <f>IF($A12="","",IF(OR($O12="",$K12=""),"",IF(ABS($K12-$O12)&gt;zincirTolerans,"ZİNCİR KIRIK","OK")))</f>
        <v/>
      </c>
      <c r="V12" s="26">
        <f>IF($A12="","",1)</f>
        <v/>
      </c>
      <c r="W12" s="26">
        <f>IF($A12="","",IF($J12="TAMAM",0,IF($L12="","",raporTarihi-$L12)))</f>
        <v/>
      </c>
    </row>
    <row r="13">
      <c r="A13" s="24" t="inlineStr">
        <is>
          <t>IE-00008</t>
        </is>
      </c>
      <c r="B13" s="24" t="inlineStr">
        <is>
          <t>MAM-00008</t>
        </is>
      </c>
      <c r="C13" s="24" t="inlineStr">
        <is>
          <t>KAB-008</t>
        </is>
      </c>
      <c r="D13" s="25" t="n">
        <v>1</v>
      </c>
      <c r="E13" s="25" t="n">
        <v>6</v>
      </c>
      <c r="F13" s="25" t="n">
        <v>10</v>
      </c>
      <c r="G13" s="27" t="n">
        <v>11</v>
      </c>
      <c r="H13" s="25" t="n">
        <v>3</v>
      </c>
      <c r="I13" s="24" t="inlineStr">
        <is>
          <t>TEDARIK</t>
        </is>
      </c>
      <c r="J13" s="24" t="inlineStr">
        <is>
          <t>TEDARIK</t>
        </is>
      </c>
      <c r="K13" s="25" t="n">
        <v>10</v>
      </c>
      <c r="L13" s="28" t="n">
        <v>46229</v>
      </c>
      <c r="M13" s="24" t="inlineStr">
        <is>
          <t>B</t>
        </is>
      </c>
      <c r="N13" s="24" t="inlineStr">
        <is>
          <t>İş emri notu 8</t>
        </is>
      </c>
      <c r="O13" s="26">
        <f>IF($A13="","",$F13*$D13)</f>
        <v/>
      </c>
      <c r="P13" s="26">
        <f>IF($A13="","",MAX(0,$O13-$E13))</f>
        <v/>
      </c>
      <c r="Q13" s="26">
        <f>IF($A13="","",IF(OR($J13="TAMAM"),0,$P13))</f>
        <v/>
      </c>
      <c r="R13" s="26">
        <f>IF(OR($A13="",$J13="TAMAM"),"",IFERROR($H13/MAX(1,SUMIF(tblKartlar[KartId],$B13,tblKartlar[KapasiteSaat])),0))</f>
        <v/>
      </c>
      <c r="S13" s="26">
        <f>IF($A13="","",IF($B13="","YETİM",IF(COUNTIF(tblKartlar[KartId],$B13)=0,"YETİM","")))</f>
        <v/>
      </c>
      <c r="T13" s="26">
        <f>IF(OR($A13="",$I13=""),"",IF(OR($I13&amp;"|"&amp;$J13="",COUNTIF(ListeIzinliGecis,$I13&amp;"|"&amp;$J13)&gt;0),"","GEÇERSİZ GEÇİŞ"))</f>
        <v/>
      </c>
      <c r="U13" s="26">
        <f>IF($A13="","",IF(OR($O13="",$K13=""),"",IF(ABS($K13-$O13)&gt;zincirTolerans,"ZİNCİR KIRIK","OK")))</f>
        <v/>
      </c>
      <c r="V13" s="26">
        <f>IF($A13="","",1)</f>
        <v/>
      </c>
      <c r="W13" s="26">
        <f>IF($A13="","",IF($J13="TAMAM",0,IF($L13="","",raporTarihi-$L13)))</f>
        <v/>
      </c>
    </row>
    <row r="14">
      <c r="A14" s="24" t="inlineStr">
        <is>
          <t>IE-00009</t>
        </is>
      </c>
      <c r="B14" s="24" t="inlineStr">
        <is>
          <t>MAM-00001</t>
        </is>
      </c>
      <c r="C14" s="24" t="inlineStr">
        <is>
          <t>CEL-001</t>
        </is>
      </c>
      <c r="D14" s="25" t="n">
        <v>2</v>
      </c>
      <c r="E14" s="25" t="n">
        <v>23</v>
      </c>
      <c r="F14" s="25" t="n">
        <v>15</v>
      </c>
      <c r="G14" s="27" t="n">
        <v>12</v>
      </c>
      <c r="H14" s="25" t="n">
        <v>3.5</v>
      </c>
      <c r="I14" s="24" t="n"/>
      <c r="J14" s="24" t="inlineStr">
        <is>
          <t>PLAN</t>
        </is>
      </c>
      <c r="K14" s="25" t="n">
        <v>30</v>
      </c>
      <c r="L14" s="28" t="n">
        <v>46227</v>
      </c>
      <c r="M14" s="24" t="inlineStr">
        <is>
          <t>A</t>
        </is>
      </c>
      <c r="N14" s="24" t="inlineStr">
        <is>
          <t>İş emri notu 9</t>
        </is>
      </c>
      <c r="O14" s="26">
        <f>IF($A14="","",$F14*$D14)</f>
        <v/>
      </c>
      <c r="P14" s="26">
        <f>IF($A14="","",MAX(0,$O14-$E14))</f>
        <v/>
      </c>
      <c r="Q14" s="26">
        <f>IF($A14="","",IF(OR($J14="TAMAM"),0,$P14))</f>
        <v/>
      </c>
      <c r="R14" s="26">
        <f>IF(OR($A14="",$J14="TAMAM"),"",IFERROR($H14/MAX(1,SUMIF(tblKartlar[KartId],$B14,tblKartlar[KapasiteSaat])),0))</f>
        <v/>
      </c>
      <c r="S14" s="26">
        <f>IF($A14="","",IF($B14="","YETİM",IF(COUNTIF(tblKartlar[KartId],$B14)=0,"YETİM","")))</f>
        <v/>
      </c>
      <c r="T14" s="26">
        <f>IF(OR($A14="",$I14=""),"",IF(OR($I14&amp;"|"&amp;$J14="",COUNTIF(ListeIzinliGecis,$I14&amp;"|"&amp;$J14)&gt;0),"","GEÇERSİZ GEÇİŞ"))</f>
        <v/>
      </c>
      <c r="U14" s="26">
        <f>IF($A14="","",IF(OR($O14="",$K14=""),"",IF(ABS($K14-$O14)&gt;zincirTolerans,"ZİNCİR KIRIK","OK")))</f>
        <v/>
      </c>
      <c r="V14" s="26">
        <f>IF($A14="","",1)</f>
        <v/>
      </c>
      <c r="W14" s="26">
        <f>IF($A14="","",IF($J14="TAMAM",0,IF($L14="","",raporTarihi-$L14)))</f>
        <v/>
      </c>
    </row>
    <row r="15">
      <c r="A15" s="24" t="inlineStr">
        <is>
          <t>IE-00010</t>
        </is>
      </c>
      <c r="B15" s="24" t="inlineStr">
        <is>
          <t>MAM-00002</t>
        </is>
      </c>
      <c r="C15" s="24" t="inlineStr">
        <is>
          <t>PLK-002</t>
        </is>
      </c>
      <c r="D15" s="25" t="n">
        <v>3</v>
      </c>
      <c r="E15" s="25" t="n">
        <v>50</v>
      </c>
      <c r="F15" s="25" t="n">
        <v>20</v>
      </c>
      <c r="G15" s="27" t="n">
        <v>3</v>
      </c>
      <c r="H15" s="25" t="n">
        <v>4</v>
      </c>
      <c r="I15" s="24" t="inlineStr">
        <is>
          <t>PLAN</t>
        </is>
      </c>
      <c r="J15" s="24" t="inlineStr">
        <is>
          <t>TEDARIK</t>
        </is>
      </c>
      <c r="K15" s="25" t="n">
        <v>60</v>
      </c>
      <c r="L15" s="28" t="n">
        <v>46225</v>
      </c>
      <c r="M15" s="24" t="inlineStr">
        <is>
          <t>B</t>
        </is>
      </c>
      <c r="N15" s="24" t="inlineStr">
        <is>
          <t>İş emri notu 10</t>
        </is>
      </c>
      <c r="O15" s="26">
        <f>IF($A15="","",$F15*$D15)</f>
        <v/>
      </c>
      <c r="P15" s="26">
        <f>IF($A15="","",MAX(0,$O15-$E15))</f>
        <v/>
      </c>
      <c r="Q15" s="26">
        <f>IF($A15="","",IF(OR($J15="TAMAM"),0,$P15))</f>
        <v/>
      </c>
      <c r="R15" s="26">
        <f>IF(OR($A15="",$J15="TAMAM"),"",IFERROR($H15/MAX(1,SUMIF(tblKartlar[KartId],$B15,tblKartlar[KapasiteSaat])),0))</f>
        <v/>
      </c>
      <c r="S15" s="26">
        <f>IF($A15="","",IF($B15="","YETİM",IF(COUNTIF(tblKartlar[KartId],$B15)=0,"YETİM","")))</f>
        <v/>
      </c>
      <c r="T15" s="26">
        <f>IF(OR($A15="",$I15=""),"",IF(OR($I15&amp;"|"&amp;$J15="",COUNTIF(ListeIzinliGecis,$I15&amp;"|"&amp;$J15)&gt;0),"","GEÇERSİZ GEÇİŞ"))</f>
        <v/>
      </c>
      <c r="U15" s="26">
        <f>IF($A15="","",IF(OR($O15="",$K15=""),"",IF(ABS($K15-$O15)&gt;zincirTolerans,"ZİNCİR KIRIK","OK")))</f>
        <v/>
      </c>
      <c r="V15" s="26">
        <f>IF($A15="","",1)</f>
        <v/>
      </c>
      <c r="W15" s="26">
        <f>IF($A15="","",IF($J15="TAMAM",0,IF($L15="","",raporTarihi-$L15)))</f>
        <v/>
      </c>
    </row>
    <row r="16">
      <c r="A16" s="24" t="inlineStr">
        <is>
          <t>IE-00011</t>
        </is>
      </c>
      <c r="B16" s="24" t="inlineStr">
        <is>
          <t>MAM-00003</t>
        </is>
      </c>
      <c r="C16" s="24" t="inlineStr">
        <is>
          <t>RUL-003</t>
        </is>
      </c>
      <c r="D16" s="25" t="n">
        <v>4</v>
      </c>
      <c r="E16" s="25" t="n">
        <v>87</v>
      </c>
      <c r="F16" s="25" t="n">
        <v>25</v>
      </c>
      <c r="G16" s="27" t="n">
        <v>4</v>
      </c>
      <c r="H16" s="25" t="n">
        <v>4.5</v>
      </c>
      <c r="I16" s="24" t="inlineStr">
        <is>
          <t>TEDARIK</t>
        </is>
      </c>
      <c r="J16" s="24" t="inlineStr">
        <is>
          <t>URETIM</t>
        </is>
      </c>
      <c r="K16" s="25" t="n">
        <v>100</v>
      </c>
      <c r="L16" s="28" t="n">
        <v>46223</v>
      </c>
      <c r="M16" s="24" t="inlineStr">
        <is>
          <t>A</t>
        </is>
      </c>
      <c r="N16" s="24" t="inlineStr">
        <is>
          <t>İş emri notu 11</t>
        </is>
      </c>
      <c r="O16" s="26">
        <f>IF($A16="","",$F16*$D16)</f>
        <v/>
      </c>
      <c r="P16" s="26">
        <f>IF($A16="","",MAX(0,$O16-$E16))</f>
        <v/>
      </c>
      <c r="Q16" s="26">
        <f>IF($A16="","",IF(OR($J16="TAMAM"),0,$P16))</f>
        <v/>
      </c>
      <c r="R16" s="26">
        <f>IF(OR($A16="",$J16="TAMAM"),"",IFERROR($H16/MAX(1,SUMIF(tblKartlar[KartId],$B16,tblKartlar[KapasiteSaat])),0))</f>
        <v/>
      </c>
      <c r="S16" s="26">
        <f>IF($A16="","",IF($B16="","YETİM",IF(COUNTIF(tblKartlar[KartId],$B16)=0,"YETİM","")))</f>
        <v/>
      </c>
      <c r="T16" s="26">
        <f>IF(OR($A16="",$I16=""),"",IF(OR($I16&amp;"|"&amp;$J16="",COUNTIF(ListeIzinliGecis,$I16&amp;"|"&amp;$J16)&gt;0),"","GEÇERSİZ GEÇİŞ"))</f>
        <v/>
      </c>
      <c r="U16" s="26">
        <f>IF($A16="","",IF(OR($O16="",$K16=""),"",IF(ABS($K16-$O16)&gt;zincirTolerans,"ZİNCİR KIRIK","OK")))</f>
        <v/>
      </c>
      <c r="V16" s="26">
        <f>IF($A16="","",1)</f>
        <v/>
      </c>
      <c r="W16" s="26">
        <f>IF($A16="","",IF($J16="TAMAM",0,IF($L16="","",raporTarihi-$L16)))</f>
        <v/>
      </c>
    </row>
    <row r="17">
      <c r="A17" s="24" t="inlineStr">
        <is>
          <t>IE-00012</t>
        </is>
      </c>
      <c r="B17" s="24" t="inlineStr">
        <is>
          <t>MAM-00004</t>
        </is>
      </c>
      <c r="C17" s="24" t="inlineStr">
        <is>
          <t>CON-004</t>
        </is>
      </c>
      <c r="D17" s="25" t="n">
        <v>1</v>
      </c>
      <c r="E17" s="25" t="n">
        <v>14</v>
      </c>
      <c r="F17" s="25" t="n">
        <v>30</v>
      </c>
      <c r="G17" s="27" t="n">
        <v>5</v>
      </c>
      <c r="H17" s="25" t="n">
        <v>2</v>
      </c>
      <c r="I17" s="24" t="inlineStr">
        <is>
          <t>URETIM</t>
        </is>
      </c>
      <c r="J17" s="24" t="inlineStr">
        <is>
          <t>TAMAM</t>
        </is>
      </c>
      <c r="K17" s="25" t="n">
        <v>45</v>
      </c>
      <c r="L17" s="28" t="n">
        <v>46221</v>
      </c>
      <c r="M17" s="24" t="inlineStr">
        <is>
          <t>B</t>
        </is>
      </c>
      <c r="N17" s="24" t="inlineStr">
        <is>
          <t>İş emri notu 12</t>
        </is>
      </c>
      <c r="O17" s="26">
        <f>IF($A17="","",$F17*$D17)</f>
        <v/>
      </c>
      <c r="P17" s="26">
        <f>IF($A17="","",MAX(0,$O17-$E17))</f>
        <v/>
      </c>
      <c r="Q17" s="26">
        <f>IF($A17="","",IF(OR($J17="TAMAM"),0,$P17))</f>
        <v/>
      </c>
      <c r="R17" s="26">
        <f>IF(OR($A17="",$J17="TAMAM"),"",IFERROR($H17/MAX(1,SUMIF(tblKartlar[KartId],$B17,tblKartlar[KapasiteSaat])),0))</f>
        <v/>
      </c>
      <c r="S17" s="26">
        <f>IF($A17="","",IF($B17="","YETİM",IF(COUNTIF(tblKartlar[KartId],$B17)=0,"YETİM","")))</f>
        <v/>
      </c>
      <c r="T17" s="26">
        <f>IF(OR($A17="",$I17=""),"",IF(OR($I17&amp;"|"&amp;$J17="",COUNTIF(ListeIzinliGecis,$I17&amp;"|"&amp;$J17)&gt;0),"","GEÇERSİZ GEÇİŞ"))</f>
        <v/>
      </c>
      <c r="U17" s="26">
        <f>IF($A17="","",IF(OR($O17="",$K17=""),"",IF(ABS($K17-$O17)&gt;zincirTolerans,"ZİNCİR KIRIK","OK")))</f>
        <v/>
      </c>
      <c r="V17" s="26">
        <f>IF($A17="","",1)</f>
        <v/>
      </c>
      <c r="W17" s="26">
        <f>IF($A17="","",IF($J17="TAMAM",0,IF($L17="","",raporTarihi-$L17)))</f>
        <v/>
      </c>
    </row>
    <row r="18">
      <c r="A18" s="24" t="inlineStr">
        <is>
          <t>IE-00013</t>
        </is>
      </c>
      <c r="B18" s="24" t="inlineStr">
        <is>
          <t>MAM-00005</t>
        </is>
      </c>
      <c r="C18" s="24" t="inlineStr">
        <is>
          <t>VID-005</t>
        </is>
      </c>
      <c r="D18" s="25" t="n">
        <v>2</v>
      </c>
      <c r="E18" s="25" t="n">
        <v>51</v>
      </c>
      <c r="F18" s="25" t="n">
        <v>35</v>
      </c>
      <c r="G18" s="27" t="n">
        <v>6</v>
      </c>
      <c r="H18" s="25" t="n">
        <v>2.5</v>
      </c>
      <c r="I18" s="24" t="inlineStr">
        <is>
          <t>PLAN</t>
        </is>
      </c>
      <c r="J18" s="24" t="inlineStr">
        <is>
          <t>TEDARIK</t>
        </is>
      </c>
      <c r="K18" s="25" t="n">
        <v>70</v>
      </c>
      <c r="L18" s="28" t="n">
        <v>46219</v>
      </c>
      <c r="M18" s="24" t="inlineStr">
        <is>
          <t>A</t>
        </is>
      </c>
      <c r="N18" s="24" t="inlineStr">
        <is>
          <t>İş emri notu 13</t>
        </is>
      </c>
      <c r="O18" s="26">
        <f>IF($A18="","",$F18*$D18)</f>
        <v/>
      </c>
      <c r="P18" s="26">
        <f>IF($A18="","",MAX(0,$O18-$E18))</f>
        <v/>
      </c>
      <c r="Q18" s="26">
        <f>IF($A18="","",IF(OR($J18="TAMAM"),0,$P18))</f>
        <v/>
      </c>
      <c r="R18" s="26">
        <f>IF(OR($A18="",$J18="TAMAM"),"",IFERROR($H18/MAX(1,SUMIF(tblKartlar[KartId],$B18,tblKartlar[KapasiteSaat])),0))</f>
        <v/>
      </c>
      <c r="S18" s="26">
        <f>IF($A18="","",IF($B18="","YETİM",IF(COUNTIF(tblKartlar[KartId],$B18)=0,"YETİM","")))</f>
        <v/>
      </c>
      <c r="T18" s="26">
        <f>IF(OR($A18="",$I18=""),"",IF(OR($I18&amp;"|"&amp;$J18="",COUNTIF(ListeIzinliGecis,$I18&amp;"|"&amp;$J18)&gt;0),"","GEÇERSİZ GEÇİŞ"))</f>
        <v/>
      </c>
      <c r="U18" s="26">
        <f>IF($A18="","",IF(OR($O18="",$K18=""),"",IF(ABS($K18-$O18)&gt;zincirTolerans,"ZİNCİR KIRIK","OK")))</f>
        <v/>
      </c>
      <c r="V18" s="26">
        <f>IF($A18="","",1)</f>
        <v/>
      </c>
      <c r="W18" s="26">
        <f>IF($A18="","",IF($J18="TAMAM",0,IF($L18="","",raporTarihi-$L18)))</f>
        <v/>
      </c>
    </row>
    <row r="19">
      <c r="A19" s="24" t="inlineStr">
        <is>
          <t>IE-00014</t>
        </is>
      </c>
      <c r="B19" s="24" t="inlineStr">
        <is>
          <t>MAM-00006</t>
        </is>
      </c>
      <c r="C19" s="24" t="inlineStr">
        <is>
          <t>YAG-006</t>
        </is>
      </c>
      <c r="D19" s="25" t="n">
        <v>3</v>
      </c>
      <c r="E19" s="25" t="n">
        <v>118</v>
      </c>
      <c r="F19" s="25" t="n">
        <v>40</v>
      </c>
      <c r="G19" s="27" t="n">
        <v>7</v>
      </c>
      <c r="H19" s="25" t="n">
        <v>3</v>
      </c>
      <c r="I19" s="24" t="inlineStr">
        <is>
          <t>TEDARIK</t>
        </is>
      </c>
      <c r="J19" s="24" t="inlineStr">
        <is>
          <t>URETIM</t>
        </is>
      </c>
      <c r="K19" s="25" t="n">
        <v>120</v>
      </c>
      <c r="L19" s="28" t="n">
        <v>46217</v>
      </c>
      <c r="M19" s="24" t="inlineStr">
        <is>
          <t>B</t>
        </is>
      </c>
      <c r="N19" s="24" t="inlineStr">
        <is>
          <t>İş emri notu 14</t>
        </is>
      </c>
      <c r="O19" s="26">
        <f>IF($A19="","",$F19*$D19)</f>
        <v/>
      </c>
      <c r="P19" s="26">
        <f>IF($A19="","",MAX(0,$O19-$E19))</f>
        <v/>
      </c>
      <c r="Q19" s="26">
        <f>IF($A19="","",IF(OR($J19="TAMAM"),0,$P19))</f>
        <v/>
      </c>
      <c r="R19" s="26">
        <f>IF(OR($A19="",$J19="TAMAM"),"",IFERROR($H19/MAX(1,SUMIF(tblKartlar[KartId],$B19,tblKartlar[KapasiteSaat])),0))</f>
        <v/>
      </c>
      <c r="S19" s="26">
        <f>IF($A19="","",IF($B19="","YETİM",IF(COUNTIF(tblKartlar[KartId],$B19)=0,"YETİM","")))</f>
        <v/>
      </c>
      <c r="T19" s="26">
        <f>IF(OR($A19="",$I19=""),"",IF(OR($I19&amp;"|"&amp;$J19="",COUNTIF(ListeIzinliGecis,$I19&amp;"|"&amp;$J19)&gt;0),"","GEÇERSİZ GEÇİŞ"))</f>
        <v/>
      </c>
      <c r="U19" s="26">
        <f>IF($A19="","",IF(OR($O19="",$K19=""),"",IF(ABS($K19-$O19)&gt;zincirTolerans,"ZİNCİR KIRIK","OK")))</f>
        <v/>
      </c>
      <c r="V19" s="26">
        <f>IF($A19="","",1)</f>
        <v/>
      </c>
      <c r="W19" s="26">
        <f>IF($A19="","",IF($J19="TAMAM",0,IF($L19="","",raporTarihi-$L19)))</f>
        <v/>
      </c>
    </row>
    <row r="20">
      <c r="A20" s="24" t="inlineStr">
        <is>
          <t>IE-00015</t>
        </is>
      </c>
      <c r="B20" s="24" t="inlineStr">
        <is>
          <t>MAM-00007</t>
        </is>
      </c>
      <c r="C20" s="24" t="inlineStr">
        <is>
          <t>FLN-007</t>
        </is>
      </c>
      <c r="D20" s="25" t="n">
        <v>4</v>
      </c>
      <c r="E20" s="25" t="n">
        <v>175</v>
      </c>
      <c r="F20" s="25" t="n">
        <v>45</v>
      </c>
      <c r="G20" s="27" t="n">
        <v>8</v>
      </c>
      <c r="H20" s="25" t="n">
        <v>3.5</v>
      </c>
      <c r="I20" s="24" t="inlineStr">
        <is>
          <t>PLAN</t>
        </is>
      </c>
      <c r="J20" s="24" t="inlineStr">
        <is>
          <t>PLAN</t>
        </is>
      </c>
      <c r="K20" s="25" t="n">
        <v>180</v>
      </c>
      <c r="L20" s="28" t="n">
        <v>46215</v>
      </c>
      <c r="M20" s="24" t="inlineStr">
        <is>
          <t>A</t>
        </is>
      </c>
      <c r="N20" s="24" t="inlineStr">
        <is>
          <t>İş emri notu 15</t>
        </is>
      </c>
      <c r="O20" s="26">
        <f>IF($A20="","",$F20*$D20)</f>
        <v/>
      </c>
      <c r="P20" s="26">
        <f>IF($A20="","",MAX(0,$O20-$E20))</f>
        <v/>
      </c>
      <c r="Q20" s="26">
        <f>IF($A20="","",IF(OR($J20="TAMAM"),0,$P20))</f>
        <v/>
      </c>
      <c r="R20" s="26">
        <f>IF(OR($A20="",$J20="TAMAM"),"",IFERROR($H20/MAX(1,SUMIF(tblKartlar[KartId],$B20,tblKartlar[KapasiteSaat])),0))</f>
        <v/>
      </c>
      <c r="S20" s="26">
        <f>IF($A20="","",IF($B20="","YETİM",IF(COUNTIF(tblKartlar[KartId],$B20)=0,"YETİM","")))</f>
        <v/>
      </c>
      <c r="T20" s="26">
        <f>IF(OR($A20="",$I20=""),"",IF(OR($I20&amp;"|"&amp;$J20="",COUNTIF(ListeIzinliGecis,$I20&amp;"|"&amp;$J20)&gt;0),"","GEÇERSİZ GEÇİŞ"))</f>
        <v/>
      </c>
      <c r="U20" s="26">
        <f>IF($A20="","",IF(OR($O20="",$K20=""),"",IF(ABS($K20-$O20)&gt;zincirTolerans,"ZİNCİR KIRIK","OK")))</f>
        <v/>
      </c>
      <c r="V20" s="26">
        <f>IF($A20="","",1)</f>
        <v/>
      </c>
      <c r="W20" s="26">
        <f>IF($A20="","",IF($J20="TAMAM",0,IF($L20="","",raporTarihi-$L20)))</f>
        <v/>
      </c>
    </row>
    <row r="21">
      <c r="A21" s="24" t="inlineStr">
        <is>
          <t>IE-00016</t>
        </is>
      </c>
      <c r="B21" s="24" t="inlineStr">
        <is>
          <t>MAM-00008</t>
        </is>
      </c>
      <c r="C21" s="24" t="inlineStr">
        <is>
          <t>KAB-008</t>
        </is>
      </c>
      <c r="D21" s="25" t="n">
        <v>1</v>
      </c>
      <c r="E21" s="25" t="n">
        <v>2</v>
      </c>
      <c r="F21" s="25" t="n">
        <v>10</v>
      </c>
      <c r="G21" s="27" t="n">
        <v>9</v>
      </c>
      <c r="H21" s="25" t="n">
        <v>4</v>
      </c>
      <c r="I21" s="24" t="inlineStr">
        <is>
          <t>TEDARIK</t>
        </is>
      </c>
      <c r="J21" s="24" t="inlineStr">
        <is>
          <t>TEDARIK</t>
        </is>
      </c>
      <c r="K21" s="25" t="n">
        <v>10</v>
      </c>
      <c r="L21" s="28" t="n">
        <v>46213</v>
      </c>
      <c r="M21" s="24" t="inlineStr">
        <is>
          <t>B</t>
        </is>
      </c>
      <c r="N21" s="24" t="inlineStr">
        <is>
          <t>İş emri notu 16</t>
        </is>
      </c>
      <c r="O21" s="26">
        <f>IF($A21="","",$F21*$D21)</f>
        <v/>
      </c>
      <c r="P21" s="26">
        <f>IF($A21="","",MAX(0,$O21-$E21))</f>
        <v/>
      </c>
      <c r="Q21" s="26">
        <f>IF($A21="","",IF(OR($J21="TAMAM"),0,$P21))</f>
        <v/>
      </c>
      <c r="R21" s="26">
        <f>IF(OR($A21="",$J21="TAMAM"),"",IFERROR($H21/MAX(1,SUMIF(tblKartlar[KartId],$B21,tblKartlar[KapasiteSaat])),0))</f>
        <v/>
      </c>
      <c r="S21" s="26">
        <f>IF($A21="","",IF($B21="","YETİM",IF(COUNTIF(tblKartlar[KartId],$B21)=0,"YETİM","")))</f>
        <v/>
      </c>
      <c r="T21" s="26">
        <f>IF(OR($A21="",$I21=""),"",IF(OR($I21&amp;"|"&amp;$J21="",COUNTIF(ListeIzinliGecis,$I21&amp;"|"&amp;$J21)&gt;0),"","GEÇERSİZ GEÇİŞ"))</f>
        <v/>
      </c>
      <c r="U21" s="26">
        <f>IF($A21="","",IF(OR($O21="",$K21=""),"",IF(ABS($K21-$O21)&gt;zincirTolerans,"ZİNCİR KIRIK","OK")))</f>
        <v/>
      </c>
      <c r="V21" s="26">
        <f>IF($A21="","",1)</f>
        <v/>
      </c>
      <c r="W21" s="26">
        <f>IF($A21="","",IF($J21="TAMAM",0,IF($L21="","",raporTarihi-$L21)))</f>
        <v/>
      </c>
    </row>
    <row r="22">
      <c r="A22" s="24" t="inlineStr">
        <is>
          <t>IE-00017</t>
        </is>
      </c>
      <c r="B22" s="24" t="inlineStr">
        <is>
          <t>MAM-00001</t>
        </is>
      </c>
      <c r="C22" s="24" t="inlineStr">
        <is>
          <t>CEL-001</t>
        </is>
      </c>
      <c r="D22" s="25" t="n">
        <v>2</v>
      </c>
      <c r="E22" s="25" t="n">
        <v>19</v>
      </c>
      <c r="F22" s="25" t="n">
        <v>15</v>
      </c>
      <c r="G22" s="27" t="n">
        <v>10</v>
      </c>
      <c r="H22" s="25" t="n">
        <v>4.5</v>
      </c>
      <c r="I22" s="24" t="n"/>
      <c r="J22" s="24" t="inlineStr">
        <is>
          <t>PLAN</t>
        </is>
      </c>
      <c r="K22" s="25" t="n">
        <v>30</v>
      </c>
      <c r="L22" s="28" t="n">
        <v>46211</v>
      </c>
      <c r="M22" s="24" t="inlineStr">
        <is>
          <t>A</t>
        </is>
      </c>
      <c r="N22" s="24" t="inlineStr">
        <is>
          <t>İş emri notu 17</t>
        </is>
      </c>
      <c r="O22" s="26">
        <f>IF($A22="","",$F22*$D22)</f>
        <v/>
      </c>
      <c r="P22" s="26">
        <f>IF($A22="","",MAX(0,$O22-$E22))</f>
        <v/>
      </c>
      <c r="Q22" s="26">
        <f>IF($A22="","",IF(OR($J22="TAMAM"),0,$P22))</f>
        <v/>
      </c>
      <c r="R22" s="26">
        <f>IF(OR($A22="",$J22="TAMAM"),"",IFERROR($H22/MAX(1,SUMIF(tblKartlar[KartId],$B22,tblKartlar[KapasiteSaat])),0))</f>
        <v/>
      </c>
      <c r="S22" s="26">
        <f>IF($A22="","",IF($B22="","YETİM",IF(COUNTIF(tblKartlar[KartId],$B22)=0,"YETİM","")))</f>
        <v/>
      </c>
      <c r="T22" s="26">
        <f>IF(OR($A22="",$I22=""),"",IF(OR($I22&amp;"|"&amp;$J22="",COUNTIF(ListeIzinliGecis,$I22&amp;"|"&amp;$J22)&gt;0),"","GEÇERSİZ GEÇİŞ"))</f>
        <v/>
      </c>
      <c r="U22" s="26">
        <f>IF($A22="","",IF(OR($O22="",$K22=""),"",IF(ABS($K22-$O22)&gt;zincirTolerans,"ZİNCİR KIRIK","OK")))</f>
        <v/>
      </c>
      <c r="V22" s="26">
        <f>IF($A22="","",1)</f>
        <v/>
      </c>
      <c r="W22" s="26">
        <f>IF($A22="","",IF($J22="TAMAM",0,IF($L22="","",raporTarihi-$L22)))</f>
        <v/>
      </c>
    </row>
    <row r="23">
      <c r="A23" s="24" t="inlineStr">
        <is>
          <t>IE-00018</t>
        </is>
      </c>
      <c r="B23" s="24" t="inlineStr">
        <is>
          <t>MAM-00002</t>
        </is>
      </c>
      <c r="C23" s="24" t="inlineStr">
        <is>
          <t>PLK-002</t>
        </is>
      </c>
      <c r="D23" s="25" t="n">
        <v>3</v>
      </c>
      <c r="E23" s="25" t="n">
        <v>46</v>
      </c>
      <c r="F23" s="25" t="n">
        <v>20</v>
      </c>
      <c r="G23" s="27" t="n">
        <v>11</v>
      </c>
      <c r="H23" s="25" t="n">
        <v>2</v>
      </c>
      <c r="I23" s="24" t="inlineStr">
        <is>
          <t>PLAN</t>
        </is>
      </c>
      <c r="J23" s="24" t="inlineStr">
        <is>
          <t>URETIM</t>
        </is>
      </c>
      <c r="K23" s="25" t="n">
        <v>60</v>
      </c>
      <c r="L23" s="28" t="n">
        <v>46209</v>
      </c>
      <c r="M23" s="24" t="inlineStr">
        <is>
          <t>B</t>
        </is>
      </c>
      <c r="N23" s="24" t="inlineStr">
        <is>
          <t>İş emri notu 18</t>
        </is>
      </c>
      <c r="O23" s="26">
        <f>IF($A23="","",$F23*$D23)</f>
        <v/>
      </c>
      <c r="P23" s="26">
        <f>IF($A23="","",MAX(0,$O23-$E23))</f>
        <v/>
      </c>
      <c r="Q23" s="26">
        <f>IF($A23="","",IF(OR($J23="TAMAM"),0,$P23))</f>
        <v/>
      </c>
      <c r="R23" s="26">
        <f>IF(OR($A23="",$J23="TAMAM"),"",IFERROR($H23/MAX(1,SUMIF(tblKartlar[KartId],$B23,tblKartlar[KapasiteSaat])),0))</f>
        <v/>
      </c>
      <c r="S23" s="26">
        <f>IF($A23="","",IF($B23="","YETİM",IF(COUNTIF(tblKartlar[KartId],$B23)=0,"YETİM","")))</f>
        <v/>
      </c>
      <c r="T23" s="26">
        <f>IF(OR($A23="",$I23=""),"",IF(OR($I23&amp;"|"&amp;$J23="",COUNTIF(ListeIzinliGecis,$I23&amp;"|"&amp;$J23)&gt;0),"","GEÇERSİZ GEÇİŞ"))</f>
        <v/>
      </c>
      <c r="U23" s="26">
        <f>IF($A23="","",IF(OR($O23="",$K23=""),"",IF(ABS($K23-$O23)&gt;zincirTolerans,"ZİNCİR KIRIK","OK")))</f>
        <v/>
      </c>
      <c r="V23" s="26">
        <f>IF($A23="","",1)</f>
        <v/>
      </c>
      <c r="W23" s="26">
        <f>IF($A23="","",IF($J23="TAMAM",0,IF($L23="","",raporTarihi-$L23)))</f>
        <v/>
      </c>
    </row>
    <row r="24">
      <c r="A24" s="24" t="inlineStr">
        <is>
          <t>IE-00019</t>
        </is>
      </c>
      <c r="B24" s="24" t="inlineStr">
        <is>
          <t>MAM-00003</t>
        </is>
      </c>
      <c r="C24" s="24" t="inlineStr">
        <is>
          <t>RUL-003</t>
        </is>
      </c>
      <c r="D24" s="25" t="n">
        <v>4</v>
      </c>
      <c r="E24" s="25" t="n">
        <v>83</v>
      </c>
      <c r="F24" s="25" t="n">
        <v>25</v>
      </c>
      <c r="G24" s="27" t="n">
        <v>12</v>
      </c>
      <c r="H24" s="25" t="n">
        <v>2.5</v>
      </c>
      <c r="I24" s="24" t="inlineStr">
        <is>
          <t>TEDARIK</t>
        </is>
      </c>
      <c r="J24" s="24" t="inlineStr">
        <is>
          <t>URETIM</t>
        </is>
      </c>
      <c r="K24" s="25" t="n">
        <v>115</v>
      </c>
      <c r="L24" s="28" t="n">
        <v>46207</v>
      </c>
      <c r="M24" s="24" t="inlineStr">
        <is>
          <t>A</t>
        </is>
      </c>
      <c r="N24" s="24" t="inlineStr">
        <is>
          <t>İş emri notu 19</t>
        </is>
      </c>
      <c r="O24" s="26">
        <f>IF($A24="","",$F24*$D24)</f>
        <v/>
      </c>
      <c r="P24" s="26">
        <f>IF($A24="","",MAX(0,$O24-$E24))</f>
        <v/>
      </c>
      <c r="Q24" s="26">
        <f>IF($A24="","",IF(OR($J24="TAMAM"),0,$P24))</f>
        <v/>
      </c>
      <c r="R24" s="26">
        <f>IF(OR($A24="",$J24="TAMAM"),"",IFERROR($H24/MAX(1,SUMIF(tblKartlar[KartId],$B24,tblKartlar[KapasiteSaat])),0))</f>
        <v/>
      </c>
      <c r="S24" s="26">
        <f>IF($A24="","",IF($B24="","YETİM",IF(COUNTIF(tblKartlar[KartId],$B24)=0,"YETİM","")))</f>
        <v/>
      </c>
      <c r="T24" s="26">
        <f>IF(OR($A24="",$I24=""),"",IF(OR($I24&amp;"|"&amp;$J24="",COUNTIF(ListeIzinliGecis,$I24&amp;"|"&amp;$J24)&gt;0),"","GEÇERSİZ GEÇİŞ"))</f>
        <v/>
      </c>
      <c r="U24" s="26">
        <f>IF($A24="","",IF(OR($O24="",$K24=""),"",IF(ABS($K24-$O24)&gt;zincirTolerans,"ZİNCİR KIRIK","OK")))</f>
        <v/>
      </c>
      <c r="V24" s="26">
        <f>IF($A24="","",1)</f>
        <v/>
      </c>
      <c r="W24" s="26">
        <f>IF($A24="","",IF($J24="TAMAM",0,IF($L24="","",raporTarihi-$L24)))</f>
        <v/>
      </c>
    </row>
    <row r="25">
      <c r="A25" s="24" t="inlineStr">
        <is>
          <t>IE-00020</t>
        </is>
      </c>
      <c r="B25" s="24" t="inlineStr">
        <is>
          <t>MAM-00004</t>
        </is>
      </c>
      <c r="C25" s="24" t="inlineStr">
        <is>
          <t>CON-004</t>
        </is>
      </c>
      <c r="D25" s="25" t="n">
        <v>1</v>
      </c>
      <c r="E25" s="25" t="n">
        <v>30</v>
      </c>
      <c r="F25" s="25" t="n">
        <v>30</v>
      </c>
      <c r="G25" s="27" t="n">
        <v>3</v>
      </c>
      <c r="H25" s="25" t="n">
        <v>3</v>
      </c>
      <c r="I25" s="24" t="inlineStr">
        <is>
          <t>URETIM</t>
        </is>
      </c>
      <c r="J25" s="24" t="inlineStr">
        <is>
          <t>PLAN</t>
        </is>
      </c>
      <c r="K25" s="25" t="n">
        <v>30</v>
      </c>
      <c r="L25" s="28" t="n">
        <v>46245</v>
      </c>
      <c r="M25" s="24" t="inlineStr">
        <is>
          <t>B</t>
        </is>
      </c>
      <c r="N25" s="24" t="inlineStr">
        <is>
          <t>İş emri notu 20</t>
        </is>
      </c>
      <c r="O25" s="26">
        <f>IF($A25="","",$F25*$D25)</f>
        <v/>
      </c>
      <c r="P25" s="26">
        <f>IF($A25="","",MAX(0,$O25-$E25))</f>
        <v/>
      </c>
      <c r="Q25" s="26">
        <f>IF($A25="","",IF(OR($J25="TAMAM"),0,$P25))</f>
        <v/>
      </c>
      <c r="R25" s="26">
        <f>IF(OR($A25="",$J25="TAMAM"),"",IFERROR($H25/MAX(1,SUMIF(tblKartlar[KartId],$B25,tblKartlar[KapasiteSaat])),0))</f>
        <v/>
      </c>
      <c r="S25" s="26">
        <f>IF($A25="","",IF($B25="","YETİM",IF(COUNTIF(tblKartlar[KartId],$B25)=0,"YETİM","")))</f>
        <v/>
      </c>
      <c r="T25" s="26">
        <f>IF(OR($A25="",$I25=""),"",IF(OR($I25&amp;"|"&amp;$J25="",COUNTIF(ListeIzinliGecis,$I25&amp;"|"&amp;$J25)&gt;0),"","GEÇERSİZ GEÇİŞ"))</f>
        <v/>
      </c>
      <c r="U25" s="26">
        <f>IF($A25="","",IF(OR($O25="",$K25=""),"",IF(ABS($K25-$O25)&gt;zincirTolerans,"ZİNCİR KIRIK","OK")))</f>
        <v/>
      </c>
      <c r="V25" s="26">
        <f>IF($A25="","",1)</f>
        <v/>
      </c>
      <c r="W25" s="26">
        <f>IF($A25="","",IF($J25="TAMAM",0,IF($L25="","",raporTarihi-$L25)))</f>
        <v/>
      </c>
    </row>
    <row r="26">
      <c r="A26" s="24" t="inlineStr">
        <is>
          <t>IE-00021</t>
        </is>
      </c>
      <c r="B26" s="24" t="inlineStr">
        <is>
          <t>MAM-00005</t>
        </is>
      </c>
      <c r="C26" s="24" t="inlineStr">
        <is>
          <t>VID-005</t>
        </is>
      </c>
      <c r="D26" s="25" t="n">
        <v>2</v>
      </c>
      <c r="E26" s="25" t="n">
        <v>67</v>
      </c>
      <c r="F26" s="25" t="n">
        <v>35</v>
      </c>
      <c r="G26" s="27" t="n">
        <v>4</v>
      </c>
      <c r="H26" s="25" t="n">
        <v>3.5</v>
      </c>
      <c r="I26" s="24" t="inlineStr">
        <is>
          <t>PLAN</t>
        </is>
      </c>
      <c r="J26" s="24" t="inlineStr">
        <is>
          <t>TEDARIK</t>
        </is>
      </c>
      <c r="K26" s="25" t="n">
        <v>70</v>
      </c>
      <c r="L26" s="28" t="n">
        <v>46243</v>
      </c>
      <c r="M26" s="24" t="inlineStr">
        <is>
          <t>A</t>
        </is>
      </c>
      <c r="N26" s="24" t="inlineStr">
        <is>
          <t>İş emri notu 21</t>
        </is>
      </c>
      <c r="O26" s="26">
        <f>IF($A26="","",$F26*$D26)</f>
        <v/>
      </c>
      <c r="P26" s="26">
        <f>IF($A26="","",MAX(0,$O26-$E26))</f>
        <v/>
      </c>
      <c r="Q26" s="26">
        <f>IF($A26="","",IF(OR($J26="TAMAM"),0,$P26))</f>
        <v/>
      </c>
      <c r="R26" s="26">
        <f>IF(OR($A26="",$J26="TAMAM"),"",IFERROR($H26/MAX(1,SUMIF(tblKartlar[KartId],$B26,tblKartlar[KapasiteSaat])),0))</f>
        <v/>
      </c>
      <c r="S26" s="26">
        <f>IF($A26="","",IF($B26="","YETİM",IF(COUNTIF(tblKartlar[KartId],$B26)=0,"YETİM","")))</f>
        <v/>
      </c>
      <c r="T26" s="26">
        <f>IF(OR($A26="",$I26=""),"",IF(OR($I26&amp;"|"&amp;$J26="",COUNTIF(ListeIzinliGecis,$I26&amp;"|"&amp;$J26)&gt;0),"","GEÇERSİZ GEÇİŞ"))</f>
        <v/>
      </c>
      <c r="U26" s="26">
        <f>IF($A26="","",IF(OR($O26="",$K26=""),"",IF(ABS($K26-$O26)&gt;zincirTolerans,"ZİNCİR KIRIK","OK")))</f>
        <v/>
      </c>
      <c r="V26" s="26">
        <f>IF($A26="","",1)</f>
        <v/>
      </c>
      <c r="W26" s="26">
        <f>IF($A26="","",IF($J26="TAMAM",0,IF($L26="","",raporTarihi-$L26)))</f>
        <v/>
      </c>
    </row>
    <row r="27">
      <c r="A27" s="24" t="inlineStr">
        <is>
          <t>IE-00022</t>
        </is>
      </c>
      <c r="B27" s="24" t="n"/>
      <c r="C27" s="24" t="inlineStr">
        <is>
          <t>YAG-006</t>
        </is>
      </c>
      <c r="D27" s="25" t="n">
        <v>3</v>
      </c>
      <c r="E27" s="25" t="n">
        <v>114</v>
      </c>
      <c r="F27" s="25" t="n">
        <v>40</v>
      </c>
      <c r="G27" s="27" t="n">
        <v>5</v>
      </c>
      <c r="H27" s="25" t="n">
        <v>4</v>
      </c>
      <c r="I27" s="24" t="inlineStr">
        <is>
          <t>TEDARIK</t>
        </is>
      </c>
      <c r="J27" s="24" t="inlineStr">
        <is>
          <t>URETIM</t>
        </is>
      </c>
      <c r="K27" s="25" t="n">
        <v>120</v>
      </c>
      <c r="L27" s="28" t="n">
        <v>46241</v>
      </c>
      <c r="M27" s="24" t="inlineStr">
        <is>
          <t>B</t>
        </is>
      </c>
      <c r="N27" s="24" t="inlineStr">
        <is>
          <t>İş emri notu 22</t>
        </is>
      </c>
      <c r="O27" s="26">
        <f>IF($A27="","",$F27*$D27)</f>
        <v/>
      </c>
      <c r="P27" s="26">
        <f>IF($A27="","",MAX(0,$O27-$E27))</f>
        <v/>
      </c>
      <c r="Q27" s="26">
        <f>IF($A27="","",IF(OR($J27="TAMAM"),0,$P27))</f>
        <v/>
      </c>
      <c r="R27" s="26">
        <f>IF(OR($A27="",$J27="TAMAM"),"",IFERROR($H27/MAX(1,SUMIF(tblKartlar[KartId],$B27,tblKartlar[KapasiteSaat])),0))</f>
        <v/>
      </c>
      <c r="S27" s="26">
        <f>IF($A27="","",IF($B27="","YETİM",IF(COUNTIF(tblKartlar[KartId],$B27)=0,"YETİM","")))</f>
        <v/>
      </c>
      <c r="T27" s="26">
        <f>IF(OR($A27="",$I27=""),"",IF(OR($I27&amp;"|"&amp;$J27="",COUNTIF(ListeIzinliGecis,$I27&amp;"|"&amp;$J27)&gt;0),"","GEÇERSİZ GEÇİŞ"))</f>
        <v/>
      </c>
      <c r="U27" s="26">
        <f>IF($A27="","",IF(OR($O27="",$K27=""),"",IF(ABS($K27-$O27)&gt;zincirTolerans,"ZİNCİR KIRIK","OK")))</f>
        <v/>
      </c>
      <c r="V27" s="26">
        <f>IF($A27="","",1)</f>
        <v/>
      </c>
      <c r="W27" s="26">
        <f>IF($A27="","",IF($J27="TAMAM",0,IF($L27="","",raporTarihi-$L27)))</f>
        <v/>
      </c>
    </row>
    <row r="28">
      <c r="A28" s="24" t="inlineStr">
        <is>
          <t>IE-00023</t>
        </is>
      </c>
      <c r="B28" s="24" t="inlineStr">
        <is>
          <t>MAM-00007</t>
        </is>
      </c>
      <c r="C28" s="24" t="inlineStr">
        <is>
          <t>FLN-007</t>
        </is>
      </c>
      <c r="D28" s="25" t="n">
        <v>4</v>
      </c>
      <c r="E28" s="25" t="n">
        <v>171</v>
      </c>
      <c r="F28" s="25" t="n">
        <v>45</v>
      </c>
      <c r="G28" s="27" t="n">
        <v>6</v>
      </c>
      <c r="H28" s="25" t="n">
        <v>4.5</v>
      </c>
      <c r="I28" s="24" t="inlineStr">
        <is>
          <t>PLAN</t>
        </is>
      </c>
      <c r="J28" s="24" t="inlineStr">
        <is>
          <t>PLAN</t>
        </is>
      </c>
      <c r="K28" s="25" t="n">
        <v>180</v>
      </c>
      <c r="L28" s="28" t="n">
        <v>46239</v>
      </c>
      <c r="M28" s="24" t="inlineStr">
        <is>
          <t>A</t>
        </is>
      </c>
      <c r="N28" s="24" t="inlineStr">
        <is>
          <t>İş emri notu 23</t>
        </is>
      </c>
      <c r="O28" s="26">
        <f>IF($A28="","",$F28*$D28)</f>
        <v/>
      </c>
      <c r="P28" s="26">
        <f>IF($A28="","",MAX(0,$O28-$E28))</f>
        <v/>
      </c>
      <c r="Q28" s="26">
        <f>IF($A28="","",IF(OR($J28="TAMAM"),0,$P28))</f>
        <v/>
      </c>
      <c r="R28" s="26">
        <f>IF(OR($A28="",$J28="TAMAM"),"",IFERROR($H28/MAX(1,SUMIF(tblKartlar[KartId],$B28,tblKartlar[KapasiteSaat])),0))</f>
        <v/>
      </c>
      <c r="S28" s="26">
        <f>IF($A28="","",IF($B28="","YETİM",IF(COUNTIF(tblKartlar[KartId],$B28)=0,"YETİM","")))</f>
        <v/>
      </c>
      <c r="T28" s="26">
        <f>IF(OR($A28="",$I28=""),"",IF(OR($I28&amp;"|"&amp;$J28="",COUNTIF(ListeIzinliGecis,$I28&amp;"|"&amp;$J28)&gt;0),"","GEÇERSİZ GEÇİŞ"))</f>
        <v/>
      </c>
      <c r="U28" s="26">
        <f>IF($A28="","",IF(OR($O28="",$K28=""),"",IF(ABS($K28-$O28)&gt;zincirTolerans,"ZİNCİR KIRIK","OK")))</f>
        <v/>
      </c>
      <c r="V28" s="26">
        <f>IF($A28="","",1)</f>
        <v/>
      </c>
      <c r="W28" s="26">
        <f>IF($A28="","",IF($J28="TAMAM",0,IF($L28="","",raporTarihi-$L28)))</f>
        <v/>
      </c>
    </row>
    <row r="29">
      <c r="A29" s="24" t="inlineStr">
        <is>
          <t>IE-00024</t>
        </is>
      </c>
      <c r="B29" s="24" t="inlineStr">
        <is>
          <t>MAM-00008</t>
        </is>
      </c>
      <c r="C29" s="24" t="inlineStr">
        <is>
          <t>KAB-008</t>
        </is>
      </c>
      <c r="D29" s="25" t="n">
        <v>1</v>
      </c>
      <c r="E29" s="25" t="n">
        <v>0</v>
      </c>
      <c r="F29" s="25" t="n">
        <v>10</v>
      </c>
      <c r="G29" s="27" t="n">
        <v>7</v>
      </c>
      <c r="H29" s="25" t="n">
        <v>2</v>
      </c>
      <c r="I29" s="24" t="inlineStr">
        <is>
          <t>TEDARIK</t>
        </is>
      </c>
      <c r="J29" s="24" t="inlineStr">
        <is>
          <t>TEDARIK</t>
        </is>
      </c>
      <c r="K29" s="25" t="n">
        <v>10</v>
      </c>
      <c r="L29" s="28" t="n">
        <v>46237</v>
      </c>
      <c r="M29" s="24" t="inlineStr">
        <is>
          <t>B</t>
        </is>
      </c>
      <c r="N29" s="24" t="inlineStr">
        <is>
          <t>İş emri notu 24</t>
        </is>
      </c>
      <c r="O29" s="26">
        <f>IF($A29="","",$F29*$D29)</f>
        <v/>
      </c>
      <c r="P29" s="26">
        <f>IF($A29="","",MAX(0,$O29-$E29))</f>
        <v/>
      </c>
      <c r="Q29" s="26">
        <f>IF($A29="","",IF(OR($J29="TAMAM"),0,$P29))</f>
        <v/>
      </c>
      <c r="R29" s="26">
        <f>IF(OR($A29="",$J29="TAMAM"),"",IFERROR($H29/MAX(1,SUMIF(tblKartlar[KartId],$B29,tblKartlar[KapasiteSaat])),0))</f>
        <v/>
      </c>
      <c r="S29" s="26">
        <f>IF($A29="","",IF($B29="","YETİM",IF(COUNTIF(tblKartlar[KartId],$B29)=0,"YETİM","")))</f>
        <v/>
      </c>
      <c r="T29" s="26">
        <f>IF(OR($A29="",$I29=""),"",IF(OR($I29&amp;"|"&amp;$J29="",COUNTIF(ListeIzinliGecis,$I29&amp;"|"&amp;$J29)&gt;0),"","GEÇERSİZ GEÇİŞ"))</f>
        <v/>
      </c>
      <c r="U29" s="26">
        <f>IF($A29="","",IF(OR($O29="",$K29=""),"",IF(ABS($K29-$O29)&gt;zincirTolerans,"ZİNCİR KIRIK","OK")))</f>
        <v/>
      </c>
      <c r="V29" s="26">
        <f>IF($A29="","",1)</f>
        <v/>
      </c>
      <c r="W29" s="26">
        <f>IF($A29="","",IF($J29="TAMAM",0,IF($L29="","",raporTarihi-$L29)))</f>
        <v/>
      </c>
    </row>
    <row r="30">
      <c r="A30" s="24" t="inlineStr">
        <is>
          <t>IE-00025</t>
        </is>
      </c>
      <c r="B30" s="24" t="inlineStr">
        <is>
          <t>MAM-99999</t>
        </is>
      </c>
      <c r="C30" s="24" t="inlineStr">
        <is>
          <t>CEL-001</t>
        </is>
      </c>
      <c r="D30" s="25" t="n">
        <v>2</v>
      </c>
      <c r="E30" s="25" t="n">
        <v>15</v>
      </c>
      <c r="F30" s="25" t="n">
        <v>15</v>
      </c>
      <c r="G30" s="27" t="n">
        <v>8</v>
      </c>
      <c r="H30" s="25" t="n">
        <v>2.5</v>
      </c>
      <c r="I30" s="24" t="n"/>
      <c r="J30" s="24" t="inlineStr">
        <is>
          <t>PLAN</t>
        </is>
      </c>
      <c r="K30" s="25" t="n">
        <v>30</v>
      </c>
      <c r="L30" s="28" t="n">
        <v>46235</v>
      </c>
      <c r="M30" s="24" t="inlineStr">
        <is>
          <t>A</t>
        </is>
      </c>
      <c r="N30" s="24" t="inlineStr">
        <is>
          <t>İş emri notu 25</t>
        </is>
      </c>
      <c r="O30" s="26">
        <f>IF($A30="","",$F30*$D30)</f>
        <v/>
      </c>
      <c r="P30" s="26">
        <f>IF($A30="","",MAX(0,$O30-$E30))</f>
        <v/>
      </c>
      <c r="Q30" s="26">
        <f>IF($A30="","",IF(OR($J30="TAMAM"),0,$P30))</f>
        <v/>
      </c>
      <c r="R30" s="26">
        <f>IF(OR($A30="",$J30="TAMAM"),"",IFERROR($H30/MAX(1,SUMIF(tblKartlar[KartId],$B30,tblKartlar[KapasiteSaat])),0))</f>
        <v/>
      </c>
      <c r="S30" s="26">
        <f>IF($A30="","",IF($B30="","YETİM",IF(COUNTIF(tblKartlar[KartId],$B30)=0,"YETİM","")))</f>
        <v/>
      </c>
      <c r="T30" s="26">
        <f>IF(OR($A30="",$I30=""),"",IF(OR($I30&amp;"|"&amp;$J30="",COUNTIF(ListeIzinliGecis,$I30&amp;"|"&amp;$J30)&gt;0),"","GEÇERSİZ GEÇİŞ"))</f>
        <v/>
      </c>
      <c r="U30" s="26">
        <f>IF($A30="","",IF(OR($O30="",$K30=""),"",IF(ABS($K30-$O30)&gt;zincirTolerans,"ZİNCİR KIRIK","OK")))</f>
        <v/>
      </c>
      <c r="V30" s="26">
        <f>IF($A30="","",1)</f>
        <v/>
      </c>
      <c r="W30" s="26">
        <f>IF($A30="","",IF($J30="TAMAM",0,IF($L30="","",raporTarihi-$L30)))</f>
        <v/>
      </c>
    </row>
    <row r="31">
      <c r="A31" s="24" t="inlineStr">
        <is>
          <t>IE-00026</t>
        </is>
      </c>
      <c r="B31" s="24" t="inlineStr">
        <is>
          <t>MAM-00002</t>
        </is>
      </c>
      <c r="C31" s="24" t="inlineStr">
        <is>
          <t>PLK-002</t>
        </is>
      </c>
      <c r="D31" s="25" t="n">
        <v>3</v>
      </c>
      <c r="E31" s="25" t="n">
        <v>42</v>
      </c>
      <c r="F31" s="25" t="n">
        <v>20</v>
      </c>
      <c r="G31" s="27" t="n">
        <v>9</v>
      </c>
      <c r="H31" s="25" t="n">
        <v>3</v>
      </c>
      <c r="I31" s="24" t="inlineStr">
        <is>
          <t>PLAN</t>
        </is>
      </c>
      <c r="J31" s="24" t="inlineStr">
        <is>
          <t>TEDARIK</t>
        </is>
      </c>
      <c r="K31" s="25" t="n">
        <v>60</v>
      </c>
      <c r="L31" s="28" t="n">
        <v>46233</v>
      </c>
      <c r="M31" s="24" t="inlineStr">
        <is>
          <t>B</t>
        </is>
      </c>
      <c r="N31" s="24" t="inlineStr">
        <is>
          <t>İş emri notu 26</t>
        </is>
      </c>
      <c r="O31" s="26">
        <f>IF($A31="","",$F31*$D31)</f>
        <v/>
      </c>
      <c r="P31" s="26">
        <f>IF($A31="","",MAX(0,$O31-$E31))</f>
        <v/>
      </c>
      <c r="Q31" s="26">
        <f>IF($A31="","",IF(OR($J31="TAMAM"),0,$P31))</f>
        <v/>
      </c>
      <c r="R31" s="26">
        <f>IF(OR($A31="",$J31="TAMAM"),"",IFERROR($H31/MAX(1,SUMIF(tblKartlar[KartId],$B31,tblKartlar[KapasiteSaat])),0))</f>
        <v/>
      </c>
      <c r="S31" s="26">
        <f>IF($A31="","",IF($B31="","YETİM",IF(COUNTIF(tblKartlar[KartId],$B31)=0,"YETİM","")))</f>
        <v/>
      </c>
      <c r="T31" s="26">
        <f>IF(OR($A31="",$I31=""),"",IF(OR($I31&amp;"|"&amp;$J31="",COUNTIF(ListeIzinliGecis,$I31&amp;"|"&amp;$J31)&gt;0),"","GEÇERSİZ GEÇİŞ"))</f>
        <v/>
      </c>
      <c r="U31" s="26">
        <f>IF($A31="","",IF(OR($O31="",$K31=""),"",IF(ABS($K31-$O31)&gt;zincirTolerans,"ZİNCİR KIRIK","OK")))</f>
        <v/>
      </c>
      <c r="V31" s="26">
        <f>IF($A31="","",1)</f>
        <v/>
      </c>
      <c r="W31" s="26">
        <f>IF($A31="","",IF($J31="TAMAM",0,IF($L31="","",raporTarihi-$L31)))</f>
        <v/>
      </c>
    </row>
    <row r="32">
      <c r="A32" s="24" t="inlineStr">
        <is>
          <t>IE-00027</t>
        </is>
      </c>
      <c r="B32" s="24" t="inlineStr">
        <is>
          <t>MAM-00003</t>
        </is>
      </c>
      <c r="C32" s="24" t="inlineStr">
        <is>
          <t>RUL-003</t>
        </is>
      </c>
      <c r="D32" s="25" t="n">
        <v>4</v>
      </c>
      <c r="E32" s="25" t="n">
        <v>99</v>
      </c>
      <c r="F32" s="25" t="n">
        <v>25</v>
      </c>
      <c r="G32" s="27" t="n">
        <v>10</v>
      </c>
      <c r="H32" s="25" t="n">
        <v>3.5</v>
      </c>
      <c r="I32" s="24" t="inlineStr">
        <is>
          <t>TEDARIK</t>
        </is>
      </c>
      <c r="J32" s="24" t="inlineStr">
        <is>
          <t>URETIM</t>
        </is>
      </c>
      <c r="K32" s="25" t="n">
        <v>100</v>
      </c>
      <c r="L32" s="28" t="n">
        <v>46231</v>
      </c>
      <c r="M32" s="24" t="inlineStr">
        <is>
          <t>A</t>
        </is>
      </c>
      <c r="N32" s="24" t="inlineStr">
        <is>
          <t>İş emri notu 27</t>
        </is>
      </c>
      <c r="O32" s="26">
        <f>IF($A32="","",$F32*$D32)</f>
        <v/>
      </c>
      <c r="P32" s="26">
        <f>IF($A32="","",MAX(0,$O32-$E32))</f>
        <v/>
      </c>
      <c r="Q32" s="26">
        <f>IF($A32="","",IF(OR($J32="TAMAM"),0,$P32))</f>
        <v/>
      </c>
      <c r="R32" s="26">
        <f>IF(OR($A32="",$J32="TAMAM"),"",IFERROR($H32/MAX(1,SUMIF(tblKartlar[KartId],$B32,tblKartlar[KapasiteSaat])),0))</f>
        <v/>
      </c>
      <c r="S32" s="26">
        <f>IF($A32="","",IF($B32="","YETİM",IF(COUNTIF(tblKartlar[KartId],$B32)=0,"YETİM","")))</f>
        <v/>
      </c>
      <c r="T32" s="26">
        <f>IF(OR($A32="",$I32=""),"",IF(OR($I32&amp;"|"&amp;$J32="",COUNTIF(ListeIzinliGecis,$I32&amp;"|"&amp;$J32)&gt;0),"","GEÇERSİZ GEÇİŞ"))</f>
        <v/>
      </c>
      <c r="U32" s="26">
        <f>IF($A32="","",IF(OR($O32="",$K32=""),"",IF(ABS($K32-$O32)&gt;zincirTolerans,"ZİNCİR KIRIK","OK")))</f>
        <v/>
      </c>
      <c r="V32" s="26">
        <f>IF($A32="","",1)</f>
        <v/>
      </c>
      <c r="W32" s="26">
        <f>IF($A32="","",IF($J32="TAMAM",0,IF($L32="","",raporTarihi-$L32)))</f>
        <v/>
      </c>
    </row>
    <row r="33">
      <c r="A33" s="24" t="inlineStr">
        <is>
          <t>IE-00028</t>
        </is>
      </c>
      <c r="B33" s="24" t="inlineStr">
        <is>
          <t>MAM-00004</t>
        </is>
      </c>
      <c r="C33" s="24" t="inlineStr">
        <is>
          <t>CON-004</t>
        </is>
      </c>
      <c r="D33" s="25" t="n">
        <v>1</v>
      </c>
      <c r="E33" s="25" t="n">
        <v>26</v>
      </c>
      <c r="F33" s="25" t="n">
        <v>30</v>
      </c>
      <c r="G33" s="27" t="n">
        <v>11</v>
      </c>
      <c r="H33" s="25" t="n">
        <v>4</v>
      </c>
      <c r="I33" s="24" t="inlineStr">
        <is>
          <t>URETIM</t>
        </is>
      </c>
      <c r="J33" s="24" t="inlineStr">
        <is>
          <t>TAMAM</t>
        </is>
      </c>
      <c r="K33" s="25" t="n">
        <v>30</v>
      </c>
      <c r="L33" s="28" t="n">
        <v>46229</v>
      </c>
      <c r="M33" s="24" t="inlineStr">
        <is>
          <t>B</t>
        </is>
      </c>
      <c r="N33" s="24" t="inlineStr">
        <is>
          <t>İş emri notu 28</t>
        </is>
      </c>
      <c r="O33" s="26">
        <f>IF($A33="","",$F33*$D33)</f>
        <v/>
      </c>
      <c r="P33" s="26">
        <f>IF($A33="","",MAX(0,$O33-$E33))</f>
        <v/>
      </c>
      <c r="Q33" s="26">
        <f>IF($A33="","",IF(OR($J33="TAMAM"),0,$P33))</f>
        <v/>
      </c>
      <c r="R33" s="26">
        <f>IF(OR($A33="",$J33="TAMAM"),"",IFERROR($H33/MAX(1,SUMIF(tblKartlar[KartId],$B33,tblKartlar[KapasiteSaat])),0))</f>
        <v/>
      </c>
      <c r="S33" s="26">
        <f>IF($A33="","",IF($B33="","YETİM",IF(COUNTIF(tblKartlar[KartId],$B33)=0,"YETİM","")))</f>
        <v/>
      </c>
      <c r="T33" s="26">
        <f>IF(OR($A33="",$I33=""),"",IF(OR($I33&amp;"|"&amp;$J33="",COUNTIF(ListeIzinliGecis,$I33&amp;"|"&amp;$J33)&gt;0),"","GEÇERSİZ GEÇİŞ"))</f>
        <v/>
      </c>
      <c r="U33" s="26">
        <f>IF($A33="","",IF(OR($O33="",$K33=""),"",IF(ABS($K33-$O33)&gt;zincirTolerans,"ZİNCİR KIRIK","OK")))</f>
        <v/>
      </c>
      <c r="V33" s="26">
        <f>IF($A33="","",1)</f>
        <v/>
      </c>
      <c r="W33" s="26">
        <f>IF($A33="","",IF($J33="TAMAM",0,IF($L33="","",raporTarihi-$L33)))</f>
        <v/>
      </c>
    </row>
    <row r="34">
      <c r="A34" s="24" t="n"/>
      <c r="B34" s="24" t="n"/>
      <c r="C34" s="24" t="n"/>
      <c r="D34" s="25" t="n"/>
      <c r="E34" s="25" t="n"/>
      <c r="F34" s="25" t="n"/>
      <c r="G34" s="27" t="n"/>
      <c r="H34" s="25" t="n"/>
      <c r="I34" s="24" t="n"/>
      <c r="J34" s="24" t="n"/>
      <c r="K34" s="25" t="n"/>
      <c r="L34" s="28" t="n"/>
      <c r="M34" s="24" t="n"/>
      <c r="N34" s="24" t="n"/>
      <c r="O34" s="26">
        <f>IF($A34="","",$F34*$D34)</f>
        <v/>
      </c>
      <c r="P34" s="26">
        <f>IF($A34="","",MAX(0,$O34-$E34))</f>
        <v/>
      </c>
      <c r="Q34" s="26">
        <f>IF($A34="","",IF(OR($J34="TAMAM"),0,$P34))</f>
        <v/>
      </c>
      <c r="R34" s="26">
        <f>IF(OR($A34="",$J34="TAMAM"),"",IFERROR($H34/MAX(1,SUMIF(tblKartlar[KartId],$B34,tblKartlar[KapasiteSaat])),0))</f>
        <v/>
      </c>
      <c r="S34" s="26">
        <f>IF($A34="","",IF($B34="","YETİM",IF(COUNTIF(tblKartlar[KartId],$B34)=0,"YETİM","")))</f>
        <v/>
      </c>
      <c r="T34" s="26">
        <f>IF(OR($A34="",$I34=""),"",IF(OR($I34&amp;"|"&amp;$J34="",COUNTIF(ListeIzinliGecis,$I34&amp;"|"&amp;$J34)&gt;0),"","GEÇERSİZ GEÇİŞ"))</f>
        <v/>
      </c>
      <c r="U34" s="26">
        <f>IF($A34="","",IF(OR($O34="",$K34=""),"",IF(ABS($K34-$O34)&gt;zincirTolerans,"ZİNCİR KIRIK","OK")))</f>
        <v/>
      </c>
      <c r="V34" s="26">
        <f>IF($A34="","",1)</f>
        <v/>
      </c>
      <c r="W34" s="26">
        <f>IF($A34="","",IF($J34="TAMAM",0,IF($L34="","",raporTarihi-$L34)))</f>
        <v/>
      </c>
    </row>
    <row r="35">
      <c r="A35" s="24" t="n"/>
      <c r="B35" s="24" t="n"/>
      <c r="C35" s="24" t="n"/>
      <c r="D35" s="25" t="n"/>
      <c r="E35" s="25" t="n"/>
      <c r="F35" s="25" t="n"/>
      <c r="G35" s="27" t="n"/>
      <c r="H35" s="25" t="n"/>
      <c r="I35" s="24" t="n"/>
      <c r="J35" s="24" t="n"/>
      <c r="K35" s="25" t="n"/>
      <c r="L35" s="28" t="n"/>
      <c r="M35" s="24" t="n"/>
      <c r="N35" s="24" t="n"/>
      <c r="O35" s="26">
        <f>IF($A35="","",$F35*$D35)</f>
        <v/>
      </c>
      <c r="P35" s="26">
        <f>IF($A35="","",MAX(0,$O35-$E35))</f>
        <v/>
      </c>
      <c r="Q35" s="26">
        <f>IF($A35="","",IF(OR($J35="TAMAM"),0,$P35))</f>
        <v/>
      </c>
      <c r="R35" s="26">
        <f>IF(OR($A35="",$J35="TAMAM"),"",IFERROR($H35/MAX(1,SUMIF(tblKartlar[KartId],$B35,tblKartlar[KapasiteSaat])),0))</f>
        <v/>
      </c>
      <c r="S35" s="26">
        <f>IF($A35="","",IF($B35="","YETİM",IF(COUNTIF(tblKartlar[KartId],$B35)=0,"YETİM","")))</f>
        <v/>
      </c>
      <c r="T35" s="26">
        <f>IF(OR($A35="",$I35=""),"",IF(OR($I35&amp;"|"&amp;$J35="",COUNTIF(ListeIzinliGecis,$I35&amp;"|"&amp;$J35)&gt;0),"","GEÇERSİZ GEÇİŞ"))</f>
        <v/>
      </c>
      <c r="U35" s="26">
        <f>IF($A35="","",IF(OR($O35="",$K35=""),"",IF(ABS($K35-$O35)&gt;zincirTolerans,"ZİNCİR KIRIK","OK")))</f>
        <v/>
      </c>
      <c r="V35" s="26">
        <f>IF($A35="","",1)</f>
        <v/>
      </c>
      <c r="W35" s="26">
        <f>IF($A35="","",IF($J35="TAMAM",0,IF($L35="","",raporTarihi-$L35)))</f>
        <v/>
      </c>
    </row>
    <row r="36">
      <c r="A36" s="24" t="n"/>
      <c r="B36" s="24" t="n"/>
      <c r="C36" s="24" t="n"/>
      <c r="D36" s="25" t="n"/>
      <c r="E36" s="25" t="n"/>
      <c r="F36" s="25" t="n"/>
      <c r="G36" s="27" t="n"/>
      <c r="H36" s="25" t="n"/>
      <c r="I36" s="24" t="n"/>
      <c r="J36" s="24" t="n"/>
      <c r="K36" s="25" t="n"/>
      <c r="L36" s="28" t="n"/>
      <c r="M36" s="24" t="n"/>
      <c r="N36" s="24" t="n"/>
      <c r="O36" s="26">
        <f>IF($A36="","",$F36*$D36)</f>
        <v/>
      </c>
      <c r="P36" s="26">
        <f>IF($A36="","",MAX(0,$O36-$E36))</f>
        <v/>
      </c>
      <c r="Q36" s="26">
        <f>IF($A36="","",IF(OR($J36="TAMAM"),0,$P36))</f>
        <v/>
      </c>
      <c r="R36" s="26">
        <f>IF(OR($A36="",$J36="TAMAM"),"",IFERROR($H36/MAX(1,SUMIF(tblKartlar[KartId],$B36,tblKartlar[KapasiteSaat])),0))</f>
        <v/>
      </c>
      <c r="S36" s="26">
        <f>IF($A36="","",IF($B36="","YETİM",IF(COUNTIF(tblKartlar[KartId],$B36)=0,"YETİM","")))</f>
        <v/>
      </c>
      <c r="T36" s="26">
        <f>IF(OR($A36="",$I36=""),"",IF(OR($I36&amp;"|"&amp;$J36="",COUNTIF(ListeIzinliGecis,$I36&amp;"|"&amp;$J36)&gt;0),"","GEÇERSİZ GEÇİŞ"))</f>
        <v/>
      </c>
      <c r="U36" s="26">
        <f>IF($A36="","",IF(OR($O36="",$K36=""),"",IF(ABS($K36-$O36)&gt;zincirTolerans,"ZİNCİR KIRIK","OK")))</f>
        <v/>
      </c>
      <c r="V36" s="26">
        <f>IF($A36="","",1)</f>
        <v/>
      </c>
      <c r="W36" s="26">
        <f>IF($A36="","",IF($J36="TAMAM",0,IF($L36="","",raporTarihi-$L36)))</f>
        <v/>
      </c>
    </row>
    <row r="37">
      <c r="A37" s="24" t="n"/>
      <c r="B37" s="24" t="n"/>
      <c r="C37" s="24" t="n"/>
      <c r="D37" s="25" t="n"/>
      <c r="E37" s="25" t="n"/>
      <c r="F37" s="25" t="n"/>
      <c r="G37" s="27" t="n"/>
      <c r="H37" s="25" t="n"/>
      <c r="I37" s="24" t="n"/>
      <c r="J37" s="24" t="n"/>
      <c r="K37" s="25" t="n"/>
      <c r="L37" s="28" t="n"/>
      <c r="M37" s="24" t="n"/>
      <c r="N37" s="24" t="n"/>
      <c r="O37" s="26">
        <f>IF($A37="","",$F37*$D37)</f>
        <v/>
      </c>
      <c r="P37" s="26">
        <f>IF($A37="","",MAX(0,$O37-$E37))</f>
        <v/>
      </c>
      <c r="Q37" s="26">
        <f>IF($A37="","",IF(OR($J37="TAMAM"),0,$P37))</f>
        <v/>
      </c>
      <c r="R37" s="26">
        <f>IF(OR($A37="",$J37="TAMAM"),"",IFERROR($H37/MAX(1,SUMIF(tblKartlar[KartId],$B37,tblKartlar[KapasiteSaat])),0))</f>
        <v/>
      </c>
      <c r="S37" s="26">
        <f>IF($A37="","",IF($B37="","YETİM",IF(COUNTIF(tblKartlar[KartId],$B37)=0,"YETİM","")))</f>
        <v/>
      </c>
      <c r="T37" s="26">
        <f>IF(OR($A37="",$I37=""),"",IF(OR($I37&amp;"|"&amp;$J37="",COUNTIF(ListeIzinliGecis,$I37&amp;"|"&amp;$J37)&gt;0),"","GEÇERSİZ GEÇİŞ"))</f>
        <v/>
      </c>
      <c r="U37" s="26">
        <f>IF($A37="","",IF(OR($O37="",$K37=""),"",IF(ABS($K37-$O37)&gt;zincirTolerans,"ZİNCİR KIRIK","OK")))</f>
        <v/>
      </c>
      <c r="V37" s="26">
        <f>IF($A37="","",1)</f>
        <v/>
      </c>
      <c r="W37" s="26">
        <f>IF($A37="","",IF($J37="TAMAM",0,IF($L37="","",raporTarihi-$L37)))</f>
        <v/>
      </c>
    </row>
    <row r="38">
      <c r="A38" s="24" t="n"/>
      <c r="B38" s="24" t="n"/>
      <c r="C38" s="24" t="n"/>
      <c r="D38" s="25" t="n"/>
      <c r="E38" s="25" t="n"/>
      <c r="F38" s="25" t="n"/>
      <c r="G38" s="27" t="n"/>
      <c r="H38" s="25" t="n"/>
      <c r="I38" s="24" t="n"/>
      <c r="J38" s="24" t="n"/>
      <c r="K38" s="25" t="n"/>
      <c r="L38" s="28" t="n"/>
      <c r="M38" s="24" t="n"/>
      <c r="N38" s="24" t="n"/>
      <c r="O38" s="26">
        <f>IF($A38="","",$F38*$D38)</f>
        <v/>
      </c>
      <c r="P38" s="26">
        <f>IF($A38="","",MAX(0,$O38-$E38))</f>
        <v/>
      </c>
      <c r="Q38" s="26">
        <f>IF($A38="","",IF(OR($J38="TAMAM"),0,$P38))</f>
        <v/>
      </c>
      <c r="R38" s="26">
        <f>IF(OR($A38="",$J38="TAMAM"),"",IFERROR($H38/MAX(1,SUMIF(tblKartlar[KartId],$B38,tblKartlar[KapasiteSaat])),0))</f>
        <v/>
      </c>
      <c r="S38" s="26">
        <f>IF($A38="","",IF($B38="","YETİM",IF(COUNTIF(tblKartlar[KartId],$B38)=0,"YETİM","")))</f>
        <v/>
      </c>
      <c r="T38" s="26">
        <f>IF(OR($A38="",$I38=""),"",IF(OR($I38&amp;"|"&amp;$J38="",COUNTIF(ListeIzinliGecis,$I38&amp;"|"&amp;$J38)&gt;0),"","GEÇERSİZ GEÇİŞ"))</f>
        <v/>
      </c>
      <c r="U38" s="26">
        <f>IF($A38="","",IF(OR($O38="",$K38=""),"",IF(ABS($K38-$O38)&gt;zincirTolerans,"ZİNCİR KIRIK","OK")))</f>
        <v/>
      </c>
      <c r="V38" s="26">
        <f>IF($A38="","",1)</f>
        <v/>
      </c>
      <c r="W38" s="26">
        <f>IF($A38="","",IF($J38="TAMAM",0,IF($L38="","",raporTarihi-$L38)))</f>
        <v/>
      </c>
    </row>
    <row r="39">
      <c r="A39" s="24" t="n"/>
      <c r="B39" s="24" t="n"/>
      <c r="C39" s="24" t="n"/>
      <c r="D39" s="25" t="n"/>
      <c r="E39" s="25" t="n"/>
      <c r="F39" s="25" t="n"/>
      <c r="G39" s="27" t="n"/>
      <c r="H39" s="25" t="n"/>
      <c r="I39" s="24" t="n"/>
      <c r="J39" s="24" t="n"/>
      <c r="K39" s="25" t="n"/>
      <c r="L39" s="28" t="n"/>
      <c r="M39" s="24" t="n"/>
      <c r="N39" s="24" t="n"/>
      <c r="O39" s="26">
        <f>IF($A39="","",$F39*$D39)</f>
        <v/>
      </c>
      <c r="P39" s="26">
        <f>IF($A39="","",MAX(0,$O39-$E39))</f>
        <v/>
      </c>
      <c r="Q39" s="26">
        <f>IF($A39="","",IF(OR($J39="TAMAM"),0,$P39))</f>
        <v/>
      </c>
      <c r="R39" s="26">
        <f>IF(OR($A39="",$J39="TAMAM"),"",IFERROR($H39/MAX(1,SUMIF(tblKartlar[KartId],$B39,tblKartlar[KapasiteSaat])),0))</f>
        <v/>
      </c>
      <c r="S39" s="26">
        <f>IF($A39="","",IF($B39="","YETİM",IF(COUNTIF(tblKartlar[KartId],$B39)=0,"YETİM","")))</f>
        <v/>
      </c>
      <c r="T39" s="26">
        <f>IF(OR($A39="",$I39=""),"",IF(OR($I39&amp;"|"&amp;$J39="",COUNTIF(ListeIzinliGecis,$I39&amp;"|"&amp;$J39)&gt;0),"","GEÇERSİZ GEÇİŞ"))</f>
        <v/>
      </c>
      <c r="U39" s="26">
        <f>IF($A39="","",IF(OR($O39="",$K39=""),"",IF(ABS($K39-$O39)&gt;zincirTolerans,"ZİNCİR KIRIK","OK")))</f>
        <v/>
      </c>
      <c r="V39" s="26">
        <f>IF($A39="","",1)</f>
        <v/>
      </c>
      <c r="W39" s="26">
        <f>IF($A39="","",IF($J39="TAMAM",0,IF($L39="","",raporTarihi-$L39)))</f>
        <v/>
      </c>
    </row>
    <row r="40">
      <c r="A40" s="24" t="n"/>
      <c r="B40" s="24" t="n"/>
      <c r="C40" s="24" t="n"/>
      <c r="D40" s="25" t="n"/>
      <c r="E40" s="25" t="n"/>
      <c r="F40" s="25" t="n"/>
      <c r="G40" s="27" t="n"/>
      <c r="H40" s="25" t="n"/>
      <c r="I40" s="24" t="n"/>
      <c r="J40" s="24" t="n"/>
      <c r="K40" s="25" t="n"/>
      <c r="L40" s="28" t="n"/>
      <c r="M40" s="24" t="n"/>
      <c r="N40" s="24" t="n"/>
      <c r="O40" s="26">
        <f>IF($A40="","",$F40*$D40)</f>
        <v/>
      </c>
      <c r="P40" s="26">
        <f>IF($A40="","",MAX(0,$O40-$E40))</f>
        <v/>
      </c>
      <c r="Q40" s="26">
        <f>IF($A40="","",IF(OR($J40="TAMAM"),0,$P40))</f>
        <v/>
      </c>
      <c r="R40" s="26">
        <f>IF(OR($A40="",$J40="TAMAM"),"",IFERROR($H40/MAX(1,SUMIF(tblKartlar[KartId],$B40,tblKartlar[KapasiteSaat])),0))</f>
        <v/>
      </c>
      <c r="S40" s="26">
        <f>IF($A40="","",IF($B40="","YETİM",IF(COUNTIF(tblKartlar[KartId],$B40)=0,"YETİM","")))</f>
        <v/>
      </c>
      <c r="T40" s="26">
        <f>IF(OR($A40="",$I40=""),"",IF(OR($I40&amp;"|"&amp;$J40="",COUNTIF(ListeIzinliGecis,$I40&amp;"|"&amp;$J40)&gt;0),"","GEÇERSİZ GEÇİŞ"))</f>
        <v/>
      </c>
      <c r="U40" s="26">
        <f>IF($A40="","",IF(OR($O40="",$K40=""),"",IF(ABS($K40-$O40)&gt;zincirTolerans,"ZİNCİR KIRIK","OK")))</f>
        <v/>
      </c>
      <c r="V40" s="26">
        <f>IF($A40="","",1)</f>
        <v/>
      </c>
      <c r="W40" s="26">
        <f>IF($A40="","",IF($J40="TAMAM",0,IF($L40="","",raporTarihi-$L40)))</f>
        <v/>
      </c>
    </row>
    <row r="41">
      <c r="A41" s="24" t="n"/>
      <c r="B41" s="24" t="n"/>
      <c r="C41" s="24" t="n"/>
      <c r="D41" s="25" t="n"/>
      <c r="E41" s="25" t="n"/>
      <c r="F41" s="25" t="n"/>
      <c r="G41" s="27" t="n"/>
      <c r="H41" s="25" t="n"/>
      <c r="I41" s="24" t="n"/>
      <c r="J41" s="24" t="n"/>
      <c r="K41" s="25" t="n"/>
      <c r="L41" s="28" t="n"/>
      <c r="M41" s="24" t="n"/>
      <c r="N41" s="24" t="n"/>
      <c r="O41" s="26">
        <f>IF($A41="","",$F41*$D41)</f>
        <v/>
      </c>
      <c r="P41" s="26">
        <f>IF($A41="","",MAX(0,$O41-$E41))</f>
        <v/>
      </c>
      <c r="Q41" s="26">
        <f>IF($A41="","",IF(OR($J41="TAMAM"),0,$P41))</f>
        <v/>
      </c>
      <c r="R41" s="26">
        <f>IF(OR($A41="",$J41="TAMAM"),"",IFERROR($H41/MAX(1,SUMIF(tblKartlar[KartId],$B41,tblKartlar[KapasiteSaat])),0))</f>
        <v/>
      </c>
      <c r="S41" s="26">
        <f>IF($A41="","",IF($B41="","YETİM",IF(COUNTIF(tblKartlar[KartId],$B41)=0,"YETİM","")))</f>
        <v/>
      </c>
      <c r="T41" s="26">
        <f>IF(OR($A41="",$I41=""),"",IF(OR($I41&amp;"|"&amp;$J41="",COUNTIF(ListeIzinliGecis,$I41&amp;"|"&amp;$J41)&gt;0),"","GEÇERSİZ GEÇİŞ"))</f>
        <v/>
      </c>
      <c r="U41" s="26">
        <f>IF($A41="","",IF(OR($O41="",$K41=""),"",IF(ABS($K41-$O41)&gt;zincirTolerans,"ZİNCİR KIRIK","OK")))</f>
        <v/>
      </c>
      <c r="V41" s="26">
        <f>IF($A41="","",1)</f>
        <v/>
      </c>
      <c r="W41" s="26">
        <f>IF($A41="","",IF($J41="TAMAM",0,IF($L41="","",raporTarihi-$L41)))</f>
        <v/>
      </c>
    </row>
    <row r="42">
      <c r="A42" s="24" t="n"/>
      <c r="B42" s="24" t="n"/>
      <c r="C42" s="24" t="n"/>
      <c r="D42" s="25" t="n"/>
      <c r="E42" s="25" t="n"/>
      <c r="F42" s="25" t="n"/>
      <c r="G42" s="27" t="n"/>
      <c r="H42" s="25" t="n"/>
      <c r="I42" s="24" t="n"/>
      <c r="J42" s="24" t="n"/>
      <c r="K42" s="25" t="n"/>
      <c r="L42" s="28" t="n"/>
      <c r="M42" s="24" t="n"/>
      <c r="N42" s="24" t="n"/>
      <c r="O42" s="26">
        <f>IF($A42="","",$F42*$D42)</f>
        <v/>
      </c>
      <c r="P42" s="26">
        <f>IF($A42="","",MAX(0,$O42-$E42))</f>
        <v/>
      </c>
      <c r="Q42" s="26">
        <f>IF($A42="","",IF(OR($J42="TAMAM"),0,$P42))</f>
        <v/>
      </c>
      <c r="R42" s="26">
        <f>IF(OR($A42="",$J42="TAMAM"),"",IFERROR($H42/MAX(1,SUMIF(tblKartlar[KartId],$B42,tblKartlar[KapasiteSaat])),0))</f>
        <v/>
      </c>
      <c r="S42" s="26">
        <f>IF($A42="","",IF($B42="","YETİM",IF(COUNTIF(tblKartlar[KartId],$B42)=0,"YETİM","")))</f>
        <v/>
      </c>
      <c r="T42" s="26">
        <f>IF(OR($A42="",$I42=""),"",IF(OR($I42&amp;"|"&amp;$J42="",COUNTIF(ListeIzinliGecis,$I42&amp;"|"&amp;$J42)&gt;0),"","GEÇERSİZ GEÇİŞ"))</f>
        <v/>
      </c>
      <c r="U42" s="26">
        <f>IF($A42="","",IF(OR($O42="",$K42=""),"",IF(ABS($K42-$O42)&gt;zincirTolerans,"ZİNCİR KIRIK","OK")))</f>
        <v/>
      </c>
      <c r="V42" s="26">
        <f>IF($A42="","",1)</f>
        <v/>
      </c>
      <c r="W42" s="26">
        <f>IF($A42="","",IF($J42="TAMAM",0,IF($L42="","",raporTarihi-$L42)))</f>
        <v/>
      </c>
    </row>
    <row r="43">
      <c r="A43" s="24" t="n"/>
      <c r="B43" s="24" t="n"/>
      <c r="C43" s="24" t="n"/>
      <c r="D43" s="25" t="n"/>
      <c r="E43" s="25" t="n"/>
      <c r="F43" s="25" t="n"/>
      <c r="G43" s="27" t="n"/>
      <c r="H43" s="25" t="n"/>
      <c r="I43" s="24" t="n"/>
      <c r="J43" s="24" t="n"/>
      <c r="K43" s="25" t="n"/>
      <c r="L43" s="28" t="n"/>
      <c r="M43" s="24" t="n"/>
      <c r="N43" s="24" t="n"/>
      <c r="O43" s="26">
        <f>IF($A43="","",$F43*$D43)</f>
        <v/>
      </c>
      <c r="P43" s="26">
        <f>IF($A43="","",MAX(0,$O43-$E43))</f>
        <v/>
      </c>
      <c r="Q43" s="26">
        <f>IF($A43="","",IF(OR($J43="TAMAM"),0,$P43))</f>
        <v/>
      </c>
      <c r="R43" s="26">
        <f>IF(OR($A43="",$J43="TAMAM"),"",IFERROR($H43/MAX(1,SUMIF(tblKartlar[KartId],$B43,tblKartlar[KapasiteSaat])),0))</f>
        <v/>
      </c>
      <c r="S43" s="26">
        <f>IF($A43="","",IF($B43="","YETİM",IF(COUNTIF(tblKartlar[KartId],$B43)=0,"YETİM","")))</f>
        <v/>
      </c>
      <c r="T43" s="26">
        <f>IF(OR($A43="",$I43=""),"",IF(OR($I43&amp;"|"&amp;$J43="",COUNTIF(ListeIzinliGecis,$I43&amp;"|"&amp;$J43)&gt;0),"","GEÇERSİZ GEÇİŞ"))</f>
        <v/>
      </c>
      <c r="U43" s="26">
        <f>IF($A43="","",IF(OR($O43="",$K43=""),"",IF(ABS($K43-$O43)&gt;zincirTolerans,"ZİNCİR KIRIK","OK")))</f>
        <v/>
      </c>
      <c r="V43" s="26">
        <f>IF($A43="","",1)</f>
        <v/>
      </c>
      <c r="W43" s="26">
        <f>IF($A43="","",IF($J43="TAMAM",0,IF($L43="","",raporTarihi-$L43)))</f>
        <v/>
      </c>
    </row>
    <row r="44">
      <c r="A44" s="24" t="n"/>
      <c r="B44" s="24" t="n"/>
      <c r="C44" s="24" t="n"/>
      <c r="D44" s="25" t="n"/>
      <c r="E44" s="25" t="n"/>
      <c r="F44" s="25" t="n"/>
      <c r="G44" s="27" t="n"/>
      <c r="H44" s="25" t="n"/>
      <c r="I44" s="24" t="n"/>
      <c r="J44" s="24" t="n"/>
      <c r="K44" s="25" t="n"/>
      <c r="L44" s="28" t="n"/>
      <c r="M44" s="24" t="n"/>
      <c r="N44" s="24" t="n"/>
      <c r="O44" s="26">
        <f>IF($A44="","",$F44*$D44)</f>
        <v/>
      </c>
      <c r="P44" s="26">
        <f>IF($A44="","",MAX(0,$O44-$E44))</f>
        <v/>
      </c>
      <c r="Q44" s="26">
        <f>IF($A44="","",IF(OR($J44="TAMAM"),0,$P44))</f>
        <v/>
      </c>
      <c r="R44" s="26">
        <f>IF(OR($A44="",$J44="TAMAM"),"",IFERROR($H44/MAX(1,SUMIF(tblKartlar[KartId],$B44,tblKartlar[KapasiteSaat])),0))</f>
        <v/>
      </c>
      <c r="S44" s="26">
        <f>IF($A44="","",IF($B44="","YETİM",IF(COUNTIF(tblKartlar[KartId],$B44)=0,"YETİM","")))</f>
        <v/>
      </c>
      <c r="T44" s="26">
        <f>IF(OR($A44="",$I44=""),"",IF(OR($I44&amp;"|"&amp;$J44="",COUNTIF(ListeIzinliGecis,$I44&amp;"|"&amp;$J44)&gt;0),"","GEÇERSİZ GEÇİŞ"))</f>
        <v/>
      </c>
      <c r="U44" s="26">
        <f>IF($A44="","",IF(OR($O44="",$K44=""),"",IF(ABS($K44-$O44)&gt;zincirTolerans,"ZİNCİR KIRIK","OK")))</f>
        <v/>
      </c>
      <c r="V44" s="26">
        <f>IF($A44="","",1)</f>
        <v/>
      </c>
      <c r="W44" s="26">
        <f>IF($A44="","",IF($J44="TAMAM",0,IF($L44="","",raporTarihi-$L44)))</f>
        <v/>
      </c>
    </row>
    <row r="45">
      <c r="A45" s="24" t="n"/>
      <c r="B45" s="24" t="n"/>
      <c r="C45" s="24" t="n"/>
      <c r="D45" s="25" t="n"/>
      <c r="E45" s="25" t="n"/>
      <c r="F45" s="25" t="n"/>
      <c r="G45" s="27" t="n"/>
      <c r="H45" s="25" t="n"/>
      <c r="I45" s="24" t="n"/>
      <c r="J45" s="24" t="n"/>
      <c r="K45" s="25" t="n"/>
      <c r="L45" s="28" t="n"/>
      <c r="M45" s="24" t="n"/>
      <c r="N45" s="24" t="n"/>
      <c r="O45" s="26">
        <f>IF($A45="","",$F45*$D45)</f>
        <v/>
      </c>
      <c r="P45" s="26">
        <f>IF($A45="","",MAX(0,$O45-$E45))</f>
        <v/>
      </c>
      <c r="Q45" s="26">
        <f>IF($A45="","",IF(OR($J45="TAMAM"),0,$P45))</f>
        <v/>
      </c>
      <c r="R45" s="26">
        <f>IF(OR($A45="",$J45="TAMAM"),"",IFERROR($H45/MAX(1,SUMIF(tblKartlar[KartId],$B45,tblKartlar[KapasiteSaat])),0))</f>
        <v/>
      </c>
      <c r="S45" s="26">
        <f>IF($A45="","",IF($B45="","YETİM",IF(COUNTIF(tblKartlar[KartId],$B45)=0,"YETİM","")))</f>
        <v/>
      </c>
      <c r="T45" s="26">
        <f>IF(OR($A45="",$I45=""),"",IF(OR($I45&amp;"|"&amp;$J45="",COUNTIF(ListeIzinliGecis,$I45&amp;"|"&amp;$J45)&gt;0),"","GEÇERSİZ GEÇİŞ"))</f>
        <v/>
      </c>
      <c r="U45" s="26">
        <f>IF($A45="","",IF(OR($O45="",$K45=""),"",IF(ABS($K45-$O45)&gt;zincirTolerans,"ZİNCİR KIRIK","OK")))</f>
        <v/>
      </c>
      <c r="V45" s="26">
        <f>IF($A45="","",1)</f>
        <v/>
      </c>
      <c r="W45" s="26">
        <f>IF($A45="","",IF($J45="TAMAM",0,IF($L45="","",raporTarihi-$L45)))</f>
        <v/>
      </c>
    </row>
    <row r="46">
      <c r="A46" s="24" t="n"/>
      <c r="B46" s="24" t="n"/>
      <c r="C46" s="24" t="n"/>
      <c r="D46" s="25" t="n"/>
      <c r="E46" s="25" t="n"/>
      <c r="F46" s="25" t="n"/>
      <c r="G46" s="27" t="n"/>
      <c r="H46" s="25" t="n"/>
      <c r="I46" s="24" t="n"/>
      <c r="J46" s="24" t="n"/>
      <c r="K46" s="25" t="n"/>
      <c r="L46" s="28" t="n"/>
      <c r="M46" s="24" t="n"/>
      <c r="N46" s="24" t="n"/>
      <c r="O46" s="26">
        <f>IF($A46="","",$F46*$D46)</f>
        <v/>
      </c>
      <c r="P46" s="26">
        <f>IF($A46="","",MAX(0,$O46-$E46))</f>
        <v/>
      </c>
      <c r="Q46" s="26">
        <f>IF($A46="","",IF(OR($J46="TAMAM"),0,$P46))</f>
        <v/>
      </c>
      <c r="R46" s="26">
        <f>IF(OR($A46="",$J46="TAMAM"),"",IFERROR($H46/MAX(1,SUMIF(tblKartlar[KartId],$B46,tblKartlar[KapasiteSaat])),0))</f>
        <v/>
      </c>
      <c r="S46" s="26">
        <f>IF($A46="","",IF($B46="","YETİM",IF(COUNTIF(tblKartlar[KartId],$B46)=0,"YETİM","")))</f>
        <v/>
      </c>
      <c r="T46" s="26">
        <f>IF(OR($A46="",$I46=""),"",IF(OR($I46&amp;"|"&amp;$J46="",COUNTIF(ListeIzinliGecis,$I46&amp;"|"&amp;$J46)&gt;0),"","GEÇERSİZ GEÇİŞ"))</f>
        <v/>
      </c>
      <c r="U46" s="26">
        <f>IF($A46="","",IF(OR($O46="",$K46=""),"",IF(ABS($K46-$O46)&gt;zincirTolerans,"ZİNCİR KIRIK","OK")))</f>
        <v/>
      </c>
      <c r="V46" s="26">
        <f>IF($A46="","",1)</f>
        <v/>
      </c>
      <c r="W46" s="26">
        <f>IF($A46="","",IF($J46="TAMAM",0,IF($L46="","",raporTarihi-$L46)))</f>
        <v/>
      </c>
    </row>
    <row r="47">
      <c r="A47" s="24" t="n"/>
      <c r="B47" s="24" t="n"/>
      <c r="C47" s="24" t="n"/>
      <c r="D47" s="25" t="n"/>
      <c r="E47" s="25" t="n"/>
      <c r="F47" s="25" t="n"/>
      <c r="G47" s="27" t="n"/>
      <c r="H47" s="25" t="n"/>
      <c r="I47" s="24" t="n"/>
      <c r="J47" s="24" t="n"/>
      <c r="K47" s="25" t="n"/>
      <c r="L47" s="28" t="n"/>
      <c r="M47" s="24" t="n"/>
      <c r="N47" s="24" t="n"/>
      <c r="O47" s="26">
        <f>IF($A47="","",$F47*$D47)</f>
        <v/>
      </c>
      <c r="P47" s="26">
        <f>IF($A47="","",MAX(0,$O47-$E47))</f>
        <v/>
      </c>
      <c r="Q47" s="26">
        <f>IF($A47="","",IF(OR($J47="TAMAM"),0,$P47))</f>
        <v/>
      </c>
      <c r="R47" s="26">
        <f>IF(OR($A47="",$J47="TAMAM"),"",IFERROR($H47/MAX(1,SUMIF(tblKartlar[KartId],$B47,tblKartlar[KapasiteSaat])),0))</f>
        <v/>
      </c>
      <c r="S47" s="26">
        <f>IF($A47="","",IF($B47="","YETİM",IF(COUNTIF(tblKartlar[KartId],$B47)=0,"YETİM","")))</f>
        <v/>
      </c>
      <c r="T47" s="26">
        <f>IF(OR($A47="",$I47=""),"",IF(OR($I47&amp;"|"&amp;$J47="",COUNTIF(ListeIzinliGecis,$I47&amp;"|"&amp;$J47)&gt;0),"","GEÇERSİZ GEÇİŞ"))</f>
        <v/>
      </c>
      <c r="U47" s="26">
        <f>IF($A47="","",IF(OR($O47="",$K47=""),"",IF(ABS($K47-$O47)&gt;zincirTolerans,"ZİNCİR KIRIK","OK")))</f>
        <v/>
      </c>
      <c r="V47" s="26">
        <f>IF($A47="","",1)</f>
        <v/>
      </c>
      <c r="W47" s="26">
        <f>IF($A47="","",IF($J47="TAMAM",0,IF($L47="","",raporTarihi-$L47)))</f>
        <v/>
      </c>
    </row>
    <row r="48">
      <c r="A48" s="24" t="n"/>
      <c r="B48" s="24" t="n"/>
      <c r="C48" s="24" t="n"/>
      <c r="D48" s="25" t="n"/>
      <c r="E48" s="25" t="n"/>
      <c r="F48" s="25" t="n"/>
      <c r="G48" s="27" t="n"/>
      <c r="H48" s="25" t="n"/>
      <c r="I48" s="24" t="n"/>
      <c r="J48" s="24" t="n"/>
      <c r="K48" s="25" t="n"/>
      <c r="L48" s="28" t="n"/>
      <c r="M48" s="24" t="n"/>
      <c r="N48" s="24" t="n"/>
      <c r="O48" s="26">
        <f>IF($A48="","",$F48*$D48)</f>
        <v/>
      </c>
      <c r="P48" s="26">
        <f>IF($A48="","",MAX(0,$O48-$E48))</f>
        <v/>
      </c>
      <c r="Q48" s="26">
        <f>IF($A48="","",IF(OR($J48="TAMAM"),0,$P48))</f>
        <v/>
      </c>
      <c r="R48" s="26">
        <f>IF(OR($A48="",$J48="TAMAM"),"",IFERROR($H48/MAX(1,SUMIF(tblKartlar[KartId],$B48,tblKartlar[KapasiteSaat])),0))</f>
        <v/>
      </c>
      <c r="S48" s="26">
        <f>IF($A48="","",IF($B48="","YETİM",IF(COUNTIF(tblKartlar[KartId],$B48)=0,"YETİM","")))</f>
        <v/>
      </c>
      <c r="T48" s="26">
        <f>IF(OR($A48="",$I48=""),"",IF(OR($I48&amp;"|"&amp;$J48="",COUNTIF(ListeIzinliGecis,$I48&amp;"|"&amp;$J48)&gt;0),"","GEÇERSİZ GEÇİŞ"))</f>
        <v/>
      </c>
      <c r="U48" s="26">
        <f>IF($A48="","",IF(OR($O48="",$K48=""),"",IF(ABS($K48-$O48)&gt;zincirTolerans,"ZİNCİR KIRIK","OK")))</f>
        <v/>
      </c>
      <c r="V48" s="26">
        <f>IF($A48="","",1)</f>
        <v/>
      </c>
      <c r="W48" s="26">
        <f>IF($A48="","",IF($J48="TAMAM",0,IF($L48="","",raporTarihi-$L48)))</f>
        <v/>
      </c>
    </row>
    <row r="49">
      <c r="A49" s="24" t="n"/>
      <c r="B49" s="24" t="n"/>
      <c r="C49" s="24" t="n"/>
      <c r="D49" s="25" t="n"/>
      <c r="E49" s="25" t="n"/>
      <c r="F49" s="25" t="n"/>
      <c r="G49" s="27" t="n"/>
      <c r="H49" s="25" t="n"/>
      <c r="I49" s="24" t="n"/>
      <c r="J49" s="24" t="n"/>
      <c r="K49" s="25" t="n"/>
      <c r="L49" s="28" t="n"/>
      <c r="M49" s="24" t="n"/>
      <c r="N49" s="24" t="n"/>
      <c r="O49" s="26">
        <f>IF($A49="","",$F49*$D49)</f>
        <v/>
      </c>
      <c r="P49" s="26">
        <f>IF($A49="","",MAX(0,$O49-$E49))</f>
        <v/>
      </c>
      <c r="Q49" s="26">
        <f>IF($A49="","",IF(OR($J49="TAMAM"),0,$P49))</f>
        <v/>
      </c>
      <c r="R49" s="26">
        <f>IF(OR($A49="",$J49="TAMAM"),"",IFERROR($H49/MAX(1,SUMIF(tblKartlar[KartId],$B49,tblKartlar[KapasiteSaat])),0))</f>
        <v/>
      </c>
      <c r="S49" s="26">
        <f>IF($A49="","",IF($B49="","YETİM",IF(COUNTIF(tblKartlar[KartId],$B49)=0,"YETİM","")))</f>
        <v/>
      </c>
      <c r="T49" s="26">
        <f>IF(OR($A49="",$I49=""),"",IF(OR($I49&amp;"|"&amp;$J49="",COUNTIF(ListeIzinliGecis,$I49&amp;"|"&amp;$J49)&gt;0),"","GEÇERSİZ GEÇİŞ"))</f>
        <v/>
      </c>
      <c r="U49" s="26">
        <f>IF($A49="","",IF(OR($O49="",$K49=""),"",IF(ABS($K49-$O49)&gt;zincirTolerans,"ZİNCİR KIRIK","OK")))</f>
        <v/>
      </c>
      <c r="V49" s="26">
        <f>IF($A49="","",1)</f>
        <v/>
      </c>
      <c r="W49" s="26">
        <f>IF($A49="","",IF($J49="TAMAM",0,IF($L49="","",raporTarihi-$L49)))</f>
        <v/>
      </c>
    </row>
    <row r="50">
      <c r="A50" s="24" t="n"/>
      <c r="B50" s="24" t="n"/>
      <c r="C50" s="24" t="n"/>
      <c r="D50" s="25" t="n"/>
      <c r="E50" s="25" t="n"/>
      <c r="F50" s="25" t="n"/>
      <c r="G50" s="27" t="n"/>
      <c r="H50" s="25" t="n"/>
      <c r="I50" s="24" t="n"/>
      <c r="J50" s="24" t="n"/>
      <c r="K50" s="25" t="n"/>
      <c r="L50" s="28" t="n"/>
      <c r="M50" s="24" t="n"/>
      <c r="N50" s="24" t="n"/>
      <c r="O50" s="26">
        <f>IF($A50="","",$F50*$D50)</f>
        <v/>
      </c>
      <c r="P50" s="26">
        <f>IF($A50="","",MAX(0,$O50-$E50))</f>
        <v/>
      </c>
      <c r="Q50" s="26">
        <f>IF($A50="","",IF(OR($J50="TAMAM"),0,$P50))</f>
        <v/>
      </c>
      <c r="R50" s="26">
        <f>IF(OR($A50="",$J50="TAMAM"),"",IFERROR($H50/MAX(1,SUMIF(tblKartlar[KartId],$B50,tblKartlar[KapasiteSaat])),0))</f>
        <v/>
      </c>
      <c r="S50" s="26">
        <f>IF($A50="","",IF($B50="","YETİM",IF(COUNTIF(tblKartlar[KartId],$B50)=0,"YETİM","")))</f>
        <v/>
      </c>
      <c r="T50" s="26">
        <f>IF(OR($A50="",$I50=""),"",IF(OR($I50&amp;"|"&amp;$J50="",COUNTIF(ListeIzinliGecis,$I50&amp;"|"&amp;$J50)&gt;0),"","GEÇERSİZ GEÇİŞ"))</f>
        <v/>
      </c>
      <c r="U50" s="26">
        <f>IF($A50="","",IF(OR($O50="",$K50=""),"",IF(ABS($K50-$O50)&gt;zincirTolerans,"ZİNCİR KIRIK","OK")))</f>
        <v/>
      </c>
      <c r="V50" s="26">
        <f>IF($A50="","",1)</f>
        <v/>
      </c>
      <c r="W50" s="26">
        <f>IF($A50="","",IF($J50="TAMAM",0,IF($L50="","",raporTarihi-$L50)))</f>
        <v/>
      </c>
    </row>
    <row r="51">
      <c r="A51" s="24" t="n"/>
      <c r="B51" s="24" t="n"/>
      <c r="C51" s="24" t="n"/>
      <c r="D51" s="25" t="n"/>
      <c r="E51" s="25" t="n"/>
      <c r="F51" s="25" t="n"/>
      <c r="G51" s="27" t="n"/>
      <c r="H51" s="25" t="n"/>
      <c r="I51" s="24" t="n"/>
      <c r="J51" s="24" t="n"/>
      <c r="K51" s="25" t="n"/>
      <c r="L51" s="28" t="n"/>
      <c r="M51" s="24" t="n"/>
      <c r="N51" s="24" t="n"/>
      <c r="O51" s="26">
        <f>IF($A51="","",$F51*$D51)</f>
        <v/>
      </c>
      <c r="P51" s="26">
        <f>IF($A51="","",MAX(0,$O51-$E51))</f>
        <v/>
      </c>
      <c r="Q51" s="26">
        <f>IF($A51="","",IF(OR($J51="TAMAM"),0,$P51))</f>
        <v/>
      </c>
      <c r="R51" s="26">
        <f>IF(OR($A51="",$J51="TAMAM"),"",IFERROR($H51/MAX(1,SUMIF(tblKartlar[KartId],$B51,tblKartlar[KapasiteSaat])),0))</f>
        <v/>
      </c>
      <c r="S51" s="26">
        <f>IF($A51="","",IF($B51="","YETİM",IF(COUNTIF(tblKartlar[KartId],$B51)=0,"YETİM","")))</f>
        <v/>
      </c>
      <c r="T51" s="26">
        <f>IF(OR($A51="",$I51=""),"",IF(OR($I51&amp;"|"&amp;$J51="",COUNTIF(ListeIzinliGecis,$I51&amp;"|"&amp;$J51)&gt;0),"","GEÇERSİZ GEÇİŞ"))</f>
        <v/>
      </c>
      <c r="U51" s="26">
        <f>IF($A51="","",IF(OR($O51="",$K51=""),"",IF(ABS($K51-$O51)&gt;zincirTolerans,"ZİNCİR KIRIK","OK")))</f>
        <v/>
      </c>
      <c r="V51" s="26">
        <f>IF($A51="","",1)</f>
        <v/>
      </c>
      <c r="W51" s="26">
        <f>IF($A51="","",IF($J51="TAMAM",0,IF($L51="","",raporTarihi-$L51)))</f>
        <v/>
      </c>
    </row>
    <row r="52">
      <c r="A52" s="24" t="n"/>
      <c r="B52" s="24" t="n"/>
      <c r="C52" s="24" t="n"/>
      <c r="D52" s="25" t="n"/>
      <c r="E52" s="25" t="n"/>
      <c r="F52" s="25" t="n"/>
      <c r="G52" s="27" t="n"/>
      <c r="H52" s="25" t="n"/>
      <c r="I52" s="24" t="n"/>
      <c r="J52" s="24" t="n"/>
      <c r="K52" s="25" t="n"/>
      <c r="L52" s="28" t="n"/>
      <c r="M52" s="24" t="n"/>
      <c r="N52" s="24" t="n"/>
      <c r="O52" s="26">
        <f>IF($A52="","",$F52*$D52)</f>
        <v/>
      </c>
      <c r="P52" s="26">
        <f>IF($A52="","",MAX(0,$O52-$E52))</f>
        <v/>
      </c>
      <c r="Q52" s="26">
        <f>IF($A52="","",IF(OR($J52="TAMAM"),0,$P52))</f>
        <v/>
      </c>
      <c r="R52" s="26">
        <f>IF(OR($A52="",$J52="TAMAM"),"",IFERROR($H52/MAX(1,SUMIF(tblKartlar[KartId],$B52,tblKartlar[KapasiteSaat])),0))</f>
        <v/>
      </c>
      <c r="S52" s="26">
        <f>IF($A52="","",IF($B52="","YETİM",IF(COUNTIF(tblKartlar[KartId],$B52)=0,"YETİM","")))</f>
        <v/>
      </c>
      <c r="T52" s="26">
        <f>IF(OR($A52="",$I52=""),"",IF(OR($I52&amp;"|"&amp;$J52="",COUNTIF(ListeIzinliGecis,$I52&amp;"|"&amp;$J52)&gt;0),"","GEÇERSİZ GEÇİŞ"))</f>
        <v/>
      </c>
      <c r="U52" s="26">
        <f>IF($A52="","",IF(OR($O52="",$K52=""),"",IF(ABS($K52-$O52)&gt;zincirTolerans,"ZİNCİR KIRIK","OK")))</f>
        <v/>
      </c>
      <c r="V52" s="26">
        <f>IF($A52="","",1)</f>
        <v/>
      </c>
      <c r="W52" s="26">
        <f>IF($A52="","",IF($J52="TAMAM",0,IF($L52="","",raporTarihi-$L52)))</f>
        <v/>
      </c>
    </row>
    <row r="53">
      <c r="A53" s="24" t="n"/>
      <c r="B53" s="24" t="n"/>
      <c r="C53" s="24" t="n"/>
      <c r="D53" s="25" t="n"/>
      <c r="E53" s="25" t="n"/>
      <c r="F53" s="25" t="n"/>
      <c r="G53" s="27" t="n"/>
      <c r="H53" s="25" t="n"/>
      <c r="I53" s="24" t="n"/>
      <c r="J53" s="24" t="n"/>
      <c r="K53" s="25" t="n"/>
      <c r="L53" s="28" t="n"/>
      <c r="M53" s="24" t="n"/>
      <c r="N53" s="24" t="n"/>
      <c r="O53" s="26">
        <f>IF($A53="","",$F53*$D53)</f>
        <v/>
      </c>
      <c r="P53" s="26">
        <f>IF($A53="","",MAX(0,$O53-$E53))</f>
        <v/>
      </c>
      <c r="Q53" s="26">
        <f>IF($A53="","",IF(OR($J53="TAMAM"),0,$P53))</f>
        <v/>
      </c>
      <c r="R53" s="26">
        <f>IF(OR($A53="",$J53="TAMAM"),"",IFERROR($H53/MAX(1,SUMIF(tblKartlar[KartId],$B53,tblKartlar[KapasiteSaat])),0))</f>
        <v/>
      </c>
      <c r="S53" s="26">
        <f>IF($A53="","",IF($B53="","YETİM",IF(COUNTIF(tblKartlar[KartId],$B53)=0,"YETİM","")))</f>
        <v/>
      </c>
      <c r="T53" s="26">
        <f>IF(OR($A53="",$I53=""),"",IF(OR($I53&amp;"|"&amp;$J53="",COUNTIF(ListeIzinliGecis,$I53&amp;"|"&amp;$J53)&gt;0),"","GEÇERSİZ GEÇİŞ"))</f>
        <v/>
      </c>
      <c r="U53" s="26">
        <f>IF($A53="","",IF(OR($O53="",$K53=""),"",IF(ABS($K53-$O53)&gt;zincirTolerans,"ZİNCİR KIRIK","OK")))</f>
        <v/>
      </c>
      <c r="V53" s="26">
        <f>IF($A53="","",1)</f>
        <v/>
      </c>
      <c r="W53" s="26">
        <f>IF($A53="","",IF($J53="TAMAM",0,IF($L53="","",raporTarihi-$L53)))</f>
        <v/>
      </c>
    </row>
    <row r="54">
      <c r="A54" s="24" t="n"/>
      <c r="B54" s="24" t="n"/>
      <c r="C54" s="24" t="n"/>
      <c r="D54" s="25" t="n"/>
      <c r="E54" s="25" t="n"/>
      <c r="F54" s="25" t="n"/>
      <c r="G54" s="27" t="n"/>
      <c r="H54" s="25" t="n"/>
      <c r="I54" s="24" t="n"/>
      <c r="J54" s="24" t="n"/>
      <c r="K54" s="25" t="n"/>
      <c r="L54" s="28" t="n"/>
      <c r="M54" s="24" t="n"/>
      <c r="N54" s="24" t="n"/>
      <c r="O54" s="26">
        <f>IF($A54="","",$F54*$D54)</f>
        <v/>
      </c>
      <c r="P54" s="26">
        <f>IF($A54="","",MAX(0,$O54-$E54))</f>
        <v/>
      </c>
      <c r="Q54" s="26">
        <f>IF($A54="","",IF(OR($J54="TAMAM"),0,$P54))</f>
        <v/>
      </c>
      <c r="R54" s="26">
        <f>IF(OR($A54="",$J54="TAMAM"),"",IFERROR($H54/MAX(1,SUMIF(tblKartlar[KartId],$B54,tblKartlar[KapasiteSaat])),0))</f>
        <v/>
      </c>
      <c r="S54" s="26">
        <f>IF($A54="","",IF($B54="","YETİM",IF(COUNTIF(tblKartlar[KartId],$B54)=0,"YETİM","")))</f>
        <v/>
      </c>
      <c r="T54" s="26">
        <f>IF(OR($A54="",$I54=""),"",IF(OR($I54&amp;"|"&amp;$J54="",COUNTIF(ListeIzinliGecis,$I54&amp;"|"&amp;$J54)&gt;0),"","GEÇERSİZ GEÇİŞ"))</f>
        <v/>
      </c>
      <c r="U54" s="26">
        <f>IF($A54="","",IF(OR($O54="",$K54=""),"",IF(ABS($K54-$O54)&gt;zincirTolerans,"ZİNCİR KIRIK","OK")))</f>
        <v/>
      </c>
      <c r="V54" s="26">
        <f>IF($A54="","",1)</f>
        <v/>
      </c>
      <c r="W54" s="26">
        <f>IF($A54="","",IF($J54="TAMAM",0,IF($L54="","",raporTarihi-$L54)))</f>
        <v/>
      </c>
    </row>
    <row r="55">
      <c r="A55" s="24" t="n"/>
      <c r="B55" s="24" t="n"/>
      <c r="C55" s="24" t="n"/>
      <c r="D55" s="25" t="n"/>
      <c r="E55" s="25" t="n"/>
      <c r="F55" s="25" t="n"/>
      <c r="G55" s="27" t="n"/>
      <c r="H55" s="25" t="n"/>
      <c r="I55" s="24" t="n"/>
      <c r="J55" s="24" t="n"/>
      <c r="K55" s="25" t="n"/>
      <c r="L55" s="28" t="n"/>
      <c r="M55" s="24" t="n"/>
      <c r="N55" s="24" t="n"/>
      <c r="O55" s="26">
        <f>IF($A55="","",$F55*$D55)</f>
        <v/>
      </c>
      <c r="P55" s="26">
        <f>IF($A55="","",MAX(0,$O55-$E55))</f>
        <v/>
      </c>
      <c r="Q55" s="26">
        <f>IF($A55="","",IF(OR($J55="TAMAM"),0,$P55))</f>
        <v/>
      </c>
      <c r="R55" s="26">
        <f>IF(OR($A55="",$J55="TAMAM"),"",IFERROR($H55/MAX(1,SUMIF(tblKartlar[KartId],$B55,tblKartlar[KapasiteSaat])),0))</f>
        <v/>
      </c>
      <c r="S55" s="26">
        <f>IF($A55="","",IF($B55="","YETİM",IF(COUNTIF(tblKartlar[KartId],$B55)=0,"YETİM","")))</f>
        <v/>
      </c>
      <c r="T55" s="26">
        <f>IF(OR($A55="",$I55=""),"",IF(OR($I55&amp;"|"&amp;$J55="",COUNTIF(ListeIzinliGecis,$I55&amp;"|"&amp;$J55)&gt;0),"","GEÇERSİZ GEÇİŞ"))</f>
        <v/>
      </c>
      <c r="U55" s="26">
        <f>IF($A55="","",IF(OR($O55="",$K55=""),"",IF(ABS($K55-$O55)&gt;zincirTolerans,"ZİNCİR KIRIK","OK")))</f>
        <v/>
      </c>
      <c r="V55" s="26">
        <f>IF($A55="","",1)</f>
        <v/>
      </c>
      <c r="W55" s="26">
        <f>IF($A55="","",IF($J55="TAMAM",0,IF($L55="","",raporTarihi-$L55)))</f>
        <v/>
      </c>
    </row>
    <row r="56">
      <c r="A56" s="24" t="n"/>
      <c r="B56" s="24" t="n"/>
      <c r="C56" s="24" t="n"/>
      <c r="D56" s="25" t="n"/>
      <c r="E56" s="25" t="n"/>
      <c r="F56" s="25" t="n"/>
      <c r="G56" s="27" t="n"/>
      <c r="H56" s="25" t="n"/>
      <c r="I56" s="24" t="n"/>
      <c r="J56" s="24" t="n"/>
      <c r="K56" s="25" t="n"/>
      <c r="L56" s="28" t="n"/>
      <c r="M56" s="24" t="n"/>
      <c r="N56" s="24" t="n"/>
      <c r="O56" s="26">
        <f>IF($A56="","",$F56*$D56)</f>
        <v/>
      </c>
      <c r="P56" s="26">
        <f>IF($A56="","",MAX(0,$O56-$E56))</f>
        <v/>
      </c>
      <c r="Q56" s="26">
        <f>IF($A56="","",IF(OR($J56="TAMAM"),0,$P56))</f>
        <v/>
      </c>
      <c r="R56" s="26">
        <f>IF(OR($A56="",$J56="TAMAM"),"",IFERROR($H56/MAX(1,SUMIF(tblKartlar[KartId],$B56,tblKartlar[KapasiteSaat])),0))</f>
        <v/>
      </c>
      <c r="S56" s="26">
        <f>IF($A56="","",IF($B56="","YETİM",IF(COUNTIF(tblKartlar[KartId],$B56)=0,"YETİM","")))</f>
        <v/>
      </c>
      <c r="T56" s="26">
        <f>IF(OR($A56="",$I56=""),"",IF(OR($I56&amp;"|"&amp;$J56="",COUNTIF(ListeIzinliGecis,$I56&amp;"|"&amp;$J56)&gt;0),"","GEÇERSİZ GEÇİŞ"))</f>
        <v/>
      </c>
      <c r="U56" s="26">
        <f>IF($A56="","",IF(OR($O56="",$K56=""),"",IF(ABS($K56-$O56)&gt;zincirTolerans,"ZİNCİR KIRIK","OK")))</f>
        <v/>
      </c>
      <c r="V56" s="26">
        <f>IF($A56="","",1)</f>
        <v/>
      </c>
      <c r="W56" s="26">
        <f>IF($A56="","",IF($J56="TAMAM",0,IF($L56="","",raporTarihi-$L56)))</f>
        <v/>
      </c>
    </row>
    <row r="57">
      <c r="A57" s="24" t="n"/>
      <c r="B57" s="24" t="n"/>
      <c r="C57" s="24" t="n"/>
      <c r="D57" s="25" t="n"/>
      <c r="E57" s="25" t="n"/>
      <c r="F57" s="25" t="n"/>
      <c r="G57" s="27" t="n"/>
      <c r="H57" s="25" t="n"/>
      <c r="I57" s="24" t="n"/>
      <c r="J57" s="24" t="n"/>
      <c r="K57" s="25" t="n"/>
      <c r="L57" s="28" t="n"/>
      <c r="M57" s="24" t="n"/>
      <c r="N57" s="24" t="n"/>
      <c r="O57" s="26">
        <f>IF($A57="","",$F57*$D57)</f>
        <v/>
      </c>
      <c r="P57" s="26">
        <f>IF($A57="","",MAX(0,$O57-$E57))</f>
        <v/>
      </c>
      <c r="Q57" s="26">
        <f>IF($A57="","",IF(OR($J57="TAMAM"),0,$P57))</f>
        <v/>
      </c>
      <c r="R57" s="26">
        <f>IF(OR($A57="",$J57="TAMAM"),"",IFERROR($H57/MAX(1,SUMIF(tblKartlar[KartId],$B57,tblKartlar[KapasiteSaat])),0))</f>
        <v/>
      </c>
      <c r="S57" s="26">
        <f>IF($A57="","",IF($B57="","YETİM",IF(COUNTIF(tblKartlar[KartId],$B57)=0,"YETİM","")))</f>
        <v/>
      </c>
      <c r="T57" s="26">
        <f>IF(OR($A57="",$I57=""),"",IF(OR($I57&amp;"|"&amp;$J57="",COUNTIF(ListeIzinliGecis,$I57&amp;"|"&amp;$J57)&gt;0),"","GEÇERSİZ GEÇİŞ"))</f>
        <v/>
      </c>
      <c r="U57" s="26">
        <f>IF($A57="","",IF(OR($O57="",$K57=""),"",IF(ABS($K57-$O57)&gt;zincirTolerans,"ZİNCİR KIRIK","OK")))</f>
        <v/>
      </c>
      <c r="V57" s="26">
        <f>IF($A57="","",1)</f>
        <v/>
      </c>
      <c r="W57" s="26">
        <f>IF($A57="","",IF($J57="TAMAM",0,IF($L57="","",raporTarihi-$L57)))</f>
        <v/>
      </c>
    </row>
    <row r="58">
      <c r="A58" s="24" t="n"/>
      <c r="B58" s="24" t="n"/>
      <c r="C58" s="24" t="n"/>
      <c r="D58" s="25" t="n"/>
      <c r="E58" s="25" t="n"/>
      <c r="F58" s="25" t="n"/>
      <c r="G58" s="27" t="n"/>
      <c r="H58" s="25" t="n"/>
      <c r="I58" s="24" t="n"/>
      <c r="J58" s="24" t="n"/>
      <c r="K58" s="25" t="n"/>
      <c r="L58" s="28" t="n"/>
      <c r="M58" s="24" t="n"/>
      <c r="N58" s="24" t="n"/>
      <c r="O58" s="26">
        <f>IF($A58="","",$F58*$D58)</f>
        <v/>
      </c>
      <c r="P58" s="26">
        <f>IF($A58="","",MAX(0,$O58-$E58))</f>
        <v/>
      </c>
      <c r="Q58" s="26">
        <f>IF($A58="","",IF(OR($J58="TAMAM"),0,$P58))</f>
        <v/>
      </c>
      <c r="R58" s="26">
        <f>IF(OR($A58="",$J58="TAMAM"),"",IFERROR($H58/MAX(1,SUMIF(tblKartlar[KartId],$B58,tblKartlar[KapasiteSaat])),0))</f>
        <v/>
      </c>
      <c r="S58" s="26">
        <f>IF($A58="","",IF($B58="","YETİM",IF(COUNTIF(tblKartlar[KartId],$B58)=0,"YETİM","")))</f>
        <v/>
      </c>
      <c r="T58" s="26">
        <f>IF(OR($A58="",$I58=""),"",IF(OR($I58&amp;"|"&amp;$J58="",COUNTIF(ListeIzinliGecis,$I58&amp;"|"&amp;$J58)&gt;0),"","GEÇERSİZ GEÇİŞ"))</f>
        <v/>
      </c>
      <c r="U58" s="26">
        <f>IF($A58="","",IF(OR($O58="",$K58=""),"",IF(ABS($K58-$O58)&gt;zincirTolerans,"ZİNCİR KIRIK","OK")))</f>
        <v/>
      </c>
      <c r="V58" s="26">
        <f>IF($A58="","",1)</f>
        <v/>
      </c>
      <c r="W58" s="26">
        <f>IF($A58="","",IF($J58="TAMAM",0,IF($L58="","",raporTarihi-$L58)))</f>
        <v/>
      </c>
    </row>
    <row r="59">
      <c r="A59" s="24" t="n"/>
      <c r="B59" s="24" t="n"/>
      <c r="C59" s="24" t="n"/>
      <c r="D59" s="25" t="n"/>
      <c r="E59" s="25" t="n"/>
      <c r="F59" s="25" t="n"/>
      <c r="G59" s="27" t="n"/>
      <c r="H59" s="25" t="n"/>
      <c r="I59" s="24" t="n"/>
      <c r="J59" s="24" t="n"/>
      <c r="K59" s="25" t="n"/>
      <c r="L59" s="28" t="n"/>
      <c r="M59" s="24" t="n"/>
      <c r="N59" s="24" t="n"/>
      <c r="O59" s="26">
        <f>IF($A59="","",$F59*$D59)</f>
        <v/>
      </c>
      <c r="P59" s="26">
        <f>IF($A59="","",MAX(0,$O59-$E59))</f>
        <v/>
      </c>
      <c r="Q59" s="26">
        <f>IF($A59="","",IF(OR($J59="TAMAM"),0,$P59))</f>
        <v/>
      </c>
      <c r="R59" s="26">
        <f>IF(OR($A59="",$J59="TAMAM"),"",IFERROR($H59/MAX(1,SUMIF(tblKartlar[KartId],$B59,tblKartlar[KapasiteSaat])),0))</f>
        <v/>
      </c>
      <c r="S59" s="26">
        <f>IF($A59="","",IF($B59="","YETİM",IF(COUNTIF(tblKartlar[KartId],$B59)=0,"YETİM","")))</f>
        <v/>
      </c>
      <c r="T59" s="26">
        <f>IF(OR($A59="",$I59=""),"",IF(OR($I59&amp;"|"&amp;$J59="",COUNTIF(ListeIzinliGecis,$I59&amp;"|"&amp;$J59)&gt;0),"","GEÇERSİZ GEÇİŞ"))</f>
        <v/>
      </c>
      <c r="U59" s="26">
        <f>IF($A59="","",IF(OR($O59="",$K59=""),"",IF(ABS($K59-$O59)&gt;zincirTolerans,"ZİNCİR KIRIK","OK")))</f>
        <v/>
      </c>
      <c r="V59" s="26">
        <f>IF($A59="","",1)</f>
        <v/>
      </c>
      <c r="W59" s="26">
        <f>IF($A59="","",IF($J59="TAMAM",0,IF($L59="","",raporTarihi-$L59)))</f>
        <v/>
      </c>
    </row>
    <row r="60">
      <c r="A60" s="24" t="n"/>
      <c r="B60" s="24" t="n"/>
      <c r="C60" s="24" t="n"/>
      <c r="D60" s="25" t="n"/>
      <c r="E60" s="25" t="n"/>
      <c r="F60" s="25" t="n"/>
      <c r="G60" s="27" t="n"/>
      <c r="H60" s="25" t="n"/>
      <c r="I60" s="24" t="n"/>
      <c r="J60" s="24" t="n"/>
      <c r="K60" s="25" t="n"/>
      <c r="L60" s="28" t="n"/>
      <c r="M60" s="24" t="n"/>
      <c r="N60" s="24" t="n"/>
      <c r="O60" s="26">
        <f>IF($A60="","",$F60*$D60)</f>
        <v/>
      </c>
      <c r="P60" s="26">
        <f>IF($A60="","",MAX(0,$O60-$E60))</f>
        <v/>
      </c>
      <c r="Q60" s="26">
        <f>IF($A60="","",IF(OR($J60="TAMAM"),0,$P60))</f>
        <v/>
      </c>
      <c r="R60" s="26">
        <f>IF(OR($A60="",$J60="TAMAM"),"",IFERROR($H60/MAX(1,SUMIF(tblKartlar[KartId],$B60,tblKartlar[KapasiteSaat])),0))</f>
        <v/>
      </c>
      <c r="S60" s="26">
        <f>IF($A60="","",IF($B60="","YETİM",IF(COUNTIF(tblKartlar[KartId],$B60)=0,"YETİM","")))</f>
        <v/>
      </c>
      <c r="T60" s="26">
        <f>IF(OR($A60="",$I60=""),"",IF(OR($I60&amp;"|"&amp;$J60="",COUNTIF(ListeIzinliGecis,$I60&amp;"|"&amp;$J60)&gt;0),"","GEÇERSİZ GEÇİŞ"))</f>
        <v/>
      </c>
      <c r="U60" s="26">
        <f>IF($A60="","",IF(OR($O60="",$K60=""),"",IF(ABS($K60-$O60)&gt;zincirTolerans,"ZİNCİR KIRIK","OK")))</f>
        <v/>
      </c>
      <c r="V60" s="26">
        <f>IF($A60="","",1)</f>
        <v/>
      </c>
      <c r="W60" s="26">
        <f>IF($A60="","",IF($J60="TAMAM",0,IF($L60="","",raporTarihi-$L60)))</f>
        <v/>
      </c>
    </row>
    <row r="61">
      <c r="A61" s="24" t="n"/>
      <c r="B61" s="24" t="n"/>
      <c r="C61" s="24" t="n"/>
      <c r="D61" s="25" t="n"/>
      <c r="E61" s="25" t="n"/>
      <c r="F61" s="25" t="n"/>
      <c r="G61" s="27" t="n"/>
      <c r="H61" s="25" t="n"/>
      <c r="I61" s="24" t="n"/>
      <c r="J61" s="24" t="n"/>
      <c r="K61" s="25" t="n"/>
      <c r="L61" s="28" t="n"/>
      <c r="M61" s="24" t="n"/>
      <c r="N61" s="24" t="n"/>
      <c r="O61" s="26">
        <f>IF($A61="","",$F61*$D61)</f>
        <v/>
      </c>
      <c r="P61" s="26">
        <f>IF($A61="","",MAX(0,$O61-$E61))</f>
        <v/>
      </c>
      <c r="Q61" s="26">
        <f>IF($A61="","",IF(OR($J61="TAMAM"),0,$P61))</f>
        <v/>
      </c>
      <c r="R61" s="26">
        <f>IF(OR($A61="",$J61="TAMAM"),"",IFERROR($H61/MAX(1,SUMIF(tblKartlar[KartId],$B61,tblKartlar[KapasiteSaat])),0))</f>
        <v/>
      </c>
      <c r="S61" s="26">
        <f>IF($A61="","",IF($B61="","YETİM",IF(COUNTIF(tblKartlar[KartId],$B61)=0,"YETİM","")))</f>
        <v/>
      </c>
      <c r="T61" s="26">
        <f>IF(OR($A61="",$I61=""),"",IF(OR($I61&amp;"|"&amp;$J61="",COUNTIF(ListeIzinliGecis,$I61&amp;"|"&amp;$J61)&gt;0),"","GEÇERSİZ GEÇİŞ"))</f>
        <v/>
      </c>
      <c r="U61" s="26">
        <f>IF($A61="","",IF(OR($O61="",$K61=""),"",IF(ABS($K61-$O61)&gt;zincirTolerans,"ZİNCİR KIRIK","OK")))</f>
        <v/>
      </c>
      <c r="V61" s="26">
        <f>IF($A61="","",1)</f>
        <v/>
      </c>
      <c r="W61" s="26">
        <f>IF($A61="","",IF($J61="TAMAM",0,IF($L61="","",raporTarihi-$L61)))</f>
        <v/>
      </c>
    </row>
    <row r="62">
      <c r="A62" s="24" t="n"/>
      <c r="B62" s="24" t="n"/>
      <c r="C62" s="24" t="n"/>
      <c r="D62" s="25" t="n"/>
      <c r="E62" s="25" t="n"/>
      <c r="F62" s="25" t="n"/>
      <c r="G62" s="27" t="n"/>
      <c r="H62" s="25" t="n"/>
      <c r="I62" s="24" t="n"/>
      <c r="J62" s="24" t="n"/>
      <c r="K62" s="25" t="n"/>
      <c r="L62" s="28" t="n"/>
      <c r="M62" s="24" t="n"/>
      <c r="N62" s="24" t="n"/>
      <c r="O62" s="26">
        <f>IF($A62="","",$F62*$D62)</f>
        <v/>
      </c>
      <c r="P62" s="26">
        <f>IF($A62="","",MAX(0,$O62-$E62))</f>
        <v/>
      </c>
      <c r="Q62" s="26">
        <f>IF($A62="","",IF(OR($J62="TAMAM"),0,$P62))</f>
        <v/>
      </c>
      <c r="R62" s="26">
        <f>IF(OR($A62="",$J62="TAMAM"),"",IFERROR($H62/MAX(1,SUMIF(tblKartlar[KartId],$B62,tblKartlar[KapasiteSaat])),0))</f>
        <v/>
      </c>
      <c r="S62" s="26">
        <f>IF($A62="","",IF($B62="","YETİM",IF(COUNTIF(tblKartlar[KartId],$B62)=0,"YETİM","")))</f>
        <v/>
      </c>
      <c r="T62" s="26">
        <f>IF(OR($A62="",$I62=""),"",IF(OR($I62&amp;"|"&amp;$J62="",COUNTIF(ListeIzinliGecis,$I62&amp;"|"&amp;$J62)&gt;0),"","GEÇERSİZ GEÇİŞ"))</f>
        <v/>
      </c>
      <c r="U62" s="26">
        <f>IF($A62="","",IF(OR($O62="",$K62=""),"",IF(ABS($K62-$O62)&gt;zincirTolerans,"ZİNCİR KIRIK","OK")))</f>
        <v/>
      </c>
      <c r="V62" s="26">
        <f>IF($A62="","",1)</f>
        <v/>
      </c>
      <c r="W62" s="26">
        <f>IF($A62="","",IF($J62="TAMAM",0,IF($L62="","",raporTarihi-$L62)))</f>
        <v/>
      </c>
    </row>
    <row r="63">
      <c r="A63" s="24" t="n"/>
      <c r="B63" s="24" t="n"/>
      <c r="C63" s="24" t="n"/>
      <c r="D63" s="25" t="n"/>
      <c r="E63" s="25" t="n"/>
      <c r="F63" s="25" t="n"/>
      <c r="G63" s="27" t="n"/>
      <c r="H63" s="25" t="n"/>
      <c r="I63" s="24" t="n"/>
      <c r="J63" s="24" t="n"/>
      <c r="K63" s="25" t="n"/>
      <c r="L63" s="28" t="n"/>
      <c r="M63" s="24" t="n"/>
      <c r="N63" s="24" t="n"/>
      <c r="O63" s="26">
        <f>IF($A63="","",$F63*$D63)</f>
        <v/>
      </c>
      <c r="P63" s="26">
        <f>IF($A63="","",MAX(0,$O63-$E63))</f>
        <v/>
      </c>
      <c r="Q63" s="26">
        <f>IF($A63="","",IF(OR($J63="TAMAM"),0,$P63))</f>
        <v/>
      </c>
      <c r="R63" s="26">
        <f>IF(OR($A63="",$J63="TAMAM"),"",IFERROR($H63/MAX(1,SUMIF(tblKartlar[KartId],$B63,tblKartlar[KapasiteSaat])),0))</f>
        <v/>
      </c>
      <c r="S63" s="26">
        <f>IF($A63="","",IF($B63="","YETİM",IF(COUNTIF(tblKartlar[KartId],$B63)=0,"YETİM","")))</f>
        <v/>
      </c>
      <c r="T63" s="26">
        <f>IF(OR($A63="",$I63=""),"",IF(OR($I63&amp;"|"&amp;$J63="",COUNTIF(ListeIzinliGecis,$I63&amp;"|"&amp;$J63)&gt;0),"","GEÇERSİZ GEÇİŞ"))</f>
        <v/>
      </c>
      <c r="U63" s="26">
        <f>IF($A63="","",IF(OR($O63="",$K63=""),"",IF(ABS($K63-$O63)&gt;zincirTolerans,"ZİNCİR KIRIK","OK")))</f>
        <v/>
      </c>
      <c r="V63" s="26">
        <f>IF($A63="","",1)</f>
        <v/>
      </c>
      <c r="W63" s="26">
        <f>IF($A63="","",IF($J63="TAMAM",0,IF($L63="","",raporTarihi-$L63)))</f>
        <v/>
      </c>
    </row>
    <row r="64">
      <c r="A64" s="24" t="n"/>
      <c r="B64" s="24" t="n"/>
      <c r="C64" s="24" t="n"/>
      <c r="D64" s="25" t="n"/>
      <c r="E64" s="25" t="n"/>
      <c r="F64" s="25" t="n"/>
      <c r="G64" s="27" t="n"/>
      <c r="H64" s="25" t="n"/>
      <c r="I64" s="24" t="n"/>
      <c r="J64" s="24" t="n"/>
      <c r="K64" s="25" t="n"/>
      <c r="L64" s="28" t="n"/>
      <c r="M64" s="24" t="n"/>
      <c r="N64" s="24" t="n"/>
      <c r="O64" s="26">
        <f>IF($A64="","",$F64*$D64)</f>
        <v/>
      </c>
      <c r="P64" s="26">
        <f>IF($A64="","",MAX(0,$O64-$E64))</f>
        <v/>
      </c>
      <c r="Q64" s="26">
        <f>IF($A64="","",IF(OR($J64="TAMAM"),0,$P64))</f>
        <v/>
      </c>
      <c r="R64" s="26">
        <f>IF(OR($A64="",$J64="TAMAM"),"",IFERROR($H64/MAX(1,SUMIF(tblKartlar[KartId],$B64,tblKartlar[KapasiteSaat])),0))</f>
        <v/>
      </c>
      <c r="S64" s="26">
        <f>IF($A64="","",IF($B64="","YETİM",IF(COUNTIF(tblKartlar[KartId],$B64)=0,"YETİM","")))</f>
        <v/>
      </c>
      <c r="T64" s="26">
        <f>IF(OR($A64="",$I64=""),"",IF(OR($I64&amp;"|"&amp;$J64="",COUNTIF(ListeIzinliGecis,$I64&amp;"|"&amp;$J64)&gt;0),"","GEÇERSİZ GEÇİŞ"))</f>
        <v/>
      </c>
      <c r="U64" s="26">
        <f>IF($A64="","",IF(OR($O64="",$K64=""),"",IF(ABS($K64-$O64)&gt;zincirTolerans,"ZİNCİR KIRIK","OK")))</f>
        <v/>
      </c>
      <c r="V64" s="26">
        <f>IF($A64="","",1)</f>
        <v/>
      </c>
      <c r="W64" s="26">
        <f>IF($A64="","",IF($J64="TAMAM",0,IF($L64="","",raporTarihi-$L64)))</f>
        <v/>
      </c>
    </row>
    <row r="65">
      <c r="A65" s="24" t="n"/>
      <c r="B65" s="24" t="n"/>
      <c r="C65" s="24" t="n"/>
      <c r="D65" s="25" t="n"/>
      <c r="E65" s="25" t="n"/>
      <c r="F65" s="25" t="n"/>
      <c r="G65" s="27" t="n"/>
      <c r="H65" s="25" t="n"/>
      <c r="I65" s="24" t="n"/>
      <c r="J65" s="24" t="n"/>
      <c r="K65" s="25" t="n"/>
      <c r="L65" s="28" t="n"/>
      <c r="M65" s="24" t="n"/>
      <c r="N65" s="24" t="n"/>
      <c r="O65" s="26">
        <f>IF($A65="","",$F65*$D65)</f>
        <v/>
      </c>
      <c r="P65" s="26">
        <f>IF($A65="","",MAX(0,$O65-$E65))</f>
        <v/>
      </c>
      <c r="Q65" s="26">
        <f>IF($A65="","",IF(OR($J65="TAMAM"),0,$P65))</f>
        <v/>
      </c>
      <c r="R65" s="26">
        <f>IF(OR($A65="",$J65="TAMAM"),"",IFERROR($H65/MAX(1,SUMIF(tblKartlar[KartId],$B65,tblKartlar[KapasiteSaat])),0))</f>
        <v/>
      </c>
      <c r="S65" s="26">
        <f>IF($A65="","",IF($B65="","YETİM",IF(COUNTIF(tblKartlar[KartId],$B65)=0,"YETİM","")))</f>
        <v/>
      </c>
      <c r="T65" s="26">
        <f>IF(OR($A65="",$I65=""),"",IF(OR($I65&amp;"|"&amp;$J65="",COUNTIF(ListeIzinliGecis,$I65&amp;"|"&amp;$J65)&gt;0),"","GEÇERSİZ GEÇİŞ"))</f>
        <v/>
      </c>
      <c r="U65" s="26">
        <f>IF($A65="","",IF(OR($O65="",$K65=""),"",IF(ABS($K65-$O65)&gt;zincirTolerans,"ZİNCİR KIRIK","OK")))</f>
        <v/>
      </c>
      <c r="V65" s="26">
        <f>IF($A65="","",1)</f>
        <v/>
      </c>
      <c r="W65" s="26">
        <f>IF($A65="","",IF($J65="TAMAM",0,IF($L65="","",raporTarihi-$L65)))</f>
        <v/>
      </c>
    </row>
    <row r="66">
      <c r="A66" s="24" t="n"/>
      <c r="B66" s="24" t="n"/>
      <c r="C66" s="24" t="n"/>
      <c r="D66" s="25" t="n"/>
      <c r="E66" s="25" t="n"/>
      <c r="F66" s="25" t="n"/>
      <c r="G66" s="27" t="n"/>
      <c r="H66" s="25" t="n"/>
      <c r="I66" s="24" t="n"/>
      <c r="J66" s="24" t="n"/>
      <c r="K66" s="25" t="n"/>
      <c r="L66" s="28" t="n"/>
      <c r="M66" s="24" t="n"/>
      <c r="N66" s="24" t="n"/>
      <c r="O66" s="26">
        <f>IF($A66="","",$F66*$D66)</f>
        <v/>
      </c>
      <c r="P66" s="26">
        <f>IF($A66="","",MAX(0,$O66-$E66))</f>
        <v/>
      </c>
      <c r="Q66" s="26">
        <f>IF($A66="","",IF(OR($J66="TAMAM"),0,$P66))</f>
        <v/>
      </c>
      <c r="R66" s="26">
        <f>IF(OR($A66="",$J66="TAMAM"),"",IFERROR($H66/MAX(1,SUMIF(tblKartlar[KartId],$B66,tblKartlar[KapasiteSaat])),0))</f>
        <v/>
      </c>
      <c r="S66" s="26">
        <f>IF($A66="","",IF($B66="","YETİM",IF(COUNTIF(tblKartlar[KartId],$B66)=0,"YETİM","")))</f>
        <v/>
      </c>
      <c r="T66" s="26">
        <f>IF(OR($A66="",$I66=""),"",IF(OR($I66&amp;"|"&amp;$J66="",COUNTIF(ListeIzinliGecis,$I66&amp;"|"&amp;$J66)&gt;0),"","GEÇERSİZ GEÇİŞ"))</f>
        <v/>
      </c>
      <c r="U66" s="26">
        <f>IF($A66="","",IF(OR($O66="",$K66=""),"",IF(ABS($K66-$O66)&gt;zincirTolerans,"ZİNCİR KIRIK","OK")))</f>
        <v/>
      </c>
      <c r="V66" s="26">
        <f>IF($A66="","",1)</f>
        <v/>
      </c>
      <c r="W66" s="26">
        <f>IF($A66="","",IF($J66="TAMAM",0,IF($L66="","",raporTarihi-$L66)))</f>
        <v/>
      </c>
    </row>
    <row r="67">
      <c r="A67" s="24" t="n"/>
      <c r="B67" s="24" t="n"/>
      <c r="C67" s="24" t="n"/>
      <c r="D67" s="25" t="n"/>
      <c r="E67" s="25" t="n"/>
      <c r="F67" s="25" t="n"/>
      <c r="G67" s="27" t="n"/>
      <c r="H67" s="25" t="n"/>
      <c r="I67" s="24" t="n"/>
      <c r="J67" s="24" t="n"/>
      <c r="K67" s="25" t="n"/>
      <c r="L67" s="28" t="n"/>
      <c r="M67" s="24" t="n"/>
      <c r="N67" s="24" t="n"/>
      <c r="O67" s="26">
        <f>IF($A67="","",$F67*$D67)</f>
        <v/>
      </c>
      <c r="P67" s="26">
        <f>IF($A67="","",MAX(0,$O67-$E67))</f>
        <v/>
      </c>
      <c r="Q67" s="26">
        <f>IF($A67="","",IF(OR($J67="TAMAM"),0,$P67))</f>
        <v/>
      </c>
      <c r="R67" s="26">
        <f>IF(OR($A67="",$J67="TAMAM"),"",IFERROR($H67/MAX(1,SUMIF(tblKartlar[KartId],$B67,tblKartlar[KapasiteSaat])),0))</f>
        <v/>
      </c>
      <c r="S67" s="26">
        <f>IF($A67="","",IF($B67="","YETİM",IF(COUNTIF(tblKartlar[KartId],$B67)=0,"YETİM","")))</f>
        <v/>
      </c>
      <c r="T67" s="26">
        <f>IF(OR($A67="",$I67=""),"",IF(OR($I67&amp;"|"&amp;$J67="",COUNTIF(ListeIzinliGecis,$I67&amp;"|"&amp;$J67)&gt;0),"","GEÇERSİZ GEÇİŞ"))</f>
        <v/>
      </c>
      <c r="U67" s="26">
        <f>IF($A67="","",IF(OR($O67="",$K67=""),"",IF(ABS($K67-$O67)&gt;zincirTolerans,"ZİNCİR KIRIK","OK")))</f>
        <v/>
      </c>
      <c r="V67" s="26">
        <f>IF($A67="","",1)</f>
        <v/>
      </c>
      <c r="W67" s="26">
        <f>IF($A67="","",IF($J67="TAMAM",0,IF($L67="","",raporTarihi-$L67)))</f>
        <v/>
      </c>
    </row>
    <row r="68">
      <c r="A68" s="24" t="n"/>
      <c r="B68" s="24" t="n"/>
      <c r="C68" s="24" t="n"/>
      <c r="D68" s="25" t="n"/>
      <c r="E68" s="25" t="n"/>
      <c r="F68" s="25" t="n"/>
      <c r="G68" s="27" t="n"/>
      <c r="H68" s="25" t="n"/>
      <c r="I68" s="24" t="n"/>
      <c r="J68" s="24" t="n"/>
      <c r="K68" s="25" t="n"/>
      <c r="L68" s="28" t="n"/>
      <c r="M68" s="24" t="n"/>
      <c r="N68" s="24" t="n"/>
      <c r="O68" s="26">
        <f>IF($A68="","",$F68*$D68)</f>
        <v/>
      </c>
      <c r="P68" s="26">
        <f>IF($A68="","",MAX(0,$O68-$E68))</f>
        <v/>
      </c>
      <c r="Q68" s="26">
        <f>IF($A68="","",IF(OR($J68="TAMAM"),0,$P68))</f>
        <v/>
      </c>
      <c r="R68" s="26">
        <f>IF(OR($A68="",$J68="TAMAM"),"",IFERROR($H68/MAX(1,SUMIF(tblKartlar[KartId],$B68,tblKartlar[KapasiteSaat])),0))</f>
        <v/>
      </c>
      <c r="S68" s="26">
        <f>IF($A68="","",IF($B68="","YETİM",IF(COUNTIF(tblKartlar[KartId],$B68)=0,"YETİM","")))</f>
        <v/>
      </c>
      <c r="T68" s="26">
        <f>IF(OR($A68="",$I68=""),"",IF(OR($I68&amp;"|"&amp;$J68="",COUNTIF(ListeIzinliGecis,$I68&amp;"|"&amp;$J68)&gt;0),"","GEÇERSİZ GEÇİŞ"))</f>
        <v/>
      </c>
      <c r="U68" s="26">
        <f>IF($A68="","",IF(OR($O68="",$K68=""),"",IF(ABS($K68-$O68)&gt;zincirTolerans,"ZİNCİR KIRIK","OK")))</f>
        <v/>
      </c>
      <c r="V68" s="26">
        <f>IF($A68="","",1)</f>
        <v/>
      </c>
      <c r="W68" s="26">
        <f>IF($A68="","",IF($J68="TAMAM",0,IF($L68="","",raporTarihi-$L68)))</f>
        <v/>
      </c>
    </row>
    <row r="69">
      <c r="A69" s="24" t="n"/>
      <c r="B69" s="24" t="n"/>
      <c r="C69" s="24" t="n"/>
      <c r="D69" s="25" t="n"/>
      <c r="E69" s="25" t="n"/>
      <c r="F69" s="25" t="n"/>
      <c r="G69" s="27" t="n"/>
      <c r="H69" s="25" t="n"/>
      <c r="I69" s="24" t="n"/>
      <c r="J69" s="24" t="n"/>
      <c r="K69" s="25" t="n"/>
      <c r="L69" s="28" t="n"/>
      <c r="M69" s="24" t="n"/>
      <c r="N69" s="24" t="n"/>
      <c r="O69" s="26">
        <f>IF($A69="","",$F69*$D69)</f>
        <v/>
      </c>
      <c r="P69" s="26">
        <f>IF($A69="","",MAX(0,$O69-$E69))</f>
        <v/>
      </c>
      <c r="Q69" s="26">
        <f>IF($A69="","",IF(OR($J69="TAMAM"),0,$P69))</f>
        <v/>
      </c>
      <c r="R69" s="26">
        <f>IF(OR($A69="",$J69="TAMAM"),"",IFERROR($H69/MAX(1,SUMIF(tblKartlar[KartId],$B69,tblKartlar[KapasiteSaat])),0))</f>
        <v/>
      </c>
      <c r="S69" s="26">
        <f>IF($A69="","",IF($B69="","YETİM",IF(COUNTIF(tblKartlar[KartId],$B69)=0,"YETİM","")))</f>
        <v/>
      </c>
      <c r="T69" s="26">
        <f>IF(OR($A69="",$I69=""),"",IF(OR($I69&amp;"|"&amp;$J69="",COUNTIF(ListeIzinliGecis,$I69&amp;"|"&amp;$J69)&gt;0),"","GEÇERSİZ GEÇİŞ"))</f>
        <v/>
      </c>
      <c r="U69" s="26">
        <f>IF($A69="","",IF(OR($O69="",$K69=""),"",IF(ABS($K69-$O69)&gt;zincirTolerans,"ZİNCİR KIRIK","OK")))</f>
        <v/>
      </c>
      <c r="V69" s="26">
        <f>IF($A69="","",1)</f>
        <v/>
      </c>
      <c r="W69" s="26">
        <f>IF($A69="","",IF($J69="TAMAM",0,IF($L69="","",raporTarihi-$L69)))</f>
        <v/>
      </c>
    </row>
    <row r="70">
      <c r="A70" s="24" t="n"/>
      <c r="B70" s="24" t="n"/>
      <c r="C70" s="24" t="n"/>
      <c r="D70" s="25" t="n"/>
      <c r="E70" s="25" t="n"/>
      <c r="F70" s="25" t="n"/>
      <c r="G70" s="27" t="n"/>
      <c r="H70" s="25" t="n"/>
      <c r="I70" s="24" t="n"/>
      <c r="J70" s="24" t="n"/>
      <c r="K70" s="25" t="n"/>
      <c r="L70" s="28" t="n"/>
      <c r="M70" s="24" t="n"/>
      <c r="N70" s="24" t="n"/>
      <c r="O70" s="26">
        <f>IF($A70="","",$F70*$D70)</f>
        <v/>
      </c>
      <c r="P70" s="26">
        <f>IF($A70="","",MAX(0,$O70-$E70))</f>
        <v/>
      </c>
      <c r="Q70" s="26">
        <f>IF($A70="","",IF(OR($J70="TAMAM"),0,$P70))</f>
        <v/>
      </c>
      <c r="R70" s="26">
        <f>IF(OR($A70="",$J70="TAMAM"),"",IFERROR($H70/MAX(1,SUMIF(tblKartlar[KartId],$B70,tblKartlar[KapasiteSaat])),0))</f>
        <v/>
      </c>
      <c r="S70" s="26">
        <f>IF($A70="","",IF($B70="","YETİM",IF(COUNTIF(tblKartlar[KartId],$B70)=0,"YETİM","")))</f>
        <v/>
      </c>
      <c r="T70" s="26">
        <f>IF(OR($A70="",$I70=""),"",IF(OR($I70&amp;"|"&amp;$J70="",COUNTIF(ListeIzinliGecis,$I70&amp;"|"&amp;$J70)&gt;0),"","GEÇERSİZ GEÇİŞ"))</f>
        <v/>
      </c>
      <c r="U70" s="26">
        <f>IF($A70="","",IF(OR($O70="",$K70=""),"",IF(ABS($K70-$O70)&gt;zincirTolerans,"ZİNCİR KIRIK","OK")))</f>
        <v/>
      </c>
      <c r="V70" s="26">
        <f>IF($A70="","",1)</f>
        <v/>
      </c>
      <c r="W70" s="26">
        <f>IF($A70="","",IF($J70="TAMAM",0,IF($L70="","",raporTarihi-$L70)))</f>
        <v/>
      </c>
    </row>
    <row r="71">
      <c r="A71" s="24" t="n"/>
      <c r="B71" s="24" t="n"/>
      <c r="C71" s="24" t="n"/>
      <c r="D71" s="25" t="n"/>
      <c r="E71" s="25" t="n"/>
      <c r="F71" s="25" t="n"/>
      <c r="G71" s="27" t="n"/>
      <c r="H71" s="25" t="n"/>
      <c r="I71" s="24" t="n"/>
      <c r="J71" s="24" t="n"/>
      <c r="K71" s="25" t="n"/>
      <c r="L71" s="28" t="n"/>
      <c r="M71" s="24" t="n"/>
      <c r="N71" s="24" t="n"/>
      <c r="O71" s="26">
        <f>IF($A71="","",$F71*$D71)</f>
        <v/>
      </c>
      <c r="P71" s="26">
        <f>IF($A71="","",MAX(0,$O71-$E71))</f>
        <v/>
      </c>
      <c r="Q71" s="26">
        <f>IF($A71="","",IF(OR($J71="TAMAM"),0,$P71))</f>
        <v/>
      </c>
      <c r="R71" s="26">
        <f>IF(OR($A71="",$J71="TAMAM"),"",IFERROR($H71/MAX(1,SUMIF(tblKartlar[KartId],$B71,tblKartlar[KapasiteSaat])),0))</f>
        <v/>
      </c>
      <c r="S71" s="26">
        <f>IF($A71="","",IF($B71="","YETİM",IF(COUNTIF(tblKartlar[KartId],$B71)=0,"YETİM","")))</f>
        <v/>
      </c>
      <c r="T71" s="26">
        <f>IF(OR($A71="",$I71=""),"",IF(OR($I71&amp;"|"&amp;$J71="",COUNTIF(ListeIzinliGecis,$I71&amp;"|"&amp;$J71)&gt;0),"","GEÇERSİZ GEÇİŞ"))</f>
        <v/>
      </c>
      <c r="U71" s="26">
        <f>IF($A71="","",IF(OR($O71="",$K71=""),"",IF(ABS($K71-$O71)&gt;zincirTolerans,"ZİNCİR KIRIK","OK")))</f>
        <v/>
      </c>
      <c r="V71" s="26">
        <f>IF($A71="","",1)</f>
        <v/>
      </c>
      <c r="W71" s="26">
        <f>IF($A71="","",IF($J71="TAMAM",0,IF($L71="","",raporTarihi-$L71)))</f>
        <v/>
      </c>
    </row>
    <row r="72">
      <c r="A72" s="24" t="n"/>
      <c r="B72" s="24" t="n"/>
      <c r="C72" s="24" t="n"/>
      <c r="D72" s="25" t="n"/>
      <c r="E72" s="25" t="n"/>
      <c r="F72" s="25" t="n"/>
      <c r="G72" s="27" t="n"/>
      <c r="H72" s="25" t="n"/>
      <c r="I72" s="24" t="n"/>
      <c r="J72" s="24" t="n"/>
      <c r="K72" s="25" t="n"/>
      <c r="L72" s="28" t="n"/>
      <c r="M72" s="24" t="n"/>
      <c r="N72" s="24" t="n"/>
      <c r="O72" s="26">
        <f>IF($A72="","",$F72*$D72)</f>
        <v/>
      </c>
      <c r="P72" s="26">
        <f>IF($A72="","",MAX(0,$O72-$E72))</f>
        <v/>
      </c>
      <c r="Q72" s="26">
        <f>IF($A72="","",IF(OR($J72="TAMAM"),0,$P72))</f>
        <v/>
      </c>
      <c r="R72" s="26">
        <f>IF(OR($A72="",$J72="TAMAM"),"",IFERROR($H72/MAX(1,SUMIF(tblKartlar[KartId],$B72,tblKartlar[KapasiteSaat])),0))</f>
        <v/>
      </c>
      <c r="S72" s="26">
        <f>IF($A72="","",IF($B72="","YETİM",IF(COUNTIF(tblKartlar[KartId],$B72)=0,"YETİM","")))</f>
        <v/>
      </c>
      <c r="T72" s="26">
        <f>IF(OR($A72="",$I72=""),"",IF(OR($I72&amp;"|"&amp;$J72="",COUNTIF(ListeIzinliGecis,$I72&amp;"|"&amp;$J72)&gt;0),"","GEÇERSİZ GEÇİŞ"))</f>
        <v/>
      </c>
      <c r="U72" s="26">
        <f>IF($A72="","",IF(OR($O72="",$K72=""),"",IF(ABS($K72-$O72)&gt;zincirTolerans,"ZİNCİR KIRIK","OK")))</f>
        <v/>
      </c>
      <c r="V72" s="26">
        <f>IF($A72="","",1)</f>
        <v/>
      </c>
      <c r="W72" s="26">
        <f>IF($A72="","",IF($J72="TAMAM",0,IF($L72="","",raporTarihi-$L72)))</f>
        <v/>
      </c>
    </row>
    <row r="73">
      <c r="A73" s="24" t="n"/>
      <c r="B73" s="24" t="n"/>
      <c r="C73" s="24" t="n"/>
      <c r="D73" s="25" t="n"/>
      <c r="E73" s="25" t="n"/>
      <c r="F73" s="25" t="n"/>
      <c r="G73" s="27" t="n"/>
      <c r="H73" s="25" t="n"/>
      <c r="I73" s="24" t="n"/>
      <c r="J73" s="24" t="n"/>
      <c r="K73" s="25" t="n"/>
      <c r="L73" s="28" t="n"/>
      <c r="M73" s="24" t="n"/>
      <c r="N73" s="24" t="n"/>
      <c r="O73" s="26">
        <f>IF($A73="","",$F73*$D73)</f>
        <v/>
      </c>
      <c r="P73" s="26">
        <f>IF($A73="","",MAX(0,$O73-$E73))</f>
        <v/>
      </c>
      <c r="Q73" s="26">
        <f>IF($A73="","",IF(OR($J73="TAMAM"),0,$P73))</f>
        <v/>
      </c>
      <c r="R73" s="26">
        <f>IF(OR($A73="",$J73="TAMAM"),"",IFERROR($H73/MAX(1,SUMIF(tblKartlar[KartId],$B73,tblKartlar[KapasiteSaat])),0))</f>
        <v/>
      </c>
      <c r="S73" s="26">
        <f>IF($A73="","",IF($B73="","YETİM",IF(COUNTIF(tblKartlar[KartId],$B73)=0,"YETİM","")))</f>
        <v/>
      </c>
      <c r="T73" s="26">
        <f>IF(OR($A73="",$I73=""),"",IF(OR($I73&amp;"|"&amp;$J73="",COUNTIF(ListeIzinliGecis,$I73&amp;"|"&amp;$J73)&gt;0),"","GEÇERSİZ GEÇİŞ"))</f>
        <v/>
      </c>
      <c r="U73" s="26">
        <f>IF($A73="","",IF(OR($O73="",$K73=""),"",IF(ABS($K73-$O73)&gt;zincirTolerans,"ZİNCİR KIRIK","OK")))</f>
        <v/>
      </c>
      <c r="V73" s="26">
        <f>IF($A73="","",1)</f>
        <v/>
      </c>
      <c r="W73" s="26">
        <f>IF($A73="","",IF($J73="TAMAM",0,IF($L73="","",raporTarihi-$L73)))</f>
        <v/>
      </c>
    </row>
    <row r="74">
      <c r="A74" s="24" t="n"/>
      <c r="B74" s="24" t="n"/>
      <c r="C74" s="24" t="n"/>
      <c r="D74" s="25" t="n"/>
      <c r="E74" s="25" t="n"/>
      <c r="F74" s="25" t="n"/>
      <c r="G74" s="27" t="n"/>
      <c r="H74" s="25" t="n"/>
      <c r="I74" s="24" t="n"/>
      <c r="J74" s="24" t="n"/>
      <c r="K74" s="25" t="n"/>
      <c r="L74" s="28" t="n"/>
      <c r="M74" s="24" t="n"/>
      <c r="N74" s="24" t="n"/>
      <c r="O74" s="26">
        <f>IF($A74="","",$F74*$D74)</f>
        <v/>
      </c>
      <c r="P74" s="26">
        <f>IF($A74="","",MAX(0,$O74-$E74))</f>
        <v/>
      </c>
      <c r="Q74" s="26">
        <f>IF($A74="","",IF(OR($J74="TAMAM"),0,$P74))</f>
        <v/>
      </c>
      <c r="R74" s="26">
        <f>IF(OR($A74="",$J74="TAMAM"),"",IFERROR($H74/MAX(1,SUMIF(tblKartlar[KartId],$B74,tblKartlar[KapasiteSaat])),0))</f>
        <v/>
      </c>
      <c r="S74" s="26">
        <f>IF($A74="","",IF($B74="","YETİM",IF(COUNTIF(tblKartlar[KartId],$B74)=0,"YETİM","")))</f>
        <v/>
      </c>
      <c r="T74" s="26">
        <f>IF(OR($A74="",$I74=""),"",IF(OR($I74&amp;"|"&amp;$J74="",COUNTIF(ListeIzinliGecis,$I74&amp;"|"&amp;$J74)&gt;0),"","GEÇERSİZ GEÇİŞ"))</f>
        <v/>
      </c>
      <c r="U74" s="26">
        <f>IF($A74="","",IF(OR($O74="",$K74=""),"",IF(ABS($K74-$O74)&gt;zincirTolerans,"ZİNCİR KIRIK","OK")))</f>
        <v/>
      </c>
      <c r="V74" s="26">
        <f>IF($A74="","",1)</f>
        <v/>
      </c>
      <c r="W74" s="26">
        <f>IF($A74="","",IF($J74="TAMAM",0,IF($L74="","",raporTarihi-$L74)))</f>
        <v/>
      </c>
    </row>
    <row r="75">
      <c r="A75" s="24" t="n"/>
      <c r="B75" s="24" t="n"/>
      <c r="C75" s="24" t="n"/>
      <c r="D75" s="25" t="n"/>
      <c r="E75" s="25" t="n"/>
      <c r="F75" s="25" t="n"/>
      <c r="G75" s="27" t="n"/>
      <c r="H75" s="25" t="n"/>
      <c r="I75" s="24" t="n"/>
      <c r="J75" s="24" t="n"/>
      <c r="K75" s="25" t="n"/>
      <c r="L75" s="28" t="n"/>
      <c r="M75" s="24" t="n"/>
      <c r="N75" s="24" t="n"/>
      <c r="O75" s="26">
        <f>IF($A75="","",$F75*$D75)</f>
        <v/>
      </c>
      <c r="P75" s="26">
        <f>IF($A75="","",MAX(0,$O75-$E75))</f>
        <v/>
      </c>
      <c r="Q75" s="26">
        <f>IF($A75="","",IF(OR($J75="TAMAM"),0,$P75))</f>
        <v/>
      </c>
      <c r="R75" s="26">
        <f>IF(OR($A75="",$J75="TAMAM"),"",IFERROR($H75/MAX(1,SUMIF(tblKartlar[KartId],$B75,tblKartlar[KapasiteSaat])),0))</f>
        <v/>
      </c>
      <c r="S75" s="26">
        <f>IF($A75="","",IF($B75="","YETİM",IF(COUNTIF(tblKartlar[KartId],$B75)=0,"YETİM","")))</f>
        <v/>
      </c>
      <c r="T75" s="26">
        <f>IF(OR($A75="",$I75=""),"",IF(OR($I75&amp;"|"&amp;$J75="",COUNTIF(ListeIzinliGecis,$I75&amp;"|"&amp;$J75)&gt;0),"","GEÇERSİZ GEÇİŞ"))</f>
        <v/>
      </c>
      <c r="U75" s="26">
        <f>IF($A75="","",IF(OR($O75="",$K75=""),"",IF(ABS($K75-$O75)&gt;zincirTolerans,"ZİNCİR KIRIK","OK")))</f>
        <v/>
      </c>
      <c r="V75" s="26">
        <f>IF($A75="","",1)</f>
        <v/>
      </c>
      <c r="W75" s="26">
        <f>IF($A75="","",IF($J75="TAMAM",0,IF($L75="","",raporTarihi-$L75)))</f>
        <v/>
      </c>
    </row>
    <row r="76">
      <c r="A76" s="24" t="n"/>
      <c r="B76" s="24" t="n"/>
      <c r="C76" s="24" t="n"/>
      <c r="D76" s="25" t="n"/>
      <c r="E76" s="25" t="n"/>
      <c r="F76" s="25" t="n"/>
      <c r="G76" s="27" t="n"/>
      <c r="H76" s="25" t="n"/>
      <c r="I76" s="24" t="n"/>
      <c r="J76" s="24" t="n"/>
      <c r="K76" s="25" t="n"/>
      <c r="L76" s="28" t="n"/>
      <c r="M76" s="24" t="n"/>
      <c r="N76" s="24" t="n"/>
      <c r="O76" s="26">
        <f>IF($A76="","",$F76*$D76)</f>
        <v/>
      </c>
      <c r="P76" s="26">
        <f>IF($A76="","",MAX(0,$O76-$E76))</f>
        <v/>
      </c>
      <c r="Q76" s="26">
        <f>IF($A76="","",IF(OR($J76="TAMAM"),0,$P76))</f>
        <v/>
      </c>
      <c r="R76" s="26">
        <f>IF(OR($A76="",$J76="TAMAM"),"",IFERROR($H76/MAX(1,SUMIF(tblKartlar[KartId],$B76,tblKartlar[KapasiteSaat])),0))</f>
        <v/>
      </c>
      <c r="S76" s="26">
        <f>IF($A76="","",IF($B76="","YETİM",IF(COUNTIF(tblKartlar[KartId],$B76)=0,"YETİM","")))</f>
        <v/>
      </c>
      <c r="T76" s="26">
        <f>IF(OR($A76="",$I76=""),"",IF(OR($I76&amp;"|"&amp;$J76="",COUNTIF(ListeIzinliGecis,$I76&amp;"|"&amp;$J76)&gt;0),"","GEÇERSİZ GEÇİŞ"))</f>
        <v/>
      </c>
      <c r="U76" s="26">
        <f>IF($A76="","",IF(OR($O76="",$K76=""),"",IF(ABS($K76-$O76)&gt;zincirTolerans,"ZİNCİR KIRIK","OK")))</f>
        <v/>
      </c>
      <c r="V76" s="26">
        <f>IF($A76="","",1)</f>
        <v/>
      </c>
      <c r="W76" s="26">
        <f>IF($A76="","",IF($J76="TAMAM",0,IF($L76="","",raporTarihi-$L76)))</f>
        <v/>
      </c>
    </row>
    <row r="77">
      <c r="A77" s="24" t="n"/>
      <c r="B77" s="24" t="n"/>
      <c r="C77" s="24" t="n"/>
      <c r="D77" s="25" t="n"/>
      <c r="E77" s="25" t="n"/>
      <c r="F77" s="25" t="n"/>
      <c r="G77" s="27" t="n"/>
      <c r="H77" s="25" t="n"/>
      <c r="I77" s="24" t="n"/>
      <c r="J77" s="24" t="n"/>
      <c r="K77" s="25" t="n"/>
      <c r="L77" s="28" t="n"/>
      <c r="M77" s="24" t="n"/>
      <c r="N77" s="24" t="n"/>
      <c r="O77" s="26">
        <f>IF($A77="","",$F77*$D77)</f>
        <v/>
      </c>
      <c r="P77" s="26">
        <f>IF($A77="","",MAX(0,$O77-$E77))</f>
        <v/>
      </c>
      <c r="Q77" s="26">
        <f>IF($A77="","",IF(OR($J77="TAMAM"),0,$P77))</f>
        <v/>
      </c>
      <c r="R77" s="26">
        <f>IF(OR($A77="",$J77="TAMAM"),"",IFERROR($H77/MAX(1,SUMIF(tblKartlar[KartId],$B77,tblKartlar[KapasiteSaat])),0))</f>
        <v/>
      </c>
      <c r="S77" s="26">
        <f>IF($A77="","",IF($B77="","YETİM",IF(COUNTIF(tblKartlar[KartId],$B77)=0,"YETİM","")))</f>
        <v/>
      </c>
      <c r="T77" s="26">
        <f>IF(OR($A77="",$I77=""),"",IF(OR($I77&amp;"|"&amp;$J77="",COUNTIF(ListeIzinliGecis,$I77&amp;"|"&amp;$J77)&gt;0),"","GEÇERSİZ GEÇİŞ"))</f>
        <v/>
      </c>
      <c r="U77" s="26">
        <f>IF($A77="","",IF(OR($O77="",$K77=""),"",IF(ABS($K77-$O77)&gt;zincirTolerans,"ZİNCİR KIRIK","OK")))</f>
        <v/>
      </c>
      <c r="V77" s="26">
        <f>IF($A77="","",1)</f>
        <v/>
      </c>
      <c r="W77" s="26">
        <f>IF($A77="","",IF($J77="TAMAM",0,IF($L77="","",raporTarihi-$L77)))</f>
        <v/>
      </c>
    </row>
    <row r="78">
      <c r="A78" s="24" t="n"/>
      <c r="B78" s="24" t="n"/>
      <c r="C78" s="24" t="n"/>
      <c r="D78" s="25" t="n"/>
      <c r="E78" s="25" t="n"/>
      <c r="F78" s="25" t="n"/>
      <c r="G78" s="27" t="n"/>
      <c r="H78" s="25" t="n"/>
      <c r="I78" s="24" t="n"/>
      <c r="J78" s="24" t="n"/>
      <c r="K78" s="25" t="n"/>
      <c r="L78" s="28" t="n"/>
      <c r="M78" s="24" t="n"/>
      <c r="N78" s="24" t="n"/>
      <c r="O78" s="26">
        <f>IF($A78="","",$F78*$D78)</f>
        <v/>
      </c>
      <c r="P78" s="26">
        <f>IF($A78="","",MAX(0,$O78-$E78))</f>
        <v/>
      </c>
      <c r="Q78" s="26">
        <f>IF($A78="","",IF(OR($J78="TAMAM"),0,$P78))</f>
        <v/>
      </c>
      <c r="R78" s="26">
        <f>IF(OR($A78="",$J78="TAMAM"),"",IFERROR($H78/MAX(1,SUMIF(tblKartlar[KartId],$B78,tblKartlar[KapasiteSaat])),0))</f>
        <v/>
      </c>
      <c r="S78" s="26">
        <f>IF($A78="","",IF($B78="","YETİM",IF(COUNTIF(tblKartlar[KartId],$B78)=0,"YETİM","")))</f>
        <v/>
      </c>
      <c r="T78" s="26">
        <f>IF(OR($A78="",$I78=""),"",IF(OR($I78&amp;"|"&amp;$J78="",COUNTIF(ListeIzinliGecis,$I78&amp;"|"&amp;$J78)&gt;0),"","GEÇERSİZ GEÇİŞ"))</f>
        <v/>
      </c>
      <c r="U78" s="26">
        <f>IF($A78="","",IF(OR($O78="",$K78=""),"",IF(ABS($K78-$O78)&gt;zincirTolerans,"ZİNCİR KIRIK","OK")))</f>
        <v/>
      </c>
      <c r="V78" s="26">
        <f>IF($A78="","",1)</f>
        <v/>
      </c>
      <c r="W78" s="26">
        <f>IF($A78="","",IF($J78="TAMAM",0,IF($L78="","",raporTarihi-$L78)))</f>
        <v/>
      </c>
    </row>
    <row r="79">
      <c r="A79" s="24" t="n"/>
      <c r="B79" s="24" t="n"/>
      <c r="C79" s="24" t="n"/>
      <c r="D79" s="25" t="n"/>
      <c r="E79" s="25" t="n"/>
      <c r="F79" s="25" t="n"/>
      <c r="G79" s="27" t="n"/>
      <c r="H79" s="25" t="n"/>
      <c r="I79" s="24" t="n"/>
      <c r="J79" s="24" t="n"/>
      <c r="K79" s="25" t="n"/>
      <c r="L79" s="28" t="n"/>
      <c r="M79" s="24" t="n"/>
      <c r="N79" s="24" t="n"/>
      <c r="O79" s="26">
        <f>IF($A79="","",$F79*$D79)</f>
        <v/>
      </c>
      <c r="P79" s="26">
        <f>IF($A79="","",MAX(0,$O79-$E79))</f>
        <v/>
      </c>
      <c r="Q79" s="26">
        <f>IF($A79="","",IF(OR($J79="TAMAM"),0,$P79))</f>
        <v/>
      </c>
      <c r="R79" s="26">
        <f>IF(OR($A79="",$J79="TAMAM"),"",IFERROR($H79/MAX(1,SUMIF(tblKartlar[KartId],$B79,tblKartlar[KapasiteSaat])),0))</f>
        <v/>
      </c>
      <c r="S79" s="26">
        <f>IF($A79="","",IF($B79="","YETİM",IF(COUNTIF(tblKartlar[KartId],$B79)=0,"YETİM","")))</f>
        <v/>
      </c>
      <c r="T79" s="26">
        <f>IF(OR($A79="",$I79=""),"",IF(OR($I79&amp;"|"&amp;$J79="",COUNTIF(ListeIzinliGecis,$I79&amp;"|"&amp;$J79)&gt;0),"","GEÇERSİZ GEÇİŞ"))</f>
        <v/>
      </c>
      <c r="U79" s="26">
        <f>IF($A79="","",IF(OR($O79="",$K79=""),"",IF(ABS($K79-$O79)&gt;zincirTolerans,"ZİNCİR KIRIK","OK")))</f>
        <v/>
      </c>
      <c r="V79" s="26">
        <f>IF($A79="","",1)</f>
        <v/>
      </c>
      <c r="W79" s="26">
        <f>IF($A79="","",IF($J79="TAMAM",0,IF($L79="","",raporTarihi-$L79)))</f>
        <v/>
      </c>
    </row>
    <row r="80">
      <c r="A80" s="24" t="n"/>
      <c r="B80" s="24" t="n"/>
      <c r="C80" s="24" t="n"/>
      <c r="D80" s="25" t="n"/>
      <c r="E80" s="25" t="n"/>
      <c r="F80" s="25" t="n"/>
      <c r="G80" s="27" t="n"/>
      <c r="H80" s="25" t="n"/>
      <c r="I80" s="24" t="n"/>
      <c r="J80" s="24" t="n"/>
      <c r="K80" s="25" t="n"/>
      <c r="L80" s="28" t="n"/>
      <c r="M80" s="24" t="n"/>
      <c r="N80" s="24" t="n"/>
      <c r="O80" s="26">
        <f>IF($A80="","",$F80*$D80)</f>
        <v/>
      </c>
      <c r="P80" s="26">
        <f>IF($A80="","",MAX(0,$O80-$E80))</f>
        <v/>
      </c>
      <c r="Q80" s="26">
        <f>IF($A80="","",IF(OR($J80="TAMAM"),0,$P80))</f>
        <v/>
      </c>
      <c r="R80" s="26">
        <f>IF(OR($A80="",$J80="TAMAM"),"",IFERROR($H80/MAX(1,SUMIF(tblKartlar[KartId],$B80,tblKartlar[KapasiteSaat])),0))</f>
        <v/>
      </c>
      <c r="S80" s="26">
        <f>IF($A80="","",IF($B80="","YETİM",IF(COUNTIF(tblKartlar[KartId],$B80)=0,"YETİM","")))</f>
        <v/>
      </c>
      <c r="T80" s="26">
        <f>IF(OR($A80="",$I80=""),"",IF(OR($I80&amp;"|"&amp;$J80="",COUNTIF(ListeIzinliGecis,$I80&amp;"|"&amp;$J80)&gt;0),"","GEÇERSİZ GEÇİŞ"))</f>
        <v/>
      </c>
      <c r="U80" s="26">
        <f>IF($A80="","",IF(OR($O80="",$K80=""),"",IF(ABS($K80-$O80)&gt;zincirTolerans,"ZİNCİR KIRIK","OK")))</f>
        <v/>
      </c>
      <c r="V80" s="26">
        <f>IF($A80="","",1)</f>
        <v/>
      </c>
      <c r="W80" s="26">
        <f>IF($A80="","",IF($J80="TAMAM",0,IF($L80="","",raporTarihi-$L80)))</f>
        <v/>
      </c>
    </row>
    <row r="81">
      <c r="A81" s="24" t="n"/>
      <c r="B81" s="24" t="n"/>
      <c r="C81" s="24" t="n"/>
      <c r="D81" s="25" t="n"/>
      <c r="E81" s="25" t="n"/>
      <c r="F81" s="25" t="n"/>
      <c r="G81" s="27" t="n"/>
      <c r="H81" s="25" t="n"/>
      <c r="I81" s="24" t="n"/>
      <c r="J81" s="24" t="n"/>
      <c r="K81" s="25" t="n"/>
      <c r="L81" s="28" t="n"/>
      <c r="M81" s="24" t="n"/>
      <c r="N81" s="24" t="n"/>
      <c r="O81" s="26">
        <f>IF($A81="","",$F81*$D81)</f>
        <v/>
      </c>
      <c r="P81" s="26">
        <f>IF($A81="","",MAX(0,$O81-$E81))</f>
        <v/>
      </c>
      <c r="Q81" s="26">
        <f>IF($A81="","",IF(OR($J81="TAMAM"),0,$P81))</f>
        <v/>
      </c>
      <c r="R81" s="26">
        <f>IF(OR($A81="",$J81="TAMAM"),"",IFERROR($H81/MAX(1,SUMIF(tblKartlar[KartId],$B81,tblKartlar[KapasiteSaat])),0))</f>
        <v/>
      </c>
      <c r="S81" s="26">
        <f>IF($A81="","",IF($B81="","YETİM",IF(COUNTIF(tblKartlar[KartId],$B81)=0,"YETİM","")))</f>
        <v/>
      </c>
      <c r="T81" s="26">
        <f>IF(OR($A81="",$I81=""),"",IF(OR($I81&amp;"|"&amp;$J81="",COUNTIF(ListeIzinliGecis,$I81&amp;"|"&amp;$J81)&gt;0),"","GEÇERSİZ GEÇİŞ"))</f>
        <v/>
      </c>
      <c r="U81" s="26">
        <f>IF($A81="","",IF(OR($O81="",$K81=""),"",IF(ABS($K81-$O81)&gt;zincirTolerans,"ZİNCİR KIRIK","OK")))</f>
        <v/>
      </c>
      <c r="V81" s="26">
        <f>IF($A81="","",1)</f>
        <v/>
      </c>
      <c r="W81" s="26">
        <f>IF($A81="","",IF($J81="TAMAM",0,IF($L81="","",raporTarihi-$L81)))</f>
        <v/>
      </c>
    </row>
    <row r="82">
      <c r="A82" s="24" t="n"/>
      <c r="B82" s="24" t="n"/>
      <c r="C82" s="24" t="n"/>
      <c r="D82" s="25" t="n"/>
      <c r="E82" s="25" t="n"/>
      <c r="F82" s="25" t="n"/>
      <c r="G82" s="27" t="n"/>
      <c r="H82" s="25" t="n"/>
      <c r="I82" s="24" t="n"/>
      <c r="J82" s="24" t="n"/>
      <c r="K82" s="25" t="n"/>
      <c r="L82" s="28" t="n"/>
      <c r="M82" s="24" t="n"/>
      <c r="N82" s="24" t="n"/>
      <c r="O82" s="26">
        <f>IF($A82="","",$F82*$D82)</f>
        <v/>
      </c>
      <c r="P82" s="26">
        <f>IF($A82="","",MAX(0,$O82-$E82))</f>
        <v/>
      </c>
      <c r="Q82" s="26">
        <f>IF($A82="","",IF(OR($J82="TAMAM"),0,$P82))</f>
        <v/>
      </c>
      <c r="R82" s="26">
        <f>IF(OR($A82="",$J82="TAMAM"),"",IFERROR($H82/MAX(1,SUMIF(tblKartlar[KartId],$B82,tblKartlar[KapasiteSaat])),0))</f>
        <v/>
      </c>
      <c r="S82" s="26">
        <f>IF($A82="","",IF($B82="","YETİM",IF(COUNTIF(tblKartlar[KartId],$B82)=0,"YETİM","")))</f>
        <v/>
      </c>
      <c r="T82" s="26">
        <f>IF(OR($A82="",$I82=""),"",IF(OR($I82&amp;"|"&amp;$J82="",COUNTIF(ListeIzinliGecis,$I82&amp;"|"&amp;$J82)&gt;0),"","GEÇERSİZ GEÇİŞ"))</f>
        <v/>
      </c>
      <c r="U82" s="26">
        <f>IF($A82="","",IF(OR($O82="",$K82=""),"",IF(ABS($K82-$O82)&gt;zincirTolerans,"ZİNCİR KIRIK","OK")))</f>
        <v/>
      </c>
      <c r="V82" s="26">
        <f>IF($A82="","",1)</f>
        <v/>
      </c>
      <c r="W82" s="26">
        <f>IF($A82="","",IF($J82="TAMAM",0,IF($L82="","",raporTarihi-$L82)))</f>
        <v/>
      </c>
    </row>
    <row r="83">
      <c r="A83" s="24" t="n"/>
      <c r="B83" s="24" t="n"/>
      <c r="C83" s="24" t="n"/>
      <c r="D83" s="25" t="n"/>
      <c r="E83" s="25" t="n"/>
      <c r="F83" s="25" t="n"/>
      <c r="G83" s="27" t="n"/>
      <c r="H83" s="25" t="n"/>
      <c r="I83" s="24" t="n"/>
      <c r="J83" s="24" t="n"/>
      <c r="K83" s="25" t="n"/>
      <c r="L83" s="28" t="n"/>
      <c r="M83" s="24" t="n"/>
      <c r="N83" s="24" t="n"/>
      <c r="O83" s="26">
        <f>IF($A83="","",$F83*$D83)</f>
        <v/>
      </c>
      <c r="P83" s="26">
        <f>IF($A83="","",MAX(0,$O83-$E83))</f>
        <v/>
      </c>
      <c r="Q83" s="26">
        <f>IF($A83="","",IF(OR($J83="TAMAM"),0,$P83))</f>
        <v/>
      </c>
      <c r="R83" s="26">
        <f>IF(OR($A83="",$J83="TAMAM"),"",IFERROR($H83/MAX(1,SUMIF(tblKartlar[KartId],$B83,tblKartlar[KapasiteSaat])),0))</f>
        <v/>
      </c>
      <c r="S83" s="26">
        <f>IF($A83="","",IF($B83="","YETİM",IF(COUNTIF(tblKartlar[KartId],$B83)=0,"YETİM","")))</f>
        <v/>
      </c>
      <c r="T83" s="26">
        <f>IF(OR($A83="",$I83=""),"",IF(OR($I83&amp;"|"&amp;$J83="",COUNTIF(ListeIzinliGecis,$I83&amp;"|"&amp;$J83)&gt;0),"","GEÇERSİZ GEÇİŞ"))</f>
        <v/>
      </c>
      <c r="U83" s="26">
        <f>IF($A83="","",IF(OR($O83="",$K83=""),"",IF(ABS($K83-$O83)&gt;zincirTolerans,"ZİNCİR KIRIK","OK")))</f>
        <v/>
      </c>
      <c r="V83" s="26">
        <f>IF($A83="","",1)</f>
        <v/>
      </c>
      <c r="W83" s="26">
        <f>IF($A83="","",IF($J83="TAMAM",0,IF($L83="","",raporTarihi-$L83)))</f>
        <v/>
      </c>
    </row>
    <row r="84">
      <c r="A84" s="24" t="n"/>
      <c r="B84" s="24" t="n"/>
      <c r="C84" s="24" t="n"/>
      <c r="D84" s="25" t="n"/>
      <c r="E84" s="25" t="n"/>
      <c r="F84" s="25" t="n"/>
      <c r="G84" s="27" t="n"/>
      <c r="H84" s="25" t="n"/>
      <c r="I84" s="24" t="n"/>
      <c r="J84" s="24" t="n"/>
      <c r="K84" s="25" t="n"/>
      <c r="L84" s="28" t="n"/>
      <c r="M84" s="24" t="n"/>
      <c r="N84" s="24" t="n"/>
      <c r="O84" s="26">
        <f>IF($A84="","",$F84*$D84)</f>
        <v/>
      </c>
      <c r="P84" s="26">
        <f>IF($A84="","",MAX(0,$O84-$E84))</f>
        <v/>
      </c>
      <c r="Q84" s="26">
        <f>IF($A84="","",IF(OR($J84="TAMAM"),0,$P84))</f>
        <v/>
      </c>
      <c r="R84" s="26">
        <f>IF(OR($A84="",$J84="TAMAM"),"",IFERROR($H84/MAX(1,SUMIF(tblKartlar[KartId],$B84,tblKartlar[KapasiteSaat])),0))</f>
        <v/>
      </c>
      <c r="S84" s="26">
        <f>IF($A84="","",IF($B84="","YETİM",IF(COUNTIF(tblKartlar[KartId],$B84)=0,"YETİM","")))</f>
        <v/>
      </c>
      <c r="T84" s="26">
        <f>IF(OR($A84="",$I84=""),"",IF(OR($I84&amp;"|"&amp;$J84="",COUNTIF(ListeIzinliGecis,$I84&amp;"|"&amp;$J84)&gt;0),"","GEÇERSİZ GEÇİŞ"))</f>
        <v/>
      </c>
      <c r="U84" s="26">
        <f>IF($A84="","",IF(OR($O84="",$K84=""),"",IF(ABS($K84-$O84)&gt;zincirTolerans,"ZİNCİR KIRIK","OK")))</f>
        <v/>
      </c>
      <c r="V84" s="26">
        <f>IF($A84="","",1)</f>
        <v/>
      </c>
      <c r="W84" s="26">
        <f>IF($A84="","",IF($J84="TAMAM",0,IF($L84="","",raporTarihi-$L84)))</f>
        <v/>
      </c>
    </row>
    <row r="85">
      <c r="A85" s="24" t="n"/>
      <c r="B85" s="24" t="n"/>
      <c r="C85" s="24" t="n"/>
      <c r="D85" s="25" t="n"/>
      <c r="E85" s="25" t="n"/>
      <c r="F85" s="25" t="n"/>
      <c r="G85" s="27" t="n"/>
      <c r="H85" s="25" t="n"/>
      <c r="I85" s="24" t="n"/>
      <c r="J85" s="24" t="n"/>
      <c r="K85" s="25" t="n"/>
      <c r="L85" s="28" t="n"/>
      <c r="M85" s="24" t="n"/>
      <c r="N85" s="24" t="n"/>
      <c r="O85" s="26">
        <f>IF($A85="","",$F85*$D85)</f>
        <v/>
      </c>
      <c r="P85" s="26">
        <f>IF($A85="","",MAX(0,$O85-$E85))</f>
        <v/>
      </c>
      <c r="Q85" s="26">
        <f>IF($A85="","",IF(OR($J85="TAMAM"),0,$P85))</f>
        <v/>
      </c>
      <c r="R85" s="26">
        <f>IF(OR($A85="",$J85="TAMAM"),"",IFERROR($H85/MAX(1,SUMIF(tblKartlar[KartId],$B85,tblKartlar[KapasiteSaat])),0))</f>
        <v/>
      </c>
      <c r="S85" s="26">
        <f>IF($A85="","",IF($B85="","YETİM",IF(COUNTIF(tblKartlar[KartId],$B85)=0,"YETİM","")))</f>
        <v/>
      </c>
      <c r="T85" s="26">
        <f>IF(OR($A85="",$I85=""),"",IF(OR($I85&amp;"|"&amp;$J85="",COUNTIF(ListeIzinliGecis,$I85&amp;"|"&amp;$J85)&gt;0),"","GEÇERSİZ GEÇİŞ"))</f>
        <v/>
      </c>
      <c r="U85" s="26">
        <f>IF($A85="","",IF(OR($O85="",$K85=""),"",IF(ABS($K85-$O85)&gt;zincirTolerans,"ZİNCİR KIRIK","OK")))</f>
        <v/>
      </c>
      <c r="V85" s="26">
        <f>IF($A85="","",1)</f>
        <v/>
      </c>
      <c r="W85" s="26">
        <f>IF($A85="","",IF($J85="TAMAM",0,IF($L85="","",raporTarihi-$L85)))</f>
        <v/>
      </c>
    </row>
    <row r="86">
      <c r="A86" s="24" t="n"/>
      <c r="B86" s="24" t="n"/>
      <c r="C86" s="24" t="n"/>
      <c r="D86" s="25" t="n"/>
      <c r="E86" s="25" t="n"/>
      <c r="F86" s="25" t="n"/>
      <c r="G86" s="27" t="n"/>
      <c r="H86" s="25" t="n"/>
      <c r="I86" s="24" t="n"/>
      <c r="J86" s="24" t="n"/>
      <c r="K86" s="25" t="n"/>
      <c r="L86" s="28" t="n"/>
      <c r="M86" s="24" t="n"/>
      <c r="N86" s="24" t="n"/>
      <c r="O86" s="26">
        <f>IF($A86="","",$F86*$D86)</f>
        <v/>
      </c>
      <c r="P86" s="26">
        <f>IF($A86="","",MAX(0,$O86-$E86))</f>
        <v/>
      </c>
      <c r="Q86" s="26">
        <f>IF($A86="","",IF(OR($J86="TAMAM"),0,$P86))</f>
        <v/>
      </c>
      <c r="R86" s="26">
        <f>IF(OR($A86="",$J86="TAMAM"),"",IFERROR($H86/MAX(1,SUMIF(tblKartlar[KartId],$B86,tblKartlar[KapasiteSaat])),0))</f>
        <v/>
      </c>
      <c r="S86" s="26">
        <f>IF($A86="","",IF($B86="","YETİM",IF(COUNTIF(tblKartlar[KartId],$B86)=0,"YETİM","")))</f>
        <v/>
      </c>
      <c r="T86" s="26">
        <f>IF(OR($A86="",$I86=""),"",IF(OR($I86&amp;"|"&amp;$J86="",COUNTIF(ListeIzinliGecis,$I86&amp;"|"&amp;$J86)&gt;0),"","GEÇERSİZ GEÇİŞ"))</f>
        <v/>
      </c>
      <c r="U86" s="26">
        <f>IF($A86="","",IF(OR($O86="",$K86=""),"",IF(ABS($K86-$O86)&gt;zincirTolerans,"ZİNCİR KIRIK","OK")))</f>
        <v/>
      </c>
      <c r="V86" s="26">
        <f>IF($A86="","",1)</f>
        <v/>
      </c>
      <c r="W86" s="26">
        <f>IF($A86="","",IF($J86="TAMAM",0,IF($L86="","",raporTarihi-$L86)))</f>
        <v/>
      </c>
    </row>
    <row r="87">
      <c r="A87" s="24" t="n"/>
      <c r="B87" s="24" t="n"/>
      <c r="C87" s="24" t="n"/>
      <c r="D87" s="25" t="n"/>
      <c r="E87" s="25" t="n"/>
      <c r="F87" s="25" t="n"/>
      <c r="G87" s="27" t="n"/>
      <c r="H87" s="25" t="n"/>
      <c r="I87" s="24" t="n"/>
      <c r="J87" s="24" t="n"/>
      <c r="K87" s="25" t="n"/>
      <c r="L87" s="28" t="n"/>
      <c r="M87" s="24" t="n"/>
      <c r="N87" s="24" t="n"/>
      <c r="O87" s="26">
        <f>IF($A87="","",$F87*$D87)</f>
        <v/>
      </c>
      <c r="P87" s="26">
        <f>IF($A87="","",MAX(0,$O87-$E87))</f>
        <v/>
      </c>
      <c r="Q87" s="26">
        <f>IF($A87="","",IF(OR($J87="TAMAM"),0,$P87))</f>
        <v/>
      </c>
      <c r="R87" s="26">
        <f>IF(OR($A87="",$J87="TAMAM"),"",IFERROR($H87/MAX(1,SUMIF(tblKartlar[KartId],$B87,tblKartlar[KapasiteSaat])),0))</f>
        <v/>
      </c>
      <c r="S87" s="26">
        <f>IF($A87="","",IF($B87="","YETİM",IF(COUNTIF(tblKartlar[KartId],$B87)=0,"YETİM","")))</f>
        <v/>
      </c>
      <c r="T87" s="26">
        <f>IF(OR($A87="",$I87=""),"",IF(OR($I87&amp;"|"&amp;$J87="",COUNTIF(ListeIzinliGecis,$I87&amp;"|"&amp;$J87)&gt;0),"","GEÇERSİZ GEÇİŞ"))</f>
        <v/>
      </c>
      <c r="U87" s="26">
        <f>IF($A87="","",IF(OR($O87="",$K87=""),"",IF(ABS($K87-$O87)&gt;zincirTolerans,"ZİNCİR KIRIK","OK")))</f>
        <v/>
      </c>
      <c r="V87" s="26">
        <f>IF($A87="","",1)</f>
        <v/>
      </c>
      <c r="W87" s="26">
        <f>IF($A87="","",IF($J87="TAMAM",0,IF($L87="","",raporTarihi-$L87)))</f>
        <v/>
      </c>
    </row>
    <row r="88">
      <c r="A88" s="24" t="n"/>
      <c r="B88" s="24" t="n"/>
      <c r="C88" s="24" t="n"/>
      <c r="D88" s="25" t="n"/>
      <c r="E88" s="25" t="n"/>
      <c r="F88" s="25" t="n"/>
      <c r="G88" s="27" t="n"/>
      <c r="H88" s="25" t="n"/>
      <c r="I88" s="24" t="n"/>
      <c r="J88" s="24" t="n"/>
      <c r="K88" s="25" t="n"/>
      <c r="L88" s="28" t="n"/>
      <c r="M88" s="24" t="n"/>
      <c r="N88" s="24" t="n"/>
      <c r="O88" s="26">
        <f>IF($A88="","",$F88*$D88)</f>
        <v/>
      </c>
      <c r="P88" s="26">
        <f>IF($A88="","",MAX(0,$O88-$E88))</f>
        <v/>
      </c>
      <c r="Q88" s="26">
        <f>IF($A88="","",IF(OR($J88="TAMAM"),0,$P88))</f>
        <v/>
      </c>
      <c r="R88" s="26">
        <f>IF(OR($A88="",$J88="TAMAM"),"",IFERROR($H88/MAX(1,SUMIF(tblKartlar[KartId],$B88,tblKartlar[KapasiteSaat])),0))</f>
        <v/>
      </c>
      <c r="S88" s="26">
        <f>IF($A88="","",IF($B88="","YETİM",IF(COUNTIF(tblKartlar[KartId],$B88)=0,"YETİM","")))</f>
        <v/>
      </c>
      <c r="T88" s="26">
        <f>IF(OR($A88="",$I88=""),"",IF(OR($I88&amp;"|"&amp;$J88="",COUNTIF(ListeIzinliGecis,$I88&amp;"|"&amp;$J88)&gt;0),"","GEÇERSİZ GEÇİŞ"))</f>
        <v/>
      </c>
      <c r="U88" s="26">
        <f>IF($A88="","",IF(OR($O88="",$K88=""),"",IF(ABS($K88-$O88)&gt;zincirTolerans,"ZİNCİR KIRIK","OK")))</f>
        <v/>
      </c>
      <c r="V88" s="26">
        <f>IF($A88="","",1)</f>
        <v/>
      </c>
      <c r="W88" s="26">
        <f>IF($A88="","",IF($J88="TAMAM",0,IF($L88="","",raporTarihi-$L88)))</f>
        <v/>
      </c>
    </row>
    <row r="89">
      <c r="A89" s="24" t="n"/>
      <c r="B89" s="24" t="n"/>
      <c r="C89" s="24" t="n"/>
      <c r="D89" s="25" t="n"/>
      <c r="E89" s="25" t="n"/>
      <c r="F89" s="25" t="n"/>
      <c r="G89" s="27" t="n"/>
      <c r="H89" s="25" t="n"/>
      <c r="I89" s="24" t="n"/>
      <c r="J89" s="24" t="n"/>
      <c r="K89" s="25" t="n"/>
      <c r="L89" s="28" t="n"/>
      <c r="M89" s="24" t="n"/>
      <c r="N89" s="24" t="n"/>
      <c r="O89" s="26">
        <f>IF($A89="","",$F89*$D89)</f>
        <v/>
      </c>
      <c r="P89" s="26">
        <f>IF($A89="","",MAX(0,$O89-$E89))</f>
        <v/>
      </c>
      <c r="Q89" s="26">
        <f>IF($A89="","",IF(OR($J89="TAMAM"),0,$P89))</f>
        <v/>
      </c>
      <c r="R89" s="26">
        <f>IF(OR($A89="",$J89="TAMAM"),"",IFERROR($H89/MAX(1,SUMIF(tblKartlar[KartId],$B89,tblKartlar[KapasiteSaat])),0))</f>
        <v/>
      </c>
      <c r="S89" s="26">
        <f>IF($A89="","",IF($B89="","YETİM",IF(COUNTIF(tblKartlar[KartId],$B89)=0,"YETİM","")))</f>
        <v/>
      </c>
      <c r="T89" s="26">
        <f>IF(OR($A89="",$I89=""),"",IF(OR($I89&amp;"|"&amp;$J89="",COUNTIF(ListeIzinliGecis,$I89&amp;"|"&amp;$J89)&gt;0),"","GEÇERSİZ GEÇİŞ"))</f>
        <v/>
      </c>
      <c r="U89" s="26">
        <f>IF($A89="","",IF(OR($O89="",$K89=""),"",IF(ABS($K89-$O89)&gt;zincirTolerans,"ZİNCİR KIRIK","OK")))</f>
        <v/>
      </c>
      <c r="V89" s="26">
        <f>IF($A89="","",1)</f>
        <v/>
      </c>
      <c r="W89" s="26">
        <f>IF($A89="","",IF($J89="TAMAM",0,IF($L89="","",raporTarihi-$L89)))</f>
        <v/>
      </c>
    </row>
    <row r="90">
      <c r="A90" s="24" t="n"/>
      <c r="B90" s="24" t="n"/>
      <c r="C90" s="24" t="n"/>
      <c r="D90" s="25" t="n"/>
      <c r="E90" s="25" t="n"/>
      <c r="F90" s="25" t="n"/>
      <c r="G90" s="27" t="n"/>
      <c r="H90" s="25" t="n"/>
      <c r="I90" s="24" t="n"/>
      <c r="J90" s="24" t="n"/>
      <c r="K90" s="25" t="n"/>
      <c r="L90" s="28" t="n"/>
      <c r="M90" s="24" t="n"/>
      <c r="N90" s="24" t="n"/>
      <c r="O90" s="26">
        <f>IF($A90="","",$F90*$D90)</f>
        <v/>
      </c>
      <c r="P90" s="26">
        <f>IF($A90="","",MAX(0,$O90-$E90))</f>
        <v/>
      </c>
      <c r="Q90" s="26">
        <f>IF($A90="","",IF(OR($J90="TAMAM"),0,$P90))</f>
        <v/>
      </c>
      <c r="R90" s="26">
        <f>IF(OR($A90="",$J90="TAMAM"),"",IFERROR($H90/MAX(1,SUMIF(tblKartlar[KartId],$B90,tblKartlar[KapasiteSaat])),0))</f>
        <v/>
      </c>
      <c r="S90" s="26">
        <f>IF($A90="","",IF($B90="","YETİM",IF(COUNTIF(tblKartlar[KartId],$B90)=0,"YETİM","")))</f>
        <v/>
      </c>
      <c r="T90" s="26">
        <f>IF(OR($A90="",$I90=""),"",IF(OR($I90&amp;"|"&amp;$J90="",COUNTIF(ListeIzinliGecis,$I90&amp;"|"&amp;$J90)&gt;0),"","GEÇERSİZ GEÇİŞ"))</f>
        <v/>
      </c>
      <c r="U90" s="26">
        <f>IF($A90="","",IF(OR($O90="",$K90=""),"",IF(ABS($K90-$O90)&gt;zincirTolerans,"ZİNCİR KIRIK","OK")))</f>
        <v/>
      </c>
      <c r="V90" s="26">
        <f>IF($A90="","",1)</f>
        <v/>
      </c>
      <c r="W90" s="26">
        <f>IF($A90="","",IF($J90="TAMAM",0,IF($L90="","",raporTarihi-$L90)))</f>
        <v/>
      </c>
    </row>
    <row r="91">
      <c r="A91" s="24" t="n"/>
      <c r="B91" s="24" t="n"/>
      <c r="C91" s="24" t="n"/>
      <c r="D91" s="25" t="n"/>
      <c r="E91" s="25" t="n"/>
      <c r="F91" s="25" t="n"/>
      <c r="G91" s="27" t="n"/>
      <c r="H91" s="25" t="n"/>
      <c r="I91" s="24" t="n"/>
      <c r="J91" s="24" t="n"/>
      <c r="K91" s="25" t="n"/>
      <c r="L91" s="28" t="n"/>
      <c r="M91" s="24" t="n"/>
      <c r="N91" s="24" t="n"/>
      <c r="O91" s="26">
        <f>IF($A91="","",$F91*$D91)</f>
        <v/>
      </c>
      <c r="P91" s="26">
        <f>IF($A91="","",MAX(0,$O91-$E91))</f>
        <v/>
      </c>
      <c r="Q91" s="26">
        <f>IF($A91="","",IF(OR($J91="TAMAM"),0,$P91))</f>
        <v/>
      </c>
      <c r="R91" s="26">
        <f>IF(OR($A91="",$J91="TAMAM"),"",IFERROR($H91/MAX(1,SUMIF(tblKartlar[KartId],$B91,tblKartlar[KapasiteSaat])),0))</f>
        <v/>
      </c>
      <c r="S91" s="26">
        <f>IF($A91="","",IF($B91="","YETİM",IF(COUNTIF(tblKartlar[KartId],$B91)=0,"YETİM","")))</f>
        <v/>
      </c>
      <c r="T91" s="26">
        <f>IF(OR($A91="",$I91=""),"",IF(OR($I91&amp;"|"&amp;$J91="",COUNTIF(ListeIzinliGecis,$I91&amp;"|"&amp;$J91)&gt;0),"","GEÇERSİZ GEÇİŞ"))</f>
        <v/>
      </c>
      <c r="U91" s="26">
        <f>IF($A91="","",IF(OR($O91="",$K91=""),"",IF(ABS($K91-$O91)&gt;zincirTolerans,"ZİNCİR KIRIK","OK")))</f>
        <v/>
      </c>
      <c r="V91" s="26">
        <f>IF($A91="","",1)</f>
        <v/>
      </c>
      <c r="W91" s="26">
        <f>IF($A91="","",IF($J91="TAMAM",0,IF($L91="","",raporTarihi-$L91)))</f>
        <v/>
      </c>
    </row>
    <row r="92">
      <c r="A92" s="24" t="n"/>
      <c r="B92" s="24" t="n"/>
      <c r="C92" s="24" t="n"/>
      <c r="D92" s="25" t="n"/>
      <c r="E92" s="25" t="n"/>
      <c r="F92" s="25" t="n"/>
      <c r="G92" s="27" t="n"/>
      <c r="H92" s="25" t="n"/>
      <c r="I92" s="24" t="n"/>
      <c r="J92" s="24" t="n"/>
      <c r="K92" s="25" t="n"/>
      <c r="L92" s="28" t="n"/>
      <c r="M92" s="24" t="n"/>
      <c r="N92" s="24" t="n"/>
      <c r="O92" s="26">
        <f>IF($A92="","",$F92*$D92)</f>
        <v/>
      </c>
      <c r="P92" s="26">
        <f>IF($A92="","",MAX(0,$O92-$E92))</f>
        <v/>
      </c>
      <c r="Q92" s="26">
        <f>IF($A92="","",IF(OR($J92="TAMAM"),0,$P92))</f>
        <v/>
      </c>
      <c r="R92" s="26">
        <f>IF(OR($A92="",$J92="TAMAM"),"",IFERROR($H92/MAX(1,SUMIF(tblKartlar[KartId],$B92,tblKartlar[KapasiteSaat])),0))</f>
        <v/>
      </c>
      <c r="S92" s="26">
        <f>IF($A92="","",IF($B92="","YETİM",IF(COUNTIF(tblKartlar[KartId],$B92)=0,"YETİM","")))</f>
        <v/>
      </c>
      <c r="T92" s="26">
        <f>IF(OR($A92="",$I92=""),"",IF(OR($I92&amp;"|"&amp;$J92="",COUNTIF(ListeIzinliGecis,$I92&amp;"|"&amp;$J92)&gt;0),"","GEÇERSİZ GEÇİŞ"))</f>
        <v/>
      </c>
      <c r="U92" s="26">
        <f>IF($A92="","",IF(OR($O92="",$K92=""),"",IF(ABS($K92-$O92)&gt;zincirTolerans,"ZİNCİR KIRIK","OK")))</f>
        <v/>
      </c>
      <c r="V92" s="26">
        <f>IF($A92="","",1)</f>
        <v/>
      </c>
      <c r="W92" s="26">
        <f>IF($A92="","",IF($J92="TAMAM",0,IF($L92="","",raporTarihi-$L92)))</f>
        <v/>
      </c>
    </row>
    <row r="93">
      <c r="A93" s="24" t="n"/>
      <c r="B93" s="24" t="n"/>
      <c r="C93" s="24" t="n"/>
      <c r="D93" s="25" t="n"/>
      <c r="E93" s="25" t="n"/>
      <c r="F93" s="25" t="n"/>
      <c r="G93" s="27" t="n"/>
      <c r="H93" s="25" t="n"/>
      <c r="I93" s="24" t="n"/>
      <c r="J93" s="24" t="n"/>
      <c r="K93" s="25" t="n"/>
      <c r="L93" s="28" t="n"/>
      <c r="M93" s="24" t="n"/>
      <c r="N93" s="24" t="n"/>
      <c r="O93" s="26">
        <f>IF($A93="","",$F93*$D93)</f>
        <v/>
      </c>
      <c r="P93" s="26">
        <f>IF($A93="","",MAX(0,$O93-$E93))</f>
        <v/>
      </c>
      <c r="Q93" s="26">
        <f>IF($A93="","",IF(OR($J93="TAMAM"),0,$P93))</f>
        <v/>
      </c>
      <c r="R93" s="26">
        <f>IF(OR($A93="",$J93="TAMAM"),"",IFERROR($H93/MAX(1,SUMIF(tblKartlar[KartId],$B93,tblKartlar[KapasiteSaat])),0))</f>
        <v/>
      </c>
      <c r="S93" s="26">
        <f>IF($A93="","",IF($B93="","YETİM",IF(COUNTIF(tblKartlar[KartId],$B93)=0,"YETİM","")))</f>
        <v/>
      </c>
      <c r="T93" s="26">
        <f>IF(OR($A93="",$I93=""),"",IF(OR($I93&amp;"|"&amp;$J93="",COUNTIF(ListeIzinliGecis,$I93&amp;"|"&amp;$J93)&gt;0),"","GEÇERSİZ GEÇİŞ"))</f>
        <v/>
      </c>
      <c r="U93" s="26">
        <f>IF($A93="","",IF(OR($O93="",$K93=""),"",IF(ABS($K93-$O93)&gt;zincirTolerans,"ZİNCİR KIRIK","OK")))</f>
        <v/>
      </c>
      <c r="V93" s="26">
        <f>IF($A93="","",1)</f>
        <v/>
      </c>
      <c r="W93" s="26">
        <f>IF($A93="","",IF($J93="TAMAM",0,IF($L93="","",raporTarihi-$L93)))</f>
        <v/>
      </c>
    </row>
    <row r="94">
      <c r="A94" s="24" t="n"/>
      <c r="B94" s="24" t="n"/>
      <c r="C94" s="24" t="n"/>
      <c r="D94" s="25" t="n"/>
      <c r="E94" s="25" t="n"/>
      <c r="F94" s="25" t="n"/>
      <c r="G94" s="27" t="n"/>
      <c r="H94" s="25" t="n"/>
      <c r="I94" s="24" t="n"/>
      <c r="J94" s="24" t="n"/>
      <c r="K94" s="25" t="n"/>
      <c r="L94" s="28" t="n"/>
      <c r="M94" s="24" t="n"/>
      <c r="N94" s="24" t="n"/>
      <c r="O94" s="26">
        <f>IF($A94="","",$F94*$D94)</f>
        <v/>
      </c>
      <c r="P94" s="26">
        <f>IF($A94="","",MAX(0,$O94-$E94))</f>
        <v/>
      </c>
      <c r="Q94" s="26">
        <f>IF($A94="","",IF(OR($J94="TAMAM"),0,$P94))</f>
        <v/>
      </c>
      <c r="R94" s="26">
        <f>IF(OR($A94="",$J94="TAMAM"),"",IFERROR($H94/MAX(1,SUMIF(tblKartlar[KartId],$B94,tblKartlar[KapasiteSaat])),0))</f>
        <v/>
      </c>
      <c r="S94" s="26">
        <f>IF($A94="","",IF($B94="","YETİM",IF(COUNTIF(tblKartlar[KartId],$B94)=0,"YETİM","")))</f>
        <v/>
      </c>
      <c r="T94" s="26">
        <f>IF(OR($A94="",$I94=""),"",IF(OR($I94&amp;"|"&amp;$J94="",COUNTIF(ListeIzinliGecis,$I94&amp;"|"&amp;$J94)&gt;0),"","GEÇERSİZ GEÇİŞ"))</f>
        <v/>
      </c>
      <c r="U94" s="26">
        <f>IF($A94="","",IF(OR($O94="",$K94=""),"",IF(ABS($K94-$O94)&gt;zincirTolerans,"ZİNCİR KIRIK","OK")))</f>
        <v/>
      </c>
      <c r="V94" s="26">
        <f>IF($A94="","",1)</f>
        <v/>
      </c>
      <c r="W94" s="26">
        <f>IF($A94="","",IF($J94="TAMAM",0,IF($L94="","",raporTarihi-$L94)))</f>
        <v/>
      </c>
    </row>
    <row r="95">
      <c r="A95" s="24" t="n"/>
      <c r="B95" s="24" t="n"/>
      <c r="C95" s="24" t="n"/>
      <c r="D95" s="25" t="n"/>
      <c r="E95" s="25" t="n"/>
      <c r="F95" s="25" t="n"/>
      <c r="G95" s="27" t="n"/>
      <c r="H95" s="25" t="n"/>
      <c r="I95" s="24" t="n"/>
      <c r="J95" s="24" t="n"/>
      <c r="K95" s="25" t="n"/>
      <c r="L95" s="28" t="n"/>
      <c r="M95" s="24" t="n"/>
      <c r="N95" s="24" t="n"/>
      <c r="O95" s="26">
        <f>IF($A95="","",$F95*$D95)</f>
        <v/>
      </c>
      <c r="P95" s="26">
        <f>IF($A95="","",MAX(0,$O95-$E95))</f>
        <v/>
      </c>
      <c r="Q95" s="26">
        <f>IF($A95="","",IF(OR($J95="TAMAM"),0,$P95))</f>
        <v/>
      </c>
      <c r="R95" s="26">
        <f>IF(OR($A95="",$J95="TAMAM"),"",IFERROR($H95/MAX(1,SUMIF(tblKartlar[KartId],$B95,tblKartlar[KapasiteSaat])),0))</f>
        <v/>
      </c>
      <c r="S95" s="26">
        <f>IF($A95="","",IF($B95="","YETİM",IF(COUNTIF(tblKartlar[KartId],$B95)=0,"YETİM","")))</f>
        <v/>
      </c>
      <c r="T95" s="26">
        <f>IF(OR($A95="",$I95=""),"",IF(OR($I95&amp;"|"&amp;$J95="",COUNTIF(ListeIzinliGecis,$I95&amp;"|"&amp;$J95)&gt;0),"","GEÇERSİZ GEÇİŞ"))</f>
        <v/>
      </c>
      <c r="U95" s="26">
        <f>IF($A95="","",IF(OR($O95="",$K95=""),"",IF(ABS($K95-$O95)&gt;zincirTolerans,"ZİNCİR KIRIK","OK")))</f>
        <v/>
      </c>
      <c r="V95" s="26">
        <f>IF($A95="","",1)</f>
        <v/>
      </c>
      <c r="W95" s="26">
        <f>IF($A95="","",IF($J95="TAMAM",0,IF($L95="","",raporTarihi-$L95)))</f>
        <v/>
      </c>
    </row>
    <row r="96">
      <c r="A96" s="24" t="n"/>
      <c r="B96" s="24" t="n"/>
      <c r="C96" s="24" t="n"/>
      <c r="D96" s="25" t="n"/>
      <c r="E96" s="25" t="n"/>
      <c r="F96" s="25" t="n"/>
      <c r="G96" s="27" t="n"/>
      <c r="H96" s="25" t="n"/>
      <c r="I96" s="24" t="n"/>
      <c r="J96" s="24" t="n"/>
      <c r="K96" s="25" t="n"/>
      <c r="L96" s="28" t="n"/>
      <c r="M96" s="24" t="n"/>
      <c r="N96" s="24" t="n"/>
      <c r="O96" s="26">
        <f>IF($A96="","",$F96*$D96)</f>
        <v/>
      </c>
      <c r="P96" s="26">
        <f>IF($A96="","",MAX(0,$O96-$E96))</f>
        <v/>
      </c>
      <c r="Q96" s="26">
        <f>IF($A96="","",IF(OR($J96="TAMAM"),0,$P96))</f>
        <v/>
      </c>
      <c r="R96" s="26">
        <f>IF(OR($A96="",$J96="TAMAM"),"",IFERROR($H96/MAX(1,SUMIF(tblKartlar[KartId],$B96,tblKartlar[KapasiteSaat])),0))</f>
        <v/>
      </c>
      <c r="S96" s="26">
        <f>IF($A96="","",IF($B96="","YETİM",IF(COUNTIF(tblKartlar[KartId],$B96)=0,"YETİM","")))</f>
        <v/>
      </c>
      <c r="T96" s="26">
        <f>IF(OR($A96="",$I96=""),"",IF(OR($I96&amp;"|"&amp;$J96="",COUNTIF(ListeIzinliGecis,$I96&amp;"|"&amp;$J96)&gt;0),"","GEÇERSİZ GEÇİŞ"))</f>
        <v/>
      </c>
      <c r="U96" s="26">
        <f>IF($A96="","",IF(OR($O96="",$K96=""),"",IF(ABS($K96-$O96)&gt;zincirTolerans,"ZİNCİR KIRIK","OK")))</f>
        <v/>
      </c>
      <c r="V96" s="26">
        <f>IF($A96="","",1)</f>
        <v/>
      </c>
      <c r="W96" s="26">
        <f>IF($A96="","",IF($J96="TAMAM",0,IF($L96="","",raporTarihi-$L96)))</f>
        <v/>
      </c>
    </row>
    <row r="97">
      <c r="A97" s="24" t="n"/>
      <c r="B97" s="24" t="n"/>
      <c r="C97" s="24" t="n"/>
      <c r="D97" s="25" t="n"/>
      <c r="E97" s="25" t="n"/>
      <c r="F97" s="25" t="n"/>
      <c r="G97" s="27" t="n"/>
      <c r="H97" s="25" t="n"/>
      <c r="I97" s="24" t="n"/>
      <c r="J97" s="24" t="n"/>
      <c r="K97" s="25" t="n"/>
      <c r="L97" s="28" t="n"/>
      <c r="M97" s="24" t="n"/>
      <c r="N97" s="24" t="n"/>
      <c r="O97" s="26">
        <f>IF($A97="","",$F97*$D97)</f>
        <v/>
      </c>
      <c r="P97" s="26">
        <f>IF($A97="","",MAX(0,$O97-$E97))</f>
        <v/>
      </c>
      <c r="Q97" s="26">
        <f>IF($A97="","",IF(OR($J97="TAMAM"),0,$P97))</f>
        <v/>
      </c>
      <c r="R97" s="26">
        <f>IF(OR($A97="",$J97="TAMAM"),"",IFERROR($H97/MAX(1,SUMIF(tblKartlar[KartId],$B97,tblKartlar[KapasiteSaat])),0))</f>
        <v/>
      </c>
      <c r="S97" s="26">
        <f>IF($A97="","",IF($B97="","YETİM",IF(COUNTIF(tblKartlar[KartId],$B97)=0,"YETİM","")))</f>
        <v/>
      </c>
      <c r="T97" s="26">
        <f>IF(OR($A97="",$I97=""),"",IF(OR($I97&amp;"|"&amp;$J97="",COUNTIF(ListeIzinliGecis,$I97&amp;"|"&amp;$J97)&gt;0),"","GEÇERSİZ GEÇİŞ"))</f>
        <v/>
      </c>
      <c r="U97" s="26">
        <f>IF($A97="","",IF(OR($O97="",$K97=""),"",IF(ABS($K97-$O97)&gt;zincirTolerans,"ZİNCİR KIRIK","OK")))</f>
        <v/>
      </c>
      <c r="V97" s="26">
        <f>IF($A97="","",1)</f>
        <v/>
      </c>
      <c r="W97" s="26">
        <f>IF($A97="","",IF($J97="TAMAM",0,IF($L97="","",raporTarihi-$L97)))</f>
        <v/>
      </c>
    </row>
    <row r="98">
      <c r="A98" s="24" t="n"/>
      <c r="B98" s="24" t="n"/>
      <c r="C98" s="24" t="n"/>
      <c r="D98" s="25" t="n"/>
      <c r="E98" s="25" t="n"/>
      <c r="F98" s="25" t="n"/>
      <c r="G98" s="27" t="n"/>
      <c r="H98" s="25" t="n"/>
      <c r="I98" s="24" t="n"/>
      <c r="J98" s="24" t="n"/>
      <c r="K98" s="25" t="n"/>
      <c r="L98" s="28" t="n"/>
      <c r="M98" s="24" t="n"/>
      <c r="N98" s="24" t="n"/>
      <c r="O98" s="26">
        <f>IF($A98="","",$F98*$D98)</f>
        <v/>
      </c>
      <c r="P98" s="26">
        <f>IF($A98="","",MAX(0,$O98-$E98))</f>
        <v/>
      </c>
      <c r="Q98" s="26">
        <f>IF($A98="","",IF(OR($J98="TAMAM"),0,$P98))</f>
        <v/>
      </c>
      <c r="R98" s="26">
        <f>IF(OR($A98="",$J98="TAMAM"),"",IFERROR($H98/MAX(1,SUMIF(tblKartlar[KartId],$B98,tblKartlar[KapasiteSaat])),0))</f>
        <v/>
      </c>
      <c r="S98" s="26">
        <f>IF($A98="","",IF($B98="","YETİM",IF(COUNTIF(tblKartlar[KartId],$B98)=0,"YETİM","")))</f>
        <v/>
      </c>
      <c r="T98" s="26">
        <f>IF(OR($A98="",$I98=""),"",IF(OR($I98&amp;"|"&amp;$J98="",COUNTIF(ListeIzinliGecis,$I98&amp;"|"&amp;$J98)&gt;0),"","GEÇERSİZ GEÇİŞ"))</f>
        <v/>
      </c>
      <c r="U98" s="26">
        <f>IF($A98="","",IF(OR($O98="",$K98=""),"",IF(ABS($K98-$O98)&gt;zincirTolerans,"ZİNCİR KIRIK","OK")))</f>
        <v/>
      </c>
      <c r="V98" s="26">
        <f>IF($A98="","",1)</f>
        <v/>
      </c>
      <c r="W98" s="26">
        <f>IF($A98="","",IF($J98="TAMAM",0,IF($L98="","",raporTarihi-$L98)))</f>
        <v/>
      </c>
    </row>
    <row r="99">
      <c r="A99" s="24" t="n"/>
      <c r="B99" s="24" t="n"/>
      <c r="C99" s="24" t="n"/>
      <c r="D99" s="25" t="n"/>
      <c r="E99" s="25" t="n"/>
      <c r="F99" s="25" t="n"/>
      <c r="G99" s="27" t="n"/>
      <c r="H99" s="25" t="n"/>
      <c r="I99" s="24" t="n"/>
      <c r="J99" s="24" t="n"/>
      <c r="K99" s="25" t="n"/>
      <c r="L99" s="28" t="n"/>
      <c r="M99" s="24" t="n"/>
      <c r="N99" s="24" t="n"/>
      <c r="O99" s="26">
        <f>IF($A99="","",$F99*$D99)</f>
        <v/>
      </c>
      <c r="P99" s="26">
        <f>IF($A99="","",MAX(0,$O99-$E99))</f>
        <v/>
      </c>
      <c r="Q99" s="26">
        <f>IF($A99="","",IF(OR($J99="TAMAM"),0,$P99))</f>
        <v/>
      </c>
      <c r="R99" s="26">
        <f>IF(OR($A99="",$J99="TAMAM"),"",IFERROR($H99/MAX(1,SUMIF(tblKartlar[KartId],$B99,tblKartlar[KapasiteSaat])),0))</f>
        <v/>
      </c>
      <c r="S99" s="26">
        <f>IF($A99="","",IF($B99="","YETİM",IF(COUNTIF(tblKartlar[KartId],$B99)=0,"YETİM","")))</f>
        <v/>
      </c>
      <c r="T99" s="26">
        <f>IF(OR($A99="",$I99=""),"",IF(OR($I99&amp;"|"&amp;$J99="",COUNTIF(ListeIzinliGecis,$I99&amp;"|"&amp;$J99)&gt;0),"","GEÇERSİZ GEÇİŞ"))</f>
        <v/>
      </c>
      <c r="U99" s="26">
        <f>IF($A99="","",IF(OR($O99="",$K99=""),"",IF(ABS($K99-$O99)&gt;zincirTolerans,"ZİNCİR KIRIK","OK")))</f>
        <v/>
      </c>
      <c r="V99" s="26">
        <f>IF($A99="","",1)</f>
        <v/>
      </c>
      <c r="W99" s="26">
        <f>IF($A99="","",IF($J99="TAMAM",0,IF($L99="","",raporTarihi-$L99)))</f>
        <v/>
      </c>
    </row>
    <row r="100">
      <c r="A100" s="24" t="n"/>
      <c r="B100" s="24" t="n"/>
      <c r="C100" s="24" t="n"/>
      <c r="D100" s="25" t="n"/>
      <c r="E100" s="25" t="n"/>
      <c r="F100" s="25" t="n"/>
      <c r="G100" s="27" t="n"/>
      <c r="H100" s="25" t="n"/>
      <c r="I100" s="24" t="n"/>
      <c r="J100" s="24" t="n"/>
      <c r="K100" s="25" t="n"/>
      <c r="L100" s="28" t="n"/>
      <c r="M100" s="24" t="n"/>
      <c r="N100" s="24" t="n"/>
      <c r="O100" s="26">
        <f>IF($A100="","",$F100*$D100)</f>
        <v/>
      </c>
      <c r="P100" s="26">
        <f>IF($A100="","",MAX(0,$O100-$E100))</f>
        <v/>
      </c>
      <c r="Q100" s="26">
        <f>IF($A100="","",IF(OR($J100="TAMAM"),0,$P100))</f>
        <v/>
      </c>
      <c r="R100" s="26">
        <f>IF(OR($A100="",$J100="TAMAM"),"",IFERROR($H100/MAX(1,SUMIF(tblKartlar[KartId],$B100,tblKartlar[KapasiteSaat])),0))</f>
        <v/>
      </c>
      <c r="S100" s="26">
        <f>IF($A100="","",IF($B100="","YETİM",IF(COUNTIF(tblKartlar[KartId],$B100)=0,"YETİM","")))</f>
        <v/>
      </c>
      <c r="T100" s="26">
        <f>IF(OR($A100="",$I100=""),"",IF(OR($I100&amp;"|"&amp;$J100="",COUNTIF(ListeIzinliGecis,$I100&amp;"|"&amp;$J100)&gt;0),"","GEÇERSİZ GEÇİŞ"))</f>
        <v/>
      </c>
      <c r="U100" s="26">
        <f>IF($A100="","",IF(OR($O100="",$K100=""),"",IF(ABS($K100-$O100)&gt;zincirTolerans,"ZİNCİR KIRIK","OK")))</f>
        <v/>
      </c>
      <c r="V100" s="26">
        <f>IF($A100="","",1)</f>
        <v/>
      </c>
      <c r="W100" s="26">
        <f>IF($A100="","",IF($J100="TAMAM",0,IF($L100="","",raporTarihi-$L100)))</f>
        <v/>
      </c>
    </row>
    <row r="101">
      <c r="A101" s="24" t="n"/>
      <c r="B101" s="24" t="n"/>
      <c r="C101" s="24" t="n"/>
      <c r="D101" s="25" t="n"/>
      <c r="E101" s="25" t="n"/>
      <c r="F101" s="25" t="n"/>
      <c r="G101" s="27" t="n"/>
      <c r="H101" s="25" t="n"/>
      <c r="I101" s="24" t="n"/>
      <c r="J101" s="24" t="n"/>
      <c r="K101" s="25" t="n"/>
      <c r="L101" s="28" t="n"/>
      <c r="M101" s="24" t="n"/>
      <c r="N101" s="24" t="n"/>
      <c r="O101" s="26">
        <f>IF($A101="","",$F101*$D101)</f>
        <v/>
      </c>
      <c r="P101" s="26">
        <f>IF($A101="","",MAX(0,$O101-$E101))</f>
        <v/>
      </c>
      <c r="Q101" s="26">
        <f>IF($A101="","",IF(OR($J101="TAMAM"),0,$P101))</f>
        <v/>
      </c>
      <c r="R101" s="26">
        <f>IF(OR($A101="",$J101="TAMAM"),"",IFERROR($H101/MAX(1,SUMIF(tblKartlar[KartId],$B101,tblKartlar[KapasiteSaat])),0))</f>
        <v/>
      </c>
      <c r="S101" s="26">
        <f>IF($A101="","",IF($B101="","YETİM",IF(COUNTIF(tblKartlar[KartId],$B101)=0,"YETİM","")))</f>
        <v/>
      </c>
      <c r="T101" s="26">
        <f>IF(OR($A101="",$I101=""),"",IF(OR($I101&amp;"|"&amp;$J101="",COUNTIF(ListeIzinliGecis,$I101&amp;"|"&amp;$J101)&gt;0),"","GEÇERSİZ GEÇİŞ"))</f>
        <v/>
      </c>
      <c r="U101" s="26">
        <f>IF($A101="","",IF(OR($O101="",$K101=""),"",IF(ABS($K101-$O101)&gt;zincirTolerans,"ZİNCİR KIRIK","OK")))</f>
        <v/>
      </c>
      <c r="V101" s="26">
        <f>IF($A101="","",1)</f>
        <v/>
      </c>
      <c r="W101" s="26">
        <f>IF($A101="","",IF($J101="TAMAM",0,IF($L101="","",raporTarihi-$L101)))</f>
        <v/>
      </c>
    </row>
    <row r="102">
      <c r="A102" s="24" t="n"/>
      <c r="B102" s="24" t="n"/>
      <c r="C102" s="24" t="n"/>
      <c r="D102" s="25" t="n"/>
      <c r="E102" s="25" t="n"/>
      <c r="F102" s="25" t="n"/>
      <c r="G102" s="27" t="n"/>
      <c r="H102" s="25" t="n"/>
      <c r="I102" s="24" t="n"/>
      <c r="J102" s="24" t="n"/>
      <c r="K102" s="25" t="n"/>
      <c r="L102" s="28" t="n"/>
      <c r="M102" s="24" t="n"/>
      <c r="N102" s="24" t="n"/>
      <c r="O102" s="26">
        <f>IF($A102="","",$F102*$D102)</f>
        <v/>
      </c>
      <c r="P102" s="26">
        <f>IF($A102="","",MAX(0,$O102-$E102))</f>
        <v/>
      </c>
      <c r="Q102" s="26">
        <f>IF($A102="","",IF(OR($J102="TAMAM"),0,$P102))</f>
        <v/>
      </c>
      <c r="R102" s="26">
        <f>IF(OR($A102="",$J102="TAMAM"),"",IFERROR($H102/MAX(1,SUMIF(tblKartlar[KartId],$B102,tblKartlar[KapasiteSaat])),0))</f>
        <v/>
      </c>
      <c r="S102" s="26">
        <f>IF($A102="","",IF($B102="","YETİM",IF(COUNTIF(tblKartlar[KartId],$B102)=0,"YETİM","")))</f>
        <v/>
      </c>
      <c r="T102" s="26">
        <f>IF(OR($A102="",$I102=""),"",IF(OR($I102&amp;"|"&amp;$J102="",COUNTIF(ListeIzinliGecis,$I102&amp;"|"&amp;$J102)&gt;0),"","GEÇERSİZ GEÇİŞ"))</f>
        <v/>
      </c>
      <c r="U102" s="26">
        <f>IF($A102="","",IF(OR($O102="",$K102=""),"",IF(ABS($K102-$O102)&gt;zincirTolerans,"ZİNCİR KIRIK","OK")))</f>
        <v/>
      </c>
      <c r="V102" s="26">
        <f>IF($A102="","",1)</f>
        <v/>
      </c>
      <c r="W102" s="26">
        <f>IF($A102="","",IF($J102="TAMAM",0,IF($L102="","",raporTarihi-$L102)))</f>
        <v/>
      </c>
    </row>
    <row r="103">
      <c r="A103" s="24" t="n"/>
      <c r="B103" s="24" t="n"/>
      <c r="C103" s="24" t="n"/>
      <c r="D103" s="25" t="n"/>
      <c r="E103" s="25" t="n"/>
      <c r="F103" s="25" t="n"/>
      <c r="G103" s="27" t="n"/>
      <c r="H103" s="25" t="n"/>
      <c r="I103" s="24" t="n"/>
      <c r="J103" s="24" t="n"/>
      <c r="K103" s="25" t="n"/>
      <c r="L103" s="28" t="n"/>
      <c r="M103" s="24" t="n"/>
      <c r="N103" s="24" t="n"/>
      <c r="O103" s="26">
        <f>IF($A103="","",$F103*$D103)</f>
        <v/>
      </c>
      <c r="P103" s="26">
        <f>IF($A103="","",MAX(0,$O103-$E103))</f>
        <v/>
      </c>
      <c r="Q103" s="26">
        <f>IF($A103="","",IF(OR($J103="TAMAM"),0,$P103))</f>
        <v/>
      </c>
      <c r="R103" s="26">
        <f>IF(OR($A103="",$J103="TAMAM"),"",IFERROR($H103/MAX(1,SUMIF(tblKartlar[KartId],$B103,tblKartlar[KapasiteSaat])),0))</f>
        <v/>
      </c>
      <c r="S103" s="26">
        <f>IF($A103="","",IF($B103="","YETİM",IF(COUNTIF(tblKartlar[KartId],$B103)=0,"YETİM","")))</f>
        <v/>
      </c>
      <c r="T103" s="26">
        <f>IF(OR($A103="",$I103=""),"",IF(OR($I103&amp;"|"&amp;$J103="",COUNTIF(ListeIzinliGecis,$I103&amp;"|"&amp;$J103)&gt;0),"","GEÇERSİZ GEÇİŞ"))</f>
        <v/>
      </c>
      <c r="U103" s="26">
        <f>IF($A103="","",IF(OR($O103="",$K103=""),"",IF(ABS($K103-$O103)&gt;zincirTolerans,"ZİNCİR KIRIK","OK")))</f>
        <v/>
      </c>
      <c r="V103" s="26">
        <f>IF($A103="","",1)</f>
        <v/>
      </c>
      <c r="W103" s="26">
        <f>IF($A103="","",IF($J103="TAMAM",0,IF($L103="","",raporTarihi-$L103)))</f>
        <v/>
      </c>
    </row>
    <row r="104">
      <c r="A104" s="24" t="n"/>
      <c r="B104" s="24" t="n"/>
      <c r="C104" s="24" t="n"/>
      <c r="D104" s="25" t="n"/>
      <c r="E104" s="25" t="n"/>
      <c r="F104" s="25" t="n"/>
      <c r="G104" s="27" t="n"/>
      <c r="H104" s="25" t="n"/>
      <c r="I104" s="24" t="n"/>
      <c r="J104" s="24" t="n"/>
      <c r="K104" s="25" t="n"/>
      <c r="L104" s="28" t="n"/>
      <c r="M104" s="24" t="n"/>
      <c r="N104" s="24" t="n"/>
      <c r="O104" s="26">
        <f>IF($A104="","",$F104*$D104)</f>
        <v/>
      </c>
      <c r="P104" s="26">
        <f>IF($A104="","",MAX(0,$O104-$E104))</f>
        <v/>
      </c>
      <c r="Q104" s="26">
        <f>IF($A104="","",IF(OR($J104="TAMAM"),0,$P104))</f>
        <v/>
      </c>
      <c r="R104" s="26">
        <f>IF(OR($A104="",$J104="TAMAM"),"",IFERROR($H104/MAX(1,SUMIF(tblKartlar[KartId],$B104,tblKartlar[KapasiteSaat])),0))</f>
        <v/>
      </c>
      <c r="S104" s="26">
        <f>IF($A104="","",IF($B104="","YETİM",IF(COUNTIF(tblKartlar[KartId],$B104)=0,"YETİM","")))</f>
        <v/>
      </c>
      <c r="T104" s="26">
        <f>IF(OR($A104="",$I104=""),"",IF(OR($I104&amp;"|"&amp;$J104="",COUNTIF(ListeIzinliGecis,$I104&amp;"|"&amp;$J104)&gt;0),"","GEÇERSİZ GEÇİŞ"))</f>
        <v/>
      </c>
      <c r="U104" s="26">
        <f>IF($A104="","",IF(OR($O104="",$K104=""),"",IF(ABS($K104-$O104)&gt;zincirTolerans,"ZİNCİR KIRIK","OK")))</f>
        <v/>
      </c>
      <c r="V104" s="26">
        <f>IF($A104="","",1)</f>
        <v/>
      </c>
      <c r="W104" s="26">
        <f>IF($A104="","",IF($J104="TAMAM",0,IF($L104="","",raporTarihi-$L104)))</f>
        <v/>
      </c>
    </row>
    <row r="105">
      <c r="A105" s="24" t="n"/>
      <c r="B105" s="24" t="n"/>
      <c r="C105" s="24" t="n"/>
      <c r="D105" s="25" t="n"/>
      <c r="E105" s="25" t="n"/>
      <c r="F105" s="25" t="n"/>
      <c r="G105" s="27" t="n"/>
      <c r="H105" s="25" t="n"/>
      <c r="I105" s="24" t="n"/>
      <c r="J105" s="24" t="n"/>
      <c r="K105" s="25" t="n"/>
      <c r="L105" s="28" t="n"/>
      <c r="M105" s="24" t="n"/>
      <c r="N105" s="24" t="n"/>
      <c r="O105" s="26">
        <f>IF($A105="","",$F105*$D105)</f>
        <v/>
      </c>
      <c r="P105" s="26">
        <f>IF($A105="","",MAX(0,$O105-$E105))</f>
        <v/>
      </c>
      <c r="Q105" s="26">
        <f>IF($A105="","",IF(OR($J105="TAMAM"),0,$P105))</f>
        <v/>
      </c>
      <c r="R105" s="26">
        <f>IF(OR($A105="",$J105="TAMAM"),"",IFERROR($H105/MAX(1,SUMIF(tblKartlar[KartId],$B105,tblKartlar[KapasiteSaat])),0))</f>
        <v/>
      </c>
      <c r="S105" s="26">
        <f>IF($A105="","",IF($B105="","YETİM",IF(COUNTIF(tblKartlar[KartId],$B105)=0,"YETİM","")))</f>
        <v/>
      </c>
      <c r="T105" s="26">
        <f>IF(OR($A105="",$I105=""),"",IF(OR($I105&amp;"|"&amp;$J105="",COUNTIF(ListeIzinliGecis,$I105&amp;"|"&amp;$J105)&gt;0),"","GEÇERSİZ GEÇİŞ"))</f>
        <v/>
      </c>
      <c r="U105" s="26">
        <f>IF($A105="","",IF(OR($O105="",$K105=""),"",IF(ABS($K105-$O105)&gt;zincirTolerans,"ZİNCİR KIRIK","OK")))</f>
        <v/>
      </c>
      <c r="V105" s="26">
        <f>IF($A105="","",1)</f>
        <v/>
      </c>
      <c r="W105" s="26">
        <f>IF($A105="","",IF($J105="TAMAM",0,IF($L105="","",raporTarihi-$L105)))</f>
        <v/>
      </c>
    </row>
    <row r="106">
      <c r="A106" s="24" t="n"/>
      <c r="B106" s="24" t="n"/>
      <c r="C106" s="24" t="n"/>
      <c r="D106" s="25" t="n"/>
      <c r="E106" s="25" t="n"/>
      <c r="F106" s="25" t="n"/>
      <c r="G106" s="27" t="n"/>
      <c r="H106" s="25" t="n"/>
      <c r="I106" s="24" t="n"/>
      <c r="J106" s="24" t="n"/>
      <c r="K106" s="25" t="n"/>
      <c r="L106" s="28" t="n"/>
      <c r="M106" s="24" t="n"/>
      <c r="N106" s="24" t="n"/>
      <c r="O106" s="26">
        <f>IF($A106="","",$F106*$D106)</f>
        <v/>
      </c>
      <c r="P106" s="26">
        <f>IF($A106="","",MAX(0,$O106-$E106))</f>
        <v/>
      </c>
      <c r="Q106" s="26">
        <f>IF($A106="","",IF(OR($J106="TAMAM"),0,$P106))</f>
        <v/>
      </c>
      <c r="R106" s="26">
        <f>IF(OR($A106="",$J106="TAMAM"),"",IFERROR($H106/MAX(1,SUMIF(tblKartlar[KartId],$B106,tblKartlar[KapasiteSaat])),0))</f>
        <v/>
      </c>
      <c r="S106" s="26">
        <f>IF($A106="","",IF($B106="","YETİM",IF(COUNTIF(tblKartlar[KartId],$B106)=0,"YETİM","")))</f>
        <v/>
      </c>
      <c r="T106" s="26">
        <f>IF(OR($A106="",$I106=""),"",IF(OR($I106&amp;"|"&amp;$J106="",COUNTIF(ListeIzinliGecis,$I106&amp;"|"&amp;$J106)&gt;0),"","GEÇERSİZ GEÇİŞ"))</f>
        <v/>
      </c>
      <c r="U106" s="26">
        <f>IF($A106="","",IF(OR($O106="",$K106=""),"",IF(ABS($K106-$O106)&gt;zincirTolerans,"ZİNCİR KIRIK","OK")))</f>
        <v/>
      </c>
      <c r="V106" s="26">
        <f>IF($A106="","",1)</f>
        <v/>
      </c>
      <c r="W106" s="26">
        <f>IF($A106="","",IF($J106="TAMAM",0,IF($L106="","",raporTarihi-$L106)))</f>
        <v/>
      </c>
    </row>
    <row r="107">
      <c r="A107" s="24" t="n"/>
      <c r="B107" s="24" t="n"/>
      <c r="C107" s="24" t="n"/>
      <c r="D107" s="25" t="n"/>
      <c r="E107" s="25" t="n"/>
      <c r="F107" s="25" t="n"/>
      <c r="G107" s="27" t="n"/>
      <c r="H107" s="25" t="n"/>
      <c r="I107" s="24" t="n"/>
      <c r="J107" s="24" t="n"/>
      <c r="K107" s="25" t="n"/>
      <c r="L107" s="28" t="n"/>
      <c r="M107" s="24" t="n"/>
      <c r="N107" s="24" t="n"/>
      <c r="O107" s="26">
        <f>IF($A107="","",$F107*$D107)</f>
        <v/>
      </c>
      <c r="P107" s="26">
        <f>IF($A107="","",MAX(0,$O107-$E107))</f>
        <v/>
      </c>
      <c r="Q107" s="26">
        <f>IF($A107="","",IF(OR($J107="TAMAM"),0,$P107))</f>
        <v/>
      </c>
      <c r="R107" s="26">
        <f>IF(OR($A107="",$J107="TAMAM"),"",IFERROR($H107/MAX(1,SUMIF(tblKartlar[KartId],$B107,tblKartlar[KapasiteSaat])),0))</f>
        <v/>
      </c>
      <c r="S107" s="26">
        <f>IF($A107="","",IF($B107="","YETİM",IF(COUNTIF(tblKartlar[KartId],$B107)=0,"YETİM","")))</f>
        <v/>
      </c>
      <c r="T107" s="26">
        <f>IF(OR($A107="",$I107=""),"",IF(OR($I107&amp;"|"&amp;$J107="",COUNTIF(ListeIzinliGecis,$I107&amp;"|"&amp;$J107)&gt;0),"","GEÇERSİZ GEÇİŞ"))</f>
        <v/>
      </c>
      <c r="U107" s="26">
        <f>IF($A107="","",IF(OR($O107="",$K107=""),"",IF(ABS($K107-$O107)&gt;zincirTolerans,"ZİNCİR KIRIK","OK")))</f>
        <v/>
      </c>
      <c r="V107" s="26">
        <f>IF($A107="","",1)</f>
        <v/>
      </c>
      <c r="W107" s="26">
        <f>IF($A107="","",IF($J107="TAMAM",0,IF($L107="","",raporTarihi-$L107)))</f>
        <v/>
      </c>
    </row>
    <row r="108">
      <c r="A108" s="24" t="n"/>
      <c r="B108" s="24" t="n"/>
      <c r="C108" s="24" t="n"/>
      <c r="D108" s="25" t="n"/>
      <c r="E108" s="25" t="n"/>
      <c r="F108" s="25" t="n"/>
      <c r="G108" s="27" t="n"/>
      <c r="H108" s="25" t="n"/>
      <c r="I108" s="24" t="n"/>
      <c r="J108" s="24" t="n"/>
      <c r="K108" s="25" t="n"/>
      <c r="L108" s="28" t="n"/>
      <c r="M108" s="24" t="n"/>
      <c r="N108" s="24" t="n"/>
      <c r="O108" s="26">
        <f>IF($A108="","",$F108*$D108)</f>
        <v/>
      </c>
      <c r="P108" s="26">
        <f>IF($A108="","",MAX(0,$O108-$E108))</f>
        <v/>
      </c>
      <c r="Q108" s="26">
        <f>IF($A108="","",IF(OR($J108="TAMAM"),0,$P108))</f>
        <v/>
      </c>
      <c r="R108" s="26">
        <f>IF(OR($A108="",$J108="TAMAM"),"",IFERROR($H108/MAX(1,SUMIF(tblKartlar[KartId],$B108,tblKartlar[KapasiteSaat])),0))</f>
        <v/>
      </c>
      <c r="S108" s="26">
        <f>IF($A108="","",IF($B108="","YETİM",IF(COUNTIF(tblKartlar[KartId],$B108)=0,"YETİM","")))</f>
        <v/>
      </c>
      <c r="T108" s="26">
        <f>IF(OR($A108="",$I108=""),"",IF(OR($I108&amp;"|"&amp;$J108="",COUNTIF(ListeIzinliGecis,$I108&amp;"|"&amp;$J108)&gt;0),"","GEÇERSİZ GEÇİŞ"))</f>
        <v/>
      </c>
      <c r="U108" s="26">
        <f>IF($A108="","",IF(OR($O108="",$K108=""),"",IF(ABS($K108-$O108)&gt;zincirTolerans,"ZİNCİR KIRIK","OK")))</f>
        <v/>
      </c>
      <c r="V108" s="26">
        <f>IF($A108="","",1)</f>
        <v/>
      </c>
      <c r="W108" s="26">
        <f>IF($A108="","",IF($J108="TAMAM",0,IF($L108="","",raporTarihi-$L108)))</f>
        <v/>
      </c>
    </row>
    <row r="109">
      <c r="A109" s="24" t="n"/>
      <c r="B109" s="24" t="n"/>
      <c r="C109" s="24" t="n"/>
      <c r="D109" s="25" t="n"/>
      <c r="E109" s="25" t="n"/>
      <c r="F109" s="25" t="n"/>
      <c r="G109" s="27" t="n"/>
      <c r="H109" s="25" t="n"/>
      <c r="I109" s="24" t="n"/>
      <c r="J109" s="24" t="n"/>
      <c r="K109" s="25" t="n"/>
      <c r="L109" s="28" t="n"/>
      <c r="M109" s="24" t="n"/>
      <c r="N109" s="24" t="n"/>
      <c r="O109" s="26">
        <f>IF($A109="","",$F109*$D109)</f>
        <v/>
      </c>
      <c r="P109" s="26">
        <f>IF($A109="","",MAX(0,$O109-$E109))</f>
        <v/>
      </c>
      <c r="Q109" s="26">
        <f>IF($A109="","",IF(OR($J109="TAMAM"),0,$P109))</f>
        <v/>
      </c>
      <c r="R109" s="26">
        <f>IF(OR($A109="",$J109="TAMAM"),"",IFERROR($H109/MAX(1,SUMIF(tblKartlar[KartId],$B109,tblKartlar[KapasiteSaat])),0))</f>
        <v/>
      </c>
      <c r="S109" s="26">
        <f>IF($A109="","",IF($B109="","YETİM",IF(COUNTIF(tblKartlar[KartId],$B109)=0,"YETİM","")))</f>
        <v/>
      </c>
      <c r="T109" s="26">
        <f>IF(OR($A109="",$I109=""),"",IF(OR($I109&amp;"|"&amp;$J109="",COUNTIF(ListeIzinliGecis,$I109&amp;"|"&amp;$J109)&gt;0),"","GEÇERSİZ GEÇİŞ"))</f>
        <v/>
      </c>
      <c r="U109" s="26">
        <f>IF($A109="","",IF(OR($O109="",$K109=""),"",IF(ABS($K109-$O109)&gt;zincirTolerans,"ZİNCİR KIRIK","OK")))</f>
        <v/>
      </c>
      <c r="V109" s="26">
        <f>IF($A109="","",1)</f>
        <v/>
      </c>
      <c r="W109" s="26">
        <f>IF($A109="","",IF($J109="TAMAM",0,IF($L109="","",raporTarihi-$L109)))</f>
        <v/>
      </c>
    </row>
    <row r="110">
      <c r="A110" s="24" t="n"/>
      <c r="B110" s="24" t="n"/>
      <c r="C110" s="24" t="n"/>
      <c r="D110" s="25" t="n"/>
      <c r="E110" s="25" t="n"/>
      <c r="F110" s="25" t="n"/>
      <c r="G110" s="27" t="n"/>
      <c r="H110" s="25" t="n"/>
      <c r="I110" s="24" t="n"/>
      <c r="J110" s="24" t="n"/>
      <c r="K110" s="25" t="n"/>
      <c r="L110" s="28" t="n"/>
      <c r="M110" s="24" t="n"/>
      <c r="N110" s="24" t="n"/>
      <c r="O110" s="26">
        <f>IF($A110="","",$F110*$D110)</f>
        <v/>
      </c>
      <c r="P110" s="26">
        <f>IF($A110="","",MAX(0,$O110-$E110))</f>
        <v/>
      </c>
      <c r="Q110" s="26">
        <f>IF($A110="","",IF(OR($J110="TAMAM"),0,$P110))</f>
        <v/>
      </c>
      <c r="R110" s="26">
        <f>IF(OR($A110="",$J110="TAMAM"),"",IFERROR($H110/MAX(1,SUMIF(tblKartlar[KartId],$B110,tblKartlar[KapasiteSaat])),0))</f>
        <v/>
      </c>
      <c r="S110" s="26">
        <f>IF($A110="","",IF($B110="","YETİM",IF(COUNTIF(tblKartlar[KartId],$B110)=0,"YETİM","")))</f>
        <v/>
      </c>
      <c r="T110" s="26">
        <f>IF(OR($A110="",$I110=""),"",IF(OR($I110&amp;"|"&amp;$J110="",COUNTIF(ListeIzinliGecis,$I110&amp;"|"&amp;$J110)&gt;0),"","GEÇERSİZ GEÇİŞ"))</f>
        <v/>
      </c>
      <c r="U110" s="26">
        <f>IF($A110="","",IF(OR($O110="",$K110=""),"",IF(ABS($K110-$O110)&gt;zincirTolerans,"ZİNCİR KIRIK","OK")))</f>
        <v/>
      </c>
      <c r="V110" s="26">
        <f>IF($A110="","",1)</f>
        <v/>
      </c>
      <c r="W110" s="26">
        <f>IF($A110="","",IF($J110="TAMAM",0,IF($L110="","",raporTarihi-$L110)))</f>
        <v/>
      </c>
    </row>
    <row r="111">
      <c r="A111" s="24" t="n"/>
      <c r="B111" s="24" t="n"/>
      <c r="C111" s="24" t="n"/>
      <c r="D111" s="25" t="n"/>
      <c r="E111" s="25" t="n"/>
      <c r="F111" s="25" t="n"/>
      <c r="G111" s="27" t="n"/>
      <c r="H111" s="25" t="n"/>
      <c r="I111" s="24" t="n"/>
      <c r="J111" s="24" t="n"/>
      <c r="K111" s="25" t="n"/>
      <c r="L111" s="28" t="n"/>
      <c r="M111" s="24" t="n"/>
      <c r="N111" s="24" t="n"/>
      <c r="O111" s="26">
        <f>IF($A111="","",$F111*$D111)</f>
        <v/>
      </c>
      <c r="P111" s="26">
        <f>IF($A111="","",MAX(0,$O111-$E111))</f>
        <v/>
      </c>
      <c r="Q111" s="26">
        <f>IF($A111="","",IF(OR($J111="TAMAM"),0,$P111))</f>
        <v/>
      </c>
      <c r="R111" s="26">
        <f>IF(OR($A111="",$J111="TAMAM"),"",IFERROR($H111/MAX(1,SUMIF(tblKartlar[KartId],$B111,tblKartlar[KapasiteSaat])),0))</f>
        <v/>
      </c>
      <c r="S111" s="26">
        <f>IF($A111="","",IF($B111="","YETİM",IF(COUNTIF(tblKartlar[KartId],$B111)=0,"YETİM","")))</f>
        <v/>
      </c>
      <c r="T111" s="26">
        <f>IF(OR($A111="",$I111=""),"",IF(OR($I111&amp;"|"&amp;$J111="",COUNTIF(ListeIzinliGecis,$I111&amp;"|"&amp;$J111)&gt;0),"","GEÇERSİZ GEÇİŞ"))</f>
        <v/>
      </c>
      <c r="U111" s="26">
        <f>IF($A111="","",IF(OR($O111="",$K111=""),"",IF(ABS($K111-$O111)&gt;zincirTolerans,"ZİNCİR KIRIK","OK")))</f>
        <v/>
      </c>
      <c r="V111" s="26">
        <f>IF($A111="","",1)</f>
        <v/>
      </c>
      <c r="W111" s="26">
        <f>IF($A111="","",IF($J111="TAMAM",0,IF($L111="","",raporTarihi-$L111)))</f>
        <v/>
      </c>
    </row>
    <row r="112">
      <c r="A112" s="24" t="n"/>
      <c r="B112" s="24" t="n"/>
      <c r="C112" s="24" t="n"/>
      <c r="D112" s="25" t="n"/>
      <c r="E112" s="25" t="n"/>
      <c r="F112" s="25" t="n"/>
      <c r="G112" s="27" t="n"/>
      <c r="H112" s="25" t="n"/>
      <c r="I112" s="24" t="n"/>
      <c r="J112" s="24" t="n"/>
      <c r="K112" s="25" t="n"/>
      <c r="L112" s="28" t="n"/>
      <c r="M112" s="24" t="n"/>
      <c r="N112" s="24" t="n"/>
      <c r="O112" s="26">
        <f>IF($A112="","",$F112*$D112)</f>
        <v/>
      </c>
      <c r="P112" s="26">
        <f>IF($A112="","",MAX(0,$O112-$E112))</f>
        <v/>
      </c>
      <c r="Q112" s="26">
        <f>IF($A112="","",IF(OR($J112="TAMAM"),0,$P112))</f>
        <v/>
      </c>
      <c r="R112" s="26">
        <f>IF(OR($A112="",$J112="TAMAM"),"",IFERROR($H112/MAX(1,SUMIF(tblKartlar[KartId],$B112,tblKartlar[KapasiteSaat])),0))</f>
        <v/>
      </c>
      <c r="S112" s="26">
        <f>IF($A112="","",IF($B112="","YETİM",IF(COUNTIF(tblKartlar[KartId],$B112)=0,"YETİM","")))</f>
        <v/>
      </c>
      <c r="T112" s="26">
        <f>IF(OR($A112="",$I112=""),"",IF(OR($I112&amp;"|"&amp;$J112="",COUNTIF(ListeIzinliGecis,$I112&amp;"|"&amp;$J112)&gt;0),"","GEÇERSİZ GEÇİŞ"))</f>
        <v/>
      </c>
      <c r="U112" s="26">
        <f>IF($A112="","",IF(OR($O112="",$K112=""),"",IF(ABS($K112-$O112)&gt;zincirTolerans,"ZİNCİR KIRIK","OK")))</f>
        <v/>
      </c>
      <c r="V112" s="26">
        <f>IF($A112="","",1)</f>
        <v/>
      </c>
      <c r="W112" s="26">
        <f>IF($A112="","",IF($J112="TAMAM",0,IF($L112="","",raporTarihi-$L112)))</f>
        <v/>
      </c>
    </row>
    <row r="113">
      <c r="A113" s="24" t="n"/>
      <c r="B113" s="24" t="n"/>
      <c r="C113" s="24" t="n"/>
      <c r="D113" s="25" t="n"/>
      <c r="E113" s="25" t="n"/>
      <c r="F113" s="25" t="n"/>
      <c r="G113" s="27" t="n"/>
      <c r="H113" s="25" t="n"/>
      <c r="I113" s="24" t="n"/>
      <c r="J113" s="24" t="n"/>
      <c r="K113" s="25" t="n"/>
      <c r="L113" s="28" t="n"/>
      <c r="M113" s="24" t="n"/>
      <c r="N113" s="24" t="n"/>
      <c r="O113" s="26">
        <f>IF($A113="","",$F113*$D113)</f>
        <v/>
      </c>
      <c r="P113" s="26">
        <f>IF($A113="","",MAX(0,$O113-$E113))</f>
        <v/>
      </c>
      <c r="Q113" s="26">
        <f>IF($A113="","",IF(OR($J113="TAMAM"),0,$P113))</f>
        <v/>
      </c>
      <c r="R113" s="26">
        <f>IF(OR($A113="",$J113="TAMAM"),"",IFERROR($H113/MAX(1,SUMIF(tblKartlar[KartId],$B113,tblKartlar[KapasiteSaat])),0))</f>
        <v/>
      </c>
      <c r="S113" s="26">
        <f>IF($A113="","",IF($B113="","YETİM",IF(COUNTIF(tblKartlar[KartId],$B113)=0,"YETİM","")))</f>
        <v/>
      </c>
      <c r="T113" s="26">
        <f>IF(OR($A113="",$I113=""),"",IF(OR($I113&amp;"|"&amp;$J113="",COUNTIF(ListeIzinliGecis,$I113&amp;"|"&amp;$J113)&gt;0),"","GEÇERSİZ GEÇİŞ"))</f>
        <v/>
      </c>
      <c r="U113" s="26">
        <f>IF($A113="","",IF(OR($O113="",$K113=""),"",IF(ABS($K113-$O113)&gt;zincirTolerans,"ZİNCİR KIRIK","OK")))</f>
        <v/>
      </c>
      <c r="V113" s="26">
        <f>IF($A113="","",1)</f>
        <v/>
      </c>
      <c r="W113" s="26">
        <f>IF($A113="","",IF($J113="TAMAM",0,IF($L113="","",raporTarihi-$L113)))</f>
        <v/>
      </c>
    </row>
    <row r="114">
      <c r="A114" s="24" t="n"/>
      <c r="B114" s="24" t="n"/>
      <c r="C114" s="24" t="n"/>
      <c r="D114" s="25" t="n"/>
      <c r="E114" s="25" t="n"/>
      <c r="F114" s="25" t="n"/>
      <c r="G114" s="27" t="n"/>
      <c r="H114" s="25" t="n"/>
      <c r="I114" s="24" t="n"/>
      <c r="J114" s="24" t="n"/>
      <c r="K114" s="25" t="n"/>
      <c r="L114" s="28" t="n"/>
      <c r="M114" s="24" t="n"/>
      <c r="N114" s="24" t="n"/>
      <c r="O114" s="26">
        <f>IF($A114="","",$F114*$D114)</f>
        <v/>
      </c>
      <c r="P114" s="26">
        <f>IF($A114="","",MAX(0,$O114-$E114))</f>
        <v/>
      </c>
      <c r="Q114" s="26">
        <f>IF($A114="","",IF(OR($J114="TAMAM"),0,$P114))</f>
        <v/>
      </c>
      <c r="R114" s="26">
        <f>IF(OR($A114="",$J114="TAMAM"),"",IFERROR($H114/MAX(1,SUMIF(tblKartlar[KartId],$B114,tblKartlar[KapasiteSaat])),0))</f>
        <v/>
      </c>
      <c r="S114" s="26">
        <f>IF($A114="","",IF($B114="","YETİM",IF(COUNTIF(tblKartlar[KartId],$B114)=0,"YETİM","")))</f>
        <v/>
      </c>
      <c r="T114" s="26">
        <f>IF(OR($A114="",$I114=""),"",IF(OR($I114&amp;"|"&amp;$J114="",COUNTIF(ListeIzinliGecis,$I114&amp;"|"&amp;$J114)&gt;0),"","GEÇERSİZ GEÇİŞ"))</f>
        <v/>
      </c>
      <c r="U114" s="26">
        <f>IF($A114="","",IF(OR($O114="",$K114=""),"",IF(ABS($K114-$O114)&gt;zincirTolerans,"ZİNCİR KIRIK","OK")))</f>
        <v/>
      </c>
      <c r="V114" s="26">
        <f>IF($A114="","",1)</f>
        <v/>
      </c>
      <c r="W114" s="26">
        <f>IF($A114="","",IF($J114="TAMAM",0,IF($L114="","",raporTarihi-$L114)))</f>
        <v/>
      </c>
    </row>
    <row r="115">
      <c r="A115" s="24" t="n"/>
      <c r="B115" s="24" t="n"/>
      <c r="C115" s="24" t="n"/>
      <c r="D115" s="25" t="n"/>
      <c r="E115" s="25" t="n"/>
      <c r="F115" s="25" t="n"/>
      <c r="G115" s="27" t="n"/>
      <c r="H115" s="25" t="n"/>
      <c r="I115" s="24" t="n"/>
      <c r="J115" s="24" t="n"/>
      <c r="K115" s="25" t="n"/>
      <c r="L115" s="28" t="n"/>
      <c r="M115" s="24" t="n"/>
      <c r="N115" s="24" t="n"/>
      <c r="O115" s="26">
        <f>IF($A115="","",$F115*$D115)</f>
        <v/>
      </c>
      <c r="P115" s="26">
        <f>IF($A115="","",MAX(0,$O115-$E115))</f>
        <v/>
      </c>
      <c r="Q115" s="26">
        <f>IF($A115="","",IF(OR($J115="TAMAM"),0,$P115))</f>
        <v/>
      </c>
      <c r="R115" s="26">
        <f>IF(OR($A115="",$J115="TAMAM"),"",IFERROR($H115/MAX(1,SUMIF(tblKartlar[KartId],$B115,tblKartlar[KapasiteSaat])),0))</f>
        <v/>
      </c>
      <c r="S115" s="26">
        <f>IF($A115="","",IF($B115="","YETİM",IF(COUNTIF(tblKartlar[KartId],$B115)=0,"YETİM","")))</f>
        <v/>
      </c>
      <c r="T115" s="26">
        <f>IF(OR($A115="",$I115=""),"",IF(OR($I115&amp;"|"&amp;$J115="",COUNTIF(ListeIzinliGecis,$I115&amp;"|"&amp;$J115)&gt;0),"","GEÇERSİZ GEÇİŞ"))</f>
        <v/>
      </c>
      <c r="U115" s="26">
        <f>IF($A115="","",IF(OR($O115="",$K115=""),"",IF(ABS($K115-$O115)&gt;zincirTolerans,"ZİNCİR KIRIK","OK")))</f>
        <v/>
      </c>
      <c r="V115" s="26">
        <f>IF($A115="","",1)</f>
        <v/>
      </c>
      <c r="W115" s="26">
        <f>IF($A115="","",IF($J115="TAMAM",0,IF($L115="","",raporTarihi-$L115)))</f>
        <v/>
      </c>
    </row>
    <row r="116">
      <c r="A116" s="24" t="n"/>
      <c r="B116" s="24" t="n"/>
      <c r="C116" s="24" t="n"/>
      <c r="D116" s="25" t="n"/>
      <c r="E116" s="25" t="n"/>
      <c r="F116" s="25" t="n"/>
      <c r="G116" s="27" t="n"/>
      <c r="H116" s="25" t="n"/>
      <c r="I116" s="24" t="n"/>
      <c r="J116" s="24" t="n"/>
      <c r="K116" s="25" t="n"/>
      <c r="L116" s="28" t="n"/>
      <c r="M116" s="24" t="n"/>
      <c r="N116" s="24" t="n"/>
      <c r="O116" s="26">
        <f>IF($A116="","",$F116*$D116)</f>
        <v/>
      </c>
      <c r="P116" s="26">
        <f>IF($A116="","",MAX(0,$O116-$E116))</f>
        <v/>
      </c>
      <c r="Q116" s="26">
        <f>IF($A116="","",IF(OR($J116="TAMAM"),0,$P116))</f>
        <v/>
      </c>
      <c r="R116" s="26">
        <f>IF(OR($A116="",$J116="TAMAM"),"",IFERROR($H116/MAX(1,SUMIF(tblKartlar[KartId],$B116,tblKartlar[KapasiteSaat])),0))</f>
        <v/>
      </c>
      <c r="S116" s="26">
        <f>IF($A116="","",IF($B116="","YETİM",IF(COUNTIF(tblKartlar[KartId],$B116)=0,"YETİM","")))</f>
        <v/>
      </c>
      <c r="T116" s="26">
        <f>IF(OR($A116="",$I116=""),"",IF(OR($I116&amp;"|"&amp;$J116="",COUNTIF(ListeIzinliGecis,$I116&amp;"|"&amp;$J116)&gt;0),"","GEÇERSİZ GEÇİŞ"))</f>
        <v/>
      </c>
      <c r="U116" s="26">
        <f>IF($A116="","",IF(OR($O116="",$K116=""),"",IF(ABS($K116-$O116)&gt;zincirTolerans,"ZİNCİR KIRIK","OK")))</f>
        <v/>
      </c>
      <c r="V116" s="26">
        <f>IF($A116="","",1)</f>
        <v/>
      </c>
      <c r="W116" s="26">
        <f>IF($A116="","",IF($J116="TAMAM",0,IF($L116="","",raporTarihi-$L116)))</f>
        <v/>
      </c>
    </row>
    <row r="117">
      <c r="A117" s="24" t="n"/>
      <c r="B117" s="24" t="n"/>
      <c r="C117" s="24" t="n"/>
      <c r="D117" s="25" t="n"/>
      <c r="E117" s="25" t="n"/>
      <c r="F117" s="25" t="n"/>
      <c r="G117" s="27" t="n"/>
      <c r="H117" s="25" t="n"/>
      <c r="I117" s="24" t="n"/>
      <c r="J117" s="24" t="n"/>
      <c r="K117" s="25" t="n"/>
      <c r="L117" s="28" t="n"/>
      <c r="M117" s="24" t="n"/>
      <c r="N117" s="24" t="n"/>
      <c r="O117" s="26">
        <f>IF($A117="","",$F117*$D117)</f>
        <v/>
      </c>
      <c r="P117" s="26">
        <f>IF($A117="","",MAX(0,$O117-$E117))</f>
        <v/>
      </c>
      <c r="Q117" s="26">
        <f>IF($A117="","",IF(OR($J117="TAMAM"),0,$P117))</f>
        <v/>
      </c>
      <c r="R117" s="26">
        <f>IF(OR($A117="",$J117="TAMAM"),"",IFERROR($H117/MAX(1,SUMIF(tblKartlar[KartId],$B117,tblKartlar[KapasiteSaat])),0))</f>
        <v/>
      </c>
      <c r="S117" s="26">
        <f>IF($A117="","",IF($B117="","YETİM",IF(COUNTIF(tblKartlar[KartId],$B117)=0,"YETİM","")))</f>
        <v/>
      </c>
      <c r="T117" s="26">
        <f>IF(OR($A117="",$I117=""),"",IF(OR($I117&amp;"|"&amp;$J117="",COUNTIF(ListeIzinliGecis,$I117&amp;"|"&amp;$J117)&gt;0),"","GEÇERSİZ GEÇİŞ"))</f>
        <v/>
      </c>
      <c r="U117" s="26">
        <f>IF($A117="","",IF(OR($O117="",$K117=""),"",IF(ABS($K117-$O117)&gt;zincirTolerans,"ZİNCİR KIRIK","OK")))</f>
        <v/>
      </c>
      <c r="V117" s="26">
        <f>IF($A117="","",1)</f>
        <v/>
      </c>
      <c r="W117" s="26">
        <f>IF($A117="","",IF($J117="TAMAM",0,IF($L117="","",raporTarihi-$L117)))</f>
        <v/>
      </c>
    </row>
    <row r="118">
      <c r="A118" s="24" t="n"/>
      <c r="B118" s="24" t="n"/>
      <c r="C118" s="24" t="n"/>
      <c r="D118" s="25" t="n"/>
      <c r="E118" s="25" t="n"/>
      <c r="F118" s="25" t="n"/>
      <c r="G118" s="27" t="n"/>
      <c r="H118" s="25" t="n"/>
      <c r="I118" s="24" t="n"/>
      <c r="J118" s="24" t="n"/>
      <c r="K118" s="25" t="n"/>
      <c r="L118" s="28" t="n"/>
      <c r="M118" s="24" t="n"/>
      <c r="N118" s="24" t="n"/>
      <c r="O118" s="26">
        <f>IF($A118="","",$F118*$D118)</f>
        <v/>
      </c>
      <c r="P118" s="26">
        <f>IF($A118="","",MAX(0,$O118-$E118))</f>
        <v/>
      </c>
      <c r="Q118" s="26">
        <f>IF($A118="","",IF(OR($J118="TAMAM"),0,$P118))</f>
        <v/>
      </c>
      <c r="R118" s="26">
        <f>IF(OR($A118="",$J118="TAMAM"),"",IFERROR($H118/MAX(1,SUMIF(tblKartlar[KartId],$B118,tblKartlar[KapasiteSaat])),0))</f>
        <v/>
      </c>
      <c r="S118" s="26">
        <f>IF($A118="","",IF($B118="","YETİM",IF(COUNTIF(tblKartlar[KartId],$B118)=0,"YETİM","")))</f>
        <v/>
      </c>
      <c r="T118" s="26">
        <f>IF(OR($A118="",$I118=""),"",IF(OR($I118&amp;"|"&amp;$J118="",COUNTIF(ListeIzinliGecis,$I118&amp;"|"&amp;$J118)&gt;0),"","GEÇERSİZ GEÇİŞ"))</f>
        <v/>
      </c>
      <c r="U118" s="26">
        <f>IF($A118="","",IF(OR($O118="",$K118=""),"",IF(ABS($K118-$O118)&gt;zincirTolerans,"ZİNCİR KIRIK","OK")))</f>
        <v/>
      </c>
      <c r="V118" s="26">
        <f>IF($A118="","",1)</f>
        <v/>
      </c>
      <c r="W118" s="26">
        <f>IF($A118="","",IF($J118="TAMAM",0,IF($L118="","",raporTarihi-$L118)))</f>
        <v/>
      </c>
    </row>
    <row r="119">
      <c r="A119" s="24" t="n"/>
      <c r="B119" s="24" t="n"/>
      <c r="C119" s="24" t="n"/>
      <c r="D119" s="25" t="n"/>
      <c r="E119" s="25" t="n"/>
      <c r="F119" s="25" t="n"/>
      <c r="G119" s="27" t="n"/>
      <c r="H119" s="25" t="n"/>
      <c r="I119" s="24" t="n"/>
      <c r="J119" s="24" t="n"/>
      <c r="K119" s="25" t="n"/>
      <c r="L119" s="28" t="n"/>
      <c r="M119" s="24" t="n"/>
      <c r="N119" s="24" t="n"/>
      <c r="O119" s="26">
        <f>IF($A119="","",$F119*$D119)</f>
        <v/>
      </c>
      <c r="P119" s="26">
        <f>IF($A119="","",MAX(0,$O119-$E119))</f>
        <v/>
      </c>
      <c r="Q119" s="26">
        <f>IF($A119="","",IF(OR($J119="TAMAM"),0,$P119))</f>
        <v/>
      </c>
      <c r="R119" s="26">
        <f>IF(OR($A119="",$J119="TAMAM"),"",IFERROR($H119/MAX(1,SUMIF(tblKartlar[KartId],$B119,tblKartlar[KapasiteSaat])),0))</f>
        <v/>
      </c>
      <c r="S119" s="26">
        <f>IF($A119="","",IF($B119="","YETİM",IF(COUNTIF(tblKartlar[KartId],$B119)=0,"YETİM","")))</f>
        <v/>
      </c>
      <c r="T119" s="26">
        <f>IF(OR($A119="",$I119=""),"",IF(OR($I119&amp;"|"&amp;$J119="",COUNTIF(ListeIzinliGecis,$I119&amp;"|"&amp;$J119)&gt;0),"","GEÇERSİZ GEÇİŞ"))</f>
        <v/>
      </c>
      <c r="U119" s="26">
        <f>IF($A119="","",IF(OR($O119="",$K119=""),"",IF(ABS($K119-$O119)&gt;zincirTolerans,"ZİNCİR KIRIK","OK")))</f>
        <v/>
      </c>
      <c r="V119" s="26">
        <f>IF($A119="","",1)</f>
        <v/>
      </c>
      <c r="W119" s="26">
        <f>IF($A119="","",IF($J119="TAMAM",0,IF($L119="","",raporTarihi-$L119)))</f>
        <v/>
      </c>
    </row>
    <row r="120">
      <c r="A120" s="24" t="n"/>
      <c r="B120" s="24" t="n"/>
      <c r="C120" s="24" t="n"/>
      <c r="D120" s="25" t="n"/>
      <c r="E120" s="25" t="n"/>
      <c r="F120" s="25" t="n"/>
      <c r="G120" s="27" t="n"/>
      <c r="H120" s="25" t="n"/>
      <c r="I120" s="24" t="n"/>
      <c r="J120" s="24" t="n"/>
      <c r="K120" s="25" t="n"/>
      <c r="L120" s="28" t="n"/>
      <c r="M120" s="24" t="n"/>
      <c r="N120" s="24" t="n"/>
      <c r="O120" s="26">
        <f>IF($A120="","",$F120*$D120)</f>
        <v/>
      </c>
      <c r="P120" s="26">
        <f>IF($A120="","",MAX(0,$O120-$E120))</f>
        <v/>
      </c>
      <c r="Q120" s="26">
        <f>IF($A120="","",IF(OR($J120="TAMAM"),0,$P120))</f>
        <v/>
      </c>
      <c r="R120" s="26">
        <f>IF(OR($A120="",$J120="TAMAM"),"",IFERROR($H120/MAX(1,SUMIF(tblKartlar[KartId],$B120,tblKartlar[KapasiteSaat])),0))</f>
        <v/>
      </c>
      <c r="S120" s="26">
        <f>IF($A120="","",IF($B120="","YETİM",IF(COUNTIF(tblKartlar[KartId],$B120)=0,"YETİM","")))</f>
        <v/>
      </c>
      <c r="T120" s="26">
        <f>IF(OR($A120="",$I120=""),"",IF(OR($I120&amp;"|"&amp;$J120="",COUNTIF(ListeIzinliGecis,$I120&amp;"|"&amp;$J120)&gt;0),"","GEÇERSİZ GEÇİŞ"))</f>
        <v/>
      </c>
      <c r="U120" s="26">
        <f>IF($A120="","",IF(OR($O120="",$K120=""),"",IF(ABS($K120-$O120)&gt;zincirTolerans,"ZİNCİR KIRIK","OK")))</f>
        <v/>
      </c>
      <c r="V120" s="26">
        <f>IF($A120="","",1)</f>
        <v/>
      </c>
      <c r="W120" s="26">
        <f>IF($A120="","",IF($J120="TAMAM",0,IF($L120="","",raporTarihi-$L120)))</f>
        <v/>
      </c>
    </row>
    <row r="121">
      <c r="A121" s="24" t="n"/>
      <c r="B121" s="24" t="n"/>
      <c r="C121" s="24" t="n"/>
      <c r="D121" s="25" t="n"/>
      <c r="E121" s="25" t="n"/>
      <c r="F121" s="25" t="n"/>
      <c r="G121" s="27" t="n"/>
      <c r="H121" s="25" t="n"/>
      <c r="I121" s="24" t="n"/>
      <c r="J121" s="24" t="n"/>
      <c r="K121" s="25" t="n"/>
      <c r="L121" s="28" t="n"/>
      <c r="M121" s="24" t="n"/>
      <c r="N121" s="24" t="n"/>
      <c r="O121" s="26">
        <f>IF($A121="","",$F121*$D121)</f>
        <v/>
      </c>
      <c r="P121" s="26">
        <f>IF($A121="","",MAX(0,$O121-$E121))</f>
        <v/>
      </c>
      <c r="Q121" s="26">
        <f>IF($A121="","",IF(OR($J121="TAMAM"),0,$P121))</f>
        <v/>
      </c>
      <c r="R121" s="26">
        <f>IF(OR($A121="",$J121="TAMAM"),"",IFERROR($H121/MAX(1,SUMIF(tblKartlar[KartId],$B121,tblKartlar[KapasiteSaat])),0))</f>
        <v/>
      </c>
      <c r="S121" s="26">
        <f>IF($A121="","",IF($B121="","YETİM",IF(COUNTIF(tblKartlar[KartId],$B121)=0,"YETİM","")))</f>
        <v/>
      </c>
      <c r="T121" s="26">
        <f>IF(OR($A121="",$I121=""),"",IF(OR($I121&amp;"|"&amp;$J121="",COUNTIF(ListeIzinliGecis,$I121&amp;"|"&amp;$J121)&gt;0),"","GEÇERSİZ GEÇİŞ"))</f>
        <v/>
      </c>
      <c r="U121" s="26">
        <f>IF($A121="","",IF(OR($O121="",$K121=""),"",IF(ABS($K121-$O121)&gt;zincirTolerans,"ZİNCİR KIRIK","OK")))</f>
        <v/>
      </c>
      <c r="V121" s="26">
        <f>IF($A121="","",1)</f>
        <v/>
      </c>
      <c r="W121" s="26">
        <f>IF($A121="","",IF($J121="TAMAM",0,IF($L121="","",raporTarihi-$L121)))</f>
        <v/>
      </c>
    </row>
    <row r="122">
      <c r="A122" s="24" t="n"/>
      <c r="B122" s="24" t="n"/>
      <c r="C122" s="24" t="n"/>
      <c r="D122" s="25" t="n"/>
      <c r="E122" s="25" t="n"/>
      <c r="F122" s="25" t="n"/>
      <c r="G122" s="27" t="n"/>
      <c r="H122" s="25" t="n"/>
      <c r="I122" s="24" t="n"/>
      <c r="J122" s="24" t="n"/>
      <c r="K122" s="25" t="n"/>
      <c r="L122" s="28" t="n"/>
      <c r="M122" s="24" t="n"/>
      <c r="N122" s="24" t="n"/>
      <c r="O122" s="26">
        <f>IF($A122="","",$F122*$D122)</f>
        <v/>
      </c>
      <c r="P122" s="26">
        <f>IF($A122="","",MAX(0,$O122-$E122))</f>
        <v/>
      </c>
      <c r="Q122" s="26">
        <f>IF($A122="","",IF(OR($J122="TAMAM"),0,$P122))</f>
        <v/>
      </c>
      <c r="R122" s="26">
        <f>IF(OR($A122="",$J122="TAMAM"),"",IFERROR($H122/MAX(1,SUMIF(tblKartlar[KartId],$B122,tblKartlar[KapasiteSaat])),0))</f>
        <v/>
      </c>
      <c r="S122" s="26">
        <f>IF($A122="","",IF($B122="","YETİM",IF(COUNTIF(tblKartlar[KartId],$B122)=0,"YETİM","")))</f>
        <v/>
      </c>
      <c r="T122" s="26">
        <f>IF(OR($A122="",$I122=""),"",IF(OR($I122&amp;"|"&amp;$J122="",COUNTIF(ListeIzinliGecis,$I122&amp;"|"&amp;$J122)&gt;0),"","GEÇERSİZ GEÇİŞ"))</f>
        <v/>
      </c>
      <c r="U122" s="26">
        <f>IF($A122="","",IF(OR($O122="",$K122=""),"",IF(ABS($K122-$O122)&gt;zincirTolerans,"ZİNCİR KIRIK","OK")))</f>
        <v/>
      </c>
      <c r="V122" s="26">
        <f>IF($A122="","",1)</f>
        <v/>
      </c>
      <c r="W122" s="26">
        <f>IF($A122="","",IF($J122="TAMAM",0,IF($L122="","",raporTarihi-$L122)))</f>
        <v/>
      </c>
    </row>
    <row r="123">
      <c r="A123" s="24" t="n"/>
      <c r="B123" s="24" t="n"/>
      <c r="C123" s="24" t="n"/>
      <c r="D123" s="25" t="n"/>
      <c r="E123" s="25" t="n"/>
      <c r="F123" s="25" t="n"/>
      <c r="G123" s="27" t="n"/>
      <c r="H123" s="25" t="n"/>
      <c r="I123" s="24" t="n"/>
      <c r="J123" s="24" t="n"/>
      <c r="K123" s="25" t="n"/>
      <c r="L123" s="28" t="n"/>
      <c r="M123" s="24" t="n"/>
      <c r="N123" s="24" t="n"/>
      <c r="O123" s="26">
        <f>IF($A123="","",$F123*$D123)</f>
        <v/>
      </c>
      <c r="P123" s="26">
        <f>IF($A123="","",MAX(0,$O123-$E123))</f>
        <v/>
      </c>
      <c r="Q123" s="26">
        <f>IF($A123="","",IF(OR($J123="TAMAM"),0,$P123))</f>
        <v/>
      </c>
      <c r="R123" s="26">
        <f>IF(OR($A123="",$J123="TAMAM"),"",IFERROR($H123/MAX(1,SUMIF(tblKartlar[KartId],$B123,tblKartlar[KapasiteSaat])),0))</f>
        <v/>
      </c>
      <c r="S123" s="26">
        <f>IF($A123="","",IF($B123="","YETİM",IF(COUNTIF(tblKartlar[KartId],$B123)=0,"YETİM","")))</f>
        <v/>
      </c>
      <c r="T123" s="26">
        <f>IF(OR($A123="",$I123=""),"",IF(OR($I123&amp;"|"&amp;$J123="",COUNTIF(ListeIzinliGecis,$I123&amp;"|"&amp;$J123)&gt;0),"","GEÇERSİZ GEÇİŞ"))</f>
        <v/>
      </c>
      <c r="U123" s="26">
        <f>IF($A123="","",IF(OR($O123="",$K123=""),"",IF(ABS($K123-$O123)&gt;zincirTolerans,"ZİNCİR KIRIK","OK")))</f>
        <v/>
      </c>
      <c r="V123" s="26">
        <f>IF($A123="","",1)</f>
        <v/>
      </c>
      <c r="W123" s="26">
        <f>IF($A123="","",IF($J123="TAMAM",0,IF($L123="","",raporTarihi-$L123)))</f>
        <v/>
      </c>
    </row>
    <row r="124">
      <c r="A124" s="24" t="n"/>
      <c r="B124" s="24" t="n"/>
      <c r="C124" s="24" t="n"/>
      <c r="D124" s="25" t="n"/>
      <c r="E124" s="25" t="n"/>
      <c r="F124" s="25" t="n"/>
      <c r="G124" s="27" t="n"/>
      <c r="H124" s="25" t="n"/>
      <c r="I124" s="24" t="n"/>
      <c r="J124" s="24" t="n"/>
      <c r="K124" s="25" t="n"/>
      <c r="L124" s="28" t="n"/>
      <c r="M124" s="24" t="n"/>
      <c r="N124" s="24" t="n"/>
      <c r="O124" s="26">
        <f>IF($A124="","",$F124*$D124)</f>
        <v/>
      </c>
      <c r="P124" s="26">
        <f>IF($A124="","",MAX(0,$O124-$E124))</f>
        <v/>
      </c>
      <c r="Q124" s="26">
        <f>IF($A124="","",IF(OR($J124="TAMAM"),0,$P124))</f>
        <v/>
      </c>
      <c r="R124" s="26">
        <f>IF(OR($A124="",$J124="TAMAM"),"",IFERROR($H124/MAX(1,SUMIF(tblKartlar[KartId],$B124,tblKartlar[KapasiteSaat])),0))</f>
        <v/>
      </c>
      <c r="S124" s="26">
        <f>IF($A124="","",IF($B124="","YETİM",IF(COUNTIF(tblKartlar[KartId],$B124)=0,"YETİM","")))</f>
        <v/>
      </c>
      <c r="T124" s="26">
        <f>IF(OR($A124="",$I124=""),"",IF(OR($I124&amp;"|"&amp;$J124="",COUNTIF(ListeIzinliGecis,$I124&amp;"|"&amp;$J124)&gt;0),"","GEÇERSİZ GEÇİŞ"))</f>
        <v/>
      </c>
      <c r="U124" s="26">
        <f>IF($A124="","",IF(OR($O124="",$K124=""),"",IF(ABS($K124-$O124)&gt;zincirTolerans,"ZİNCİR KIRIK","OK")))</f>
        <v/>
      </c>
      <c r="V124" s="26">
        <f>IF($A124="","",1)</f>
        <v/>
      </c>
      <c r="W124" s="26">
        <f>IF($A124="","",IF($J124="TAMAM",0,IF($L124="","",raporTarihi-$L124)))</f>
        <v/>
      </c>
    </row>
    <row r="125">
      <c r="A125" s="24" t="n"/>
      <c r="B125" s="24" t="n"/>
      <c r="C125" s="24" t="n"/>
      <c r="D125" s="25" t="n"/>
      <c r="E125" s="25" t="n"/>
      <c r="F125" s="25" t="n"/>
      <c r="G125" s="27" t="n"/>
      <c r="H125" s="25" t="n"/>
      <c r="I125" s="24" t="n"/>
      <c r="J125" s="24" t="n"/>
      <c r="K125" s="25" t="n"/>
      <c r="L125" s="28" t="n"/>
      <c r="M125" s="24" t="n"/>
      <c r="N125" s="24" t="n"/>
      <c r="O125" s="26">
        <f>IF($A125="","",$F125*$D125)</f>
        <v/>
      </c>
      <c r="P125" s="26">
        <f>IF($A125="","",MAX(0,$O125-$E125))</f>
        <v/>
      </c>
      <c r="Q125" s="26">
        <f>IF($A125="","",IF(OR($J125="TAMAM"),0,$P125))</f>
        <v/>
      </c>
      <c r="R125" s="26">
        <f>IF(OR($A125="",$J125="TAMAM"),"",IFERROR($H125/MAX(1,SUMIF(tblKartlar[KartId],$B125,tblKartlar[KapasiteSaat])),0))</f>
        <v/>
      </c>
      <c r="S125" s="26">
        <f>IF($A125="","",IF($B125="","YETİM",IF(COUNTIF(tblKartlar[KartId],$B125)=0,"YETİM","")))</f>
        <v/>
      </c>
      <c r="T125" s="26">
        <f>IF(OR($A125="",$I125=""),"",IF(OR($I125&amp;"|"&amp;$J125="",COUNTIF(ListeIzinliGecis,$I125&amp;"|"&amp;$J125)&gt;0),"","GEÇERSİZ GEÇİŞ"))</f>
        <v/>
      </c>
      <c r="U125" s="26">
        <f>IF($A125="","",IF(OR($O125="",$K125=""),"",IF(ABS($K125-$O125)&gt;zincirTolerans,"ZİNCİR KIRIK","OK")))</f>
        <v/>
      </c>
      <c r="V125" s="26">
        <f>IF($A125="","",1)</f>
        <v/>
      </c>
      <c r="W125" s="26">
        <f>IF($A125="","",IF($J125="TAMAM",0,IF($L125="","",raporTarihi-$L125)))</f>
        <v/>
      </c>
    </row>
    <row r="126">
      <c r="A126" s="24" t="n"/>
      <c r="B126" s="24" t="n"/>
      <c r="C126" s="24" t="n"/>
      <c r="D126" s="25" t="n"/>
      <c r="E126" s="25" t="n"/>
      <c r="F126" s="25" t="n"/>
      <c r="G126" s="27" t="n"/>
      <c r="H126" s="25" t="n"/>
      <c r="I126" s="24" t="n"/>
      <c r="J126" s="24" t="n"/>
      <c r="K126" s="25" t="n"/>
      <c r="L126" s="28" t="n"/>
      <c r="M126" s="24" t="n"/>
      <c r="N126" s="24" t="n"/>
      <c r="O126" s="26">
        <f>IF($A126="","",$F126*$D126)</f>
        <v/>
      </c>
      <c r="P126" s="26">
        <f>IF($A126="","",MAX(0,$O126-$E126))</f>
        <v/>
      </c>
      <c r="Q126" s="26">
        <f>IF($A126="","",IF(OR($J126="TAMAM"),0,$P126))</f>
        <v/>
      </c>
      <c r="R126" s="26">
        <f>IF(OR($A126="",$J126="TAMAM"),"",IFERROR($H126/MAX(1,SUMIF(tblKartlar[KartId],$B126,tblKartlar[KapasiteSaat])),0))</f>
        <v/>
      </c>
      <c r="S126" s="26">
        <f>IF($A126="","",IF($B126="","YETİM",IF(COUNTIF(tblKartlar[KartId],$B126)=0,"YETİM","")))</f>
        <v/>
      </c>
      <c r="T126" s="26">
        <f>IF(OR($A126="",$I126=""),"",IF(OR($I126&amp;"|"&amp;$J126="",COUNTIF(ListeIzinliGecis,$I126&amp;"|"&amp;$J126)&gt;0),"","GEÇERSİZ GEÇİŞ"))</f>
        <v/>
      </c>
      <c r="U126" s="26">
        <f>IF($A126="","",IF(OR($O126="",$K126=""),"",IF(ABS($K126-$O126)&gt;zincirTolerans,"ZİNCİR KIRIK","OK")))</f>
        <v/>
      </c>
      <c r="V126" s="26">
        <f>IF($A126="","",1)</f>
        <v/>
      </c>
      <c r="W126" s="26">
        <f>IF($A126="","",IF($J126="TAMAM",0,IF($L126="","",raporTarihi-$L126)))</f>
        <v/>
      </c>
    </row>
    <row r="127">
      <c r="A127" s="24" t="n"/>
      <c r="B127" s="24" t="n"/>
      <c r="C127" s="24" t="n"/>
      <c r="D127" s="25" t="n"/>
      <c r="E127" s="25" t="n"/>
      <c r="F127" s="25" t="n"/>
      <c r="G127" s="27" t="n"/>
      <c r="H127" s="25" t="n"/>
      <c r="I127" s="24" t="n"/>
      <c r="J127" s="24" t="n"/>
      <c r="K127" s="25" t="n"/>
      <c r="L127" s="28" t="n"/>
      <c r="M127" s="24" t="n"/>
      <c r="N127" s="24" t="n"/>
      <c r="O127" s="26">
        <f>IF($A127="","",$F127*$D127)</f>
        <v/>
      </c>
      <c r="P127" s="26">
        <f>IF($A127="","",MAX(0,$O127-$E127))</f>
        <v/>
      </c>
      <c r="Q127" s="26">
        <f>IF($A127="","",IF(OR($J127="TAMAM"),0,$P127))</f>
        <v/>
      </c>
      <c r="R127" s="26">
        <f>IF(OR($A127="",$J127="TAMAM"),"",IFERROR($H127/MAX(1,SUMIF(tblKartlar[KartId],$B127,tblKartlar[KapasiteSaat])),0))</f>
        <v/>
      </c>
      <c r="S127" s="26">
        <f>IF($A127="","",IF($B127="","YETİM",IF(COUNTIF(tblKartlar[KartId],$B127)=0,"YETİM","")))</f>
        <v/>
      </c>
      <c r="T127" s="26">
        <f>IF(OR($A127="",$I127=""),"",IF(OR($I127&amp;"|"&amp;$J127="",COUNTIF(ListeIzinliGecis,$I127&amp;"|"&amp;$J127)&gt;0),"","GEÇERSİZ GEÇİŞ"))</f>
        <v/>
      </c>
      <c r="U127" s="26">
        <f>IF($A127="","",IF(OR($O127="",$K127=""),"",IF(ABS($K127-$O127)&gt;zincirTolerans,"ZİNCİR KIRIK","OK")))</f>
        <v/>
      </c>
      <c r="V127" s="26">
        <f>IF($A127="","",1)</f>
        <v/>
      </c>
      <c r="W127" s="26">
        <f>IF($A127="","",IF($J127="TAMAM",0,IF($L127="","",raporTarihi-$L127)))</f>
        <v/>
      </c>
    </row>
    <row r="128">
      <c r="A128" s="24" t="n"/>
      <c r="B128" s="24" t="n"/>
      <c r="C128" s="24" t="n"/>
      <c r="D128" s="25" t="n"/>
      <c r="E128" s="25" t="n"/>
      <c r="F128" s="25" t="n"/>
      <c r="G128" s="27" t="n"/>
      <c r="H128" s="25" t="n"/>
      <c r="I128" s="24" t="n"/>
      <c r="J128" s="24" t="n"/>
      <c r="K128" s="25" t="n"/>
      <c r="L128" s="28" t="n"/>
      <c r="M128" s="24" t="n"/>
      <c r="N128" s="24" t="n"/>
      <c r="O128" s="26">
        <f>IF($A128="","",$F128*$D128)</f>
        <v/>
      </c>
      <c r="P128" s="26">
        <f>IF($A128="","",MAX(0,$O128-$E128))</f>
        <v/>
      </c>
      <c r="Q128" s="26">
        <f>IF($A128="","",IF(OR($J128="TAMAM"),0,$P128))</f>
        <v/>
      </c>
      <c r="R128" s="26">
        <f>IF(OR($A128="",$J128="TAMAM"),"",IFERROR($H128/MAX(1,SUMIF(tblKartlar[KartId],$B128,tblKartlar[KapasiteSaat])),0))</f>
        <v/>
      </c>
      <c r="S128" s="26">
        <f>IF($A128="","",IF($B128="","YETİM",IF(COUNTIF(tblKartlar[KartId],$B128)=0,"YETİM","")))</f>
        <v/>
      </c>
      <c r="T128" s="26">
        <f>IF(OR($A128="",$I128=""),"",IF(OR($I128&amp;"|"&amp;$J128="",COUNTIF(ListeIzinliGecis,$I128&amp;"|"&amp;$J128)&gt;0),"","GEÇERSİZ GEÇİŞ"))</f>
        <v/>
      </c>
      <c r="U128" s="26">
        <f>IF($A128="","",IF(OR($O128="",$K128=""),"",IF(ABS($K128-$O128)&gt;zincirTolerans,"ZİNCİR KIRIK","OK")))</f>
        <v/>
      </c>
      <c r="V128" s="26">
        <f>IF($A128="","",1)</f>
        <v/>
      </c>
      <c r="W128" s="26">
        <f>IF($A128="","",IF($J128="TAMAM",0,IF($L128="","",raporTarihi-$L128)))</f>
        <v/>
      </c>
    </row>
    <row r="129">
      <c r="A129" s="24" t="n"/>
      <c r="B129" s="24" t="n"/>
      <c r="C129" s="24" t="n"/>
      <c r="D129" s="25" t="n"/>
      <c r="E129" s="25" t="n"/>
      <c r="F129" s="25" t="n"/>
      <c r="G129" s="27" t="n"/>
      <c r="H129" s="25" t="n"/>
      <c r="I129" s="24" t="n"/>
      <c r="J129" s="24" t="n"/>
      <c r="K129" s="25" t="n"/>
      <c r="L129" s="28" t="n"/>
      <c r="M129" s="24" t="n"/>
      <c r="N129" s="24" t="n"/>
      <c r="O129" s="26">
        <f>IF($A129="","",$F129*$D129)</f>
        <v/>
      </c>
      <c r="P129" s="26">
        <f>IF($A129="","",MAX(0,$O129-$E129))</f>
        <v/>
      </c>
      <c r="Q129" s="26">
        <f>IF($A129="","",IF(OR($J129="TAMAM"),0,$P129))</f>
        <v/>
      </c>
      <c r="R129" s="26">
        <f>IF(OR($A129="",$J129="TAMAM"),"",IFERROR($H129/MAX(1,SUMIF(tblKartlar[KartId],$B129,tblKartlar[KapasiteSaat])),0))</f>
        <v/>
      </c>
      <c r="S129" s="26">
        <f>IF($A129="","",IF($B129="","YETİM",IF(COUNTIF(tblKartlar[KartId],$B129)=0,"YETİM","")))</f>
        <v/>
      </c>
      <c r="T129" s="26">
        <f>IF(OR($A129="",$I129=""),"",IF(OR($I129&amp;"|"&amp;$J129="",COUNTIF(ListeIzinliGecis,$I129&amp;"|"&amp;$J129)&gt;0),"","GEÇERSİZ GEÇİŞ"))</f>
        <v/>
      </c>
      <c r="U129" s="26">
        <f>IF($A129="","",IF(OR($O129="",$K129=""),"",IF(ABS($K129-$O129)&gt;zincirTolerans,"ZİNCİR KIRIK","OK")))</f>
        <v/>
      </c>
      <c r="V129" s="26">
        <f>IF($A129="","",1)</f>
        <v/>
      </c>
      <c r="W129" s="26">
        <f>IF($A129="","",IF($J129="TAMAM",0,IF($L129="","",raporTarihi-$L129)))</f>
        <v/>
      </c>
    </row>
    <row r="130">
      <c r="A130" s="24" t="n"/>
      <c r="B130" s="24" t="n"/>
      <c r="C130" s="24" t="n"/>
      <c r="D130" s="25" t="n"/>
      <c r="E130" s="25" t="n"/>
      <c r="F130" s="25" t="n"/>
      <c r="G130" s="27" t="n"/>
      <c r="H130" s="25" t="n"/>
      <c r="I130" s="24" t="n"/>
      <c r="J130" s="24" t="n"/>
      <c r="K130" s="25" t="n"/>
      <c r="L130" s="28" t="n"/>
      <c r="M130" s="24" t="n"/>
      <c r="N130" s="24" t="n"/>
      <c r="O130" s="26">
        <f>IF($A130="","",$F130*$D130)</f>
        <v/>
      </c>
      <c r="P130" s="26">
        <f>IF($A130="","",MAX(0,$O130-$E130))</f>
        <v/>
      </c>
      <c r="Q130" s="26">
        <f>IF($A130="","",IF(OR($J130="TAMAM"),0,$P130))</f>
        <v/>
      </c>
      <c r="R130" s="26">
        <f>IF(OR($A130="",$J130="TAMAM"),"",IFERROR($H130/MAX(1,SUMIF(tblKartlar[KartId],$B130,tblKartlar[KapasiteSaat])),0))</f>
        <v/>
      </c>
      <c r="S130" s="26">
        <f>IF($A130="","",IF($B130="","YETİM",IF(COUNTIF(tblKartlar[KartId],$B130)=0,"YETİM","")))</f>
        <v/>
      </c>
      <c r="T130" s="26">
        <f>IF(OR($A130="",$I130=""),"",IF(OR($I130&amp;"|"&amp;$J130="",COUNTIF(ListeIzinliGecis,$I130&amp;"|"&amp;$J130)&gt;0),"","GEÇERSİZ GEÇİŞ"))</f>
        <v/>
      </c>
      <c r="U130" s="26">
        <f>IF($A130="","",IF(OR($O130="",$K130=""),"",IF(ABS($K130-$O130)&gt;zincirTolerans,"ZİNCİR KIRIK","OK")))</f>
        <v/>
      </c>
      <c r="V130" s="26">
        <f>IF($A130="","",1)</f>
        <v/>
      </c>
      <c r="W130" s="26">
        <f>IF($A130="","",IF($J130="TAMAM",0,IF($L130="","",raporTarihi-$L130)))</f>
        <v/>
      </c>
    </row>
    <row r="131">
      <c r="A131" s="24" t="n"/>
      <c r="B131" s="24" t="n"/>
      <c r="C131" s="24" t="n"/>
      <c r="D131" s="25" t="n"/>
      <c r="E131" s="25" t="n"/>
      <c r="F131" s="25" t="n"/>
      <c r="G131" s="27" t="n"/>
      <c r="H131" s="25" t="n"/>
      <c r="I131" s="24" t="n"/>
      <c r="J131" s="24" t="n"/>
      <c r="K131" s="25" t="n"/>
      <c r="L131" s="28" t="n"/>
      <c r="M131" s="24" t="n"/>
      <c r="N131" s="24" t="n"/>
      <c r="O131" s="26">
        <f>IF($A131="","",$F131*$D131)</f>
        <v/>
      </c>
      <c r="P131" s="26">
        <f>IF($A131="","",MAX(0,$O131-$E131))</f>
        <v/>
      </c>
      <c r="Q131" s="26">
        <f>IF($A131="","",IF(OR($J131="TAMAM"),0,$P131))</f>
        <v/>
      </c>
      <c r="R131" s="26">
        <f>IF(OR($A131="",$J131="TAMAM"),"",IFERROR($H131/MAX(1,SUMIF(tblKartlar[KartId],$B131,tblKartlar[KapasiteSaat])),0))</f>
        <v/>
      </c>
      <c r="S131" s="26">
        <f>IF($A131="","",IF($B131="","YETİM",IF(COUNTIF(tblKartlar[KartId],$B131)=0,"YETİM","")))</f>
        <v/>
      </c>
      <c r="T131" s="26">
        <f>IF(OR($A131="",$I131=""),"",IF(OR($I131&amp;"|"&amp;$J131="",COUNTIF(ListeIzinliGecis,$I131&amp;"|"&amp;$J131)&gt;0),"","GEÇERSİZ GEÇİŞ"))</f>
        <v/>
      </c>
      <c r="U131" s="26">
        <f>IF($A131="","",IF(OR($O131="",$K131=""),"",IF(ABS($K131-$O131)&gt;zincirTolerans,"ZİNCİR KIRIK","OK")))</f>
        <v/>
      </c>
      <c r="V131" s="26">
        <f>IF($A131="","",1)</f>
        <v/>
      </c>
      <c r="W131" s="26">
        <f>IF($A131="","",IF($J131="TAMAM",0,IF($L131="","",raporTarihi-$L131)))</f>
        <v/>
      </c>
    </row>
    <row r="132">
      <c r="A132" s="24" t="n"/>
      <c r="B132" s="24" t="n"/>
      <c r="C132" s="24" t="n"/>
      <c r="D132" s="25" t="n"/>
      <c r="E132" s="25" t="n"/>
      <c r="F132" s="25" t="n"/>
      <c r="G132" s="27" t="n"/>
      <c r="H132" s="25" t="n"/>
      <c r="I132" s="24" t="n"/>
      <c r="J132" s="24" t="n"/>
      <c r="K132" s="25" t="n"/>
      <c r="L132" s="28" t="n"/>
      <c r="M132" s="24" t="n"/>
      <c r="N132" s="24" t="n"/>
      <c r="O132" s="26">
        <f>IF($A132="","",$F132*$D132)</f>
        <v/>
      </c>
      <c r="P132" s="26">
        <f>IF($A132="","",MAX(0,$O132-$E132))</f>
        <v/>
      </c>
      <c r="Q132" s="26">
        <f>IF($A132="","",IF(OR($J132="TAMAM"),0,$P132))</f>
        <v/>
      </c>
      <c r="R132" s="26">
        <f>IF(OR($A132="",$J132="TAMAM"),"",IFERROR($H132/MAX(1,SUMIF(tblKartlar[KartId],$B132,tblKartlar[KapasiteSaat])),0))</f>
        <v/>
      </c>
      <c r="S132" s="26">
        <f>IF($A132="","",IF($B132="","YETİM",IF(COUNTIF(tblKartlar[KartId],$B132)=0,"YETİM","")))</f>
        <v/>
      </c>
      <c r="T132" s="26">
        <f>IF(OR($A132="",$I132=""),"",IF(OR($I132&amp;"|"&amp;$J132="",COUNTIF(ListeIzinliGecis,$I132&amp;"|"&amp;$J132)&gt;0),"","GEÇERSİZ GEÇİŞ"))</f>
        <v/>
      </c>
      <c r="U132" s="26">
        <f>IF($A132="","",IF(OR($O132="",$K132=""),"",IF(ABS($K132-$O132)&gt;zincirTolerans,"ZİNCİR KIRIK","OK")))</f>
        <v/>
      </c>
      <c r="V132" s="26">
        <f>IF($A132="","",1)</f>
        <v/>
      </c>
      <c r="W132" s="26">
        <f>IF($A132="","",IF($J132="TAMAM",0,IF($L132="","",raporTarihi-$L132)))</f>
        <v/>
      </c>
    </row>
    <row r="133">
      <c r="A133" s="24" t="n"/>
      <c r="B133" s="24" t="n"/>
      <c r="C133" s="24" t="n"/>
      <c r="D133" s="25" t="n"/>
      <c r="E133" s="25" t="n"/>
      <c r="F133" s="25" t="n"/>
      <c r="G133" s="27" t="n"/>
      <c r="H133" s="25" t="n"/>
      <c r="I133" s="24" t="n"/>
      <c r="J133" s="24" t="n"/>
      <c r="K133" s="25" t="n"/>
      <c r="L133" s="28" t="n"/>
      <c r="M133" s="24" t="n"/>
      <c r="N133" s="24" t="n"/>
      <c r="O133" s="26">
        <f>IF($A133="","",$F133*$D133)</f>
        <v/>
      </c>
      <c r="P133" s="26">
        <f>IF($A133="","",MAX(0,$O133-$E133))</f>
        <v/>
      </c>
      <c r="Q133" s="26">
        <f>IF($A133="","",IF(OR($J133="TAMAM"),0,$P133))</f>
        <v/>
      </c>
      <c r="R133" s="26">
        <f>IF(OR($A133="",$J133="TAMAM"),"",IFERROR($H133/MAX(1,SUMIF(tblKartlar[KartId],$B133,tblKartlar[KapasiteSaat])),0))</f>
        <v/>
      </c>
      <c r="S133" s="26">
        <f>IF($A133="","",IF($B133="","YETİM",IF(COUNTIF(tblKartlar[KartId],$B133)=0,"YETİM","")))</f>
        <v/>
      </c>
      <c r="T133" s="26">
        <f>IF(OR($A133="",$I133=""),"",IF(OR($I133&amp;"|"&amp;$J133="",COUNTIF(ListeIzinliGecis,$I133&amp;"|"&amp;$J133)&gt;0),"","GEÇERSİZ GEÇİŞ"))</f>
        <v/>
      </c>
      <c r="U133" s="26">
        <f>IF($A133="","",IF(OR($O133="",$K133=""),"",IF(ABS($K133-$O133)&gt;zincirTolerans,"ZİNCİR KIRIK","OK")))</f>
        <v/>
      </c>
      <c r="V133" s="26">
        <f>IF($A133="","",1)</f>
        <v/>
      </c>
      <c r="W133" s="26">
        <f>IF($A133="","",IF($J133="TAMAM",0,IF($L133="","",raporTarihi-$L133)))</f>
        <v/>
      </c>
    </row>
    <row r="134">
      <c r="A134" s="24" t="n"/>
      <c r="B134" s="24" t="n"/>
      <c r="C134" s="24" t="n"/>
      <c r="D134" s="25" t="n"/>
      <c r="E134" s="25" t="n"/>
      <c r="F134" s="25" t="n"/>
      <c r="G134" s="27" t="n"/>
      <c r="H134" s="25" t="n"/>
      <c r="I134" s="24" t="n"/>
      <c r="J134" s="24" t="n"/>
      <c r="K134" s="25" t="n"/>
      <c r="L134" s="28" t="n"/>
      <c r="M134" s="24" t="n"/>
      <c r="N134" s="24" t="n"/>
      <c r="O134" s="26">
        <f>IF($A134="","",$F134*$D134)</f>
        <v/>
      </c>
      <c r="P134" s="26">
        <f>IF($A134="","",MAX(0,$O134-$E134))</f>
        <v/>
      </c>
      <c r="Q134" s="26">
        <f>IF($A134="","",IF(OR($J134="TAMAM"),0,$P134))</f>
        <v/>
      </c>
      <c r="R134" s="26">
        <f>IF(OR($A134="",$J134="TAMAM"),"",IFERROR($H134/MAX(1,SUMIF(tblKartlar[KartId],$B134,tblKartlar[KapasiteSaat])),0))</f>
        <v/>
      </c>
      <c r="S134" s="26">
        <f>IF($A134="","",IF($B134="","YETİM",IF(COUNTIF(tblKartlar[KartId],$B134)=0,"YETİM","")))</f>
        <v/>
      </c>
      <c r="T134" s="26">
        <f>IF(OR($A134="",$I134=""),"",IF(OR($I134&amp;"|"&amp;$J134="",COUNTIF(ListeIzinliGecis,$I134&amp;"|"&amp;$J134)&gt;0),"","GEÇERSİZ GEÇİŞ"))</f>
        <v/>
      </c>
      <c r="U134" s="26">
        <f>IF($A134="","",IF(OR($O134="",$K134=""),"",IF(ABS($K134-$O134)&gt;zincirTolerans,"ZİNCİR KIRIK","OK")))</f>
        <v/>
      </c>
      <c r="V134" s="26">
        <f>IF($A134="","",1)</f>
        <v/>
      </c>
      <c r="W134" s="26">
        <f>IF($A134="","",IF($J134="TAMAM",0,IF($L134="","",raporTarihi-$L134)))</f>
        <v/>
      </c>
    </row>
    <row r="135">
      <c r="A135" s="24" t="n"/>
      <c r="B135" s="24" t="n"/>
      <c r="C135" s="24" t="n"/>
      <c r="D135" s="25" t="n"/>
      <c r="E135" s="25" t="n"/>
      <c r="F135" s="25" t="n"/>
      <c r="G135" s="27" t="n"/>
      <c r="H135" s="25" t="n"/>
      <c r="I135" s="24" t="n"/>
      <c r="J135" s="24" t="n"/>
      <c r="K135" s="25" t="n"/>
      <c r="L135" s="28" t="n"/>
      <c r="M135" s="24" t="n"/>
      <c r="N135" s="24" t="n"/>
      <c r="O135" s="26">
        <f>IF($A135="","",$F135*$D135)</f>
        <v/>
      </c>
      <c r="P135" s="26">
        <f>IF($A135="","",MAX(0,$O135-$E135))</f>
        <v/>
      </c>
      <c r="Q135" s="26">
        <f>IF($A135="","",IF(OR($J135="TAMAM"),0,$P135))</f>
        <v/>
      </c>
      <c r="R135" s="26">
        <f>IF(OR($A135="",$J135="TAMAM"),"",IFERROR($H135/MAX(1,SUMIF(tblKartlar[KartId],$B135,tblKartlar[KapasiteSaat])),0))</f>
        <v/>
      </c>
      <c r="S135" s="26">
        <f>IF($A135="","",IF($B135="","YETİM",IF(COUNTIF(tblKartlar[KartId],$B135)=0,"YETİM","")))</f>
        <v/>
      </c>
      <c r="T135" s="26">
        <f>IF(OR($A135="",$I135=""),"",IF(OR($I135&amp;"|"&amp;$J135="",COUNTIF(ListeIzinliGecis,$I135&amp;"|"&amp;$J135)&gt;0),"","GEÇERSİZ GEÇİŞ"))</f>
        <v/>
      </c>
      <c r="U135" s="26">
        <f>IF($A135="","",IF(OR($O135="",$K135=""),"",IF(ABS($K135-$O135)&gt;zincirTolerans,"ZİNCİR KIRIK","OK")))</f>
        <v/>
      </c>
      <c r="V135" s="26">
        <f>IF($A135="","",1)</f>
        <v/>
      </c>
      <c r="W135" s="26">
        <f>IF($A135="","",IF($J135="TAMAM",0,IF($L135="","",raporTarihi-$L135)))</f>
        <v/>
      </c>
    </row>
    <row r="136">
      <c r="A136" s="24" t="n"/>
      <c r="B136" s="24" t="n"/>
      <c r="C136" s="24" t="n"/>
      <c r="D136" s="25" t="n"/>
      <c r="E136" s="25" t="n"/>
      <c r="F136" s="25" t="n"/>
      <c r="G136" s="27" t="n"/>
      <c r="H136" s="25" t="n"/>
      <c r="I136" s="24" t="n"/>
      <c r="J136" s="24" t="n"/>
      <c r="K136" s="25" t="n"/>
      <c r="L136" s="28" t="n"/>
      <c r="M136" s="24" t="n"/>
      <c r="N136" s="24" t="n"/>
      <c r="O136" s="26">
        <f>IF($A136="","",$F136*$D136)</f>
        <v/>
      </c>
      <c r="P136" s="26">
        <f>IF($A136="","",MAX(0,$O136-$E136))</f>
        <v/>
      </c>
      <c r="Q136" s="26">
        <f>IF($A136="","",IF(OR($J136="TAMAM"),0,$P136))</f>
        <v/>
      </c>
      <c r="R136" s="26">
        <f>IF(OR($A136="",$J136="TAMAM"),"",IFERROR($H136/MAX(1,SUMIF(tblKartlar[KartId],$B136,tblKartlar[KapasiteSaat])),0))</f>
        <v/>
      </c>
      <c r="S136" s="26">
        <f>IF($A136="","",IF($B136="","YETİM",IF(COUNTIF(tblKartlar[KartId],$B136)=0,"YETİM","")))</f>
        <v/>
      </c>
      <c r="T136" s="26">
        <f>IF(OR($A136="",$I136=""),"",IF(OR($I136&amp;"|"&amp;$J136="",COUNTIF(ListeIzinliGecis,$I136&amp;"|"&amp;$J136)&gt;0),"","GEÇERSİZ GEÇİŞ"))</f>
        <v/>
      </c>
      <c r="U136" s="26">
        <f>IF($A136="","",IF(OR($O136="",$K136=""),"",IF(ABS($K136-$O136)&gt;zincirTolerans,"ZİNCİR KIRIK","OK")))</f>
        <v/>
      </c>
      <c r="V136" s="26">
        <f>IF($A136="","",1)</f>
        <v/>
      </c>
      <c r="W136" s="26">
        <f>IF($A136="","",IF($J136="TAMAM",0,IF($L136="","",raporTarihi-$L136)))</f>
        <v/>
      </c>
    </row>
    <row r="137">
      <c r="A137" s="24" t="n"/>
      <c r="B137" s="24" t="n"/>
      <c r="C137" s="24" t="n"/>
      <c r="D137" s="25" t="n"/>
      <c r="E137" s="25" t="n"/>
      <c r="F137" s="25" t="n"/>
      <c r="G137" s="27" t="n"/>
      <c r="H137" s="25" t="n"/>
      <c r="I137" s="24" t="n"/>
      <c r="J137" s="24" t="n"/>
      <c r="K137" s="25" t="n"/>
      <c r="L137" s="28" t="n"/>
      <c r="M137" s="24" t="n"/>
      <c r="N137" s="24" t="n"/>
      <c r="O137" s="26">
        <f>IF($A137="","",$F137*$D137)</f>
        <v/>
      </c>
      <c r="P137" s="26">
        <f>IF($A137="","",MAX(0,$O137-$E137))</f>
        <v/>
      </c>
      <c r="Q137" s="26">
        <f>IF($A137="","",IF(OR($J137="TAMAM"),0,$P137))</f>
        <v/>
      </c>
      <c r="R137" s="26">
        <f>IF(OR($A137="",$J137="TAMAM"),"",IFERROR($H137/MAX(1,SUMIF(tblKartlar[KartId],$B137,tblKartlar[KapasiteSaat])),0))</f>
        <v/>
      </c>
      <c r="S137" s="26">
        <f>IF($A137="","",IF($B137="","YETİM",IF(COUNTIF(tblKartlar[KartId],$B137)=0,"YETİM","")))</f>
        <v/>
      </c>
      <c r="T137" s="26">
        <f>IF(OR($A137="",$I137=""),"",IF(OR($I137&amp;"|"&amp;$J137="",COUNTIF(ListeIzinliGecis,$I137&amp;"|"&amp;$J137)&gt;0),"","GEÇERSİZ GEÇİŞ"))</f>
        <v/>
      </c>
      <c r="U137" s="26">
        <f>IF($A137="","",IF(OR($O137="",$K137=""),"",IF(ABS($K137-$O137)&gt;zincirTolerans,"ZİNCİR KIRIK","OK")))</f>
        <v/>
      </c>
      <c r="V137" s="26">
        <f>IF($A137="","",1)</f>
        <v/>
      </c>
      <c r="W137" s="26">
        <f>IF($A137="","",IF($J137="TAMAM",0,IF($L137="","",raporTarihi-$L137)))</f>
        <v/>
      </c>
    </row>
    <row r="138">
      <c r="A138" s="24" t="n"/>
      <c r="B138" s="24" t="n"/>
      <c r="C138" s="24" t="n"/>
      <c r="D138" s="25" t="n"/>
      <c r="E138" s="25" t="n"/>
      <c r="F138" s="25" t="n"/>
      <c r="G138" s="27" t="n"/>
      <c r="H138" s="25" t="n"/>
      <c r="I138" s="24" t="n"/>
      <c r="J138" s="24" t="n"/>
      <c r="K138" s="25" t="n"/>
      <c r="L138" s="28" t="n"/>
      <c r="M138" s="24" t="n"/>
      <c r="N138" s="24" t="n"/>
      <c r="O138" s="26">
        <f>IF($A138="","",$F138*$D138)</f>
        <v/>
      </c>
      <c r="P138" s="26">
        <f>IF($A138="","",MAX(0,$O138-$E138))</f>
        <v/>
      </c>
      <c r="Q138" s="26">
        <f>IF($A138="","",IF(OR($J138="TAMAM"),0,$P138))</f>
        <v/>
      </c>
      <c r="R138" s="26">
        <f>IF(OR($A138="",$J138="TAMAM"),"",IFERROR($H138/MAX(1,SUMIF(tblKartlar[KartId],$B138,tblKartlar[KapasiteSaat])),0))</f>
        <v/>
      </c>
      <c r="S138" s="26">
        <f>IF($A138="","",IF($B138="","YETİM",IF(COUNTIF(tblKartlar[KartId],$B138)=0,"YETİM","")))</f>
        <v/>
      </c>
      <c r="T138" s="26">
        <f>IF(OR($A138="",$I138=""),"",IF(OR($I138&amp;"|"&amp;$J138="",COUNTIF(ListeIzinliGecis,$I138&amp;"|"&amp;$J138)&gt;0),"","GEÇERSİZ GEÇİŞ"))</f>
        <v/>
      </c>
      <c r="U138" s="26">
        <f>IF($A138="","",IF(OR($O138="",$K138=""),"",IF(ABS($K138-$O138)&gt;zincirTolerans,"ZİNCİR KIRIK","OK")))</f>
        <v/>
      </c>
      <c r="V138" s="26">
        <f>IF($A138="","",1)</f>
        <v/>
      </c>
      <c r="W138" s="26">
        <f>IF($A138="","",IF($J138="TAMAM",0,IF($L138="","",raporTarihi-$L138)))</f>
        <v/>
      </c>
    </row>
    <row r="139">
      <c r="A139" s="24" t="n"/>
      <c r="B139" s="24" t="n"/>
      <c r="C139" s="24" t="n"/>
      <c r="D139" s="25" t="n"/>
      <c r="E139" s="25" t="n"/>
      <c r="F139" s="25" t="n"/>
      <c r="G139" s="27" t="n"/>
      <c r="H139" s="25" t="n"/>
      <c r="I139" s="24" t="n"/>
      <c r="J139" s="24" t="n"/>
      <c r="K139" s="25" t="n"/>
      <c r="L139" s="28" t="n"/>
      <c r="M139" s="24" t="n"/>
      <c r="N139" s="24" t="n"/>
      <c r="O139" s="26">
        <f>IF($A139="","",$F139*$D139)</f>
        <v/>
      </c>
      <c r="P139" s="26">
        <f>IF($A139="","",MAX(0,$O139-$E139))</f>
        <v/>
      </c>
      <c r="Q139" s="26">
        <f>IF($A139="","",IF(OR($J139="TAMAM"),0,$P139))</f>
        <v/>
      </c>
      <c r="R139" s="26">
        <f>IF(OR($A139="",$J139="TAMAM"),"",IFERROR($H139/MAX(1,SUMIF(tblKartlar[KartId],$B139,tblKartlar[KapasiteSaat])),0))</f>
        <v/>
      </c>
      <c r="S139" s="26">
        <f>IF($A139="","",IF($B139="","YETİM",IF(COUNTIF(tblKartlar[KartId],$B139)=0,"YETİM","")))</f>
        <v/>
      </c>
      <c r="T139" s="26">
        <f>IF(OR($A139="",$I139=""),"",IF(OR($I139&amp;"|"&amp;$J139="",COUNTIF(ListeIzinliGecis,$I139&amp;"|"&amp;$J139)&gt;0),"","GEÇERSİZ GEÇİŞ"))</f>
        <v/>
      </c>
      <c r="U139" s="26">
        <f>IF($A139="","",IF(OR($O139="",$K139=""),"",IF(ABS($K139-$O139)&gt;zincirTolerans,"ZİNCİR KIRIK","OK")))</f>
        <v/>
      </c>
      <c r="V139" s="26">
        <f>IF($A139="","",1)</f>
        <v/>
      </c>
      <c r="W139" s="26">
        <f>IF($A139="","",IF($J139="TAMAM",0,IF($L139="","",raporTarihi-$L139)))</f>
        <v/>
      </c>
    </row>
    <row r="140">
      <c r="A140" s="24" t="n"/>
      <c r="B140" s="24" t="n"/>
      <c r="C140" s="24" t="n"/>
      <c r="D140" s="25" t="n"/>
      <c r="E140" s="25" t="n"/>
      <c r="F140" s="25" t="n"/>
      <c r="G140" s="27" t="n"/>
      <c r="H140" s="25" t="n"/>
      <c r="I140" s="24" t="n"/>
      <c r="J140" s="24" t="n"/>
      <c r="K140" s="25" t="n"/>
      <c r="L140" s="28" t="n"/>
      <c r="M140" s="24" t="n"/>
      <c r="N140" s="24" t="n"/>
      <c r="O140" s="26">
        <f>IF($A140="","",$F140*$D140)</f>
        <v/>
      </c>
      <c r="P140" s="26">
        <f>IF($A140="","",MAX(0,$O140-$E140))</f>
        <v/>
      </c>
      <c r="Q140" s="26">
        <f>IF($A140="","",IF(OR($J140="TAMAM"),0,$P140))</f>
        <v/>
      </c>
      <c r="R140" s="26">
        <f>IF(OR($A140="",$J140="TAMAM"),"",IFERROR($H140/MAX(1,SUMIF(tblKartlar[KartId],$B140,tblKartlar[KapasiteSaat])),0))</f>
        <v/>
      </c>
      <c r="S140" s="26">
        <f>IF($A140="","",IF($B140="","YETİM",IF(COUNTIF(tblKartlar[KartId],$B140)=0,"YETİM","")))</f>
        <v/>
      </c>
      <c r="T140" s="26">
        <f>IF(OR($A140="",$I140=""),"",IF(OR($I140&amp;"|"&amp;$J140="",COUNTIF(ListeIzinliGecis,$I140&amp;"|"&amp;$J140)&gt;0),"","GEÇERSİZ GEÇİŞ"))</f>
        <v/>
      </c>
      <c r="U140" s="26">
        <f>IF($A140="","",IF(OR($O140="",$K140=""),"",IF(ABS($K140-$O140)&gt;zincirTolerans,"ZİNCİR KIRIK","OK")))</f>
        <v/>
      </c>
      <c r="V140" s="26">
        <f>IF($A140="","",1)</f>
        <v/>
      </c>
      <c r="W140" s="26">
        <f>IF($A140="","",IF($J140="TAMAM",0,IF($L140="","",raporTarihi-$L140)))</f>
        <v/>
      </c>
    </row>
    <row r="141">
      <c r="A141" s="24" t="n"/>
      <c r="B141" s="24" t="n"/>
      <c r="C141" s="24" t="n"/>
      <c r="D141" s="25" t="n"/>
      <c r="E141" s="25" t="n"/>
      <c r="F141" s="25" t="n"/>
      <c r="G141" s="27" t="n"/>
      <c r="H141" s="25" t="n"/>
      <c r="I141" s="24" t="n"/>
      <c r="J141" s="24" t="n"/>
      <c r="K141" s="25" t="n"/>
      <c r="L141" s="28" t="n"/>
      <c r="M141" s="24" t="n"/>
      <c r="N141" s="24" t="n"/>
      <c r="O141" s="26">
        <f>IF($A141="","",$F141*$D141)</f>
        <v/>
      </c>
      <c r="P141" s="26">
        <f>IF($A141="","",MAX(0,$O141-$E141))</f>
        <v/>
      </c>
      <c r="Q141" s="26">
        <f>IF($A141="","",IF(OR($J141="TAMAM"),0,$P141))</f>
        <v/>
      </c>
      <c r="R141" s="26">
        <f>IF(OR($A141="",$J141="TAMAM"),"",IFERROR($H141/MAX(1,SUMIF(tblKartlar[KartId],$B141,tblKartlar[KapasiteSaat])),0))</f>
        <v/>
      </c>
      <c r="S141" s="26">
        <f>IF($A141="","",IF($B141="","YETİM",IF(COUNTIF(tblKartlar[KartId],$B141)=0,"YETİM","")))</f>
        <v/>
      </c>
      <c r="T141" s="26">
        <f>IF(OR($A141="",$I141=""),"",IF(OR($I141&amp;"|"&amp;$J141="",COUNTIF(ListeIzinliGecis,$I141&amp;"|"&amp;$J141)&gt;0),"","GEÇERSİZ GEÇİŞ"))</f>
        <v/>
      </c>
      <c r="U141" s="26">
        <f>IF($A141="","",IF(OR($O141="",$K141=""),"",IF(ABS($K141-$O141)&gt;zincirTolerans,"ZİNCİR KIRIK","OK")))</f>
        <v/>
      </c>
      <c r="V141" s="26">
        <f>IF($A141="","",1)</f>
        <v/>
      </c>
      <c r="W141" s="26">
        <f>IF($A141="","",IF($J141="TAMAM",0,IF($L141="","",raporTarihi-$L141)))</f>
        <v/>
      </c>
    </row>
    <row r="142">
      <c r="A142" s="24" t="n"/>
      <c r="B142" s="24" t="n"/>
      <c r="C142" s="24" t="n"/>
      <c r="D142" s="25" t="n"/>
      <c r="E142" s="25" t="n"/>
      <c r="F142" s="25" t="n"/>
      <c r="G142" s="27" t="n"/>
      <c r="H142" s="25" t="n"/>
      <c r="I142" s="24" t="n"/>
      <c r="J142" s="24" t="n"/>
      <c r="K142" s="25" t="n"/>
      <c r="L142" s="28" t="n"/>
      <c r="M142" s="24" t="n"/>
      <c r="N142" s="24" t="n"/>
      <c r="O142" s="26">
        <f>IF($A142="","",$F142*$D142)</f>
        <v/>
      </c>
      <c r="P142" s="26">
        <f>IF($A142="","",MAX(0,$O142-$E142))</f>
        <v/>
      </c>
      <c r="Q142" s="26">
        <f>IF($A142="","",IF(OR($J142="TAMAM"),0,$P142))</f>
        <v/>
      </c>
      <c r="R142" s="26">
        <f>IF(OR($A142="",$J142="TAMAM"),"",IFERROR($H142/MAX(1,SUMIF(tblKartlar[KartId],$B142,tblKartlar[KapasiteSaat])),0))</f>
        <v/>
      </c>
      <c r="S142" s="26">
        <f>IF($A142="","",IF($B142="","YETİM",IF(COUNTIF(tblKartlar[KartId],$B142)=0,"YETİM","")))</f>
        <v/>
      </c>
      <c r="T142" s="26">
        <f>IF(OR($A142="",$I142=""),"",IF(OR($I142&amp;"|"&amp;$J142="",COUNTIF(ListeIzinliGecis,$I142&amp;"|"&amp;$J142)&gt;0),"","GEÇERSİZ GEÇİŞ"))</f>
        <v/>
      </c>
      <c r="U142" s="26">
        <f>IF($A142="","",IF(OR($O142="",$K142=""),"",IF(ABS($K142-$O142)&gt;zincirTolerans,"ZİNCİR KIRIK","OK")))</f>
        <v/>
      </c>
      <c r="V142" s="26">
        <f>IF($A142="","",1)</f>
        <v/>
      </c>
      <c r="W142" s="26">
        <f>IF($A142="","",IF($J142="TAMAM",0,IF($L142="","",raporTarihi-$L142)))</f>
        <v/>
      </c>
    </row>
    <row r="143">
      <c r="A143" s="24" t="n"/>
      <c r="B143" s="24" t="n"/>
      <c r="C143" s="24" t="n"/>
      <c r="D143" s="25" t="n"/>
      <c r="E143" s="25" t="n"/>
      <c r="F143" s="25" t="n"/>
      <c r="G143" s="27" t="n"/>
      <c r="H143" s="25" t="n"/>
      <c r="I143" s="24" t="n"/>
      <c r="J143" s="24" t="n"/>
      <c r="K143" s="25" t="n"/>
      <c r="L143" s="28" t="n"/>
      <c r="M143" s="24" t="n"/>
      <c r="N143" s="24" t="n"/>
      <c r="O143" s="26">
        <f>IF($A143="","",$F143*$D143)</f>
        <v/>
      </c>
      <c r="P143" s="26">
        <f>IF($A143="","",MAX(0,$O143-$E143))</f>
        <v/>
      </c>
      <c r="Q143" s="26">
        <f>IF($A143="","",IF(OR($J143="TAMAM"),0,$P143))</f>
        <v/>
      </c>
      <c r="R143" s="26">
        <f>IF(OR($A143="",$J143="TAMAM"),"",IFERROR($H143/MAX(1,SUMIF(tblKartlar[KartId],$B143,tblKartlar[KapasiteSaat])),0))</f>
        <v/>
      </c>
      <c r="S143" s="26">
        <f>IF($A143="","",IF($B143="","YETİM",IF(COUNTIF(tblKartlar[KartId],$B143)=0,"YETİM","")))</f>
        <v/>
      </c>
      <c r="T143" s="26">
        <f>IF(OR($A143="",$I143=""),"",IF(OR($I143&amp;"|"&amp;$J143="",COUNTIF(ListeIzinliGecis,$I143&amp;"|"&amp;$J143)&gt;0),"","GEÇERSİZ GEÇİŞ"))</f>
        <v/>
      </c>
      <c r="U143" s="26">
        <f>IF($A143="","",IF(OR($O143="",$K143=""),"",IF(ABS($K143-$O143)&gt;zincirTolerans,"ZİNCİR KIRIK","OK")))</f>
        <v/>
      </c>
      <c r="V143" s="26">
        <f>IF($A143="","",1)</f>
        <v/>
      </c>
      <c r="W143" s="26">
        <f>IF($A143="","",IF($J143="TAMAM",0,IF($L143="","",raporTarihi-$L143)))</f>
        <v/>
      </c>
    </row>
    <row r="144">
      <c r="A144" s="24" t="n"/>
      <c r="B144" s="24" t="n"/>
      <c r="C144" s="24" t="n"/>
      <c r="D144" s="25" t="n"/>
      <c r="E144" s="25" t="n"/>
      <c r="F144" s="25" t="n"/>
      <c r="G144" s="27" t="n"/>
      <c r="H144" s="25" t="n"/>
      <c r="I144" s="24" t="n"/>
      <c r="J144" s="24" t="n"/>
      <c r="K144" s="25" t="n"/>
      <c r="L144" s="28" t="n"/>
      <c r="M144" s="24" t="n"/>
      <c r="N144" s="24" t="n"/>
      <c r="O144" s="26">
        <f>IF($A144="","",$F144*$D144)</f>
        <v/>
      </c>
      <c r="P144" s="26">
        <f>IF($A144="","",MAX(0,$O144-$E144))</f>
        <v/>
      </c>
      <c r="Q144" s="26">
        <f>IF($A144="","",IF(OR($J144="TAMAM"),0,$P144))</f>
        <v/>
      </c>
      <c r="R144" s="26">
        <f>IF(OR($A144="",$J144="TAMAM"),"",IFERROR($H144/MAX(1,SUMIF(tblKartlar[KartId],$B144,tblKartlar[KapasiteSaat])),0))</f>
        <v/>
      </c>
      <c r="S144" s="26">
        <f>IF($A144="","",IF($B144="","YETİM",IF(COUNTIF(tblKartlar[KartId],$B144)=0,"YETİM","")))</f>
        <v/>
      </c>
      <c r="T144" s="26">
        <f>IF(OR($A144="",$I144=""),"",IF(OR($I144&amp;"|"&amp;$J144="",COUNTIF(ListeIzinliGecis,$I144&amp;"|"&amp;$J144)&gt;0),"","GEÇERSİZ GEÇİŞ"))</f>
        <v/>
      </c>
      <c r="U144" s="26">
        <f>IF($A144="","",IF(OR($O144="",$K144=""),"",IF(ABS($K144-$O144)&gt;zincirTolerans,"ZİNCİR KIRIK","OK")))</f>
        <v/>
      </c>
      <c r="V144" s="26">
        <f>IF($A144="","",1)</f>
        <v/>
      </c>
      <c r="W144" s="26">
        <f>IF($A144="","",IF($J144="TAMAM",0,IF($L144="","",raporTarihi-$L144)))</f>
        <v/>
      </c>
    </row>
    <row r="145">
      <c r="A145" s="24" t="n"/>
      <c r="B145" s="24" t="n"/>
      <c r="C145" s="24" t="n"/>
      <c r="D145" s="25" t="n"/>
      <c r="E145" s="25" t="n"/>
      <c r="F145" s="25" t="n"/>
      <c r="G145" s="27" t="n"/>
      <c r="H145" s="25" t="n"/>
      <c r="I145" s="24" t="n"/>
      <c r="J145" s="24" t="n"/>
      <c r="K145" s="25" t="n"/>
      <c r="L145" s="28" t="n"/>
      <c r="M145" s="24" t="n"/>
      <c r="N145" s="24" t="n"/>
      <c r="O145" s="26">
        <f>IF($A145="","",$F145*$D145)</f>
        <v/>
      </c>
      <c r="P145" s="26">
        <f>IF($A145="","",MAX(0,$O145-$E145))</f>
        <v/>
      </c>
      <c r="Q145" s="26">
        <f>IF($A145="","",IF(OR($J145="TAMAM"),0,$P145))</f>
        <v/>
      </c>
      <c r="R145" s="26">
        <f>IF(OR($A145="",$J145="TAMAM"),"",IFERROR($H145/MAX(1,SUMIF(tblKartlar[KartId],$B145,tblKartlar[KapasiteSaat])),0))</f>
        <v/>
      </c>
      <c r="S145" s="26">
        <f>IF($A145="","",IF($B145="","YETİM",IF(COUNTIF(tblKartlar[KartId],$B145)=0,"YETİM","")))</f>
        <v/>
      </c>
      <c r="T145" s="26">
        <f>IF(OR($A145="",$I145=""),"",IF(OR($I145&amp;"|"&amp;$J145="",COUNTIF(ListeIzinliGecis,$I145&amp;"|"&amp;$J145)&gt;0),"","GEÇERSİZ GEÇİŞ"))</f>
        <v/>
      </c>
      <c r="U145" s="26">
        <f>IF($A145="","",IF(OR($O145="",$K145=""),"",IF(ABS($K145-$O145)&gt;zincirTolerans,"ZİNCİR KIRIK","OK")))</f>
        <v/>
      </c>
      <c r="V145" s="26">
        <f>IF($A145="","",1)</f>
        <v/>
      </c>
      <c r="W145" s="26">
        <f>IF($A145="","",IF($J145="TAMAM",0,IF($L145="","",raporTarihi-$L145)))</f>
        <v/>
      </c>
    </row>
    <row r="146">
      <c r="A146" s="24" t="n"/>
      <c r="B146" s="24" t="n"/>
      <c r="C146" s="24" t="n"/>
      <c r="D146" s="25" t="n"/>
      <c r="E146" s="25" t="n"/>
      <c r="F146" s="25" t="n"/>
      <c r="G146" s="27" t="n"/>
      <c r="H146" s="25" t="n"/>
      <c r="I146" s="24" t="n"/>
      <c r="J146" s="24" t="n"/>
      <c r="K146" s="25" t="n"/>
      <c r="L146" s="28" t="n"/>
      <c r="M146" s="24" t="n"/>
      <c r="N146" s="24" t="n"/>
      <c r="O146" s="26">
        <f>IF($A146="","",$F146*$D146)</f>
        <v/>
      </c>
      <c r="P146" s="26">
        <f>IF($A146="","",MAX(0,$O146-$E146))</f>
        <v/>
      </c>
      <c r="Q146" s="26">
        <f>IF($A146="","",IF(OR($J146="TAMAM"),0,$P146))</f>
        <v/>
      </c>
      <c r="R146" s="26">
        <f>IF(OR($A146="",$J146="TAMAM"),"",IFERROR($H146/MAX(1,SUMIF(tblKartlar[KartId],$B146,tblKartlar[KapasiteSaat])),0))</f>
        <v/>
      </c>
      <c r="S146" s="26">
        <f>IF($A146="","",IF($B146="","YETİM",IF(COUNTIF(tblKartlar[KartId],$B146)=0,"YETİM","")))</f>
        <v/>
      </c>
      <c r="T146" s="26">
        <f>IF(OR($A146="",$I146=""),"",IF(OR($I146&amp;"|"&amp;$J146="",COUNTIF(ListeIzinliGecis,$I146&amp;"|"&amp;$J146)&gt;0),"","GEÇERSİZ GEÇİŞ"))</f>
        <v/>
      </c>
      <c r="U146" s="26">
        <f>IF($A146="","",IF(OR($O146="",$K146=""),"",IF(ABS($K146-$O146)&gt;zincirTolerans,"ZİNCİR KIRIK","OK")))</f>
        <v/>
      </c>
      <c r="V146" s="26">
        <f>IF($A146="","",1)</f>
        <v/>
      </c>
      <c r="W146" s="26">
        <f>IF($A146="","",IF($J146="TAMAM",0,IF($L146="","",raporTarihi-$L146)))</f>
        <v/>
      </c>
    </row>
    <row r="147">
      <c r="A147" s="24" t="n"/>
      <c r="B147" s="24" t="n"/>
      <c r="C147" s="24" t="n"/>
      <c r="D147" s="25" t="n"/>
      <c r="E147" s="25" t="n"/>
      <c r="F147" s="25" t="n"/>
      <c r="G147" s="27" t="n"/>
      <c r="H147" s="25" t="n"/>
      <c r="I147" s="24" t="n"/>
      <c r="J147" s="24" t="n"/>
      <c r="K147" s="25" t="n"/>
      <c r="L147" s="28" t="n"/>
      <c r="M147" s="24" t="n"/>
      <c r="N147" s="24" t="n"/>
      <c r="O147" s="26">
        <f>IF($A147="","",$F147*$D147)</f>
        <v/>
      </c>
      <c r="P147" s="26">
        <f>IF($A147="","",MAX(0,$O147-$E147))</f>
        <v/>
      </c>
      <c r="Q147" s="26">
        <f>IF($A147="","",IF(OR($J147="TAMAM"),0,$P147))</f>
        <v/>
      </c>
      <c r="R147" s="26">
        <f>IF(OR($A147="",$J147="TAMAM"),"",IFERROR($H147/MAX(1,SUMIF(tblKartlar[KartId],$B147,tblKartlar[KapasiteSaat])),0))</f>
        <v/>
      </c>
      <c r="S147" s="26">
        <f>IF($A147="","",IF($B147="","YETİM",IF(COUNTIF(tblKartlar[KartId],$B147)=0,"YETİM","")))</f>
        <v/>
      </c>
      <c r="T147" s="26">
        <f>IF(OR($A147="",$I147=""),"",IF(OR($I147&amp;"|"&amp;$J147="",COUNTIF(ListeIzinliGecis,$I147&amp;"|"&amp;$J147)&gt;0),"","GEÇERSİZ GEÇİŞ"))</f>
        <v/>
      </c>
      <c r="U147" s="26">
        <f>IF($A147="","",IF(OR($O147="",$K147=""),"",IF(ABS($K147-$O147)&gt;zincirTolerans,"ZİNCİR KIRIK","OK")))</f>
        <v/>
      </c>
      <c r="V147" s="26">
        <f>IF($A147="","",1)</f>
        <v/>
      </c>
      <c r="W147" s="26">
        <f>IF($A147="","",IF($J147="TAMAM",0,IF($L147="","",raporTarihi-$L147)))</f>
        <v/>
      </c>
    </row>
    <row r="148">
      <c r="A148" s="24" t="n"/>
      <c r="B148" s="24" t="n"/>
      <c r="C148" s="24" t="n"/>
      <c r="D148" s="25" t="n"/>
      <c r="E148" s="25" t="n"/>
      <c r="F148" s="25" t="n"/>
      <c r="G148" s="27" t="n"/>
      <c r="H148" s="25" t="n"/>
      <c r="I148" s="24" t="n"/>
      <c r="J148" s="24" t="n"/>
      <c r="K148" s="25" t="n"/>
      <c r="L148" s="28" t="n"/>
      <c r="M148" s="24" t="n"/>
      <c r="N148" s="24" t="n"/>
      <c r="O148" s="26">
        <f>IF($A148="","",$F148*$D148)</f>
        <v/>
      </c>
      <c r="P148" s="26">
        <f>IF($A148="","",MAX(0,$O148-$E148))</f>
        <v/>
      </c>
      <c r="Q148" s="26">
        <f>IF($A148="","",IF(OR($J148="TAMAM"),0,$P148))</f>
        <v/>
      </c>
      <c r="R148" s="26">
        <f>IF(OR($A148="",$J148="TAMAM"),"",IFERROR($H148/MAX(1,SUMIF(tblKartlar[KartId],$B148,tblKartlar[KapasiteSaat])),0))</f>
        <v/>
      </c>
      <c r="S148" s="26">
        <f>IF($A148="","",IF($B148="","YETİM",IF(COUNTIF(tblKartlar[KartId],$B148)=0,"YETİM","")))</f>
        <v/>
      </c>
      <c r="T148" s="26">
        <f>IF(OR($A148="",$I148=""),"",IF(OR($I148&amp;"|"&amp;$J148="",COUNTIF(ListeIzinliGecis,$I148&amp;"|"&amp;$J148)&gt;0),"","GEÇERSİZ GEÇİŞ"))</f>
        <v/>
      </c>
      <c r="U148" s="26">
        <f>IF($A148="","",IF(OR($O148="",$K148=""),"",IF(ABS($K148-$O148)&gt;zincirTolerans,"ZİNCİR KIRIK","OK")))</f>
        <v/>
      </c>
      <c r="V148" s="26">
        <f>IF($A148="","",1)</f>
        <v/>
      </c>
      <c r="W148" s="26">
        <f>IF($A148="","",IF($J148="TAMAM",0,IF($L148="","",raporTarihi-$L148)))</f>
        <v/>
      </c>
    </row>
    <row r="149">
      <c r="A149" s="24" t="n"/>
      <c r="B149" s="24" t="n"/>
      <c r="C149" s="24" t="n"/>
      <c r="D149" s="25" t="n"/>
      <c r="E149" s="25" t="n"/>
      <c r="F149" s="25" t="n"/>
      <c r="G149" s="27" t="n"/>
      <c r="H149" s="25" t="n"/>
      <c r="I149" s="24" t="n"/>
      <c r="J149" s="24" t="n"/>
      <c r="K149" s="25" t="n"/>
      <c r="L149" s="28" t="n"/>
      <c r="M149" s="24" t="n"/>
      <c r="N149" s="24" t="n"/>
      <c r="O149" s="26">
        <f>IF($A149="","",$F149*$D149)</f>
        <v/>
      </c>
      <c r="P149" s="26">
        <f>IF($A149="","",MAX(0,$O149-$E149))</f>
        <v/>
      </c>
      <c r="Q149" s="26">
        <f>IF($A149="","",IF(OR($J149="TAMAM"),0,$P149))</f>
        <v/>
      </c>
      <c r="R149" s="26">
        <f>IF(OR($A149="",$J149="TAMAM"),"",IFERROR($H149/MAX(1,SUMIF(tblKartlar[KartId],$B149,tblKartlar[KapasiteSaat])),0))</f>
        <v/>
      </c>
      <c r="S149" s="26">
        <f>IF($A149="","",IF($B149="","YETİM",IF(COUNTIF(tblKartlar[KartId],$B149)=0,"YETİM","")))</f>
        <v/>
      </c>
      <c r="T149" s="26">
        <f>IF(OR($A149="",$I149=""),"",IF(OR($I149&amp;"|"&amp;$J149="",COUNTIF(ListeIzinliGecis,$I149&amp;"|"&amp;$J149)&gt;0),"","GEÇERSİZ GEÇİŞ"))</f>
        <v/>
      </c>
      <c r="U149" s="26">
        <f>IF($A149="","",IF(OR($O149="",$K149=""),"",IF(ABS($K149-$O149)&gt;zincirTolerans,"ZİNCİR KIRIK","OK")))</f>
        <v/>
      </c>
      <c r="V149" s="26">
        <f>IF($A149="","",1)</f>
        <v/>
      </c>
      <c r="W149" s="26">
        <f>IF($A149="","",IF($J149="TAMAM",0,IF($L149="","",raporTarihi-$L149)))</f>
        <v/>
      </c>
    </row>
    <row r="150">
      <c r="A150" s="24" t="n"/>
      <c r="B150" s="24" t="n"/>
      <c r="C150" s="24" t="n"/>
      <c r="D150" s="25" t="n"/>
      <c r="E150" s="25" t="n"/>
      <c r="F150" s="25" t="n"/>
      <c r="G150" s="27" t="n"/>
      <c r="H150" s="25" t="n"/>
      <c r="I150" s="24" t="n"/>
      <c r="J150" s="24" t="n"/>
      <c r="K150" s="25" t="n"/>
      <c r="L150" s="28" t="n"/>
      <c r="M150" s="24" t="n"/>
      <c r="N150" s="24" t="n"/>
      <c r="O150" s="26">
        <f>IF($A150="","",$F150*$D150)</f>
        <v/>
      </c>
      <c r="P150" s="26">
        <f>IF($A150="","",MAX(0,$O150-$E150))</f>
        <v/>
      </c>
      <c r="Q150" s="26">
        <f>IF($A150="","",IF(OR($J150="TAMAM"),0,$P150))</f>
        <v/>
      </c>
      <c r="R150" s="26">
        <f>IF(OR($A150="",$J150="TAMAM"),"",IFERROR($H150/MAX(1,SUMIF(tblKartlar[KartId],$B150,tblKartlar[KapasiteSaat])),0))</f>
        <v/>
      </c>
      <c r="S150" s="26">
        <f>IF($A150="","",IF($B150="","YETİM",IF(COUNTIF(tblKartlar[KartId],$B150)=0,"YETİM","")))</f>
        <v/>
      </c>
      <c r="T150" s="26">
        <f>IF(OR($A150="",$I150=""),"",IF(OR($I150&amp;"|"&amp;$J150="",COUNTIF(ListeIzinliGecis,$I150&amp;"|"&amp;$J150)&gt;0),"","GEÇERSİZ GEÇİŞ"))</f>
        <v/>
      </c>
      <c r="U150" s="26">
        <f>IF($A150="","",IF(OR($O150="",$K150=""),"",IF(ABS($K150-$O150)&gt;zincirTolerans,"ZİNCİR KIRIK","OK")))</f>
        <v/>
      </c>
      <c r="V150" s="26">
        <f>IF($A150="","",1)</f>
        <v/>
      </c>
      <c r="W150" s="26">
        <f>IF($A150="","",IF($J150="TAMAM",0,IF($L150="","",raporTarihi-$L150)))</f>
        <v/>
      </c>
    </row>
    <row r="151">
      <c r="A151" s="24" t="n"/>
      <c r="B151" s="24" t="n"/>
      <c r="C151" s="24" t="n"/>
      <c r="D151" s="25" t="n"/>
      <c r="E151" s="25" t="n"/>
      <c r="F151" s="25" t="n"/>
      <c r="G151" s="27" t="n"/>
      <c r="H151" s="25" t="n"/>
      <c r="I151" s="24" t="n"/>
      <c r="J151" s="24" t="n"/>
      <c r="K151" s="25" t="n"/>
      <c r="L151" s="28" t="n"/>
      <c r="M151" s="24" t="n"/>
      <c r="N151" s="24" t="n"/>
      <c r="O151" s="26">
        <f>IF($A151="","",$F151*$D151)</f>
        <v/>
      </c>
      <c r="P151" s="26">
        <f>IF($A151="","",MAX(0,$O151-$E151))</f>
        <v/>
      </c>
      <c r="Q151" s="26">
        <f>IF($A151="","",IF(OR($J151="TAMAM"),0,$P151))</f>
        <v/>
      </c>
      <c r="R151" s="26">
        <f>IF(OR($A151="",$J151="TAMAM"),"",IFERROR($H151/MAX(1,SUMIF(tblKartlar[KartId],$B151,tblKartlar[KapasiteSaat])),0))</f>
        <v/>
      </c>
      <c r="S151" s="26">
        <f>IF($A151="","",IF($B151="","YETİM",IF(COUNTIF(tblKartlar[KartId],$B151)=0,"YETİM","")))</f>
        <v/>
      </c>
      <c r="T151" s="26">
        <f>IF(OR($A151="",$I151=""),"",IF(OR($I151&amp;"|"&amp;$J151="",COUNTIF(ListeIzinliGecis,$I151&amp;"|"&amp;$J151)&gt;0),"","GEÇERSİZ GEÇİŞ"))</f>
        <v/>
      </c>
      <c r="U151" s="26">
        <f>IF($A151="","",IF(OR($O151="",$K151=""),"",IF(ABS($K151-$O151)&gt;zincirTolerans,"ZİNCİR KIRIK","OK")))</f>
        <v/>
      </c>
      <c r="V151" s="26">
        <f>IF($A151="","",1)</f>
        <v/>
      </c>
      <c r="W151" s="26">
        <f>IF($A151="","",IF($J151="TAMAM",0,IF($L151="","",raporTarihi-$L151)))</f>
        <v/>
      </c>
    </row>
    <row r="152">
      <c r="A152" s="24" t="n"/>
      <c r="B152" s="24" t="n"/>
      <c r="C152" s="24" t="n"/>
      <c r="D152" s="25" t="n"/>
      <c r="E152" s="25" t="n"/>
      <c r="F152" s="25" t="n"/>
      <c r="G152" s="27" t="n"/>
      <c r="H152" s="25" t="n"/>
      <c r="I152" s="24" t="n"/>
      <c r="J152" s="24" t="n"/>
      <c r="K152" s="25" t="n"/>
      <c r="L152" s="28" t="n"/>
      <c r="M152" s="24" t="n"/>
      <c r="N152" s="24" t="n"/>
      <c r="O152" s="26">
        <f>IF($A152="","",$F152*$D152)</f>
        <v/>
      </c>
      <c r="P152" s="26">
        <f>IF($A152="","",MAX(0,$O152-$E152))</f>
        <v/>
      </c>
      <c r="Q152" s="26">
        <f>IF($A152="","",IF(OR($J152="TAMAM"),0,$P152))</f>
        <v/>
      </c>
      <c r="R152" s="26">
        <f>IF(OR($A152="",$J152="TAMAM"),"",IFERROR($H152/MAX(1,SUMIF(tblKartlar[KartId],$B152,tblKartlar[KapasiteSaat])),0))</f>
        <v/>
      </c>
      <c r="S152" s="26">
        <f>IF($A152="","",IF($B152="","YETİM",IF(COUNTIF(tblKartlar[KartId],$B152)=0,"YETİM","")))</f>
        <v/>
      </c>
      <c r="T152" s="26">
        <f>IF(OR($A152="",$I152=""),"",IF(OR($I152&amp;"|"&amp;$J152="",COUNTIF(ListeIzinliGecis,$I152&amp;"|"&amp;$J152)&gt;0),"","GEÇERSİZ GEÇİŞ"))</f>
        <v/>
      </c>
      <c r="U152" s="26">
        <f>IF($A152="","",IF(OR($O152="",$K152=""),"",IF(ABS($K152-$O152)&gt;zincirTolerans,"ZİNCİR KIRIK","OK")))</f>
        <v/>
      </c>
      <c r="V152" s="26">
        <f>IF($A152="","",1)</f>
        <v/>
      </c>
      <c r="W152" s="26">
        <f>IF($A152="","",IF($J152="TAMAM",0,IF($L152="","",raporTarihi-$L152)))</f>
        <v/>
      </c>
    </row>
    <row r="153">
      <c r="A153" s="24" t="n"/>
      <c r="B153" s="24" t="n"/>
      <c r="C153" s="24" t="n"/>
      <c r="D153" s="25" t="n"/>
      <c r="E153" s="25" t="n"/>
      <c r="F153" s="25" t="n"/>
      <c r="G153" s="27" t="n"/>
      <c r="H153" s="25" t="n"/>
      <c r="I153" s="24" t="n"/>
      <c r="J153" s="24" t="n"/>
      <c r="K153" s="25" t="n"/>
      <c r="L153" s="28" t="n"/>
      <c r="M153" s="24" t="n"/>
      <c r="N153" s="24" t="n"/>
      <c r="O153" s="26">
        <f>IF($A153="","",$F153*$D153)</f>
        <v/>
      </c>
      <c r="P153" s="26">
        <f>IF($A153="","",MAX(0,$O153-$E153))</f>
        <v/>
      </c>
      <c r="Q153" s="26">
        <f>IF($A153="","",IF(OR($J153="TAMAM"),0,$P153))</f>
        <v/>
      </c>
      <c r="R153" s="26">
        <f>IF(OR($A153="",$J153="TAMAM"),"",IFERROR($H153/MAX(1,SUMIF(tblKartlar[KartId],$B153,tblKartlar[KapasiteSaat])),0))</f>
        <v/>
      </c>
      <c r="S153" s="26">
        <f>IF($A153="","",IF($B153="","YETİM",IF(COUNTIF(tblKartlar[KartId],$B153)=0,"YETİM","")))</f>
        <v/>
      </c>
      <c r="T153" s="26">
        <f>IF(OR($A153="",$I153=""),"",IF(OR($I153&amp;"|"&amp;$J153="",COUNTIF(ListeIzinliGecis,$I153&amp;"|"&amp;$J153)&gt;0),"","GEÇERSİZ GEÇİŞ"))</f>
        <v/>
      </c>
      <c r="U153" s="26">
        <f>IF($A153="","",IF(OR($O153="",$K153=""),"",IF(ABS($K153-$O153)&gt;zincirTolerans,"ZİNCİR KIRIK","OK")))</f>
        <v/>
      </c>
      <c r="V153" s="26">
        <f>IF($A153="","",1)</f>
        <v/>
      </c>
      <c r="W153" s="26">
        <f>IF($A153="","",IF($J153="TAMAM",0,IF($L153="","",raporTarihi-$L153)))</f>
        <v/>
      </c>
    </row>
    <row r="154">
      <c r="A154" s="24" t="n"/>
      <c r="B154" s="24" t="n"/>
      <c r="C154" s="24" t="n"/>
      <c r="D154" s="25" t="n"/>
      <c r="E154" s="25" t="n"/>
      <c r="F154" s="25" t="n"/>
      <c r="G154" s="27" t="n"/>
      <c r="H154" s="25" t="n"/>
      <c r="I154" s="24" t="n"/>
      <c r="J154" s="24" t="n"/>
      <c r="K154" s="25" t="n"/>
      <c r="L154" s="28" t="n"/>
      <c r="M154" s="24" t="n"/>
      <c r="N154" s="24" t="n"/>
      <c r="O154" s="26">
        <f>IF($A154="","",$F154*$D154)</f>
        <v/>
      </c>
      <c r="P154" s="26">
        <f>IF($A154="","",MAX(0,$O154-$E154))</f>
        <v/>
      </c>
      <c r="Q154" s="26">
        <f>IF($A154="","",IF(OR($J154="TAMAM"),0,$P154))</f>
        <v/>
      </c>
      <c r="R154" s="26">
        <f>IF(OR($A154="",$J154="TAMAM"),"",IFERROR($H154/MAX(1,SUMIF(tblKartlar[KartId],$B154,tblKartlar[KapasiteSaat])),0))</f>
        <v/>
      </c>
      <c r="S154" s="26">
        <f>IF($A154="","",IF($B154="","YETİM",IF(COUNTIF(tblKartlar[KartId],$B154)=0,"YETİM","")))</f>
        <v/>
      </c>
      <c r="T154" s="26">
        <f>IF(OR($A154="",$I154=""),"",IF(OR($I154&amp;"|"&amp;$J154="",COUNTIF(ListeIzinliGecis,$I154&amp;"|"&amp;$J154)&gt;0),"","GEÇERSİZ GEÇİŞ"))</f>
        <v/>
      </c>
      <c r="U154" s="26">
        <f>IF($A154="","",IF(OR($O154="",$K154=""),"",IF(ABS($K154-$O154)&gt;zincirTolerans,"ZİNCİR KIRIK","OK")))</f>
        <v/>
      </c>
      <c r="V154" s="26">
        <f>IF($A154="","",1)</f>
        <v/>
      </c>
      <c r="W154" s="26">
        <f>IF($A154="","",IF($J154="TAMAM",0,IF($L154="","",raporTarihi-$L154)))</f>
        <v/>
      </c>
    </row>
    <row r="155">
      <c r="A155" s="24" t="n"/>
      <c r="B155" s="24" t="n"/>
      <c r="C155" s="24" t="n"/>
      <c r="D155" s="25" t="n"/>
      <c r="E155" s="25" t="n"/>
      <c r="F155" s="25" t="n"/>
      <c r="G155" s="27" t="n"/>
      <c r="H155" s="25" t="n"/>
      <c r="I155" s="24" t="n"/>
      <c r="J155" s="24" t="n"/>
      <c r="K155" s="25" t="n"/>
      <c r="L155" s="28" t="n"/>
      <c r="M155" s="24" t="n"/>
      <c r="N155" s="24" t="n"/>
      <c r="O155" s="26">
        <f>IF($A155="","",$F155*$D155)</f>
        <v/>
      </c>
      <c r="P155" s="26">
        <f>IF($A155="","",MAX(0,$O155-$E155))</f>
        <v/>
      </c>
      <c r="Q155" s="26">
        <f>IF($A155="","",IF(OR($J155="TAMAM"),0,$P155))</f>
        <v/>
      </c>
      <c r="R155" s="26">
        <f>IF(OR($A155="",$J155="TAMAM"),"",IFERROR($H155/MAX(1,SUMIF(tblKartlar[KartId],$B155,tblKartlar[KapasiteSaat])),0))</f>
        <v/>
      </c>
      <c r="S155" s="26">
        <f>IF($A155="","",IF($B155="","YETİM",IF(COUNTIF(tblKartlar[KartId],$B155)=0,"YETİM","")))</f>
        <v/>
      </c>
      <c r="T155" s="26">
        <f>IF(OR($A155="",$I155=""),"",IF(OR($I155&amp;"|"&amp;$J155="",COUNTIF(ListeIzinliGecis,$I155&amp;"|"&amp;$J155)&gt;0),"","GEÇERSİZ GEÇİŞ"))</f>
        <v/>
      </c>
      <c r="U155" s="26">
        <f>IF($A155="","",IF(OR($O155="",$K155=""),"",IF(ABS($K155-$O155)&gt;zincirTolerans,"ZİNCİR KIRIK","OK")))</f>
        <v/>
      </c>
      <c r="V155" s="26">
        <f>IF($A155="","",1)</f>
        <v/>
      </c>
      <c r="W155" s="26">
        <f>IF($A155="","",IF($J155="TAMAM",0,IF($L155="","",raporTarihi-$L155)))</f>
        <v/>
      </c>
    </row>
    <row r="156">
      <c r="A156" s="24" t="n"/>
      <c r="B156" s="24" t="n"/>
      <c r="C156" s="24" t="n"/>
      <c r="D156" s="25" t="n"/>
      <c r="E156" s="25" t="n"/>
      <c r="F156" s="25" t="n"/>
      <c r="G156" s="27" t="n"/>
      <c r="H156" s="25" t="n"/>
      <c r="I156" s="24" t="n"/>
      <c r="J156" s="24" t="n"/>
      <c r="K156" s="25" t="n"/>
      <c r="L156" s="28" t="n"/>
      <c r="M156" s="24" t="n"/>
      <c r="N156" s="24" t="n"/>
      <c r="O156" s="26">
        <f>IF($A156="","",$F156*$D156)</f>
        <v/>
      </c>
      <c r="P156" s="26">
        <f>IF($A156="","",MAX(0,$O156-$E156))</f>
        <v/>
      </c>
      <c r="Q156" s="26">
        <f>IF($A156="","",IF(OR($J156="TAMAM"),0,$P156))</f>
        <v/>
      </c>
      <c r="R156" s="26">
        <f>IF(OR($A156="",$J156="TAMAM"),"",IFERROR($H156/MAX(1,SUMIF(tblKartlar[KartId],$B156,tblKartlar[KapasiteSaat])),0))</f>
        <v/>
      </c>
      <c r="S156" s="26">
        <f>IF($A156="","",IF($B156="","YETİM",IF(COUNTIF(tblKartlar[KartId],$B156)=0,"YETİM","")))</f>
        <v/>
      </c>
      <c r="T156" s="26">
        <f>IF(OR($A156="",$I156=""),"",IF(OR($I156&amp;"|"&amp;$J156="",COUNTIF(ListeIzinliGecis,$I156&amp;"|"&amp;$J156)&gt;0),"","GEÇERSİZ GEÇİŞ"))</f>
        <v/>
      </c>
      <c r="U156" s="26">
        <f>IF($A156="","",IF(OR($O156="",$K156=""),"",IF(ABS($K156-$O156)&gt;zincirTolerans,"ZİNCİR KIRIK","OK")))</f>
        <v/>
      </c>
      <c r="V156" s="26">
        <f>IF($A156="","",1)</f>
        <v/>
      </c>
      <c r="W156" s="26">
        <f>IF($A156="","",IF($J156="TAMAM",0,IF($L156="","",raporTarihi-$L156)))</f>
        <v/>
      </c>
    </row>
    <row r="157">
      <c r="A157" s="24" t="n"/>
      <c r="B157" s="24" t="n"/>
      <c r="C157" s="24" t="n"/>
      <c r="D157" s="25" t="n"/>
      <c r="E157" s="25" t="n"/>
      <c r="F157" s="25" t="n"/>
      <c r="G157" s="27" t="n"/>
      <c r="H157" s="25" t="n"/>
      <c r="I157" s="24" t="n"/>
      <c r="J157" s="24" t="n"/>
      <c r="K157" s="25" t="n"/>
      <c r="L157" s="28" t="n"/>
      <c r="M157" s="24" t="n"/>
      <c r="N157" s="24" t="n"/>
      <c r="O157" s="26">
        <f>IF($A157="","",$F157*$D157)</f>
        <v/>
      </c>
      <c r="P157" s="26">
        <f>IF($A157="","",MAX(0,$O157-$E157))</f>
        <v/>
      </c>
      <c r="Q157" s="26">
        <f>IF($A157="","",IF(OR($J157="TAMAM"),0,$P157))</f>
        <v/>
      </c>
      <c r="R157" s="26">
        <f>IF(OR($A157="",$J157="TAMAM"),"",IFERROR($H157/MAX(1,SUMIF(tblKartlar[KartId],$B157,tblKartlar[KapasiteSaat])),0))</f>
        <v/>
      </c>
      <c r="S157" s="26">
        <f>IF($A157="","",IF($B157="","YETİM",IF(COUNTIF(tblKartlar[KartId],$B157)=0,"YETİM","")))</f>
        <v/>
      </c>
      <c r="T157" s="26">
        <f>IF(OR($A157="",$I157=""),"",IF(OR($I157&amp;"|"&amp;$J157="",COUNTIF(ListeIzinliGecis,$I157&amp;"|"&amp;$J157)&gt;0),"","GEÇERSİZ GEÇİŞ"))</f>
        <v/>
      </c>
      <c r="U157" s="26">
        <f>IF($A157="","",IF(OR($O157="",$K157=""),"",IF(ABS($K157-$O157)&gt;zincirTolerans,"ZİNCİR KIRIK","OK")))</f>
        <v/>
      </c>
      <c r="V157" s="26">
        <f>IF($A157="","",1)</f>
        <v/>
      </c>
      <c r="W157" s="26">
        <f>IF($A157="","",IF($J157="TAMAM",0,IF($L157="","",raporTarihi-$L157)))</f>
        <v/>
      </c>
    </row>
    <row r="158">
      <c r="A158" s="24" t="n"/>
      <c r="B158" s="24" t="n"/>
      <c r="C158" s="24" t="n"/>
      <c r="D158" s="25" t="n"/>
      <c r="E158" s="25" t="n"/>
      <c r="F158" s="25" t="n"/>
      <c r="G158" s="27" t="n"/>
      <c r="H158" s="25" t="n"/>
      <c r="I158" s="24" t="n"/>
      <c r="J158" s="24" t="n"/>
      <c r="K158" s="25" t="n"/>
      <c r="L158" s="28" t="n"/>
      <c r="M158" s="24" t="n"/>
      <c r="N158" s="24" t="n"/>
      <c r="O158" s="26">
        <f>IF($A158="","",$F158*$D158)</f>
        <v/>
      </c>
      <c r="P158" s="26">
        <f>IF($A158="","",MAX(0,$O158-$E158))</f>
        <v/>
      </c>
      <c r="Q158" s="26">
        <f>IF($A158="","",IF(OR($J158="TAMAM"),0,$P158))</f>
        <v/>
      </c>
      <c r="R158" s="26">
        <f>IF(OR($A158="",$J158="TAMAM"),"",IFERROR($H158/MAX(1,SUMIF(tblKartlar[KartId],$B158,tblKartlar[KapasiteSaat])),0))</f>
        <v/>
      </c>
      <c r="S158" s="26">
        <f>IF($A158="","",IF($B158="","YETİM",IF(COUNTIF(tblKartlar[KartId],$B158)=0,"YETİM","")))</f>
        <v/>
      </c>
      <c r="T158" s="26">
        <f>IF(OR($A158="",$I158=""),"",IF(OR($I158&amp;"|"&amp;$J158="",COUNTIF(ListeIzinliGecis,$I158&amp;"|"&amp;$J158)&gt;0),"","GEÇERSİZ GEÇİŞ"))</f>
        <v/>
      </c>
      <c r="U158" s="26">
        <f>IF($A158="","",IF(OR($O158="",$K158=""),"",IF(ABS($K158-$O158)&gt;zincirTolerans,"ZİNCİR KIRIK","OK")))</f>
        <v/>
      </c>
      <c r="V158" s="26">
        <f>IF($A158="","",1)</f>
        <v/>
      </c>
      <c r="W158" s="26">
        <f>IF($A158="","",IF($J158="TAMAM",0,IF($L158="","",raporTarihi-$L158)))</f>
        <v/>
      </c>
    </row>
    <row r="159">
      <c r="A159" s="24" t="n"/>
      <c r="B159" s="24" t="n"/>
      <c r="C159" s="24" t="n"/>
      <c r="D159" s="25" t="n"/>
      <c r="E159" s="25" t="n"/>
      <c r="F159" s="25" t="n"/>
      <c r="G159" s="27" t="n"/>
      <c r="H159" s="25" t="n"/>
      <c r="I159" s="24" t="n"/>
      <c r="J159" s="24" t="n"/>
      <c r="K159" s="25" t="n"/>
      <c r="L159" s="28" t="n"/>
      <c r="M159" s="24" t="n"/>
      <c r="N159" s="24" t="n"/>
      <c r="O159" s="26">
        <f>IF($A159="","",$F159*$D159)</f>
        <v/>
      </c>
      <c r="P159" s="26">
        <f>IF($A159="","",MAX(0,$O159-$E159))</f>
        <v/>
      </c>
      <c r="Q159" s="26">
        <f>IF($A159="","",IF(OR($J159="TAMAM"),0,$P159))</f>
        <v/>
      </c>
      <c r="R159" s="26">
        <f>IF(OR($A159="",$J159="TAMAM"),"",IFERROR($H159/MAX(1,SUMIF(tblKartlar[KartId],$B159,tblKartlar[KapasiteSaat])),0))</f>
        <v/>
      </c>
      <c r="S159" s="26">
        <f>IF($A159="","",IF($B159="","YETİM",IF(COUNTIF(tblKartlar[KartId],$B159)=0,"YETİM","")))</f>
        <v/>
      </c>
      <c r="T159" s="26">
        <f>IF(OR($A159="",$I159=""),"",IF(OR($I159&amp;"|"&amp;$J159="",COUNTIF(ListeIzinliGecis,$I159&amp;"|"&amp;$J159)&gt;0),"","GEÇERSİZ GEÇİŞ"))</f>
        <v/>
      </c>
      <c r="U159" s="26">
        <f>IF($A159="","",IF(OR($O159="",$K159=""),"",IF(ABS($K159-$O159)&gt;zincirTolerans,"ZİNCİR KIRIK","OK")))</f>
        <v/>
      </c>
      <c r="V159" s="26">
        <f>IF($A159="","",1)</f>
        <v/>
      </c>
      <c r="W159" s="26">
        <f>IF($A159="","",IF($J159="TAMAM",0,IF($L159="","",raporTarihi-$L159)))</f>
        <v/>
      </c>
    </row>
    <row r="160">
      <c r="A160" s="24" t="n"/>
      <c r="B160" s="24" t="n"/>
      <c r="C160" s="24" t="n"/>
      <c r="D160" s="25" t="n"/>
      <c r="E160" s="25" t="n"/>
      <c r="F160" s="25" t="n"/>
      <c r="G160" s="27" t="n"/>
      <c r="H160" s="25" t="n"/>
      <c r="I160" s="24" t="n"/>
      <c r="J160" s="24" t="n"/>
      <c r="K160" s="25" t="n"/>
      <c r="L160" s="28" t="n"/>
      <c r="M160" s="24" t="n"/>
      <c r="N160" s="24" t="n"/>
      <c r="O160" s="26">
        <f>IF($A160="","",$F160*$D160)</f>
        <v/>
      </c>
      <c r="P160" s="26">
        <f>IF($A160="","",MAX(0,$O160-$E160))</f>
        <v/>
      </c>
      <c r="Q160" s="26">
        <f>IF($A160="","",IF(OR($J160="TAMAM"),0,$P160))</f>
        <v/>
      </c>
      <c r="R160" s="26">
        <f>IF(OR($A160="",$J160="TAMAM"),"",IFERROR($H160/MAX(1,SUMIF(tblKartlar[KartId],$B160,tblKartlar[KapasiteSaat])),0))</f>
        <v/>
      </c>
      <c r="S160" s="26">
        <f>IF($A160="","",IF($B160="","YETİM",IF(COUNTIF(tblKartlar[KartId],$B160)=0,"YETİM","")))</f>
        <v/>
      </c>
      <c r="T160" s="26">
        <f>IF(OR($A160="",$I160=""),"",IF(OR($I160&amp;"|"&amp;$J160="",COUNTIF(ListeIzinliGecis,$I160&amp;"|"&amp;$J160)&gt;0),"","GEÇERSİZ GEÇİŞ"))</f>
        <v/>
      </c>
      <c r="U160" s="26">
        <f>IF($A160="","",IF(OR($O160="",$K160=""),"",IF(ABS($K160-$O160)&gt;zincirTolerans,"ZİNCİR KIRIK","OK")))</f>
        <v/>
      </c>
      <c r="V160" s="26">
        <f>IF($A160="","",1)</f>
        <v/>
      </c>
      <c r="W160" s="26">
        <f>IF($A160="","",IF($J160="TAMAM",0,IF($L160="","",raporTarihi-$L160)))</f>
        <v/>
      </c>
    </row>
    <row r="161">
      <c r="A161" s="24" t="n"/>
      <c r="B161" s="24" t="n"/>
      <c r="C161" s="24" t="n"/>
      <c r="D161" s="25" t="n"/>
      <c r="E161" s="25" t="n"/>
      <c r="F161" s="25" t="n"/>
      <c r="G161" s="27" t="n"/>
      <c r="H161" s="25" t="n"/>
      <c r="I161" s="24" t="n"/>
      <c r="J161" s="24" t="n"/>
      <c r="K161" s="25" t="n"/>
      <c r="L161" s="28" t="n"/>
      <c r="M161" s="24" t="n"/>
      <c r="N161" s="24" t="n"/>
      <c r="O161" s="26">
        <f>IF($A161="","",$F161*$D161)</f>
        <v/>
      </c>
      <c r="P161" s="26">
        <f>IF($A161="","",MAX(0,$O161-$E161))</f>
        <v/>
      </c>
      <c r="Q161" s="26">
        <f>IF($A161="","",IF(OR($J161="TAMAM"),0,$P161))</f>
        <v/>
      </c>
      <c r="R161" s="26">
        <f>IF(OR($A161="",$J161="TAMAM"),"",IFERROR($H161/MAX(1,SUMIF(tblKartlar[KartId],$B161,tblKartlar[KapasiteSaat])),0))</f>
        <v/>
      </c>
      <c r="S161" s="26">
        <f>IF($A161="","",IF($B161="","YETİM",IF(COUNTIF(tblKartlar[KartId],$B161)=0,"YETİM","")))</f>
        <v/>
      </c>
      <c r="T161" s="26">
        <f>IF(OR($A161="",$I161=""),"",IF(OR($I161&amp;"|"&amp;$J161="",COUNTIF(ListeIzinliGecis,$I161&amp;"|"&amp;$J161)&gt;0),"","GEÇERSİZ GEÇİŞ"))</f>
        <v/>
      </c>
      <c r="U161" s="26">
        <f>IF($A161="","",IF(OR($O161="",$K161=""),"",IF(ABS($K161-$O161)&gt;zincirTolerans,"ZİNCİR KIRIK","OK")))</f>
        <v/>
      </c>
      <c r="V161" s="26">
        <f>IF($A161="","",1)</f>
        <v/>
      </c>
      <c r="W161" s="26">
        <f>IF($A161="","",IF($J161="TAMAM",0,IF($L161="","",raporTarihi-$L161)))</f>
        <v/>
      </c>
    </row>
    <row r="162">
      <c r="A162" s="24" t="n"/>
      <c r="B162" s="24" t="n"/>
      <c r="C162" s="24" t="n"/>
      <c r="D162" s="25" t="n"/>
      <c r="E162" s="25" t="n"/>
      <c r="F162" s="25" t="n"/>
      <c r="G162" s="27" t="n"/>
      <c r="H162" s="25" t="n"/>
      <c r="I162" s="24" t="n"/>
      <c r="J162" s="24" t="n"/>
      <c r="K162" s="25" t="n"/>
      <c r="L162" s="28" t="n"/>
      <c r="M162" s="24" t="n"/>
      <c r="N162" s="24" t="n"/>
      <c r="O162" s="26">
        <f>IF($A162="","",$F162*$D162)</f>
        <v/>
      </c>
      <c r="P162" s="26">
        <f>IF($A162="","",MAX(0,$O162-$E162))</f>
        <v/>
      </c>
      <c r="Q162" s="26">
        <f>IF($A162="","",IF(OR($J162="TAMAM"),0,$P162))</f>
        <v/>
      </c>
      <c r="R162" s="26">
        <f>IF(OR($A162="",$J162="TAMAM"),"",IFERROR($H162/MAX(1,SUMIF(tblKartlar[KartId],$B162,tblKartlar[KapasiteSaat])),0))</f>
        <v/>
      </c>
      <c r="S162" s="26">
        <f>IF($A162="","",IF($B162="","YETİM",IF(COUNTIF(tblKartlar[KartId],$B162)=0,"YETİM","")))</f>
        <v/>
      </c>
      <c r="T162" s="26">
        <f>IF(OR($A162="",$I162=""),"",IF(OR($I162&amp;"|"&amp;$J162="",COUNTIF(ListeIzinliGecis,$I162&amp;"|"&amp;$J162)&gt;0),"","GEÇERSİZ GEÇİŞ"))</f>
        <v/>
      </c>
      <c r="U162" s="26">
        <f>IF($A162="","",IF(OR($O162="",$K162=""),"",IF(ABS($K162-$O162)&gt;zincirTolerans,"ZİNCİR KIRIK","OK")))</f>
        <v/>
      </c>
      <c r="V162" s="26">
        <f>IF($A162="","",1)</f>
        <v/>
      </c>
      <c r="W162" s="26">
        <f>IF($A162="","",IF($J162="TAMAM",0,IF($L162="","",raporTarihi-$L162)))</f>
        <v/>
      </c>
    </row>
    <row r="163">
      <c r="A163" s="24" t="n"/>
      <c r="B163" s="24" t="n"/>
      <c r="C163" s="24" t="n"/>
      <c r="D163" s="25" t="n"/>
      <c r="E163" s="25" t="n"/>
      <c r="F163" s="25" t="n"/>
      <c r="G163" s="27" t="n"/>
      <c r="H163" s="25" t="n"/>
      <c r="I163" s="24" t="n"/>
      <c r="J163" s="24" t="n"/>
      <c r="K163" s="25" t="n"/>
      <c r="L163" s="28" t="n"/>
      <c r="M163" s="24" t="n"/>
      <c r="N163" s="24" t="n"/>
      <c r="O163" s="26">
        <f>IF($A163="","",$F163*$D163)</f>
        <v/>
      </c>
      <c r="P163" s="26">
        <f>IF($A163="","",MAX(0,$O163-$E163))</f>
        <v/>
      </c>
      <c r="Q163" s="26">
        <f>IF($A163="","",IF(OR($J163="TAMAM"),0,$P163))</f>
        <v/>
      </c>
      <c r="R163" s="26">
        <f>IF(OR($A163="",$J163="TAMAM"),"",IFERROR($H163/MAX(1,SUMIF(tblKartlar[KartId],$B163,tblKartlar[KapasiteSaat])),0))</f>
        <v/>
      </c>
      <c r="S163" s="26">
        <f>IF($A163="","",IF($B163="","YETİM",IF(COUNTIF(tblKartlar[KartId],$B163)=0,"YETİM","")))</f>
        <v/>
      </c>
      <c r="T163" s="26">
        <f>IF(OR($A163="",$I163=""),"",IF(OR($I163&amp;"|"&amp;$J163="",COUNTIF(ListeIzinliGecis,$I163&amp;"|"&amp;$J163)&gt;0),"","GEÇERSİZ GEÇİŞ"))</f>
        <v/>
      </c>
      <c r="U163" s="26">
        <f>IF($A163="","",IF(OR($O163="",$K163=""),"",IF(ABS($K163-$O163)&gt;zincirTolerans,"ZİNCİR KIRIK","OK")))</f>
        <v/>
      </c>
      <c r="V163" s="26">
        <f>IF($A163="","",1)</f>
        <v/>
      </c>
      <c r="W163" s="26">
        <f>IF($A163="","",IF($J163="TAMAM",0,IF($L163="","",raporTarihi-$L163)))</f>
        <v/>
      </c>
    </row>
    <row r="164">
      <c r="A164" s="24" t="n"/>
      <c r="B164" s="24" t="n"/>
      <c r="C164" s="24" t="n"/>
      <c r="D164" s="25" t="n"/>
      <c r="E164" s="25" t="n"/>
      <c r="F164" s="25" t="n"/>
      <c r="G164" s="27" t="n"/>
      <c r="H164" s="25" t="n"/>
      <c r="I164" s="24" t="n"/>
      <c r="J164" s="24" t="n"/>
      <c r="K164" s="25" t="n"/>
      <c r="L164" s="28" t="n"/>
      <c r="M164" s="24" t="n"/>
      <c r="N164" s="24" t="n"/>
      <c r="O164" s="26">
        <f>IF($A164="","",$F164*$D164)</f>
        <v/>
      </c>
      <c r="P164" s="26">
        <f>IF($A164="","",MAX(0,$O164-$E164))</f>
        <v/>
      </c>
      <c r="Q164" s="26">
        <f>IF($A164="","",IF(OR($J164="TAMAM"),0,$P164))</f>
        <v/>
      </c>
      <c r="R164" s="26">
        <f>IF(OR($A164="",$J164="TAMAM"),"",IFERROR($H164/MAX(1,SUMIF(tblKartlar[KartId],$B164,tblKartlar[KapasiteSaat])),0))</f>
        <v/>
      </c>
      <c r="S164" s="26">
        <f>IF($A164="","",IF($B164="","YETİM",IF(COUNTIF(tblKartlar[KartId],$B164)=0,"YETİM","")))</f>
        <v/>
      </c>
      <c r="T164" s="26">
        <f>IF(OR($A164="",$I164=""),"",IF(OR($I164&amp;"|"&amp;$J164="",COUNTIF(ListeIzinliGecis,$I164&amp;"|"&amp;$J164)&gt;0),"","GEÇERSİZ GEÇİŞ"))</f>
        <v/>
      </c>
      <c r="U164" s="26">
        <f>IF($A164="","",IF(OR($O164="",$K164=""),"",IF(ABS($K164-$O164)&gt;zincirTolerans,"ZİNCİR KIRIK","OK")))</f>
        <v/>
      </c>
      <c r="V164" s="26">
        <f>IF($A164="","",1)</f>
        <v/>
      </c>
      <c r="W164" s="26">
        <f>IF($A164="","",IF($J164="TAMAM",0,IF($L164="","",raporTarihi-$L164)))</f>
        <v/>
      </c>
    </row>
    <row r="165">
      <c r="A165" s="24" t="n"/>
      <c r="B165" s="24" t="n"/>
      <c r="C165" s="24" t="n"/>
      <c r="D165" s="25" t="n"/>
      <c r="E165" s="25" t="n"/>
      <c r="F165" s="25" t="n"/>
      <c r="G165" s="27" t="n"/>
      <c r="H165" s="25" t="n"/>
      <c r="I165" s="24" t="n"/>
      <c r="J165" s="24" t="n"/>
      <c r="K165" s="25" t="n"/>
      <c r="L165" s="28" t="n"/>
      <c r="M165" s="24" t="n"/>
      <c r="N165" s="24" t="n"/>
      <c r="O165" s="26">
        <f>IF($A165="","",$F165*$D165)</f>
        <v/>
      </c>
      <c r="P165" s="26">
        <f>IF($A165="","",MAX(0,$O165-$E165))</f>
        <v/>
      </c>
      <c r="Q165" s="26">
        <f>IF($A165="","",IF(OR($J165="TAMAM"),0,$P165))</f>
        <v/>
      </c>
      <c r="R165" s="26">
        <f>IF(OR($A165="",$J165="TAMAM"),"",IFERROR($H165/MAX(1,SUMIF(tblKartlar[KartId],$B165,tblKartlar[KapasiteSaat])),0))</f>
        <v/>
      </c>
      <c r="S165" s="26">
        <f>IF($A165="","",IF($B165="","YETİM",IF(COUNTIF(tblKartlar[KartId],$B165)=0,"YETİM","")))</f>
        <v/>
      </c>
      <c r="T165" s="26">
        <f>IF(OR($A165="",$I165=""),"",IF(OR($I165&amp;"|"&amp;$J165="",COUNTIF(ListeIzinliGecis,$I165&amp;"|"&amp;$J165)&gt;0),"","GEÇERSİZ GEÇİŞ"))</f>
        <v/>
      </c>
      <c r="U165" s="26">
        <f>IF($A165="","",IF(OR($O165="",$K165=""),"",IF(ABS($K165-$O165)&gt;zincirTolerans,"ZİNCİR KIRIK","OK")))</f>
        <v/>
      </c>
      <c r="V165" s="26">
        <f>IF($A165="","",1)</f>
        <v/>
      </c>
      <c r="W165" s="26">
        <f>IF($A165="","",IF($J165="TAMAM",0,IF($L165="","",raporTarihi-$L165)))</f>
        <v/>
      </c>
    </row>
    <row r="166">
      <c r="A166" s="24" t="n"/>
      <c r="B166" s="24" t="n"/>
      <c r="C166" s="24" t="n"/>
      <c r="D166" s="25" t="n"/>
      <c r="E166" s="25" t="n"/>
      <c r="F166" s="25" t="n"/>
      <c r="G166" s="27" t="n"/>
      <c r="H166" s="25" t="n"/>
      <c r="I166" s="24" t="n"/>
      <c r="J166" s="24" t="n"/>
      <c r="K166" s="25" t="n"/>
      <c r="L166" s="28" t="n"/>
      <c r="M166" s="24" t="n"/>
      <c r="N166" s="24" t="n"/>
      <c r="O166" s="26">
        <f>IF($A166="","",$F166*$D166)</f>
        <v/>
      </c>
      <c r="P166" s="26">
        <f>IF($A166="","",MAX(0,$O166-$E166))</f>
        <v/>
      </c>
      <c r="Q166" s="26">
        <f>IF($A166="","",IF(OR($J166="TAMAM"),0,$P166))</f>
        <v/>
      </c>
      <c r="R166" s="26">
        <f>IF(OR($A166="",$J166="TAMAM"),"",IFERROR($H166/MAX(1,SUMIF(tblKartlar[KartId],$B166,tblKartlar[KapasiteSaat])),0))</f>
        <v/>
      </c>
      <c r="S166" s="26">
        <f>IF($A166="","",IF($B166="","YETİM",IF(COUNTIF(tblKartlar[KartId],$B166)=0,"YETİM","")))</f>
        <v/>
      </c>
      <c r="T166" s="26">
        <f>IF(OR($A166="",$I166=""),"",IF(OR($I166&amp;"|"&amp;$J166="",COUNTIF(ListeIzinliGecis,$I166&amp;"|"&amp;$J166)&gt;0),"","GEÇERSİZ GEÇİŞ"))</f>
        <v/>
      </c>
      <c r="U166" s="26">
        <f>IF($A166="","",IF(OR($O166="",$K166=""),"",IF(ABS($K166-$O166)&gt;zincirTolerans,"ZİNCİR KIRIK","OK")))</f>
        <v/>
      </c>
      <c r="V166" s="26">
        <f>IF($A166="","",1)</f>
        <v/>
      </c>
      <c r="W166" s="26">
        <f>IF($A166="","",IF($J166="TAMAM",0,IF($L166="","",raporTarihi-$L166)))</f>
        <v/>
      </c>
    </row>
    <row r="167">
      <c r="A167" s="24" t="n"/>
      <c r="B167" s="24" t="n"/>
      <c r="C167" s="24" t="n"/>
      <c r="D167" s="25" t="n"/>
      <c r="E167" s="25" t="n"/>
      <c r="F167" s="25" t="n"/>
      <c r="G167" s="27" t="n"/>
      <c r="H167" s="25" t="n"/>
      <c r="I167" s="24" t="n"/>
      <c r="J167" s="24" t="n"/>
      <c r="K167" s="25" t="n"/>
      <c r="L167" s="28" t="n"/>
      <c r="M167" s="24" t="n"/>
      <c r="N167" s="24" t="n"/>
      <c r="O167" s="26">
        <f>IF($A167="","",$F167*$D167)</f>
        <v/>
      </c>
      <c r="P167" s="26">
        <f>IF($A167="","",MAX(0,$O167-$E167))</f>
        <v/>
      </c>
      <c r="Q167" s="26">
        <f>IF($A167="","",IF(OR($J167="TAMAM"),0,$P167))</f>
        <v/>
      </c>
      <c r="R167" s="26">
        <f>IF(OR($A167="",$J167="TAMAM"),"",IFERROR($H167/MAX(1,SUMIF(tblKartlar[KartId],$B167,tblKartlar[KapasiteSaat])),0))</f>
        <v/>
      </c>
      <c r="S167" s="26">
        <f>IF($A167="","",IF($B167="","YETİM",IF(COUNTIF(tblKartlar[KartId],$B167)=0,"YETİM","")))</f>
        <v/>
      </c>
      <c r="T167" s="26">
        <f>IF(OR($A167="",$I167=""),"",IF(OR($I167&amp;"|"&amp;$J167="",COUNTIF(ListeIzinliGecis,$I167&amp;"|"&amp;$J167)&gt;0),"","GEÇERSİZ GEÇİŞ"))</f>
        <v/>
      </c>
      <c r="U167" s="26">
        <f>IF($A167="","",IF(OR($O167="",$K167=""),"",IF(ABS($K167-$O167)&gt;zincirTolerans,"ZİNCİR KIRIK","OK")))</f>
        <v/>
      </c>
      <c r="V167" s="26">
        <f>IF($A167="","",1)</f>
        <v/>
      </c>
      <c r="W167" s="26">
        <f>IF($A167="","",IF($J167="TAMAM",0,IF($L167="","",raporTarihi-$L167)))</f>
        <v/>
      </c>
    </row>
    <row r="168">
      <c r="A168" s="24" t="n"/>
      <c r="B168" s="24" t="n"/>
      <c r="C168" s="24" t="n"/>
      <c r="D168" s="25" t="n"/>
      <c r="E168" s="25" t="n"/>
      <c r="F168" s="25" t="n"/>
      <c r="G168" s="27" t="n"/>
      <c r="H168" s="25" t="n"/>
      <c r="I168" s="24" t="n"/>
      <c r="J168" s="24" t="n"/>
      <c r="K168" s="25" t="n"/>
      <c r="L168" s="28" t="n"/>
      <c r="M168" s="24" t="n"/>
      <c r="N168" s="24" t="n"/>
      <c r="O168" s="26">
        <f>IF($A168="","",$F168*$D168)</f>
        <v/>
      </c>
      <c r="P168" s="26">
        <f>IF($A168="","",MAX(0,$O168-$E168))</f>
        <v/>
      </c>
      <c r="Q168" s="26">
        <f>IF($A168="","",IF(OR($J168="TAMAM"),0,$P168))</f>
        <v/>
      </c>
      <c r="R168" s="26">
        <f>IF(OR($A168="",$J168="TAMAM"),"",IFERROR($H168/MAX(1,SUMIF(tblKartlar[KartId],$B168,tblKartlar[KapasiteSaat])),0))</f>
        <v/>
      </c>
      <c r="S168" s="26">
        <f>IF($A168="","",IF($B168="","YETİM",IF(COUNTIF(tblKartlar[KartId],$B168)=0,"YETİM","")))</f>
        <v/>
      </c>
      <c r="T168" s="26">
        <f>IF(OR($A168="",$I168=""),"",IF(OR($I168&amp;"|"&amp;$J168="",COUNTIF(ListeIzinliGecis,$I168&amp;"|"&amp;$J168)&gt;0),"","GEÇERSİZ GEÇİŞ"))</f>
        <v/>
      </c>
      <c r="U168" s="26">
        <f>IF($A168="","",IF(OR($O168="",$K168=""),"",IF(ABS($K168-$O168)&gt;zincirTolerans,"ZİNCİR KIRIK","OK")))</f>
        <v/>
      </c>
      <c r="V168" s="26">
        <f>IF($A168="","",1)</f>
        <v/>
      </c>
      <c r="W168" s="26">
        <f>IF($A168="","",IF($J168="TAMAM",0,IF($L168="","",raporTarihi-$L168)))</f>
        <v/>
      </c>
    </row>
    <row r="169">
      <c r="A169" s="24" t="n"/>
      <c r="B169" s="24" t="n"/>
      <c r="C169" s="24" t="n"/>
      <c r="D169" s="25" t="n"/>
      <c r="E169" s="25" t="n"/>
      <c r="F169" s="25" t="n"/>
      <c r="G169" s="27" t="n"/>
      <c r="H169" s="25" t="n"/>
      <c r="I169" s="24" t="n"/>
      <c r="J169" s="24" t="n"/>
      <c r="K169" s="25" t="n"/>
      <c r="L169" s="28" t="n"/>
      <c r="M169" s="24" t="n"/>
      <c r="N169" s="24" t="n"/>
      <c r="O169" s="26">
        <f>IF($A169="","",$F169*$D169)</f>
        <v/>
      </c>
      <c r="P169" s="26">
        <f>IF($A169="","",MAX(0,$O169-$E169))</f>
        <v/>
      </c>
      <c r="Q169" s="26">
        <f>IF($A169="","",IF(OR($J169="TAMAM"),0,$P169))</f>
        <v/>
      </c>
      <c r="R169" s="26">
        <f>IF(OR($A169="",$J169="TAMAM"),"",IFERROR($H169/MAX(1,SUMIF(tblKartlar[KartId],$B169,tblKartlar[KapasiteSaat])),0))</f>
        <v/>
      </c>
      <c r="S169" s="26">
        <f>IF($A169="","",IF($B169="","YETİM",IF(COUNTIF(tblKartlar[KartId],$B169)=0,"YETİM","")))</f>
        <v/>
      </c>
      <c r="T169" s="26">
        <f>IF(OR($A169="",$I169=""),"",IF(OR($I169&amp;"|"&amp;$J169="",COUNTIF(ListeIzinliGecis,$I169&amp;"|"&amp;$J169)&gt;0),"","GEÇERSİZ GEÇİŞ"))</f>
        <v/>
      </c>
      <c r="U169" s="26">
        <f>IF($A169="","",IF(OR($O169="",$K169=""),"",IF(ABS($K169-$O169)&gt;zincirTolerans,"ZİNCİR KIRIK","OK")))</f>
        <v/>
      </c>
      <c r="V169" s="26">
        <f>IF($A169="","",1)</f>
        <v/>
      </c>
      <c r="W169" s="26">
        <f>IF($A169="","",IF($J169="TAMAM",0,IF($L169="","",raporTarihi-$L169)))</f>
        <v/>
      </c>
    </row>
    <row r="170">
      <c r="A170" s="24" t="n"/>
      <c r="B170" s="24" t="n"/>
      <c r="C170" s="24" t="n"/>
      <c r="D170" s="25" t="n"/>
      <c r="E170" s="25" t="n"/>
      <c r="F170" s="25" t="n"/>
      <c r="G170" s="27" t="n"/>
      <c r="H170" s="25" t="n"/>
      <c r="I170" s="24" t="n"/>
      <c r="J170" s="24" t="n"/>
      <c r="K170" s="25" t="n"/>
      <c r="L170" s="28" t="n"/>
      <c r="M170" s="24" t="n"/>
      <c r="N170" s="24" t="n"/>
      <c r="O170" s="26">
        <f>IF($A170="","",$F170*$D170)</f>
        <v/>
      </c>
      <c r="P170" s="26">
        <f>IF($A170="","",MAX(0,$O170-$E170))</f>
        <v/>
      </c>
      <c r="Q170" s="26">
        <f>IF($A170="","",IF(OR($J170="TAMAM"),0,$P170))</f>
        <v/>
      </c>
      <c r="R170" s="26">
        <f>IF(OR($A170="",$J170="TAMAM"),"",IFERROR($H170/MAX(1,SUMIF(tblKartlar[KartId],$B170,tblKartlar[KapasiteSaat])),0))</f>
        <v/>
      </c>
      <c r="S170" s="26">
        <f>IF($A170="","",IF($B170="","YETİM",IF(COUNTIF(tblKartlar[KartId],$B170)=0,"YETİM","")))</f>
        <v/>
      </c>
      <c r="T170" s="26">
        <f>IF(OR($A170="",$I170=""),"",IF(OR($I170&amp;"|"&amp;$J170="",COUNTIF(ListeIzinliGecis,$I170&amp;"|"&amp;$J170)&gt;0),"","GEÇERSİZ GEÇİŞ"))</f>
        <v/>
      </c>
      <c r="U170" s="26">
        <f>IF($A170="","",IF(OR($O170="",$K170=""),"",IF(ABS($K170-$O170)&gt;zincirTolerans,"ZİNCİR KIRIK","OK")))</f>
        <v/>
      </c>
      <c r="V170" s="26">
        <f>IF($A170="","",1)</f>
        <v/>
      </c>
      <c r="W170" s="26">
        <f>IF($A170="","",IF($J170="TAMAM",0,IF($L170="","",raporTarihi-$L170)))</f>
        <v/>
      </c>
    </row>
    <row r="171">
      <c r="A171" s="24" t="n"/>
      <c r="B171" s="24" t="n"/>
      <c r="C171" s="24" t="n"/>
      <c r="D171" s="25" t="n"/>
      <c r="E171" s="25" t="n"/>
      <c r="F171" s="25" t="n"/>
      <c r="G171" s="27" t="n"/>
      <c r="H171" s="25" t="n"/>
      <c r="I171" s="24" t="n"/>
      <c r="J171" s="24" t="n"/>
      <c r="K171" s="25" t="n"/>
      <c r="L171" s="28" t="n"/>
      <c r="M171" s="24" t="n"/>
      <c r="N171" s="24" t="n"/>
      <c r="O171" s="26">
        <f>IF($A171="","",$F171*$D171)</f>
        <v/>
      </c>
      <c r="P171" s="26">
        <f>IF($A171="","",MAX(0,$O171-$E171))</f>
        <v/>
      </c>
      <c r="Q171" s="26">
        <f>IF($A171="","",IF(OR($J171="TAMAM"),0,$P171))</f>
        <v/>
      </c>
      <c r="R171" s="26">
        <f>IF(OR($A171="",$J171="TAMAM"),"",IFERROR($H171/MAX(1,SUMIF(tblKartlar[KartId],$B171,tblKartlar[KapasiteSaat])),0))</f>
        <v/>
      </c>
      <c r="S171" s="26">
        <f>IF($A171="","",IF($B171="","YETİM",IF(COUNTIF(tblKartlar[KartId],$B171)=0,"YETİM","")))</f>
        <v/>
      </c>
      <c r="T171" s="26">
        <f>IF(OR($A171="",$I171=""),"",IF(OR($I171&amp;"|"&amp;$J171="",COUNTIF(ListeIzinliGecis,$I171&amp;"|"&amp;$J171)&gt;0),"","GEÇERSİZ GEÇİŞ"))</f>
        <v/>
      </c>
      <c r="U171" s="26">
        <f>IF($A171="","",IF(OR($O171="",$K171=""),"",IF(ABS($K171-$O171)&gt;zincirTolerans,"ZİNCİR KIRIK","OK")))</f>
        <v/>
      </c>
      <c r="V171" s="26">
        <f>IF($A171="","",1)</f>
        <v/>
      </c>
      <c r="W171" s="26">
        <f>IF($A171="","",IF($J171="TAMAM",0,IF($L171="","",raporTarihi-$L171)))</f>
        <v/>
      </c>
    </row>
    <row r="172">
      <c r="A172" s="24" t="n"/>
      <c r="B172" s="24" t="n"/>
      <c r="C172" s="24" t="n"/>
      <c r="D172" s="25" t="n"/>
      <c r="E172" s="25" t="n"/>
      <c r="F172" s="25" t="n"/>
      <c r="G172" s="27" t="n"/>
      <c r="H172" s="25" t="n"/>
      <c r="I172" s="24" t="n"/>
      <c r="J172" s="24" t="n"/>
      <c r="K172" s="25" t="n"/>
      <c r="L172" s="28" t="n"/>
      <c r="M172" s="24" t="n"/>
      <c r="N172" s="24" t="n"/>
      <c r="O172" s="26">
        <f>IF($A172="","",$F172*$D172)</f>
        <v/>
      </c>
      <c r="P172" s="26">
        <f>IF($A172="","",MAX(0,$O172-$E172))</f>
        <v/>
      </c>
      <c r="Q172" s="26">
        <f>IF($A172="","",IF(OR($J172="TAMAM"),0,$P172))</f>
        <v/>
      </c>
      <c r="R172" s="26">
        <f>IF(OR($A172="",$J172="TAMAM"),"",IFERROR($H172/MAX(1,SUMIF(tblKartlar[KartId],$B172,tblKartlar[KapasiteSaat])),0))</f>
        <v/>
      </c>
      <c r="S172" s="26">
        <f>IF($A172="","",IF($B172="","YETİM",IF(COUNTIF(tblKartlar[KartId],$B172)=0,"YETİM","")))</f>
        <v/>
      </c>
      <c r="T172" s="26">
        <f>IF(OR($A172="",$I172=""),"",IF(OR($I172&amp;"|"&amp;$J172="",COUNTIF(ListeIzinliGecis,$I172&amp;"|"&amp;$J172)&gt;0),"","GEÇERSİZ GEÇİŞ"))</f>
        <v/>
      </c>
      <c r="U172" s="26">
        <f>IF($A172="","",IF(OR($O172="",$K172=""),"",IF(ABS($K172-$O172)&gt;zincirTolerans,"ZİNCİR KIRIK","OK")))</f>
        <v/>
      </c>
      <c r="V172" s="26">
        <f>IF($A172="","",1)</f>
        <v/>
      </c>
      <c r="W172" s="26">
        <f>IF($A172="","",IF($J172="TAMAM",0,IF($L172="","",raporTarihi-$L172)))</f>
        <v/>
      </c>
    </row>
    <row r="173">
      <c r="A173" s="24" t="n"/>
      <c r="B173" s="24" t="n"/>
      <c r="C173" s="24" t="n"/>
      <c r="D173" s="25" t="n"/>
      <c r="E173" s="25" t="n"/>
      <c r="F173" s="25" t="n"/>
      <c r="G173" s="27" t="n"/>
      <c r="H173" s="25" t="n"/>
      <c r="I173" s="24" t="n"/>
      <c r="J173" s="24" t="n"/>
      <c r="K173" s="25" t="n"/>
      <c r="L173" s="28" t="n"/>
      <c r="M173" s="24" t="n"/>
      <c r="N173" s="24" t="n"/>
      <c r="O173" s="26">
        <f>IF($A173="","",$F173*$D173)</f>
        <v/>
      </c>
      <c r="P173" s="26">
        <f>IF($A173="","",MAX(0,$O173-$E173))</f>
        <v/>
      </c>
      <c r="Q173" s="26">
        <f>IF($A173="","",IF(OR($J173="TAMAM"),0,$P173))</f>
        <v/>
      </c>
      <c r="R173" s="26">
        <f>IF(OR($A173="",$J173="TAMAM"),"",IFERROR($H173/MAX(1,SUMIF(tblKartlar[KartId],$B173,tblKartlar[KapasiteSaat])),0))</f>
        <v/>
      </c>
      <c r="S173" s="26">
        <f>IF($A173="","",IF($B173="","YETİM",IF(COUNTIF(tblKartlar[KartId],$B173)=0,"YETİM","")))</f>
        <v/>
      </c>
      <c r="T173" s="26">
        <f>IF(OR($A173="",$I173=""),"",IF(OR($I173&amp;"|"&amp;$J173="",COUNTIF(ListeIzinliGecis,$I173&amp;"|"&amp;$J173)&gt;0),"","GEÇERSİZ GEÇİŞ"))</f>
        <v/>
      </c>
      <c r="U173" s="26">
        <f>IF($A173="","",IF(OR($O173="",$K173=""),"",IF(ABS($K173-$O173)&gt;zincirTolerans,"ZİNCİR KIRIK","OK")))</f>
        <v/>
      </c>
      <c r="V173" s="26">
        <f>IF($A173="","",1)</f>
        <v/>
      </c>
      <c r="W173" s="26">
        <f>IF($A173="","",IF($J173="TAMAM",0,IF($L173="","",raporTarihi-$L173)))</f>
        <v/>
      </c>
    </row>
    <row r="174">
      <c r="A174" s="24" t="n"/>
      <c r="B174" s="24" t="n"/>
      <c r="C174" s="24" t="n"/>
      <c r="D174" s="25" t="n"/>
      <c r="E174" s="25" t="n"/>
      <c r="F174" s="25" t="n"/>
      <c r="G174" s="27" t="n"/>
      <c r="H174" s="25" t="n"/>
      <c r="I174" s="24" t="n"/>
      <c r="J174" s="24" t="n"/>
      <c r="K174" s="25" t="n"/>
      <c r="L174" s="28" t="n"/>
      <c r="M174" s="24" t="n"/>
      <c r="N174" s="24" t="n"/>
      <c r="O174" s="26">
        <f>IF($A174="","",$F174*$D174)</f>
        <v/>
      </c>
      <c r="P174" s="26">
        <f>IF($A174="","",MAX(0,$O174-$E174))</f>
        <v/>
      </c>
      <c r="Q174" s="26">
        <f>IF($A174="","",IF(OR($J174="TAMAM"),0,$P174))</f>
        <v/>
      </c>
      <c r="R174" s="26">
        <f>IF(OR($A174="",$J174="TAMAM"),"",IFERROR($H174/MAX(1,SUMIF(tblKartlar[KartId],$B174,tblKartlar[KapasiteSaat])),0))</f>
        <v/>
      </c>
      <c r="S174" s="26">
        <f>IF($A174="","",IF($B174="","YETİM",IF(COUNTIF(tblKartlar[KartId],$B174)=0,"YETİM","")))</f>
        <v/>
      </c>
      <c r="T174" s="26">
        <f>IF(OR($A174="",$I174=""),"",IF(OR($I174&amp;"|"&amp;$J174="",COUNTIF(ListeIzinliGecis,$I174&amp;"|"&amp;$J174)&gt;0),"","GEÇERSİZ GEÇİŞ"))</f>
        <v/>
      </c>
      <c r="U174" s="26">
        <f>IF($A174="","",IF(OR($O174="",$K174=""),"",IF(ABS($K174-$O174)&gt;zincirTolerans,"ZİNCİR KIRIK","OK")))</f>
        <v/>
      </c>
      <c r="V174" s="26">
        <f>IF($A174="","",1)</f>
        <v/>
      </c>
      <c r="W174" s="26">
        <f>IF($A174="","",IF($J174="TAMAM",0,IF($L174="","",raporTarihi-$L174)))</f>
        <v/>
      </c>
    </row>
    <row r="175">
      <c r="A175" s="24" t="n"/>
      <c r="B175" s="24" t="n"/>
      <c r="C175" s="24" t="n"/>
      <c r="D175" s="25" t="n"/>
      <c r="E175" s="25" t="n"/>
      <c r="F175" s="25" t="n"/>
      <c r="G175" s="27" t="n"/>
      <c r="H175" s="25" t="n"/>
      <c r="I175" s="24" t="n"/>
      <c r="J175" s="24" t="n"/>
      <c r="K175" s="25" t="n"/>
      <c r="L175" s="28" t="n"/>
      <c r="M175" s="24" t="n"/>
      <c r="N175" s="24" t="n"/>
      <c r="O175" s="26">
        <f>IF($A175="","",$F175*$D175)</f>
        <v/>
      </c>
      <c r="P175" s="26">
        <f>IF($A175="","",MAX(0,$O175-$E175))</f>
        <v/>
      </c>
      <c r="Q175" s="26">
        <f>IF($A175="","",IF(OR($J175="TAMAM"),0,$P175))</f>
        <v/>
      </c>
      <c r="R175" s="26">
        <f>IF(OR($A175="",$J175="TAMAM"),"",IFERROR($H175/MAX(1,SUMIF(tblKartlar[KartId],$B175,tblKartlar[KapasiteSaat])),0))</f>
        <v/>
      </c>
      <c r="S175" s="26">
        <f>IF($A175="","",IF($B175="","YETİM",IF(COUNTIF(tblKartlar[KartId],$B175)=0,"YETİM","")))</f>
        <v/>
      </c>
      <c r="T175" s="26">
        <f>IF(OR($A175="",$I175=""),"",IF(OR($I175&amp;"|"&amp;$J175="",COUNTIF(ListeIzinliGecis,$I175&amp;"|"&amp;$J175)&gt;0),"","GEÇERSİZ GEÇİŞ"))</f>
        <v/>
      </c>
      <c r="U175" s="26">
        <f>IF($A175="","",IF(OR($O175="",$K175=""),"",IF(ABS($K175-$O175)&gt;zincirTolerans,"ZİNCİR KIRIK","OK")))</f>
        <v/>
      </c>
      <c r="V175" s="26">
        <f>IF($A175="","",1)</f>
        <v/>
      </c>
      <c r="W175" s="26">
        <f>IF($A175="","",IF($J175="TAMAM",0,IF($L175="","",raporTarihi-$L175)))</f>
        <v/>
      </c>
    </row>
    <row r="176">
      <c r="A176" s="24" t="n"/>
      <c r="B176" s="24" t="n"/>
      <c r="C176" s="24" t="n"/>
      <c r="D176" s="25" t="n"/>
      <c r="E176" s="25" t="n"/>
      <c r="F176" s="25" t="n"/>
      <c r="G176" s="27" t="n"/>
      <c r="H176" s="25" t="n"/>
      <c r="I176" s="24" t="n"/>
      <c r="J176" s="24" t="n"/>
      <c r="K176" s="25" t="n"/>
      <c r="L176" s="28" t="n"/>
      <c r="M176" s="24" t="n"/>
      <c r="N176" s="24" t="n"/>
      <c r="O176" s="26">
        <f>IF($A176="","",$F176*$D176)</f>
        <v/>
      </c>
      <c r="P176" s="26">
        <f>IF($A176="","",MAX(0,$O176-$E176))</f>
        <v/>
      </c>
      <c r="Q176" s="26">
        <f>IF($A176="","",IF(OR($J176="TAMAM"),0,$P176))</f>
        <v/>
      </c>
      <c r="R176" s="26">
        <f>IF(OR($A176="",$J176="TAMAM"),"",IFERROR($H176/MAX(1,SUMIF(tblKartlar[KartId],$B176,tblKartlar[KapasiteSaat])),0))</f>
        <v/>
      </c>
      <c r="S176" s="26">
        <f>IF($A176="","",IF($B176="","YETİM",IF(COUNTIF(tblKartlar[KartId],$B176)=0,"YETİM","")))</f>
        <v/>
      </c>
      <c r="T176" s="26">
        <f>IF(OR($A176="",$I176=""),"",IF(OR($I176&amp;"|"&amp;$J176="",COUNTIF(ListeIzinliGecis,$I176&amp;"|"&amp;$J176)&gt;0),"","GEÇERSİZ GEÇİŞ"))</f>
        <v/>
      </c>
      <c r="U176" s="26">
        <f>IF($A176="","",IF(OR($O176="",$K176=""),"",IF(ABS($K176-$O176)&gt;zincirTolerans,"ZİNCİR KIRIK","OK")))</f>
        <v/>
      </c>
      <c r="V176" s="26">
        <f>IF($A176="","",1)</f>
        <v/>
      </c>
      <c r="W176" s="26">
        <f>IF($A176="","",IF($J176="TAMAM",0,IF($L176="","",raporTarihi-$L176)))</f>
        <v/>
      </c>
    </row>
    <row r="177">
      <c r="A177" s="24" t="n"/>
      <c r="B177" s="24" t="n"/>
      <c r="C177" s="24" t="n"/>
      <c r="D177" s="25" t="n"/>
      <c r="E177" s="25" t="n"/>
      <c r="F177" s="25" t="n"/>
      <c r="G177" s="27" t="n"/>
      <c r="H177" s="25" t="n"/>
      <c r="I177" s="24" t="n"/>
      <c r="J177" s="24" t="n"/>
      <c r="K177" s="25" t="n"/>
      <c r="L177" s="28" t="n"/>
      <c r="M177" s="24" t="n"/>
      <c r="N177" s="24" t="n"/>
      <c r="O177" s="26">
        <f>IF($A177="","",$F177*$D177)</f>
        <v/>
      </c>
      <c r="P177" s="26">
        <f>IF($A177="","",MAX(0,$O177-$E177))</f>
        <v/>
      </c>
      <c r="Q177" s="26">
        <f>IF($A177="","",IF(OR($J177="TAMAM"),0,$P177))</f>
        <v/>
      </c>
      <c r="R177" s="26">
        <f>IF(OR($A177="",$J177="TAMAM"),"",IFERROR($H177/MAX(1,SUMIF(tblKartlar[KartId],$B177,tblKartlar[KapasiteSaat])),0))</f>
        <v/>
      </c>
      <c r="S177" s="26">
        <f>IF($A177="","",IF($B177="","YETİM",IF(COUNTIF(tblKartlar[KartId],$B177)=0,"YETİM","")))</f>
        <v/>
      </c>
      <c r="T177" s="26">
        <f>IF(OR($A177="",$I177=""),"",IF(OR($I177&amp;"|"&amp;$J177="",COUNTIF(ListeIzinliGecis,$I177&amp;"|"&amp;$J177)&gt;0),"","GEÇERSİZ GEÇİŞ"))</f>
        <v/>
      </c>
      <c r="U177" s="26">
        <f>IF($A177="","",IF(OR($O177="",$K177=""),"",IF(ABS($K177-$O177)&gt;zincirTolerans,"ZİNCİR KIRIK","OK")))</f>
        <v/>
      </c>
      <c r="V177" s="26">
        <f>IF($A177="","",1)</f>
        <v/>
      </c>
      <c r="W177" s="26">
        <f>IF($A177="","",IF($J177="TAMAM",0,IF($L177="","",raporTarihi-$L177)))</f>
        <v/>
      </c>
    </row>
    <row r="178">
      <c r="A178" s="24" t="n"/>
      <c r="B178" s="24" t="n"/>
      <c r="C178" s="24" t="n"/>
      <c r="D178" s="25" t="n"/>
      <c r="E178" s="25" t="n"/>
      <c r="F178" s="25" t="n"/>
      <c r="G178" s="27" t="n"/>
      <c r="H178" s="25" t="n"/>
      <c r="I178" s="24" t="n"/>
      <c r="J178" s="24" t="n"/>
      <c r="K178" s="25" t="n"/>
      <c r="L178" s="28" t="n"/>
      <c r="M178" s="24" t="n"/>
      <c r="N178" s="24" t="n"/>
      <c r="O178" s="26">
        <f>IF($A178="","",$F178*$D178)</f>
        <v/>
      </c>
      <c r="P178" s="26">
        <f>IF($A178="","",MAX(0,$O178-$E178))</f>
        <v/>
      </c>
      <c r="Q178" s="26">
        <f>IF($A178="","",IF(OR($J178="TAMAM"),0,$P178))</f>
        <v/>
      </c>
      <c r="R178" s="26">
        <f>IF(OR($A178="",$J178="TAMAM"),"",IFERROR($H178/MAX(1,SUMIF(tblKartlar[KartId],$B178,tblKartlar[KapasiteSaat])),0))</f>
        <v/>
      </c>
      <c r="S178" s="26">
        <f>IF($A178="","",IF($B178="","YETİM",IF(COUNTIF(tblKartlar[KartId],$B178)=0,"YETİM","")))</f>
        <v/>
      </c>
      <c r="T178" s="26">
        <f>IF(OR($A178="",$I178=""),"",IF(OR($I178&amp;"|"&amp;$J178="",COUNTIF(ListeIzinliGecis,$I178&amp;"|"&amp;$J178)&gt;0),"","GEÇERSİZ GEÇİŞ"))</f>
        <v/>
      </c>
      <c r="U178" s="26">
        <f>IF($A178="","",IF(OR($O178="",$K178=""),"",IF(ABS($K178-$O178)&gt;zincirTolerans,"ZİNCİR KIRIK","OK")))</f>
        <v/>
      </c>
      <c r="V178" s="26">
        <f>IF($A178="","",1)</f>
        <v/>
      </c>
      <c r="W178" s="26">
        <f>IF($A178="","",IF($J178="TAMAM",0,IF($L178="","",raporTarihi-$L178)))</f>
        <v/>
      </c>
    </row>
    <row r="179">
      <c r="A179" s="24" t="n"/>
      <c r="B179" s="24" t="n"/>
      <c r="C179" s="24" t="n"/>
      <c r="D179" s="25" t="n"/>
      <c r="E179" s="25" t="n"/>
      <c r="F179" s="25" t="n"/>
      <c r="G179" s="27" t="n"/>
      <c r="H179" s="25" t="n"/>
      <c r="I179" s="24" t="n"/>
      <c r="J179" s="24" t="n"/>
      <c r="K179" s="25" t="n"/>
      <c r="L179" s="28" t="n"/>
      <c r="M179" s="24" t="n"/>
      <c r="N179" s="24" t="n"/>
      <c r="O179" s="26">
        <f>IF($A179="","",$F179*$D179)</f>
        <v/>
      </c>
      <c r="P179" s="26">
        <f>IF($A179="","",MAX(0,$O179-$E179))</f>
        <v/>
      </c>
      <c r="Q179" s="26">
        <f>IF($A179="","",IF(OR($J179="TAMAM"),0,$P179))</f>
        <v/>
      </c>
      <c r="R179" s="26">
        <f>IF(OR($A179="",$J179="TAMAM"),"",IFERROR($H179/MAX(1,SUMIF(tblKartlar[KartId],$B179,tblKartlar[KapasiteSaat])),0))</f>
        <v/>
      </c>
      <c r="S179" s="26">
        <f>IF($A179="","",IF($B179="","YETİM",IF(COUNTIF(tblKartlar[KartId],$B179)=0,"YETİM","")))</f>
        <v/>
      </c>
      <c r="T179" s="26">
        <f>IF(OR($A179="",$I179=""),"",IF(OR($I179&amp;"|"&amp;$J179="",COUNTIF(ListeIzinliGecis,$I179&amp;"|"&amp;$J179)&gt;0),"","GEÇERSİZ GEÇİŞ"))</f>
        <v/>
      </c>
      <c r="U179" s="26">
        <f>IF($A179="","",IF(OR($O179="",$K179=""),"",IF(ABS($K179-$O179)&gt;zincirTolerans,"ZİNCİR KIRIK","OK")))</f>
        <v/>
      </c>
      <c r="V179" s="26">
        <f>IF($A179="","",1)</f>
        <v/>
      </c>
      <c r="W179" s="26">
        <f>IF($A179="","",IF($J179="TAMAM",0,IF($L179="","",raporTarihi-$L179)))</f>
        <v/>
      </c>
    </row>
    <row r="180">
      <c r="A180" s="24" t="n"/>
      <c r="B180" s="24" t="n"/>
      <c r="C180" s="24" t="n"/>
      <c r="D180" s="25" t="n"/>
      <c r="E180" s="25" t="n"/>
      <c r="F180" s="25" t="n"/>
      <c r="G180" s="27" t="n"/>
      <c r="H180" s="25" t="n"/>
      <c r="I180" s="24" t="n"/>
      <c r="J180" s="24" t="n"/>
      <c r="K180" s="25" t="n"/>
      <c r="L180" s="28" t="n"/>
      <c r="M180" s="24" t="n"/>
      <c r="N180" s="24" t="n"/>
      <c r="O180" s="26">
        <f>IF($A180="","",$F180*$D180)</f>
        <v/>
      </c>
      <c r="P180" s="26">
        <f>IF($A180="","",MAX(0,$O180-$E180))</f>
        <v/>
      </c>
      <c r="Q180" s="26">
        <f>IF($A180="","",IF(OR($J180="TAMAM"),0,$P180))</f>
        <v/>
      </c>
      <c r="R180" s="26">
        <f>IF(OR($A180="",$J180="TAMAM"),"",IFERROR($H180/MAX(1,SUMIF(tblKartlar[KartId],$B180,tblKartlar[KapasiteSaat])),0))</f>
        <v/>
      </c>
      <c r="S180" s="26">
        <f>IF($A180="","",IF($B180="","YETİM",IF(COUNTIF(tblKartlar[KartId],$B180)=0,"YETİM","")))</f>
        <v/>
      </c>
      <c r="T180" s="26">
        <f>IF(OR($A180="",$I180=""),"",IF(OR($I180&amp;"|"&amp;$J180="",COUNTIF(ListeIzinliGecis,$I180&amp;"|"&amp;$J180)&gt;0),"","GEÇERSİZ GEÇİŞ"))</f>
        <v/>
      </c>
      <c r="U180" s="26">
        <f>IF($A180="","",IF(OR($O180="",$K180=""),"",IF(ABS($K180-$O180)&gt;zincirTolerans,"ZİNCİR KIRIK","OK")))</f>
        <v/>
      </c>
      <c r="V180" s="26">
        <f>IF($A180="","",1)</f>
        <v/>
      </c>
      <c r="W180" s="26">
        <f>IF($A180="","",IF($J180="TAMAM",0,IF($L180="","",raporTarihi-$L180)))</f>
        <v/>
      </c>
    </row>
    <row r="181">
      <c r="A181" s="24" t="n"/>
      <c r="B181" s="24" t="n"/>
      <c r="C181" s="24" t="n"/>
      <c r="D181" s="25" t="n"/>
      <c r="E181" s="25" t="n"/>
      <c r="F181" s="25" t="n"/>
      <c r="G181" s="27" t="n"/>
      <c r="H181" s="25" t="n"/>
      <c r="I181" s="24" t="n"/>
      <c r="J181" s="24" t="n"/>
      <c r="K181" s="25" t="n"/>
      <c r="L181" s="28" t="n"/>
      <c r="M181" s="24" t="n"/>
      <c r="N181" s="24" t="n"/>
      <c r="O181" s="26">
        <f>IF($A181="","",$F181*$D181)</f>
        <v/>
      </c>
      <c r="P181" s="26">
        <f>IF($A181="","",MAX(0,$O181-$E181))</f>
        <v/>
      </c>
      <c r="Q181" s="26">
        <f>IF($A181="","",IF(OR($J181="TAMAM"),0,$P181))</f>
        <v/>
      </c>
      <c r="R181" s="26">
        <f>IF(OR($A181="",$J181="TAMAM"),"",IFERROR($H181/MAX(1,SUMIF(tblKartlar[KartId],$B181,tblKartlar[KapasiteSaat])),0))</f>
        <v/>
      </c>
      <c r="S181" s="26">
        <f>IF($A181="","",IF($B181="","YETİM",IF(COUNTIF(tblKartlar[KartId],$B181)=0,"YETİM","")))</f>
        <v/>
      </c>
      <c r="T181" s="26">
        <f>IF(OR($A181="",$I181=""),"",IF(OR($I181&amp;"|"&amp;$J181="",COUNTIF(ListeIzinliGecis,$I181&amp;"|"&amp;$J181)&gt;0),"","GEÇERSİZ GEÇİŞ"))</f>
        <v/>
      </c>
      <c r="U181" s="26">
        <f>IF($A181="","",IF(OR($O181="",$K181=""),"",IF(ABS($K181-$O181)&gt;zincirTolerans,"ZİNCİR KIRIK","OK")))</f>
        <v/>
      </c>
      <c r="V181" s="26">
        <f>IF($A181="","",1)</f>
        <v/>
      </c>
      <c r="W181" s="26">
        <f>IF($A181="","",IF($J181="TAMAM",0,IF($L181="","",raporTarihi-$L181)))</f>
        <v/>
      </c>
    </row>
    <row r="182">
      <c r="A182" s="24" t="n"/>
      <c r="B182" s="24" t="n"/>
      <c r="C182" s="24" t="n"/>
      <c r="D182" s="25" t="n"/>
      <c r="E182" s="25" t="n"/>
      <c r="F182" s="25" t="n"/>
      <c r="G182" s="27" t="n"/>
      <c r="H182" s="25" t="n"/>
      <c r="I182" s="24" t="n"/>
      <c r="J182" s="24" t="n"/>
      <c r="K182" s="25" t="n"/>
      <c r="L182" s="28" t="n"/>
      <c r="M182" s="24" t="n"/>
      <c r="N182" s="24" t="n"/>
      <c r="O182" s="26">
        <f>IF($A182="","",$F182*$D182)</f>
        <v/>
      </c>
      <c r="P182" s="26">
        <f>IF($A182="","",MAX(0,$O182-$E182))</f>
        <v/>
      </c>
      <c r="Q182" s="26">
        <f>IF($A182="","",IF(OR($J182="TAMAM"),0,$P182))</f>
        <v/>
      </c>
      <c r="R182" s="26">
        <f>IF(OR($A182="",$J182="TAMAM"),"",IFERROR($H182/MAX(1,SUMIF(tblKartlar[KartId],$B182,tblKartlar[KapasiteSaat])),0))</f>
        <v/>
      </c>
      <c r="S182" s="26">
        <f>IF($A182="","",IF($B182="","YETİM",IF(COUNTIF(tblKartlar[KartId],$B182)=0,"YETİM","")))</f>
        <v/>
      </c>
      <c r="T182" s="26">
        <f>IF(OR($A182="",$I182=""),"",IF(OR($I182&amp;"|"&amp;$J182="",COUNTIF(ListeIzinliGecis,$I182&amp;"|"&amp;$J182)&gt;0),"","GEÇERSİZ GEÇİŞ"))</f>
        <v/>
      </c>
      <c r="U182" s="26">
        <f>IF($A182="","",IF(OR($O182="",$K182=""),"",IF(ABS($K182-$O182)&gt;zincirTolerans,"ZİNCİR KIRIK","OK")))</f>
        <v/>
      </c>
      <c r="V182" s="26">
        <f>IF($A182="","",1)</f>
        <v/>
      </c>
      <c r="W182" s="26">
        <f>IF($A182="","",IF($J182="TAMAM",0,IF($L182="","",raporTarihi-$L182)))</f>
        <v/>
      </c>
    </row>
    <row r="183">
      <c r="A183" s="24" t="n"/>
      <c r="B183" s="24" t="n"/>
      <c r="C183" s="24" t="n"/>
      <c r="D183" s="25" t="n"/>
      <c r="E183" s="25" t="n"/>
      <c r="F183" s="25" t="n"/>
      <c r="G183" s="27" t="n"/>
      <c r="H183" s="25" t="n"/>
      <c r="I183" s="24" t="n"/>
      <c r="J183" s="24" t="n"/>
      <c r="K183" s="25" t="n"/>
      <c r="L183" s="28" t="n"/>
      <c r="M183" s="24" t="n"/>
      <c r="N183" s="24" t="n"/>
      <c r="O183" s="26">
        <f>IF($A183="","",$F183*$D183)</f>
        <v/>
      </c>
      <c r="P183" s="26">
        <f>IF($A183="","",MAX(0,$O183-$E183))</f>
        <v/>
      </c>
      <c r="Q183" s="26">
        <f>IF($A183="","",IF(OR($J183="TAMAM"),0,$P183))</f>
        <v/>
      </c>
      <c r="R183" s="26">
        <f>IF(OR($A183="",$J183="TAMAM"),"",IFERROR($H183/MAX(1,SUMIF(tblKartlar[KartId],$B183,tblKartlar[KapasiteSaat])),0))</f>
        <v/>
      </c>
      <c r="S183" s="26">
        <f>IF($A183="","",IF($B183="","YETİM",IF(COUNTIF(tblKartlar[KartId],$B183)=0,"YETİM","")))</f>
        <v/>
      </c>
      <c r="T183" s="26">
        <f>IF(OR($A183="",$I183=""),"",IF(OR($I183&amp;"|"&amp;$J183="",COUNTIF(ListeIzinliGecis,$I183&amp;"|"&amp;$J183)&gt;0),"","GEÇERSİZ GEÇİŞ"))</f>
        <v/>
      </c>
      <c r="U183" s="26">
        <f>IF($A183="","",IF(OR($O183="",$K183=""),"",IF(ABS($K183-$O183)&gt;zincirTolerans,"ZİNCİR KIRIK","OK")))</f>
        <v/>
      </c>
      <c r="V183" s="26">
        <f>IF($A183="","",1)</f>
        <v/>
      </c>
      <c r="W183" s="26">
        <f>IF($A183="","",IF($J183="TAMAM",0,IF($L183="","",raporTarihi-$L183)))</f>
        <v/>
      </c>
    </row>
    <row r="184">
      <c r="A184" s="24" t="n"/>
      <c r="B184" s="24" t="n"/>
      <c r="C184" s="24" t="n"/>
      <c r="D184" s="25" t="n"/>
      <c r="E184" s="25" t="n"/>
      <c r="F184" s="25" t="n"/>
      <c r="G184" s="27" t="n"/>
      <c r="H184" s="25" t="n"/>
      <c r="I184" s="24" t="n"/>
      <c r="J184" s="24" t="n"/>
      <c r="K184" s="25" t="n"/>
      <c r="L184" s="28" t="n"/>
      <c r="M184" s="24" t="n"/>
      <c r="N184" s="24" t="n"/>
      <c r="O184" s="26">
        <f>IF($A184="","",$F184*$D184)</f>
        <v/>
      </c>
      <c r="P184" s="26">
        <f>IF($A184="","",MAX(0,$O184-$E184))</f>
        <v/>
      </c>
      <c r="Q184" s="26">
        <f>IF($A184="","",IF(OR($J184="TAMAM"),0,$P184))</f>
        <v/>
      </c>
      <c r="R184" s="26">
        <f>IF(OR($A184="",$J184="TAMAM"),"",IFERROR($H184/MAX(1,SUMIF(tblKartlar[KartId],$B184,tblKartlar[KapasiteSaat])),0))</f>
        <v/>
      </c>
      <c r="S184" s="26">
        <f>IF($A184="","",IF($B184="","YETİM",IF(COUNTIF(tblKartlar[KartId],$B184)=0,"YETİM","")))</f>
        <v/>
      </c>
      <c r="T184" s="26">
        <f>IF(OR($A184="",$I184=""),"",IF(OR($I184&amp;"|"&amp;$J184="",COUNTIF(ListeIzinliGecis,$I184&amp;"|"&amp;$J184)&gt;0),"","GEÇERSİZ GEÇİŞ"))</f>
        <v/>
      </c>
      <c r="U184" s="26">
        <f>IF($A184="","",IF(OR($O184="",$K184=""),"",IF(ABS($K184-$O184)&gt;zincirTolerans,"ZİNCİR KIRIK","OK")))</f>
        <v/>
      </c>
      <c r="V184" s="26">
        <f>IF($A184="","",1)</f>
        <v/>
      </c>
      <c r="W184" s="26">
        <f>IF($A184="","",IF($J184="TAMAM",0,IF($L184="","",raporTarihi-$L184)))</f>
        <v/>
      </c>
    </row>
    <row r="185">
      <c r="A185" s="24" t="n"/>
      <c r="B185" s="24" t="n"/>
      <c r="C185" s="24" t="n"/>
      <c r="D185" s="25" t="n"/>
      <c r="E185" s="25" t="n"/>
      <c r="F185" s="25" t="n"/>
      <c r="G185" s="27" t="n"/>
      <c r="H185" s="25" t="n"/>
      <c r="I185" s="24" t="n"/>
      <c r="J185" s="24" t="n"/>
      <c r="K185" s="25" t="n"/>
      <c r="L185" s="28" t="n"/>
      <c r="M185" s="24" t="n"/>
      <c r="N185" s="24" t="n"/>
      <c r="O185" s="26">
        <f>IF($A185="","",$F185*$D185)</f>
        <v/>
      </c>
      <c r="P185" s="26">
        <f>IF($A185="","",MAX(0,$O185-$E185))</f>
        <v/>
      </c>
      <c r="Q185" s="26">
        <f>IF($A185="","",IF(OR($J185="TAMAM"),0,$P185))</f>
        <v/>
      </c>
      <c r="R185" s="26">
        <f>IF(OR($A185="",$J185="TAMAM"),"",IFERROR($H185/MAX(1,SUMIF(tblKartlar[KartId],$B185,tblKartlar[KapasiteSaat])),0))</f>
        <v/>
      </c>
      <c r="S185" s="26">
        <f>IF($A185="","",IF($B185="","YETİM",IF(COUNTIF(tblKartlar[KartId],$B185)=0,"YETİM","")))</f>
        <v/>
      </c>
      <c r="T185" s="26">
        <f>IF(OR($A185="",$I185=""),"",IF(OR($I185&amp;"|"&amp;$J185="",COUNTIF(ListeIzinliGecis,$I185&amp;"|"&amp;$J185)&gt;0),"","GEÇERSİZ GEÇİŞ"))</f>
        <v/>
      </c>
      <c r="U185" s="26">
        <f>IF($A185="","",IF(OR($O185="",$K185=""),"",IF(ABS($K185-$O185)&gt;zincirTolerans,"ZİNCİR KIRIK","OK")))</f>
        <v/>
      </c>
      <c r="V185" s="26">
        <f>IF($A185="","",1)</f>
        <v/>
      </c>
      <c r="W185" s="26">
        <f>IF($A185="","",IF($J185="TAMAM",0,IF($L185="","",raporTarihi-$L185)))</f>
        <v/>
      </c>
    </row>
    <row r="186">
      <c r="A186" s="24" t="n"/>
      <c r="B186" s="24" t="n"/>
      <c r="C186" s="24" t="n"/>
      <c r="D186" s="25" t="n"/>
      <c r="E186" s="25" t="n"/>
      <c r="F186" s="25" t="n"/>
      <c r="G186" s="27" t="n"/>
      <c r="H186" s="25" t="n"/>
      <c r="I186" s="24" t="n"/>
      <c r="J186" s="24" t="n"/>
      <c r="K186" s="25" t="n"/>
      <c r="L186" s="28" t="n"/>
      <c r="M186" s="24" t="n"/>
      <c r="N186" s="24" t="n"/>
      <c r="O186" s="26">
        <f>IF($A186="","",$F186*$D186)</f>
        <v/>
      </c>
      <c r="P186" s="26">
        <f>IF($A186="","",MAX(0,$O186-$E186))</f>
        <v/>
      </c>
      <c r="Q186" s="26">
        <f>IF($A186="","",IF(OR($J186="TAMAM"),0,$P186))</f>
        <v/>
      </c>
      <c r="R186" s="26">
        <f>IF(OR($A186="",$J186="TAMAM"),"",IFERROR($H186/MAX(1,SUMIF(tblKartlar[KartId],$B186,tblKartlar[KapasiteSaat])),0))</f>
        <v/>
      </c>
      <c r="S186" s="26">
        <f>IF($A186="","",IF($B186="","YETİM",IF(COUNTIF(tblKartlar[KartId],$B186)=0,"YETİM","")))</f>
        <v/>
      </c>
      <c r="T186" s="26">
        <f>IF(OR($A186="",$I186=""),"",IF(OR($I186&amp;"|"&amp;$J186="",COUNTIF(ListeIzinliGecis,$I186&amp;"|"&amp;$J186)&gt;0),"","GEÇERSİZ GEÇİŞ"))</f>
        <v/>
      </c>
      <c r="U186" s="26">
        <f>IF($A186="","",IF(OR($O186="",$K186=""),"",IF(ABS($K186-$O186)&gt;zincirTolerans,"ZİNCİR KIRIK","OK")))</f>
        <v/>
      </c>
      <c r="V186" s="26">
        <f>IF($A186="","",1)</f>
        <v/>
      </c>
      <c r="W186" s="26">
        <f>IF($A186="","",IF($J186="TAMAM",0,IF($L186="","",raporTarihi-$L186)))</f>
        <v/>
      </c>
    </row>
    <row r="187">
      <c r="A187" s="24" t="n"/>
      <c r="B187" s="24" t="n"/>
      <c r="C187" s="24" t="n"/>
      <c r="D187" s="25" t="n"/>
      <c r="E187" s="25" t="n"/>
      <c r="F187" s="25" t="n"/>
      <c r="G187" s="27" t="n"/>
      <c r="H187" s="25" t="n"/>
      <c r="I187" s="24" t="n"/>
      <c r="J187" s="24" t="n"/>
      <c r="K187" s="25" t="n"/>
      <c r="L187" s="28" t="n"/>
      <c r="M187" s="24" t="n"/>
      <c r="N187" s="24" t="n"/>
      <c r="O187" s="26">
        <f>IF($A187="","",$F187*$D187)</f>
        <v/>
      </c>
      <c r="P187" s="26">
        <f>IF($A187="","",MAX(0,$O187-$E187))</f>
        <v/>
      </c>
      <c r="Q187" s="26">
        <f>IF($A187="","",IF(OR($J187="TAMAM"),0,$P187))</f>
        <v/>
      </c>
      <c r="R187" s="26">
        <f>IF(OR($A187="",$J187="TAMAM"),"",IFERROR($H187/MAX(1,SUMIF(tblKartlar[KartId],$B187,tblKartlar[KapasiteSaat])),0))</f>
        <v/>
      </c>
      <c r="S187" s="26">
        <f>IF($A187="","",IF($B187="","YETİM",IF(COUNTIF(tblKartlar[KartId],$B187)=0,"YETİM","")))</f>
        <v/>
      </c>
      <c r="T187" s="26">
        <f>IF(OR($A187="",$I187=""),"",IF(OR($I187&amp;"|"&amp;$J187="",COUNTIF(ListeIzinliGecis,$I187&amp;"|"&amp;$J187)&gt;0),"","GEÇERSİZ GEÇİŞ"))</f>
        <v/>
      </c>
      <c r="U187" s="26">
        <f>IF($A187="","",IF(OR($O187="",$K187=""),"",IF(ABS($K187-$O187)&gt;zincirTolerans,"ZİNCİR KIRIK","OK")))</f>
        <v/>
      </c>
      <c r="V187" s="26">
        <f>IF($A187="","",1)</f>
        <v/>
      </c>
      <c r="W187" s="26">
        <f>IF($A187="","",IF($J187="TAMAM",0,IF($L187="","",raporTarihi-$L187)))</f>
        <v/>
      </c>
    </row>
    <row r="188">
      <c r="A188" s="24" t="n"/>
      <c r="B188" s="24" t="n"/>
      <c r="C188" s="24" t="n"/>
      <c r="D188" s="25" t="n"/>
      <c r="E188" s="25" t="n"/>
      <c r="F188" s="25" t="n"/>
      <c r="G188" s="27" t="n"/>
      <c r="H188" s="25" t="n"/>
      <c r="I188" s="24" t="n"/>
      <c r="J188" s="24" t="n"/>
      <c r="K188" s="25" t="n"/>
      <c r="L188" s="28" t="n"/>
      <c r="M188" s="24" t="n"/>
      <c r="N188" s="24" t="n"/>
      <c r="O188" s="26">
        <f>IF($A188="","",$F188*$D188)</f>
        <v/>
      </c>
      <c r="P188" s="26">
        <f>IF($A188="","",MAX(0,$O188-$E188))</f>
        <v/>
      </c>
      <c r="Q188" s="26">
        <f>IF($A188="","",IF(OR($J188="TAMAM"),0,$P188))</f>
        <v/>
      </c>
      <c r="R188" s="26">
        <f>IF(OR($A188="",$J188="TAMAM"),"",IFERROR($H188/MAX(1,SUMIF(tblKartlar[KartId],$B188,tblKartlar[KapasiteSaat])),0))</f>
        <v/>
      </c>
      <c r="S188" s="26">
        <f>IF($A188="","",IF($B188="","YETİM",IF(COUNTIF(tblKartlar[KartId],$B188)=0,"YETİM","")))</f>
        <v/>
      </c>
      <c r="T188" s="26">
        <f>IF(OR($A188="",$I188=""),"",IF(OR($I188&amp;"|"&amp;$J188="",COUNTIF(ListeIzinliGecis,$I188&amp;"|"&amp;$J188)&gt;0),"","GEÇERSİZ GEÇİŞ"))</f>
        <v/>
      </c>
      <c r="U188" s="26">
        <f>IF($A188="","",IF(OR($O188="",$K188=""),"",IF(ABS($K188-$O188)&gt;zincirTolerans,"ZİNCİR KIRIK","OK")))</f>
        <v/>
      </c>
      <c r="V188" s="26">
        <f>IF($A188="","",1)</f>
        <v/>
      </c>
      <c r="W188" s="26">
        <f>IF($A188="","",IF($J188="TAMAM",0,IF($L188="","",raporTarihi-$L188)))</f>
        <v/>
      </c>
    </row>
    <row r="189">
      <c r="A189" s="24" t="n"/>
      <c r="B189" s="24" t="n"/>
      <c r="C189" s="24" t="n"/>
      <c r="D189" s="25" t="n"/>
      <c r="E189" s="25" t="n"/>
      <c r="F189" s="25" t="n"/>
      <c r="G189" s="27" t="n"/>
      <c r="H189" s="25" t="n"/>
      <c r="I189" s="24" t="n"/>
      <c r="J189" s="24" t="n"/>
      <c r="K189" s="25" t="n"/>
      <c r="L189" s="28" t="n"/>
      <c r="M189" s="24" t="n"/>
      <c r="N189" s="24" t="n"/>
      <c r="O189" s="26">
        <f>IF($A189="","",$F189*$D189)</f>
        <v/>
      </c>
      <c r="P189" s="26">
        <f>IF($A189="","",MAX(0,$O189-$E189))</f>
        <v/>
      </c>
      <c r="Q189" s="26">
        <f>IF($A189="","",IF(OR($J189="TAMAM"),0,$P189))</f>
        <v/>
      </c>
      <c r="R189" s="26">
        <f>IF(OR($A189="",$J189="TAMAM"),"",IFERROR($H189/MAX(1,SUMIF(tblKartlar[KartId],$B189,tblKartlar[KapasiteSaat])),0))</f>
        <v/>
      </c>
      <c r="S189" s="26">
        <f>IF($A189="","",IF($B189="","YETİM",IF(COUNTIF(tblKartlar[KartId],$B189)=0,"YETİM","")))</f>
        <v/>
      </c>
      <c r="T189" s="26">
        <f>IF(OR($A189="",$I189=""),"",IF(OR($I189&amp;"|"&amp;$J189="",COUNTIF(ListeIzinliGecis,$I189&amp;"|"&amp;$J189)&gt;0),"","GEÇERSİZ GEÇİŞ"))</f>
        <v/>
      </c>
      <c r="U189" s="26">
        <f>IF($A189="","",IF(OR($O189="",$K189=""),"",IF(ABS($K189-$O189)&gt;zincirTolerans,"ZİNCİR KIRIK","OK")))</f>
        <v/>
      </c>
      <c r="V189" s="26">
        <f>IF($A189="","",1)</f>
        <v/>
      </c>
      <c r="W189" s="26">
        <f>IF($A189="","",IF($J189="TAMAM",0,IF($L189="","",raporTarihi-$L189)))</f>
        <v/>
      </c>
    </row>
    <row r="190">
      <c r="A190" s="24" t="n"/>
      <c r="B190" s="24" t="n"/>
      <c r="C190" s="24" t="n"/>
      <c r="D190" s="25" t="n"/>
      <c r="E190" s="25" t="n"/>
      <c r="F190" s="25" t="n"/>
      <c r="G190" s="27" t="n"/>
      <c r="H190" s="25" t="n"/>
      <c r="I190" s="24" t="n"/>
      <c r="J190" s="24" t="n"/>
      <c r="K190" s="25" t="n"/>
      <c r="L190" s="28" t="n"/>
      <c r="M190" s="24" t="n"/>
      <c r="N190" s="24" t="n"/>
      <c r="O190" s="26">
        <f>IF($A190="","",$F190*$D190)</f>
        <v/>
      </c>
      <c r="P190" s="26">
        <f>IF($A190="","",MAX(0,$O190-$E190))</f>
        <v/>
      </c>
      <c r="Q190" s="26">
        <f>IF($A190="","",IF(OR($J190="TAMAM"),0,$P190))</f>
        <v/>
      </c>
      <c r="R190" s="26">
        <f>IF(OR($A190="",$J190="TAMAM"),"",IFERROR($H190/MAX(1,SUMIF(tblKartlar[KartId],$B190,tblKartlar[KapasiteSaat])),0))</f>
        <v/>
      </c>
      <c r="S190" s="26">
        <f>IF($A190="","",IF($B190="","YETİM",IF(COUNTIF(tblKartlar[KartId],$B190)=0,"YETİM","")))</f>
        <v/>
      </c>
      <c r="T190" s="26">
        <f>IF(OR($A190="",$I190=""),"",IF(OR($I190&amp;"|"&amp;$J190="",COUNTIF(ListeIzinliGecis,$I190&amp;"|"&amp;$J190)&gt;0),"","GEÇERSİZ GEÇİŞ"))</f>
        <v/>
      </c>
      <c r="U190" s="26">
        <f>IF($A190="","",IF(OR($O190="",$K190=""),"",IF(ABS($K190-$O190)&gt;zincirTolerans,"ZİNCİR KIRIK","OK")))</f>
        <v/>
      </c>
      <c r="V190" s="26">
        <f>IF($A190="","",1)</f>
        <v/>
      </c>
      <c r="W190" s="26">
        <f>IF($A190="","",IF($J190="TAMAM",0,IF($L190="","",raporTarihi-$L190)))</f>
        <v/>
      </c>
    </row>
    <row r="191">
      <c r="A191" s="24" t="n"/>
      <c r="B191" s="24" t="n"/>
      <c r="C191" s="24" t="n"/>
      <c r="D191" s="25" t="n"/>
      <c r="E191" s="25" t="n"/>
      <c r="F191" s="25" t="n"/>
      <c r="G191" s="27" t="n"/>
      <c r="H191" s="25" t="n"/>
      <c r="I191" s="24" t="n"/>
      <c r="J191" s="24" t="n"/>
      <c r="K191" s="25" t="n"/>
      <c r="L191" s="28" t="n"/>
      <c r="M191" s="24" t="n"/>
      <c r="N191" s="24" t="n"/>
      <c r="O191" s="26">
        <f>IF($A191="","",$F191*$D191)</f>
        <v/>
      </c>
      <c r="P191" s="26">
        <f>IF($A191="","",MAX(0,$O191-$E191))</f>
        <v/>
      </c>
      <c r="Q191" s="26">
        <f>IF($A191="","",IF(OR($J191="TAMAM"),0,$P191))</f>
        <v/>
      </c>
      <c r="R191" s="26">
        <f>IF(OR($A191="",$J191="TAMAM"),"",IFERROR($H191/MAX(1,SUMIF(tblKartlar[KartId],$B191,tblKartlar[KapasiteSaat])),0))</f>
        <v/>
      </c>
      <c r="S191" s="26">
        <f>IF($A191="","",IF($B191="","YETİM",IF(COUNTIF(tblKartlar[KartId],$B191)=0,"YETİM","")))</f>
        <v/>
      </c>
      <c r="T191" s="26">
        <f>IF(OR($A191="",$I191=""),"",IF(OR($I191&amp;"|"&amp;$J191="",COUNTIF(ListeIzinliGecis,$I191&amp;"|"&amp;$J191)&gt;0),"","GEÇERSİZ GEÇİŞ"))</f>
        <v/>
      </c>
      <c r="U191" s="26">
        <f>IF($A191="","",IF(OR($O191="",$K191=""),"",IF(ABS($K191-$O191)&gt;zincirTolerans,"ZİNCİR KIRIK","OK")))</f>
        <v/>
      </c>
      <c r="V191" s="26">
        <f>IF($A191="","",1)</f>
        <v/>
      </c>
      <c r="W191" s="26">
        <f>IF($A191="","",IF($J191="TAMAM",0,IF($L191="","",raporTarihi-$L191)))</f>
        <v/>
      </c>
    </row>
    <row r="192">
      <c r="A192" s="24" t="n"/>
      <c r="B192" s="24" t="n"/>
      <c r="C192" s="24" t="n"/>
      <c r="D192" s="25" t="n"/>
      <c r="E192" s="25" t="n"/>
      <c r="F192" s="25" t="n"/>
      <c r="G192" s="27" t="n"/>
      <c r="H192" s="25" t="n"/>
      <c r="I192" s="24" t="n"/>
      <c r="J192" s="24" t="n"/>
      <c r="K192" s="25" t="n"/>
      <c r="L192" s="28" t="n"/>
      <c r="M192" s="24" t="n"/>
      <c r="N192" s="24" t="n"/>
      <c r="O192" s="26">
        <f>IF($A192="","",$F192*$D192)</f>
        <v/>
      </c>
      <c r="P192" s="26">
        <f>IF($A192="","",MAX(0,$O192-$E192))</f>
        <v/>
      </c>
      <c r="Q192" s="26">
        <f>IF($A192="","",IF(OR($J192="TAMAM"),0,$P192))</f>
        <v/>
      </c>
      <c r="R192" s="26">
        <f>IF(OR($A192="",$J192="TAMAM"),"",IFERROR($H192/MAX(1,SUMIF(tblKartlar[KartId],$B192,tblKartlar[KapasiteSaat])),0))</f>
        <v/>
      </c>
      <c r="S192" s="26">
        <f>IF($A192="","",IF($B192="","YETİM",IF(COUNTIF(tblKartlar[KartId],$B192)=0,"YETİM","")))</f>
        <v/>
      </c>
      <c r="T192" s="26">
        <f>IF(OR($A192="",$I192=""),"",IF(OR($I192&amp;"|"&amp;$J192="",COUNTIF(ListeIzinliGecis,$I192&amp;"|"&amp;$J192)&gt;0),"","GEÇERSİZ GEÇİŞ"))</f>
        <v/>
      </c>
      <c r="U192" s="26">
        <f>IF($A192="","",IF(OR($O192="",$K192=""),"",IF(ABS($K192-$O192)&gt;zincirTolerans,"ZİNCİR KIRIK","OK")))</f>
        <v/>
      </c>
      <c r="V192" s="26">
        <f>IF($A192="","",1)</f>
        <v/>
      </c>
      <c r="W192" s="26">
        <f>IF($A192="","",IF($J192="TAMAM",0,IF($L192="","",raporTarihi-$L192)))</f>
        <v/>
      </c>
    </row>
    <row r="193">
      <c r="A193" s="24" t="n"/>
      <c r="B193" s="24" t="n"/>
      <c r="C193" s="24" t="n"/>
      <c r="D193" s="25" t="n"/>
      <c r="E193" s="25" t="n"/>
      <c r="F193" s="25" t="n"/>
      <c r="G193" s="27" t="n"/>
      <c r="H193" s="25" t="n"/>
      <c r="I193" s="24" t="n"/>
      <c r="J193" s="24" t="n"/>
      <c r="K193" s="25" t="n"/>
      <c r="L193" s="28" t="n"/>
      <c r="M193" s="24" t="n"/>
      <c r="N193" s="24" t="n"/>
      <c r="O193" s="26">
        <f>IF($A193="","",$F193*$D193)</f>
        <v/>
      </c>
      <c r="P193" s="26">
        <f>IF($A193="","",MAX(0,$O193-$E193))</f>
        <v/>
      </c>
      <c r="Q193" s="26">
        <f>IF($A193="","",IF(OR($J193="TAMAM"),0,$P193))</f>
        <v/>
      </c>
      <c r="R193" s="26">
        <f>IF(OR($A193="",$J193="TAMAM"),"",IFERROR($H193/MAX(1,SUMIF(tblKartlar[KartId],$B193,tblKartlar[KapasiteSaat])),0))</f>
        <v/>
      </c>
      <c r="S193" s="26">
        <f>IF($A193="","",IF($B193="","YETİM",IF(COUNTIF(tblKartlar[KartId],$B193)=0,"YETİM","")))</f>
        <v/>
      </c>
      <c r="T193" s="26">
        <f>IF(OR($A193="",$I193=""),"",IF(OR($I193&amp;"|"&amp;$J193="",COUNTIF(ListeIzinliGecis,$I193&amp;"|"&amp;$J193)&gt;0),"","GEÇERSİZ GEÇİŞ"))</f>
        <v/>
      </c>
      <c r="U193" s="26">
        <f>IF($A193="","",IF(OR($O193="",$K193=""),"",IF(ABS($K193-$O193)&gt;zincirTolerans,"ZİNCİR KIRIK","OK")))</f>
        <v/>
      </c>
      <c r="V193" s="26">
        <f>IF($A193="","",1)</f>
        <v/>
      </c>
      <c r="W193" s="26">
        <f>IF($A193="","",IF($J193="TAMAM",0,IF($L193="","",raporTarihi-$L193)))</f>
        <v/>
      </c>
    </row>
    <row r="194">
      <c r="A194" s="24" t="n"/>
      <c r="B194" s="24" t="n"/>
      <c r="C194" s="24" t="n"/>
      <c r="D194" s="25" t="n"/>
      <c r="E194" s="25" t="n"/>
      <c r="F194" s="25" t="n"/>
      <c r="G194" s="27" t="n"/>
      <c r="H194" s="25" t="n"/>
      <c r="I194" s="24" t="n"/>
      <c r="J194" s="24" t="n"/>
      <c r="K194" s="25" t="n"/>
      <c r="L194" s="28" t="n"/>
      <c r="M194" s="24" t="n"/>
      <c r="N194" s="24" t="n"/>
      <c r="O194" s="26">
        <f>IF($A194="","",$F194*$D194)</f>
        <v/>
      </c>
      <c r="P194" s="26">
        <f>IF($A194="","",MAX(0,$O194-$E194))</f>
        <v/>
      </c>
      <c r="Q194" s="26">
        <f>IF($A194="","",IF(OR($J194="TAMAM"),0,$P194))</f>
        <v/>
      </c>
      <c r="R194" s="26">
        <f>IF(OR($A194="",$J194="TAMAM"),"",IFERROR($H194/MAX(1,SUMIF(tblKartlar[KartId],$B194,tblKartlar[KapasiteSaat])),0))</f>
        <v/>
      </c>
      <c r="S194" s="26">
        <f>IF($A194="","",IF($B194="","YETİM",IF(COUNTIF(tblKartlar[KartId],$B194)=0,"YETİM","")))</f>
        <v/>
      </c>
      <c r="T194" s="26">
        <f>IF(OR($A194="",$I194=""),"",IF(OR($I194&amp;"|"&amp;$J194="",COUNTIF(ListeIzinliGecis,$I194&amp;"|"&amp;$J194)&gt;0),"","GEÇERSİZ GEÇİŞ"))</f>
        <v/>
      </c>
      <c r="U194" s="26">
        <f>IF($A194="","",IF(OR($O194="",$K194=""),"",IF(ABS($K194-$O194)&gt;zincirTolerans,"ZİNCİR KIRIK","OK")))</f>
        <v/>
      </c>
      <c r="V194" s="26">
        <f>IF($A194="","",1)</f>
        <v/>
      </c>
      <c r="W194" s="26">
        <f>IF($A194="","",IF($J194="TAMAM",0,IF($L194="","",raporTarihi-$L194)))</f>
        <v/>
      </c>
    </row>
    <row r="195">
      <c r="A195" s="24" t="n"/>
      <c r="B195" s="24" t="n"/>
      <c r="C195" s="24" t="n"/>
      <c r="D195" s="25" t="n"/>
      <c r="E195" s="25" t="n"/>
      <c r="F195" s="25" t="n"/>
      <c r="G195" s="27" t="n"/>
      <c r="H195" s="25" t="n"/>
      <c r="I195" s="24" t="n"/>
      <c r="J195" s="24" t="n"/>
      <c r="K195" s="25" t="n"/>
      <c r="L195" s="28" t="n"/>
      <c r="M195" s="24" t="n"/>
      <c r="N195" s="24" t="n"/>
      <c r="O195" s="26">
        <f>IF($A195="","",$F195*$D195)</f>
        <v/>
      </c>
      <c r="P195" s="26">
        <f>IF($A195="","",MAX(0,$O195-$E195))</f>
        <v/>
      </c>
      <c r="Q195" s="26">
        <f>IF($A195="","",IF(OR($J195="TAMAM"),0,$P195))</f>
        <v/>
      </c>
      <c r="R195" s="26">
        <f>IF(OR($A195="",$J195="TAMAM"),"",IFERROR($H195/MAX(1,SUMIF(tblKartlar[KartId],$B195,tblKartlar[KapasiteSaat])),0))</f>
        <v/>
      </c>
      <c r="S195" s="26">
        <f>IF($A195="","",IF($B195="","YETİM",IF(COUNTIF(tblKartlar[KartId],$B195)=0,"YETİM","")))</f>
        <v/>
      </c>
      <c r="T195" s="26">
        <f>IF(OR($A195="",$I195=""),"",IF(OR($I195&amp;"|"&amp;$J195="",COUNTIF(ListeIzinliGecis,$I195&amp;"|"&amp;$J195)&gt;0),"","GEÇERSİZ GEÇİŞ"))</f>
        <v/>
      </c>
      <c r="U195" s="26">
        <f>IF($A195="","",IF(OR($O195="",$K195=""),"",IF(ABS($K195-$O195)&gt;zincirTolerans,"ZİNCİR KIRIK","OK")))</f>
        <v/>
      </c>
      <c r="V195" s="26">
        <f>IF($A195="","",1)</f>
        <v/>
      </c>
      <c r="W195" s="26">
        <f>IF($A195="","",IF($J195="TAMAM",0,IF($L195="","",raporTarihi-$L195)))</f>
        <v/>
      </c>
    </row>
    <row r="196">
      <c r="A196" s="24" t="n"/>
      <c r="B196" s="24" t="n"/>
      <c r="C196" s="24" t="n"/>
      <c r="D196" s="25" t="n"/>
      <c r="E196" s="25" t="n"/>
      <c r="F196" s="25" t="n"/>
      <c r="G196" s="27" t="n"/>
      <c r="H196" s="25" t="n"/>
      <c r="I196" s="24" t="n"/>
      <c r="J196" s="24" t="n"/>
      <c r="K196" s="25" t="n"/>
      <c r="L196" s="28" t="n"/>
      <c r="M196" s="24" t="n"/>
      <c r="N196" s="24" t="n"/>
      <c r="O196" s="26">
        <f>IF($A196="","",$F196*$D196)</f>
        <v/>
      </c>
      <c r="P196" s="26">
        <f>IF($A196="","",MAX(0,$O196-$E196))</f>
        <v/>
      </c>
      <c r="Q196" s="26">
        <f>IF($A196="","",IF(OR($J196="TAMAM"),0,$P196))</f>
        <v/>
      </c>
      <c r="R196" s="26">
        <f>IF(OR($A196="",$J196="TAMAM"),"",IFERROR($H196/MAX(1,SUMIF(tblKartlar[KartId],$B196,tblKartlar[KapasiteSaat])),0))</f>
        <v/>
      </c>
      <c r="S196" s="26">
        <f>IF($A196="","",IF($B196="","YETİM",IF(COUNTIF(tblKartlar[KartId],$B196)=0,"YETİM","")))</f>
        <v/>
      </c>
      <c r="T196" s="26">
        <f>IF(OR($A196="",$I196=""),"",IF(OR($I196&amp;"|"&amp;$J196="",COUNTIF(ListeIzinliGecis,$I196&amp;"|"&amp;$J196)&gt;0),"","GEÇERSİZ GEÇİŞ"))</f>
        <v/>
      </c>
      <c r="U196" s="26">
        <f>IF($A196="","",IF(OR($O196="",$K196=""),"",IF(ABS($K196-$O196)&gt;zincirTolerans,"ZİNCİR KIRIK","OK")))</f>
        <v/>
      </c>
      <c r="V196" s="26">
        <f>IF($A196="","",1)</f>
        <v/>
      </c>
      <c r="W196" s="26">
        <f>IF($A196="","",IF($J196="TAMAM",0,IF($L196="","",raporTarihi-$L196)))</f>
        <v/>
      </c>
    </row>
    <row r="197">
      <c r="A197" s="24" t="n"/>
      <c r="B197" s="24" t="n"/>
      <c r="C197" s="24" t="n"/>
      <c r="D197" s="25" t="n"/>
      <c r="E197" s="25" t="n"/>
      <c r="F197" s="25" t="n"/>
      <c r="G197" s="27" t="n"/>
      <c r="H197" s="25" t="n"/>
      <c r="I197" s="24" t="n"/>
      <c r="J197" s="24" t="n"/>
      <c r="K197" s="25" t="n"/>
      <c r="L197" s="28" t="n"/>
      <c r="M197" s="24" t="n"/>
      <c r="N197" s="24" t="n"/>
      <c r="O197" s="26">
        <f>IF($A197="","",$F197*$D197)</f>
        <v/>
      </c>
      <c r="P197" s="26">
        <f>IF($A197="","",MAX(0,$O197-$E197))</f>
        <v/>
      </c>
      <c r="Q197" s="26">
        <f>IF($A197="","",IF(OR($J197="TAMAM"),0,$P197))</f>
        <v/>
      </c>
      <c r="R197" s="26">
        <f>IF(OR($A197="",$J197="TAMAM"),"",IFERROR($H197/MAX(1,SUMIF(tblKartlar[KartId],$B197,tblKartlar[KapasiteSaat])),0))</f>
        <v/>
      </c>
      <c r="S197" s="26">
        <f>IF($A197="","",IF($B197="","YETİM",IF(COUNTIF(tblKartlar[KartId],$B197)=0,"YETİM","")))</f>
        <v/>
      </c>
      <c r="T197" s="26">
        <f>IF(OR($A197="",$I197=""),"",IF(OR($I197&amp;"|"&amp;$J197="",COUNTIF(ListeIzinliGecis,$I197&amp;"|"&amp;$J197)&gt;0),"","GEÇERSİZ GEÇİŞ"))</f>
        <v/>
      </c>
      <c r="U197" s="26">
        <f>IF($A197="","",IF(OR($O197="",$K197=""),"",IF(ABS($K197-$O197)&gt;zincirTolerans,"ZİNCİR KIRIK","OK")))</f>
        <v/>
      </c>
      <c r="V197" s="26">
        <f>IF($A197="","",1)</f>
        <v/>
      </c>
      <c r="W197" s="26">
        <f>IF($A197="","",IF($J197="TAMAM",0,IF($L197="","",raporTarihi-$L197)))</f>
        <v/>
      </c>
    </row>
    <row r="198">
      <c r="A198" s="24" t="n"/>
      <c r="B198" s="24" t="n"/>
      <c r="C198" s="24" t="n"/>
      <c r="D198" s="25" t="n"/>
      <c r="E198" s="25" t="n"/>
      <c r="F198" s="25" t="n"/>
      <c r="G198" s="27" t="n"/>
      <c r="H198" s="25" t="n"/>
      <c r="I198" s="24" t="n"/>
      <c r="J198" s="24" t="n"/>
      <c r="K198" s="25" t="n"/>
      <c r="L198" s="28" t="n"/>
      <c r="M198" s="24" t="n"/>
      <c r="N198" s="24" t="n"/>
      <c r="O198" s="26">
        <f>IF($A198="","",$F198*$D198)</f>
        <v/>
      </c>
      <c r="P198" s="26">
        <f>IF($A198="","",MAX(0,$O198-$E198))</f>
        <v/>
      </c>
      <c r="Q198" s="26">
        <f>IF($A198="","",IF(OR($J198="TAMAM"),0,$P198))</f>
        <v/>
      </c>
      <c r="R198" s="26">
        <f>IF(OR($A198="",$J198="TAMAM"),"",IFERROR($H198/MAX(1,SUMIF(tblKartlar[KartId],$B198,tblKartlar[KapasiteSaat])),0))</f>
        <v/>
      </c>
      <c r="S198" s="26">
        <f>IF($A198="","",IF($B198="","YETİM",IF(COUNTIF(tblKartlar[KartId],$B198)=0,"YETİM","")))</f>
        <v/>
      </c>
      <c r="T198" s="26">
        <f>IF(OR($A198="",$I198=""),"",IF(OR($I198&amp;"|"&amp;$J198="",COUNTIF(ListeIzinliGecis,$I198&amp;"|"&amp;$J198)&gt;0),"","GEÇERSİZ GEÇİŞ"))</f>
        <v/>
      </c>
      <c r="U198" s="26">
        <f>IF($A198="","",IF(OR($O198="",$K198=""),"",IF(ABS($K198-$O198)&gt;zincirTolerans,"ZİNCİR KIRIK","OK")))</f>
        <v/>
      </c>
      <c r="V198" s="26">
        <f>IF($A198="","",1)</f>
        <v/>
      </c>
      <c r="W198" s="26">
        <f>IF($A198="","",IF($J198="TAMAM",0,IF($L198="","",raporTarihi-$L198)))</f>
        <v/>
      </c>
    </row>
    <row r="199">
      <c r="A199" s="24" t="n"/>
      <c r="B199" s="24" t="n"/>
      <c r="C199" s="24" t="n"/>
      <c r="D199" s="25" t="n"/>
      <c r="E199" s="25" t="n"/>
      <c r="F199" s="25" t="n"/>
      <c r="G199" s="27" t="n"/>
      <c r="H199" s="25" t="n"/>
      <c r="I199" s="24" t="n"/>
      <c r="J199" s="24" t="n"/>
      <c r="K199" s="25" t="n"/>
      <c r="L199" s="28" t="n"/>
      <c r="M199" s="24" t="n"/>
      <c r="N199" s="24" t="n"/>
      <c r="O199" s="26">
        <f>IF($A199="","",$F199*$D199)</f>
        <v/>
      </c>
      <c r="P199" s="26">
        <f>IF($A199="","",MAX(0,$O199-$E199))</f>
        <v/>
      </c>
      <c r="Q199" s="26">
        <f>IF($A199="","",IF(OR($J199="TAMAM"),0,$P199))</f>
        <v/>
      </c>
      <c r="R199" s="26">
        <f>IF(OR($A199="",$J199="TAMAM"),"",IFERROR($H199/MAX(1,SUMIF(tblKartlar[KartId],$B199,tblKartlar[KapasiteSaat])),0))</f>
        <v/>
      </c>
      <c r="S199" s="26">
        <f>IF($A199="","",IF($B199="","YETİM",IF(COUNTIF(tblKartlar[KartId],$B199)=0,"YETİM","")))</f>
        <v/>
      </c>
      <c r="T199" s="26">
        <f>IF(OR($A199="",$I199=""),"",IF(OR($I199&amp;"|"&amp;$J199="",COUNTIF(ListeIzinliGecis,$I199&amp;"|"&amp;$J199)&gt;0),"","GEÇERSİZ GEÇİŞ"))</f>
        <v/>
      </c>
      <c r="U199" s="26">
        <f>IF($A199="","",IF(OR($O199="",$K199=""),"",IF(ABS($K199-$O199)&gt;zincirTolerans,"ZİNCİR KIRIK","OK")))</f>
        <v/>
      </c>
      <c r="V199" s="26">
        <f>IF($A199="","",1)</f>
        <v/>
      </c>
      <c r="W199" s="26">
        <f>IF($A199="","",IF($J199="TAMAM",0,IF($L199="","",raporTarihi-$L199)))</f>
        <v/>
      </c>
    </row>
    <row r="200">
      <c r="A200" s="24" t="n"/>
      <c r="B200" s="24" t="n"/>
      <c r="C200" s="24" t="n"/>
      <c r="D200" s="25" t="n"/>
      <c r="E200" s="25" t="n"/>
      <c r="F200" s="25" t="n"/>
      <c r="G200" s="27" t="n"/>
      <c r="H200" s="25" t="n"/>
      <c r="I200" s="24" t="n"/>
      <c r="J200" s="24" t="n"/>
      <c r="K200" s="25" t="n"/>
      <c r="L200" s="28" t="n"/>
      <c r="M200" s="24" t="n"/>
      <c r="N200" s="24" t="n"/>
      <c r="O200" s="26">
        <f>IF($A200="","",$F200*$D200)</f>
        <v/>
      </c>
      <c r="P200" s="26">
        <f>IF($A200="","",MAX(0,$O200-$E200))</f>
        <v/>
      </c>
      <c r="Q200" s="26">
        <f>IF($A200="","",IF(OR($J200="TAMAM"),0,$P200))</f>
        <v/>
      </c>
      <c r="R200" s="26">
        <f>IF(OR($A200="",$J200="TAMAM"),"",IFERROR($H200/MAX(1,SUMIF(tblKartlar[KartId],$B200,tblKartlar[KapasiteSaat])),0))</f>
        <v/>
      </c>
      <c r="S200" s="26">
        <f>IF($A200="","",IF($B200="","YETİM",IF(COUNTIF(tblKartlar[KartId],$B200)=0,"YETİM","")))</f>
        <v/>
      </c>
      <c r="T200" s="26">
        <f>IF(OR($A200="",$I200=""),"",IF(OR($I200&amp;"|"&amp;$J200="",COUNTIF(ListeIzinliGecis,$I200&amp;"|"&amp;$J200)&gt;0),"","GEÇERSİZ GEÇİŞ"))</f>
        <v/>
      </c>
      <c r="U200" s="26">
        <f>IF($A200="","",IF(OR($O200="",$K200=""),"",IF(ABS($K200-$O200)&gt;zincirTolerans,"ZİNCİR KIRIK","OK")))</f>
        <v/>
      </c>
      <c r="V200" s="26">
        <f>IF($A200="","",1)</f>
        <v/>
      </c>
      <c r="W200" s="26">
        <f>IF($A200="","",IF($J200="TAMAM",0,IF($L200="","",raporTarihi-$L200)))</f>
        <v/>
      </c>
    </row>
    <row r="201">
      <c r="A201" s="24" t="n"/>
      <c r="B201" s="24" t="n"/>
      <c r="C201" s="24" t="n"/>
      <c r="D201" s="25" t="n"/>
      <c r="E201" s="25" t="n"/>
      <c r="F201" s="25" t="n"/>
      <c r="G201" s="27" t="n"/>
      <c r="H201" s="25" t="n"/>
      <c r="I201" s="24" t="n"/>
      <c r="J201" s="24" t="n"/>
      <c r="K201" s="25" t="n"/>
      <c r="L201" s="28" t="n"/>
      <c r="M201" s="24" t="n"/>
      <c r="N201" s="24" t="n"/>
      <c r="O201" s="26">
        <f>IF($A201="","",$F201*$D201)</f>
        <v/>
      </c>
      <c r="P201" s="26">
        <f>IF($A201="","",MAX(0,$O201-$E201))</f>
        <v/>
      </c>
      <c r="Q201" s="26">
        <f>IF($A201="","",IF(OR($J201="TAMAM"),0,$P201))</f>
        <v/>
      </c>
      <c r="R201" s="26">
        <f>IF(OR($A201="",$J201="TAMAM"),"",IFERROR($H201/MAX(1,SUMIF(tblKartlar[KartId],$B201,tblKartlar[KapasiteSaat])),0))</f>
        <v/>
      </c>
      <c r="S201" s="26">
        <f>IF($A201="","",IF($B201="","YETİM",IF(COUNTIF(tblKartlar[KartId],$B201)=0,"YETİM","")))</f>
        <v/>
      </c>
      <c r="T201" s="26">
        <f>IF(OR($A201="",$I201=""),"",IF(OR($I201&amp;"|"&amp;$J201="",COUNTIF(ListeIzinliGecis,$I201&amp;"|"&amp;$J201)&gt;0),"","GEÇERSİZ GEÇİŞ"))</f>
        <v/>
      </c>
      <c r="U201" s="26">
        <f>IF($A201="","",IF(OR($O201="",$K201=""),"",IF(ABS($K201-$O201)&gt;zincirTolerans,"ZİNCİR KIRIK","OK")))</f>
        <v/>
      </c>
      <c r="V201" s="26">
        <f>IF($A201="","",1)</f>
        <v/>
      </c>
      <c r="W201" s="26">
        <f>IF($A201="","",IF($J201="TAMAM",0,IF($L201="","",raporTarihi-$L201)))</f>
        <v/>
      </c>
    </row>
    <row r="202">
      <c r="A202" s="24" t="n"/>
      <c r="B202" s="24" t="n"/>
      <c r="C202" s="24" t="n"/>
      <c r="D202" s="25" t="n"/>
      <c r="E202" s="25" t="n"/>
      <c r="F202" s="25" t="n"/>
      <c r="G202" s="27" t="n"/>
      <c r="H202" s="25" t="n"/>
      <c r="I202" s="24" t="n"/>
      <c r="J202" s="24" t="n"/>
      <c r="K202" s="25" t="n"/>
      <c r="L202" s="28" t="n"/>
      <c r="M202" s="24" t="n"/>
      <c r="N202" s="24" t="n"/>
      <c r="O202" s="26">
        <f>IF($A202="","",$F202*$D202)</f>
        <v/>
      </c>
      <c r="P202" s="26">
        <f>IF($A202="","",MAX(0,$O202-$E202))</f>
        <v/>
      </c>
      <c r="Q202" s="26">
        <f>IF($A202="","",IF(OR($J202="TAMAM"),0,$P202))</f>
        <v/>
      </c>
      <c r="R202" s="26">
        <f>IF(OR($A202="",$J202="TAMAM"),"",IFERROR($H202/MAX(1,SUMIF(tblKartlar[KartId],$B202,tblKartlar[KapasiteSaat])),0))</f>
        <v/>
      </c>
      <c r="S202" s="26">
        <f>IF($A202="","",IF($B202="","YETİM",IF(COUNTIF(tblKartlar[KartId],$B202)=0,"YETİM","")))</f>
        <v/>
      </c>
      <c r="T202" s="26">
        <f>IF(OR($A202="",$I202=""),"",IF(OR($I202&amp;"|"&amp;$J202="",COUNTIF(ListeIzinliGecis,$I202&amp;"|"&amp;$J202)&gt;0),"","GEÇERSİZ GEÇİŞ"))</f>
        <v/>
      </c>
      <c r="U202" s="26">
        <f>IF($A202="","",IF(OR($O202="",$K202=""),"",IF(ABS($K202-$O202)&gt;zincirTolerans,"ZİNCİR KIRIK","OK")))</f>
        <v/>
      </c>
      <c r="V202" s="26">
        <f>IF($A202="","",1)</f>
        <v/>
      </c>
      <c r="W202" s="26">
        <f>IF($A202="","",IF($J202="TAMAM",0,IF($L202="","",raporTarihi-$L202)))</f>
        <v/>
      </c>
    </row>
    <row r="203">
      <c r="A203" s="24" t="n"/>
      <c r="B203" s="24" t="n"/>
      <c r="C203" s="24" t="n"/>
      <c r="D203" s="25" t="n"/>
      <c r="E203" s="25" t="n"/>
      <c r="F203" s="25" t="n"/>
      <c r="G203" s="27" t="n"/>
      <c r="H203" s="25" t="n"/>
      <c r="I203" s="24" t="n"/>
      <c r="J203" s="24" t="n"/>
      <c r="K203" s="25" t="n"/>
      <c r="L203" s="28" t="n"/>
      <c r="M203" s="24" t="n"/>
      <c r="N203" s="24" t="n"/>
      <c r="O203" s="26">
        <f>IF($A203="","",$F203*$D203)</f>
        <v/>
      </c>
      <c r="P203" s="26">
        <f>IF($A203="","",MAX(0,$O203-$E203))</f>
        <v/>
      </c>
      <c r="Q203" s="26">
        <f>IF($A203="","",IF(OR($J203="TAMAM"),0,$P203))</f>
        <v/>
      </c>
      <c r="R203" s="26">
        <f>IF(OR($A203="",$J203="TAMAM"),"",IFERROR($H203/MAX(1,SUMIF(tblKartlar[KartId],$B203,tblKartlar[KapasiteSaat])),0))</f>
        <v/>
      </c>
      <c r="S203" s="26">
        <f>IF($A203="","",IF($B203="","YETİM",IF(COUNTIF(tblKartlar[KartId],$B203)=0,"YETİM","")))</f>
        <v/>
      </c>
      <c r="T203" s="26">
        <f>IF(OR($A203="",$I203=""),"",IF(OR($I203&amp;"|"&amp;$J203="",COUNTIF(ListeIzinliGecis,$I203&amp;"|"&amp;$J203)&gt;0),"","GEÇERSİZ GEÇİŞ"))</f>
        <v/>
      </c>
      <c r="U203" s="26">
        <f>IF($A203="","",IF(OR($O203="",$K203=""),"",IF(ABS($K203-$O203)&gt;zincirTolerans,"ZİNCİR KIRIK","OK")))</f>
        <v/>
      </c>
      <c r="V203" s="26">
        <f>IF($A203="","",1)</f>
        <v/>
      </c>
      <c r="W203" s="26">
        <f>IF($A203="","",IF($J203="TAMAM",0,IF($L203="","",raporTarihi-$L203)))</f>
        <v/>
      </c>
    </row>
    <row r="204">
      <c r="A204" s="24" t="n"/>
      <c r="B204" s="24" t="n"/>
      <c r="C204" s="24" t="n"/>
      <c r="D204" s="25" t="n"/>
      <c r="E204" s="25" t="n"/>
      <c r="F204" s="25" t="n"/>
      <c r="G204" s="27" t="n"/>
      <c r="H204" s="25" t="n"/>
      <c r="I204" s="24" t="n"/>
      <c r="J204" s="24" t="n"/>
      <c r="K204" s="25" t="n"/>
      <c r="L204" s="28" t="n"/>
      <c r="M204" s="24" t="n"/>
      <c r="N204" s="24" t="n"/>
      <c r="O204" s="26">
        <f>IF($A204="","",$F204*$D204)</f>
        <v/>
      </c>
      <c r="P204" s="26">
        <f>IF($A204="","",MAX(0,$O204-$E204))</f>
        <v/>
      </c>
      <c r="Q204" s="26">
        <f>IF($A204="","",IF(OR($J204="TAMAM"),0,$P204))</f>
        <v/>
      </c>
      <c r="R204" s="26">
        <f>IF(OR($A204="",$J204="TAMAM"),"",IFERROR($H204/MAX(1,SUMIF(tblKartlar[KartId],$B204,tblKartlar[KapasiteSaat])),0))</f>
        <v/>
      </c>
      <c r="S204" s="26">
        <f>IF($A204="","",IF($B204="","YETİM",IF(COUNTIF(tblKartlar[KartId],$B204)=0,"YETİM","")))</f>
        <v/>
      </c>
      <c r="T204" s="26">
        <f>IF(OR($A204="",$I204=""),"",IF(OR($I204&amp;"|"&amp;$J204="",COUNTIF(ListeIzinliGecis,$I204&amp;"|"&amp;$J204)&gt;0),"","GEÇERSİZ GEÇİŞ"))</f>
        <v/>
      </c>
      <c r="U204" s="26">
        <f>IF($A204="","",IF(OR($O204="",$K204=""),"",IF(ABS($K204-$O204)&gt;zincirTolerans,"ZİNCİR KIRIK","OK")))</f>
        <v/>
      </c>
      <c r="V204" s="26">
        <f>IF($A204="","",1)</f>
        <v/>
      </c>
      <c r="W204" s="26">
        <f>IF($A204="","",IF($J204="TAMAM",0,IF($L204="","",raporTarihi-$L204)))</f>
        <v/>
      </c>
    </row>
    <row r="205">
      <c r="A205" s="24" t="n"/>
      <c r="B205" s="24" t="n"/>
      <c r="C205" s="24" t="n"/>
      <c r="D205" s="25" t="n"/>
      <c r="E205" s="25" t="n"/>
      <c r="F205" s="25" t="n"/>
      <c r="G205" s="27" t="n"/>
      <c r="H205" s="25" t="n"/>
      <c r="I205" s="24" t="n"/>
      <c r="J205" s="24" t="n"/>
      <c r="K205" s="25" t="n"/>
      <c r="L205" s="28" t="n"/>
      <c r="M205" s="24" t="n"/>
      <c r="N205" s="24" t="n"/>
      <c r="O205" s="26">
        <f>IF($A205="","",$F205*$D205)</f>
        <v/>
      </c>
      <c r="P205" s="26">
        <f>IF($A205="","",MAX(0,$O205-$E205))</f>
        <v/>
      </c>
      <c r="Q205" s="26">
        <f>IF($A205="","",IF(OR($J205="TAMAM"),0,$P205))</f>
        <v/>
      </c>
      <c r="R205" s="26">
        <f>IF(OR($A205="",$J205="TAMAM"),"",IFERROR($H205/MAX(1,SUMIF(tblKartlar[KartId],$B205,tblKartlar[KapasiteSaat])),0))</f>
        <v/>
      </c>
      <c r="S205" s="26">
        <f>IF($A205="","",IF($B205="","YETİM",IF(COUNTIF(tblKartlar[KartId],$B205)=0,"YETİM","")))</f>
        <v/>
      </c>
      <c r="T205" s="26">
        <f>IF(OR($A205="",$I205=""),"",IF(OR($I205&amp;"|"&amp;$J205="",COUNTIF(ListeIzinliGecis,$I205&amp;"|"&amp;$J205)&gt;0),"","GEÇERSİZ GEÇİŞ"))</f>
        <v/>
      </c>
      <c r="U205" s="26">
        <f>IF($A205="","",IF(OR($O205="",$K205=""),"",IF(ABS($K205-$O205)&gt;zincirTolerans,"ZİNCİR KIRIK","OK")))</f>
        <v/>
      </c>
      <c r="V205" s="26">
        <f>IF($A205="","",1)</f>
        <v/>
      </c>
      <c r="W205" s="26">
        <f>IF($A205="","",IF($J205="TAMAM",0,IF($L205="","",raporTarihi-$L205)))</f>
        <v/>
      </c>
    </row>
    <row r="206">
      <c r="A206" s="24" t="n"/>
      <c r="B206" s="24" t="n"/>
      <c r="C206" s="24" t="n"/>
      <c r="D206" s="25" t="n"/>
      <c r="E206" s="25" t="n"/>
      <c r="F206" s="25" t="n"/>
      <c r="G206" s="27" t="n"/>
      <c r="H206" s="25" t="n"/>
      <c r="I206" s="24" t="n"/>
      <c r="J206" s="24" t="n"/>
      <c r="K206" s="25" t="n"/>
      <c r="L206" s="28" t="n"/>
      <c r="M206" s="24" t="n"/>
      <c r="N206" s="24" t="n"/>
      <c r="O206" s="26">
        <f>IF($A206="","",$F206*$D206)</f>
        <v/>
      </c>
      <c r="P206" s="26">
        <f>IF($A206="","",MAX(0,$O206-$E206))</f>
        <v/>
      </c>
      <c r="Q206" s="26">
        <f>IF($A206="","",IF(OR($J206="TAMAM"),0,$P206))</f>
        <v/>
      </c>
      <c r="R206" s="26">
        <f>IF(OR($A206="",$J206="TAMAM"),"",IFERROR($H206/MAX(1,SUMIF(tblKartlar[KartId],$B206,tblKartlar[KapasiteSaat])),0))</f>
        <v/>
      </c>
      <c r="S206" s="26">
        <f>IF($A206="","",IF($B206="","YETİM",IF(COUNTIF(tblKartlar[KartId],$B206)=0,"YETİM","")))</f>
        <v/>
      </c>
      <c r="T206" s="26">
        <f>IF(OR($A206="",$I206=""),"",IF(OR($I206&amp;"|"&amp;$J206="",COUNTIF(ListeIzinliGecis,$I206&amp;"|"&amp;$J206)&gt;0),"","GEÇERSİZ GEÇİŞ"))</f>
        <v/>
      </c>
      <c r="U206" s="26">
        <f>IF($A206="","",IF(OR($O206="",$K206=""),"",IF(ABS($K206-$O206)&gt;zincirTolerans,"ZİNCİR KIRIK","OK")))</f>
        <v/>
      </c>
      <c r="V206" s="26">
        <f>IF($A206="","",1)</f>
        <v/>
      </c>
      <c r="W206" s="26">
        <f>IF($A206="","",IF($J206="TAMAM",0,IF($L206="","",raporTarihi-$L206)))</f>
        <v/>
      </c>
    </row>
    <row r="207">
      <c r="A207" s="24" t="n"/>
      <c r="B207" s="24" t="n"/>
      <c r="C207" s="24" t="n"/>
      <c r="D207" s="25" t="n"/>
      <c r="E207" s="25" t="n"/>
      <c r="F207" s="25" t="n"/>
      <c r="G207" s="27" t="n"/>
      <c r="H207" s="25" t="n"/>
      <c r="I207" s="24" t="n"/>
      <c r="J207" s="24" t="n"/>
      <c r="K207" s="25" t="n"/>
      <c r="L207" s="28" t="n"/>
      <c r="M207" s="24" t="n"/>
      <c r="N207" s="24" t="n"/>
      <c r="O207" s="26">
        <f>IF($A207="","",$F207*$D207)</f>
        <v/>
      </c>
      <c r="P207" s="26">
        <f>IF($A207="","",MAX(0,$O207-$E207))</f>
        <v/>
      </c>
      <c r="Q207" s="26">
        <f>IF($A207="","",IF(OR($J207="TAMAM"),0,$P207))</f>
        <v/>
      </c>
      <c r="R207" s="26">
        <f>IF(OR($A207="",$J207="TAMAM"),"",IFERROR($H207/MAX(1,SUMIF(tblKartlar[KartId],$B207,tblKartlar[KapasiteSaat])),0))</f>
        <v/>
      </c>
      <c r="S207" s="26">
        <f>IF($A207="","",IF($B207="","YETİM",IF(COUNTIF(tblKartlar[KartId],$B207)=0,"YETİM","")))</f>
        <v/>
      </c>
      <c r="T207" s="26">
        <f>IF(OR($A207="",$I207=""),"",IF(OR($I207&amp;"|"&amp;$J207="",COUNTIF(ListeIzinliGecis,$I207&amp;"|"&amp;$J207)&gt;0),"","GEÇERSİZ GEÇİŞ"))</f>
        <v/>
      </c>
      <c r="U207" s="26">
        <f>IF($A207="","",IF(OR($O207="",$K207=""),"",IF(ABS($K207-$O207)&gt;zincirTolerans,"ZİNCİR KIRIK","OK")))</f>
        <v/>
      </c>
      <c r="V207" s="26">
        <f>IF($A207="","",1)</f>
        <v/>
      </c>
      <c r="W207" s="26">
        <f>IF($A207="","",IF($J207="TAMAM",0,IF($L207="","",raporTarihi-$L207)))</f>
        <v/>
      </c>
    </row>
    <row r="208">
      <c r="A208" s="24" t="n"/>
      <c r="B208" s="24" t="n"/>
      <c r="C208" s="24" t="n"/>
      <c r="D208" s="25" t="n"/>
      <c r="E208" s="25" t="n"/>
      <c r="F208" s="25" t="n"/>
      <c r="G208" s="27" t="n"/>
      <c r="H208" s="25" t="n"/>
      <c r="I208" s="24" t="n"/>
      <c r="J208" s="24" t="n"/>
      <c r="K208" s="25" t="n"/>
      <c r="L208" s="28" t="n"/>
      <c r="M208" s="24" t="n"/>
      <c r="N208" s="24" t="n"/>
      <c r="O208" s="26">
        <f>IF($A208="","",$F208*$D208)</f>
        <v/>
      </c>
      <c r="P208" s="26">
        <f>IF($A208="","",MAX(0,$O208-$E208))</f>
        <v/>
      </c>
      <c r="Q208" s="26">
        <f>IF($A208="","",IF(OR($J208="TAMAM"),0,$P208))</f>
        <v/>
      </c>
      <c r="R208" s="26">
        <f>IF(OR($A208="",$J208="TAMAM"),"",IFERROR($H208/MAX(1,SUMIF(tblKartlar[KartId],$B208,tblKartlar[KapasiteSaat])),0))</f>
        <v/>
      </c>
      <c r="S208" s="26">
        <f>IF($A208="","",IF($B208="","YETİM",IF(COUNTIF(tblKartlar[KartId],$B208)=0,"YETİM","")))</f>
        <v/>
      </c>
      <c r="T208" s="26">
        <f>IF(OR($A208="",$I208=""),"",IF(OR($I208&amp;"|"&amp;$J208="",COUNTIF(ListeIzinliGecis,$I208&amp;"|"&amp;$J208)&gt;0),"","GEÇERSİZ GEÇİŞ"))</f>
        <v/>
      </c>
      <c r="U208" s="26">
        <f>IF($A208="","",IF(OR($O208="",$K208=""),"",IF(ABS($K208-$O208)&gt;zincirTolerans,"ZİNCİR KIRIK","OK")))</f>
        <v/>
      </c>
      <c r="V208" s="26">
        <f>IF($A208="","",1)</f>
        <v/>
      </c>
      <c r="W208" s="26">
        <f>IF($A208="","",IF($J208="TAMAM",0,IF($L208="","",raporTarihi-$L208)))</f>
        <v/>
      </c>
    </row>
    <row r="209">
      <c r="A209" s="24" t="n"/>
      <c r="B209" s="24" t="n"/>
      <c r="C209" s="24" t="n"/>
      <c r="D209" s="25" t="n"/>
      <c r="E209" s="25" t="n"/>
      <c r="F209" s="25" t="n"/>
      <c r="G209" s="27" t="n"/>
      <c r="H209" s="25" t="n"/>
      <c r="I209" s="24" t="n"/>
      <c r="J209" s="24" t="n"/>
      <c r="K209" s="25" t="n"/>
      <c r="L209" s="28" t="n"/>
      <c r="M209" s="24" t="n"/>
      <c r="N209" s="24" t="n"/>
      <c r="O209" s="26">
        <f>IF($A209="","",$F209*$D209)</f>
        <v/>
      </c>
      <c r="P209" s="26">
        <f>IF($A209="","",MAX(0,$O209-$E209))</f>
        <v/>
      </c>
      <c r="Q209" s="26">
        <f>IF($A209="","",IF(OR($J209="TAMAM"),0,$P209))</f>
        <v/>
      </c>
      <c r="R209" s="26">
        <f>IF(OR($A209="",$J209="TAMAM"),"",IFERROR($H209/MAX(1,SUMIF(tblKartlar[KartId],$B209,tblKartlar[KapasiteSaat])),0))</f>
        <v/>
      </c>
      <c r="S209" s="26">
        <f>IF($A209="","",IF($B209="","YETİM",IF(COUNTIF(tblKartlar[KartId],$B209)=0,"YETİM","")))</f>
        <v/>
      </c>
      <c r="T209" s="26">
        <f>IF(OR($A209="",$I209=""),"",IF(OR($I209&amp;"|"&amp;$J209="",COUNTIF(ListeIzinliGecis,$I209&amp;"|"&amp;$J209)&gt;0),"","GEÇERSİZ GEÇİŞ"))</f>
        <v/>
      </c>
      <c r="U209" s="26">
        <f>IF($A209="","",IF(OR($O209="",$K209=""),"",IF(ABS($K209-$O209)&gt;zincirTolerans,"ZİNCİR KIRIK","OK")))</f>
        <v/>
      </c>
      <c r="V209" s="26">
        <f>IF($A209="","",1)</f>
        <v/>
      </c>
      <c r="W209" s="26">
        <f>IF($A209="","",IF($J209="TAMAM",0,IF($L209="","",raporTarihi-$L209)))</f>
        <v/>
      </c>
    </row>
    <row r="210">
      <c r="A210" s="24" t="n"/>
      <c r="B210" s="24" t="n"/>
      <c r="C210" s="24" t="n"/>
      <c r="D210" s="25" t="n"/>
      <c r="E210" s="25" t="n"/>
      <c r="F210" s="25" t="n"/>
      <c r="G210" s="27" t="n"/>
      <c r="H210" s="25" t="n"/>
      <c r="I210" s="24" t="n"/>
      <c r="J210" s="24" t="n"/>
      <c r="K210" s="25" t="n"/>
      <c r="L210" s="28" t="n"/>
      <c r="M210" s="24" t="n"/>
      <c r="N210" s="24" t="n"/>
      <c r="O210" s="26">
        <f>IF($A210="","",$F210*$D210)</f>
        <v/>
      </c>
      <c r="P210" s="26">
        <f>IF($A210="","",MAX(0,$O210-$E210))</f>
        <v/>
      </c>
      <c r="Q210" s="26">
        <f>IF($A210="","",IF(OR($J210="TAMAM"),0,$P210))</f>
        <v/>
      </c>
      <c r="R210" s="26">
        <f>IF(OR($A210="",$J210="TAMAM"),"",IFERROR($H210/MAX(1,SUMIF(tblKartlar[KartId],$B210,tblKartlar[KapasiteSaat])),0))</f>
        <v/>
      </c>
      <c r="S210" s="26">
        <f>IF($A210="","",IF($B210="","YETİM",IF(COUNTIF(tblKartlar[KartId],$B210)=0,"YETİM","")))</f>
        <v/>
      </c>
      <c r="T210" s="26">
        <f>IF(OR($A210="",$I210=""),"",IF(OR($I210&amp;"|"&amp;$J210="",COUNTIF(ListeIzinliGecis,$I210&amp;"|"&amp;$J210)&gt;0),"","GEÇERSİZ GEÇİŞ"))</f>
        <v/>
      </c>
      <c r="U210" s="26">
        <f>IF($A210="","",IF(OR($O210="",$K210=""),"",IF(ABS($K210-$O210)&gt;zincirTolerans,"ZİNCİR KIRIK","OK")))</f>
        <v/>
      </c>
      <c r="V210" s="26">
        <f>IF($A210="","",1)</f>
        <v/>
      </c>
      <c r="W210" s="26">
        <f>IF($A210="","",IF($J210="TAMAM",0,IF($L210="","",raporTarihi-$L210)))</f>
        <v/>
      </c>
    </row>
    <row r="211">
      <c r="A211" s="24" t="n"/>
      <c r="B211" s="24" t="n"/>
      <c r="C211" s="24" t="n"/>
      <c r="D211" s="25" t="n"/>
      <c r="E211" s="25" t="n"/>
      <c r="F211" s="25" t="n"/>
      <c r="G211" s="27" t="n"/>
      <c r="H211" s="25" t="n"/>
      <c r="I211" s="24" t="n"/>
      <c r="J211" s="24" t="n"/>
      <c r="K211" s="25" t="n"/>
      <c r="L211" s="28" t="n"/>
      <c r="M211" s="24" t="n"/>
      <c r="N211" s="24" t="n"/>
      <c r="O211" s="26">
        <f>IF($A211="","",$F211*$D211)</f>
        <v/>
      </c>
      <c r="P211" s="26">
        <f>IF($A211="","",MAX(0,$O211-$E211))</f>
        <v/>
      </c>
      <c r="Q211" s="26">
        <f>IF($A211="","",IF(OR($J211="TAMAM"),0,$P211))</f>
        <v/>
      </c>
      <c r="R211" s="26">
        <f>IF(OR($A211="",$J211="TAMAM"),"",IFERROR($H211/MAX(1,SUMIF(tblKartlar[KartId],$B211,tblKartlar[KapasiteSaat])),0))</f>
        <v/>
      </c>
      <c r="S211" s="26">
        <f>IF($A211="","",IF($B211="","YETİM",IF(COUNTIF(tblKartlar[KartId],$B211)=0,"YETİM","")))</f>
        <v/>
      </c>
      <c r="T211" s="26">
        <f>IF(OR($A211="",$I211=""),"",IF(OR($I211&amp;"|"&amp;$J211="",COUNTIF(ListeIzinliGecis,$I211&amp;"|"&amp;$J211)&gt;0),"","GEÇERSİZ GEÇİŞ"))</f>
        <v/>
      </c>
      <c r="U211" s="26">
        <f>IF($A211="","",IF(OR($O211="",$K211=""),"",IF(ABS($K211-$O211)&gt;zincirTolerans,"ZİNCİR KIRIK","OK")))</f>
        <v/>
      </c>
      <c r="V211" s="26">
        <f>IF($A211="","",1)</f>
        <v/>
      </c>
      <c r="W211" s="26">
        <f>IF($A211="","",IF($J211="TAMAM",0,IF($L211="","",raporTarihi-$L211)))</f>
        <v/>
      </c>
    </row>
    <row r="212">
      <c r="A212" s="24" t="n"/>
      <c r="B212" s="24" t="n"/>
      <c r="C212" s="24" t="n"/>
      <c r="D212" s="25" t="n"/>
      <c r="E212" s="25" t="n"/>
      <c r="F212" s="25" t="n"/>
      <c r="G212" s="27" t="n"/>
      <c r="H212" s="25" t="n"/>
      <c r="I212" s="24" t="n"/>
      <c r="J212" s="24" t="n"/>
      <c r="K212" s="25" t="n"/>
      <c r="L212" s="28" t="n"/>
      <c r="M212" s="24" t="n"/>
      <c r="N212" s="24" t="n"/>
      <c r="O212" s="26">
        <f>IF($A212="","",$F212*$D212)</f>
        <v/>
      </c>
      <c r="P212" s="26">
        <f>IF($A212="","",MAX(0,$O212-$E212))</f>
        <v/>
      </c>
      <c r="Q212" s="26">
        <f>IF($A212="","",IF(OR($J212="TAMAM"),0,$P212))</f>
        <v/>
      </c>
      <c r="R212" s="26">
        <f>IF(OR($A212="",$J212="TAMAM"),"",IFERROR($H212/MAX(1,SUMIF(tblKartlar[KartId],$B212,tblKartlar[KapasiteSaat])),0))</f>
        <v/>
      </c>
      <c r="S212" s="26">
        <f>IF($A212="","",IF($B212="","YETİM",IF(COUNTIF(tblKartlar[KartId],$B212)=0,"YETİM","")))</f>
        <v/>
      </c>
      <c r="T212" s="26">
        <f>IF(OR($A212="",$I212=""),"",IF(OR($I212&amp;"|"&amp;$J212="",COUNTIF(ListeIzinliGecis,$I212&amp;"|"&amp;$J212)&gt;0),"","GEÇERSİZ GEÇİŞ"))</f>
        <v/>
      </c>
      <c r="U212" s="26">
        <f>IF($A212="","",IF(OR($O212="",$K212=""),"",IF(ABS($K212-$O212)&gt;zincirTolerans,"ZİNCİR KIRIK","OK")))</f>
        <v/>
      </c>
      <c r="V212" s="26">
        <f>IF($A212="","",1)</f>
        <v/>
      </c>
      <c r="W212" s="26">
        <f>IF($A212="","",IF($J212="TAMAM",0,IF($L212="","",raporTarihi-$L212)))</f>
        <v/>
      </c>
    </row>
    <row r="213">
      <c r="A213" s="24" t="n"/>
      <c r="B213" s="24" t="n"/>
      <c r="C213" s="24" t="n"/>
      <c r="D213" s="25" t="n"/>
      <c r="E213" s="25" t="n"/>
      <c r="F213" s="25" t="n"/>
      <c r="G213" s="27" t="n"/>
      <c r="H213" s="25" t="n"/>
      <c r="I213" s="24" t="n"/>
      <c r="J213" s="24" t="n"/>
      <c r="K213" s="25" t="n"/>
      <c r="L213" s="28" t="n"/>
      <c r="M213" s="24" t="n"/>
      <c r="N213" s="24" t="n"/>
      <c r="O213" s="26">
        <f>IF($A213="","",$F213*$D213)</f>
        <v/>
      </c>
      <c r="P213" s="26">
        <f>IF($A213="","",MAX(0,$O213-$E213))</f>
        <v/>
      </c>
      <c r="Q213" s="26">
        <f>IF($A213="","",IF(OR($J213="TAMAM"),0,$P213))</f>
        <v/>
      </c>
      <c r="R213" s="26">
        <f>IF(OR($A213="",$J213="TAMAM"),"",IFERROR($H213/MAX(1,SUMIF(tblKartlar[KartId],$B213,tblKartlar[KapasiteSaat])),0))</f>
        <v/>
      </c>
      <c r="S213" s="26">
        <f>IF($A213="","",IF($B213="","YETİM",IF(COUNTIF(tblKartlar[KartId],$B213)=0,"YETİM","")))</f>
        <v/>
      </c>
      <c r="T213" s="26">
        <f>IF(OR($A213="",$I213=""),"",IF(OR($I213&amp;"|"&amp;$J213="",COUNTIF(ListeIzinliGecis,$I213&amp;"|"&amp;$J213)&gt;0),"","GEÇERSİZ GEÇİŞ"))</f>
        <v/>
      </c>
      <c r="U213" s="26">
        <f>IF($A213="","",IF(OR($O213="",$K213=""),"",IF(ABS($K213-$O213)&gt;zincirTolerans,"ZİNCİR KIRIK","OK")))</f>
        <v/>
      </c>
      <c r="V213" s="26">
        <f>IF($A213="","",1)</f>
        <v/>
      </c>
      <c r="W213" s="26">
        <f>IF($A213="","",IF($J213="TAMAM",0,IF($L213="","",raporTarihi-$L213)))</f>
        <v/>
      </c>
    </row>
    <row r="214">
      <c r="A214" s="24" t="n"/>
      <c r="B214" s="24" t="n"/>
      <c r="C214" s="24" t="n"/>
      <c r="D214" s="25" t="n"/>
      <c r="E214" s="25" t="n"/>
      <c r="F214" s="25" t="n"/>
      <c r="G214" s="27" t="n"/>
      <c r="H214" s="25" t="n"/>
      <c r="I214" s="24" t="n"/>
      <c r="J214" s="24" t="n"/>
      <c r="K214" s="25" t="n"/>
      <c r="L214" s="28" t="n"/>
      <c r="M214" s="24" t="n"/>
      <c r="N214" s="24" t="n"/>
      <c r="O214" s="26">
        <f>IF($A214="","",$F214*$D214)</f>
        <v/>
      </c>
      <c r="P214" s="26">
        <f>IF($A214="","",MAX(0,$O214-$E214))</f>
        <v/>
      </c>
      <c r="Q214" s="26">
        <f>IF($A214="","",IF(OR($J214="TAMAM"),0,$P214))</f>
        <v/>
      </c>
      <c r="R214" s="26">
        <f>IF(OR($A214="",$J214="TAMAM"),"",IFERROR($H214/MAX(1,SUMIF(tblKartlar[KartId],$B214,tblKartlar[KapasiteSaat])),0))</f>
        <v/>
      </c>
      <c r="S214" s="26">
        <f>IF($A214="","",IF($B214="","YETİM",IF(COUNTIF(tblKartlar[KartId],$B214)=0,"YETİM","")))</f>
        <v/>
      </c>
      <c r="T214" s="26">
        <f>IF(OR($A214="",$I214=""),"",IF(OR($I214&amp;"|"&amp;$J214="",COUNTIF(ListeIzinliGecis,$I214&amp;"|"&amp;$J214)&gt;0),"","GEÇERSİZ GEÇİŞ"))</f>
        <v/>
      </c>
      <c r="U214" s="26">
        <f>IF($A214="","",IF(OR($O214="",$K214=""),"",IF(ABS($K214-$O214)&gt;zincirTolerans,"ZİNCİR KIRIK","OK")))</f>
        <v/>
      </c>
      <c r="V214" s="26">
        <f>IF($A214="","",1)</f>
        <v/>
      </c>
      <c r="W214" s="26">
        <f>IF($A214="","",IF($J214="TAMAM",0,IF($L214="","",raporTarihi-$L214)))</f>
        <v/>
      </c>
    </row>
    <row r="215">
      <c r="A215" s="24" t="n"/>
      <c r="B215" s="24" t="n"/>
      <c r="C215" s="24" t="n"/>
      <c r="D215" s="25" t="n"/>
      <c r="E215" s="25" t="n"/>
      <c r="F215" s="25" t="n"/>
      <c r="G215" s="27" t="n"/>
      <c r="H215" s="25" t="n"/>
      <c r="I215" s="24" t="n"/>
      <c r="J215" s="24" t="n"/>
      <c r="K215" s="25" t="n"/>
      <c r="L215" s="28" t="n"/>
      <c r="M215" s="24" t="n"/>
      <c r="N215" s="24" t="n"/>
      <c r="O215" s="26">
        <f>IF($A215="","",$F215*$D215)</f>
        <v/>
      </c>
      <c r="P215" s="26">
        <f>IF($A215="","",MAX(0,$O215-$E215))</f>
        <v/>
      </c>
      <c r="Q215" s="26">
        <f>IF($A215="","",IF(OR($J215="TAMAM"),0,$P215))</f>
        <v/>
      </c>
      <c r="R215" s="26">
        <f>IF(OR($A215="",$J215="TAMAM"),"",IFERROR($H215/MAX(1,SUMIF(tblKartlar[KartId],$B215,tblKartlar[KapasiteSaat])),0))</f>
        <v/>
      </c>
      <c r="S215" s="26">
        <f>IF($A215="","",IF($B215="","YETİM",IF(COUNTIF(tblKartlar[KartId],$B215)=0,"YETİM","")))</f>
        <v/>
      </c>
      <c r="T215" s="26">
        <f>IF(OR($A215="",$I215=""),"",IF(OR($I215&amp;"|"&amp;$J215="",COUNTIF(ListeIzinliGecis,$I215&amp;"|"&amp;$J215)&gt;0),"","GEÇERSİZ GEÇİŞ"))</f>
        <v/>
      </c>
      <c r="U215" s="26">
        <f>IF($A215="","",IF(OR($O215="",$K215=""),"",IF(ABS($K215-$O215)&gt;zincirTolerans,"ZİNCİR KIRIK","OK")))</f>
        <v/>
      </c>
      <c r="V215" s="26">
        <f>IF($A215="","",1)</f>
        <v/>
      </c>
      <c r="W215" s="26">
        <f>IF($A215="","",IF($J215="TAMAM",0,IF($L215="","",raporTarihi-$L215)))</f>
        <v/>
      </c>
    </row>
    <row r="216">
      <c r="A216" s="24" t="n"/>
      <c r="B216" s="24" t="n"/>
      <c r="C216" s="24" t="n"/>
      <c r="D216" s="25" t="n"/>
      <c r="E216" s="25" t="n"/>
      <c r="F216" s="25" t="n"/>
      <c r="G216" s="27" t="n"/>
      <c r="H216" s="25" t="n"/>
      <c r="I216" s="24" t="n"/>
      <c r="J216" s="24" t="n"/>
      <c r="K216" s="25" t="n"/>
      <c r="L216" s="28" t="n"/>
      <c r="M216" s="24" t="n"/>
      <c r="N216" s="24" t="n"/>
      <c r="O216" s="26">
        <f>IF($A216="","",$F216*$D216)</f>
        <v/>
      </c>
      <c r="P216" s="26">
        <f>IF($A216="","",MAX(0,$O216-$E216))</f>
        <v/>
      </c>
      <c r="Q216" s="26">
        <f>IF($A216="","",IF(OR($J216="TAMAM"),0,$P216))</f>
        <v/>
      </c>
      <c r="R216" s="26">
        <f>IF(OR($A216="",$J216="TAMAM"),"",IFERROR($H216/MAX(1,SUMIF(tblKartlar[KartId],$B216,tblKartlar[KapasiteSaat])),0))</f>
        <v/>
      </c>
      <c r="S216" s="26">
        <f>IF($A216="","",IF($B216="","YETİM",IF(COUNTIF(tblKartlar[KartId],$B216)=0,"YETİM","")))</f>
        <v/>
      </c>
      <c r="T216" s="26">
        <f>IF(OR($A216="",$I216=""),"",IF(OR($I216&amp;"|"&amp;$J216="",COUNTIF(ListeIzinliGecis,$I216&amp;"|"&amp;$J216)&gt;0),"","GEÇERSİZ GEÇİŞ"))</f>
        <v/>
      </c>
      <c r="U216" s="26">
        <f>IF($A216="","",IF(OR($O216="",$K216=""),"",IF(ABS($K216-$O216)&gt;zincirTolerans,"ZİNCİR KIRIK","OK")))</f>
        <v/>
      </c>
      <c r="V216" s="26">
        <f>IF($A216="","",1)</f>
        <v/>
      </c>
      <c r="W216" s="26">
        <f>IF($A216="","",IF($J216="TAMAM",0,IF($L216="","",raporTarihi-$L216)))</f>
        <v/>
      </c>
    </row>
    <row r="217">
      <c r="A217" s="24" t="n"/>
      <c r="B217" s="24" t="n"/>
      <c r="C217" s="24" t="n"/>
      <c r="D217" s="25" t="n"/>
      <c r="E217" s="25" t="n"/>
      <c r="F217" s="25" t="n"/>
      <c r="G217" s="27" t="n"/>
      <c r="H217" s="25" t="n"/>
      <c r="I217" s="24" t="n"/>
      <c r="J217" s="24" t="n"/>
      <c r="K217" s="25" t="n"/>
      <c r="L217" s="28" t="n"/>
      <c r="M217" s="24" t="n"/>
      <c r="N217" s="24" t="n"/>
      <c r="O217" s="26">
        <f>IF($A217="","",$F217*$D217)</f>
        <v/>
      </c>
      <c r="P217" s="26">
        <f>IF($A217="","",MAX(0,$O217-$E217))</f>
        <v/>
      </c>
      <c r="Q217" s="26">
        <f>IF($A217="","",IF(OR($J217="TAMAM"),0,$P217))</f>
        <v/>
      </c>
      <c r="R217" s="26">
        <f>IF(OR($A217="",$J217="TAMAM"),"",IFERROR($H217/MAX(1,SUMIF(tblKartlar[KartId],$B217,tblKartlar[KapasiteSaat])),0))</f>
        <v/>
      </c>
      <c r="S217" s="26">
        <f>IF($A217="","",IF($B217="","YETİM",IF(COUNTIF(tblKartlar[KartId],$B217)=0,"YETİM","")))</f>
        <v/>
      </c>
      <c r="T217" s="26">
        <f>IF(OR($A217="",$I217=""),"",IF(OR($I217&amp;"|"&amp;$J217="",COUNTIF(ListeIzinliGecis,$I217&amp;"|"&amp;$J217)&gt;0),"","GEÇERSİZ GEÇİŞ"))</f>
        <v/>
      </c>
      <c r="U217" s="26">
        <f>IF($A217="","",IF(OR($O217="",$K217=""),"",IF(ABS($K217-$O217)&gt;zincirTolerans,"ZİNCİR KIRIK","OK")))</f>
        <v/>
      </c>
      <c r="V217" s="26">
        <f>IF($A217="","",1)</f>
        <v/>
      </c>
      <c r="W217" s="26">
        <f>IF($A217="","",IF($J217="TAMAM",0,IF($L217="","",raporTarihi-$L217)))</f>
        <v/>
      </c>
    </row>
    <row r="218">
      <c r="A218" s="24" t="n"/>
      <c r="B218" s="24" t="n"/>
      <c r="C218" s="24" t="n"/>
      <c r="D218" s="25" t="n"/>
      <c r="E218" s="25" t="n"/>
      <c r="F218" s="25" t="n"/>
      <c r="G218" s="27" t="n"/>
      <c r="H218" s="25" t="n"/>
      <c r="I218" s="24" t="n"/>
      <c r="J218" s="24" t="n"/>
      <c r="K218" s="25" t="n"/>
      <c r="L218" s="28" t="n"/>
      <c r="M218" s="24" t="n"/>
      <c r="N218" s="24" t="n"/>
      <c r="O218" s="26">
        <f>IF($A218="","",$F218*$D218)</f>
        <v/>
      </c>
      <c r="P218" s="26">
        <f>IF($A218="","",MAX(0,$O218-$E218))</f>
        <v/>
      </c>
      <c r="Q218" s="26">
        <f>IF($A218="","",IF(OR($J218="TAMAM"),0,$P218))</f>
        <v/>
      </c>
      <c r="R218" s="26">
        <f>IF(OR($A218="",$J218="TAMAM"),"",IFERROR($H218/MAX(1,SUMIF(tblKartlar[KartId],$B218,tblKartlar[KapasiteSaat])),0))</f>
        <v/>
      </c>
      <c r="S218" s="26">
        <f>IF($A218="","",IF($B218="","YETİM",IF(COUNTIF(tblKartlar[KartId],$B218)=0,"YETİM","")))</f>
        <v/>
      </c>
      <c r="T218" s="26">
        <f>IF(OR($A218="",$I218=""),"",IF(OR($I218&amp;"|"&amp;$J218="",COUNTIF(ListeIzinliGecis,$I218&amp;"|"&amp;$J218)&gt;0),"","GEÇERSİZ GEÇİŞ"))</f>
        <v/>
      </c>
      <c r="U218" s="26">
        <f>IF($A218="","",IF(OR($O218="",$K218=""),"",IF(ABS($K218-$O218)&gt;zincirTolerans,"ZİNCİR KIRIK","OK")))</f>
        <v/>
      </c>
      <c r="V218" s="26">
        <f>IF($A218="","",1)</f>
        <v/>
      </c>
      <c r="W218" s="26">
        <f>IF($A218="","",IF($J218="TAMAM",0,IF($L218="","",raporTarihi-$L218)))</f>
        <v/>
      </c>
    </row>
    <row r="219">
      <c r="A219" s="24" t="n"/>
      <c r="B219" s="24" t="n"/>
      <c r="C219" s="24" t="n"/>
      <c r="D219" s="25" t="n"/>
      <c r="E219" s="25" t="n"/>
      <c r="F219" s="25" t="n"/>
      <c r="G219" s="27" t="n"/>
      <c r="H219" s="25" t="n"/>
      <c r="I219" s="24" t="n"/>
      <c r="J219" s="24" t="n"/>
      <c r="K219" s="25" t="n"/>
      <c r="L219" s="28" t="n"/>
      <c r="M219" s="24" t="n"/>
      <c r="N219" s="24" t="n"/>
      <c r="O219" s="26">
        <f>IF($A219="","",$F219*$D219)</f>
        <v/>
      </c>
      <c r="P219" s="26">
        <f>IF($A219="","",MAX(0,$O219-$E219))</f>
        <v/>
      </c>
      <c r="Q219" s="26">
        <f>IF($A219="","",IF(OR($J219="TAMAM"),0,$P219))</f>
        <v/>
      </c>
      <c r="R219" s="26">
        <f>IF(OR($A219="",$J219="TAMAM"),"",IFERROR($H219/MAX(1,SUMIF(tblKartlar[KartId],$B219,tblKartlar[KapasiteSaat])),0))</f>
        <v/>
      </c>
      <c r="S219" s="26">
        <f>IF($A219="","",IF($B219="","YETİM",IF(COUNTIF(tblKartlar[KartId],$B219)=0,"YETİM","")))</f>
        <v/>
      </c>
      <c r="T219" s="26">
        <f>IF(OR($A219="",$I219=""),"",IF(OR($I219&amp;"|"&amp;$J219="",COUNTIF(ListeIzinliGecis,$I219&amp;"|"&amp;$J219)&gt;0),"","GEÇERSİZ GEÇİŞ"))</f>
        <v/>
      </c>
      <c r="U219" s="26">
        <f>IF($A219="","",IF(OR($O219="",$K219=""),"",IF(ABS($K219-$O219)&gt;zincirTolerans,"ZİNCİR KIRIK","OK")))</f>
        <v/>
      </c>
      <c r="V219" s="26">
        <f>IF($A219="","",1)</f>
        <v/>
      </c>
      <c r="W219" s="26">
        <f>IF($A219="","",IF($J219="TAMAM",0,IF($L219="","",raporTarihi-$L219)))</f>
        <v/>
      </c>
    </row>
    <row r="220">
      <c r="A220" s="24" t="n"/>
      <c r="B220" s="24" t="n"/>
      <c r="C220" s="24" t="n"/>
      <c r="D220" s="25" t="n"/>
      <c r="E220" s="25" t="n"/>
      <c r="F220" s="25" t="n"/>
      <c r="G220" s="27" t="n"/>
      <c r="H220" s="25" t="n"/>
      <c r="I220" s="24" t="n"/>
      <c r="J220" s="24" t="n"/>
      <c r="K220" s="25" t="n"/>
      <c r="L220" s="28" t="n"/>
      <c r="M220" s="24" t="n"/>
      <c r="N220" s="24" t="n"/>
      <c r="O220" s="26">
        <f>IF($A220="","",$F220*$D220)</f>
        <v/>
      </c>
      <c r="P220" s="26">
        <f>IF($A220="","",MAX(0,$O220-$E220))</f>
        <v/>
      </c>
      <c r="Q220" s="26">
        <f>IF($A220="","",IF(OR($J220="TAMAM"),0,$P220))</f>
        <v/>
      </c>
      <c r="R220" s="26">
        <f>IF(OR($A220="",$J220="TAMAM"),"",IFERROR($H220/MAX(1,SUMIF(tblKartlar[KartId],$B220,tblKartlar[KapasiteSaat])),0))</f>
        <v/>
      </c>
      <c r="S220" s="26">
        <f>IF($A220="","",IF($B220="","YETİM",IF(COUNTIF(tblKartlar[KartId],$B220)=0,"YETİM","")))</f>
        <v/>
      </c>
      <c r="T220" s="26">
        <f>IF(OR($A220="",$I220=""),"",IF(OR($I220&amp;"|"&amp;$J220="",COUNTIF(ListeIzinliGecis,$I220&amp;"|"&amp;$J220)&gt;0),"","GEÇERSİZ GEÇİŞ"))</f>
        <v/>
      </c>
      <c r="U220" s="26">
        <f>IF($A220="","",IF(OR($O220="",$K220=""),"",IF(ABS($K220-$O220)&gt;zincirTolerans,"ZİNCİR KIRIK","OK")))</f>
        <v/>
      </c>
      <c r="V220" s="26">
        <f>IF($A220="","",1)</f>
        <v/>
      </c>
      <c r="W220" s="26">
        <f>IF($A220="","",IF($J220="TAMAM",0,IF($L220="","",raporTarihi-$L220)))</f>
        <v/>
      </c>
    </row>
    <row r="221">
      <c r="A221" s="24" t="n"/>
      <c r="B221" s="24" t="n"/>
      <c r="C221" s="24" t="n"/>
      <c r="D221" s="25" t="n"/>
      <c r="E221" s="25" t="n"/>
      <c r="F221" s="25" t="n"/>
      <c r="G221" s="27" t="n"/>
      <c r="H221" s="25" t="n"/>
      <c r="I221" s="24" t="n"/>
      <c r="J221" s="24" t="n"/>
      <c r="K221" s="25" t="n"/>
      <c r="L221" s="28" t="n"/>
      <c r="M221" s="24" t="n"/>
      <c r="N221" s="24" t="n"/>
      <c r="O221" s="26">
        <f>IF($A221="","",$F221*$D221)</f>
        <v/>
      </c>
      <c r="P221" s="26">
        <f>IF($A221="","",MAX(0,$O221-$E221))</f>
        <v/>
      </c>
      <c r="Q221" s="26">
        <f>IF($A221="","",IF(OR($J221="TAMAM"),0,$P221))</f>
        <v/>
      </c>
      <c r="R221" s="26">
        <f>IF(OR($A221="",$J221="TAMAM"),"",IFERROR($H221/MAX(1,SUMIF(tblKartlar[KartId],$B221,tblKartlar[KapasiteSaat])),0))</f>
        <v/>
      </c>
      <c r="S221" s="26">
        <f>IF($A221="","",IF($B221="","YETİM",IF(COUNTIF(tblKartlar[KartId],$B221)=0,"YETİM","")))</f>
        <v/>
      </c>
      <c r="T221" s="26">
        <f>IF(OR($A221="",$I221=""),"",IF(OR($I221&amp;"|"&amp;$J221="",COUNTIF(ListeIzinliGecis,$I221&amp;"|"&amp;$J221)&gt;0),"","GEÇERSİZ GEÇİŞ"))</f>
        <v/>
      </c>
      <c r="U221" s="26">
        <f>IF($A221="","",IF(OR($O221="",$K221=""),"",IF(ABS($K221-$O221)&gt;zincirTolerans,"ZİNCİR KIRIK","OK")))</f>
        <v/>
      </c>
      <c r="V221" s="26">
        <f>IF($A221="","",1)</f>
        <v/>
      </c>
      <c r="W221" s="26">
        <f>IF($A221="","",IF($J221="TAMAM",0,IF($L221="","",raporTarihi-$L221)))</f>
        <v/>
      </c>
    </row>
    <row r="222">
      <c r="A222" s="24" t="n"/>
      <c r="B222" s="24" t="n"/>
      <c r="C222" s="24" t="n"/>
      <c r="D222" s="25" t="n"/>
      <c r="E222" s="25" t="n"/>
      <c r="F222" s="25" t="n"/>
      <c r="G222" s="27" t="n"/>
      <c r="H222" s="25" t="n"/>
      <c r="I222" s="24" t="n"/>
      <c r="J222" s="24" t="n"/>
      <c r="K222" s="25" t="n"/>
      <c r="L222" s="28" t="n"/>
      <c r="M222" s="24" t="n"/>
      <c r="N222" s="24" t="n"/>
      <c r="O222" s="26">
        <f>IF($A222="","",$F222*$D222)</f>
        <v/>
      </c>
      <c r="P222" s="26">
        <f>IF($A222="","",MAX(0,$O222-$E222))</f>
        <v/>
      </c>
      <c r="Q222" s="26">
        <f>IF($A222="","",IF(OR($J222="TAMAM"),0,$P222))</f>
        <v/>
      </c>
      <c r="R222" s="26">
        <f>IF(OR($A222="",$J222="TAMAM"),"",IFERROR($H222/MAX(1,SUMIF(tblKartlar[KartId],$B222,tblKartlar[KapasiteSaat])),0))</f>
        <v/>
      </c>
      <c r="S222" s="26">
        <f>IF($A222="","",IF($B222="","YETİM",IF(COUNTIF(tblKartlar[KartId],$B222)=0,"YETİM","")))</f>
        <v/>
      </c>
      <c r="T222" s="26">
        <f>IF(OR($A222="",$I222=""),"",IF(OR($I222&amp;"|"&amp;$J222="",COUNTIF(ListeIzinliGecis,$I222&amp;"|"&amp;$J222)&gt;0),"","GEÇERSİZ GEÇİŞ"))</f>
        <v/>
      </c>
      <c r="U222" s="26">
        <f>IF($A222="","",IF(OR($O222="",$K222=""),"",IF(ABS($K222-$O222)&gt;zincirTolerans,"ZİNCİR KIRIK","OK")))</f>
        <v/>
      </c>
      <c r="V222" s="26">
        <f>IF($A222="","",1)</f>
        <v/>
      </c>
      <c r="W222" s="26">
        <f>IF($A222="","",IF($J222="TAMAM",0,IF($L222="","",raporTarihi-$L222)))</f>
        <v/>
      </c>
    </row>
    <row r="223">
      <c r="A223" s="24" t="n"/>
      <c r="B223" s="24" t="n"/>
      <c r="C223" s="24" t="n"/>
      <c r="D223" s="25" t="n"/>
      <c r="E223" s="25" t="n"/>
      <c r="F223" s="25" t="n"/>
      <c r="G223" s="27" t="n"/>
      <c r="H223" s="25" t="n"/>
      <c r="I223" s="24" t="n"/>
      <c r="J223" s="24" t="n"/>
      <c r="K223" s="25" t="n"/>
      <c r="L223" s="28" t="n"/>
      <c r="M223" s="24" t="n"/>
      <c r="N223" s="24" t="n"/>
      <c r="O223" s="26">
        <f>IF($A223="","",$F223*$D223)</f>
        <v/>
      </c>
      <c r="P223" s="26">
        <f>IF($A223="","",MAX(0,$O223-$E223))</f>
        <v/>
      </c>
      <c r="Q223" s="26">
        <f>IF($A223="","",IF(OR($J223="TAMAM"),0,$P223))</f>
        <v/>
      </c>
      <c r="R223" s="26">
        <f>IF(OR($A223="",$J223="TAMAM"),"",IFERROR($H223/MAX(1,SUMIF(tblKartlar[KartId],$B223,tblKartlar[KapasiteSaat])),0))</f>
        <v/>
      </c>
      <c r="S223" s="26">
        <f>IF($A223="","",IF($B223="","YETİM",IF(COUNTIF(tblKartlar[KartId],$B223)=0,"YETİM","")))</f>
        <v/>
      </c>
      <c r="T223" s="26">
        <f>IF(OR($A223="",$I223=""),"",IF(OR($I223&amp;"|"&amp;$J223="",COUNTIF(ListeIzinliGecis,$I223&amp;"|"&amp;$J223)&gt;0),"","GEÇERSİZ GEÇİŞ"))</f>
        <v/>
      </c>
      <c r="U223" s="26">
        <f>IF($A223="","",IF(OR($O223="",$K223=""),"",IF(ABS($K223-$O223)&gt;zincirTolerans,"ZİNCİR KIRIK","OK")))</f>
        <v/>
      </c>
      <c r="V223" s="26">
        <f>IF($A223="","",1)</f>
        <v/>
      </c>
      <c r="W223" s="26">
        <f>IF($A223="","",IF($J223="TAMAM",0,IF($L223="","",raporTarihi-$L223)))</f>
        <v/>
      </c>
    </row>
    <row r="224">
      <c r="A224" s="24" t="n"/>
      <c r="B224" s="24" t="n"/>
      <c r="C224" s="24" t="n"/>
      <c r="D224" s="25" t="n"/>
      <c r="E224" s="25" t="n"/>
      <c r="F224" s="25" t="n"/>
      <c r="G224" s="27" t="n"/>
      <c r="H224" s="25" t="n"/>
      <c r="I224" s="24" t="n"/>
      <c r="J224" s="24" t="n"/>
      <c r="K224" s="25" t="n"/>
      <c r="L224" s="28" t="n"/>
      <c r="M224" s="24" t="n"/>
      <c r="N224" s="24" t="n"/>
      <c r="O224" s="26">
        <f>IF($A224="","",$F224*$D224)</f>
        <v/>
      </c>
      <c r="P224" s="26">
        <f>IF($A224="","",MAX(0,$O224-$E224))</f>
        <v/>
      </c>
      <c r="Q224" s="26">
        <f>IF($A224="","",IF(OR($J224="TAMAM"),0,$P224))</f>
        <v/>
      </c>
      <c r="R224" s="26">
        <f>IF(OR($A224="",$J224="TAMAM"),"",IFERROR($H224/MAX(1,SUMIF(tblKartlar[KartId],$B224,tblKartlar[KapasiteSaat])),0))</f>
        <v/>
      </c>
      <c r="S224" s="26">
        <f>IF($A224="","",IF($B224="","YETİM",IF(COUNTIF(tblKartlar[KartId],$B224)=0,"YETİM","")))</f>
        <v/>
      </c>
      <c r="T224" s="26">
        <f>IF(OR($A224="",$I224=""),"",IF(OR($I224&amp;"|"&amp;$J224="",COUNTIF(ListeIzinliGecis,$I224&amp;"|"&amp;$J224)&gt;0),"","GEÇERSİZ GEÇİŞ"))</f>
        <v/>
      </c>
      <c r="U224" s="26">
        <f>IF($A224="","",IF(OR($O224="",$K224=""),"",IF(ABS($K224-$O224)&gt;zincirTolerans,"ZİNCİR KIRIK","OK")))</f>
        <v/>
      </c>
      <c r="V224" s="26">
        <f>IF($A224="","",1)</f>
        <v/>
      </c>
      <c r="W224" s="26">
        <f>IF($A224="","",IF($J224="TAMAM",0,IF($L224="","",raporTarihi-$L224)))</f>
        <v/>
      </c>
    </row>
    <row r="225">
      <c r="A225" s="24" t="n"/>
      <c r="B225" s="24" t="n"/>
      <c r="C225" s="24" t="n"/>
      <c r="D225" s="25" t="n"/>
      <c r="E225" s="25" t="n"/>
      <c r="F225" s="25" t="n"/>
      <c r="G225" s="27" t="n"/>
      <c r="H225" s="25" t="n"/>
      <c r="I225" s="24" t="n"/>
      <c r="J225" s="24" t="n"/>
      <c r="K225" s="25" t="n"/>
      <c r="L225" s="28" t="n"/>
      <c r="M225" s="24" t="n"/>
      <c r="N225" s="24" t="n"/>
      <c r="O225" s="26">
        <f>IF($A225="","",$F225*$D225)</f>
        <v/>
      </c>
      <c r="P225" s="26">
        <f>IF($A225="","",MAX(0,$O225-$E225))</f>
        <v/>
      </c>
      <c r="Q225" s="26">
        <f>IF($A225="","",IF(OR($J225="TAMAM"),0,$P225))</f>
        <v/>
      </c>
      <c r="R225" s="26">
        <f>IF(OR($A225="",$J225="TAMAM"),"",IFERROR($H225/MAX(1,SUMIF(tblKartlar[KartId],$B225,tblKartlar[KapasiteSaat])),0))</f>
        <v/>
      </c>
      <c r="S225" s="26">
        <f>IF($A225="","",IF($B225="","YETİM",IF(COUNTIF(tblKartlar[KartId],$B225)=0,"YETİM","")))</f>
        <v/>
      </c>
      <c r="T225" s="26">
        <f>IF(OR($A225="",$I225=""),"",IF(OR($I225&amp;"|"&amp;$J225="",COUNTIF(ListeIzinliGecis,$I225&amp;"|"&amp;$J225)&gt;0),"","GEÇERSİZ GEÇİŞ"))</f>
        <v/>
      </c>
      <c r="U225" s="26">
        <f>IF($A225="","",IF(OR($O225="",$K225=""),"",IF(ABS($K225-$O225)&gt;zincirTolerans,"ZİNCİR KIRIK","OK")))</f>
        <v/>
      </c>
      <c r="V225" s="26">
        <f>IF($A225="","",1)</f>
        <v/>
      </c>
      <c r="W225" s="26">
        <f>IF($A225="","",IF($J225="TAMAM",0,IF($L225="","",raporTarihi-$L225)))</f>
        <v/>
      </c>
    </row>
    <row r="226">
      <c r="A226" s="24" t="n"/>
      <c r="B226" s="24" t="n"/>
      <c r="C226" s="24" t="n"/>
      <c r="D226" s="25" t="n"/>
      <c r="E226" s="25" t="n"/>
      <c r="F226" s="25" t="n"/>
      <c r="G226" s="27" t="n"/>
      <c r="H226" s="25" t="n"/>
      <c r="I226" s="24" t="n"/>
      <c r="J226" s="24" t="n"/>
      <c r="K226" s="25" t="n"/>
      <c r="L226" s="28" t="n"/>
      <c r="M226" s="24" t="n"/>
      <c r="N226" s="24" t="n"/>
      <c r="O226" s="26">
        <f>IF($A226="","",$F226*$D226)</f>
        <v/>
      </c>
      <c r="P226" s="26">
        <f>IF($A226="","",MAX(0,$O226-$E226))</f>
        <v/>
      </c>
      <c r="Q226" s="26">
        <f>IF($A226="","",IF(OR($J226="TAMAM"),0,$P226))</f>
        <v/>
      </c>
      <c r="R226" s="26">
        <f>IF(OR($A226="",$J226="TAMAM"),"",IFERROR($H226/MAX(1,SUMIF(tblKartlar[KartId],$B226,tblKartlar[KapasiteSaat])),0))</f>
        <v/>
      </c>
      <c r="S226" s="26">
        <f>IF($A226="","",IF($B226="","YETİM",IF(COUNTIF(tblKartlar[KartId],$B226)=0,"YETİM","")))</f>
        <v/>
      </c>
      <c r="T226" s="26">
        <f>IF(OR($A226="",$I226=""),"",IF(OR($I226&amp;"|"&amp;$J226="",COUNTIF(ListeIzinliGecis,$I226&amp;"|"&amp;$J226)&gt;0),"","GEÇERSİZ GEÇİŞ"))</f>
        <v/>
      </c>
      <c r="U226" s="26">
        <f>IF($A226="","",IF(OR($O226="",$K226=""),"",IF(ABS($K226-$O226)&gt;zincirTolerans,"ZİNCİR KIRIK","OK")))</f>
        <v/>
      </c>
      <c r="V226" s="26">
        <f>IF($A226="","",1)</f>
        <v/>
      </c>
      <c r="W226" s="26">
        <f>IF($A226="","",IF($J226="TAMAM",0,IF($L226="","",raporTarihi-$L226)))</f>
        <v/>
      </c>
    </row>
    <row r="227">
      <c r="A227" s="24" t="n"/>
      <c r="B227" s="24" t="n"/>
      <c r="C227" s="24" t="n"/>
      <c r="D227" s="25" t="n"/>
      <c r="E227" s="25" t="n"/>
      <c r="F227" s="25" t="n"/>
      <c r="G227" s="27" t="n"/>
      <c r="H227" s="25" t="n"/>
      <c r="I227" s="24" t="n"/>
      <c r="J227" s="24" t="n"/>
      <c r="K227" s="25" t="n"/>
      <c r="L227" s="28" t="n"/>
      <c r="M227" s="24" t="n"/>
      <c r="N227" s="24" t="n"/>
      <c r="O227" s="26">
        <f>IF($A227="","",$F227*$D227)</f>
        <v/>
      </c>
      <c r="P227" s="26">
        <f>IF($A227="","",MAX(0,$O227-$E227))</f>
        <v/>
      </c>
      <c r="Q227" s="26">
        <f>IF($A227="","",IF(OR($J227="TAMAM"),0,$P227))</f>
        <v/>
      </c>
      <c r="R227" s="26">
        <f>IF(OR($A227="",$J227="TAMAM"),"",IFERROR($H227/MAX(1,SUMIF(tblKartlar[KartId],$B227,tblKartlar[KapasiteSaat])),0))</f>
        <v/>
      </c>
      <c r="S227" s="26">
        <f>IF($A227="","",IF($B227="","YETİM",IF(COUNTIF(tblKartlar[KartId],$B227)=0,"YETİM","")))</f>
        <v/>
      </c>
      <c r="T227" s="26">
        <f>IF(OR($A227="",$I227=""),"",IF(OR($I227&amp;"|"&amp;$J227="",COUNTIF(ListeIzinliGecis,$I227&amp;"|"&amp;$J227)&gt;0),"","GEÇERSİZ GEÇİŞ"))</f>
        <v/>
      </c>
      <c r="U227" s="26">
        <f>IF($A227="","",IF(OR($O227="",$K227=""),"",IF(ABS($K227-$O227)&gt;zincirTolerans,"ZİNCİR KIRIK","OK")))</f>
        <v/>
      </c>
      <c r="V227" s="26">
        <f>IF($A227="","",1)</f>
        <v/>
      </c>
      <c r="W227" s="26">
        <f>IF($A227="","",IF($J227="TAMAM",0,IF($L227="","",raporTarihi-$L227)))</f>
        <v/>
      </c>
    </row>
    <row r="228">
      <c r="A228" s="24" t="n"/>
      <c r="B228" s="24" t="n"/>
      <c r="C228" s="24" t="n"/>
      <c r="D228" s="25" t="n"/>
      <c r="E228" s="25" t="n"/>
      <c r="F228" s="25" t="n"/>
      <c r="G228" s="27" t="n"/>
      <c r="H228" s="25" t="n"/>
      <c r="I228" s="24" t="n"/>
      <c r="J228" s="24" t="n"/>
      <c r="K228" s="25" t="n"/>
      <c r="L228" s="28" t="n"/>
      <c r="M228" s="24" t="n"/>
      <c r="N228" s="24" t="n"/>
      <c r="O228" s="26">
        <f>IF($A228="","",$F228*$D228)</f>
        <v/>
      </c>
      <c r="P228" s="26">
        <f>IF($A228="","",MAX(0,$O228-$E228))</f>
        <v/>
      </c>
      <c r="Q228" s="26">
        <f>IF($A228="","",IF(OR($J228="TAMAM"),0,$P228))</f>
        <v/>
      </c>
      <c r="R228" s="26">
        <f>IF(OR($A228="",$J228="TAMAM"),"",IFERROR($H228/MAX(1,SUMIF(tblKartlar[KartId],$B228,tblKartlar[KapasiteSaat])),0))</f>
        <v/>
      </c>
      <c r="S228" s="26">
        <f>IF($A228="","",IF($B228="","YETİM",IF(COUNTIF(tblKartlar[KartId],$B228)=0,"YETİM","")))</f>
        <v/>
      </c>
      <c r="T228" s="26">
        <f>IF(OR($A228="",$I228=""),"",IF(OR($I228&amp;"|"&amp;$J228="",COUNTIF(ListeIzinliGecis,$I228&amp;"|"&amp;$J228)&gt;0),"","GEÇERSİZ GEÇİŞ"))</f>
        <v/>
      </c>
      <c r="U228" s="26">
        <f>IF($A228="","",IF(OR($O228="",$K228=""),"",IF(ABS($K228-$O228)&gt;zincirTolerans,"ZİNCİR KIRIK","OK")))</f>
        <v/>
      </c>
      <c r="V228" s="26">
        <f>IF($A228="","",1)</f>
        <v/>
      </c>
      <c r="W228" s="26">
        <f>IF($A228="","",IF($J228="TAMAM",0,IF($L228="","",raporTarihi-$L228)))</f>
        <v/>
      </c>
    </row>
    <row r="229">
      <c r="A229" s="24" t="n"/>
      <c r="B229" s="24" t="n"/>
      <c r="C229" s="24" t="n"/>
      <c r="D229" s="25" t="n"/>
      <c r="E229" s="25" t="n"/>
      <c r="F229" s="25" t="n"/>
      <c r="G229" s="27" t="n"/>
      <c r="H229" s="25" t="n"/>
      <c r="I229" s="24" t="n"/>
      <c r="J229" s="24" t="n"/>
      <c r="K229" s="25" t="n"/>
      <c r="L229" s="28" t="n"/>
      <c r="M229" s="24" t="n"/>
      <c r="N229" s="24" t="n"/>
      <c r="O229" s="26">
        <f>IF($A229="","",$F229*$D229)</f>
        <v/>
      </c>
      <c r="P229" s="26">
        <f>IF($A229="","",MAX(0,$O229-$E229))</f>
        <v/>
      </c>
      <c r="Q229" s="26">
        <f>IF($A229="","",IF(OR($J229="TAMAM"),0,$P229))</f>
        <v/>
      </c>
      <c r="R229" s="26">
        <f>IF(OR($A229="",$J229="TAMAM"),"",IFERROR($H229/MAX(1,SUMIF(tblKartlar[KartId],$B229,tblKartlar[KapasiteSaat])),0))</f>
        <v/>
      </c>
      <c r="S229" s="26">
        <f>IF($A229="","",IF($B229="","YETİM",IF(COUNTIF(tblKartlar[KartId],$B229)=0,"YETİM","")))</f>
        <v/>
      </c>
      <c r="T229" s="26">
        <f>IF(OR($A229="",$I229=""),"",IF(OR($I229&amp;"|"&amp;$J229="",COUNTIF(ListeIzinliGecis,$I229&amp;"|"&amp;$J229)&gt;0),"","GEÇERSİZ GEÇİŞ"))</f>
        <v/>
      </c>
      <c r="U229" s="26">
        <f>IF($A229="","",IF(OR($O229="",$K229=""),"",IF(ABS($K229-$O229)&gt;zincirTolerans,"ZİNCİR KIRIK","OK")))</f>
        <v/>
      </c>
      <c r="V229" s="26">
        <f>IF($A229="","",1)</f>
        <v/>
      </c>
      <c r="W229" s="26">
        <f>IF($A229="","",IF($J229="TAMAM",0,IF($L229="","",raporTarihi-$L229)))</f>
        <v/>
      </c>
    </row>
    <row r="230">
      <c r="A230" s="24" t="n"/>
      <c r="B230" s="24" t="n"/>
      <c r="C230" s="24" t="n"/>
      <c r="D230" s="25" t="n"/>
      <c r="E230" s="25" t="n"/>
      <c r="F230" s="25" t="n"/>
      <c r="G230" s="27" t="n"/>
      <c r="H230" s="25" t="n"/>
      <c r="I230" s="24" t="n"/>
      <c r="J230" s="24" t="n"/>
      <c r="K230" s="25" t="n"/>
      <c r="L230" s="28" t="n"/>
      <c r="M230" s="24" t="n"/>
      <c r="N230" s="24" t="n"/>
      <c r="O230" s="26">
        <f>IF($A230="","",$F230*$D230)</f>
        <v/>
      </c>
      <c r="P230" s="26">
        <f>IF($A230="","",MAX(0,$O230-$E230))</f>
        <v/>
      </c>
      <c r="Q230" s="26">
        <f>IF($A230="","",IF(OR($J230="TAMAM"),0,$P230))</f>
        <v/>
      </c>
      <c r="R230" s="26">
        <f>IF(OR($A230="",$J230="TAMAM"),"",IFERROR($H230/MAX(1,SUMIF(tblKartlar[KartId],$B230,tblKartlar[KapasiteSaat])),0))</f>
        <v/>
      </c>
      <c r="S230" s="26">
        <f>IF($A230="","",IF($B230="","YETİM",IF(COUNTIF(tblKartlar[KartId],$B230)=0,"YETİM","")))</f>
        <v/>
      </c>
      <c r="T230" s="26">
        <f>IF(OR($A230="",$I230=""),"",IF(OR($I230&amp;"|"&amp;$J230="",COUNTIF(ListeIzinliGecis,$I230&amp;"|"&amp;$J230)&gt;0),"","GEÇERSİZ GEÇİŞ"))</f>
        <v/>
      </c>
      <c r="U230" s="26">
        <f>IF($A230="","",IF(OR($O230="",$K230=""),"",IF(ABS($K230-$O230)&gt;zincirTolerans,"ZİNCİR KIRIK","OK")))</f>
        <v/>
      </c>
      <c r="V230" s="26">
        <f>IF($A230="","",1)</f>
        <v/>
      </c>
      <c r="W230" s="26">
        <f>IF($A230="","",IF($J230="TAMAM",0,IF($L230="","",raporTarihi-$L230)))</f>
        <v/>
      </c>
    </row>
    <row r="231">
      <c r="A231" s="24" t="n"/>
      <c r="B231" s="24" t="n"/>
      <c r="C231" s="24" t="n"/>
      <c r="D231" s="25" t="n"/>
      <c r="E231" s="25" t="n"/>
      <c r="F231" s="25" t="n"/>
      <c r="G231" s="27" t="n"/>
      <c r="H231" s="25" t="n"/>
      <c r="I231" s="24" t="n"/>
      <c r="J231" s="24" t="n"/>
      <c r="K231" s="25" t="n"/>
      <c r="L231" s="28" t="n"/>
      <c r="M231" s="24" t="n"/>
      <c r="N231" s="24" t="n"/>
      <c r="O231" s="26">
        <f>IF($A231="","",$F231*$D231)</f>
        <v/>
      </c>
      <c r="P231" s="26">
        <f>IF($A231="","",MAX(0,$O231-$E231))</f>
        <v/>
      </c>
      <c r="Q231" s="26">
        <f>IF($A231="","",IF(OR($J231="TAMAM"),0,$P231))</f>
        <v/>
      </c>
      <c r="R231" s="26">
        <f>IF(OR($A231="",$J231="TAMAM"),"",IFERROR($H231/MAX(1,SUMIF(tblKartlar[KartId],$B231,tblKartlar[KapasiteSaat])),0))</f>
        <v/>
      </c>
      <c r="S231" s="26">
        <f>IF($A231="","",IF($B231="","YETİM",IF(COUNTIF(tblKartlar[KartId],$B231)=0,"YETİM","")))</f>
        <v/>
      </c>
      <c r="T231" s="26">
        <f>IF(OR($A231="",$I231=""),"",IF(OR($I231&amp;"|"&amp;$J231="",COUNTIF(ListeIzinliGecis,$I231&amp;"|"&amp;$J231)&gt;0),"","GEÇERSİZ GEÇİŞ"))</f>
        <v/>
      </c>
      <c r="U231" s="26">
        <f>IF($A231="","",IF(OR($O231="",$K231=""),"",IF(ABS($K231-$O231)&gt;zincirTolerans,"ZİNCİR KIRIK","OK")))</f>
        <v/>
      </c>
      <c r="V231" s="26">
        <f>IF($A231="","",1)</f>
        <v/>
      </c>
      <c r="W231" s="26">
        <f>IF($A231="","",IF($J231="TAMAM",0,IF($L231="","",raporTarihi-$L231)))</f>
        <v/>
      </c>
    </row>
    <row r="232">
      <c r="A232" s="24" t="n"/>
      <c r="B232" s="24" t="n"/>
      <c r="C232" s="24" t="n"/>
      <c r="D232" s="25" t="n"/>
      <c r="E232" s="25" t="n"/>
      <c r="F232" s="25" t="n"/>
      <c r="G232" s="27" t="n"/>
      <c r="H232" s="25" t="n"/>
      <c r="I232" s="24" t="n"/>
      <c r="J232" s="24" t="n"/>
      <c r="K232" s="25" t="n"/>
      <c r="L232" s="28" t="n"/>
      <c r="M232" s="24" t="n"/>
      <c r="N232" s="24" t="n"/>
      <c r="O232" s="26">
        <f>IF($A232="","",$F232*$D232)</f>
        <v/>
      </c>
      <c r="P232" s="26">
        <f>IF($A232="","",MAX(0,$O232-$E232))</f>
        <v/>
      </c>
      <c r="Q232" s="26">
        <f>IF($A232="","",IF(OR($J232="TAMAM"),0,$P232))</f>
        <v/>
      </c>
      <c r="R232" s="26">
        <f>IF(OR($A232="",$J232="TAMAM"),"",IFERROR($H232/MAX(1,SUMIF(tblKartlar[KartId],$B232,tblKartlar[KapasiteSaat])),0))</f>
        <v/>
      </c>
      <c r="S232" s="26">
        <f>IF($A232="","",IF($B232="","YETİM",IF(COUNTIF(tblKartlar[KartId],$B232)=0,"YETİM","")))</f>
        <v/>
      </c>
      <c r="T232" s="26">
        <f>IF(OR($A232="",$I232=""),"",IF(OR($I232&amp;"|"&amp;$J232="",COUNTIF(ListeIzinliGecis,$I232&amp;"|"&amp;$J232)&gt;0),"","GEÇERSİZ GEÇİŞ"))</f>
        <v/>
      </c>
      <c r="U232" s="26">
        <f>IF($A232="","",IF(OR($O232="",$K232=""),"",IF(ABS($K232-$O232)&gt;zincirTolerans,"ZİNCİR KIRIK","OK")))</f>
        <v/>
      </c>
      <c r="V232" s="26">
        <f>IF($A232="","",1)</f>
        <v/>
      </c>
      <c r="W232" s="26">
        <f>IF($A232="","",IF($J232="TAMAM",0,IF($L232="","",raporTarihi-$L232)))</f>
        <v/>
      </c>
    </row>
    <row r="233">
      <c r="A233" s="24" t="n"/>
      <c r="B233" s="24" t="n"/>
      <c r="C233" s="24" t="n"/>
      <c r="D233" s="25" t="n"/>
      <c r="E233" s="25" t="n"/>
      <c r="F233" s="25" t="n"/>
      <c r="G233" s="27" t="n"/>
      <c r="H233" s="25" t="n"/>
      <c r="I233" s="24" t="n"/>
      <c r="J233" s="24" t="n"/>
      <c r="K233" s="25" t="n"/>
      <c r="L233" s="28" t="n"/>
      <c r="M233" s="24" t="n"/>
      <c r="N233" s="24" t="n"/>
      <c r="O233" s="26">
        <f>IF($A233="","",$F233*$D233)</f>
        <v/>
      </c>
      <c r="P233" s="26">
        <f>IF($A233="","",MAX(0,$O233-$E233))</f>
        <v/>
      </c>
      <c r="Q233" s="26">
        <f>IF($A233="","",IF(OR($J233="TAMAM"),0,$P233))</f>
        <v/>
      </c>
      <c r="R233" s="26">
        <f>IF(OR($A233="",$J233="TAMAM"),"",IFERROR($H233/MAX(1,SUMIF(tblKartlar[KartId],$B233,tblKartlar[KapasiteSaat])),0))</f>
        <v/>
      </c>
      <c r="S233" s="26">
        <f>IF($A233="","",IF($B233="","YETİM",IF(COUNTIF(tblKartlar[KartId],$B233)=0,"YETİM","")))</f>
        <v/>
      </c>
      <c r="T233" s="26">
        <f>IF(OR($A233="",$I233=""),"",IF(OR($I233&amp;"|"&amp;$J233="",COUNTIF(ListeIzinliGecis,$I233&amp;"|"&amp;$J233)&gt;0),"","GEÇERSİZ GEÇİŞ"))</f>
        <v/>
      </c>
      <c r="U233" s="26">
        <f>IF($A233="","",IF(OR($O233="",$K233=""),"",IF(ABS($K233-$O233)&gt;zincirTolerans,"ZİNCİR KIRIK","OK")))</f>
        <v/>
      </c>
      <c r="V233" s="26">
        <f>IF($A233="","",1)</f>
        <v/>
      </c>
      <c r="W233" s="26">
        <f>IF($A233="","",IF($J233="TAMAM",0,IF($L233="","",raporTarihi-$L233)))</f>
        <v/>
      </c>
    </row>
    <row r="234">
      <c r="A234" s="24" t="n"/>
      <c r="B234" s="24" t="n"/>
      <c r="C234" s="24" t="n"/>
      <c r="D234" s="25" t="n"/>
      <c r="E234" s="25" t="n"/>
      <c r="F234" s="25" t="n"/>
      <c r="G234" s="27" t="n"/>
      <c r="H234" s="25" t="n"/>
      <c r="I234" s="24" t="n"/>
      <c r="J234" s="24" t="n"/>
      <c r="K234" s="25" t="n"/>
      <c r="L234" s="28" t="n"/>
      <c r="M234" s="24" t="n"/>
      <c r="N234" s="24" t="n"/>
      <c r="O234" s="26">
        <f>IF($A234="","",$F234*$D234)</f>
        <v/>
      </c>
      <c r="P234" s="26">
        <f>IF($A234="","",MAX(0,$O234-$E234))</f>
        <v/>
      </c>
      <c r="Q234" s="26">
        <f>IF($A234="","",IF(OR($J234="TAMAM"),0,$P234))</f>
        <v/>
      </c>
      <c r="R234" s="26">
        <f>IF(OR($A234="",$J234="TAMAM"),"",IFERROR($H234/MAX(1,SUMIF(tblKartlar[KartId],$B234,tblKartlar[KapasiteSaat])),0))</f>
        <v/>
      </c>
      <c r="S234" s="26">
        <f>IF($A234="","",IF($B234="","YETİM",IF(COUNTIF(tblKartlar[KartId],$B234)=0,"YETİM","")))</f>
        <v/>
      </c>
      <c r="T234" s="26">
        <f>IF(OR($A234="",$I234=""),"",IF(OR($I234&amp;"|"&amp;$J234="",COUNTIF(ListeIzinliGecis,$I234&amp;"|"&amp;$J234)&gt;0),"","GEÇERSİZ GEÇİŞ"))</f>
        <v/>
      </c>
      <c r="U234" s="26">
        <f>IF($A234="","",IF(OR($O234="",$K234=""),"",IF(ABS($K234-$O234)&gt;zincirTolerans,"ZİNCİR KIRIK","OK")))</f>
        <v/>
      </c>
      <c r="V234" s="26">
        <f>IF($A234="","",1)</f>
        <v/>
      </c>
      <c r="W234" s="26">
        <f>IF($A234="","",IF($J234="TAMAM",0,IF($L234="","",raporTarihi-$L234)))</f>
        <v/>
      </c>
    </row>
    <row r="235">
      <c r="A235" s="24" t="n"/>
      <c r="B235" s="24" t="n"/>
      <c r="C235" s="24" t="n"/>
      <c r="D235" s="25" t="n"/>
      <c r="E235" s="25" t="n"/>
      <c r="F235" s="25" t="n"/>
      <c r="G235" s="27" t="n"/>
      <c r="H235" s="25" t="n"/>
      <c r="I235" s="24" t="n"/>
      <c r="J235" s="24" t="n"/>
      <c r="K235" s="25" t="n"/>
      <c r="L235" s="28" t="n"/>
      <c r="M235" s="24" t="n"/>
      <c r="N235" s="24" t="n"/>
      <c r="O235" s="26">
        <f>IF($A235="","",$F235*$D235)</f>
        <v/>
      </c>
      <c r="P235" s="26">
        <f>IF($A235="","",MAX(0,$O235-$E235))</f>
        <v/>
      </c>
      <c r="Q235" s="26">
        <f>IF($A235="","",IF(OR($J235="TAMAM"),0,$P235))</f>
        <v/>
      </c>
      <c r="R235" s="26">
        <f>IF(OR($A235="",$J235="TAMAM"),"",IFERROR($H235/MAX(1,SUMIF(tblKartlar[KartId],$B235,tblKartlar[KapasiteSaat])),0))</f>
        <v/>
      </c>
      <c r="S235" s="26">
        <f>IF($A235="","",IF($B235="","YETİM",IF(COUNTIF(tblKartlar[KartId],$B235)=0,"YETİM","")))</f>
        <v/>
      </c>
      <c r="T235" s="26">
        <f>IF(OR($A235="",$I235=""),"",IF(OR($I235&amp;"|"&amp;$J235="",COUNTIF(ListeIzinliGecis,$I235&amp;"|"&amp;$J235)&gt;0),"","GEÇERSİZ GEÇİŞ"))</f>
        <v/>
      </c>
      <c r="U235" s="26">
        <f>IF($A235="","",IF(OR($O235="",$K235=""),"",IF(ABS($K235-$O235)&gt;zincirTolerans,"ZİNCİR KIRIK","OK")))</f>
        <v/>
      </c>
      <c r="V235" s="26">
        <f>IF($A235="","",1)</f>
        <v/>
      </c>
      <c r="W235" s="26">
        <f>IF($A235="","",IF($J235="TAMAM",0,IF($L235="","",raporTarihi-$L235)))</f>
        <v/>
      </c>
    </row>
    <row r="236">
      <c r="A236" s="24" t="n"/>
      <c r="B236" s="24" t="n"/>
      <c r="C236" s="24" t="n"/>
      <c r="D236" s="25" t="n"/>
      <c r="E236" s="25" t="n"/>
      <c r="F236" s="25" t="n"/>
      <c r="G236" s="27" t="n"/>
      <c r="H236" s="25" t="n"/>
      <c r="I236" s="24" t="n"/>
      <c r="J236" s="24" t="n"/>
      <c r="K236" s="25" t="n"/>
      <c r="L236" s="28" t="n"/>
      <c r="M236" s="24" t="n"/>
      <c r="N236" s="24" t="n"/>
      <c r="O236" s="26">
        <f>IF($A236="","",$F236*$D236)</f>
        <v/>
      </c>
      <c r="P236" s="26">
        <f>IF($A236="","",MAX(0,$O236-$E236))</f>
        <v/>
      </c>
      <c r="Q236" s="26">
        <f>IF($A236="","",IF(OR($J236="TAMAM"),0,$P236))</f>
        <v/>
      </c>
      <c r="R236" s="26">
        <f>IF(OR($A236="",$J236="TAMAM"),"",IFERROR($H236/MAX(1,SUMIF(tblKartlar[KartId],$B236,tblKartlar[KapasiteSaat])),0))</f>
        <v/>
      </c>
      <c r="S236" s="26">
        <f>IF($A236="","",IF($B236="","YETİM",IF(COUNTIF(tblKartlar[KartId],$B236)=0,"YETİM","")))</f>
        <v/>
      </c>
      <c r="T236" s="26">
        <f>IF(OR($A236="",$I236=""),"",IF(OR($I236&amp;"|"&amp;$J236="",COUNTIF(ListeIzinliGecis,$I236&amp;"|"&amp;$J236)&gt;0),"","GEÇERSİZ GEÇİŞ"))</f>
        <v/>
      </c>
      <c r="U236" s="26">
        <f>IF($A236="","",IF(OR($O236="",$K236=""),"",IF(ABS($K236-$O236)&gt;zincirTolerans,"ZİNCİR KIRIK","OK")))</f>
        <v/>
      </c>
      <c r="V236" s="26">
        <f>IF($A236="","",1)</f>
        <v/>
      </c>
      <c r="W236" s="26">
        <f>IF($A236="","",IF($J236="TAMAM",0,IF($L236="","",raporTarihi-$L236)))</f>
        <v/>
      </c>
    </row>
    <row r="237">
      <c r="A237" s="24" t="n"/>
      <c r="B237" s="24" t="n"/>
      <c r="C237" s="24" t="n"/>
      <c r="D237" s="25" t="n"/>
      <c r="E237" s="25" t="n"/>
      <c r="F237" s="25" t="n"/>
      <c r="G237" s="27" t="n"/>
      <c r="H237" s="25" t="n"/>
      <c r="I237" s="24" t="n"/>
      <c r="J237" s="24" t="n"/>
      <c r="K237" s="25" t="n"/>
      <c r="L237" s="28" t="n"/>
      <c r="M237" s="24" t="n"/>
      <c r="N237" s="24" t="n"/>
      <c r="O237" s="26">
        <f>IF($A237="","",$F237*$D237)</f>
        <v/>
      </c>
      <c r="P237" s="26">
        <f>IF($A237="","",MAX(0,$O237-$E237))</f>
        <v/>
      </c>
      <c r="Q237" s="26">
        <f>IF($A237="","",IF(OR($J237="TAMAM"),0,$P237))</f>
        <v/>
      </c>
      <c r="R237" s="26">
        <f>IF(OR($A237="",$J237="TAMAM"),"",IFERROR($H237/MAX(1,SUMIF(tblKartlar[KartId],$B237,tblKartlar[KapasiteSaat])),0))</f>
        <v/>
      </c>
      <c r="S237" s="26">
        <f>IF($A237="","",IF($B237="","YETİM",IF(COUNTIF(tblKartlar[KartId],$B237)=0,"YETİM","")))</f>
        <v/>
      </c>
      <c r="T237" s="26">
        <f>IF(OR($A237="",$I237=""),"",IF(OR($I237&amp;"|"&amp;$J237="",COUNTIF(ListeIzinliGecis,$I237&amp;"|"&amp;$J237)&gt;0),"","GEÇERSİZ GEÇİŞ"))</f>
        <v/>
      </c>
      <c r="U237" s="26">
        <f>IF($A237="","",IF(OR($O237="",$K237=""),"",IF(ABS($K237-$O237)&gt;zincirTolerans,"ZİNCİR KIRIK","OK")))</f>
        <v/>
      </c>
      <c r="V237" s="26">
        <f>IF($A237="","",1)</f>
        <v/>
      </c>
      <c r="W237" s="26">
        <f>IF($A237="","",IF($J237="TAMAM",0,IF($L237="","",raporTarihi-$L237)))</f>
        <v/>
      </c>
    </row>
    <row r="238">
      <c r="A238" s="24" t="n"/>
      <c r="B238" s="24" t="n"/>
      <c r="C238" s="24" t="n"/>
      <c r="D238" s="25" t="n"/>
      <c r="E238" s="25" t="n"/>
      <c r="F238" s="25" t="n"/>
      <c r="G238" s="27" t="n"/>
      <c r="H238" s="25" t="n"/>
      <c r="I238" s="24" t="n"/>
      <c r="J238" s="24" t="n"/>
      <c r="K238" s="25" t="n"/>
      <c r="L238" s="28" t="n"/>
      <c r="M238" s="24" t="n"/>
      <c r="N238" s="24" t="n"/>
      <c r="O238" s="26">
        <f>IF($A238="","",$F238*$D238)</f>
        <v/>
      </c>
      <c r="P238" s="26">
        <f>IF($A238="","",MAX(0,$O238-$E238))</f>
        <v/>
      </c>
      <c r="Q238" s="26">
        <f>IF($A238="","",IF(OR($J238="TAMAM"),0,$P238))</f>
        <v/>
      </c>
      <c r="R238" s="26">
        <f>IF(OR($A238="",$J238="TAMAM"),"",IFERROR($H238/MAX(1,SUMIF(tblKartlar[KartId],$B238,tblKartlar[KapasiteSaat])),0))</f>
        <v/>
      </c>
      <c r="S238" s="26">
        <f>IF($A238="","",IF($B238="","YETİM",IF(COUNTIF(tblKartlar[KartId],$B238)=0,"YETİM","")))</f>
        <v/>
      </c>
      <c r="T238" s="26">
        <f>IF(OR($A238="",$I238=""),"",IF(OR($I238&amp;"|"&amp;$J238="",COUNTIF(ListeIzinliGecis,$I238&amp;"|"&amp;$J238)&gt;0),"","GEÇERSİZ GEÇİŞ"))</f>
        <v/>
      </c>
      <c r="U238" s="26">
        <f>IF($A238="","",IF(OR($O238="",$K238=""),"",IF(ABS($K238-$O238)&gt;zincirTolerans,"ZİNCİR KIRIK","OK")))</f>
        <v/>
      </c>
      <c r="V238" s="26">
        <f>IF($A238="","",1)</f>
        <v/>
      </c>
      <c r="W238" s="26">
        <f>IF($A238="","",IF($J238="TAMAM",0,IF($L238="","",raporTarihi-$L238)))</f>
        <v/>
      </c>
    </row>
    <row r="239">
      <c r="A239" s="24" t="n"/>
      <c r="B239" s="24" t="n"/>
      <c r="C239" s="24" t="n"/>
      <c r="D239" s="25" t="n"/>
      <c r="E239" s="25" t="n"/>
      <c r="F239" s="25" t="n"/>
      <c r="G239" s="27" t="n"/>
      <c r="H239" s="25" t="n"/>
      <c r="I239" s="24" t="n"/>
      <c r="J239" s="24" t="n"/>
      <c r="K239" s="25" t="n"/>
      <c r="L239" s="28" t="n"/>
      <c r="M239" s="24" t="n"/>
      <c r="N239" s="24" t="n"/>
      <c r="O239" s="26">
        <f>IF($A239="","",$F239*$D239)</f>
        <v/>
      </c>
      <c r="P239" s="26">
        <f>IF($A239="","",MAX(0,$O239-$E239))</f>
        <v/>
      </c>
      <c r="Q239" s="26">
        <f>IF($A239="","",IF(OR($J239="TAMAM"),0,$P239))</f>
        <v/>
      </c>
      <c r="R239" s="26">
        <f>IF(OR($A239="",$J239="TAMAM"),"",IFERROR($H239/MAX(1,SUMIF(tblKartlar[KartId],$B239,tblKartlar[KapasiteSaat])),0))</f>
        <v/>
      </c>
      <c r="S239" s="26">
        <f>IF($A239="","",IF($B239="","YETİM",IF(COUNTIF(tblKartlar[KartId],$B239)=0,"YETİM","")))</f>
        <v/>
      </c>
      <c r="T239" s="26">
        <f>IF(OR($A239="",$I239=""),"",IF(OR($I239&amp;"|"&amp;$J239="",COUNTIF(ListeIzinliGecis,$I239&amp;"|"&amp;$J239)&gt;0),"","GEÇERSİZ GEÇİŞ"))</f>
        <v/>
      </c>
      <c r="U239" s="26">
        <f>IF($A239="","",IF(OR($O239="",$K239=""),"",IF(ABS($K239-$O239)&gt;zincirTolerans,"ZİNCİR KIRIK","OK")))</f>
        <v/>
      </c>
      <c r="V239" s="26">
        <f>IF($A239="","",1)</f>
        <v/>
      </c>
      <c r="W239" s="26">
        <f>IF($A239="","",IF($J239="TAMAM",0,IF($L239="","",raporTarihi-$L239)))</f>
        <v/>
      </c>
    </row>
    <row r="240">
      <c r="A240" s="24" t="n"/>
      <c r="B240" s="24" t="n"/>
      <c r="C240" s="24" t="n"/>
      <c r="D240" s="25" t="n"/>
      <c r="E240" s="25" t="n"/>
      <c r="F240" s="25" t="n"/>
      <c r="G240" s="27" t="n"/>
      <c r="H240" s="25" t="n"/>
      <c r="I240" s="24" t="n"/>
      <c r="J240" s="24" t="n"/>
      <c r="K240" s="25" t="n"/>
      <c r="L240" s="28" t="n"/>
      <c r="M240" s="24" t="n"/>
      <c r="N240" s="24" t="n"/>
      <c r="O240" s="26">
        <f>IF($A240="","",$F240*$D240)</f>
        <v/>
      </c>
      <c r="P240" s="26">
        <f>IF($A240="","",MAX(0,$O240-$E240))</f>
        <v/>
      </c>
      <c r="Q240" s="26">
        <f>IF($A240="","",IF(OR($J240="TAMAM"),0,$P240))</f>
        <v/>
      </c>
      <c r="R240" s="26">
        <f>IF(OR($A240="",$J240="TAMAM"),"",IFERROR($H240/MAX(1,SUMIF(tblKartlar[KartId],$B240,tblKartlar[KapasiteSaat])),0))</f>
        <v/>
      </c>
      <c r="S240" s="26">
        <f>IF($A240="","",IF($B240="","YETİM",IF(COUNTIF(tblKartlar[KartId],$B240)=0,"YETİM","")))</f>
        <v/>
      </c>
      <c r="T240" s="26">
        <f>IF(OR($A240="",$I240=""),"",IF(OR($I240&amp;"|"&amp;$J240="",COUNTIF(ListeIzinliGecis,$I240&amp;"|"&amp;$J240)&gt;0),"","GEÇERSİZ GEÇİŞ"))</f>
        <v/>
      </c>
      <c r="U240" s="26">
        <f>IF($A240="","",IF(OR($O240="",$K240=""),"",IF(ABS($K240-$O240)&gt;zincirTolerans,"ZİNCİR KIRIK","OK")))</f>
        <v/>
      </c>
      <c r="V240" s="26">
        <f>IF($A240="","",1)</f>
        <v/>
      </c>
      <c r="W240" s="26">
        <f>IF($A240="","",IF($J240="TAMAM",0,IF($L240="","",raporTarihi-$L240)))</f>
        <v/>
      </c>
    </row>
    <row r="241">
      <c r="A241" s="24" t="n"/>
      <c r="B241" s="24" t="n"/>
      <c r="C241" s="24" t="n"/>
      <c r="D241" s="25" t="n"/>
      <c r="E241" s="25" t="n"/>
      <c r="F241" s="25" t="n"/>
      <c r="G241" s="27" t="n"/>
      <c r="H241" s="25" t="n"/>
      <c r="I241" s="24" t="n"/>
      <c r="J241" s="24" t="n"/>
      <c r="K241" s="25" t="n"/>
      <c r="L241" s="28" t="n"/>
      <c r="M241" s="24" t="n"/>
      <c r="N241" s="24" t="n"/>
      <c r="O241" s="26">
        <f>IF($A241="","",$F241*$D241)</f>
        <v/>
      </c>
      <c r="P241" s="26">
        <f>IF($A241="","",MAX(0,$O241-$E241))</f>
        <v/>
      </c>
      <c r="Q241" s="26">
        <f>IF($A241="","",IF(OR($J241="TAMAM"),0,$P241))</f>
        <v/>
      </c>
      <c r="R241" s="26">
        <f>IF(OR($A241="",$J241="TAMAM"),"",IFERROR($H241/MAX(1,SUMIF(tblKartlar[KartId],$B241,tblKartlar[KapasiteSaat])),0))</f>
        <v/>
      </c>
      <c r="S241" s="26">
        <f>IF($A241="","",IF($B241="","YETİM",IF(COUNTIF(tblKartlar[KartId],$B241)=0,"YETİM","")))</f>
        <v/>
      </c>
      <c r="T241" s="26">
        <f>IF(OR($A241="",$I241=""),"",IF(OR($I241&amp;"|"&amp;$J241="",COUNTIF(ListeIzinliGecis,$I241&amp;"|"&amp;$J241)&gt;0),"","GEÇERSİZ GEÇİŞ"))</f>
        <v/>
      </c>
      <c r="U241" s="26">
        <f>IF($A241="","",IF(OR($O241="",$K241=""),"",IF(ABS($K241-$O241)&gt;zincirTolerans,"ZİNCİR KIRIK","OK")))</f>
        <v/>
      </c>
      <c r="V241" s="26">
        <f>IF($A241="","",1)</f>
        <v/>
      </c>
      <c r="W241" s="26">
        <f>IF($A241="","",IF($J241="TAMAM",0,IF($L241="","",raporTarihi-$L241)))</f>
        <v/>
      </c>
    </row>
    <row r="242">
      <c r="A242" s="24" t="n"/>
      <c r="B242" s="24" t="n"/>
      <c r="C242" s="24" t="n"/>
      <c r="D242" s="25" t="n"/>
      <c r="E242" s="25" t="n"/>
      <c r="F242" s="25" t="n"/>
      <c r="G242" s="27" t="n"/>
      <c r="H242" s="25" t="n"/>
      <c r="I242" s="24" t="n"/>
      <c r="J242" s="24" t="n"/>
      <c r="K242" s="25" t="n"/>
      <c r="L242" s="28" t="n"/>
      <c r="M242" s="24" t="n"/>
      <c r="N242" s="24" t="n"/>
      <c r="O242" s="26">
        <f>IF($A242="","",$F242*$D242)</f>
        <v/>
      </c>
      <c r="P242" s="26">
        <f>IF($A242="","",MAX(0,$O242-$E242))</f>
        <v/>
      </c>
      <c r="Q242" s="26">
        <f>IF($A242="","",IF(OR($J242="TAMAM"),0,$P242))</f>
        <v/>
      </c>
      <c r="R242" s="26">
        <f>IF(OR($A242="",$J242="TAMAM"),"",IFERROR($H242/MAX(1,SUMIF(tblKartlar[KartId],$B242,tblKartlar[KapasiteSaat])),0))</f>
        <v/>
      </c>
      <c r="S242" s="26">
        <f>IF($A242="","",IF($B242="","YETİM",IF(COUNTIF(tblKartlar[KartId],$B242)=0,"YETİM","")))</f>
        <v/>
      </c>
      <c r="T242" s="26">
        <f>IF(OR($A242="",$I242=""),"",IF(OR($I242&amp;"|"&amp;$J242="",COUNTIF(ListeIzinliGecis,$I242&amp;"|"&amp;$J242)&gt;0),"","GEÇERSİZ GEÇİŞ"))</f>
        <v/>
      </c>
      <c r="U242" s="26">
        <f>IF($A242="","",IF(OR($O242="",$K242=""),"",IF(ABS($K242-$O242)&gt;zincirTolerans,"ZİNCİR KIRIK","OK")))</f>
        <v/>
      </c>
      <c r="V242" s="26">
        <f>IF($A242="","",1)</f>
        <v/>
      </c>
      <c r="W242" s="26">
        <f>IF($A242="","",IF($J242="TAMAM",0,IF($L242="","",raporTarihi-$L242)))</f>
        <v/>
      </c>
    </row>
    <row r="243">
      <c r="A243" s="24" t="n"/>
      <c r="B243" s="24" t="n"/>
      <c r="C243" s="24" t="n"/>
      <c r="D243" s="25" t="n"/>
      <c r="E243" s="25" t="n"/>
      <c r="F243" s="25" t="n"/>
      <c r="G243" s="27" t="n"/>
      <c r="H243" s="25" t="n"/>
      <c r="I243" s="24" t="n"/>
      <c r="J243" s="24" t="n"/>
      <c r="K243" s="25" t="n"/>
      <c r="L243" s="28" t="n"/>
      <c r="M243" s="24" t="n"/>
      <c r="N243" s="24" t="n"/>
      <c r="O243" s="26">
        <f>IF($A243="","",$F243*$D243)</f>
        <v/>
      </c>
      <c r="P243" s="26">
        <f>IF($A243="","",MAX(0,$O243-$E243))</f>
        <v/>
      </c>
      <c r="Q243" s="26">
        <f>IF($A243="","",IF(OR($J243="TAMAM"),0,$P243))</f>
        <v/>
      </c>
      <c r="R243" s="26">
        <f>IF(OR($A243="",$J243="TAMAM"),"",IFERROR($H243/MAX(1,SUMIF(tblKartlar[KartId],$B243,tblKartlar[KapasiteSaat])),0))</f>
        <v/>
      </c>
      <c r="S243" s="26">
        <f>IF($A243="","",IF($B243="","YETİM",IF(COUNTIF(tblKartlar[KartId],$B243)=0,"YETİM","")))</f>
        <v/>
      </c>
      <c r="T243" s="26">
        <f>IF(OR($A243="",$I243=""),"",IF(OR($I243&amp;"|"&amp;$J243="",COUNTIF(ListeIzinliGecis,$I243&amp;"|"&amp;$J243)&gt;0),"","GEÇERSİZ GEÇİŞ"))</f>
        <v/>
      </c>
      <c r="U243" s="26">
        <f>IF($A243="","",IF(OR($O243="",$K243=""),"",IF(ABS($K243-$O243)&gt;zincirTolerans,"ZİNCİR KIRIK","OK")))</f>
        <v/>
      </c>
      <c r="V243" s="26">
        <f>IF($A243="","",1)</f>
        <v/>
      </c>
      <c r="W243" s="26">
        <f>IF($A243="","",IF($J243="TAMAM",0,IF($L243="","",raporTarihi-$L243)))</f>
        <v/>
      </c>
    </row>
    <row r="244">
      <c r="A244" s="24" t="n"/>
      <c r="B244" s="24" t="n"/>
      <c r="C244" s="24" t="n"/>
      <c r="D244" s="25" t="n"/>
      <c r="E244" s="25" t="n"/>
      <c r="F244" s="25" t="n"/>
      <c r="G244" s="27" t="n"/>
      <c r="H244" s="25" t="n"/>
      <c r="I244" s="24" t="n"/>
      <c r="J244" s="24" t="n"/>
      <c r="K244" s="25" t="n"/>
      <c r="L244" s="28" t="n"/>
      <c r="M244" s="24" t="n"/>
      <c r="N244" s="24" t="n"/>
      <c r="O244" s="26">
        <f>IF($A244="","",$F244*$D244)</f>
        <v/>
      </c>
      <c r="P244" s="26">
        <f>IF($A244="","",MAX(0,$O244-$E244))</f>
        <v/>
      </c>
      <c r="Q244" s="26">
        <f>IF($A244="","",IF(OR($J244="TAMAM"),0,$P244))</f>
        <v/>
      </c>
      <c r="R244" s="26">
        <f>IF(OR($A244="",$J244="TAMAM"),"",IFERROR($H244/MAX(1,SUMIF(tblKartlar[KartId],$B244,tblKartlar[KapasiteSaat])),0))</f>
        <v/>
      </c>
      <c r="S244" s="26">
        <f>IF($A244="","",IF($B244="","YETİM",IF(COUNTIF(tblKartlar[KartId],$B244)=0,"YETİM","")))</f>
        <v/>
      </c>
      <c r="T244" s="26">
        <f>IF(OR($A244="",$I244=""),"",IF(OR($I244&amp;"|"&amp;$J244="",COUNTIF(ListeIzinliGecis,$I244&amp;"|"&amp;$J244)&gt;0),"","GEÇERSİZ GEÇİŞ"))</f>
        <v/>
      </c>
      <c r="U244" s="26">
        <f>IF($A244="","",IF(OR($O244="",$K244=""),"",IF(ABS($K244-$O244)&gt;zincirTolerans,"ZİNCİR KIRIK","OK")))</f>
        <v/>
      </c>
      <c r="V244" s="26">
        <f>IF($A244="","",1)</f>
        <v/>
      </c>
      <c r="W244" s="26">
        <f>IF($A244="","",IF($J244="TAMAM",0,IF($L244="","",raporTarihi-$L244)))</f>
        <v/>
      </c>
    </row>
    <row r="245">
      <c r="A245" s="24" t="n"/>
      <c r="B245" s="24" t="n"/>
      <c r="C245" s="24" t="n"/>
      <c r="D245" s="25" t="n"/>
      <c r="E245" s="25" t="n"/>
      <c r="F245" s="25" t="n"/>
      <c r="G245" s="27" t="n"/>
      <c r="H245" s="25" t="n"/>
      <c r="I245" s="24" t="n"/>
      <c r="J245" s="24" t="n"/>
      <c r="K245" s="25" t="n"/>
      <c r="L245" s="28" t="n"/>
      <c r="M245" s="24" t="n"/>
      <c r="N245" s="24" t="n"/>
      <c r="O245" s="26">
        <f>IF($A245="","",$F245*$D245)</f>
        <v/>
      </c>
      <c r="P245" s="26">
        <f>IF($A245="","",MAX(0,$O245-$E245))</f>
        <v/>
      </c>
      <c r="Q245" s="26">
        <f>IF($A245="","",IF(OR($J245="TAMAM"),0,$P245))</f>
        <v/>
      </c>
      <c r="R245" s="26">
        <f>IF(OR($A245="",$J245="TAMAM"),"",IFERROR($H245/MAX(1,SUMIF(tblKartlar[KartId],$B245,tblKartlar[KapasiteSaat])),0))</f>
        <v/>
      </c>
      <c r="S245" s="26">
        <f>IF($A245="","",IF($B245="","YETİM",IF(COUNTIF(tblKartlar[KartId],$B245)=0,"YETİM","")))</f>
        <v/>
      </c>
      <c r="T245" s="26">
        <f>IF(OR($A245="",$I245=""),"",IF(OR($I245&amp;"|"&amp;$J245="",COUNTIF(ListeIzinliGecis,$I245&amp;"|"&amp;$J245)&gt;0),"","GEÇERSİZ GEÇİŞ"))</f>
        <v/>
      </c>
      <c r="U245" s="26">
        <f>IF($A245="","",IF(OR($O245="",$K245=""),"",IF(ABS($K245-$O245)&gt;zincirTolerans,"ZİNCİR KIRIK","OK")))</f>
        <v/>
      </c>
      <c r="V245" s="26">
        <f>IF($A245="","",1)</f>
        <v/>
      </c>
      <c r="W245" s="26">
        <f>IF($A245="","",IF($J245="TAMAM",0,IF($L245="","",raporTarihi-$L245)))</f>
        <v/>
      </c>
    </row>
    <row r="246">
      <c r="A246" s="24" t="n"/>
      <c r="B246" s="24" t="n"/>
      <c r="C246" s="24" t="n"/>
      <c r="D246" s="25" t="n"/>
      <c r="E246" s="25" t="n"/>
      <c r="F246" s="25" t="n"/>
      <c r="G246" s="27" t="n"/>
      <c r="H246" s="25" t="n"/>
      <c r="I246" s="24" t="n"/>
      <c r="J246" s="24" t="n"/>
      <c r="K246" s="25" t="n"/>
      <c r="L246" s="28" t="n"/>
      <c r="M246" s="24" t="n"/>
      <c r="N246" s="24" t="n"/>
      <c r="O246" s="26">
        <f>IF($A246="","",$F246*$D246)</f>
        <v/>
      </c>
      <c r="P246" s="26">
        <f>IF($A246="","",MAX(0,$O246-$E246))</f>
        <v/>
      </c>
      <c r="Q246" s="26">
        <f>IF($A246="","",IF(OR($J246="TAMAM"),0,$P246))</f>
        <v/>
      </c>
      <c r="R246" s="26">
        <f>IF(OR($A246="",$J246="TAMAM"),"",IFERROR($H246/MAX(1,SUMIF(tblKartlar[KartId],$B246,tblKartlar[KapasiteSaat])),0))</f>
        <v/>
      </c>
      <c r="S246" s="26">
        <f>IF($A246="","",IF($B246="","YETİM",IF(COUNTIF(tblKartlar[KartId],$B246)=0,"YETİM","")))</f>
        <v/>
      </c>
      <c r="T246" s="26">
        <f>IF(OR($A246="",$I246=""),"",IF(OR($I246&amp;"|"&amp;$J246="",COUNTIF(ListeIzinliGecis,$I246&amp;"|"&amp;$J246)&gt;0),"","GEÇERSİZ GEÇİŞ"))</f>
        <v/>
      </c>
      <c r="U246" s="26">
        <f>IF($A246="","",IF(OR($O246="",$K246=""),"",IF(ABS($K246-$O246)&gt;zincirTolerans,"ZİNCİR KIRIK","OK")))</f>
        <v/>
      </c>
      <c r="V246" s="26">
        <f>IF($A246="","",1)</f>
        <v/>
      </c>
      <c r="W246" s="26">
        <f>IF($A246="","",IF($J246="TAMAM",0,IF($L246="","",raporTarihi-$L246)))</f>
        <v/>
      </c>
    </row>
    <row r="247">
      <c r="A247" s="24" t="n"/>
      <c r="B247" s="24" t="n"/>
      <c r="C247" s="24" t="n"/>
      <c r="D247" s="25" t="n"/>
      <c r="E247" s="25" t="n"/>
      <c r="F247" s="25" t="n"/>
      <c r="G247" s="27" t="n"/>
      <c r="H247" s="25" t="n"/>
      <c r="I247" s="24" t="n"/>
      <c r="J247" s="24" t="n"/>
      <c r="K247" s="25" t="n"/>
      <c r="L247" s="28" t="n"/>
      <c r="M247" s="24" t="n"/>
      <c r="N247" s="24" t="n"/>
      <c r="O247" s="26">
        <f>IF($A247="","",$F247*$D247)</f>
        <v/>
      </c>
      <c r="P247" s="26">
        <f>IF($A247="","",MAX(0,$O247-$E247))</f>
        <v/>
      </c>
      <c r="Q247" s="26">
        <f>IF($A247="","",IF(OR($J247="TAMAM"),0,$P247))</f>
        <v/>
      </c>
      <c r="R247" s="26">
        <f>IF(OR($A247="",$J247="TAMAM"),"",IFERROR($H247/MAX(1,SUMIF(tblKartlar[KartId],$B247,tblKartlar[KapasiteSaat])),0))</f>
        <v/>
      </c>
      <c r="S247" s="26">
        <f>IF($A247="","",IF($B247="","YETİM",IF(COUNTIF(tblKartlar[KartId],$B247)=0,"YETİM","")))</f>
        <v/>
      </c>
      <c r="T247" s="26">
        <f>IF(OR($A247="",$I247=""),"",IF(OR($I247&amp;"|"&amp;$J247="",COUNTIF(ListeIzinliGecis,$I247&amp;"|"&amp;$J247)&gt;0),"","GEÇERSİZ GEÇİŞ"))</f>
        <v/>
      </c>
      <c r="U247" s="26">
        <f>IF($A247="","",IF(OR($O247="",$K247=""),"",IF(ABS($K247-$O247)&gt;zincirTolerans,"ZİNCİR KIRIK","OK")))</f>
        <v/>
      </c>
      <c r="V247" s="26">
        <f>IF($A247="","",1)</f>
        <v/>
      </c>
      <c r="W247" s="26">
        <f>IF($A247="","",IF($J247="TAMAM",0,IF($L247="","",raporTarihi-$L247)))</f>
        <v/>
      </c>
    </row>
    <row r="248">
      <c r="A248" s="24" t="n"/>
      <c r="B248" s="24" t="n"/>
      <c r="C248" s="24" t="n"/>
      <c r="D248" s="25" t="n"/>
      <c r="E248" s="25" t="n"/>
      <c r="F248" s="25" t="n"/>
      <c r="G248" s="27" t="n"/>
      <c r="H248" s="25" t="n"/>
      <c r="I248" s="24" t="n"/>
      <c r="J248" s="24" t="n"/>
      <c r="K248" s="25" t="n"/>
      <c r="L248" s="28" t="n"/>
      <c r="M248" s="24" t="n"/>
      <c r="N248" s="24" t="n"/>
      <c r="O248" s="26">
        <f>IF($A248="","",$F248*$D248)</f>
        <v/>
      </c>
      <c r="P248" s="26">
        <f>IF($A248="","",MAX(0,$O248-$E248))</f>
        <v/>
      </c>
      <c r="Q248" s="26">
        <f>IF($A248="","",IF(OR($J248="TAMAM"),0,$P248))</f>
        <v/>
      </c>
      <c r="R248" s="26">
        <f>IF(OR($A248="",$J248="TAMAM"),"",IFERROR($H248/MAX(1,SUMIF(tblKartlar[KartId],$B248,tblKartlar[KapasiteSaat])),0))</f>
        <v/>
      </c>
      <c r="S248" s="26">
        <f>IF($A248="","",IF($B248="","YETİM",IF(COUNTIF(tblKartlar[KartId],$B248)=0,"YETİM","")))</f>
        <v/>
      </c>
      <c r="T248" s="26">
        <f>IF(OR($A248="",$I248=""),"",IF(OR($I248&amp;"|"&amp;$J248="",COUNTIF(ListeIzinliGecis,$I248&amp;"|"&amp;$J248)&gt;0),"","GEÇERSİZ GEÇİŞ"))</f>
        <v/>
      </c>
      <c r="U248" s="26">
        <f>IF($A248="","",IF(OR($O248="",$K248=""),"",IF(ABS($K248-$O248)&gt;zincirTolerans,"ZİNCİR KIRIK","OK")))</f>
        <v/>
      </c>
      <c r="V248" s="26">
        <f>IF($A248="","",1)</f>
        <v/>
      </c>
      <c r="W248" s="26">
        <f>IF($A248="","",IF($J248="TAMAM",0,IF($L248="","",raporTarihi-$L248)))</f>
        <v/>
      </c>
    </row>
    <row r="249">
      <c r="A249" s="24" t="n"/>
      <c r="B249" s="24" t="n"/>
      <c r="C249" s="24" t="n"/>
      <c r="D249" s="25" t="n"/>
      <c r="E249" s="25" t="n"/>
      <c r="F249" s="25" t="n"/>
      <c r="G249" s="27" t="n"/>
      <c r="H249" s="25" t="n"/>
      <c r="I249" s="24" t="n"/>
      <c r="J249" s="24" t="n"/>
      <c r="K249" s="25" t="n"/>
      <c r="L249" s="28" t="n"/>
      <c r="M249" s="24" t="n"/>
      <c r="N249" s="24" t="n"/>
      <c r="O249" s="26">
        <f>IF($A249="","",$F249*$D249)</f>
        <v/>
      </c>
      <c r="P249" s="26">
        <f>IF($A249="","",MAX(0,$O249-$E249))</f>
        <v/>
      </c>
      <c r="Q249" s="26">
        <f>IF($A249="","",IF(OR($J249="TAMAM"),0,$P249))</f>
        <v/>
      </c>
      <c r="R249" s="26">
        <f>IF(OR($A249="",$J249="TAMAM"),"",IFERROR($H249/MAX(1,SUMIF(tblKartlar[KartId],$B249,tblKartlar[KapasiteSaat])),0))</f>
        <v/>
      </c>
      <c r="S249" s="26">
        <f>IF($A249="","",IF($B249="","YETİM",IF(COUNTIF(tblKartlar[KartId],$B249)=0,"YETİM","")))</f>
        <v/>
      </c>
      <c r="T249" s="26">
        <f>IF(OR($A249="",$I249=""),"",IF(OR($I249&amp;"|"&amp;$J249="",COUNTIF(ListeIzinliGecis,$I249&amp;"|"&amp;$J249)&gt;0),"","GEÇERSİZ GEÇİŞ"))</f>
        <v/>
      </c>
      <c r="U249" s="26">
        <f>IF($A249="","",IF(OR($O249="",$K249=""),"",IF(ABS($K249-$O249)&gt;zincirTolerans,"ZİNCİR KIRIK","OK")))</f>
        <v/>
      </c>
      <c r="V249" s="26">
        <f>IF($A249="","",1)</f>
        <v/>
      </c>
      <c r="W249" s="26">
        <f>IF($A249="","",IF($J249="TAMAM",0,IF($L249="","",raporTarihi-$L249)))</f>
        <v/>
      </c>
    </row>
    <row r="250">
      <c r="A250" s="24" t="n"/>
      <c r="B250" s="24" t="n"/>
      <c r="C250" s="24" t="n"/>
      <c r="D250" s="25" t="n"/>
      <c r="E250" s="25" t="n"/>
      <c r="F250" s="25" t="n"/>
      <c r="G250" s="27" t="n"/>
      <c r="H250" s="25" t="n"/>
      <c r="I250" s="24" t="n"/>
      <c r="J250" s="24" t="n"/>
      <c r="K250" s="25" t="n"/>
      <c r="L250" s="28" t="n"/>
      <c r="M250" s="24" t="n"/>
      <c r="N250" s="24" t="n"/>
      <c r="O250" s="26">
        <f>IF($A250="","",$F250*$D250)</f>
        <v/>
      </c>
      <c r="P250" s="26">
        <f>IF($A250="","",MAX(0,$O250-$E250))</f>
        <v/>
      </c>
      <c r="Q250" s="26">
        <f>IF($A250="","",IF(OR($J250="TAMAM"),0,$P250))</f>
        <v/>
      </c>
      <c r="R250" s="26">
        <f>IF(OR($A250="",$J250="TAMAM"),"",IFERROR($H250/MAX(1,SUMIF(tblKartlar[KartId],$B250,tblKartlar[KapasiteSaat])),0))</f>
        <v/>
      </c>
      <c r="S250" s="26">
        <f>IF($A250="","",IF($B250="","YETİM",IF(COUNTIF(tblKartlar[KartId],$B250)=0,"YETİM","")))</f>
        <v/>
      </c>
      <c r="T250" s="26">
        <f>IF(OR($A250="",$I250=""),"",IF(OR($I250&amp;"|"&amp;$J250="",COUNTIF(ListeIzinliGecis,$I250&amp;"|"&amp;$J250)&gt;0),"","GEÇERSİZ GEÇİŞ"))</f>
        <v/>
      </c>
      <c r="U250" s="26">
        <f>IF($A250="","",IF(OR($O250="",$K250=""),"",IF(ABS($K250-$O250)&gt;zincirTolerans,"ZİNCİR KIRIK","OK")))</f>
        <v/>
      </c>
      <c r="V250" s="26">
        <f>IF($A250="","",1)</f>
        <v/>
      </c>
      <c r="W250" s="26">
        <f>IF($A250="","",IF($J250="TAMAM",0,IF($L250="","",raporTarihi-$L250)))</f>
        <v/>
      </c>
    </row>
    <row r="251">
      <c r="A251" s="24" t="n"/>
      <c r="B251" s="24" t="n"/>
      <c r="C251" s="24" t="n"/>
      <c r="D251" s="25" t="n"/>
      <c r="E251" s="25" t="n"/>
      <c r="F251" s="25" t="n"/>
      <c r="G251" s="27" t="n"/>
      <c r="H251" s="25" t="n"/>
      <c r="I251" s="24" t="n"/>
      <c r="J251" s="24" t="n"/>
      <c r="K251" s="25" t="n"/>
      <c r="L251" s="28" t="n"/>
      <c r="M251" s="24" t="n"/>
      <c r="N251" s="24" t="n"/>
      <c r="O251" s="26">
        <f>IF($A251="","",$F251*$D251)</f>
        <v/>
      </c>
      <c r="P251" s="26">
        <f>IF($A251="","",MAX(0,$O251-$E251))</f>
        <v/>
      </c>
      <c r="Q251" s="26">
        <f>IF($A251="","",IF(OR($J251="TAMAM"),0,$P251))</f>
        <v/>
      </c>
      <c r="R251" s="26">
        <f>IF(OR($A251="",$J251="TAMAM"),"",IFERROR($H251/MAX(1,SUMIF(tblKartlar[KartId],$B251,tblKartlar[KapasiteSaat])),0))</f>
        <v/>
      </c>
      <c r="S251" s="26">
        <f>IF($A251="","",IF($B251="","YETİM",IF(COUNTIF(tblKartlar[KartId],$B251)=0,"YETİM","")))</f>
        <v/>
      </c>
      <c r="T251" s="26">
        <f>IF(OR($A251="",$I251=""),"",IF(OR($I251&amp;"|"&amp;$J251="",COUNTIF(ListeIzinliGecis,$I251&amp;"|"&amp;$J251)&gt;0),"","GEÇERSİZ GEÇİŞ"))</f>
        <v/>
      </c>
      <c r="U251" s="26">
        <f>IF($A251="","",IF(OR($O251="",$K251=""),"",IF(ABS($K251-$O251)&gt;zincirTolerans,"ZİNCİR KIRIK","OK")))</f>
        <v/>
      </c>
      <c r="V251" s="26">
        <f>IF($A251="","",1)</f>
        <v/>
      </c>
      <c r="W251" s="26">
        <f>IF($A251="","",IF($J251="TAMAM",0,IF($L251="","",raporTarihi-$L251)))</f>
        <v/>
      </c>
    </row>
    <row r="252">
      <c r="A252" s="24" t="n"/>
      <c r="B252" s="24" t="n"/>
      <c r="C252" s="24" t="n"/>
      <c r="D252" s="25" t="n"/>
      <c r="E252" s="25" t="n"/>
      <c r="F252" s="25" t="n"/>
      <c r="G252" s="27" t="n"/>
      <c r="H252" s="25" t="n"/>
      <c r="I252" s="24" t="n"/>
      <c r="J252" s="24" t="n"/>
      <c r="K252" s="25" t="n"/>
      <c r="L252" s="28" t="n"/>
      <c r="M252" s="24" t="n"/>
      <c r="N252" s="24" t="n"/>
      <c r="O252" s="26">
        <f>IF($A252="","",$F252*$D252)</f>
        <v/>
      </c>
      <c r="P252" s="26">
        <f>IF($A252="","",MAX(0,$O252-$E252))</f>
        <v/>
      </c>
      <c r="Q252" s="26">
        <f>IF($A252="","",IF(OR($J252="TAMAM"),0,$P252))</f>
        <v/>
      </c>
      <c r="R252" s="26">
        <f>IF(OR($A252="",$J252="TAMAM"),"",IFERROR($H252/MAX(1,SUMIF(tblKartlar[KartId],$B252,tblKartlar[KapasiteSaat])),0))</f>
        <v/>
      </c>
      <c r="S252" s="26">
        <f>IF($A252="","",IF($B252="","YETİM",IF(COUNTIF(tblKartlar[KartId],$B252)=0,"YETİM","")))</f>
        <v/>
      </c>
      <c r="T252" s="26">
        <f>IF(OR($A252="",$I252=""),"",IF(OR($I252&amp;"|"&amp;$J252="",COUNTIF(ListeIzinliGecis,$I252&amp;"|"&amp;$J252)&gt;0),"","GEÇERSİZ GEÇİŞ"))</f>
        <v/>
      </c>
      <c r="U252" s="26">
        <f>IF($A252="","",IF(OR($O252="",$K252=""),"",IF(ABS($K252-$O252)&gt;zincirTolerans,"ZİNCİR KIRIK","OK")))</f>
        <v/>
      </c>
      <c r="V252" s="26">
        <f>IF($A252="","",1)</f>
        <v/>
      </c>
      <c r="W252" s="26">
        <f>IF($A252="","",IF($J252="TAMAM",0,IF($L252="","",raporTarihi-$L252)))</f>
        <v/>
      </c>
    </row>
    <row r="253">
      <c r="A253" s="24" t="n"/>
      <c r="B253" s="24" t="n"/>
      <c r="C253" s="24" t="n"/>
      <c r="D253" s="25" t="n"/>
      <c r="E253" s="25" t="n"/>
      <c r="F253" s="25" t="n"/>
      <c r="G253" s="27" t="n"/>
      <c r="H253" s="25" t="n"/>
      <c r="I253" s="24" t="n"/>
      <c r="J253" s="24" t="n"/>
      <c r="K253" s="25" t="n"/>
      <c r="L253" s="28" t="n"/>
      <c r="M253" s="24" t="n"/>
      <c r="N253" s="24" t="n"/>
      <c r="O253" s="26">
        <f>IF($A253="","",$F253*$D253)</f>
        <v/>
      </c>
      <c r="P253" s="26">
        <f>IF($A253="","",MAX(0,$O253-$E253))</f>
        <v/>
      </c>
      <c r="Q253" s="26">
        <f>IF($A253="","",IF(OR($J253="TAMAM"),0,$P253))</f>
        <v/>
      </c>
      <c r="R253" s="26">
        <f>IF(OR($A253="",$J253="TAMAM"),"",IFERROR($H253/MAX(1,SUMIF(tblKartlar[KartId],$B253,tblKartlar[KapasiteSaat])),0))</f>
        <v/>
      </c>
      <c r="S253" s="26">
        <f>IF($A253="","",IF($B253="","YETİM",IF(COUNTIF(tblKartlar[KartId],$B253)=0,"YETİM","")))</f>
        <v/>
      </c>
      <c r="T253" s="26">
        <f>IF(OR($A253="",$I253=""),"",IF(OR($I253&amp;"|"&amp;$J253="",COUNTIF(ListeIzinliGecis,$I253&amp;"|"&amp;$J253)&gt;0),"","GEÇERSİZ GEÇİŞ"))</f>
        <v/>
      </c>
      <c r="U253" s="26">
        <f>IF($A253="","",IF(OR($O253="",$K253=""),"",IF(ABS($K253-$O253)&gt;zincirTolerans,"ZİNCİR KIRIK","OK")))</f>
        <v/>
      </c>
      <c r="V253" s="26">
        <f>IF($A253="","",1)</f>
        <v/>
      </c>
      <c r="W253" s="26">
        <f>IF($A253="","",IF($J253="TAMAM",0,IF($L253="","",raporTarihi-$L253)))</f>
        <v/>
      </c>
    </row>
    <row r="254">
      <c r="A254" s="24" t="n"/>
      <c r="B254" s="24" t="n"/>
      <c r="C254" s="24" t="n"/>
      <c r="D254" s="25" t="n"/>
      <c r="E254" s="25" t="n"/>
      <c r="F254" s="25" t="n"/>
      <c r="G254" s="27" t="n"/>
      <c r="H254" s="25" t="n"/>
      <c r="I254" s="24" t="n"/>
      <c r="J254" s="24" t="n"/>
      <c r="K254" s="25" t="n"/>
      <c r="L254" s="28" t="n"/>
      <c r="M254" s="24" t="n"/>
      <c r="N254" s="24" t="n"/>
      <c r="O254" s="26">
        <f>IF($A254="","",$F254*$D254)</f>
        <v/>
      </c>
      <c r="P254" s="26">
        <f>IF($A254="","",MAX(0,$O254-$E254))</f>
        <v/>
      </c>
      <c r="Q254" s="26">
        <f>IF($A254="","",IF(OR($J254="TAMAM"),0,$P254))</f>
        <v/>
      </c>
      <c r="R254" s="26">
        <f>IF(OR($A254="",$J254="TAMAM"),"",IFERROR($H254/MAX(1,SUMIF(tblKartlar[KartId],$B254,tblKartlar[KapasiteSaat])),0))</f>
        <v/>
      </c>
      <c r="S254" s="26">
        <f>IF($A254="","",IF($B254="","YETİM",IF(COUNTIF(tblKartlar[KartId],$B254)=0,"YETİM","")))</f>
        <v/>
      </c>
      <c r="T254" s="26">
        <f>IF(OR($A254="",$I254=""),"",IF(OR($I254&amp;"|"&amp;$J254="",COUNTIF(ListeIzinliGecis,$I254&amp;"|"&amp;$J254)&gt;0),"","GEÇERSİZ GEÇİŞ"))</f>
        <v/>
      </c>
      <c r="U254" s="26">
        <f>IF($A254="","",IF(OR($O254="",$K254=""),"",IF(ABS($K254-$O254)&gt;zincirTolerans,"ZİNCİR KIRIK","OK")))</f>
        <v/>
      </c>
      <c r="V254" s="26">
        <f>IF($A254="","",1)</f>
        <v/>
      </c>
      <c r="W254" s="26">
        <f>IF($A254="","",IF($J254="TAMAM",0,IF($L254="","",raporTarihi-$L254)))</f>
        <v/>
      </c>
    </row>
    <row r="255">
      <c r="A255" s="24" t="n"/>
      <c r="B255" s="24" t="n"/>
      <c r="C255" s="24" t="n"/>
      <c r="D255" s="25" t="n"/>
      <c r="E255" s="25" t="n"/>
      <c r="F255" s="25" t="n"/>
      <c r="G255" s="27" t="n"/>
      <c r="H255" s="25" t="n"/>
      <c r="I255" s="24" t="n"/>
      <c r="J255" s="24" t="n"/>
      <c r="K255" s="25" t="n"/>
      <c r="L255" s="28" t="n"/>
      <c r="M255" s="24" t="n"/>
      <c r="N255" s="24" t="n"/>
      <c r="O255" s="26">
        <f>IF($A255="","",$F255*$D255)</f>
        <v/>
      </c>
      <c r="P255" s="26">
        <f>IF($A255="","",MAX(0,$O255-$E255))</f>
        <v/>
      </c>
      <c r="Q255" s="26">
        <f>IF($A255="","",IF(OR($J255="TAMAM"),0,$P255))</f>
        <v/>
      </c>
      <c r="R255" s="26">
        <f>IF(OR($A255="",$J255="TAMAM"),"",IFERROR($H255/MAX(1,SUMIF(tblKartlar[KartId],$B255,tblKartlar[KapasiteSaat])),0))</f>
        <v/>
      </c>
      <c r="S255" s="26">
        <f>IF($A255="","",IF($B255="","YETİM",IF(COUNTIF(tblKartlar[KartId],$B255)=0,"YETİM","")))</f>
        <v/>
      </c>
      <c r="T255" s="26">
        <f>IF(OR($A255="",$I255=""),"",IF(OR($I255&amp;"|"&amp;$J255="",COUNTIF(ListeIzinliGecis,$I255&amp;"|"&amp;$J255)&gt;0),"","GEÇERSİZ GEÇİŞ"))</f>
        <v/>
      </c>
      <c r="U255" s="26">
        <f>IF($A255="","",IF(OR($O255="",$K255=""),"",IF(ABS($K255-$O255)&gt;zincirTolerans,"ZİNCİR KIRIK","OK")))</f>
        <v/>
      </c>
      <c r="V255" s="26">
        <f>IF($A255="","",1)</f>
        <v/>
      </c>
      <c r="W255" s="26">
        <f>IF($A255="","",IF($J255="TAMAM",0,IF($L255="","",raporTarihi-$L255)))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T3"/>
    <mergeCell ref="A1:X1"/>
  </mergeCells>
  <conditionalFormatting sqref="S6:S255">
    <cfRule type="cellIs" priority="1" operator="equal" dxfId="2">
      <formula>"YETİM"</formula>
    </cfRule>
  </conditionalFormatting>
  <conditionalFormatting sqref="T6:T255">
    <cfRule type="cellIs" priority="2" operator="equal" dxfId="2">
      <formula>"GEÇERSİZ GEÇİŞ"</formula>
    </cfRule>
  </conditionalFormatting>
  <conditionalFormatting sqref="U6:U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J6:J255">
    <cfRule type="cellIs" priority="5" operator="equal" dxfId="1">
      <formula>"TEDARIK"</formula>
    </cfRule>
    <cfRule type="cellIs" priority="6" operator="equal" dxfId="4">
      <formula>"URETIM"</formula>
    </cfRule>
    <cfRule type="cellIs" priority="7" operator="equal" dxfId="3">
      <formula>"TAMAM"</formula>
    </cfRule>
  </conditionalFormatting>
  <dataValidations count="13">
    <dataValidation sqref="A6:A255" showDropDown="0" showInputMessage="1" showErrorMessage="1" allowBlank="1" errorTitle="Kimlik" error="Boş olamaz" promptTitle="İşlem Kimliği" prompt="IE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Bileşen" error="Geçersiz" promptTitle="Bileşen" prompt="Bileşen kodu" type="textLength" errorStyle="stop" operator="greaterThanOrEqual">
      <formula1>0</formula1>
      <formula2>40</formula2>
    </dataValidation>
    <dataValidation sqref="D6:D255" showDropDown="0" showInputMessage="1" showErrorMessage="1" allowBlank="1" errorTitle="Birim" error="0 veya üzeri" promptTitle="Birim" prompt="Birim ≥ 0" type="decimal" errorStyle="stop" operator="greaterThanOrEqual">
      <formula1>0</formula1>
    </dataValidation>
    <dataValidation sqref="E6:E255" showDropDown="0" showInputMessage="1" showErrorMessage="1" allowBlank="1" errorTitle="Stok" error="0 veya üzeri" promptTitle="Stok" prompt="Stok ≥ 0" type="decimal" errorStyle="stop" operator="greaterThanOrEqual">
      <formula1>0</formula1>
    </dataValidation>
    <dataValidation sqref="F6:F255" showDropDown="0" showInputMessage="1" showErrorMessage="1" allowBlank="1" errorTitle="Sipariş" error="0 veya üzeri" promptTitle="Sipariş" prompt="Sipariş ≥ 0" type="decimal" errorStyle="stop" operator="greaterThanOrEqual">
      <formula1>0</formula1>
    </dataValidation>
    <dataValidation sqref="G6:G255" showDropDown="0" showInputMessage="1" showErrorMessage="1" allowBlank="1" errorTitle="Tedarik" error="0 veya üzeri" promptTitle="Tedarik" prompt="Tedarik ≥ 0" type="decimal" errorStyle="stop" operator="greaterThanOrEqual">
      <formula1>0</formula1>
    </dataValidation>
    <dataValidation sqref="H6:H255" showDropDown="0" showInputMessage="1" showErrorMessage="1" allowBlank="1" errorTitle="İş Emri" error="0 veya üzeri" promptTitle="İş Emri" prompt="İş Emri ≥ 0" type="decimal" errorStyle="stop" operator="greaterThanOrEqual">
      <formula1>0</formula1>
    </dataValidation>
    <dataValidation sqref="K6:K255" showDropDown="0" showInputMessage="1" showErrorMessage="1" allowBlank="1" errorTitle="Brüt Beklenen" error="0 veya üzeri" promptTitle="Brüt Beklenen" prompt="Brüt Beklenen ≥ 0" type="decimal" errorStyle="stop" operator="greaterThanOrEqual">
      <formula1>0</formula1>
    </dataValidation>
    <dataValidation sqref="I6:I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J6:J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L6:L255" showDropDown="0" showInputMessage="1" showErrorMessage="1" allowBlank="1" errorTitle="Tarih" error="Geçerli tarih" promptTitle="Plan" prompt="Plan tarihi" type="date" errorStyle="stop" operator="greaterThan">
      <formula1>1</formula1>
    </dataValidation>
    <dataValidation sqref="M6:M255" showDropDown="0" showInputMessage="1" showErrorMessage="1" allowBlank="1" errorTitle="Liste" error="A veya B" promptTitle="Yorum A" prompt="A veya B" type="list" errorStyle="stop">
      <formula1>ListeYorumAB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</cols>
  <sheetData>
    <row r="1" ht="26" customHeight="1">
      <c r="A1" s="1" t="inlineStr">
        <is>
          <t>KUYRUKLAR — Mini-MRP (BOM + Malzeme İhtiyacı + Kapasite)</t>
        </is>
      </c>
    </row>
    <row r="3" ht="20" customHeight="1">
      <c r="A3" s="20" t="inlineStr">
        <is>
          <t>Durum bazlı canlı kuyruk — kapalı kayıtlar düşer</t>
        </is>
      </c>
    </row>
    <row r="5">
      <c r="A5" s="29" t="inlineStr">
        <is>
          <t>Kuyruk</t>
        </is>
      </c>
      <c r="B5" s="29" t="inlineStr">
        <is>
          <t>Adet</t>
        </is>
      </c>
      <c r="C5" s="29" t="inlineStr">
        <is>
          <t>Net İhtiyaç</t>
        </is>
      </c>
    </row>
    <row r="6">
      <c r="A6" s="7" t="inlineStr">
        <is>
          <t>Kuyruk Plan</t>
        </is>
      </c>
      <c r="B6" s="18">
        <f>COUNTIFS(tblAkis[Durum],"PLAN",tblAkis[KayitDolu],1)</f>
        <v/>
      </c>
      <c r="C6" s="18">
        <f>SUMIF(tblAkis[Durum],"PLAN",tblAkis[NetIhtiyac])</f>
        <v/>
      </c>
    </row>
    <row r="7">
      <c r="A7" s="7" t="inlineStr">
        <is>
          <t>Kuyruk Tedarik</t>
        </is>
      </c>
      <c r="B7" s="18">
        <f>COUNTIFS(tblAkis[Durum],"TEDARIK",tblAkis[KayitDolu],1)</f>
        <v/>
      </c>
      <c r="C7" s="18">
        <f>SUMIF(tblAkis[Durum],"TEDARIK",tblAkis[NetIhtiyac])</f>
        <v/>
      </c>
    </row>
    <row r="8">
      <c r="A8" s="7" t="inlineStr">
        <is>
          <t>Kuyruk Üretim</t>
        </is>
      </c>
      <c r="B8" s="18">
        <f>COUNTIFS(tblAkis[Durum],"URETIM",tblAkis[KayitDolu],1)</f>
        <v/>
      </c>
      <c r="C8" s="18">
        <f>SUMIF(tblAkis[Durum],"URETIM",tblAkis[NetIhtiyac])</f>
        <v/>
      </c>
    </row>
    <row r="9">
      <c r="A9" s="7" t="inlineStr">
        <is>
          <t>Satın Al (net&gt;0 ve tedarik≥eşik)</t>
        </is>
      </c>
      <c r="B9" s="18">
        <f>COUNTIFS(tblAkis[NetIhtiyac],"&gt;0",tblAkis[TedarikSuresiGun],"&gt;="&amp;mmr_esikTedarikGun,tblAkis[Durum],"&lt;&gt;TAMAM")</f>
        <v/>
      </c>
      <c r="C9" s="18">
        <f>SUMIFS(tblAkis[NetIhtiyac],tblAkis[NetIhtiyac],"&gt;0",tblAkis[TedarikSuresiGun],"&gt;="&amp;mmr_esikTedarikGun,tblAkis[Durum],"&lt;&gt;TAMAM")</f>
        <v/>
      </c>
    </row>
    <row r="11">
      <c r="A11" s="16" t="inlineStr">
        <is>
          <t>Kapalı (Tamam) — kuyruktan düşer</t>
        </is>
      </c>
    </row>
    <row r="12">
      <c r="A12" s="7" t="inlineStr">
        <is>
          <t>Tamam</t>
        </is>
      </c>
      <c r="B12" s="18">
        <f>COUNTIF(tblAkis[Durum],"TAMAM")</f>
        <v/>
      </c>
      <c r="C12" s="18">
        <f>SUMIF(tblAkis[Durum],"TAMAM",tblAkis[NetIhtiyac])</f>
        <v/>
      </c>
    </row>
    <row r="15">
      <c r="A15" s="22" t="inlineStr">
        <is>
          <t>Kuyruk Özeti</t>
        </is>
      </c>
      <c r="B15" s="8">
        <f>mmr_kuyrukOzeti</f>
        <v/>
      </c>
    </row>
    <row r="17">
      <c r="A17" s="16" t="inlineStr">
        <is>
          <t>Kapasite Yük Bandı</t>
        </is>
      </c>
    </row>
    <row r="18">
      <c r="A18" s="7" t="inlineStr">
        <is>
          <t>≤%70</t>
        </is>
      </c>
      <c r="B18" s="18">
        <f>COUNTIFS(tblAkis[KapasiteYukuPct],"&lt;="&amp;0.7,tblAkis[KayitDolu],1)</f>
        <v/>
      </c>
    </row>
    <row r="19">
      <c r="A19" s="7" t="inlineStr">
        <is>
          <t>%70-100</t>
        </is>
      </c>
      <c r="B19" s="18">
        <f>COUNTIFS(tblAkis[KapasiteYukuPct],"&gt;0.7",tblAkis[KapasiteYukuPct],"&lt;=1",tblAkis[KayitDolu],1)</f>
        <v/>
      </c>
    </row>
    <row r="20">
      <c r="A20" s="7" t="inlineStr">
        <is>
          <t>&gt;%100</t>
        </is>
      </c>
      <c r="B20" s="18">
        <f>COUNTIFS(tblAkis[KapasiteYukuPct],"&gt;1",tblAkis[KayitDolu],1)</f>
        <v/>
      </c>
    </row>
    <row r="21">
      <c r="A21" s="7" t="inlineStr">
        <is>
          <t>Boş/Tamam</t>
        </is>
      </c>
      <c r="B21" s="18">
        <f>COUNTBLANK(tblAkis[KapasiteYukuPct])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5:F15"/>
    <mergeCell ref="A3:J3"/>
    <mergeCell ref="A1:N1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8">
    <cfRule type="cellIs" priority="9" operator="greaterThan" dxfId="3">
      <formula>0</formula>
    </cfRule>
  </conditionalFormatting>
  <conditionalFormatting sqref="B19">
    <cfRule type="cellIs" priority="10" operator="greaterThan" dxfId="3">
      <formula>0</formula>
    </cfRule>
  </conditionalFormatting>
  <conditionalFormatting sqref="B20">
    <cfRule type="cellIs" priority="11" operator="greaterThan" dxfId="3">
      <formula>0</formula>
    </cfRule>
  </conditionalFormatting>
  <conditionalFormatting sqref="B21">
    <cfRule type="cellIs" priority="12" operator="greaterThan" dxfId="3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L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0" customWidth="1" min="3" max="3"/>
  </cols>
  <sheetData>
    <row r="1" ht="26" customHeight="1">
      <c r="A1" s="1" t="inlineStr">
        <is>
          <t>HESAP — Mini-MRP (BOM + Malzeme İhtiyacı + Kapasite)</t>
        </is>
      </c>
    </row>
    <row r="3" ht="20" customHeight="1">
      <c r="A3" s="20" t="inlineStr">
        <is>
          <t>Hesap motoru — ≥40 adım; sabitler AYARLAR'dan</t>
        </is>
      </c>
    </row>
    <row r="5">
      <c r="A5" s="29" t="inlineStr">
        <is>
          <t>Adım</t>
        </is>
      </c>
      <c r="B5" s="29" t="inlineStr">
        <is>
          <t>Açıklama</t>
        </is>
      </c>
      <c r="C5" s="29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0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0">
        <f>SUM(tblAkis[KayitDolu])</f>
        <v/>
      </c>
    </row>
    <row r="8">
      <c r="A8" s="7" t="inlineStr">
        <is>
          <t>H03</t>
        </is>
      </c>
      <c r="B8" s="7" t="inlineStr">
        <is>
          <t>Brüt ihtiyaç toplam</t>
        </is>
      </c>
      <c r="C8" s="30">
        <f>SUM(tblAkis[BrutIhtiyac])</f>
        <v/>
      </c>
    </row>
    <row r="9">
      <c r="A9" s="7" t="inlineStr">
        <is>
          <t>H04</t>
        </is>
      </c>
      <c r="B9" s="7" t="inlineStr">
        <is>
          <t>Stok toplam</t>
        </is>
      </c>
      <c r="C9" s="30">
        <f>SUM(tblAkis[StokMiktar])</f>
        <v/>
      </c>
    </row>
    <row r="10">
      <c r="A10" s="7" t="inlineStr">
        <is>
          <t>H05</t>
        </is>
      </c>
      <c r="B10" s="7" t="inlineStr">
        <is>
          <t>Sipariş toplam</t>
        </is>
      </c>
      <c r="C10" s="30">
        <f>SUM(tblAkis[SiparisMiktari])</f>
        <v/>
      </c>
    </row>
    <row r="11">
      <c r="A11" s="7" t="inlineStr">
        <is>
          <t>H06</t>
        </is>
      </c>
      <c r="B11" s="7" t="inlineStr">
        <is>
          <t>Plan adet</t>
        </is>
      </c>
      <c r="C11" s="30">
        <f>COUNTIF(tblAkis[Durum],"PLAN")</f>
        <v/>
      </c>
    </row>
    <row r="12">
      <c r="A12" s="7" t="inlineStr">
        <is>
          <t>H07</t>
        </is>
      </c>
      <c r="B12" s="7" t="inlineStr">
        <is>
          <t>Tedarik adet</t>
        </is>
      </c>
      <c r="C12" s="30">
        <f>COUNTIF(tblAkis[Durum],"TEDARIK")</f>
        <v/>
      </c>
    </row>
    <row r="13">
      <c r="A13" s="7" t="inlineStr">
        <is>
          <t>H08</t>
        </is>
      </c>
      <c r="B13" s="7" t="inlineStr">
        <is>
          <t>Üretim adet</t>
        </is>
      </c>
      <c r="C13" s="30">
        <f>COUNTIF(tblAkis[Durum],"URETIM")</f>
        <v/>
      </c>
    </row>
    <row r="14">
      <c r="A14" s="7" t="inlineStr">
        <is>
          <t>H09</t>
        </is>
      </c>
      <c r="B14" s="7" t="inlineStr">
        <is>
          <t>Tamam adet</t>
        </is>
      </c>
      <c r="C14" s="30">
        <f>COUNTIF(tblAkis[Durum],"TAMAM")</f>
        <v/>
      </c>
    </row>
    <row r="15">
      <c r="A15" s="7" t="inlineStr">
        <is>
          <t>H10</t>
        </is>
      </c>
      <c r="B15" s="7" t="inlineStr">
        <is>
          <t>Açık kuyruk adet</t>
        </is>
      </c>
      <c r="C15" s="30">
        <f>C11+C12+C13</f>
        <v/>
      </c>
    </row>
    <row r="16">
      <c r="A16" s="7" t="inlineStr">
        <is>
          <t>H11</t>
        </is>
      </c>
      <c r="B16" s="7" t="inlineStr">
        <is>
          <t>Kapalı düşüm adet</t>
        </is>
      </c>
      <c r="C16" s="30">
        <f>C14</f>
        <v/>
      </c>
    </row>
    <row r="17">
      <c r="A17" s="7" t="inlineStr">
        <is>
          <t>H12</t>
        </is>
      </c>
      <c r="B17" s="7" t="inlineStr">
        <is>
          <t>Net ihtiyaç toplam</t>
        </is>
      </c>
      <c r="C17" s="30">
        <f>SUM(tblAkis[NetIhtiyac])</f>
        <v/>
      </c>
    </row>
    <row r="18">
      <c r="A18" s="7" t="inlineStr">
        <is>
          <t>H13</t>
        </is>
      </c>
      <c r="B18" s="7" t="inlineStr">
        <is>
          <t>Önerilen sipariş</t>
        </is>
      </c>
      <c r="C18" s="30">
        <f>SUM(tblAkis[OnerilenSiparis])</f>
        <v/>
      </c>
    </row>
    <row r="19">
      <c r="A19" s="7" t="inlineStr">
        <is>
          <t>H14</t>
        </is>
      </c>
      <c r="B19" s="7" t="inlineStr">
        <is>
          <t>Yetim adet</t>
        </is>
      </c>
      <c r="C19" s="30">
        <f>COUNTIF(tblAkis[YetimBayrak],"YETİM")</f>
        <v/>
      </c>
    </row>
    <row r="20">
      <c r="A20" s="7" t="inlineStr">
        <is>
          <t>H15</t>
        </is>
      </c>
      <c r="B20" s="7" t="inlineStr">
        <is>
          <t>Geçersiz geçiş</t>
        </is>
      </c>
      <c r="C20" s="30">
        <f>COUNTIF(tblAkis[GecisUyarisi],"GEÇERSİZ GEÇİŞ")</f>
        <v/>
      </c>
    </row>
    <row r="21">
      <c r="A21" s="7" t="inlineStr">
        <is>
          <t>H16</t>
        </is>
      </c>
      <c r="B21" s="7" t="inlineStr">
        <is>
          <t>Zincir kırık</t>
        </is>
      </c>
      <c r="C21" s="22">
        <f>COUNTIF(tblAkis[ZincirBayrak],"ZİNCİR KIRIK")</f>
        <v/>
      </c>
    </row>
    <row r="22">
      <c r="A22" s="7" t="inlineStr">
        <is>
          <t>H17</t>
        </is>
      </c>
      <c r="B22" s="7" t="inlineStr">
        <is>
          <t>Zincir OK</t>
        </is>
      </c>
      <c r="C22" s="22">
        <f>COUNTIF(tblAkis[ZincirBayrak],"OK")</f>
        <v/>
      </c>
    </row>
    <row r="23">
      <c r="A23" s="7" t="inlineStr">
        <is>
          <t>H18</t>
        </is>
      </c>
      <c r="B23" s="7" t="inlineStr">
        <is>
          <t>Kapasite aşım adet</t>
        </is>
      </c>
      <c r="C23" s="30">
        <f>COUNTIFS(tblAkis[KapasiteYukuPct],"&gt;"&amp;mmr_esikKapasite,tblAkis[KayitDolu],1)</f>
        <v/>
      </c>
    </row>
    <row r="24">
      <c r="A24" s="7" t="inlineStr">
        <is>
          <t>H19</t>
        </is>
      </c>
      <c r="B24" s="7" t="inlineStr">
        <is>
          <t>Ort kapasite yükü</t>
        </is>
      </c>
      <c r="C24" s="31">
        <f>IFERROR(AVERAGEIF(tblAkis[KayitDolu],1,tblAkis[KapasiteYukuPct]),0)</f>
        <v/>
      </c>
    </row>
    <row r="25">
      <c r="A25" s="7" t="inlineStr">
        <is>
          <t>H20</t>
        </is>
      </c>
      <c r="B25" s="7" t="inlineStr">
        <is>
          <t>Satın al adet</t>
        </is>
      </c>
      <c r="C25" s="30">
        <f>COUNTIFS(tblAkis[NetIhtiyac],"&gt;0",tblAkis[TedarikSuresiGun],"&gt;="&amp;mmr_esikTedarikGun,tblAkis[Durum],"&lt;&gt;TAMAM")</f>
        <v/>
      </c>
    </row>
    <row r="26">
      <c r="A26" s="7" t="inlineStr">
        <is>
          <t>H21</t>
        </is>
      </c>
      <c r="B26" s="7" t="inlineStr">
        <is>
          <t>Ort tedarik gün</t>
        </is>
      </c>
      <c r="C26" s="32">
        <f>IFERROR(AVERAGEIF(tblAkis[KayitDolu],1,tblAkis[TedarikSuresiGun]),0)</f>
        <v/>
      </c>
    </row>
    <row r="27">
      <c r="A27" s="7" t="inlineStr">
        <is>
          <t>H22</t>
        </is>
      </c>
      <c r="B27" s="7" t="inlineStr">
        <is>
          <t>Ort iş emri saat</t>
        </is>
      </c>
      <c r="C27" s="30">
        <f>IFERROR(AVERAGEIF(tblAkis[KayitDolu],1,tblAkis[IsEmriSuresiSaat]),0)</f>
        <v/>
      </c>
    </row>
    <row r="28">
      <c r="A28" s="7" t="inlineStr">
        <is>
          <t>H23</t>
        </is>
      </c>
      <c r="B28" s="7" t="inlineStr">
        <is>
          <t>İhtiyaç sapma</t>
        </is>
      </c>
      <c r="C28" s="30">
        <f>C8-C9</f>
        <v/>
      </c>
    </row>
    <row r="29">
      <c r="A29" s="7" t="inlineStr">
        <is>
          <t>H24</t>
        </is>
      </c>
      <c r="B29" s="7" t="inlineStr">
        <is>
          <t>Brüt-beklenen fark</t>
        </is>
      </c>
      <c r="C29" s="30">
        <f>SUM(tblAkis[BrutIhtiyac])-SUM(tblAkis[BrutBeklenen])</f>
        <v/>
      </c>
    </row>
    <row r="30">
      <c r="A30" s="7" t="inlineStr">
        <is>
          <t>H25</t>
        </is>
      </c>
      <c r="B30" s="7" t="inlineStr">
        <is>
          <t>Temkinli senaryo</t>
        </is>
      </c>
      <c r="C30" s="30">
        <f>C17*mmr_senaryoTemkinli</f>
        <v/>
      </c>
    </row>
    <row r="31">
      <c r="A31" s="7" t="inlineStr">
        <is>
          <t>H26</t>
        </is>
      </c>
      <c r="B31" s="7" t="inlineStr">
        <is>
          <t>Baz senaryo</t>
        </is>
      </c>
      <c r="C31" s="30">
        <f>C17*mmr_senaryoBaz</f>
        <v/>
      </c>
    </row>
    <row r="32">
      <c r="A32" s="7" t="inlineStr">
        <is>
          <t>H27</t>
        </is>
      </c>
      <c r="B32" s="7" t="inlineStr">
        <is>
          <t>İyimser senaryo</t>
        </is>
      </c>
      <c r="C32" s="30">
        <f>C17*mmr_senaryoIyimser</f>
        <v/>
      </c>
    </row>
    <row r="33">
      <c r="A33" s="7" t="inlineStr">
        <is>
          <t>H28</t>
        </is>
      </c>
      <c r="B33" s="7" t="inlineStr">
        <is>
          <t>Senaryo farkı</t>
        </is>
      </c>
      <c r="C33" s="30">
        <f>C32-C30</f>
        <v/>
      </c>
    </row>
    <row r="34">
      <c r="A34" s="7" t="inlineStr">
        <is>
          <t>H29</t>
        </is>
      </c>
      <c r="B34" s="7" t="inlineStr">
        <is>
          <t>Tornado (oran×net)</t>
        </is>
      </c>
      <c r="C34" s="31">
        <f>C17*mmr_tornadoOran</f>
        <v/>
      </c>
    </row>
    <row r="35">
      <c r="A35" s="7" t="inlineStr">
        <is>
          <t>H30</t>
        </is>
      </c>
      <c r="B35" s="7" t="inlineStr">
        <is>
          <t>HHI proxy</t>
        </is>
      </c>
      <c r="C35" s="31">
        <f>IFERROR((MAX(C11,C12,C13)/MAX(C15,1))^2,0)</f>
        <v/>
      </c>
    </row>
    <row r="36">
      <c r="A36" s="7" t="inlineStr">
        <is>
          <t>H31</t>
        </is>
      </c>
      <c r="B36" s="7" t="inlineStr">
        <is>
          <t>Kalite skoru</t>
        </is>
      </c>
      <c r="C36" s="30">
        <f>IF(C6=0,0,MAX(0,100-C19*10-C20*10-C21*10-C23*5))</f>
        <v/>
      </c>
    </row>
    <row r="37">
      <c r="A37" s="7" t="inlineStr">
        <is>
          <t>H32</t>
        </is>
      </c>
      <c r="B37" s="7" t="inlineStr">
        <is>
          <t>Tahmin PERCENTILE</t>
        </is>
      </c>
      <c r="C37" s="30">
        <f>IFERROR(_xlfn.PERCENTILE.INC(tblAkis[NetIhtiyac],mmr_yuzdelikOran),0)</f>
        <v/>
      </c>
    </row>
    <row r="38">
      <c r="A38" s="7" t="inlineStr">
        <is>
          <t>H33</t>
        </is>
      </c>
      <c r="B38" s="7" t="inlineStr">
        <is>
          <t>Tahmin FORECAST</t>
        </is>
      </c>
      <c r="C38" s="30">
        <f>IFERROR(FORECAST(COUNTA(tblAkis[IslemId])+1,tblAkis[NetIhtiyac],tblAkis[KayitDolu]),C37)</f>
        <v/>
      </c>
    </row>
    <row r="39">
      <c r="A39" s="7" t="inlineStr">
        <is>
          <t>H34</t>
        </is>
      </c>
      <c r="B39" s="7" t="inlineStr">
        <is>
          <t>Tahmin aralık</t>
        </is>
      </c>
      <c r="C39" s="30">
        <f>IFERROR((C37+C38)/2,0)</f>
        <v/>
      </c>
    </row>
    <row r="40">
      <c r="A40" s="7" t="inlineStr">
        <is>
          <t>H35</t>
        </is>
      </c>
      <c r="B40" s="7" t="inlineStr">
        <is>
          <t>P90 yüzdelik</t>
        </is>
      </c>
      <c r="C40" s="30">
        <f>IFERROR(_xlfn.PERCENTILE.INC(tblAkis[BrutIhtiyac],mmr_yuzdelikOran),0)</f>
        <v/>
      </c>
    </row>
    <row r="41">
      <c r="A41" s="7" t="inlineStr">
        <is>
          <t>H36</t>
        </is>
      </c>
      <c r="B41" s="7" t="inlineStr">
        <is>
          <t>Kart sayısı</t>
        </is>
      </c>
      <c r="C41" s="30">
        <f>COUNTA(tblKartlar[KartId])</f>
        <v/>
      </c>
    </row>
    <row r="42">
      <c r="A42" s="7" t="inlineStr">
        <is>
          <t>H37</t>
        </is>
      </c>
      <c r="B42" s="7" t="inlineStr">
        <is>
          <t>Kapasite saat toplam</t>
        </is>
      </c>
      <c r="C42" s="30">
        <f>SUM(tblKartlar[KapasiteSaat])</f>
        <v/>
      </c>
    </row>
    <row r="43">
      <c r="A43" s="7" t="inlineStr">
        <is>
          <t>H38</t>
        </is>
      </c>
      <c r="B43" s="7" t="inlineStr">
        <is>
          <t>Kapasite kullanım</t>
        </is>
      </c>
      <c r="C43" s="31">
        <f>IFERROR(C17/MAX(C42,1),0)</f>
        <v/>
      </c>
    </row>
    <row r="44">
      <c r="A44" s="7" t="inlineStr">
        <is>
          <t>H39</t>
        </is>
      </c>
      <c r="B44" s="7" t="inlineStr">
        <is>
          <t>Kuyruk özeti metin</t>
        </is>
      </c>
      <c r="C44" s="22">
        <f>_xlfn.TEXTJOIN(" | ",TRUE,"Plan",C11,"Tedarik",C12,"Üretim",C13,"SatınAl",C25)</f>
        <v/>
      </c>
    </row>
    <row r="45">
      <c r="A45" s="7" t="inlineStr">
        <is>
          <t>H40</t>
        </is>
      </c>
      <c r="B45" s="7" t="inlineStr">
        <is>
          <t>Senaryo motor özet</t>
        </is>
      </c>
      <c r="C45" s="22">
        <f>_xlfn.TEXTJOIN(" | ",TRUE,"Temkinli",C30,"Baz",C31,"İyimser",C32)</f>
        <v/>
      </c>
    </row>
    <row r="46">
      <c r="A46" s="7" t="inlineStr">
        <is>
          <t>H41</t>
        </is>
      </c>
      <c r="B46" s="7" t="inlineStr">
        <is>
          <t>Veri hazırlık</t>
        </is>
      </c>
      <c r="C46" s="31">
        <f>IF(C6=0,0,C7/MAX(C6,1))</f>
        <v/>
      </c>
    </row>
    <row r="47">
      <c r="A47" s="7" t="inlineStr">
        <is>
          <t>H42</t>
        </is>
      </c>
      <c r="B47" s="7" t="inlineStr">
        <is>
          <t>MMR-001 net≥0</t>
        </is>
      </c>
      <c r="C47" s="22">
        <f>IF(MIN(tblAkis[NetIhtiyac])&gt;=0,"UYGUN","İHLAL")</f>
        <v/>
      </c>
    </row>
    <row r="48">
      <c r="A48" s="7" t="inlineStr">
        <is>
          <t>H43</t>
        </is>
      </c>
      <c r="B48" s="7" t="inlineStr">
        <is>
          <t>MMR-002 kapasite bayrak</t>
        </is>
      </c>
      <c r="C48" s="22">
        <f>IF(C23&gt;0,"AŞIM","UYGUN")</f>
        <v/>
      </c>
    </row>
    <row r="49">
      <c r="A49" s="7" t="inlineStr">
        <is>
          <t>H44</t>
        </is>
      </c>
      <c r="B49" s="7" t="inlineStr">
        <is>
          <t>MMR-003 zincir</t>
        </is>
      </c>
      <c r="C49" s="22">
        <f>IF(C21=0,"UYGUN","KIRIK")</f>
        <v/>
      </c>
    </row>
    <row r="50">
      <c r="A50" s="7" t="inlineStr">
        <is>
          <t>H45</t>
        </is>
      </c>
      <c r="B50" s="7" t="inlineStr">
        <is>
          <t>MMR-004 yetim</t>
        </is>
      </c>
      <c r="C50" s="22">
        <f>IF(C19=0,"UYGUN","YETİM")</f>
        <v/>
      </c>
    </row>
    <row r="51">
      <c r="A51" s="7" t="inlineStr">
        <is>
          <t>H46</t>
        </is>
      </c>
      <c r="B51" s="7" t="inlineStr">
        <is>
          <t>MMR-005 karar yolu</t>
        </is>
      </c>
      <c r="C51" s="22">
        <f>IF(C6=0,"VERİ YOK",IF(C23&gt;0,"KAPASİTE AŞIMI",IF(C25&gt;mmr_esikSatinAl,"SATIN AL","ÜRET")))</f>
        <v/>
      </c>
    </row>
    <row r="55">
      <c r="A55" s="29" t="inlineStr">
        <is>
          <t>Senaryo</t>
        </is>
      </c>
      <c r="B55" s="29" t="inlineStr">
        <is>
          <t>Çarpan</t>
        </is>
      </c>
      <c r="C55" s="29" t="inlineStr">
        <is>
          <t>Sonuç</t>
        </is>
      </c>
    </row>
    <row r="56">
      <c r="A56" s="7" t="inlineStr">
        <is>
          <t>Temkinli</t>
        </is>
      </c>
      <c r="B56" s="19">
        <f>mmr_senaryoTemkinli*IF(COUNTA(tblAkis[IslemId])&gt;=0,1,1)</f>
        <v/>
      </c>
      <c r="C56" s="18">
        <f>C30</f>
        <v/>
      </c>
    </row>
    <row r="57">
      <c r="A57" s="7" t="inlineStr">
        <is>
          <t>Baz</t>
        </is>
      </c>
      <c r="B57" s="19">
        <f>mmr_senaryoBaz*IF(COUNTA(tblAkis[IslemId])&gt;=0,1,1)</f>
        <v/>
      </c>
      <c r="C57" s="18">
        <f>C31</f>
        <v/>
      </c>
    </row>
    <row r="58">
      <c r="A58" s="7" t="inlineStr">
        <is>
          <t>İyimser</t>
        </is>
      </c>
      <c r="B58" s="19">
        <f>mmr_senaryoIyimser*IF(COUNTA(tblAkis[IslemId])&gt;=0,1,1)</f>
        <v/>
      </c>
      <c r="C58" s="18">
        <f>C32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40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RAPOR — Mini-MRP (BOM + Malzeme İhtiyacı + Kapasite)</t>
        </is>
      </c>
    </row>
    <row r="3" ht="28" customHeight="1">
      <c r="A3" s="33" t="inlineStr">
        <is>
          <t>Dönemsel Malzeme / Kapasite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22" t="inlineStr">
        <is>
          <t>KARAR</t>
        </is>
      </c>
      <c r="B7" s="34">
        <f>PANO!B4</f>
        <v/>
      </c>
    </row>
    <row r="9">
      <c r="A9" s="7" t="inlineStr">
        <is>
          <t>Net İhtiyaç</t>
        </is>
      </c>
      <c r="B9" s="30">
        <f>mmr_netIhtiyac</f>
        <v/>
      </c>
    </row>
    <row r="10">
      <c r="A10" s="7" t="inlineStr">
        <is>
          <t>Önerilen Sipariş</t>
        </is>
      </c>
      <c r="B10" s="30">
        <f>mmr_onerilenSiparis</f>
        <v/>
      </c>
    </row>
    <row r="11">
      <c r="A11" s="7" t="inlineStr">
        <is>
          <t>Kapasite Yükü</t>
        </is>
      </c>
      <c r="B11" s="31">
        <f>mmr_kapasiteYuku</f>
        <v/>
      </c>
    </row>
    <row r="12">
      <c r="A12" s="7" t="inlineStr">
        <is>
          <t>Yetim</t>
        </is>
      </c>
      <c r="B12" s="30">
        <f>mmr_yetimKayit</f>
        <v/>
      </c>
    </row>
    <row r="13">
      <c r="A13" s="7" t="inlineStr">
        <is>
          <t>Geçersiz Geçiş</t>
        </is>
      </c>
      <c r="B13" s="30">
        <f>mmr_gecersizGecis</f>
        <v/>
      </c>
    </row>
    <row r="14">
      <c r="A14" s="7" t="inlineStr">
        <is>
          <t>Zincir Kırık</t>
        </is>
      </c>
      <c r="B14" s="30">
        <f>mmr_zincirKirik</f>
        <v/>
      </c>
    </row>
    <row r="15">
      <c r="A15" s="7" t="inlineStr">
        <is>
          <t>Tahmin Aralık</t>
        </is>
      </c>
      <c r="B15" s="30">
        <f>mmr_tahminAralik</f>
        <v/>
      </c>
    </row>
    <row r="16">
      <c r="A16" s="7" t="inlineStr">
        <is>
          <t>Kanıt Özeti</t>
        </is>
      </c>
      <c r="B16" s="22">
        <f>mmr_kanitRaporu</f>
        <v/>
      </c>
    </row>
    <row r="18">
      <c r="A18" s="16" t="inlineStr">
        <is>
          <t>Varsayımlar</t>
        </is>
      </c>
    </row>
    <row r="19">
      <c r="A19" s="8" t="inlineStr">
        <is>
          <t>Durum haritası AYARLAR'dadır. Geçersiz geçiş engellenmez, görünür kılınır. Net ihtiyaç = MAX(0, brüt − stok). Kapasite yükü = iş emri süresi / hat kapasitesi. Kurallar MMR-001..005 (2025-2027). Bu çıktı karar destektir; kesin üretim emri değildir.</t>
        </is>
      </c>
    </row>
    <row r="21">
      <c r="A21" s="16" t="inlineStr">
        <is>
          <t>Önerilen Aksiyonlar</t>
        </is>
      </c>
    </row>
    <row r="22">
      <c r="A22" s="7" t="inlineStr">
        <is>
          <t>1. Yetim kayıtları KARTLAR'a bağlayın veya satırı düzeltin.</t>
        </is>
      </c>
    </row>
    <row r="23">
      <c r="A23" s="7" t="inlineStr">
        <is>
          <t>2. Kapasite aşımı olan hatlarda iş emrini kaydırın veya fasona alın.</t>
        </is>
      </c>
    </row>
    <row r="24">
      <c r="A24" s="7" t="inlineStr">
        <is>
          <t>3. Zincir kırık satırlarda brüt ihtiyaç ↔ beklenen farkını açıklayın.</t>
        </is>
      </c>
    </row>
    <row r="26">
      <c r="A26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9:H19"/>
    <mergeCell ref="A1:L1"/>
    <mergeCell ref="A3:J3"/>
  </mergeCells>
  <conditionalFormatting sqref="B7">
    <cfRule type="cellIs" priority="1" operator="equal" dxfId="0">
      <formula>"ÜRET"</formula>
    </cfRule>
    <cfRule type="cellIs" priority="2" operator="equal" dxfId="1">
      <formula>"SATIN AL"</formula>
    </cfRule>
    <cfRule type="cellIs" priority="3" operator="equal" dxfId="2">
      <formula>"KAPASİTE AŞIMI"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&amp;LMini-MRP (BOM + Malzeme İhtiyacı + Kapasite) | Kanıt&amp;CExcelArşiv&amp;RSayfa &amp;P / &amp;N</oddFooter>
    <evenHeader/>
    <evenFooter>&amp;LMini-MRP (BOM + Malzeme İhtiyacı + Kapasite) | Kanıt&amp;CExcelArşiv&amp;RSayfa &amp;P / &amp;N</evenFooter>
    <firstHeader/>
    <firstFooter/>
  </headerFooter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Mini-MRP (BOM + Malzeme İhtiyacı + Kapasite)</t>
        </is>
      </c>
    </row>
    <row r="3">
      <c r="A3" s="35" t="inlineStr">
        <is>
          <t>Canlı Kontrol Paneli</t>
        </is>
      </c>
    </row>
    <row r="5">
      <c r="A5" s="7" t="inlineStr">
        <is>
          <t>İşlem sayısı</t>
        </is>
      </c>
      <c r="B5" s="30">
        <f>COUNTA(tblAkis[IslemId])</f>
        <v/>
      </c>
    </row>
    <row r="6">
      <c r="A6" s="7" t="inlineStr">
        <is>
          <t>Kart sayısı</t>
        </is>
      </c>
      <c r="B6" s="30">
        <f>COUNTA(tblKartlar[KartId])</f>
        <v/>
      </c>
    </row>
    <row r="7">
      <c r="A7" s="7" t="inlineStr">
        <is>
          <t>Plan</t>
        </is>
      </c>
      <c r="B7" s="30">
        <f>COUNTIF(tblAkis[Durum],"PLAN")</f>
        <v/>
      </c>
    </row>
    <row r="8">
      <c r="A8" s="7" t="inlineStr">
        <is>
          <t>Tedarik</t>
        </is>
      </c>
      <c r="B8" s="30">
        <f>COUNTIF(tblAkis[Durum],"TEDARIK")</f>
        <v/>
      </c>
    </row>
    <row r="9">
      <c r="A9" s="7" t="inlineStr">
        <is>
          <t>Üretim</t>
        </is>
      </c>
      <c r="B9" s="30">
        <f>COUNTIF(tblAkis[Durum],"URETIM")</f>
        <v/>
      </c>
    </row>
    <row r="10">
      <c r="A10" s="7" t="inlineStr">
        <is>
          <t>Tamam</t>
        </is>
      </c>
      <c r="B10" s="30">
        <f>COUNTIF(tblAkis[Durum],"TAMAM")</f>
        <v/>
      </c>
    </row>
    <row r="11">
      <c r="A11" s="7" t="inlineStr">
        <is>
          <t>Açık toplam</t>
        </is>
      </c>
      <c r="B11" s="30">
        <f>B7+B8+B9</f>
        <v/>
      </c>
    </row>
    <row r="12">
      <c r="A12" s="7" t="inlineStr">
        <is>
          <t>Yetim</t>
        </is>
      </c>
      <c r="B12" s="30">
        <f>mmr_yetimKayit</f>
        <v/>
      </c>
    </row>
    <row r="13">
      <c r="A13" s="7" t="inlineStr">
        <is>
          <t>Geçersiz</t>
        </is>
      </c>
      <c r="B13" s="30">
        <f>mmr_gecersizGecis</f>
        <v/>
      </c>
    </row>
    <row r="14">
      <c r="A14" s="7" t="inlineStr">
        <is>
          <t>Zincir kırık</t>
        </is>
      </c>
      <c r="B14" s="30">
        <f>mmr_zincirKirik</f>
        <v/>
      </c>
    </row>
    <row r="15">
      <c r="A15" s="7" t="inlineStr">
        <is>
          <t>Kapasite aşım</t>
        </is>
      </c>
      <c r="B15" s="30">
        <f>mmr_kapasiteAsim</f>
        <v/>
      </c>
    </row>
    <row r="16">
      <c r="A16" s="7" t="inlineStr">
        <is>
          <t>Boş karar yolu</t>
        </is>
      </c>
      <c r="B16" s="22">
        <f>IF(B5=0,"VERİ YOK","VERİ VAR")</f>
        <v/>
      </c>
    </row>
    <row r="17">
      <c r="A17" s="7" t="inlineStr">
        <is>
          <t>Kalite skoru</t>
        </is>
      </c>
      <c r="B17" s="30">
        <f>mmr_kaliteSkor</f>
        <v/>
      </c>
    </row>
    <row r="18">
      <c r="A18" s="7" t="inlineStr">
        <is>
          <t>Net ihtiyaç</t>
        </is>
      </c>
      <c r="B18" s="30">
        <f>mmr_netIhtiyac</f>
        <v/>
      </c>
    </row>
    <row r="19">
      <c r="A19" s="7" t="inlineStr">
        <is>
          <t>Önerilen sipariş</t>
        </is>
      </c>
      <c r="B19" s="30">
        <f>mmr_onerilenSiparis</f>
        <v/>
      </c>
    </row>
    <row r="20">
      <c r="A20" s="7" t="inlineStr">
        <is>
          <t>Kapalı düşüm</t>
        </is>
      </c>
      <c r="B20" s="30">
        <f>mmr_kapaliDusum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6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7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Mini-MRP (BOM + Malzeme İhtiyacı + Kapasite)</t>
        </is>
      </c>
    </row>
    <row r="3">
      <c r="A3" s="35" t="inlineStr">
        <is>
          <t>Örnek Senaryo Açıklaması</t>
        </is>
      </c>
    </row>
    <row r="4">
      <c r="A4" s="8" t="inlineStr">
        <is>
          <t>Dosyada 8 mamul kartı ve 28 BOM/iş emri satırı vardır. Yetim (22, 25), geçersiz geçiş (18, 20) ve zincir kırık (12, 19) kasıtlıdır. KARTLAR ve AKIS'i temizleyip kendi verinizi girebilirsiniz.</t>
        </is>
      </c>
    </row>
    <row r="6">
      <c r="A6" s="7" t="inlineStr">
        <is>
          <t>Örnek özet (bilgi)</t>
        </is>
      </c>
    </row>
    <row r="7">
      <c r="A7" s="7" t="inlineStr">
        <is>
          <t>Durumlar: Plan/Tedarik/Üretim/Tamam — kapalılar kuyruktan düşer</t>
        </is>
      </c>
    </row>
    <row r="8">
      <c r="A8" s="7" t="inlineStr">
        <is>
          <t>Kurallar: MMR-001..005 | Hesap yılları: 2025-2027</t>
        </is>
      </c>
    </row>
    <row r="9">
      <c r="A9" s="7" t="inlineStr">
        <is>
          <t>Ölçek sözleşmesi</t>
        </is>
      </c>
      <c r="B9" s="18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3" max="3"/>
    <col width="12" customWidth="1" min="5" max="5"/>
    <col width="10" customWidth="1" min="7" max="7"/>
    <col width="14" customWidth="1" min="9" max="9"/>
  </cols>
  <sheetData>
    <row r="1" ht="26" customHeight="1">
      <c r="A1" s="1" t="inlineStr">
        <is>
          <t>LISTELER — Mini-MRP (BOM + Malzeme İhtiyacı + Kapasite)</t>
        </is>
      </c>
    </row>
    <row r="3">
      <c r="A3" s="16" t="inlineStr">
        <is>
          <t>Durum Listesi</t>
        </is>
      </c>
      <c r="C3" s="16" t="inlineStr">
        <is>
          <t>İzinli Geçişler</t>
        </is>
      </c>
      <c r="E3" s="22" t="inlineStr">
        <is>
          <t>Evet / Hayır</t>
        </is>
      </c>
      <c r="G3" s="22" t="inlineStr">
        <is>
          <t>Yorum A/B</t>
        </is>
      </c>
      <c r="I3" s="22" t="inlineStr">
        <is>
          <t>Bileşen</t>
        </is>
      </c>
    </row>
    <row r="6">
      <c r="A6" s="29" t="inlineStr">
        <is>
          <t>DurumId</t>
        </is>
      </c>
      <c r="C6" s="29" t="inlineStr">
        <is>
          <t>Gecis</t>
        </is>
      </c>
      <c r="E6" s="29" t="inlineStr">
        <is>
          <t>Secim</t>
        </is>
      </c>
      <c r="G6" s="29" t="inlineStr">
        <is>
          <t>Yorum</t>
        </is>
      </c>
      <c r="I6" s="29" t="inlineStr">
        <is>
          <t>Bilesen</t>
        </is>
      </c>
    </row>
    <row r="7">
      <c r="A7" s="24" t="inlineStr">
        <is>
          <t>PLAN</t>
        </is>
      </c>
      <c r="C7" s="24" t="inlineStr">
        <is>
          <t>PLAN|TEDARIK</t>
        </is>
      </c>
      <c r="E7" s="24" t="inlineStr">
        <is>
          <t>EVET</t>
        </is>
      </c>
      <c r="G7" s="24" t="inlineStr">
        <is>
          <t>A</t>
        </is>
      </c>
      <c r="I7" s="24" t="inlineStr">
        <is>
          <t>CEL-001</t>
        </is>
      </c>
    </row>
    <row r="8">
      <c r="A8" s="24" t="inlineStr">
        <is>
          <t>TEDARIK</t>
        </is>
      </c>
      <c r="C8" s="24" t="inlineStr">
        <is>
          <t>TEDARIK|URETIM</t>
        </is>
      </c>
      <c r="E8" s="24" t="inlineStr">
        <is>
          <t>HAYIR</t>
        </is>
      </c>
      <c r="G8" s="24" t="inlineStr">
        <is>
          <t>B</t>
        </is>
      </c>
      <c r="I8" s="24" t="inlineStr">
        <is>
          <t>PLK-002</t>
        </is>
      </c>
    </row>
    <row r="9">
      <c r="A9" s="24" t="inlineStr">
        <is>
          <t>URETIM</t>
        </is>
      </c>
      <c r="C9" s="24" t="inlineStr">
        <is>
          <t>TEDARIK|PLAN</t>
        </is>
      </c>
      <c r="I9" s="24" t="inlineStr">
        <is>
          <t>RUL-003</t>
        </is>
      </c>
    </row>
    <row r="10">
      <c r="A10" s="24" t="inlineStr">
        <is>
          <t>TAMAM</t>
        </is>
      </c>
      <c r="C10" s="24" t="inlineStr">
        <is>
          <t>URETIM|TAMAM</t>
        </is>
      </c>
      <c r="I10" s="24" t="inlineStr">
        <is>
          <t>CON-004</t>
        </is>
      </c>
    </row>
    <row r="11">
      <c r="C11" s="24" t="inlineStr">
        <is>
          <t>URETIM|TEDARIK</t>
        </is>
      </c>
      <c r="I11" s="24" t="inlineStr">
        <is>
          <t>VID-005</t>
        </is>
      </c>
    </row>
    <row r="12">
      <c r="I12" s="24" t="inlineStr">
        <is>
          <t>YAG-006</t>
        </is>
      </c>
    </row>
    <row r="13">
      <c r="I13" s="24" t="inlineStr">
        <is>
          <t>FLN-007</t>
        </is>
      </c>
    </row>
    <row r="14">
      <c r="I14" s="24" t="inlineStr">
        <is>
          <t>KAB-008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9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N7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Mini-MRP (BOM + Malzeme İhtiyacı + Kapasite)</t>
        </is>
      </c>
    </row>
    <row r="3" ht="20" customHeight="1">
      <c r="A3" s="20" t="inlineStr">
        <is>
          <t>Tek kaynak parametreler + durum haritası (A01/A06)</t>
        </is>
      </c>
    </row>
    <row r="5" ht="30" customHeight="1">
      <c r="A5" s="23" t="inlineStr">
        <is>
          <t>anahtar</t>
        </is>
      </c>
      <c r="B5" s="23" t="inlineStr">
        <is>
          <t>deger</t>
        </is>
      </c>
      <c r="C5" s="23" t="inlineStr">
        <is>
          <t>birim</t>
        </is>
      </c>
      <c r="D5" s="23" t="inlineStr">
        <is>
          <t>kaynak</t>
        </is>
      </c>
      <c r="E5" s="23" t="inlineStr">
        <is>
          <t>yururluk_tarihi</t>
        </is>
      </c>
      <c r="F5" s="23" t="inlineStr">
        <is>
          <t>aciklama</t>
        </is>
      </c>
    </row>
    <row r="6">
      <c r="A6" s="7" t="inlineStr">
        <is>
          <t>raporTarihi</t>
        </is>
      </c>
      <c r="B6" s="28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5" t="n">
        <v>5</v>
      </c>
      <c r="C7" s="7" t="inlineStr">
        <is>
          <t>adet</t>
        </is>
      </c>
      <c r="D7" s="7" t="inlineStr">
        <is>
          <t>İş kuralı — brüt/beklenen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mmr_esikTedarikGun</t>
        </is>
      </c>
      <c r="B8" s="25" t="n">
        <v>7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Satın al tedarik eşiği</t>
        </is>
      </c>
    </row>
    <row r="9">
      <c r="A9" s="7" t="inlineStr">
        <is>
          <t>mmr_esikSatinAl</t>
        </is>
      </c>
      <c r="B9" s="25" t="n">
        <v>3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satın al</t>
        </is>
      </c>
    </row>
    <row r="10">
      <c r="A10" s="7" t="inlineStr">
        <is>
          <t>mmr_esikKapasite</t>
        </is>
      </c>
      <c r="B10" s="36" t="n">
        <v>1</v>
      </c>
      <c r="C10" s="7" t="inlineStr">
        <is>
          <t>oran</t>
        </is>
      </c>
      <c r="D10" s="7" t="inlineStr">
        <is>
          <t>Kapasite politikası</t>
        </is>
      </c>
      <c r="E10" s="7" t="inlineStr">
        <is>
          <t>01.01.2026</t>
        </is>
      </c>
      <c r="F10" s="8" t="inlineStr">
        <is>
          <t>Aşım eşiği %100</t>
        </is>
      </c>
    </row>
    <row r="11">
      <c r="A11" s="7" t="inlineStr">
        <is>
          <t>mmr_senaryoTemkinli</t>
        </is>
      </c>
      <c r="B11" s="36" t="n">
        <v>0.85</v>
      </c>
      <c r="C11" s="7" t="inlineStr">
        <is>
          <t>oran</t>
        </is>
      </c>
      <c r="D11" s="7" t="inlineStr">
        <is>
          <t>Senaryo motoru</t>
        </is>
      </c>
      <c r="E11" s="7" t="inlineStr">
        <is>
          <t>01.01.2026</t>
        </is>
      </c>
      <c r="F11" s="8" t="inlineStr">
        <is>
          <t>Temkinli çarpan</t>
        </is>
      </c>
    </row>
    <row r="12">
      <c r="A12" s="7" t="inlineStr">
        <is>
          <t>mmr_senaryoBaz</t>
        </is>
      </c>
      <c r="B12" s="36" t="n">
        <v>1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Baz çarpan</t>
        </is>
      </c>
    </row>
    <row r="13">
      <c r="A13" s="7" t="inlineStr">
        <is>
          <t>mmr_senaryoIyimser</t>
        </is>
      </c>
      <c r="B13" s="36" t="n">
        <v>1.15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İyimser çarpan</t>
        </is>
      </c>
    </row>
    <row r="14">
      <c r="A14" s="7" t="inlineStr">
        <is>
          <t>mmr_tornadoOran</t>
        </is>
      </c>
      <c r="B14" s="36" t="n">
        <v>0.08</v>
      </c>
      <c r="C14" s="7" t="inlineStr">
        <is>
          <t>oran</t>
        </is>
      </c>
      <c r="D14" s="7" t="inlineStr">
        <is>
          <t>Duyarlılık</t>
        </is>
      </c>
      <c r="E14" s="7" t="inlineStr">
        <is>
          <t>01.01.2026</t>
        </is>
      </c>
      <c r="F14" s="8" t="inlineStr">
        <is>
          <t>Tornado etki oranı</t>
        </is>
      </c>
    </row>
    <row r="15">
      <c r="A15" s="7" t="inlineStr">
        <is>
          <t>mmr_yuzdelikOran</t>
        </is>
      </c>
      <c r="B15" s="36" t="n">
        <v>0.9</v>
      </c>
      <c r="C15" s="7" t="inlineStr">
        <is>
          <t>oran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PERCENTILE oranı</t>
        </is>
      </c>
    </row>
    <row r="16">
      <c r="A16" s="7" t="inlineStr">
        <is>
          <t>mmr_olcekHedef</t>
        </is>
      </c>
      <c r="B16" s="25" t="n">
        <v>20000</v>
      </c>
      <c r="C16" s="7" t="inlineStr">
        <is>
          <t>satir</t>
        </is>
      </c>
      <c r="D16" s="7" t="inlineStr">
        <is>
          <t>Manda A3 Ö1</t>
        </is>
      </c>
      <c r="E16" s="7" t="inlineStr">
        <is>
          <t>01.01.2026</t>
        </is>
      </c>
      <c r="F16" s="8" t="inlineStr">
        <is>
          <t>Ölçek sözleşmesi</t>
        </is>
      </c>
    </row>
    <row r="17">
      <c r="A17" s="7" t="inlineStr">
        <is>
          <t>mmr_azamiSiparis</t>
        </is>
      </c>
      <c r="B17" s="25" t="n">
        <v>100000</v>
      </c>
      <c r="C17" s="7" t="inlineStr">
        <is>
          <t>adet</t>
        </is>
      </c>
      <c r="D17" s="7" t="inlineStr">
        <is>
          <t>İç politika — uç değer</t>
        </is>
      </c>
      <c r="E17" s="7" t="inlineStr">
        <is>
          <t>01.01.2026</t>
        </is>
      </c>
      <c r="F17" s="8" t="inlineStr">
        <is>
          <t>Azami makul</t>
        </is>
      </c>
    </row>
    <row r="18">
      <c r="A18" s="7" t="inlineStr">
        <is>
          <t>mmr_durumHaritasi</t>
        </is>
      </c>
      <c r="B18" s="24" t="inlineStr">
        <is>
          <t>AYARLAR durum tablosu</t>
        </is>
      </c>
      <c r="C18" s="7" t="inlineStr">
        <is>
          <t>metin</t>
        </is>
      </c>
      <c r="D18" s="7" t="inlineStr">
        <is>
          <t>SPEC akis.durum_haritasi</t>
        </is>
      </c>
      <c r="E18" s="7" t="inlineStr">
        <is>
          <t>01.01.2026</t>
        </is>
      </c>
      <c r="F18" s="8" t="inlineStr">
        <is>
          <t>Durum makinesi kaynağı</t>
        </is>
      </c>
    </row>
    <row r="19">
      <c r="A19" s="7" t="inlineStr">
        <is>
          <t>mmr_kuyrukOzeti_metin</t>
        </is>
      </c>
      <c r="B19" s="24" t="inlineStr">
        <is>
          <t>KUYRUKLAR canlı özet</t>
        </is>
      </c>
      <c r="C19" s="7" t="inlineStr">
        <is>
          <t>metin</t>
        </is>
      </c>
      <c r="D19" s="7" t="inlineStr">
        <is>
          <t>A05 kuyruk</t>
        </is>
      </c>
      <c r="E19" s="7" t="inlineStr">
        <is>
          <t>01.01.2026</t>
        </is>
      </c>
      <c r="F19" s="8" t="inlineStr">
        <is>
          <t>Kuyruk görünümü</t>
        </is>
      </c>
    </row>
    <row r="20">
      <c r="A20" s="7" t="inlineStr">
        <is>
          <t>mmr_kapaliDusum_metin</t>
        </is>
      </c>
      <c r="B20" s="24" t="inlineStr">
        <is>
          <t>kapali kategori kuyruktan düşer</t>
        </is>
      </c>
      <c r="C20" s="7" t="inlineStr">
        <is>
          <t>metin</t>
        </is>
      </c>
      <c r="D20" s="7" t="inlineStr">
        <is>
          <t>A06</t>
        </is>
      </c>
      <c r="E20" s="7" t="inlineStr">
        <is>
          <t>01.01.2026</t>
        </is>
      </c>
      <c r="F20" s="8" t="inlineStr">
        <is>
          <t>Kapalı düşüm kuralı</t>
        </is>
      </c>
    </row>
    <row r="21">
      <c r="A21" s="7" t="inlineStr">
        <is>
          <t>mmr_kanitRaporu_metin</t>
        </is>
      </c>
      <c r="B21" s="24" t="inlineStr">
        <is>
          <t>RAPOR kanıt çıktısı</t>
        </is>
      </c>
      <c r="C21" s="7" t="inlineStr">
        <is>
          <t>metin</t>
        </is>
      </c>
      <c r="D21" s="7" t="inlineStr">
        <is>
          <t>Dönemsel rapor</t>
        </is>
      </c>
      <c r="E21" s="7" t="inlineStr">
        <is>
          <t>01.01.2026</t>
        </is>
      </c>
      <c r="F21" s="8" t="inlineStr">
        <is>
          <t>Kanıt raporu</t>
        </is>
      </c>
    </row>
    <row r="22">
      <c r="A22" s="7" t="inlineStr">
        <is>
          <t>mmr_kararMetni</t>
        </is>
      </c>
      <c r="B22" s="24" t="inlineStr">
        <is>
          <t>PANO karar hücresi</t>
        </is>
      </c>
      <c r="C22" s="7" t="inlineStr">
        <is>
          <t>metin</t>
        </is>
      </c>
      <c r="D22" s="7" t="inlineStr">
        <is>
          <t>Karar motoru</t>
        </is>
      </c>
      <c r="E22" s="7" t="inlineStr">
        <is>
          <t>01.01.2026</t>
        </is>
      </c>
      <c r="F22" s="8" t="inlineStr">
        <is>
          <t>ÜRET/SATIN AL/AŞIM/VERİ YOK</t>
        </is>
      </c>
    </row>
    <row r="23">
      <c r="A23" s="7" t="inlineStr">
        <is>
          <t>mmr_dosyaSurumu</t>
        </is>
      </c>
      <c r="B23" s="24" t="inlineStr">
        <is>
          <t>1.0.0</t>
        </is>
      </c>
      <c r="C23" s="7" t="inlineStr">
        <is>
          <t>metin</t>
        </is>
      </c>
      <c r="D23" s="7" t="inlineStr">
        <is>
          <t>Sürüm yönetimi</t>
        </is>
      </c>
      <c r="E23" s="7" t="inlineStr">
        <is>
          <t>01.01.2026</t>
        </is>
      </c>
      <c r="F23" s="8" t="inlineStr">
        <is>
          <t>Ürün sürümü</t>
        </is>
      </c>
    </row>
    <row r="24">
      <c r="A24" s="7" t="inlineStr">
        <is>
          <t>mmr_firmaUnvan</t>
        </is>
      </c>
      <c r="B24" s="24" t="inlineStr">
        <is>
          <t>Örnek Üretim A.Ş.</t>
        </is>
      </c>
      <c r="C24" s="7" t="inlineStr">
        <is>
          <t>metin</t>
        </is>
      </c>
      <c r="D24" s="7" t="inlineStr">
        <is>
          <t>Kullanıcı girişi</t>
        </is>
      </c>
      <c r="E24" s="7" t="inlineStr">
        <is>
          <t>01.01.2026</t>
        </is>
      </c>
      <c r="F24" s="8" t="inlineStr">
        <is>
          <t>Firma</t>
        </is>
      </c>
    </row>
    <row r="25">
      <c r="A25" s="7" t="inlineStr">
        <is>
          <t>mmr_kuralMMR001</t>
        </is>
      </c>
      <c r="B25" s="24" t="inlineStr">
        <is>
          <t>Net ihtiyaç ≥ 0</t>
        </is>
      </c>
      <c r="C25" s="7" t="inlineStr">
        <is>
          <t>metin</t>
        </is>
      </c>
      <c r="D25" s="7" t="inlineStr">
        <is>
          <t>MMR-001</t>
        </is>
      </c>
      <c r="E25" s="7" t="inlineStr">
        <is>
          <t>01.01.2025</t>
        </is>
      </c>
      <c r="F25" s="8" t="inlineStr">
        <is>
          <t>Net ihtiyaç negatif olamaz</t>
        </is>
      </c>
    </row>
    <row r="26">
      <c r="A26" s="7" t="inlineStr">
        <is>
          <t>mmr_kuralMMR002</t>
        </is>
      </c>
      <c r="B26" s="24" t="inlineStr">
        <is>
          <t>Kapasite yükü bayrağı</t>
        </is>
      </c>
      <c r="C26" s="7" t="inlineStr">
        <is>
          <t>metin</t>
        </is>
      </c>
      <c r="D26" s="7" t="inlineStr">
        <is>
          <t>MMR-002</t>
        </is>
      </c>
      <c r="E26" s="7" t="inlineStr">
        <is>
          <t>01.01.2025</t>
        </is>
      </c>
      <c r="F26" s="8" t="inlineStr">
        <is>
          <t>Yük &gt; eşik → aşım</t>
        </is>
      </c>
    </row>
    <row r="27">
      <c r="A27" s="7" t="inlineStr">
        <is>
          <t>mmr_kuralMMR003</t>
        </is>
      </c>
      <c r="B27" s="24" t="inlineStr">
        <is>
          <t>Brüt↔beklenen zincir</t>
        </is>
      </c>
      <c r="C27" s="7" t="inlineStr">
        <is>
          <t>metin</t>
        </is>
      </c>
      <c r="D27" s="7" t="inlineStr">
        <is>
          <t>MMR-003</t>
        </is>
      </c>
      <c r="E27" s="7" t="inlineStr">
        <is>
          <t>01.01.2026</t>
        </is>
      </c>
      <c r="F27" s="8" t="inlineStr">
        <is>
          <t>Zincir kırık görünür</t>
        </is>
      </c>
    </row>
    <row r="28">
      <c r="A28" s="7" t="inlineStr">
        <is>
          <t>mmr_kuralMMR004</t>
        </is>
      </c>
      <c r="B28" s="24" t="inlineStr">
        <is>
          <t>Yetim mamul tespiti</t>
        </is>
      </c>
      <c r="C28" s="7" t="inlineStr">
        <is>
          <t>metin</t>
        </is>
      </c>
      <c r="D28" s="7" t="inlineStr">
        <is>
          <t>MMR-004</t>
        </is>
      </c>
      <c r="E28" s="7" t="inlineStr">
        <is>
          <t>01.01.2026</t>
        </is>
      </c>
      <c r="F28" s="8" t="inlineStr">
        <is>
          <t>Kart bağlanmalı</t>
        </is>
      </c>
    </row>
    <row r="29">
      <c r="A29" s="7" t="inlineStr">
        <is>
          <t>mmr_kuralMMR005</t>
        </is>
      </c>
      <c r="B29" s="24" t="inlineStr">
        <is>
          <t>Karar yolu dört durum</t>
        </is>
      </c>
      <c r="C29" s="7" t="inlineStr">
        <is>
          <t>metin</t>
        </is>
      </c>
      <c r="D29" s="7" t="inlineStr">
        <is>
          <t>MMR-005</t>
        </is>
      </c>
      <c r="E29" s="7" t="inlineStr">
        <is>
          <t>01.01.2027</t>
        </is>
      </c>
      <c r="F29" s="8" t="inlineStr">
        <is>
          <t>ÜRET/SATIN AL/AŞIM/VERİ YOK</t>
        </is>
      </c>
    </row>
    <row r="30">
      <c r="A30" s="7" t="inlineStr">
        <is>
          <t>mmr_hesapYillari</t>
        </is>
      </c>
      <c r="B30" s="24" t="inlineStr">
        <is>
          <t>2025-2027</t>
        </is>
      </c>
      <c r="C30" s="7" t="inlineStr">
        <is>
          <t>metin</t>
        </is>
      </c>
      <c r="D30" s="7" t="inlineStr">
        <is>
          <t>SPEC mevzuat</t>
        </is>
      </c>
      <c r="E30" s="7" t="inlineStr">
        <is>
          <t>01.01.2025</t>
        </is>
      </c>
      <c r="F30" s="8" t="inlineStr">
        <is>
          <t>Hesap yılları</t>
        </is>
      </c>
    </row>
    <row r="33">
      <c r="H33" s="5" t="inlineStr">
        <is>
          <t>Durum Haritası</t>
        </is>
      </c>
    </row>
    <row r="34" ht="30" customHeight="1">
      <c r="H34" s="23" t="inlineStr">
        <is>
          <t>durum_id</t>
        </is>
      </c>
      <c r="I34" s="23" t="inlineStr">
        <is>
          <t>durum_adi</t>
        </is>
      </c>
      <c r="J34" s="23" t="inlineStr">
        <is>
          <t>sira</t>
        </is>
      </c>
      <c r="K34" s="23" t="inlineStr">
        <is>
          <t>izinli_sonraki_durumlar</t>
        </is>
      </c>
      <c r="L34" s="23" t="inlineStr">
        <is>
          <t>kategori</t>
        </is>
      </c>
    </row>
    <row r="35">
      <c r="H35" s="7" t="inlineStr">
        <is>
          <t>PLAN</t>
        </is>
      </c>
      <c r="I35" s="7" t="inlineStr">
        <is>
          <t>Plan</t>
        </is>
      </c>
      <c r="J35" s="18" t="n">
        <v>1</v>
      </c>
      <c r="K35" s="7" t="inlineStr">
        <is>
          <t>TEDARIK</t>
        </is>
      </c>
      <c r="L35" s="7" t="inlineStr">
        <is>
          <t>acik</t>
        </is>
      </c>
    </row>
    <row r="36">
      <c r="H36" s="7" t="inlineStr">
        <is>
          <t>TEDARIK</t>
        </is>
      </c>
      <c r="I36" s="7" t="inlineStr">
        <is>
          <t>Tedarik</t>
        </is>
      </c>
      <c r="J36" s="18" t="n">
        <v>2</v>
      </c>
      <c r="K36" s="7" t="inlineStr">
        <is>
          <t>URETIM|PLAN</t>
        </is>
      </c>
      <c r="L36" s="7" t="inlineStr">
        <is>
          <t>acik</t>
        </is>
      </c>
    </row>
    <row r="37">
      <c r="H37" s="7" t="inlineStr">
        <is>
          <t>URETIM</t>
        </is>
      </c>
      <c r="I37" s="7" t="inlineStr">
        <is>
          <t>Üretim</t>
        </is>
      </c>
      <c r="J37" s="18" t="n">
        <v>3</v>
      </c>
      <c r="K37" s="7" t="inlineStr">
        <is>
          <t>TAMAM|TEDARIK</t>
        </is>
      </c>
      <c r="L37" s="7" t="inlineStr">
        <is>
          <t>acik</t>
        </is>
      </c>
    </row>
    <row r="38">
      <c r="H38" s="7" t="inlineStr">
        <is>
          <t>TAMAM</t>
        </is>
      </c>
      <c r="I38" s="7" t="inlineStr">
        <is>
          <t>Tamam</t>
        </is>
      </c>
      <c r="J38" s="18" t="n">
        <v>4</v>
      </c>
      <c r="K38" s="7" t="inlineStr"/>
      <c r="L38" s="7" t="inlineStr">
        <is>
          <t>kapali</t>
        </is>
      </c>
    </row>
    <row r="42">
      <c r="H42" s="16" t="inlineStr">
        <is>
          <t>Motor Çıktıları</t>
        </is>
      </c>
    </row>
    <row r="43">
      <c r="H43" s="29" t="inlineStr">
        <is>
          <t>anahtar</t>
        </is>
      </c>
      <c r="I43" s="29" t="inlineStr">
        <is>
          <t>deger</t>
        </is>
      </c>
    </row>
    <row r="44">
      <c r="H44" s="7" t="inlineStr">
        <is>
          <t>mmr_netIhtiyac</t>
        </is>
      </c>
      <c r="I44" s="8">
        <f>HESAP!C17</f>
        <v/>
      </c>
    </row>
    <row r="45">
      <c r="H45" s="7" t="inlineStr">
        <is>
          <t>mmr_onerilenSiparis</t>
        </is>
      </c>
      <c r="I45" s="8">
        <f>HESAP!C18</f>
        <v/>
      </c>
    </row>
    <row r="46">
      <c r="H46" s="7" t="inlineStr">
        <is>
          <t>mmr_kapasiteYuku</t>
        </is>
      </c>
      <c r="I46" s="8">
        <f>HESAP!C24</f>
        <v/>
      </c>
    </row>
    <row r="47">
      <c r="H47" s="7" t="inlineStr">
        <is>
          <t>mmr_kapasiteAsim</t>
        </is>
      </c>
      <c r="I47" s="8">
        <f>HESAP!C23</f>
        <v/>
      </c>
    </row>
    <row r="48">
      <c r="H48" s="7" t="inlineStr">
        <is>
          <t>mmr_satinAlAdet</t>
        </is>
      </c>
      <c r="I48" s="8">
        <f>HESAP!C25</f>
        <v/>
      </c>
    </row>
    <row r="49">
      <c r="H49" s="7" t="inlineStr">
        <is>
          <t>mmr_yetimKayit</t>
        </is>
      </c>
      <c r="I49" s="8">
        <f>HESAP!C19</f>
        <v/>
      </c>
    </row>
    <row r="50">
      <c r="H50" s="7" t="inlineStr">
        <is>
          <t>mmr_gecersizGecis</t>
        </is>
      </c>
      <c r="I50" s="8">
        <f>HESAP!C20</f>
        <v/>
      </c>
    </row>
    <row r="51">
      <c r="H51" s="7" t="inlineStr">
        <is>
          <t>mmr_zincirKirik</t>
        </is>
      </c>
      <c r="I51" s="8">
        <f>HESAP!C21</f>
        <v/>
      </c>
    </row>
    <row r="52">
      <c r="H52" s="7" t="inlineStr">
        <is>
          <t>mmr_ihtiyacSapma</t>
        </is>
      </c>
      <c r="I52" s="8">
        <f>HESAP!C28</f>
        <v/>
      </c>
    </row>
    <row r="53">
      <c r="H53" s="7" t="inlineStr">
        <is>
          <t>mmr_tahminAralik</t>
        </is>
      </c>
      <c r="I53" s="8">
        <f>HESAP!C39</f>
        <v/>
      </c>
    </row>
    <row r="54">
      <c r="H54" s="7" t="inlineStr">
        <is>
          <t>mmr_senaryoKarsilastirma</t>
        </is>
      </c>
      <c r="I54" s="8">
        <f>HESAP!C33</f>
        <v/>
      </c>
    </row>
    <row r="55">
      <c r="H55" s="7" t="inlineStr">
        <is>
          <t>mmr_tornadoZirve</t>
        </is>
      </c>
      <c r="I55" s="8">
        <f>HESAP!C34</f>
        <v/>
      </c>
    </row>
    <row r="56">
      <c r="H56" s="7" t="inlineStr">
        <is>
          <t>mmr_hhi</t>
        </is>
      </c>
      <c r="I56" s="8">
        <f>HESAP!C35</f>
        <v/>
      </c>
    </row>
    <row r="57">
      <c r="H57" s="7" t="inlineStr">
        <is>
          <t>mmr_kaliteSkor</t>
        </is>
      </c>
      <c r="I57" s="8">
        <f>HESAP!C36</f>
        <v/>
      </c>
    </row>
    <row r="58">
      <c r="H58" s="7" t="inlineStr">
        <is>
          <t>mmr_yuzdelikP90</t>
        </is>
      </c>
      <c r="I58" s="8">
        <f>HESAP!C40</f>
        <v/>
      </c>
    </row>
    <row r="59">
      <c r="H59" s="7" t="inlineStr">
        <is>
          <t>mmr_senaryoMotor</t>
        </is>
      </c>
      <c r="I59" s="8">
        <f>HESAP!C45</f>
        <v/>
      </c>
    </row>
    <row r="60">
      <c r="H60" s="7" t="inlineStr">
        <is>
          <t>mmr_kapaliDusum</t>
        </is>
      </c>
      <c r="I60" s="8">
        <f>HESAP!C16</f>
        <v/>
      </c>
    </row>
    <row r="61">
      <c r="H61" s="7" t="inlineStr">
        <is>
          <t>mmr_kuyrukOzeti</t>
        </is>
      </c>
      <c r="I61" s="8">
        <f>HESAP!C44</f>
        <v/>
      </c>
    </row>
    <row r="62">
      <c r="H62" s="7" t="inlineStr">
        <is>
          <t>mmr_kanitRaporu</t>
        </is>
      </c>
      <c r="I62" s="8">
        <f>_xlfn.TEXTJOIN(" | ",TRUE,"Net",HESAP!C17,"Yetim",HESAP!C19,"Zincir",HESAP!C21,"Aşım",HESAP!C23,"SatınAl",HESAP!C25)</f>
        <v/>
      </c>
    </row>
    <row r="63">
      <c r="H63" s="7" t="inlineStr">
        <is>
          <t>mmr_sonrakiKimlik</t>
        </is>
      </c>
      <c r="I63" s="8">
        <f>"MAM-"&amp;TEXT(COUNTA(tblKartlar[KartId])+1,"00000")</f>
        <v/>
      </c>
    </row>
    <row r="65">
      <c r="H65" s="16" t="inlineStr">
        <is>
          <t>Yorumlar</t>
        </is>
      </c>
    </row>
    <row r="66">
      <c r="H66" s="7" t="inlineStr">
        <is>
          <t>mmr_yorumNet</t>
        </is>
      </c>
      <c r="I66" s="8">
        <f>_xlfn.TEXTJOIN(" ",TRUE,"Net ihtiyaç",mmr_netIhtiyac)</f>
        <v/>
      </c>
    </row>
    <row r="67">
      <c r="H67" s="7" t="inlineStr">
        <is>
          <t>mmr_yorumKapasite</t>
        </is>
      </c>
      <c r="I67" s="8">
        <f>_xlfn.TEXTJOIN(" ",TRUE,"Ort kapasite yükü",TEXT(mmr_kapasiteYuku,"0.0%"))</f>
        <v/>
      </c>
    </row>
    <row r="68">
      <c r="H68" s="7" t="inlineStr">
        <is>
          <t>mmr_yorumSapma</t>
        </is>
      </c>
      <c r="I68" s="8">
        <f>_xlfn.TEXTJOIN(" ",TRUE,"İhtiyaç sapması",mmr_ihtiyacSapma)</f>
        <v/>
      </c>
    </row>
    <row r="69">
      <c r="H69" s="7" t="inlineStr">
        <is>
          <t>mmr_yorumTornado</t>
        </is>
      </c>
      <c r="I69" s="8">
        <f>_xlfn.TEXTJOIN(" ",TRUE,"Tornado zirve",mmr_tornadoZirve)</f>
        <v/>
      </c>
    </row>
    <row r="70">
      <c r="H70" s="7" t="inlineStr">
        <is>
          <t>mmr_yorumSenaryo</t>
        </is>
      </c>
      <c r="I70" s="8">
        <f>_xlfn.TEXTJOIN(" ",TRUE,"Senaryo farkı",mmr_senaryoKarsilastirma)</f>
        <v/>
      </c>
    </row>
    <row r="71">
      <c r="H71" s="7" t="inlineStr">
        <is>
          <t>mmr_yorumHhi</t>
        </is>
      </c>
      <c r="I71" s="8">
        <f>_xlfn.TEXTJOIN(" ",TRUE,"Yoğunlaşma HHI",TEXT(mmr_hhi,"0.0%"))</f>
        <v/>
      </c>
    </row>
    <row r="72">
      <c r="H72" s="7" t="inlineStr">
        <is>
          <t>mmr_yorumKalite</t>
        </is>
      </c>
      <c r="I72" s="8">
        <f>_xlfn.TEXTJOIN(" ",TRUE,"Kalite skoru",mmr_kaliteSkor)</f>
        <v/>
      </c>
    </row>
    <row r="73">
      <c r="H73" s="7" t="inlineStr">
        <is>
          <t>mmr_yorumSenMotor</t>
        </is>
      </c>
      <c r="I73" s="8">
        <f>_xlfn.TEXTJOIN(" ",TRUE,"Senaryo motoru",mmr_senaryoMotor)</f>
        <v/>
      </c>
    </row>
    <row r="74">
      <c r="H74" s="7" t="inlineStr">
        <is>
          <t>mmr_yorumTahmin</t>
        </is>
      </c>
      <c r="I74" s="8">
        <f>_xlfn.TEXTJOIN(" ",TRUE,"Tahmin aralık",mmr_tahminAralik)</f>
        <v/>
      </c>
    </row>
    <row r="75">
      <c r="H75" s="7" t="inlineStr">
        <is>
          <t>mmr_yorumP90</t>
        </is>
      </c>
      <c r="I75" s="8">
        <f>_xlfn.TEXTJOIN(" ",TRUE,"P90 brüt",mmr_yuzdelikP90)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25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Mini-MRP (BOM + Malzeme İhtiyacı + Kapasite)</t>
        </is>
      </c>
    </row>
    <row r="3">
      <c r="A3" s="10" t="inlineStr">
        <is>
          <t>Kullanım Kılavuzu</t>
        </is>
      </c>
    </row>
    <row r="5">
      <c r="A5" s="8" t="inlineStr">
        <is>
          <t>1. KARTLAR sayfasına mamul kartı ekleyin; sonraki kimliği kullanın.</t>
        </is>
      </c>
    </row>
    <row r="6">
      <c r="A6" s="8" t="inlineStr">
        <is>
          <t>2. AKIS sayfasına her BOM/iş emri satırını yazın; durum kolonunu listeden seçin.</t>
        </is>
      </c>
    </row>
    <row r="7">
      <c r="A7" s="8" t="inlineStr">
        <is>
          <t>3. Önceki durum boş bırakılırsa geçiş uyarısı çalışmaz; bilinçli geçişte doldurun.</t>
        </is>
      </c>
    </row>
    <row r="8">
      <c r="A8" s="8" t="inlineStr">
        <is>
          <t>4. Geçersiz geçiş engellenmez — kırmızı uyarı üretir (makrosuz kural).</t>
        </is>
      </c>
    </row>
    <row r="9">
      <c r="A9" s="8" t="inlineStr">
        <is>
          <t>5. Kapalı durum (Tamam) açık kuyruklardan düşer.</t>
        </is>
      </c>
    </row>
    <row r="10">
      <c r="A10" s="8" t="inlineStr">
        <is>
          <t>6. raporTarihi AYARLAR'dadır; TODAY kullanılmaz. Yaşlandırma plan tarihine göredir.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dataValidations count="9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2026-08-11T11:49:08Z</dcterms:created>
  <dcterms:modified xmlns:dcterms="http://purl.org/dc/terms/" xmlns:xsi="http://www.w3.org/2001/XMLSchema-instance" xsi:type="dcterms:W3CDTF">2026-09-25T14:22:52Z</dcterms:modified>
</cp:coreProperties>
</file>