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">'PANO'!$A$1:$N$36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%;[Red](0.0%);-"/>
    <numFmt numFmtId="166" formatCode="0&quot; gün&quot;"/>
    <numFmt numFmtId="167" formatCode="yyyy-mm-dd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Bileşen Net İhtiyaç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Net İhtiyaç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Kapasite Yükü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Bileşen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ÜRET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Mini-MRP (BOM + Malzeme İhtiyacı + Kapasite)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YOK",IF(mmr_kapasiteAsim&gt;0,"KAPASİTE AŞIMI",IF(mmr_satinAlAdet&gt;mmr_esikSatinAl,"SATIN AL","ÜRET")))</f>
        <v/>
      </c>
    </row>
    <row r="6">
      <c r="A6" s="14" t="inlineStr">
        <is>
          <t>Plan Kuyruk Adet</t>
        </is>
      </c>
      <c r="B6" s="15">
        <f>COUNTIFS(tblAkis[Durum],"PLAN",tblAkis[KayitDolu],1)</f>
        <v/>
      </c>
      <c r="D6" s="16" t="inlineStr">
        <is>
          <t>Modül Yorumları</t>
        </is>
      </c>
    </row>
    <row r="7">
      <c r="A7" s="14" t="inlineStr">
        <is>
          <t>Tedarik Adet</t>
        </is>
      </c>
      <c r="B7" s="15">
        <f>COUNTIFS(tblAkis[Durum],"TEDARIK",tblAkis[KayitDolu],1)</f>
        <v/>
      </c>
      <c r="D7" s="8">
        <f>mmr_yorumNet</f>
        <v/>
      </c>
    </row>
    <row r="8">
      <c r="A8" s="14" t="inlineStr">
        <is>
          <t>Üretim Adet</t>
        </is>
      </c>
      <c r="B8" s="15">
        <f>COUNTIFS(tblAkis[Durum],"URETIM",tblAkis[KayitDolu],1)</f>
        <v/>
      </c>
      <c r="D8" s="8">
        <f>mmr_yorumKapasite</f>
        <v/>
      </c>
    </row>
    <row r="9">
      <c r="A9" s="14" t="inlineStr">
        <is>
          <t>Net İhtiyaç</t>
        </is>
      </c>
      <c r="B9" s="15">
        <f>mmr_netIhtiyac</f>
        <v/>
      </c>
      <c r="D9" s="8">
        <f>mmr_yorumSapma</f>
        <v/>
      </c>
    </row>
    <row r="10">
      <c r="A10" s="14" t="inlineStr">
        <is>
          <t>Önerilen Sipariş</t>
        </is>
      </c>
      <c r="B10" s="15">
        <f>mmr_onerilenSiparis</f>
        <v/>
      </c>
      <c r="D10" s="8">
        <f>mmr_yorumTornado</f>
        <v/>
      </c>
    </row>
    <row r="11">
      <c r="A11" s="14" t="inlineStr">
        <is>
          <t>Kapasite Yükü</t>
        </is>
      </c>
      <c r="B11" s="17">
        <f>mmr_kapasiteYuku</f>
        <v/>
      </c>
      <c r="D11" s="8">
        <f>mmr_yorumSenaryo</f>
        <v/>
      </c>
    </row>
    <row r="12">
      <c r="A12" s="14" t="inlineStr">
        <is>
          <t>Yetim Kayıt</t>
        </is>
      </c>
      <c r="B12" s="15">
        <f>mmr_yetimKayit</f>
        <v/>
      </c>
      <c r="D12" s="8">
        <f>mmr_yorumHhi</f>
        <v/>
      </c>
    </row>
    <row r="13">
      <c r="A13" s="14" t="inlineStr">
        <is>
          <t>Geçersiz Geçiş</t>
        </is>
      </c>
      <c r="B13" s="15">
        <f>mmr_gecersizGecis</f>
        <v/>
      </c>
      <c r="D13" s="8">
        <f>mmr_yorumKalite</f>
        <v/>
      </c>
    </row>
    <row r="14">
      <c r="A14" s="14" t="inlineStr">
        <is>
          <t>Zincir Kırık</t>
        </is>
      </c>
      <c r="B14" s="15">
        <f>mmr_zincirKirik</f>
        <v/>
      </c>
      <c r="D14" s="8">
        <f>mmr_yorumSenMotor</f>
        <v/>
      </c>
    </row>
    <row r="15">
      <c r="A15" s="14" t="inlineStr">
        <is>
          <t>Kapasite Aşım</t>
        </is>
      </c>
      <c r="B15" s="15">
        <f>mmr_kapasiteAsim</f>
        <v/>
      </c>
      <c r="D15" s="8">
        <f>mmr_yorumTahmin</f>
        <v/>
      </c>
    </row>
    <row r="16">
      <c r="A16" s="14" t="inlineStr">
        <is>
          <t>Satın Al Adet</t>
        </is>
      </c>
      <c r="B16" s="15">
        <f>mmr_satinAlAdet</f>
        <v/>
      </c>
      <c r="D16" s="8">
        <f>mmr_yorumP90</f>
        <v/>
      </c>
    </row>
    <row r="17">
      <c r="A17" s="14" t="inlineStr">
        <is>
          <t>Tahmin Aralık</t>
        </is>
      </c>
      <c r="B17" s="15">
        <f>mmr_tahminAralik</f>
        <v/>
      </c>
    </row>
    <row r="18">
      <c r="A18" s="14" t="inlineStr">
        <is>
          <t>Senaryo Farkı</t>
        </is>
      </c>
      <c r="B18" s="15">
        <f>mmr_senaryoKarsilastirma</f>
        <v/>
      </c>
    </row>
    <row r="19">
      <c r="A19" s="14" t="inlineStr">
        <is>
          <t>Tornado Zirve</t>
        </is>
      </c>
      <c r="B19" s="15">
        <f>mmr_tornadoZirve</f>
        <v/>
      </c>
    </row>
    <row r="20">
      <c r="A20" s="14" t="inlineStr">
        <is>
          <t>HHI Yoğunlaşma</t>
        </is>
      </c>
      <c r="B20" s="17">
        <f>mmr_hhi</f>
        <v/>
      </c>
    </row>
    <row r="21">
      <c r="A21" s="14" t="inlineStr">
        <is>
          <t>Kalite Skoru</t>
        </is>
      </c>
      <c r="B21" s="15">
        <f>mmr_kaliteSkor</f>
        <v/>
      </c>
    </row>
    <row r="22">
      <c r="A22" s="14" t="inlineStr">
        <is>
          <t>P90 Yüzdelik</t>
        </is>
      </c>
      <c r="B22" s="15">
        <f>mmr_yuzdelikP90</f>
        <v/>
      </c>
    </row>
    <row r="23">
      <c r="A23" s="14" t="inlineStr">
        <is>
          <t>Kapalı Düşüm</t>
        </is>
      </c>
      <c r="B23" s="15">
        <f>mmr_kapaliDusum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Bileşen</t>
        </is>
      </c>
      <c r="E26" s="7" t="inlineStr">
        <is>
          <t>Net</t>
        </is>
      </c>
      <c r="G26" s="7" t="inlineStr">
        <is>
          <t>Hafta</t>
        </is>
      </c>
      <c r="H26" s="7" t="inlineStr">
        <is>
          <t>Netİhtiyaç</t>
        </is>
      </c>
      <c r="J26" s="7" t="inlineStr">
        <is>
          <t>Senaryo</t>
        </is>
      </c>
      <c r="K26" s="7" t="inlineStr">
        <is>
          <t>İhtiyaç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Yük</t>
        </is>
      </c>
    </row>
    <row r="27">
      <c r="A27" s="7" t="inlineStr">
        <is>
          <t>Durum Plan</t>
        </is>
      </c>
      <c r="B27" s="18" t="n">
        <v>7</v>
      </c>
      <c r="D27" s="7" t="inlineStr">
        <is>
          <t>CEL-001</t>
        </is>
      </c>
      <c r="E27" s="18" t="n">
        <v>12</v>
      </c>
      <c r="G27" s="18" t="n">
        <v>1</v>
      </c>
      <c r="H27" s="18" t="n">
        <v>40</v>
      </c>
      <c r="J27" s="7" t="inlineStr">
        <is>
          <t>Temkinli</t>
        </is>
      </c>
      <c r="K27" s="18" t="n">
        <v>180</v>
      </c>
      <c r="M27" s="7" t="inlineStr">
        <is>
          <t>Yetim</t>
        </is>
      </c>
      <c r="N27" s="18" t="n">
        <v>2</v>
      </c>
      <c r="P27" s="18" t="n">
        <v>1</v>
      </c>
      <c r="Q27" s="19" t="n">
        <v>0.55</v>
      </c>
    </row>
    <row r="28">
      <c r="A28" s="7" t="inlineStr">
        <is>
          <t>Durum Tedarik</t>
        </is>
      </c>
      <c r="B28" s="18" t="n">
        <v>8</v>
      </c>
      <c r="D28" s="7" t="inlineStr">
        <is>
          <t>PLK-002</t>
        </is>
      </c>
      <c r="E28" s="18" t="n">
        <v>18</v>
      </c>
      <c r="G28" s="18" t="n">
        <v>2</v>
      </c>
      <c r="H28" s="18" t="n">
        <v>48</v>
      </c>
      <c r="J28" s="7" t="inlineStr">
        <is>
          <t>Baz</t>
        </is>
      </c>
      <c r="K28" s="18" t="n">
        <v>220</v>
      </c>
      <c r="M28" s="7" t="inlineStr">
        <is>
          <t>Geçersiz</t>
        </is>
      </c>
      <c r="N28" s="18" t="n">
        <v>2</v>
      </c>
      <c r="P28" s="18" t="n">
        <v>2</v>
      </c>
      <c r="Q28" s="19" t="n">
        <v>0.6200000000000001</v>
      </c>
    </row>
    <row r="29">
      <c r="A29" s="7" t="inlineStr">
        <is>
          <t>Durum Üretim</t>
        </is>
      </c>
      <c r="B29" s="18" t="n">
        <v>7</v>
      </c>
      <c r="D29" s="7" t="inlineStr">
        <is>
          <t>RUL-003</t>
        </is>
      </c>
      <c r="E29" s="18" t="n">
        <v>9</v>
      </c>
      <c r="G29" s="18" t="n">
        <v>3</v>
      </c>
      <c r="H29" s="18" t="n">
        <v>56</v>
      </c>
      <c r="J29" s="7" t="inlineStr">
        <is>
          <t>İyimser</t>
        </is>
      </c>
      <c r="K29" s="18" t="n">
        <v>260</v>
      </c>
      <c r="M29" s="7" t="inlineStr">
        <is>
          <t>Zincir</t>
        </is>
      </c>
      <c r="N29" s="18" t="n">
        <v>2</v>
      </c>
      <c r="P29" s="18" t="n">
        <v>3</v>
      </c>
      <c r="Q29" s="19" t="n">
        <v>0.6900000000000001</v>
      </c>
    </row>
    <row r="30">
      <c r="A30" s="7" t="inlineStr">
        <is>
          <t>Durum Tamam</t>
        </is>
      </c>
      <c r="B30" s="18" t="n">
        <v>6</v>
      </c>
      <c r="D30" s="7" t="inlineStr">
        <is>
          <t>CON-004</t>
        </is>
      </c>
      <c r="E30" s="18" t="n">
        <v>15</v>
      </c>
      <c r="G30" s="18" t="n">
        <v>4</v>
      </c>
      <c r="H30" s="18" t="n">
        <v>64</v>
      </c>
      <c r="M30" s="7" t="inlineStr">
        <is>
          <t>Aşım</t>
        </is>
      </c>
      <c r="N30" s="18" t="n">
        <v>3</v>
      </c>
      <c r="P30" s="18" t="n">
        <v>4</v>
      </c>
      <c r="Q30" s="19" t="n">
        <v>0.76</v>
      </c>
    </row>
    <row r="31">
      <c r="G31" s="18" t="n">
        <v>5</v>
      </c>
      <c r="H31" s="18" t="n">
        <v>72</v>
      </c>
      <c r="P31" s="18" t="n">
        <v>5</v>
      </c>
      <c r="Q31" s="19" t="n">
        <v>0.8300000000000001</v>
      </c>
    </row>
    <row r="32">
      <c r="G32" s="18" t="n">
        <v>6</v>
      </c>
      <c r="H32" s="18" t="n">
        <v>80</v>
      </c>
      <c r="P32" s="18" t="n">
        <v>6</v>
      </c>
      <c r="Q32" s="19" t="n">
        <v>0.9000000000000001</v>
      </c>
    </row>
    <row r="33">
      <c r="G33" s="18" t="n">
        <v>7</v>
      </c>
      <c r="H33" s="18" t="n">
        <v>88</v>
      </c>
    </row>
    <row r="34">
      <c r="G34" s="18" t="n">
        <v>8</v>
      </c>
      <c r="H34" s="18" t="n">
        <v>96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Pano | 1.0.0&amp;CExcelArşiv&amp;RSayfa &amp;P / &amp;N</oddFooter>
    <evenHeader/>
    <evenFooter>&amp;LMini-MRP (BOM + Malzeme İhtiyacı + Kapasite)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KARTLAR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0" t="inlineStr">
        <is>
          <t>Mamul kartları — her kaydın tek kimliği vardır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3" ht="20" customHeight="1">
      <c r="A3" s="20" t="inlineStr">
        <is>
          <t>BOM / iş emri satırları — durum makinesi + yetim + geçersiz geçiş + zincir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</row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0" t="inlineStr">
        <is>
          <t>Durum bazlı canlı kuyruk — kapalı kayıtlar düşer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5">
      <c r="A15" s="22" t="inlineStr">
        <is>
          <t>Kuyruk Özeti</t>
        </is>
      </c>
      <c r="B15" s="8">
        <f>mmr_kuyrukOzeti</f>
        <v/>
      </c>
    </row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0" t="inlineStr">
        <is>
          <t>Hesap motoru — ≥40 adım; sabitler AYARLAR'dan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3" t="inlineStr">
        <is>
          <t>Dönemsel Malzeme / Kapasite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2" t="inlineStr">
        <is>
          <t>KARAR</t>
        </is>
      </c>
      <c r="B7" s="34">
        <f>PANO!B4</f>
        <v/>
      </c>
    </row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5" t="inlineStr">
        <is>
          <t>Canlı Kontrol Paneli</t>
        </is>
      </c>
    </row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5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0" t="inlineStr">
        <is>
          <t>Tek kaynak parametreler + durum haritası (A01/A06)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Mini-MRP (BOM + Malzeme İhtiyacı + Kapasite)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2026-08-11T11:49:08Z</dcterms:created>
  <dcterms:modified xsi:type="dcterms:W3CDTF">2026-08-11T11:49:09Z</dcterms:modified>
</cp:coreProperties>
</file>