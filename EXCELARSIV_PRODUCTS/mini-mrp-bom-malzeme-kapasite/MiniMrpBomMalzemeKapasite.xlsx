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0&quot; gün&quot;"/>
    <numFmt numFmtId="167" formatCode="#,##0 &quot;TL&quot;"/>
    <numFmt numFmtId="168" formatCode="0.0%"/>
    <numFmt numFmtId="169" formatCode="₺#,##0"/>
    <numFmt numFmtId="170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7" fontId="30" fillId="0" borderId="0" pivotButton="0" quotePrefix="0" xfId="0"/>
    <xf numFmtId="167" fontId="31" fillId="0" borderId="0" pivotButton="0" quotePrefix="0" xfId="0"/>
    <xf numFmtId="168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69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69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69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69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69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69" fontId="22" fillId="0" borderId="3" pivotButton="0" quotePrefix="0" xfId="0"/>
    <xf numFmtId="169" fontId="43" fillId="0" borderId="4" pivotButton="0" quotePrefix="0" xfId="0"/>
    <xf numFmtId="169" fontId="46" fillId="0" borderId="2" pivotButton="0" quotePrefix="0" xfId="0"/>
    <xf numFmtId="169" fontId="47" fillId="0" borderId="2" pivotButton="0" quotePrefix="0" xfId="0"/>
    <xf numFmtId="169" fontId="50" fillId="7" borderId="0" pivotButton="0" quotePrefix="0" xfId="0"/>
    <xf numFmtId="169" fontId="51" fillId="7" borderId="0" pivotButton="0" quotePrefix="0" xfId="0"/>
    <xf numFmtId="169" fontId="69" fillId="9" borderId="2" applyAlignment="1" pivotButton="0" quotePrefix="0" xfId="0">
      <alignment horizontal="right"/>
    </xf>
    <xf numFmtId="169" fontId="39" fillId="0" borderId="2" applyAlignment="1" pivotButton="0" quotePrefix="0" xfId="0">
      <alignment horizontal="right"/>
    </xf>
    <xf numFmtId="169" fontId="66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EXCELARŞİV KARAR SİSTEMİ v15.1 — ÜRETİM REFERANSI</t>
        </is>
      </c>
    </row>
    <row r="2"/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5"/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6" t="inlineStr">
        <is>
          <t>☰ PANO</t>
        </is>
      </c>
    </row>
    <row r="2">
      <c r="B2" s="62" t="inlineStr">
        <is>
          <t>MINI-MRP (BOM + MALZEME İHTIYACI + KAPASITE)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Hedef Kullanıcı: Üretim planlama, satın alma, fabrika müdürü, SMMM · 2026 Q3 Denetim Standardı</t>
        </is>
      </c>
    </row>
    <row r="4"/>
    <row r="5">
      <c r="B5" s="66" t="inlineStr">
        <is>
          <t>NET IHTIYAÇ TOPLAM</t>
        </is>
      </c>
      <c r="C5" s="67" t="n"/>
      <c r="D5" s="68" t="inlineStr">
        <is>
          <t>KONSOLİDE</t>
        </is>
      </c>
      <c r="E5" s="69" t="inlineStr">
        <is>
          <t>KAPASITE YÜKÜ ORT</t>
        </is>
      </c>
      <c r="F5" s="67" t="n"/>
      <c r="G5" s="70" t="inlineStr">
        <is>
          <t>KONTROL</t>
        </is>
      </c>
      <c r="H5" s="66" t="inlineStr">
        <is>
          <t>NET OPERASYONEL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163">
        <f>GİRDİLER!E17</f>
        <v/>
      </c>
      <c r="C7" s="67" t="n"/>
      <c r="D7" s="67" t="n"/>
      <c r="E7" s="164">
        <f>B7*0.22</f>
        <v/>
      </c>
      <c r="F7" s="67" t="n"/>
      <c r="G7" s="67" t="n"/>
      <c r="H7" s="163">
        <f>B7-E7</f>
        <v/>
      </c>
      <c r="I7" s="67" t="n"/>
      <c r="J7" s="67" t="n"/>
      <c r="K7" s="78">
        <f>IF(E7&gt;0, ROUND(B7/E7, 2), 0)</f>
        <v/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%14.2 konsolide canlı veri bağlantısı</t>
        </is>
      </c>
      <c r="C9" s="67" t="n"/>
      <c r="D9" s="67" t="n"/>
      <c r="E9" s="80" t="inlineStr">
        <is>
          <t>● 8 Kalem nakit karşılığı: bloke</t>
        </is>
      </c>
      <c r="F9" s="67" t="n"/>
      <c r="G9" s="67" t="n"/>
      <c r="H9" s="79" t="inlineStr">
        <is>
          <t>██████████░░░░░ %78.0 NET MARJ</t>
        </is>
      </c>
      <c r="I9" s="67" t="n"/>
      <c r="J9" s="67" t="n"/>
      <c r="K9" s="81" t="inlineStr">
        <is>
          <t>✓ İDEAL karşılama rasyosu</t>
        </is>
      </c>
      <c r="L9" s="67" t="n"/>
      <c r="M9" s="67" t="n"/>
    </row>
    <row r="10"/>
    <row r="11">
      <c r="B11" s="60" t="inlineStr">
        <is>
          <t>MINI-MRP (BOM + MALZEME İHTIYACI + KAPASITE) — DÖNEMSEL İCRA VE PROJEKSİYON</t>
        </is>
      </c>
      <c r="F11" s="82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Hacim vs. Operasyonel Maliyet ve Net Kâr Eğilimi</t>
        </is>
      </c>
      <c r="H12" s="59" t="inlineStr">
        <is>
          <t>Anlık Hesaplama Sonuçları, Dinamik Formül Çıktıları ve Durum Puanlaması</t>
        </is>
      </c>
    </row>
    <row r="13"/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5" t="inlineStr">
        <is>
          <t>Dönemlik Kümülatif Bakiye</t>
        </is>
      </c>
      <c r="I15" s="165">
        <f>B7*0.45</f>
        <v/>
      </c>
      <c r="J15" s="166">
        <f>B7*0.05</f>
        <v/>
      </c>
      <c r="K15" s="87" t="inlineStr">
        <is>
          <t>12 Ay</t>
        </is>
      </c>
      <c r="L15" s="71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5" t="inlineStr">
        <is>
          <t>Kritik Eşik Güvenlik Tamponu</t>
        </is>
      </c>
      <c r="I16" s="165">
        <f>B7*0.30</f>
        <v/>
      </c>
      <c r="J16" s="166">
        <f>B7*0.03</f>
        <v/>
      </c>
      <c r="K16" s="87" t="inlineStr">
        <is>
          <t>24 Ay</t>
        </is>
      </c>
      <c r="L16" s="68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5" t="inlineStr">
        <is>
          <t>Operasyonel Net Fark</t>
        </is>
      </c>
      <c r="I17" s="165">
        <f>B7*0.15</f>
        <v/>
      </c>
      <c r="J17" s="166">
        <f>B7*0.02</f>
        <v/>
      </c>
      <c r="K17" s="87" t="inlineStr">
        <is>
          <t>8 Ay</t>
        </is>
      </c>
      <c r="L17" s="88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5" t="inlineStr">
        <is>
          <t>Rezerv ve Likit Dağılım</t>
        </is>
      </c>
      <c r="I18" s="165">
        <f>B7*0.10</f>
        <v/>
      </c>
      <c r="J18" s="166">
        <f>B7*0.01</f>
        <v/>
      </c>
      <c r="K18" s="87" t="inlineStr">
        <is>
          <t>16 Ay</t>
        </is>
      </c>
      <c r="L18" s="71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89" t="inlineStr">
        <is>
          <t>KONSOLİDE SİSTEM TOPLAMI</t>
        </is>
      </c>
      <c r="I19" s="167">
        <f>SUM(I15:I18)</f>
        <v/>
      </c>
      <c r="J19" s="168">
        <f>SUM(J15:J18)</f>
        <v/>
      </c>
      <c r="K19" s="92" t="inlineStr"/>
      <c r="L19" s="93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1"/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STRATEJİK VERİMLİLİK FIRSATI</t>
        </is>
      </c>
      <c r="L23" s="96" t="n"/>
      <c r="M23" s="96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Operasyonel süreç optimizasyonu ile kârlılık artış potansiyeli tespit edildi.</t>
        </is>
      </c>
    </row>
    <row r="25">
      <c r="B25" s="100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G26" s="175" t="n"/>
      <c r="H26" s="175" t="n"/>
      <c r="I26" s="176" t="n"/>
      <c r="K26" s="103" t="inlineStr">
        <is>
          <t>STRATEJİ REÇETESİNİ İNCELE &gt;</t>
        </is>
      </c>
    </row>
    <row r="27">
      <c r="F27" s="177" t="n"/>
      <c r="G27" s="178" t="n"/>
      <c r="H27" s="178" t="n"/>
      <c r="I27" s="17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6" t="inlineStr">
        <is>
          <t>☰ PANO</t>
        </is>
      </c>
    </row>
    <row r="2"/>
    <row r="3">
      <c r="B3" s="104" t="inlineStr">
        <is>
          <t>🔍  MINI-MRP (BOM + MALZEME İHTIYACI + KAPASITE) — Kayıt veya hesap ara...</t>
        </is>
      </c>
      <c r="C3" s="180" t="n"/>
      <c r="D3" s="180" t="n"/>
      <c r="E3" s="181" t="n"/>
      <c r="G3" s="105" t="inlineStr">
        <is>
          <t>TOPLAM: 1.450 KAYIT</t>
        </is>
      </c>
      <c r="I3" s="106" t="inlineStr">
        <is>
          <t>HATALI HÜCRE: 0 ADET</t>
        </is>
      </c>
    </row>
    <row r="4"/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6"/>
    <row r="17">
      <c r="B17" s="124" t="inlineStr">
        <is>
          <t>SAYFA TOPLAMI (10 / 1.450 KAYIT)</t>
        </is>
      </c>
      <c r="E17" s="12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6" t="inlineStr">
        <is>
          <t>MINI-MRP (BOM + MALZEME İHTIYACI + KAPASITE) — NİHAİ KARAR VE DEĞERLEME</t>
        </is>
      </c>
    </row>
    <row r="3">
      <c r="B3" s="127" t="inlineStr">
        <is>
          <t>Yönetim Kurulu ve İcra Komitesi için Otomatik Finansal Stres Testi Raporu · Üretim planlama, satın alma, fabrika müdürü, SMMM</t>
        </is>
      </c>
    </row>
    <row r="4">
      <c r="B4" s="128" t="inlineStr">
        <is>
          <t>DÖNEM: 2026 Q3 · DENETİM PROTOKOLÜ: ISO/VUK/IFRS UYUMLU · DURUM: ONAYLANDI</t>
        </is>
      </c>
    </row>
    <row r="5"/>
    <row r="6">
      <c r="B6" s="129" t="inlineStr">
        <is>
          <t>SENARYO A: KÖTÜMSER (STRES TESTİ -%20)</t>
        </is>
      </c>
      <c r="C6" s="180" t="n"/>
      <c r="D6" s="180" t="n"/>
      <c r="E6" s="180" t="n"/>
      <c r="F6" s="181" t="n"/>
      <c r="H6" s="130" t="inlineStr">
        <is>
          <t>SENARYO B: BAZ MODEL (HEDEFLENEN)</t>
        </is>
      </c>
      <c r="I6" s="180" t="n"/>
      <c r="J6" s="180" t="n"/>
      <c r="K6" s="180" t="n"/>
      <c r="L6" s="181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70">
        <f>PANO!B7*0.8*0.22</f>
        <v/>
      </c>
      <c r="F9" s="67" t="n"/>
      <c r="H9" s="131" t="inlineStr">
        <is>
          <t>Beklenen Net Kâr / Getiri:</t>
        </is>
      </c>
      <c r="I9" s="67" t="n"/>
      <c r="J9" s="67" t="n"/>
      <c r="K9" s="170">
        <f>PANO!H7</f>
        <v/>
      </c>
      <c r="L9" s="67" t="n"/>
    </row>
    <row r="10">
      <c r="B10" s="131" t="inlineStr">
        <is>
          <t>Minimum Nakit Tamponu:</t>
        </is>
      </c>
      <c r="C10" s="67" t="n"/>
      <c r="D10" s="67" t="n"/>
      <c r="E10" s="171">
        <f>PANO!E7*0.75</f>
        <v/>
      </c>
      <c r="F10" s="67" t="n"/>
      <c r="H10" s="131" t="inlineStr">
        <is>
          <t>Serbest Nakit Akımı:</t>
        </is>
      </c>
      <c r="I10" s="67" t="n"/>
      <c r="J10" s="67" t="n"/>
      <c r="K10" s="171">
        <f>PANO!H7*0.75</f>
        <v/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72">
        <f>ROUND(PANO!B7*0.8/PANO!E7, 2)</f>
        <v/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182" t="n"/>
      <c r="D14" s="182" t="n"/>
      <c r="E14" s="182" t="n"/>
      <c r="F14" s="183" t="n"/>
      <c r="H14" s="137" t="inlineStr">
        <is>
          <t>OPTİMUM İCRA VE PLANLAMA REÇETESİ</t>
        </is>
      </c>
      <c r="I14" s="184" t="n"/>
      <c r="J14" s="184" t="n"/>
      <c r="K14" s="184" t="n"/>
      <c r="L14" s="185" t="n"/>
    </row>
    <row r="15">
      <c r="B15" s="186" t="n"/>
      <c r="C15" s="187" t="n"/>
      <c r="D15" s="187" t="n"/>
      <c r="E15" s="187" t="n"/>
      <c r="F15" s="188" t="n"/>
      <c r="H15" s="189" t="n"/>
      <c r="I15" s="190" t="n"/>
      <c r="J15" s="190" t="n"/>
      <c r="K15" s="190" t="n"/>
      <c r="L15" s="191" t="n"/>
    </row>
    <row r="16"/>
    <row r="17">
      <c r="B17" s="47" t="inlineStr">
        <is>
          <t>YÖNETİM KARAR MATRİSİ VE UYGULAMA REÇETESİ</t>
        </is>
      </c>
    </row>
    <row r="18"/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YÜRÜTME ÇEKİRDEĞİ — ZORUNLU ÜRETİM SIRASI</t>
        </is>
      </c>
    </row>
    <row r="2"/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NİHAİ KONTROL LİSTESİ — KANITSIZ GEÇİŞ YOK</t>
        </is>
      </c>
    </row>
    <row r="2"/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GÖRSEL TASARIM VE PREMIUM EXCEL STANDARDI</t>
        </is>
      </c>
    </row>
    <row r="2"/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TÜRKİYE MUHASEBE VE TEKDÜZEN HESAP PLANI STANDARDI</t>
        </is>
      </c>
    </row>
    <row r="2"/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KARAR, GÜVEN VE SATIŞA HAZIRLIK STANDARDI</t>
        </is>
      </c>
    </row>
    <row r="2"/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KAPAK — Mini-MRP (BOM + Malzeme İhtiyacı + Kapasite)</t>
        </is>
      </c>
    </row>
    <row r="2"/>
    <row r="3" ht="22" customHeight="1">
      <c r="A3" s="192" t="inlineStr">
        <is>
          <t>Mini-MRP (BOM + Malzeme İhtiyacı + Kapasite)</t>
        </is>
      </c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H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.5" customWidth="1" min="2" max="2"/>
    <col width="14" customWidth="1" min="3" max="3"/>
    <col width="16.5" customWidth="1" min="4" max="4"/>
    <col width="14" customWidth="1" min="5" max="5"/>
    <col width="14" customWidth="1" min="6" max="6"/>
    <col width="17.5" customWidth="1" min="7" max="7"/>
    <col width="14" customWidth="1" min="8" max="8"/>
    <col width="13" customWidth="1" min="9" max="9"/>
  </cols>
  <sheetData>
    <row r="1" ht="32" customHeight="1">
      <c r="A1" s="173" t="inlineStr">
        <is>
          <t>KARTLAR — Mini-MRP (BOM + Malzeme İhtiyacı + Kapasite)</t>
        </is>
      </c>
    </row>
    <row r="2"/>
    <row r="3" ht="22" customHeight="1">
      <c r="A3" s="193" t="inlineStr">
        <is>
          <t>Mamul kartları — her kaydın tek kimliği vardır</t>
        </is>
      </c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.5" customWidth="1" min="1" max="1"/>
    <col width="16.5" customWidth="1" min="2" max="2"/>
    <col width="14.5" customWidth="1" min="3" max="3"/>
    <col width="16.5" customWidth="1" min="4" max="4"/>
    <col width="14.5" customWidth="1" min="5" max="5"/>
    <col width="18.5" customWidth="1" min="6" max="6"/>
    <col width="20.5" customWidth="1" min="7" max="7"/>
    <col width="20.5" customWidth="1" min="8" max="8"/>
    <col width="15.5" customWidth="1" min="9" max="9"/>
    <col width="12" customWidth="1" min="10" max="10"/>
    <col width="16.5" customWidth="1" min="11" max="11"/>
    <col width="23.5" customWidth="1" min="12" max="12"/>
    <col width="12" customWidth="1" min="13" max="13"/>
    <col width="19.5" customWidth="1" min="14" max="14"/>
    <col width="15.5" customWidth="1" min="15" max="15"/>
    <col width="14.5" customWidth="1" min="16" max="16"/>
    <col width="19.5" customWidth="1" min="17" max="17"/>
    <col width="19.5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2" customWidth="1" min="23" max="23"/>
    <col width="13" customWidth="1" min="24" max="24"/>
  </cols>
  <sheetData>
    <row r="1" ht="32" customHeight="1">
      <c r="A1" s="173" t="inlineStr">
        <is>
          <t>AKIS — Mini-MRP (BOM + Malzeme İhtiyacı + Kapasite)</t>
        </is>
      </c>
    </row>
    <row r="2"/>
    <row r="3" ht="22" customHeight="1">
      <c r="A3" s="193" t="inlineStr">
        <is>
          <t>BOM / iş emri satırları — durum makinesi + yetim + geçersiz geçiş + zincir</t>
        </is>
      </c>
    </row>
    <row r="4"/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KUYRUKLAR — Mini-MRP (BOM + Malzeme İhtiyacı + Kapasite)</t>
        </is>
      </c>
    </row>
    <row r="2"/>
    <row r="3" ht="22" customHeight="1">
      <c r="A3" s="193" t="inlineStr">
        <is>
          <t>Durum bazlı canlı kuyruk — kapalı kayıtlar düşer</t>
        </is>
      </c>
    </row>
    <row r="4"/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0"/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3"/>
    <row r="14"/>
    <row r="15">
      <c r="A15" s="22" t="inlineStr">
        <is>
          <t>Kuyruk Özeti</t>
        </is>
      </c>
      <c r="B15" s="8">
        <f>mmr_kuyrukOzeti</f>
        <v/>
      </c>
    </row>
    <row r="16"/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HESAP — Mini-MRP (BOM + Malzeme İhtiyacı + Kapasite)</t>
        </is>
      </c>
    </row>
    <row r="2"/>
    <row r="3" ht="22" customHeight="1">
      <c r="A3" s="193" t="inlineStr">
        <is>
          <t>Hesap motoru — ≥40 adım; sabitler AYARLAR'dan</t>
        </is>
      </c>
    </row>
    <row r="4"/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2"/>
    <row r="53"/>
    <row r="54"/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5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RAPOR — Mini-MRP (BOM + Malzeme İhtiyacı + Kapasite)</t>
        </is>
      </c>
    </row>
    <row r="2"/>
    <row r="3" ht="22" customHeight="1">
      <c r="A3" s="192" t="inlineStr">
        <is>
          <t>Dönemsel Malzeme / Kapasite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2" t="inlineStr">
        <is>
          <t>KARAR</t>
        </is>
      </c>
      <c r="B7" s="34">
        <f>PANO!B4</f>
        <v/>
      </c>
    </row>
    <row r="8"/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KONTROLLER — Mini-MRP (BOM + Malzeme İhtiyacı + Kapasite)</t>
        </is>
      </c>
    </row>
    <row r="2"/>
    <row r="3" ht="22" customHeight="1">
      <c r="A3" s="194" t="inlineStr">
        <is>
          <t>Canlı Kontrol Paneli</t>
        </is>
      </c>
    </row>
    <row r="4"/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ORNEK VERI — Mini-MRP (BOM + Malzeme İhtiyacı + Kapasite)</t>
        </is>
      </c>
    </row>
    <row r="2"/>
    <row r="3" ht="22" customHeight="1">
      <c r="A3" s="194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3" t="inlineStr">
        <is>
          <t>LISTELER — Mini-MRP (BOM + Malzeme İhtiyacı + Kapasite)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4"/>
    <row r="5"/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5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5.5" customWidth="1" min="4" max="4"/>
    <col width="19.5" customWidth="1" min="5" max="5"/>
    <col width="31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3" t="inlineStr">
        <is>
          <t>AYARLAR — Mini-MRP (BOM + Malzeme İhtiyacı + Kapasite)</t>
        </is>
      </c>
    </row>
    <row r="2"/>
    <row r="3" ht="22" customHeight="1">
      <c r="A3" s="193" t="inlineStr">
        <is>
          <t>Tek kaynak parametreler + durum haritası (A01/A06)</t>
        </is>
      </c>
    </row>
    <row r="4"/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1"/>
    <row r="32"/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39"/>
    <row r="40"/>
    <row r="41"/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4"/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KILAVUZ — Mini-MRP (BOM + Malzeme İhtiyacı + Kapasite)</t>
        </is>
      </c>
    </row>
    <row r="2"/>
    <row r="3" ht="22" customHeight="1">
      <c r="A3" s="194" t="inlineStr">
        <is>
          <t>Kullanım Kılavuzu</t>
        </is>
      </c>
    </row>
    <row r="4"/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2026-08-11T11:49:08Z</dcterms:created>
  <dcterms:modified xmlns:dcterms="http://purl.org/dc/terms/" xmlns:xsi="http://www.w3.org/2001/XMLSchema-instance" xsi:type="dcterms:W3CDTF">2026-09-25T21:22:41Z</dcterms:modified>
</cp:coreProperties>
</file>