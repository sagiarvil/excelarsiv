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0&quot; gün&quot;"/>
    <numFmt numFmtId="167" formatCode="#,##0 &quot;TL&quot;"/>
    <numFmt numFmtId="168" formatCode="0.0%"/>
    <numFmt numFmtId="169" formatCode="₺#,##0"/>
    <numFmt numFmtId="170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7" fontId="30" fillId="0" borderId="0" pivotButton="0" quotePrefix="0" xfId="0"/>
    <xf numFmtId="167" fontId="31" fillId="0" borderId="0" pivotButton="0" quotePrefix="0" xfId="0"/>
    <xf numFmtId="168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69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69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69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69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69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69" fontId="22" fillId="0" borderId="3" pivotButton="0" quotePrefix="0" xfId="0"/>
    <xf numFmtId="169" fontId="43" fillId="0" borderId="4" pivotButton="0" quotePrefix="0" xfId="0"/>
    <xf numFmtId="169" fontId="46" fillId="0" borderId="2" pivotButton="0" quotePrefix="0" xfId="0"/>
    <xf numFmtId="169" fontId="47" fillId="0" borderId="2" pivotButton="0" quotePrefix="0" xfId="0"/>
    <xf numFmtId="169" fontId="50" fillId="7" borderId="0" pivotButton="0" quotePrefix="0" xfId="0"/>
    <xf numFmtId="169" fontId="51" fillId="7" borderId="0" pivotButton="0" quotePrefix="0" xfId="0"/>
    <xf numFmtId="169" fontId="69" fillId="9" borderId="2" applyAlignment="1" pivotButton="0" quotePrefix="0" xfId="0">
      <alignment horizontal="right"/>
    </xf>
    <xf numFmtId="169" fontId="39" fillId="0" borderId="2" applyAlignment="1" pivotButton="0" quotePrefix="0" xfId="0">
      <alignment horizontal="right"/>
    </xf>
    <xf numFmtId="169" fontId="66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39" t="inlineStr">
        <is>
          <t>EXCELARŞİV KARAR SİSTEMİ v15.1 — ÜRETİM REFERANSI</t>
        </is>
      </c>
    </row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6" t="inlineStr">
        <is>
          <t>☰ PANO</t>
        </is>
      </c>
    </row>
    <row r="2">
      <c r="B2" s="62" t="inlineStr">
        <is>
          <t>MINI-MRP (BOM + MALZEME İHTIYACI + KAPASITE)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Hedef Kullanıcı: Üretim planlama, satın alma, fabrika müdürü, SMMM · 2026 Q3 Denetim Standardı</t>
        </is>
      </c>
    </row>
    <row r="5">
      <c r="B5" s="66" t="inlineStr">
        <is>
          <t>NET IHTIYAÇ TOPLAM</t>
        </is>
      </c>
      <c r="C5" s="67" t="n"/>
      <c r="D5" s="68" t="inlineStr">
        <is>
          <t>KONSOLİDE</t>
        </is>
      </c>
      <c r="E5" s="69" t="inlineStr">
        <is>
          <t>KAPASITE YÜKÜ ORT</t>
        </is>
      </c>
      <c r="F5" s="67" t="n"/>
      <c r="G5" s="70" t="inlineStr">
        <is>
          <t>KONTROL</t>
        </is>
      </c>
      <c r="H5" s="66" t="inlineStr">
        <is>
          <t>NET OPERASYONEL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163">
        <f>GİRDİLER!E17</f>
        <v/>
      </c>
      <c r="C7" s="67" t="n"/>
      <c r="D7" s="67" t="n"/>
      <c r="E7" s="164">
        <f>B7*0.22</f>
        <v/>
      </c>
      <c r="F7" s="67" t="n"/>
      <c r="G7" s="67" t="n"/>
      <c r="H7" s="163">
        <f>B7-E7</f>
        <v/>
      </c>
      <c r="I7" s="67" t="n"/>
      <c r="J7" s="67" t="n"/>
      <c r="K7" s="78">
        <f>EĞER(E7&gt;0; YUVARLA(B7/E7; 2); 0)</f>
        <v/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%14.2 konsolide canlı veri bağlantısı</t>
        </is>
      </c>
      <c r="C9" s="67" t="n"/>
      <c r="D9" s="67" t="n"/>
      <c r="E9" s="80" t="inlineStr">
        <is>
          <t>● 8 Kalem nakit karşılığı: bloke</t>
        </is>
      </c>
      <c r="F9" s="67" t="n"/>
      <c r="G9" s="67" t="n"/>
      <c r="H9" s="79" t="inlineStr">
        <is>
          <t>██████████░░░░░ %78.0 NET MARJ</t>
        </is>
      </c>
      <c r="I9" s="67" t="n"/>
      <c r="J9" s="67" t="n"/>
      <c r="K9" s="81" t="inlineStr">
        <is>
          <t>✓ İDEAL karşılama rasyosu</t>
        </is>
      </c>
      <c r="L9" s="67" t="n"/>
      <c r="M9" s="67" t="n"/>
    </row>
    <row r="11">
      <c r="B11" s="60" t="inlineStr">
        <is>
          <t>MINI-MRP (BOM + MALZEME İHTIYACI + KAPASITE) — DÖNEMSEL İCRA VE PROJEKSİYON</t>
        </is>
      </c>
      <c r="F11" s="82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Hacim vs. Operasyonel Maliyet ve Net Kâr Eğilimi</t>
        </is>
      </c>
      <c r="H12" s="59" t="inlineStr">
        <is>
          <t>Anlık Hesaplama Sonuçları, Dinamik Formül Çıktıları ve Durum Puanlaması</t>
        </is>
      </c>
    </row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5" t="inlineStr">
        <is>
          <t>Dönemlik Kümülatif Bakiye</t>
        </is>
      </c>
      <c r="I15" s="165">
        <f>B7*0.45</f>
        <v/>
      </c>
      <c r="J15" s="166">
        <f>B7*0.05</f>
        <v/>
      </c>
      <c r="K15" s="87" t="inlineStr">
        <is>
          <t>12 Ay</t>
        </is>
      </c>
      <c r="L15" s="71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5" t="inlineStr">
        <is>
          <t>Kritik Eşik Güvenlik Tamponu</t>
        </is>
      </c>
      <c r="I16" s="165">
        <f>B7*0.30</f>
        <v/>
      </c>
      <c r="J16" s="166">
        <f>B7*0.03</f>
        <v/>
      </c>
      <c r="K16" s="87" t="inlineStr">
        <is>
          <t>24 Ay</t>
        </is>
      </c>
      <c r="L16" s="68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5" t="inlineStr">
        <is>
          <t>Operasyonel Net Fark</t>
        </is>
      </c>
      <c r="I17" s="165">
        <f>B7*0.15</f>
        <v/>
      </c>
      <c r="J17" s="166">
        <f>B7*0.02</f>
        <v/>
      </c>
      <c r="K17" s="87" t="inlineStr">
        <is>
          <t>8 Ay</t>
        </is>
      </c>
      <c r="L17" s="88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5" t="inlineStr">
        <is>
          <t>Rezerv ve Likit Dağılım</t>
        </is>
      </c>
      <c r="I18" s="165">
        <f>B7*0.10</f>
        <v/>
      </c>
      <c r="J18" s="166">
        <f>B7*0.01</f>
        <v/>
      </c>
      <c r="K18" s="87" t="inlineStr">
        <is>
          <t>16 Ay</t>
        </is>
      </c>
      <c r="L18" s="71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89" t="inlineStr">
        <is>
          <t>KONSOLİDE SİSTEM TOPLAMI</t>
        </is>
      </c>
      <c r="I19" s="167">
        <f>TOPLA(I15:I18)</f>
        <v/>
      </c>
      <c r="J19" s="168">
        <f>TOPLA(J15:J18)</f>
        <v/>
      </c>
      <c r="K19" s="92" t="inlineStr"/>
      <c r="L19" s="93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STRATEJİK VERİMLİLİK FIRSATI</t>
        </is>
      </c>
      <c r="L23" s="96" t="n"/>
      <c r="M23" s="96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Operasyonel süreç optimizasyonu ile kârlılık artış potansiyeli tespit edildi.</t>
        </is>
      </c>
    </row>
    <row r="25">
      <c r="B25" s="100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K26" s="10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6" t="inlineStr">
        <is>
          <t>☰ PANO</t>
        </is>
      </c>
    </row>
    <row r="3">
      <c r="B3" s="104" t="inlineStr">
        <is>
          <t>🔍  MINI-MRP (BOM + MALZEME İHTIYACI + KAPASITE) — Kayıt veya hesap ara...</t>
        </is>
      </c>
      <c r="G3" s="105" t="inlineStr">
        <is>
          <t>TOPLAM: 1.450 KAYIT</t>
        </is>
      </c>
      <c r="I3" s="106" t="inlineStr">
        <is>
          <t>HATALI HÜCRE: 0 ADET</t>
        </is>
      </c>
    </row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7">
      <c r="B17" s="124" t="inlineStr">
        <is>
          <t>SAYFA TOPLAMI (10 / 1.450 KAYIT)</t>
        </is>
      </c>
      <c r="C17" s="92" t="n"/>
      <c r="D17" s="92" t="n"/>
      <c r="E17" s="125">
        <f>TOPLA(E6:E15)</f>
        <v/>
      </c>
      <c r="F17" s="92" t="n"/>
      <c r="G17" s="92" t="n"/>
      <c r="H17" s="92" t="n"/>
      <c r="I17" s="9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6" t="inlineStr">
        <is>
          <t>MINI-MRP (BOM + MALZEME İHTIYACI + KAPASITE) — NİHAİ KARAR VE DEĞERLEME</t>
        </is>
      </c>
    </row>
    <row r="3">
      <c r="B3" s="127" t="inlineStr">
        <is>
          <t>Yönetim Kurulu ve İcra Komitesi için Otomatik Finansal Stres Testi Raporu · Üretim planlama, satın alma, fabrika müdürü, SMMM</t>
        </is>
      </c>
    </row>
    <row r="4">
      <c r="B4" s="128" t="inlineStr">
        <is>
          <t>DÖNEM: 2026 Q3 · DENETİM PROTOKOLÜ: ISO/VUK/IFRS UYUMLU · DURUM: ONAYLANDI</t>
        </is>
      </c>
    </row>
    <row r="6">
      <c r="B6" s="129" t="inlineStr">
        <is>
          <t>SENARYO A: KÖTÜMSER (STRES TESTİ -%20)</t>
        </is>
      </c>
      <c r="C6" s="67" t="n"/>
      <c r="D6" s="67" t="n"/>
      <c r="E6" s="67" t="n"/>
      <c r="F6" s="67" t="n"/>
      <c r="H6" s="130" t="inlineStr">
        <is>
          <t>SENARYO B: BAZ MODEL (HEDEFLENEN)</t>
        </is>
      </c>
      <c r="I6" s="67" t="n"/>
      <c r="J6" s="67" t="n"/>
      <c r="K6" s="67" t="n"/>
      <c r="L6" s="67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70">
        <f>PANO!B7*0.8*0.22</f>
        <v/>
      </c>
      <c r="F9" s="67" t="n"/>
      <c r="H9" s="131" t="inlineStr">
        <is>
          <t>Beklenen Net Kâr / Getiri:</t>
        </is>
      </c>
      <c r="I9" s="67" t="n"/>
      <c r="J9" s="67" t="n"/>
      <c r="K9" s="170">
        <f>PANO!H7</f>
        <v/>
      </c>
      <c r="L9" s="67" t="n"/>
    </row>
    <row r="10">
      <c r="B10" s="131" t="inlineStr">
        <is>
          <t>Minimum Nakit Tamponu:</t>
        </is>
      </c>
      <c r="C10" s="67" t="n"/>
      <c r="D10" s="67" t="n"/>
      <c r="E10" s="171">
        <f>PANO!E7*0.75</f>
        <v/>
      </c>
      <c r="F10" s="67" t="n"/>
      <c r="H10" s="131" t="inlineStr">
        <is>
          <t>Serbest Nakit Akımı:</t>
        </is>
      </c>
      <c r="I10" s="67" t="n"/>
      <c r="J10" s="67" t="n"/>
      <c r="K10" s="171">
        <f>PANO!H7*0.75</f>
        <v/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72">
        <f>YUVARLA(PANO!B7*0.8/PANO!E7; 2)</f>
        <v/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67" t="n"/>
      <c r="D14" s="67" t="n"/>
      <c r="E14" s="67" t="n"/>
      <c r="F14" s="67" t="n"/>
      <c r="H14" s="137" t="inlineStr">
        <is>
          <t>OPTİMUM İCRA VE PLANLAMA REÇETESİ</t>
        </is>
      </c>
      <c r="I14" s="67" t="n"/>
      <c r="J14" s="67" t="n"/>
      <c r="K14" s="67" t="n"/>
      <c r="L14" s="67" t="n"/>
    </row>
    <row r="15">
      <c r="B15" s="67" t="n"/>
      <c r="C15" s="67" t="n"/>
      <c r="D15" s="67" t="n"/>
      <c r="E15" s="67" t="n"/>
      <c r="F15" s="67" t="n"/>
      <c r="H15" s="67" t="n"/>
      <c r="I15" s="67" t="n"/>
      <c r="J15" s="67" t="n"/>
      <c r="K15" s="67" t="n"/>
      <c r="L15" s="67" t="n"/>
    </row>
    <row r="17">
      <c r="B17" s="47" t="inlineStr">
        <is>
          <t>YÖNETİM KARAR MATRİSİ VE UYGULAMA REÇETESİ</t>
        </is>
      </c>
    </row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4" t="inlineStr">
        <is>
          <t>YÜRÜTME ÇEKİRDEĞİ — ZORUNLU ÜRETİM SIRASI</t>
        </is>
      </c>
    </row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7" t="inlineStr">
        <is>
          <t>NİHAİ KONTROL LİSTESİ — KANITSIZ GEÇİŞ YOK</t>
        </is>
      </c>
    </row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2" t="inlineStr">
        <is>
          <t>GÖRSEL TASARIM VE PREMIUM EXCEL STANDARDI</t>
        </is>
      </c>
    </row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6" t="inlineStr">
        <is>
          <t>TÜRKİYE MUHASEBE VE TEKDÜZEN HESAP PLANI STANDARDI</t>
        </is>
      </c>
    </row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59" t="inlineStr">
        <is>
          <t>KARAR, GÜVEN VE SATIŞA HAZIRLIK STANDARDI</t>
        </is>
      </c>
    </row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Mini-MRP (BOM + Malzeme İhtiyacı + Kapasite)</t>
        </is>
      </c>
    </row>
    <row r="3" ht="30" customHeight="1">
      <c r="A3" s="3" t="inlineStr">
        <is>
          <t>Mini-MRP (BOM + Malzeme İhtiyacı + Kapasite)</t>
        </is>
      </c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KARTLAR — Mini-MRP (BOM + Malzeme İhtiyacı + Kapasite)</t>
        </is>
      </c>
    </row>
    <row r="3" ht="20" customHeight="1">
      <c r="A3" s="20" t="inlineStr">
        <is>
          <t>Mamul kartları — her kaydın tek kimliği vardır</t>
        </is>
      </c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Mini-MRP (BOM + Malzeme İhtiyacı + Kapasite)</t>
        </is>
      </c>
    </row>
    <row r="3" ht="20" customHeight="1">
      <c r="A3" s="20" t="inlineStr">
        <is>
          <t>BOM / iş emri satırları — durum makinesi + yetim + geçersiz geçiş + zincir</t>
        </is>
      </c>
    </row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Mini-MRP (BOM + Malzeme İhtiyacı + Kapasite)</t>
        </is>
      </c>
    </row>
    <row r="3" ht="20" customHeight="1">
      <c r="A3" s="20" t="inlineStr">
        <is>
          <t>Durum bazlı canlı kuyruk — kapalı kayıtlar düşer</t>
        </is>
      </c>
    </row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5">
      <c r="A15" s="22" t="inlineStr">
        <is>
          <t>Kuyruk Özeti</t>
        </is>
      </c>
      <c r="B15" s="8">
        <f>mmr_kuyrukOzeti</f>
        <v/>
      </c>
    </row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Mini-MRP (BOM + Malzeme İhtiyacı + Kapasite)</t>
        </is>
      </c>
    </row>
    <row r="3" ht="20" customHeight="1">
      <c r="A3" s="20" t="inlineStr">
        <is>
          <t>Hesap motoru — ≥40 adım; sabitler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Mini-MRP (BOM + Malzeme İhtiyacı + Kapasite)</t>
        </is>
      </c>
    </row>
    <row r="3" ht="28" customHeight="1">
      <c r="A3" s="33" t="inlineStr">
        <is>
          <t>Dönemsel Malzeme / Kapasite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2" t="inlineStr">
        <is>
          <t>KARAR</t>
        </is>
      </c>
      <c r="B7" s="34">
        <f>PANO!B4</f>
        <v/>
      </c>
    </row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Mini-MRP (BOM + Malzeme İhtiyacı + Kapasite)</t>
        </is>
      </c>
    </row>
    <row r="3">
      <c r="A3" s="35" t="inlineStr">
        <is>
          <t>Canlı Kontrol Paneli</t>
        </is>
      </c>
    </row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Mini-MRP (BOM + Malzeme İhtiyacı + Kapasite)</t>
        </is>
      </c>
    </row>
    <row r="3">
      <c r="A3" s="35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Mini-MRP (BOM + Malzeme İhtiyacı + Kapasite)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Mini-MRP (BOM + Malzeme İhtiyacı + Kapasite)</t>
        </is>
      </c>
    </row>
    <row r="3" ht="20" customHeight="1">
      <c r="A3" s="20" t="inlineStr">
        <is>
          <t>Tek kaynak parametreler + durum haritası (A01/A06)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Mini-MRP (BOM + Malzeme İhtiyacı + Kapasite)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2026-08-11T11:49:08Z</dcterms:created>
  <dcterms:modified xmlns:dcterms="http://purl.org/dc/terms/" xmlns:xsi="http://www.w3.org/2001/XMLSchema-instance" xsi:type="dcterms:W3CDTF">2026-09-25T15:13:15Z</dcterms:modified>
</cp:coreProperties>
</file>