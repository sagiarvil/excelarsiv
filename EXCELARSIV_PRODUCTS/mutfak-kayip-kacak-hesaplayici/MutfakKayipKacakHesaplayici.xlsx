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_LISTESI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STOK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VARYAN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147.5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EXCELARŞİV KARAR SİSTEMİ v15.1 — ÜRETİM REFERANSI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5"/>
    <row r="26" ht="16" customHeight="1" s="72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2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2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65.5" customWidth="1" style="72" min="2" max="2"/>
    <col width="15" customWidth="1" style="72" min="3" max="3"/>
    <col width="15.5" customWidth="1" style="72" min="4" max="4"/>
    <col width="36.5" customWidth="1" style="72" min="5" max="5"/>
    <col width="18" customWidth="1" style="72" min="6" max="6"/>
    <col width="11.5" customWidth="1" style="72" min="7" max="7"/>
    <col width="75.5" customWidth="1" style="72" min="8" max="8"/>
    <col width="15" customWidth="1" style="72" min="9" max="9"/>
    <col width="15.5" customWidth="1" style="72" min="10" max="10"/>
    <col width="81.5" customWidth="1" style="72" min="11" max="11"/>
    <col width="18" customWidth="1" style="72" min="12" max="12"/>
    <col width="18" customWidth="1" style="72" min="13" max="13"/>
    <col width="13" customWidth="1" style="72" min="14" max="14"/>
  </cols>
  <sheetData>
    <row r="1">
      <c r="A1" s="82" t="inlineStr">
        <is>
          <t>☰ PANO</t>
        </is>
      </c>
    </row>
    <row r="2">
      <c r="B2" s="166" t="inlineStr">
        <is>
          <t>MUTFAK KAYIP/KAÇAK HESAPLAYICI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Hedef Kullanıcı: Yönetim Kurulu, CFO, Finans Yöneticisi, SMMM · 2026 Q3 Denetim Standardı</t>
        </is>
      </c>
    </row>
    <row r="4"/>
    <row r="5">
      <c r="B5" s="170" t="inlineStr">
        <is>
          <t>TOPLAM İŞLEM HACMİ</t>
        </is>
      </c>
      <c r="C5" s="171" t="n"/>
      <c r="D5" s="172" t="inlineStr">
        <is>
          <t>KONSOLİDE</t>
        </is>
      </c>
      <c r="E5" s="173" t="inlineStr">
        <is>
          <t>OPERASYONEL MALİYET</t>
        </is>
      </c>
      <c r="F5" s="171" t="n"/>
      <c r="G5" s="174" t="inlineStr">
        <is>
          <t>KONTROL</t>
        </is>
      </c>
      <c r="H5" s="170" t="inlineStr">
        <is>
          <t>NET OPERASYONEL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267">
        <f>GİRDİLER!E17</f>
        <v/>
      </c>
      <c r="C7" s="171" t="n"/>
      <c r="D7" s="171" t="n"/>
      <c r="E7" s="268">
        <f>B7*0.22</f>
        <v/>
      </c>
      <c r="F7" s="171" t="n"/>
      <c r="G7" s="171" t="n"/>
      <c r="H7" s="267">
        <f>B7-E7</f>
        <v/>
      </c>
      <c r="I7" s="171" t="n"/>
      <c r="J7" s="171" t="n"/>
      <c r="K7" s="182">
        <f>EĞER(E7&gt;0; YUVARLA(B7/E7; 2); 0)</f>
        <v/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%14.2 konsolide canlı veri bağlantısı</t>
        </is>
      </c>
      <c r="C9" s="171" t="n"/>
      <c r="D9" s="171" t="n"/>
      <c r="E9" s="184" t="inlineStr">
        <is>
          <t>● 8 Kalem nakit karşılığı: bloke</t>
        </is>
      </c>
      <c r="F9" s="171" t="n"/>
      <c r="G9" s="171" t="n"/>
      <c r="H9" s="183" t="inlineStr">
        <is>
          <t>██████████░░░░░ %78.0 NET MARJ</t>
        </is>
      </c>
      <c r="I9" s="171" t="n"/>
      <c r="J9" s="171" t="n"/>
      <c r="K9" s="185" t="inlineStr">
        <is>
          <t>✓ İDEAL karşılama rasyosu</t>
        </is>
      </c>
      <c r="L9" s="171" t="n"/>
      <c r="M9" s="171" t="n"/>
    </row>
    <row r="10"/>
    <row r="11">
      <c r="B11" s="96" t="inlineStr">
        <is>
          <t>MUTFAK KAYIP/KAÇAK HESAPLAYICI — DÖNEMSEL İCRA VE PROJEKSİYON</t>
        </is>
      </c>
      <c r="F11" s="186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9" t="inlineStr">
        <is>
          <t>Dönemlik Kümülatif Bakiye</t>
        </is>
      </c>
      <c r="I15" s="269">
        <f>B7*0.45</f>
        <v/>
      </c>
      <c r="J15" s="270">
        <f>B7*0.05</f>
        <v/>
      </c>
      <c r="K15" s="191" t="inlineStr">
        <is>
          <t>12 Ay</t>
        </is>
      </c>
      <c r="L15" s="175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9" t="inlineStr">
        <is>
          <t>Kritik Eşik Güvenlik Tamponu</t>
        </is>
      </c>
      <c r="I16" s="269">
        <f>B7*0.30</f>
        <v/>
      </c>
      <c r="J16" s="270">
        <f>B7*0.03</f>
        <v/>
      </c>
      <c r="K16" s="191" t="inlineStr">
        <is>
          <t>24 Ay</t>
        </is>
      </c>
      <c r="L16" s="172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9" t="inlineStr">
        <is>
          <t>Operasyonel Net Fark</t>
        </is>
      </c>
      <c r="I17" s="269">
        <f>B7*0.15</f>
        <v/>
      </c>
      <c r="J17" s="270">
        <f>B7*0.02</f>
        <v/>
      </c>
      <c r="K17" s="191" t="inlineStr">
        <is>
          <t>8 Ay</t>
        </is>
      </c>
      <c r="L17" s="192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9" t="inlineStr">
        <is>
          <t>Rezerv ve Likit Dağılım</t>
        </is>
      </c>
      <c r="I18" s="269">
        <f>B7*0.10</f>
        <v/>
      </c>
      <c r="J18" s="270">
        <f>B7*0.01</f>
        <v/>
      </c>
      <c r="K18" s="191" t="inlineStr">
        <is>
          <t>16 Ay</t>
        </is>
      </c>
      <c r="L18" s="175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93" t="inlineStr">
        <is>
          <t>KONSOLİDE SİSTEM TOPLAMI</t>
        </is>
      </c>
      <c r="I19" s="271">
        <f>TOPLA(I15:I18)</f>
        <v/>
      </c>
      <c r="J19" s="272">
        <f>TOPLA(J15:J18)</f>
        <v/>
      </c>
      <c r="K19" s="196" t="inlineStr"/>
      <c r="L19" s="197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STRATEJİK VERİMLİLİK FIRSATI</t>
        </is>
      </c>
      <c r="L23" s="200" t="n"/>
      <c r="M23" s="200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Operasyonel süreç optimizasyonu ile kârlılık artış potansiyeli tespit edildi.</t>
        </is>
      </c>
    </row>
    <row r="25">
      <c r="B25" s="204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G26" s="279" t="n"/>
      <c r="H26" s="279" t="n"/>
      <c r="I26" s="280" t="n"/>
      <c r="K26" s="207" t="inlineStr">
        <is>
          <t>STRATEJİ REÇETESİNİ İNCELE &gt;</t>
        </is>
      </c>
    </row>
    <row r="27">
      <c r="F27" s="281" t="n"/>
      <c r="G27" s="282" t="n"/>
      <c r="H27" s="282" t="n"/>
      <c r="I27" s="28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6.5" customWidth="1" style="72" min="2" max="2"/>
    <col width="16" customWidth="1" style="72" min="3" max="3"/>
    <col width="37.5" customWidth="1" style="72" min="4" max="4"/>
    <col width="18.5" customWidth="1" style="72" min="5" max="5"/>
    <col width="13.5" customWidth="1" style="72" min="6" max="6"/>
    <col width="18" customWidth="1" style="72" min="7" max="7"/>
    <col width="22.5" customWidth="1" style="72" min="8" max="8"/>
    <col width="16" customWidth="1" style="72" min="9" max="9"/>
    <col width="13" customWidth="1" style="72" min="10" max="10"/>
  </cols>
  <sheetData>
    <row r="1">
      <c r="A1" s="82" t="inlineStr">
        <is>
          <t>☰ PANO</t>
        </is>
      </c>
    </row>
    <row r="2"/>
    <row r="3">
      <c r="B3" s="208" t="inlineStr">
        <is>
          <t>🔍  MUTFAK KAYIP/KAÇAK HESAPLAYICI — Kayıt veya hesap ara...</t>
        </is>
      </c>
      <c r="C3" s="284" t="n"/>
      <c r="D3" s="284" t="n"/>
      <c r="E3" s="285" t="n"/>
      <c r="G3" s="209" t="inlineStr">
        <is>
          <t>TOPLAM: 1.450 KAYIT</t>
        </is>
      </c>
      <c r="I3" s="210" t="inlineStr">
        <is>
          <t>HATALI HÜCRE: 0 ADET</t>
        </is>
      </c>
    </row>
    <row r="4"/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6"/>
    <row r="17">
      <c r="B17" s="228" t="inlineStr">
        <is>
          <t>SAYFA TOPLAMI (10 / 1.450 KAYIT)</t>
        </is>
      </c>
      <c r="E17" s="22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30" t="inlineStr">
        <is>
          <t>MUTFAK KAYIP/KAÇAK HESAPLAYICI — NİHAİ KARAR VE DEĞERLEME</t>
        </is>
      </c>
    </row>
    <row r="3">
      <c r="B3" s="231" t="inlineStr">
        <is>
          <t>Yönetim Kurulu ve İcra Komitesi için Otomatik Finansal Stres Testi Raporu · Yönetim Kurulu, CFO, Finans Yöneticisi, SMMM</t>
        </is>
      </c>
    </row>
    <row r="4">
      <c r="B4" s="232" t="inlineStr">
        <is>
          <t>DÖNEM: 2026 Q3 · DENETİM PROTOKOLÜ: ISO/VUK/IFRS UYUMLU · DURUM: ONAYLANDI</t>
        </is>
      </c>
    </row>
    <row r="5"/>
    <row r="6">
      <c r="B6" s="233" t="inlineStr">
        <is>
          <t>SENARYO A: KÖTÜMSER (STRES TESTİ -%20)</t>
        </is>
      </c>
      <c r="C6" s="284" t="n"/>
      <c r="D6" s="284" t="n"/>
      <c r="E6" s="284" t="n"/>
      <c r="F6" s="285" t="n"/>
      <c r="H6" s="234" t="inlineStr">
        <is>
          <t>SENARYO B: BAZ MODEL (HEDEFLENEN)</t>
        </is>
      </c>
      <c r="I6" s="284" t="n"/>
      <c r="J6" s="284" t="n"/>
      <c r="K6" s="284" t="n"/>
      <c r="L6" s="285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74">
        <f>PANO!B7*0.8*0.22</f>
        <v/>
      </c>
      <c r="F9" s="171" t="n"/>
      <c r="H9" s="235" t="inlineStr">
        <is>
          <t>Beklenen Net Kâr / Getiri:</t>
        </is>
      </c>
      <c r="I9" s="171" t="n"/>
      <c r="J9" s="171" t="n"/>
      <c r="K9" s="274">
        <f>PANO!H7</f>
        <v/>
      </c>
      <c r="L9" s="171" t="n"/>
    </row>
    <row r="10">
      <c r="B10" s="235" t="inlineStr">
        <is>
          <t>Minimum Nakit Tamponu:</t>
        </is>
      </c>
      <c r="C10" s="171" t="n"/>
      <c r="D10" s="171" t="n"/>
      <c r="E10" s="275">
        <f>PANO!E7*0.75</f>
        <v/>
      </c>
      <c r="F10" s="171" t="n"/>
      <c r="H10" s="235" t="inlineStr">
        <is>
          <t>Serbest Nakit Akımı:</t>
        </is>
      </c>
      <c r="I10" s="171" t="n"/>
      <c r="J10" s="171" t="n"/>
      <c r="K10" s="275">
        <f>PANO!H7*0.75</f>
        <v/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76">
        <f>YUVARLA(PANO!B7*0.8/PANO!E7; 2)</f>
        <v/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286" t="n"/>
      <c r="D14" s="286" t="n"/>
      <c r="E14" s="286" t="n"/>
      <c r="F14" s="287" t="n"/>
      <c r="H14" s="241" t="inlineStr">
        <is>
          <t>OPTİMUM İCRA VE PLANLAMA REÇETESİ</t>
        </is>
      </c>
      <c r="I14" s="288" t="n"/>
      <c r="J14" s="288" t="n"/>
      <c r="K14" s="288" t="n"/>
      <c r="L14" s="289" t="n"/>
    </row>
    <row r="15">
      <c r="B15" s="290" t="n"/>
      <c r="C15" s="291" t="n"/>
      <c r="D15" s="291" t="n"/>
      <c r="E15" s="291" t="n"/>
      <c r="F15" s="292" t="n"/>
      <c r="H15" s="293" t="n"/>
      <c r="I15" s="294" t="n"/>
      <c r="J15" s="294" t="n"/>
      <c r="K15" s="294" t="n"/>
      <c r="L15" s="295" t="n"/>
    </row>
    <row r="16"/>
    <row r="17">
      <c r="B17" s="83" t="inlineStr">
        <is>
          <t>YÖNETİM KARAR MATRİSİ VE UYGULAMA REÇETESİ</t>
        </is>
      </c>
    </row>
    <row r="18"/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0.5" customWidth="1" style="72" min="2" max="2"/>
    <col width="23.5" customWidth="1" style="72" min="3" max="3"/>
    <col width="48.5" customWidth="1" style="72" min="4" max="4"/>
    <col width="43.5" customWidth="1" style="72" min="5" max="5"/>
    <col width="21.5" customWidth="1" style="72" min="6" max="6"/>
    <col width="21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YÜRÜTME ÇEKİRDEĞİ — ZORUNLU ÜRETİM SIRASI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2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2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89.5" customWidth="1" style="72" min="2" max="2"/>
    <col width="34.5" customWidth="1" style="72" min="3" max="3"/>
    <col width="16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NİHAİ KONTROL LİSTESİ — KANITSIZ GEÇİŞ YOK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2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2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2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2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2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2" min="1" max="1"/>
    <col width="71.5" customWidth="1" style="72" min="2" max="2"/>
    <col width="160.5" customWidth="1" style="72" min="3" max="3"/>
    <col width="70.5" customWidth="1" style="72" min="4" max="4"/>
    <col width="50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GÖRSEL TASARIM VE PREMIUM EXCEL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2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2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2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2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2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2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2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2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2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2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2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2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2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2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2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2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2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2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2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2" min="1" max="1"/>
    <col width="60.5" customWidth="1" style="72" min="2" max="2"/>
    <col width="86.5" customWidth="1" style="72" min="3" max="3"/>
    <col width="40.5" customWidth="1" style="72" min="4" max="4"/>
    <col width="39.5" customWidth="1" style="72" min="5" max="5"/>
    <col width="27.5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TÜRKİYE MUHASEBE VE TEKDÜZEN HESAP PLANI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2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2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2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2" min="1" max="1"/>
    <col width="41.5" customWidth="1" style="72" min="2" max="2"/>
    <col width="86.5" customWidth="1" style="72" min="3" max="3"/>
    <col width="35.5" customWidth="1" style="72" min="4" max="4"/>
    <col width="33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KARAR, GÜVEN VE SATIŞA HAZIRLIK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2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2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KAPAK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6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5"/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2"/>
    <row r="13"/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19"/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2"/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8:AD8"/>
    <mergeCell ref="A18:AD1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98" min="1" max="1"/>
    <col width="15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HIZLI BASLANGIC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Nasıl kullanılır?</t>
        </is>
      </c>
    </row>
    <row r="4"/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9"/>
    <row r="10"/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5"/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1"/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22.5" customWidth="1" style="98" min="3" max="3"/>
    <col width="27.5" customWidth="1" style="98" min="4" max="6"/>
    <col width="24.5" customWidth="1" style="72" min="5" max="5"/>
    <col width="23.5" customWidth="1" style="72" min="6" max="6"/>
    <col width="20.5" customWidth="1" style="98" min="7" max="7"/>
    <col width="52" customWidth="1" style="98" min="8" max="8"/>
    <col width="13" customWidth="1" style="72" min="9" max="9"/>
  </cols>
  <sheetData>
    <row r="1" ht="32" customHeight="1" s="72">
      <c r="A1" s="277" t="inlineStr">
        <is>
          <t>URUN LISTESI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</row>
    <row r="2"/>
    <row r="3" ht="22" customHeight="1" s="72">
      <c r="A3" s="297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16" customWidth="1" style="98" min="3" max="3"/>
    <col width="9.5" customWidth="1" style="98" min="4" max="4"/>
    <col width="10.5" customWidth="1" style="98" min="5" max="5"/>
    <col width="22.5" customWidth="1" style="98" min="6" max="6"/>
    <col width="14.5" customWidth="1" style="98" min="7" max="7"/>
    <col width="22.5" customWidth="1" style="98" min="8" max="8"/>
    <col width="18.5" customWidth="1" style="98" min="9" max="9"/>
    <col width="52" customWidth="1" style="98" min="10" max="10"/>
    <col width="13" customWidth="1" style="72" min="11" max="11"/>
    <col width="13" customWidth="1" style="72" min="12" max="12"/>
  </cols>
  <sheetData>
    <row r="1" ht="32" customHeight="1" s="72">
      <c r="A1" s="277" t="inlineStr">
        <is>
          <t>RECETE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</row>
    <row r="2"/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9.5" customWidth="1" style="98" min="2" max="2"/>
    <col width="19.5" customWidth="1" style="98" min="3" max="3"/>
    <col width="10" customWidth="1" style="98" min="4" max="4"/>
    <col width="19.5" customWidth="1" style="98" min="5" max="5"/>
    <col width="17.5" customWidth="1" style="98" min="6" max="6"/>
    <col width="22.5" customWidth="1" style="98" min="7" max="7"/>
    <col width="18.5" customWidth="1" style="98" min="8" max="8"/>
    <col width="24.5" customWidth="1" style="98" min="9" max="9"/>
    <col width="15.5" customWidth="1" style="98" min="10" max="10"/>
    <col width="21.5" customWidth="1" style="98" min="11" max="11"/>
    <col width="52" customWidth="1" style="98" min="12" max="12"/>
    <col width="13" customWidth="1" style="72" min="13" max="13"/>
  </cols>
  <sheetData>
    <row r="1" ht="32" customHeight="1" s="72">
      <c r="A1" s="277" t="inlineStr">
        <is>
          <t>STOK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  <c r="L1" s="278" t="n"/>
    </row>
    <row r="2"/>
    <row r="3" ht="22" customHeight="1" s="72">
      <c r="A3" s="297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5"/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006:AN1006"/>
    <mergeCell ref="A1:L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13" customWidth="1" style="72" min="4" max="4"/>
    <col width="13" customWidth="1" style="72" min="5" max="5"/>
    <col width="22" customWidth="1" style="98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HESAP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5"/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1"/>
    <row r="22"/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0"/>
    <row r="31"/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7"/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3"/>
    <row r="44" ht="19.5" customHeight="1" s="72">
      <c r="A44" s="121" t="inlineStr">
        <is>
          <t>Motor, stok ve reçete verilerinden canlı beslenir; tüm eşikler AYARLAR'dan okunur.</t>
        </is>
      </c>
    </row>
    <row r="45"/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4:AN44"/>
    <mergeCell ref="A3:I3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8" min="1" max="1"/>
    <col width="60" customWidth="1" style="98" min="2" max="2"/>
    <col width="14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KONTROLLER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2"/>
    <row r="13"/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19"/>
    <row r="20" ht="19.5" customHeight="1" s="72">
      <c r="A20" s="121" t="inlineStr">
        <is>
          <t>Tüm kontroller canlı formüllerle üretilir; sahte geçiş yoktur.</t>
        </is>
      </c>
    </row>
    <row r="21"/>
    <row r="22"/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",TRUE(),"Ortalama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",TRUE(),"Ortalama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ortalama mutlak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5"/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ve satış mutabakatı tutarlıdır.")))))</f>
        <v/>
      </c>
    </row>
    <row r="13"/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ve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ve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ve stok verilerini girin; karar otomatik üretilir.",IF(B11="DURDUR","Negatif stok değerlerini düzeltin.",MutfakAksiyon3_ACIKLAMA))</f>
        <v/>
      </c>
    </row>
    <row r="18"/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0"/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13" customWidth="1" style="72" min="3" max="3"/>
    <col width="22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SENARYO DUYARLILIK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5"/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1"/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6"/>
    <row r="17"/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RAPOR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5"/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8"/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7"/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1"/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3" customWidth="1" style="72" min="13" max="13"/>
    <col width="19.5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3" customWidth="1" style="72" min="24" max="24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32" customHeight="1" s="72">
      <c r="A1" s="277" t="inlineStr">
        <is>
          <t>ORNEK VERI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  <c r="L1" s="278" t="n"/>
      <c r="M1" s="278" t="n"/>
      <c r="N1" s="278" t="n"/>
      <c r="O1" s="278" t="n"/>
      <c r="P1" s="278" t="n"/>
      <c r="Q1" s="278" t="n"/>
      <c r="R1" s="278" t="n"/>
      <c r="S1" s="278" t="n"/>
      <c r="T1" s="278" t="n"/>
      <c r="U1" s="278" t="n"/>
      <c r="V1" s="278" t="n"/>
      <c r="W1" s="278" t="n"/>
      <c r="X1" s="278" t="n"/>
      <c r="Y1" s="278" t="n"/>
    </row>
    <row r="2"/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  <col width="13" customWidth="1" style="72" min="2" max="2"/>
    <col width="25.5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VARYANS — reçete versiyon köprüsü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DEGISIKLIK KAYDI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3" customWidth="1" style="72" min="2" max="2"/>
    <col width="16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LISTELER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5"/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13" customWidth="1" style="72" min="5" max="5"/>
    <col width="60" customWidth="1" style="98" min="6" max="6"/>
    <col width="22" customWidth="1" style="98" min="7" max="7"/>
    <col width="16" customWidth="1" style="98" min="8" max="8"/>
    <col width="18" customWidth="1" style="98" min="9" max="9"/>
    <col width="13" customWidth="1" style="72" min="10" max="10"/>
  </cols>
  <sheetData>
    <row r="1" ht="32" customHeight="1" s="72">
      <c r="A1" s="277" t="inlineStr">
        <is>
          <t>AYARLAR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8"/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35"/>
    <row r="36"/>
    <row r="37"/>
    <row r="38"/>
    <row r="39"/>
    <row r="40"/>
    <row r="41"/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36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KILAVUZ — Mutfak Kayıp/Kaçak Hesaplayıcı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2">
      <c r="A3" s="297" t="inlineStr">
        <is>
          <t>Kullanım Kılavuzu</t>
        </is>
      </c>
    </row>
    <row r="4"/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2026-09-25T20:44:32Z</dcterms:modified>
  <cp:revision>0</cp:revision>
</cp:coreProperties>
</file>